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29.xml" ContentType="application/vnd.openxmlformats-officedocument.drawingml.char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-15" yWindow="-15" windowWidth="23940" windowHeight="10605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amenvatting mixen" sheetId="6" r:id="rId6"/>
    <sheet name="Samenvatting mixen - return" sheetId="8" r:id="rId7"/>
    <sheet name="output IC" sheetId="11" r:id="rId8"/>
    <sheet name="extra analyze" sheetId="13" r:id="rId9"/>
    <sheet name="single aandelen" sheetId="14" r:id="rId10"/>
  </sheets>
  <externalReferences>
    <externalReference r:id="rId11"/>
    <externalReference r:id="rId12"/>
    <externalReference r:id="rId13"/>
    <externalReference r:id="rId14"/>
  </externalReferences>
  <definedNames>
    <definedName name="aan_uit">Optimalisatie!$B$101:$B$102</definedName>
    <definedName name="hh">'[1]Parameters scenarios'!$A$104:$A$118</definedName>
    <definedName name="k">'Absolute visies'!$N$4:$U$11</definedName>
    <definedName name="Klanten">'[2]Parameters scenarios'!$A$104:$A$118</definedName>
    <definedName name="Klanten_v2">'[3]Parameters scenarios'!$A$103:$A$118</definedName>
    <definedName name="Port_type">'[2]Parameters optimalisatie'!$B$51:$B$52</definedName>
    <definedName name="Port_type_2">'[3]Parameters optimalisatie'!$B$47:$B$48</definedName>
  </definedNames>
  <calcPr calcId="125725" concurrentCalc="0"/>
</workbook>
</file>

<file path=xl/calcChain.xml><?xml version="1.0" encoding="utf-8"?>
<calcChain xmlns="http://schemas.openxmlformats.org/spreadsheetml/2006/main">
  <c r="C70" i="11"/>
  <c r="C69"/>
  <c r="C68"/>
  <c r="C67"/>
  <c r="C66"/>
  <c r="C65"/>
  <c r="C64"/>
  <c r="E63"/>
  <c r="C63"/>
  <c r="F63"/>
  <c r="C10"/>
  <c r="C9"/>
  <c r="C8"/>
  <c r="C7"/>
  <c r="C6"/>
  <c r="C5"/>
  <c r="C4"/>
  <c r="C3"/>
  <c r="D24"/>
  <c r="D50"/>
  <c r="C47"/>
  <c r="C48"/>
  <c r="C49"/>
  <c r="C50"/>
  <c r="C51"/>
  <c r="C52"/>
  <c r="C53"/>
  <c r="C46"/>
  <c r="C21"/>
  <c r="C22"/>
  <c r="C23"/>
  <c r="C24"/>
  <c r="C25"/>
  <c r="C26"/>
  <c r="C27"/>
  <c r="C20"/>
  <c r="I27" i="14"/>
  <c r="H27"/>
  <c r="G27"/>
  <c r="F27"/>
  <c r="E27"/>
  <c r="D27"/>
  <c r="C27"/>
  <c r="I26"/>
  <c r="H26"/>
  <c r="G26"/>
  <c r="F26"/>
  <c r="E26"/>
  <c r="D26"/>
  <c r="C26"/>
  <c r="I25"/>
  <c r="H25"/>
  <c r="G25"/>
  <c r="F25"/>
  <c r="E25"/>
  <c r="D25"/>
  <c r="C25"/>
  <c r="I24"/>
  <c r="H24"/>
  <c r="G24"/>
  <c r="F24"/>
  <c r="E24"/>
  <c r="D24"/>
  <c r="C24"/>
  <c r="I23"/>
  <c r="H23"/>
  <c r="G23"/>
  <c r="F23"/>
  <c r="E23"/>
  <c r="D23"/>
  <c r="C23"/>
  <c r="I22"/>
  <c r="H22"/>
  <c r="G22"/>
  <c r="F22"/>
  <c r="E22"/>
  <c r="D22"/>
  <c r="C22"/>
  <c r="I21"/>
  <c r="H21"/>
  <c r="G21"/>
  <c r="F21"/>
  <c r="E21"/>
  <c r="D21"/>
  <c r="C21"/>
  <c r="I20"/>
  <c r="H20"/>
  <c r="G20"/>
  <c r="F20"/>
  <c r="E20"/>
  <c r="D20"/>
  <c r="C20"/>
  <c r="B35" i="7"/>
  <c r="C14" i="14"/>
  <c r="B33" i="7"/>
  <c r="D33"/>
  <c r="E33"/>
  <c r="F33"/>
  <c r="G33"/>
  <c r="H33"/>
  <c r="C33"/>
  <c r="I33"/>
  <c r="J12" i="14"/>
  <c r="I12"/>
  <c r="H12"/>
  <c r="G12"/>
  <c r="F12"/>
  <c r="E12"/>
  <c r="D12"/>
  <c r="C12"/>
  <c r="I10"/>
  <c r="J10"/>
  <c r="S10"/>
  <c r="H10"/>
  <c r="R10"/>
  <c r="G10"/>
  <c r="Q10"/>
  <c r="F10"/>
  <c r="P10"/>
  <c r="E10"/>
  <c r="O10"/>
  <c r="D10"/>
  <c r="N10"/>
  <c r="B31" i="7"/>
  <c r="C10" i="14"/>
  <c r="M10"/>
  <c r="I9"/>
  <c r="J9"/>
  <c r="S9"/>
  <c r="H9"/>
  <c r="R9"/>
  <c r="G9"/>
  <c r="Q9"/>
  <c r="F9"/>
  <c r="P9"/>
  <c r="E9"/>
  <c r="O9"/>
  <c r="D9"/>
  <c r="N9"/>
  <c r="B30" i="7"/>
  <c r="C9" i="14"/>
  <c r="M9"/>
  <c r="I8"/>
  <c r="J8"/>
  <c r="S8"/>
  <c r="H8"/>
  <c r="R8"/>
  <c r="G8"/>
  <c r="Q8"/>
  <c r="F8"/>
  <c r="P8"/>
  <c r="E8"/>
  <c r="O8"/>
  <c r="D8"/>
  <c r="N8"/>
  <c r="B29" i="7"/>
  <c r="C8" i="14"/>
  <c r="M8"/>
  <c r="I7"/>
  <c r="J7"/>
  <c r="S7"/>
  <c r="H7"/>
  <c r="R7"/>
  <c r="G7"/>
  <c r="Q7"/>
  <c r="F7"/>
  <c r="P7"/>
  <c r="E7"/>
  <c r="O7"/>
  <c r="D7"/>
  <c r="N7"/>
  <c r="B28" i="7"/>
  <c r="C7" i="14"/>
  <c r="M7"/>
  <c r="I6"/>
  <c r="J6"/>
  <c r="S6"/>
  <c r="H6"/>
  <c r="R6"/>
  <c r="G6"/>
  <c r="Q6"/>
  <c r="F6"/>
  <c r="P6"/>
  <c r="E6"/>
  <c r="O6"/>
  <c r="D6"/>
  <c r="N6"/>
  <c r="B27" i="7"/>
  <c r="C6" i="14"/>
  <c r="M6"/>
  <c r="I5"/>
  <c r="J5"/>
  <c r="S5"/>
  <c r="H5"/>
  <c r="R5"/>
  <c r="G5"/>
  <c r="Q5"/>
  <c r="F5"/>
  <c r="P5"/>
  <c r="E5"/>
  <c r="O5"/>
  <c r="D5"/>
  <c r="N5"/>
  <c r="B26" i="7"/>
  <c r="C5" i="14"/>
  <c r="M5"/>
  <c r="I4"/>
  <c r="J4"/>
  <c r="S4"/>
  <c r="H4"/>
  <c r="R4"/>
  <c r="G4"/>
  <c r="Q4"/>
  <c r="F4"/>
  <c r="P4"/>
  <c r="E4"/>
  <c r="O4"/>
  <c r="D4"/>
  <c r="N4"/>
  <c r="B25" i="7"/>
  <c r="C4" i="14"/>
  <c r="M4"/>
  <c r="I3"/>
  <c r="J3"/>
  <c r="S3"/>
  <c r="H3"/>
  <c r="R3"/>
  <c r="G3"/>
  <c r="Q3"/>
  <c r="F3"/>
  <c r="P3"/>
  <c r="E3"/>
  <c r="O3"/>
  <c r="D3"/>
  <c r="N3"/>
  <c r="B24" i="7"/>
  <c r="C3" i="14"/>
  <c r="M3"/>
  <c r="J10" i="11"/>
  <c r="I10"/>
  <c r="S10"/>
  <c r="H10"/>
  <c r="R10"/>
  <c r="G10"/>
  <c r="Q10"/>
  <c r="F10"/>
  <c r="P10"/>
  <c r="E10"/>
  <c r="O10"/>
  <c r="D10"/>
  <c r="N10"/>
  <c r="M10"/>
  <c r="J9"/>
  <c r="I9"/>
  <c r="S9"/>
  <c r="H9"/>
  <c r="R9"/>
  <c r="G9"/>
  <c r="Q9"/>
  <c r="F9"/>
  <c r="P9"/>
  <c r="E9"/>
  <c r="O9"/>
  <c r="D9"/>
  <c r="N9"/>
  <c r="M9"/>
  <c r="J8"/>
  <c r="I8"/>
  <c r="S8"/>
  <c r="H8"/>
  <c r="R8"/>
  <c r="G8"/>
  <c r="Q8"/>
  <c r="F8"/>
  <c r="P8"/>
  <c r="E8"/>
  <c r="O8"/>
  <c r="D8"/>
  <c r="N8"/>
  <c r="M8"/>
  <c r="J7"/>
  <c r="I7"/>
  <c r="S7"/>
  <c r="H7"/>
  <c r="R7"/>
  <c r="G7"/>
  <c r="Q7"/>
  <c r="F7"/>
  <c r="P7"/>
  <c r="E7"/>
  <c r="O7"/>
  <c r="D7"/>
  <c r="N7"/>
  <c r="M7"/>
  <c r="J6"/>
  <c r="I6"/>
  <c r="S6"/>
  <c r="H6"/>
  <c r="R6"/>
  <c r="G6"/>
  <c r="Q6"/>
  <c r="F6"/>
  <c r="P6"/>
  <c r="E6"/>
  <c r="O6"/>
  <c r="D6"/>
  <c r="N6"/>
  <c r="M6"/>
  <c r="J5"/>
  <c r="I5"/>
  <c r="S5"/>
  <c r="H5"/>
  <c r="R5"/>
  <c r="G5"/>
  <c r="Q5"/>
  <c r="F5"/>
  <c r="P5"/>
  <c r="E5"/>
  <c r="O5"/>
  <c r="D5"/>
  <c r="N5"/>
  <c r="M5"/>
  <c r="J4"/>
  <c r="I4"/>
  <c r="S4"/>
  <c r="H4"/>
  <c r="R4"/>
  <c r="G4"/>
  <c r="Q4"/>
  <c r="F4"/>
  <c r="P4"/>
  <c r="E4"/>
  <c r="O4"/>
  <c r="D4"/>
  <c r="N4"/>
  <c r="M4"/>
  <c r="J3"/>
  <c r="I3"/>
  <c r="S3"/>
  <c r="H3"/>
  <c r="R3"/>
  <c r="G3"/>
  <c r="Q3"/>
  <c r="F3"/>
  <c r="P3"/>
  <c r="E3"/>
  <c r="O3"/>
  <c r="D3"/>
  <c r="N3"/>
  <c r="M3"/>
  <c r="F10" i="9"/>
  <c r="G10"/>
  <c r="G82" i="11"/>
  <c r="F82"/>
  <c r="F9" i="9"/>
  <c r="G9"/>
  <c r="G81" i="11"/>
  <c r="F81"/>
  <c r="F8" i="9"/>
  <c r="G8"/>
  <c r="G80" i="11"/>
  <c r="F80"/>
  <c r="F7" i="9"/>
  <c r="G7"/>
  <c r="G79" i="11"/>
  <c r="F79"/>
  <c r="F6" i="9"/>
  <c r="G6"/>
  <c r="G78" i="11"/>
  <c r="F78"/>
  <c r="F5" i="9"/>
  <c r="G5"/>
  <c r="G77" i="11"/>
  <c r="F77"/>
  <c r="F4" i="9"/>
  <c r="G4"/>
  <c r="G76" i="11"/>
  <c r="F76"/>
  <c r="F3" i="9"/>
  <c r="G3"/>
  <c r="G75" i="11"/>
  <c r="F75"/>
  <c r="E82"/>
  <c r="D82"/>
  <c r="C82"/>
  <c r="E81"/>
  <c r="D81"/>
  <c r="C81"/>
  <c r="E80"/>
  <c r="D80"/>
  <c r="C80"/>
  <c r="E79"/>
  <c r="D79"/>
  <c r="C79"/>
  <c r="E78"/>
  <c r="D78"/>
  <c r="C78"/>
  <c r="E77"/>
  <c r="D77"/>
  <c r="C77"/>
  <c r="E76"/>
  <c r="D76"/>
  <c r="C76"/>
  <c r="E75"/>
  <c r="D75"/>
  <c r="C75"/>
  <c r="E64"/>
  <c r="F64"/>
  <c r="E65"/>
  <c r="F65"/>
  <c r="E66"/>
  <c r="F66"/>
  <c r="E67"/>
  <c r="F67"/>
  <c r="E68"/>
  <c r="F68"/>
  <c r="E69"/>
  <c r="F69"/>
  <c r="E70"/>
  <c r="F70"/>
  <c r="I17" i="13"/>
  <c r="I16"/>
  <c r="I15"/>
  <c r="I14"/>
  <c r="I13"/>
  <c r="I12"/>
  <c r="I11"/>
  <c r="I10"/>
  <c r="H11"/>
  <c r="H12"/>
  <c r="H13"/>
  <c r="H14"/>
  <c r="H15"/>
  <c r="H16"/>
  <c r="H17"/>
  <c r="F17"/>
  <c r="F10"/>
  <c r="E11"/>
  <c r="F11"/>
  <c r="E12"/>
  <c r="F12"/>
  <c r="E13"/>
  <c r="F13"/>
  <c r="E14"/>
  <c r="F14"/>
  <c r="E15"/>
  <c r="F15"/>
  <c r="E16"/>
  <c r="F16"/>
  <c r="E17"/>
  <c r="J27" i="11"/>
  <c r="J53"/>
  <c r="I27"/>
  <c r="I53"/>
  <c r="H27"/>
  <c r="H53"/>
  <c r="G27"/>
  <c r="G53"/>
  <c r="F27"/>
  <c r="F53"/>
  <c r="E27"/>
  <c r="E53"/>
  <c r="D27"/>
  <c r="D53"/>
  <c r="J26"/>
  <c r="J52"/>
  <c r="I26"/>
  <c r="I52"/>
  <c r="H26"/>
  <c r="H52"/>
  <c r="G26"/>
  <c r="G52"/>
  <c r="F26"/>
  <c r="F52"/>
  <c r="E26"/>
  <c r="E52"/>
  <c r="D26"/>
  <c r="D52"/>
  <c r="J25"/>
  <c r="J51"/>
  <c r="I25"/>
  <c r="I51"/>
  <c r="H25"/>
  <c r="H51"/>
  <c r="G25"/>
  <c r="G51"/>
  <c r="F25"/>
  <c r="F51"/>
  <c r="E25"/>
  <c r="E51"/>
  <c r="D25"/>
  <c r="D51"/>
  <c r="J24"/>
  <c r="J50"/>
  <c r="I24"/>
  <c r="I50"/>
  <c r="H24"/>
  <c r="H50"/>
  <c r="G24"/>
  <c r="G50"/>
  <c r="F24"/>
  <c r="F50"/>
  <c r="E24"/>
  <c r="E50"/>
  <c r="J23"/>
  <c r="J49"/>
  <c r="I23"/>
  <c r="I49"/>
  <c r="H23"/>
  <c r="H49"/>
  <c r="G23"/>
  <c r="G49"/>
  <c r="F23"/>
  <c r="F49"/>
  <c r="E23"/>
  <c r="E49"/>
  <c r="D23"/>
  <c r="D49"/>
  <c r="J22"/>
  <c r="J48"/>
  <c r="I22"/>
  <c r="I48"/>
  <c r="H22"/>
  <c r="H48"/>
  <c r="G22"/>
  <c r="G48"/>
  <c r="F22"/>
  <c r="F48"/>
  <c r="E22"/>
  <c r="E48"/>
  <c r="D22"/>
  <c r="D48"/>
  <c r="J21"/>
  <c r="J47"/>
  <c r="I21"/>
  <c r="I47"/>
  <c r="H21"/>
  <c r="H47"/>
  <c r="G21"/>
  <c r="G47"/>
  <c r="F21"/>
  <c r="F47"/>
  <c r="E21"/>
  <c r="E47"/>
  <c r="D21"/>
  <c r="D47"/>
  <c r="J20"/>
  <c r="J46"/>
  <c r="I20"/>
  <c r="I46"/>
  <c r="H20"/>
  <c r="H46"/>
  <c r="G20"/>
  <c r="G46"/>
  <c r="F20"/>
  <c r="F46"/>
  <c r="E20"/>
  <c r="E46"/>
  <c r="D20"/>
  <c r="D46"/>
  <c r="C19" i="13"/>
  <c r="B19"/>
  <c r="A4" i="9"/>
  <c r="A11" i="13"/>
  <c r="A5" i="9"/>
  <c r="A12" i="13"/>
  <c r="A6" i="9"/>
  <c r="A13" i="13"/>
  <c r="A7" i="9"/>
  <c r="A14" i="13"/>
  <c r="A8" i="9"/>
  <c r="A15" i="13"/>
  <c r="A9" i="9"/>
  <c r="A16" i="13"/>
  <c r="A10" i="9"/>
  <c r="A17" i="13"/>
  <c r="A3" i="9"/>
  <c r="A10" i="13"/>
  <c r="H70" i="11"/>
  <c r="I70"/>
  <c r="H69"/>
  <c r="I69"/>
  <c r="H68"/>
  <c r="I68"/>
  <c r="H67"/>
  <c r="I67"/>
  <c r="H66"/>
  <c r="I66"/>
  <c r="H65"/>
  <c r="I65"/>
  <c r="H64"/>
  <c r="I64"/>
  <c r="H63"/>
  <c r="I63"/>
  <c r="I31" i="7"/>
  <c r="I30"/>
  <c r="I29"/>
  <c r="I28"/>
  <c r="I27"/>
  <c r="I26"/>
  <c r="I25"/>
  <c r="I24"/>
  <c r="E12" i="11"/>
  <c r="F12"/>
  <c r="G12"/>
  <c r="K196"/>
  <c r="I196"/>
  <c r="L196"/>
  <c r="J198"/>
  <c r="K198"/>
  <c r="J199"/>
  <c r="J200"/>
  <c r="K200"/>
  <c r="J201"/>
  <c r="J202"/>
  <c r="J203"/>
  <c r="J197"/>
  <c r="K197"/>
  <c r="I200"/>
  <c r="I197"/>
  <c r="I198"/>
  <c r="I199"/>
  <c r="I201"/>
  <c r="I202"/>
  <c r="I203"/>
  <c r="A6" i="6"/>
  <c r="A5" i="8"/>
  <c r="A7" i="6"/>
  <c r="A6" i="8"/>
  <c r="A8" i="6"/>
  <c r="A7" i="8"/>
  <c r="A9" i="6"/>
  <c r="A8" i="8"/>
  <c r="A10" i="6"/>
  <c r="A9" i="8"/>
  <c r="A11" i="6"/>
  <c r="A10" i="8"/>
  <c r="A5" i="6"/>
  <c r="A4" i="8"/>
  <c r="C14" i="11"/>
  <c r="J12"/>
  <c r="H12"/>
  <c r="I12"/>
  <c r="D12"/>
  <c r="C12"/>
  <c r="A21" i="5"/>
  <c r="A22"/>
  <c r="A23"/>
  <c r="A24"/>
  <c r="A25"/>
  <c r="A26"/>
  <c r="G5"/>
  <c r="H5"/>
  <c r="B11" i="9"/>
  <c r="B27"/>
  <c r="D27" i="5"/>
  <c r="K11" i="1"/>
  <c r="K22"/>
  <c r="K44"/>
  <c r="J11"/>
  <c r="J22"/>
  <c r="J44"/>
  <c r="I11"/>
  <c r="I22"/>
  <c r="I44"/>
  <c r="H11"/>
  <c r="H22"/>
  <c r="H44"/>
  <c r="G11"/>
  <c r="G22"/>
  <c r="G44"/>
  <c r="F11"/>
  <c r="F22"/>
  <c r="F44"/>
  <c r="E11"/>
  <c r="E33"/>
  <c r="D11"/>
  <c r="D22"/>
  <c r="D44"/>
  <c r="C11"/>
  <c r="C22"/>
  <c r="C44"/>
  <c r="K10"/>
  <c r="K21"/>
  <c r="K43"/>
  <c r="J10"/>
  <c r="J21"/>
  <c r="J43"/>
  <c r="I10"/>
  <c r="I32"/>
  <c r="H10"/>
  <c r="H21"/>
  <c r="H43"/>
  <c r="G10"/>
  <c r="G21"/>
  <c r="G43"/>
  <c r="F10"/>
  <c r="F21"/>
  <c r="F43"/>
  <c r="E10"/>
  <c r="E32"/>
  <c r="D10"/>
  <c r="D21"/>
  <c r="D43"/>
  <c r="C10"/>
  <c r="C21"/>
  <c r="C43"/>
  <c r="K9"/>
  <c r="K20"/>
  <c r="K42"/>
  <c r="J9"/>
  <c r="J20"/>
  <c r="J42"/>
  <c r="I9"/>
  <c r="I20"/>
  <c r="I42"/>
  <c r="H9"/>
  <c r="H20"/>
  <c r="H42"/>
  <c r="G9"/>
  <c r="G20"/>
  <c r="G42"/>
  <c r="F9"/>
  <c r="F20"/>
  <c r="F42"/>
  <c r="E9"/>
  <c r="E20"/>
  <c r="E42"/>
  <c r="D9"/>
  <c r="D20"/>
  <c r="D42"/>
  <c r="C9"/>
  <c r="C20"/>
  <c r="C42"/>
  <c r="K8"/>
  <c r="K30"/>
  <c r="J8"/>
  <c r="J19"/>
  <c r="J41"/>
  <c r="I8"/>
  <c r="I19"/>
  <c r="I41"/>
  <c r="H8"/>
  <c r="H19"/>
  <c r="H41"/>
  <c r="G8"/>
  <c r="G19"/>
  <c r="G41"/>
  <c r="F8"/>
  <c r="F19"/>
  <c r="F41"/>
  <c r="E8"/>
  <c r="E19"/>
  <c r="E41"/>
  <c r="D8"/>
  <c r="D19"/>
  <c r="D41"/>
  <c r="C8"/>
  <c r="C19"/>
  <c r="C41"/>
  <c r="K7"/>
  <c r="K18"/>
  <c r="K40"/>
  <c r="J7"/>
  <c r="J18"/>
  <c r="J40"/>
  <c r="I7"/>
  <c r="I29"/>
  <c r="H7"/>
  <c r="H18"/>
  <c r="H40"/>
  <c r="G7"/>
  <c r="G18"/>
  <c r="G40"/>
  <c r="F7"/>
  <c r="F18"/>
  <c r="F40"/>
  <c r="E7"/>
  <c r="E18"/>
  <c r="E40"/>
  <c r="D7"/>
  <c r="D18"/>
  <c r="D40"/>
  <c r="C7"/>
  <c r="C18"/>
  <c r="C40"/>
  <c r="K6"/>
  <c r="K17"/>
  <c r="K39"/>
  <c r="J6"/>
  <c r="J28"/>
  <c r="I6"/>
  <c r="I17"/>
  <c r="I39"/>
  <c r="H6"/>
  <c r="H17"/>
  <c r="H39"/>
  <c r="G6"/>
  <c r="G17"/>
  <c r="G39"/>
  <c r="F6"/>
  <c r="F17"/>
  <c r="F39"/>
  <c r="E6"/>
  <c r="E17"/>
  <c r="E39"/>
  <c r="D6"/>
  <c r="D17"/>
  <c r="D39"/>
  <c r="C6"/>
  <c r="C17"/>
  <c r="C39"/>
  <c r="K5"/>
  <c r="K27"/>
  <c r="J5"/>
  <c r="J16"/>
  <c r="J38"/>
  <c r="I5"/>
  <c r="I16"/>
  <c r="I38"/>
  <c r="H5"/>
  <c r="H16"/>
  <c r="H38"/>
  <c r="G5"/>
  <c r="G16"/>
  <c r="G38"/>
  <c r="F5"/>
  <c r="F27"/>
  <c r="E5"/>
  <c r="E16"/>
  <c r="E38"/>
  <c r="D5"/>
  <c r="D16"/>
  <c r="D38"/>
  <c r="C5"/>
  <c r="C16"/>
  <c r="C38"/>
  <c r="K4"/>
  <c r="K26"/>
  <c r="J4"/>
  <c r="J15"/>
  <c r="J37"/>
  <c r="I4"/>
  <c r="I15"/>
  <c r="I37"/>
  <c r="H4"/>
  <c r="H15"/>
  <c r="H37"/>
  <c r="G4"/>
  <c r="G15"/>
  <c r="G37"/>
  <c r="F4"/>
  <c r="F15"/>
  <c r="F37"/>
  <c r="E4"/>
  <c r="E15"/>
  <c r="E37"/>
  <c r="D4"/>
  <c r="D15"/>
  <c r="D37"/>
  <c r="C4"/>
  <c r="C15"/>
  <c r="C37"/>
  <c r="I33"/>
  <c r="G33"/>
  <c r="C33"/>
  <c r="K31"/>
  <c r="G31"/>
  <c r="D30"/>
  <c r="K29"/>
  <c r="I28"/>
  <c r="D26"/>
  <c r="C26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75"/>
  <c r="J75"/>
  <c r="I75"/>
  <c r="H75"/>
  <c r="G75"/>
  <c r="F75"/>
  <c r="E75"/>
  <c r="D75"/>
  <c r="C75"/>
  <c r="K74"/>
  <c r="J74"/>
  <c r="I74"/>
  <c r="H74"/>
  <c r="G74"/>
  <c r="F74"/>
  <c r="E74"/>
  <c r="D74"/>
  <c r="C74"/>
  <c r="K73"/>
  <c r="J73"/>
  <c r="I73"/>
  <c r="H73"/>
  <c r="G73"/>
  <c r="F73"/>
  <c r="E73"/>
  <c r="D73"/>
  <c r="C73"/>
  <c r="K72"/>
  <c r="J72"/>
  <c r="I72"/>
  <c r="H72"/>
  <c r="G72"/>
  <c r="F72"/>
  <c r="E72"/>
  <c r="D72"/>
  <c r="C72"/>
  <c r="K71"/>
  <c r="J71"/>
  <c r="I71"/>
  <c r="H71"/>
  <c r="G71"/>
  <c r="F71"/>
  <c r="E71"/>
  <c r="D71"/>
  <c r="C71"/>
  <c r="K70"/>
  <c r="J70"/>
  <c r="I70"/>
  <c r="H70"/>
  <c r="G70"/>
  <c r="F70"/>
  <c r="E70"/>
  <c r="D70"/>
  <c r="C70"/>
  <c r="H27" i="5"/>
  <c r="C112"/>
  <c r="B77" i="1"/>
  <c r="B76"/>
  <c r="B75"/>
  <c r="B74"/>
  <c r="B73"/>
  <c r="B72"/>
  <c r="B71"/>
  <c r="B70"/>
  <c r="B66"/>
  <c r="B65"/>
  <c r="B64"/>
  <c r="B63"/>
  <c r="B62"/>
  <c r="B61"/>
  <c r="B60"/>
  <c r="B59"/>
  <c r="C111" i="5"/>
  <c r="C106"/>
  <c r="C107"/>
  <c r="C108"/>
  <c r="C109"/>
  <c r="C110"/>
  <c r="A80" i="6"/>
  <c r="A73" i="8"/>
  <c r="Q73"/>
  <c r="A69" i="6"/>
  <c r="A63" i="8"/>
  <c r="Q63"/>
  <c r="A58" i="6"/>
  <c r="U88"/>
  <c r="T88"/>
  <c r="S88"/>
  <c r="A22"/>
  <c r="A44"/>
  <c r="A55"/>
  <c r="U87"/>
  <c r="T87"/>
  <c r="S87"/>
  <c r="A21"/>
  <c r="A43"/>
  <c r="U86"/>
  <c r="T86"/>
  <c r="S86"/>
  <c r="A20"/>
  <c r="A42"/>
  <c r="A53"/>
  <c r="U85"/>
  <c r="T85"/>
  <c r="S85"/>
  <c r="A19"/>
  <c r="A41"/>
  <c r="U84"/>
  <c r="T84"/>
  <c r="S84"/>
  <c r="A18"/>
  <c r="A40"/>
  <c r="A51"/>
  <c r="U83"/>
  <c r="T83"/>
  <c r="S83"/>
  <c r="A17"/>
  <c r="A39"/>
  <c r="U82"/>
  <c r="T82"/>
  <c r="S82"/>
  <c r="A16"/>
  <c r="A38"/>
  <c r="A49"/>
  <c r="U81"/>
  <c r="T81"/>
  <c r="S81"/>
  <c r="A4"/>
  <c r="A15"/>
  <c r="R80"/>
  <c r="U77"/>
  <c r="T77"/>
  <c r="S77"/>
  <c r="U76"/>
  <c r="T76"/>
  <c r="S76"/>
  <c r="U75"/>
  <c r="T75"/>
  <c r="S75"/>
  <c r="U74"/>
  <c r="T74"/>
  <c r="S74"/>
  <c r="U73"/>
  <c r="T73"/>
  <c r="S73"/>
  <c r="U72"/>
  <c r="T72"/>
  <c r="S72"/>
  <c r="U71"/>
  <c r="T71"/>
  <c r="S71"/>
  <c r="U70"/>
  <c r="T70"/>
  <c r="S70"/>
  <c r="R69"/>
  <c r="V80" i="8"/>
  <c r="T80"/>
  <c r="S80"/>
  <c r="R80"/>
  <c r="V79"/>
  <c r="T79"/>
  <c r="S79"/>
  <c r="R79"/>
  <c r="V78"/>
  <c r="T78"/>
  <c r="S78"/>
  <c r="R78"/>
  <c r="V77"/>
  <c r="T77"/>
  <c r="S77"/>
  <c r="R77"/>
  <c r="V76"/>
  <c r="T76"/>
  <c r="S76"/>
  <c r="R76"/>
  <c r="V75"/>
  <c r="T75"/>
  <c r="S75"/>
  <c r="R75"/>
  <c r="V74"/>
  <c r="T74"/>
  <c r="S74"/>
  <c r="R74"/>
  <c r="T70"/>
  <c r="S70"/>
  <c r="R70"/>
  <c r="T69"/>
  <c r="S69"/>
  <c r="R69"/>
  <c r="T68"/>
  <c r="S68"/>
  <c r="R68"/>
  <c r="T67"/>
  <c r="S67"/>
  <c r="R67"/>
  <c r="T66"/>
  <c r="S66"/>
  <c r="R66"/>
  <c r="T65"/>
  <c r="S65"/>
  <c r="R65"/>
  <c r="T64"/>
  <c r="S64"/>
  <c r="R64"/>
  <c r="A69" i="1"/>
  <c r="A58"/>
  <c r="A47"/>
  <c r="A36"/>
  <c r="A25"/>
  <c r="A14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G5" i="4"/>
  <c r="G6"/>
  <c r="G7"/>
  <c r="G8"/>
  <c r="G9"/>
  <c r="G10"/>
  <c r="G11"/>
  <c r="G4"/>
  <c r="H12"/>
  <c r="H5"/>
  <c r="H6"/>
  <c r="H7"/>
  <c r="H8"/>
  <c r="H9"/>
  <c r="H10"/>
  <c r="H11"/>
  <c r="H4"/>
  <c r="B5" i="7"/>
  <c r="B6"/>
  <c r="B7"/>
  <c r="B8"/>
  <c r="B9"/>
  <c r="B10"/>
  <c r="B11"/>
  <c r="B4"/>
  <c r="W4" i="9"/>
  <c r="W5"/>
  <c r="W6"/>
  <c r="W7"/>
  <c r="W8"/>
  <c r="W9"/>
  <c r="W10"/>
  <c r="B109" i="8"/>
  <c r="B108"/>
  <c r="B107"/>
  <c r="B106"/>
  <c r="B105"/>
  <c r="B104"/>
  <c r="B103"/>
  <c r="V60"/>
  <c r="T60"/>
  <c r="S60"/>
  <c r="R60"/>
  <c r="V59"/>
  <c r="T59"/>
  <c r="S59"/>
  <c r="R59"/>
  <c r="V58"/>
  <c r="T58"/>
  <c r="S58"/>
  <c r="R58"/>
  <c r="V57"/>
  <c r="T57"/>
  <c r="S57"/>
  <c r="R57"/>
  <c r="V56"/>
  <c r="T56"/>
  <c r="S56"/>
  <c r="R56"/>
  <c r="V55"/>
  <c r="T55"/>
  <c r="S55"/>
  <c r="R55"/>
  <c r="V54"/>
  <c r="T54"/>
  <c r="S54"/>
  <c r="R54"/>
  <c r="T50"/>
  <c r="S50"/>
  <c r="R50"/>
  <c r="T49"/>
  <c r="S49"/>
  <c r="R49"/>
  <c r="T48"/>
  <c r="S48"/>
  <c r="R48"/>
  <c r="T47"/>
  <c r="S47"/>
  <c r="R47"/>
  <c r="T46"/>
  <c r="S46"/>
  <c r="R46"/>
  <c r="T45"/>
  <c r="S45"/>
  <c r="R45"/>
  <c r="T44"/>
  <c r="S44"/>
  <c r="R44"/>
  <c r="T40"/>
  <c r="S40"/>
  <c r="R40"/>
  <c r="T39"/>
  <c r="S39"/>
  <c r="R39"/>
  <c r="T38"/>
  <c r="S38"/>
  <c r="R38"/>
  <c r="T37"/>
  <c r="S37"/>
  <c r="R37"/>
  <c r="T36"/>
  <c r="S36"/>
  <c r="R36"/>
  <c r="T35"/>
  <c r="S35"/>
  <c r="R35"/>
  <c r="T34"/>
  <c r="S34"/>
  <c r="R34"/>
  <c r="T30"/>
  <c r="S30"/>
  <c r="R30"/>
  <c r="T29"/>
  <c r="S29"/>
  <c r="R29"/>
  <c r="T28"/>
  <c r="S28"/>
  <c r="R28"/>
  <c r="T27"/>
  <c r="S27"/>
  <c r="R27"/>
  <c r="T26"/>
  <c r="S26"/>
  <c r="R26"/>
  <c r="T25"/>
  <c r="S25"/>
  <c r="R25"/>
  <c r="T24"/>
  <c r="S24"/>
  <c r="R24"/>
  <c r="T20"/>
  <c r="S20"/>
  <c r="R20"/>
  <c r="T19"/>
  <c r="S19"/>
  <c r="R19"/>
  <c r="T18"/>
  <c r="S18"/>
  <c r="R18"/>
  <c r="T17"/>
  <c r="S17"/>
  <c r="R17"/>
  <c r="T16"/>
  <c r="S16"/>
  <c r="R16"/>
  <c r="T15"/>
  <c r="S15"/>
  <c r="R15"/>
  <c r="T14"/>
  <c r="S14"/>
  <c r="R14"/>
  <c r="T10"/>
  <c r="S10"/>
  <c r="R10"/>
  <c r="T9"/>
  <c r="S9"/>
  <c r="R9"/>
  <c r="T8"/>
  <c r="S8"/>
  <c r="R8"/>
  <c r="T7"/>
  <c r="S7"/>
  <c r="R7"/>
  <c r="T6"/>
  <c r="S6"/>
  <c r="R6"/>
  <c r="T5"/>
  <c r="S5"/>
  <c r="R5"/>
  <c r="T4"/>
  <c r="S4"/>
  <c r="R4"/>
  <c r="A53"/>
  <c r="Q53"/>
  <c r="A36" i="6"/>
  <c r="A33" i="8"/>
  <c r="Q33"/>
  <c r="A14" i="6"/>
  <c r="A13" i="8"/>
  <c r="Q13"/>
  <c r="A20" i="5"/>
  <c r="A3" i="8"/>
  <c r="Q3"/>
  <c r="R58" i="6"/>
  <c r="R36"/>
  <c r="R3"/>
  <c r="B26" i="1"/>
  <c r="B37"/>
  <c r="B27"/>
  <c r="B39"/>
  <c r="B51"/>
  <c r="B8"/>
  <c r="B31"/>
  <c r="B43"/>
  <c r="B55"/>
  <c r="B4"/>
  <c r="B30"/>
  <c r="B41"/>
  <c r="B54"/>
  <c r="B50"/>
  <c r="B33"/>
  <c r="B29"/>
  <c r="B16"/>
  <c r="B42"/>
  <c r="B5"/>
  <c r="B17"/>
  <c r="B53"/>
  <c r="B10"/>
  <c r="B6"/>
  <c r="B22"/>
  <c r="B18"/>
  <c r="B44"/>
  <c r="B32"/>
  <c r="B52"/>
  <c r="B40"/>
  <c r="B28"/>
  <c r="B48"/>
  <c r="B11"/>
  <c r="B7"/>
  <c r="B20"/>
  <c r="B38"/>
  <c r="B9"/>
  <c r="B21"/>
  <c r="B49"/>
  <c r="B15"/>
  <c r="B19"/>
  <c r="A104" i="7"/>
  <c r="B115"/>
  <c r="A105"/>
  <c r="A106"/>
  <c r="A107"/>
  <c r="B116"/>
  <c r="B114"/>
  <c r="A108"/>
  <c r="A109"/>
  <c r="A110"/>
  <c r="A111"/>
  <c r="U66" i="6"/>
  <c r="T66"/>
  <c r="S66"/>
  <c r="U65"/>
  <c r="T65"/>
  <c r="S65"/>
  <c r="U64"/>
  <c r="T64"/>
  <c r="S64"/>
  <c r="U63"/>
  <c r="T63"/>
  <c r="S63"/>
  <c r="U62"/>
  <c r="T62"/>
  <c r="S62"/>
  <c r="U61"/>
  <c r="T61"/>
  <c r="S61"/>
  <c r="U60"/>
  <c r="T60"/>
  <c r="S60"/>
  <c r="U59"/>
  <c r="T59"/>
  <c r="S59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4"/>
  <c r="T44"/>
  <c r="S44"/>
  <c r="U43"/>
  <c r="T43"/>
  <c r="S43"/>
  <c r="U42"/>
  <c r="T42"/>
  <c r="S42"/>
  <c r="U41"/>
  <c r="T41"/>
  <c r="S41"/>
  <c r="U40"/>
  <c r="T40"/>
  <c r="S40"/>
  <c r="U39"/>
  <c r="T39"/>
  <c r="S39"/>
  <c r="U38"/>
  <c r="T38"/>
  <c r="S38"/>
  <c r="U37"/>
  <c r="T37"/>
  <c r="S37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7"/>
  <c r="T27"/>
  <c r="S27"/>
  <c r="U26"/>
  <c r="T26"/>
  <c r="S26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5"/>
  <c r="T15"/>
  <c r="S15"/>
  <c r="U11"/>
  <c r="T11"/>
  <c r="S11"/>
  <c r="R11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29"/>
  <c r="R29"/>
  <c r="R18"/>
  <c r="A33"/>
  <c r="R33"/>
  <c r="R22"/>
  <c r="R20"/>
  <c r="A31"/>
  <c r="R31"/>
  <c r="R16"/>
  <c r="A27"/>
  <c r="R27"/>
  <c r="A28"/>
  <c r="R28"/>
  <c r="A32"/>
  <c r="R32"/>
  <c r="R17"/>
  <c r="R21"/>
  <c r="R44"/>
  <c r="R42"/>
  <c r="R19"/>
  <c r="A30"/>
  <c r="R30"/>
  <c r="R40"/>
  <c r="R38"/>
  <c r="B108" i="4"/>
  <c r="B109"/>
  <c r="B110"/>
  <c r="B111"/>
  <c r="B112"/>
  <c r="B113"/>
  <c r="B114"/>
  <c r="B107"/>
  <c r="C105" i="5"/>
  <c r="A124"/>
  <c r="A118"/>
  <c r="A119"/>
  <c r="A120"/>
  <c r="A121"/>
  <c r="A122"/>
  <c r="A123"/>
  <c r="A117"/>
  <c r="B126"/>
  <c r="A27"/>
  <c r="A25" i="6"/>
  <c r="R25"/>
  <c r="A47"/>
  <c r="R47"/>
  <c r="A23" i="8"/>
  <c r="Q23"/>
  <c r="A5" i="4"/>
  <c r="A108"/>
  <c r="A6"/>
  <c r="A109"/>
  <c r="A7"/>
  <c r="A110"/>
  <c r="A8"/>
  <c r="A111"/>
  <c r="A9"/>
  <c r="A112"/>
  <c r="A10"/>
  <c r="A113"/>
  <c r="A11"/>
  <c r="A22"/>
  <c r="A114"/>
  <c r="A4"/>
  <c r="A107"/>
  <c r="A20"/>
  <c r="A21"/>
  <c r="A17"/>
  <c r="A18"/>
  <c r="A16"/>
  <c r="A15"/>
  <c r="A54" i="6"/>
  <c r="R43"/>
  <c r="R55"/>
  <c r="A66"/>
  <c r="A49" i="8"/>
  <c r="Q9"/>
  <c r="A29"/>
  <c r="Q29"/>
  <c r="A39"/>
  <c r="Q39"/>
  <c r="A19"/>
  <c r="Q19"/>
  <c r="A45"/>
  <c r="Q5"/>
  <c r="A25"/>
  <c r="Q25"/>
  <c r="A35"/>
  <c r="Q35"/>
  <c r="A15"/>
  <c r="Q15"/>
  <c r="A52" i="6"/>
  <c r="R41"/>
  <c r="R53"/>
  <c r="A64"/>
  <c r="A50" i="8"/>
  <c r="Q50"/>
  <c r="Q10"/>
  <c r="A30"/>
  <c r="Q30"/>
  <c r="A40"/>
  <c r="Q40"/>
  <c r="A60"/>
  <c r="A20"/>
  <c r="Q20"/>
  <c r="A46"/>
  <c r="A26"/>
  <c r="Q26"/>
  <c r="Q6"/>
  <c r="A16"/>
  <c r="Q16"/>
  <c r="A36"/>
  <c r="Q36"/>
  <c r="R39" i="6"/>
  <c r="A50"/>
  <c r="R51"/>
  <c r="A62"/>
  <c r="A44" i="8"/>
  <c r="A24"/>
  <c r="Q24"/>
  <c r="A14"/>
  <c r="Q14"/>
  <c r="A34"/>
  <c r="Q34"/>
  <c r="Q4"/>
  <c r="A47"/>
  <c r="Q7"/>
  <c r="A27"/>
  <c r="Q27"/>
  <c r="A37"/>
  <c r="Q37"/>
  <c r="A17"/>
  <c r="Q17"/>
  <c r="R15" i="6"/>
  <c r="A37"/>
  <c r="A26"/>
  <c r="R26"/>
  <c r="A60"/>
  <c r="R49"/>
  <c r="D26" i="5"/>
  <c r="D22"/>
  <c r="D23"/>
  <c r="D24"/>
  <c r="D20"/>
  <c r="D25"/>
  <c r="D21"/>
  <c r="A48" i="8"/>
  <c r="A28"/>
  <c r="Q28"/>
  <c r="A38"/>
  <c r="Q38"/>
  <c r="Q8"/>
  <c r="A18"/>
  <c r="Q18"/>
  <c r="A43"/>
  <c r="Q43"/>
  <c r="A19" i="4"/>
  <c r="R14" i="6"/>
  <c r="G27" i="1"/>
  <c r="G26"/>
  <c r="E27"/>
  <c r="J26"/>
  <c r="D28"/>
  <c r="C31"/>
  <c r="E21"/>
  <c r="E43"/>
  <c r="I27"/>
  <c r="F28"/>
  <c r="G29"/>
  <c r="E31"/>
  <c r="H26"/>
  <c r="C29"/>
  <c r="J30"/>
  <c r="H32"/>
  <c r="C27"/>
  <c r="J27"/>
  <c r="H29"/>
  <c r="H30"/>
  <c r="F31"/>
  <c r="D33"/>
  <c r="I21"/>
  <c r="I43"/>
  <c r="E28"/>
  <c r="D29"/>
  <c r="C30"/>
  <c r="J31"/>
  <c r="H33"/>
  <c r="K201" i="11"/>
  <c r="L201"/>
  <c r="F32" i="1"/>
  <c r="K15"/>
  <c r="K37"/>
  <c r="K16"/>
  <c r="K38"/>
  <c r="J17"/>
  <c r="J39"/>
  <c r="I18"/>
  <c r="I40"/>
  <c r="E22"/>
  <c r="E44"/>
  <c r="F26"/>
  <c r="E29"/>
  <c r="G30"/>
  <c r="I31"/>
  <c r="J32"/>
  <c r="F16"/>
  <c r="F38"/>
  <c r="K19"/>
  <c r="K41"/>
  <c r="L197" i="11"/>
  <c r="H28" i="1"/>
  <c r="F30"/>
  <c r="D32"/>
  <c r="K33"/>
  <c r="K202" i="11"/>
  <c r="L202"/>
  <c r="L203"/>
  <c r="K203"/>
  <c r="L199"/>
  <c r="K199"/>
  <c r="N4" i="1" a="1"/>
  <c r="E26"/>
  <c r="I26"/>
  <c r="D27"/>
  <c r="H27"/>
  <c r="C28"/>
  <c r="G28"/>
  <c r="K28"/>
  <c r="F29"/>
  <c r="J29"/>
  <c r="E30"/>
  <c r="I30"/>
  <c r="D31"/>
  <c r="H31"/>
  <c r="C32"/>
  <c r="G32"/>
  <c r="K32"/>
  <c r="F33"/>
  <c r="J33"/>
  <c r="L200" i="11"/>
  <c r="L198"/>
  <c r="A48" i="6"/>
  <c r="R37"/>
  <c r="R62"/>
  <c r="A73"/>
  <c r="Q46" i="8"/>
  <c r="A56"/>
  <c r="Q49"/>
  <c r="A59"/>
  <c r="R54" i="6"/>
  <c r="A65"/>
  <c r="A54" i="8"/>
  <c r="Q44"/>
  <c r="A75" i="6"/>
  <c r="R64"/>
  <c r="A55" i="8"/>
  <c r="Q45"/>
  <c r="R60" i="6"/>
  <c r="A71"/>
  <c r="Q47" i="8"/>
  <c r="A57"/>
  <c r="A61" i="6"/>
  <c r="R50"/>
  <c r="A70" i="8"/>
  <c r="Q60"/>
  <c r="A63" i="6"/>
  <c r="R52"/>
  <c r="Q48" i="8"/>
  <c r="A58"/>
  <c r="R66" i="6"/>
  <c r="A77"/>
  <c r="N4" i="1"/>
  <c r="R4"/>
  <c r="N5"/>
  <c r="R5"/>
  <c r="N6"/>
  <c r="R6"/>
  <c r="N7"/>
  <c r="R7"/>
  <c r="N8"/>
  <c r="R8"/>
  <c r="N9"/>
  <c r="R9"/>
  <c r="N10"/>
  <c r="R10"/>
  <c r="N11"/>
  <c r="R11"/>
  <c r="Q4"/>
  <c r="U4"/>
  <c r="Q5"/>
  <c r="U5"/>
  <c r="Q6"/>
  <c r="U6"/>
  <c r="Q7"/>
  <c r="U7"/>
  <c r="Q8"/>
  <c r="U8"/>
  <c r="Q9"/>
  <c r="U9"/>
  <c r="Q10"/>
  <c r="U10"/>
  <c r="Q11"/>
  <c r="U11"/>
  <c r="P4"/>
  <c r="T4"/>
  <c r="P5"/>
  <c r="T5"/>
  <c r="P6"/>
  <c r="T6"/>
  <c r="P7"/>
  <c r="T7"/>
  <c r="P8"/>
  <c r="T8"/>
  <c r="P9"/>
  <c r="T9"/>
  <c r="P10"/>
  <c r="T10"/>
  <c r="P11"/>
  <c r="T11"/>
  <c r="O4"/>
  <c r="S4"/>
  <c r="O5"/>
  <c r="S5"/>
  <c r="O6"/>
  <c r="S6"/>
  <c r="O7"/>
  <c r="S7"/>
  <c r="O8"/>
  <c r="S8"/>
  <c r="O9"/>
  <c r="S9"/>
  <c r="O10"/>
  <c r="S10"/>
  <c r="O11"/>
  <c r="S11"/>
  <c r="R75" i="6"/>
  <c r="A86"/>
  <c r="R86"/>
  <c r="A59"/>
  <c r="R48"/>
  <c r="A68" i="8"/>
  <c r="Q58"/>
  <c r="A74" i="6"/>
  <c r="R63"/>
  <c r="A72"/>
  <c r="R61"/>
  <c r="A76"/>
  <c r="R65"/>
  <c r="Q56" i="8"/>
  <c r="A66"/>
  <c r="A67"/>
  <c r="Q57"/>
  <c r="R77" i="6"/>
  <c r="A88"/>
  <c r="R88"/>
  <c r="R71"/>
  <c r="A82"/>
  <c r="R82"/>
  <c r="Q55" i="8"/>
  <c r="A65"/>
  <c r="Q54"/>
  <c r="A64"/>
  <c r="A80"/>
  <c r="Q80"/>
  <c r="Q70"/>
  <c r="Q59"/>
  <c r="A69"/>
  <c r="R73" i="6"/>
  <c r="A84"/>
  <c r="R84"/>
  <c r="B15" i="9" a="1"/>
  <c r="B15"/>
  <c r="R72" i="6"/>
  <c r="A83"/>
  <c r="R83"/>
  <c r="A78" i="8"/>
  <c r="Q78"/>
  <c r="Q68"/>
  <c r="A76"/>
  <c r="Q76"/>
  <c r="Q66"/>
  <c r="A77"/>
  <c r="Q77"/>
  <c r="Q67"/>
  <c r="R76" i="6"/>
  <c r="A87"/>
  <c r="R87"/>
  <c r="R74"/>
  <c r="A85"/>
  <c r="R85"/>
  <c r="R59"/>
  <c r="A70"/>
  <c r="A75" i="8"/>
  <c r="Q75"/>
  <c r="Q65"/>
  <c r="A79"/>
  <c r="Q79"/>
  <c r="Q69"/>
  <c r="A74"/>
  <c r="Q74"/>
  <c r="Q64"/>
  <c r="R70" i="6"/>
  <c r="A81"/>
  <c r="R81"/>
  <c r="I35" i="7"/>
  <c r="J14" i="11"/>
  <c r="J14" i="14"/>
  <c r="D35" i="7"/>
  <c r="E14" i="11"/>
  <c r="E35" i="7"/>
  <c r="F14" i="11"/>
  <c r="F35" i="7"/>
  <c r="G14" i="11"/>
  <c r="G35" i="7"/>
  <c r="H14" i="11"/>
  <c r="C35" i="7"/>
  <c r="D14" i="11"/>
  <c r="H35" i="7"/>
  <c r="I14" i="11"/>
  <c r="D14" i="14"/>
  <c r="E14"/>
  <c r="F14"/>
  <c r="G14"/>
  <c r="H14"/>
  <c r="I14"/>
</calcChain>
</file>

<file path=xl/comments1.xml><?xml version="1.0" encoding="utf-8"?>
<comments xmlns="http://schemas.openxmlformats.org/spreadsheetml/2006/main">
  <authors>
    <author>SGP</author>
  </authors>
  <commentList>
    <comment ref="B39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<sst xmlns="http://schemas.openxmlformats.org/spreadsheetml/2006/main" count="554" uniqueCount="153">
  <si>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</si>
  <si>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</si>
  <si>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</si>
  <si>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</si>
  <si>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</si>
  <si>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</si>
  <si>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</si>
  <si>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</si>
  <si>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</si>
  <si>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</si>
  <si>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</si>
  <si>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</si>
  <si>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</si>
  <si>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</si>
  <si>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</si>
  <si>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</si>
  <si>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</si>
  <si>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</si>
  <si>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</si>
  <si>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</si>
  <si>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</si>
  <si>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</si>
  <si>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</si>
  <si>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</si>
  <si>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</si>
  <si>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</si>
  <si>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</si>
  <si>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</si>
  <si>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</si>
  <si>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</si>
  <si>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</si>
  <si>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</si>
  <si>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</si>
  <si>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</si>
  <si>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</si>
  <si>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</si>
  <si>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</si>
  <si>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</si>
  <si>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</si>
  <si>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</si>
  <si>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</si>
  <si>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</si>
  <si>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</si>
  <si>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</si>
  <si>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</si>
  <si>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</si>
  <si>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</si>
  <si>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</si>
  <si>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</si>
  <si>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</si>
  <si>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</si>
  <si>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</si>
  <si>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</si>
  <si>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</si>
  <si>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</si>
  <si>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</si>
  <si>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</si>
  <si>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</si>
  <si>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</si>
  <si>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</si>
  <si>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</si>
  <si>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</si>
  <si>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</si>
  <si>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</si>
  <si>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</si>
  <si>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</si>
  <si>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</si>
  <si>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</si>
  <si>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</si>
  <si>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</si>
  <si>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</si>
  <si>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</si>
  <si>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</si>
  <si>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</si>
  <si>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</si>
  <si>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</si>
  <si>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</si>
  <si>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</si>
  <si>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</si>
  <si>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</si>
  <si>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</si>
  <si>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</si>
  <si>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</si>
  <si>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</si>
  <si>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</si>
  <si>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</si>
  <si>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</si>
  <si>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</si>
  <si>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</si>
  <si>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</si>
  <si>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</si>
  <si>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</si>
  <si>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</si>
  <si>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</si>
  <si>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</si>
  <si>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</si>
  <si>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</si>
  <si>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</si>
  <si>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</si>
  <si>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</si>
  <si>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</si>
  <si>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</si>
  <si>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</si>
  <si>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</si>
  <si>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</si>
  <si>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</si>
  <si>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</si>
  <si>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</si>
  <si>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</si>
  <si>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</si>
  <si>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</si>
  <si>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</si>
  <si>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</si>
  <si>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</si>
  <si>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</si>
  <si>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</si>
  <si>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</si>
  <si>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</si>
  <si>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</si>
  <si>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</si>
  <si>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</si>
  <si>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</si>
  <si>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</si>
  <si>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</si>
  <si>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</si>
  <si>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</si>
  <si>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</si>
  <si>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</si>
  <si>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</si>
  <si>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</si>
  <si>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</si>
  <si>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</si>
  <si>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Relatief</t>
  </si>
  <si>
    <t>Absoluut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</si>
  <si>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</si>
  <si>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</si>
  <si>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</si>
  <si>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</si>
  <si>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</si>
  <si>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</si>
  <si>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</si>
  <si>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</si>
  <si>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</si>
  <si>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t>Iran War</t>
  </si>
  <si>
    <t>Base - down</t>
  </si>
  <si>
    <t>Base - up</t>
  </si>
  <si>
    <t>delta</t>
  </si>
  <si>
    <t>evenwicht</t>
  </si>
  <si>
    <t>vorige allocatie</t>
  </si>
  <si>
    <t>Huidige</t>
  </si>
  <si>
    <t>Nieuw</t>
  </si>
  <si>
    <t>∆</t>
  </si>
  <si>
    <t>IR</t>
  </si>
</sst>
</file>

<file path=xl/styles.xml><?xml version="1.0" encoding="utf-8"?>
<styleSheet xmlns="http://schemas.openxmlformats.org/spreadsheetml/2006/main">
  <numFmts count="46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  <numFmt numFmtId="207" formatCode="\€#,##0_);\(\€#,##0\)"/>
    <numFmt numFmtId="208" formatCode="_ * #,##0.000000_ ;_ * \-#,##0.000000_ ;_ * &quot;-&quot;??_ ;_ @_ "/>
  </numFmts>
  <fonts count="9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9"/>
      <name val="Helvetica-Narrow"/>
    </font>
    <font>
      <sz val="9"/>
      <name val="Arial"/>
      <family val="2"/>
    </font>
    <font>
      <sz val="10"/>
      <name val="Arial Narrow"/>
      <family val="2"/>
    </font>
    <font>
      <sz val="11"/>
      <color rgb="FF000000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</fills>
  <borders count="6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7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77" fillId="0" borderId="0" applyNumberFormat="0" applyFill="0" applyBorder="0" applyAlignment="0" applyProtection="0"/>
    <xf numFmtId="0" fontId="78" fillId="0" borderId="54" applyNumberFormat="0" applyFill="0" applyAlignment="0" applyProtection="0"/>
    <xf numFmtId="0" fontId="79" fillId="0" borderId="55" applyNumberFormat="0" applyFill="0" applyAlignment="0" applyProtection="0"/>
    <xf numFmtId="0" fontId="80" fillId="0" borderId="56" applyNumberFormat="0" applyFill="0" applyAlignment="0" applyProtection="0"/>
    <xf numFmtId="0" fontId="80" fillId="0" borderId="0" applyNumberFormat="0" applyFill="0" applyBorder="0" applyAlignment="0" applyProtection="0"/>
    <xf numFmtId="0" fontId="81" fillId="34" borderId="0" applyNumberFormat="0" applyBorder="0" applyAlignment="0" applyProtection="0"/>
    <xf numFmtId="0" fontId="82" fillId="35" borderId="0" applyNumberFormat="0" applyBorder="0" applyAlignment="0" applyProtection="0"/>
    <xf numFmtId="0" fontId="83" fillId="36" borderId="0" applyNumberFormat="0" applyBorder="0" applyAlignment="0" applyProtection="0"/>
    <xf numFmtId="0" fontId="84" fillId="37" borderId="57" applyNumberFormat="0" applyAlignment="0" applyProtection="0"/>
    <xf numFmtId="0" fontId="85" fillId="37" borderId="1" applyNumberFormat="0" applyAlignment="0" applyProtection="0"/>
    <xf numFmtId="0" fontId="86" fillId="0" borderId="58" applyNumberFormat="0" applyFill="0" applyAlignment="0" applyProtection="0"/>
    <xf numFmtId="0" fontId="87" fillId="38" borderId="59" applyNumberFormat="0" applyAlignment="0" applyProtection="0"/>
    <xf numFmtId="0" fontId="88" fillId="0" borderId="0" applyNumberFormat="0" applyFill="0" applyBorder="0" applyAlignment="0" applyProtection="0"/>
    <xf numFmtId="0" fontId="1" fillId="39" borderId="60" applyNumberFormat="0" applyFont="0" applyAlignment="0" applyProtection="0"/>
    <xf numFmtId="0" fontId="89" fillId="0" borderId="0" applyNumberFormat="0" applyFill="0" applyBorder="0" applyAlignment="0" applyProtection="0"/>
    <xf numFmtId="0" fontId="12" fillId="0" borderId="61" applyNumberFormat="0" applyFill="0" applyAlignment="0" applyProtection="0"/>
    <xf numFmtId="0" fontId="15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4" borderId="0" applyNumberFormat="0" applyBorder="0" applyAlignment="0" applyProtection="0"/>
    <xf numFmtId="0" fontId="1" fillId="45" borderId="0" applyNumberFormat="0" applyBorder="0" applyAlignment="0" applyProtection="0"/>
    <xf numFmtId="0" fontId="1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48" borderId="0" applyNumberFormat="0" applyBorder="0" applyAlignment="0" applyProtection="0"/>
    <xf numFmtId="0" fontId="1" fillId="49" borderId="0" applyNumberFormat="0" applyBorder="0" applyAlignment="0" applyProtection="0"/>
    <xf numFmtId="0" fontId="1" fillId="50" borderId="0" applyNumberFormat="0" applyBorder="0" applyAlignment="0" applyProtection="0"/>
    <xf numFmtId="0" fontId="15" fillId="51" borderId="0" applyNumberFormat="0" applyBorder="0" applyAlignment="0" applyProtection="0"/>
    <xf numFmtId="0" fontId="15" fillId="52" borderId="0" applyNumberFormat="0" applyBorder="0" applyAlignment="0" applyProtection="0"/>
    <xf numFmtId="0" fontId="1" fillId="53" borderId="0" applyNumberFormat="0" applyBorder="0" applyAlignment="0" applyProtection="0"/>
    <xf numFmtId="0" fontId="1" fillId="54" borderId="0" applyNumberFormat="0" applyBorder="0" applyAlignment="0" applyProtection="0"/>
    <xf numFmtId="0" fontId="15" fillId="55" borderId="0" applyNumberFormat="0" applyBorder="0" applyAlignment="0" applyProtection="0"/>
    <xf numFmtId="0" fontId="15" fillId="56" borderId="0" applyNumberFormat="0" applyBorder="0" applyAlignment="0" applyProtection="0"/>
    <xf numFmtId="0" fontId="1" fillId="57" borderId="0" applyNumberFormat="0" applyBorder="0" applyAlignment="0" applyProtection="0"/>
    <xf numFmtId="0" fontId="1" fillId="58" borderId="0" applyNumberFormat="0" applyBorder="0" applyAlignment="0" applyProtection="0"/>
    <xf numFmtId="0" fontId="15" fillId="59" borderId="0" applyNumberFormat="0" applyBorder="0" applyAlignment="0" applyProtection="0"/>
    <xf numFmtId="0" fontId="15" fillId="60" borderId="0" applyNumberFormat="0" applyBorder="0" applyAlignment="0" applyProtection="0"/>
    <xf numFmtId="0" fontId="1" fillId="61" borderId="0" applyNumberFormat="0" applyBorder="0" applyAlignment="0" applyProtection="0"/>
    <xf numFmtId="0" fontId="1" fillId="62" borderId="0" applyNumberFormat="0" applyBorder="0" applyAlignment="0" applyProtection="0"/>
    <xf numFmtId="0" fontId="15" fillId="63" borderId="0" applyNumberFormat="0" applyBorder="0" applyAlignment="0" applyProtection="0"/>
    <xf numFmtId="0" fontId="35" fillId="10" borderId="0" applyNumberFormat="0" applyBorder="0" applyAlignment="0" applyProtection="0"/>
    <xf numFmtId="0" fontId="35" fillId="10" borderId="0" applyNumberFormat="0" applyBorder="0" applyAlignment="0" applyProtection="0"/>
    <xf numFmtId="0" fontId="35" fillId="16" borderId="0" applyNumberFormat="0" applyBorder="0" applyAlignment="0" applyProtection="0"/>
    <xf numFmtId="0" fontId="35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17" borderId="0" applyNumberFormat="0" applyBorder="0" applyAlignment="0" applyProtection="0"/>
    <xf numFmtId="0" fontId="3" fillId="0" borderId="0"/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" fillId="0" borderId="0">
      <alignment horizontal="left" wrapText="1"/>
    </xf>
    <xf numFmtId="0" fontId="35" fillId="9" borderId="0" applyNumberFormat="0" applyBorder="0" applyAlignment="0" applyProtection="0"/>
    <xf numFmtId="0" fontId="36" fillId="19" borderId="0" applyNumberFormat="0" applyBorder="0" applyAlignment="0" applyProtection="0"/>
    <xf numFmtId="0" fontId="35" fillId="8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horizontal="left" wrapText="1"/>
    </xf>
    <xf numFmtId="0" fontId="36" fillId="15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5" fillId="13" borderId="0" applyNumberFormat="0" applyBorder="0" applyAlignment="0" applyProtection="0"/>
    <xf numFmtId="0" fontId="35" fillId="13" borderId="0" applyNumberFormat="0" applyBorder="0" applyAlignment="0" applyProtection="0"/>
    <xf numFmtId="0" fontId="36" fillId="20" borderId="0" applyNumberFormat="0" applyBorder="0" applyAlignment="0" applyProtection="0"/>
    <xf numFmtId="0" fontId="35" fillId="15" borderId="0" applyNumberFormat="0" applyBorder="0" applyAlignment="0" applyProtection="0"/>
    <xf numFmtId="0" fontId="36" fillId="14" borderId="0" applyNumberFormat="0" applyBorder="0" applyAlignment="0" applyProtection="0"/>
    <xf numFmtId="0" fontId="90" fillId="0" borderId="0">
      <alignment horizontal="center"/>
    </xf>
    <xf numFmtId="0" fontId="71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Protection="0">
      <alignment horizontal="right"/>
    </xf>
    <xf numFmtId="0" fontId="37" fillId="25" borderId="37" applyNumberFormat="0" applyAlignment="0" applyProtection="0"/>
    <xf numFmtId="0" fontId="45" fillId="0" borderId="44" applyNumberFormat="0" applyFill="0" applyAlignment="0" applyProtection="0"/>
    <xf numFmtId="0" fontId="3" fillId="30" borderId="48" applyNumberFormat="0" applyFont="0" applyAlignment="0" applyProtection="0"/>
    <xf numFmtId="0" fontId="48" fillId="12" borderId="37" applyNumberFormat="0" applyAlignment="0" applyProtection="0"/>
    <xf numFmtId="207" fontId="91" fillId="0" borderId="0"/>
    <xf numFmtId="0" fontId="48" fillId="12" borderId="37" applyNumberFormat="0" applyAlignment="0" applyProtection="0"/>
    <xf numFmtId="0" fontId="58" fillId="8" borderId="0" applyNumberFormat="0" applyBorder="0" applyAlignment="0" applyProtection="0"/>
    <xf numFmtId="0" fontId="54" fillId="6" borderId="0" applyNumberFormat="0" applyBorder="0" applyAlignment="0" applyProtection="0"/>
    <xf numFmtId="0" fontId="35" fillId="0" borderId="0"/>
    <xf numFmtId="0" fontId="3" fillId="0" borderId="0"/>
    <xf numFmtId="0" fontId="3" fillId="0" borderId="0"/>
    <xf numFmtId="0" fontId="35" fillId="30" borderId="48" applyNumberFormat="0" applyFont="0" applyAlignment="0" applyProtection="0"/>
    <xf numFmtId="37" fontId="92" fillId="64" borderId="0" applyAlignment="0"/>
    <xf numFmtId="9" fontId="3" fillId="0" borderId="0" applyFont="0" applyFill="0" applyBorder="0" applyAlignment="0" applyProtection="0"/>
    <xf numFmtId="2" fontId="3" fillId="0" borderId="0" applyFont="0" applyFill="0" applyBorder="0" applyProtection="0">
      <alignment horizontal="right"/>
    </xf>
    <xf numFmtId="0" fontId="47" fillId="9" borderId="0" applyNumberFormat="0" applyBorder="0" applyAlignment="0" applyProtection="0"/>
    <xf numFmtId="0" fontId="69" fillId="25" borderId="49" applyNumberFormat="0" applyAlignment="0" applyProtection="0"/>
    <xf numFmtId="0" fontId="3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43" fillId="27" borderId="41" applyNumberFormat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3" fillId="0" borderId="0" applyFont="0" applyFill="0" applyBorder="0" applyAlignment="0" applyProtection="0"/>
  </cellStyleXfs>
  <cellXfs count="411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164" fontId="7" fillId="4" borderId="10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13" xfId="1" applyNumberFormat="1" applyFont="1" applyFill="1" applyBorder="1" applyAlignment="1">
      <alignment horizontal="center"/>
    </xf>
    <xf numFmtId="2" fontId="7" fillId="0" borderId="27" xfId="1" applyNumberFormat="1" applyFont="1" applyFill="1" applyBorder="1" applyAlignment="1">
      <alignment horizontal="center"/>
    </xf>
    <xf numFmtId="2" fontId="7" fillId="0" borderId="17" xfId="1" applyNumberFormat="1" applyFont="1" applyFill="1" applyBorder="1" applyAlignment="1">
      <alignment horizontal="center"/>
    </xf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164" fontId="7" fillId="0" borderId="10" xfId="1" applyNumberFormat="1" applyFont="1" applyFill="1" applyBorder="1" applyAlignment="1">
      <alignment horizontal="center"/>
    </xf>
    <xf numFmtId="2" fontId="7" fillId="0" borderId="11" xfId="1" applyNumberFormat="1" applyFont="1" applyFill="1" applyBorder="1" applyAlignment="1">
      <alignment horizontal="center"/>
    </xf>
    <xf numFmtId="2" fontId="7" fillId="0" borderId="12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2" fontId="7" fillId="0" borderId="8" xfId="0" applyNumberFormat="1" applyFont="1" applyFill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2" fontId="7" fillId="0" borderId="11" xfId="0" applyNumberFormat="1" applyFont="1" applyFill="1" applyBorder="1" applyAlignment="1">
      <alignment horizontal="center"/>
    </xf>
    <xf numFmtId="2" fontId="7" fillId="0" borderId="12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0" fontId="0" fillId="3" borderId="0" xfId="0" applyFont="1" applyFill="1" applyBorder="1" applyAlignment="1"/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5" fillId="3" borderId="0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9" fontId="24" fillId="5" borderId="34" xfId="0" applyNumberFormat="1" applyFont="1" applyFill="1" applyBorder="1" applyAlignment="1">
      <alignment horizontal="left"/>
    </xf>
    <xf numFmtId="0" fontId="7" fillId="3" borderId="23" xfId="0" applyFont="1" applyFill="1" applyBorder="1"/>
    <xf numFmtId="0" fontId="7" fillId="3" borderId="26" xfId="0" applyFont="1" applyFill="1" applyBorder="1"/>
    <xf numFmtId="164" fontId="0" fillId="4" borderId="7" xfId="0" applyNumberFormat="1" applyFont="1" applyFill="1" applyBorder="1" applyAlignment="1">
      <alignment horizontal="center"/>
    </xf>
    <xf numFmtId="164" fontId="7" fillId="3" borderId="13" xfId="1" applyNumberFormat="1" applyFont="1" applyFill="1" applyBorder="1" applyAlignment="1">
      <alignment horizontal="center"/>
    </xf>
    <xf numFmtId="164" fontId="7" fillId="3" borderId="53" xfId="1" applyNumberFormat="1" applyFont="1" applyFill="1" applyBorder="1" applyAlignment="1">
      <alignment horizontal="center"/>
    </xf>
    <xf numFmtId="0" fontId="75" fillId="3" borderId="0" xfId="0" applyFont="1" applyFill="1" applyBorder="1"/>
    <xf numFmtId="10" fontId="76" fillId="3" borderId="0" xfId="1" applyNumberFormat="1" applyFont="1" applyFill="1" applyBorder="1" applyAlignment="1">
      <alignment horizontal="center"/>
    </xf>
    <xf numFmtId="0" fontId="0" fillId="3" borderId="22" xfId="0" applyFill="1" applyBorder="1"/>
    <xf numFmtId="0" fontId="0" fillId="3" borderId="25" xfId="0" applyFill="1" applyBorder="1"/>
    <xf numFmtId="10" fontId="0" fillId="3" borderId="22" xfId="1" applyNumberFormat="1" applyFont="1" applyFill="1" applyBorder="1"/>
    <xf numFmtId="10" fontId="0" fillId="3" borderId="25" xfId="1" applyNumberFormat="1" applyFont="1" applyFill="1" applyBorder="1"/>
    <xf numFmtId="10" fontId="0" fillId="3" borderId="0" xfId="0" applyNumberFormat="1" applyFill="1"/>
    <xf numFmtId="10" fontId="0" fillId="3" borderId="36" xfId="0" applyNumberFormat="1" applyFill="1" applyBorder="1"/>
    <xf numFmtId="10" fontId="0" fillId="3" borderId="31" xfId="0" applyNumberFormat="1" applyFill="1" applyBorder="1"/>
    <xf numFmtId="10" fontId="0" fillId="3" borderId="33" xfId="0" applyNumberFormat="1" applyFill="1" applyBorder="1"/>
    <xf numFmtId="0" fontId="0" fillId="3" borderId="24" xfId="0" applyFill="1" applyBorder="1"/>
    <xf numFmtId="10" fontId="0" fillId="3" borderId="22" xfId="0" applyNumberFormat="1" applyFill="1" applyBorder="1"/>
    <xf numFmtId="10" fontId="0" fillId="3" borderId="25" xfId="0" applyNumberFormat="1" applyFill="1" applyBorder="1"/>
    <xf numFmtId="0" fontId="24" fillId="5" borderId="24" xfId="0" applyFont="1" applyFill="1" applyBorder="1" applyAlignment="1">
      <alignment horizontal="center"/>
    </xf>
    <xf numFmtId="164" fontId="7" fillId="3" borderId="0" xfId="0" applyNumberFormat="1" applyFont="1" applyFill="1"/>
    <xf numFmtId="43" fontId="7" fillId="3" borderId="22" xfId="3" applyFont="1" applyFill="1" applyBorder="1" applyAlignment="1">
      <alignment horizontal="center"/>
    </xf>
    <xf numFmtId="43" fontId="7" fillId="3" borderId="0" xfId="3" applyFont="1" applyFill="1" applyBorder="1" applyAlignment="1">
      <alignment horizontal="center"/>
    </xf>
    <xf numFmtId="43" fontId="7" fillId="3" borderId="25" xfId="3" applyFont="1" applyFill="1" applyBorder="1" applyAlignment="1">
      <alignment horizontal="center"/>
    </xf>
    <xf numFmtId="43" fontId="7" fillId="3" borderId="32" xfId="3" applyFont="1" applyFill="1" applyBorder="1" applyAlignment="1">
      <alignment horizontal="center"/>
    </xf>
    <xf numFmtId="43" fontId="7" fillId="3" borderId="31" xfId="3" applyFont="1" applyFill="1" applyBorder="1" applyAlignment="1">
      <alignment horizontal="center"/>
    </xf>
    <xf numFmtId="43" fontId="7" fillId="3" borderId="33" xfId="3" applyFont="1" applyFill="1" applyBorder="1" applyAlignment="1">
      <alignment horizontal="center"/>
    </xf>
    <xf numFmtId="9" fontId="24" fillId="5" borderId="34" xfId="0" applyNumberFormat="1" applyFont="1" applyFill="1" applyBorder="1" applyAlignment="1">
      <alignment horizontal="center" vertical="top" wrapText="1"/>
    </xf>
    <xf numFmtId="0" fontId="25" fillId="5" borderId="24" xfId="0" applyFont="1" applyFill="1" applyBorder="1" applyAlignment="1">
      <alignment horizontal="center" vertical="top" wrapText="1"/>
    </xf>
    <xf numFmtId="0" fontId="25" fillId="5" borderId="35" xfId="0" applyFont="1" applyFill="1" applyBorder="1" applyAlignment="1">
      <alignment horizontal="center" vertical="top" wrapText="1"/>
    </xf>
    <xf numFmtId="0" fontId="25" fillId="5" borderId="36" xfId="0" applyFont="1" applyFill="1" applyBorder="1" applyAlignment="1">
      <alignment horizontal="center" vertical="top" wrapText="1"/>
    </xf>
    <xf numFmtId="208" fontId="0" fillId="3" borderId="0" xfId="3" applyNumberFormat="1" applyFont="1" applyFill="1" applyBorder="1" applyAlignment="1">
      <alignment horizontal="center"/>
    </xf>
    <xf numFmtId="10" fontId="0" fillId="4" borderId="7" xfId="0" applyNumberFormat="1" applyFont="1" applyFill="1" applyBorder="1" applyAlignment="1">
      <alignment horizontal="center"/>
    </xf>
    <xf numFmtId="10" fontId="0" fillId="4" borderId="10" xfId="0" applyNumberFormat="1" applyFont="1" applyFill="1" applyBorder="1" applyAlignment="1">
      <alignment horizontal="center"/>
    </xf>
    <xf numFmtId="10" fontId="7" fillId="4" borderId="0" xfId="1" applyNumberFormat="1" applyFont="1" applyFill="1" applyBorder="1" applyAlignment="1">
      <alignment horizontal="center"/>
    </xf>
    <xf numFmtId="10" fontId="7" fillId="4" borderId="8" xfId="1" applyNumberFormat="1" applyFont="1" applyFill="1" applyBorder="1" applyAlignment="1">
      <alignment horizontal="center"/>
    </xf>
    <xf numFmtId="10" fontId="7" fillId="4" borderId="11" xfId="1" applyNumberFormat="1" applyFont="1" applyFill="1" applyBorder="1" applyAlignment="1">
      <alignment horizontal="center"/>
    </xf>
    <xf numFmtId="10" fontId="7" fillId="4" borderId="12" xfId="1" applyNumberFormat="1" applyFont="1" applyFill="1" applyBorder="1" applyAlignment="1">
      <alignment horizontal="center"/>
    </xf>
    <xf numFmtId="10" fontId="7" fillId="3" borderId="7" xfId="1" applyNumberFormat="1" applyFont="1" applyFill="1" applyBorder="1" applyAlignment="1">
      <alignment horizontal="center"/>
    </xf>
    <xf numFmtId="10" fontId="7" fillId="3" borderId="10" xfId="1" applyNumberFormat="1" applyFont="1" applyFill="1" applyBorder="1" applyAlignment="1">
      <alignment horizontal="center"/>
    </xf>
    <xf numFmtId="43" fontId="0" fillId="3" borderId="0" xfId="3" applyFont="1" applyFill="1" applyBorder="1" applyAlignment="1">
      <alignment horizontal="center"/>
    </xf>
    <xf numFmtId="10" fontId="0" fillId="3" borderId="7" xfId="0" applyNumberFormat="1" applyFont="1" applyFill="1" applyBorder="1" applyAlignment="1">
      <alignment horizontal="center"/>
    </xf>
    <xf numFmtId="10" fontId="0" fillId="3" borderId="10" xfId="0" applyNumberFormat="1" applyFont="1" applyFill="1" applyBorder="1" applyAlignment="1">
      <alignment horizontal="center"/>
    </xf>
    <xf numFmtId="10" fontId="7" fillId="3" borderId="0" xfId="1" applyNumberFormat="1" applyFont="1" applyFill="1" applyBorder="1" applyAlignment="1">
      <alignment horizontal="center"/>
    </xf>
    <xf numFmtId="10" fontId="7" fillId="3" borderId="32" xfId="1" applyNumberFormat="1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</cellXfs>
  <cellStyles count="7700">
    <cellStyle name="_x000a_bidires=100_x000d_" xfId="7646"/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default forecast" xfId="7653"/>
    <cellStyle name="_defaulted issuers" xfId="7659"/>
    <cellStyle name="_defaults" xfId="7660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Liquidity" xfId="7647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paired spreads" xfId="7649"/>
    <cellStyle name="_S&amp;P Trailing-12-Month Default Rate" xfId="7658"/>
    <cellStyle name="_spread &amp; return forecast" xfId="7654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 % - Accent1" xfId="7648"/>
    <cellStyle name="20 % - Accent2" xfId="7652"/>
    <cellStyle name="20 % - Accent3" xfId="7650"/>
    <cellStyle name="20 % - Accent4" xfId="7640"/>
    <cellStyle name="20 % - Accent5" xfId="7656"/>
    <cellStyle name="20 % - Accent6" xfId="7657"/>
    <cellStyle name="20% - Accent1" xfId="7617" builtinId="30" customBuiltin="1"/>
    <cellStyle name="20% - Accent1 2" xfId="5534"/>
    <cellStyle name="20% - Accent1 3" xfId="1166"/>
    <cellStyle name="20% - Accent2" xfId="7621" builtinId="34" customBuiltin="1"/>
    <cellStyle name="20% - Accent2 2" xfId="5535"/>
    <cellStyle name="20% - Accent2 3" xfId="1167"/>
    <cellStyle name="20% - Accent3" xfId="7625" builtinId="38" customBuiltin="1"/>
    <cellStyle name="20% - Accent3 2" xfId="5536"/>
    <cellStyle name="20% - Accent3 3" xfId="1168"/>
    <cellStyle name="20% - Accent4" xfId="7629" builtinId="42" customBuiltin="1"/>
    <cellStyle name="20% - Accent4 2" xfId="5537"/>
    <cellStyle name="20% - Accent4 3" xfId="1169"/>
    <cellStyle name="20% - Accent5" xfId="7633" builtinId="46" customBuiltin="1"/>
    <cellStyle name="20% - Accent5 2" xfId="5538"/>
    <cellStyle name="20% - Accent5 3" xfId="1170"/>
    <cellStyle name="20% - Accent6" xfId="7637" builtinId="50" customBuiltin="1"/>
    <cellStyle name="20% - Accent6 2" xfId="5539"/>
    <cellStyle name="20% - Accent6 3" xfId="1171"/>
    <cellStyle name="40 % - Accent1" xfId="7661"/>
    <cellStyle name="40 % - Accent2" xfId="7643"/>
    <cellStyle name="40 % - Accent3" xfId="7664"/>
    <cellStyle name="40 % - Accent4" xfId="7641"/>
    <cellStyle name="40 % - Accent5" xfId="7662"/>
    <cellStyle name="40 % - Accent6" xfId="7642"/>
    <cellStyle name="40% - Accent1" xfId="7618" builtinId="31" customBuiltin="1"/>
    <cellStyle name="40% - Accent1 2" xfId="5540"/>
    <cellStyle name="40% - Accent1 3" xfId="1172"/>
    <cellStyle name="40% - Accent2" xfId="7622" builtinId="35" customBuiltin="1"/>
    <cellStyle name="40% - Accent2 2" xfId="5541"/>
    <cellStyle name="40% - Accent2 3" xfId="1173"/>
    <cellStyle name="40% - Accent3" xfId="7626" builtinId="39" customBuiltin="1"/>
    <cellStyle name="40% - Accent3 2" xfId="5542"/>
    <cellStyle name="40% - Accent3 3" xfId="1174"/>
    <cellStyle name="40% - Accent4" xfId="7630" builtinId="43" customBuiltin="1"/>
    <cellStyle name="40% - Accent4 2" xfId="5543"/>
    <cellStyle name="40% - Accent4 3" xfId="1175"/>
    <cellStyle name="40% - Accent5" xfId="7634" builtinId="47" customBuiltin="1"/>
    <cellStyle name="40% - Accent5 2" xfId="5544"/>
    <cellStyle name="40% - Accent5 3" xfId="1176"/>
    <cellStyle name="40% - Accent6" xfId="7638" builtinId="51" customBuiltin="1"/>
    <cellStyle name="40% - Accent6 2" xfId="5545"/>
    <cellStyle name="40% - Accent6 3" xfId="1177"/>
    <cellStyle name="60 % - Accent1" xfId="7645"/>
    <cellStyle name="60 % - Accent2" xfId="7665"/>
    <cellStyle name="60 % - Accent3" xfId="7655"/>
    <cellStyle name="60 % - Accent4" xfId="7644"/>
    <cellStyle name="60 % - Accent5" xfId="7651"/>
    <cellStyle name="60 % - Accent6" xfId="7663"/>
    <cellStyle name="60% - Accent1" xfId="7619" builtinId="32" customBuiltin="1"/>
    <cellStyle name="60% - Accent1 2" xfId="5546"/>
    <cellStyle name="60% - Accent1 3" xfId="1178"/>
    <cellStyle name="60% - Accent2" xfId="7623" builtinId="36" customBuiltin="1"/>
    <cellStyle name="60% - Accent2 2" xfId="5547"/>
    <cellStyle name="60% - Accent2 3" xfId="1179"/>
    <cellStyle name="60% - Accent3" xfId="7627" builtinId="40" customBuiltin="1"/>
    <cellStyle name="60% - Accent3 2" xfId="5548"/>
    <cellStyle name="60% - Accent3 3" xfId="1180"/>
    <cellStyle name="60% - Accent4" xfId="7631" builtinId="44" customBuiltin="1"/>
    <cellStyle name="60% - Accent4 2" xfId="5549"/>
    <cellStyle name="60% - Accent4 3" xfId="1181"/>
    <cellStyle name="60% - Accent5" xfId="7635" builtinId="48" customBuiltin="1"/>
    <cellStyle name="60% - Accent5 2" xfId="5550"/>
    <cellStyle name="60% - Accent5 3" xfId="1182"/>
    <cellStyle name="60% - Accent6" xfId="7639" builtinId="52" customBuiltin="1"/>
    <cellStyle name="60% - Accent6 2" xfId="5551"/>
    <cellStyle name="60% - Accent6 3" xfId="1183"/>
    <cellStyle name="ABC" xfId="7666"/>
    <cellStyle name="Accent1" xfId="7616" builtinId="29" customBuiltin="1"/>
    <cellStyle name="Accent1 2" xfId="5552"/>
    <cellStyle name="Accent1 3" xfId="1184"/>
    <cellStyle name="Accent2" xfId="7620" builtinId="33" customBuiltin="1"/>
    <cellStyle name="Accent2 2" xfId="5553"/>
    <cellStyle name="Accent2 3" xfId="1185"/>
    <cellStyle name="Accent3" xfId="7624" builtinId="37" customBuiltin="1"/>
    <cellStyle name="Accent3 2" xfId="5554"/>
    <cellStyle name="Accent3 3" xfId="1186"/>
    <cellStyle name="Accent4" xfId="7628" builtinId="41" customBuiltin="1"/>
    <cellStyle name="Accent4 2" xfId="5555"/>
    <cellStyle name="Accent4 3" xfId="1187"/>
    <cellStyle name="Accent5" xfId="7632" builtinId="45" customBuiltin="1"/>
    <cellStyle name="Accent5 2" xfId="5556"/>
    <cellStyle name="Accent5 3" xfId="1188"/>
    <cellStyle name="Accent6" xfId="7636" builtinId="49" customBuiltin="1"/>
    <cellStyle name="Accent6 2" xfId="5557"/>
    <cellStyle name="Accent6 3" xfId="1189"/>
    <cellStyle name="Andre's Title" xfId="1190"/>
    <cellStyle name="Andre's Title 2" xfId="3560"/>
    <cellStyle name="Andre's Title 3" xfId="2346"/>
    <cellStyle name="Avertissement" xfId="7667"/>
    <cellStyle name="Bad" xfId="7606" builtinId="27" customBuiltin="1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ld" xfId="7668"/>
    <cellStyle name="BoldRight" xfId="7669"/>
    <cellStyle name="BoxHeading" xfId="1196"/>
    <cellStyle name="BoxHeading 2" xfId="3566"/>
    <cellStyle name="BoxHeading 3" xfId="2348"/>
    <cellStyle name="Calcul" xfId="7670"/>
    <cellStyle name="Calculation" xfId="7609" builtinId="22" customBuiltin="1"/>
    <cellStyle name="Calculation 2" xfId="5559"/>
    <cellStyle name="Calculation 3" xfId="1197"/>
    <cellStyle name="Cast" xfId="1198"/>
    <cellStyle name="Cellule liée" xfId="7671"/>
    <cellStyle name="Check Cell" xfId="7611" builtinId="23" customBuiltin="1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22" xfId="7697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4 2" xfId="7699"/>
    <cellStyle name="Comma 4 3" xfId="7698"/>
    <cellStyle name="Comma 5" xfId="4"/>
    <cellStyle name="Comma 6" xfId="7574"/>
    <cellStyle name="Comma 7" xfId="7589"/>
    <cellStyle name="Comma 8" xfId="7590"/>
    <cellStyle name="Comma 9" xfId="7586"/>
    <cellStyle name="Commentaire" xfId="7672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ntrée" xfId="7673"/>
    <cellStyle name="Euro" xfId="1212"/>
    <cellStyle name="Euro 2" xfId="7535"/>
    <cellStyle name="Euro 3" xfId="7674"/>
    <cellStyle name="Explanatory Text" xfId="7614" builtinId="53" customBuiltin="1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" xfId="7605" builtinId="26" customBuiltin="1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" xfId="7601" builtinId="16" customBuiltin="1"/>
    <cellStyle name="Heading 1 2" xfId="5566"/>
    <cellStyle name="Heading 1 3" xfId="1225"/>
    <cellStyle name="Heading 2" xfId="7602" builtinId="17" customBuiltin="1"/>
    <cellStyle name="Heading 2 2" xfId="5567"/>
    <cellStyle name="Heading 2 3" xfId="1226"/>
    <cellStyle name="Heading 3" xfId="7603" builtinId="18" customBuiltin="1"/>
    <cellStyle name="Heading 3 2" xfId="5568"/>
    <cellStyle name="Heading 3 3" xfId="1227"/>
    <cellStyle name="Heading 4" xfId="7604" builtinId="19" customBuiltin="1"/>
    <cellStyle name="Heading 4 2" xfId="5569"/>
    <cellStyle name="Heading 4 3" xfId="1228"/>
    <cellStyle name="Input" xfId="2" builtinId="20" customBuiltin="1"/>
    <cellStyle name="Input 2" xfId="3592"/>
    <cellStyle name="Input 2 2" xfId="7675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satisfaisant" xfId="7676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" xfId="7610" builtinId="24" customBuiltin="1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" xfId="7607" builtinId="28" customBuiltin="1"/>
    <cellStyle name="Neutral 2" xfId="5573"/>
    <cellStyle name="Neutral 3" xfId="1252"/>
    <cellStyle name="Neutre" xfId="7677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2 2 2" xfId="7678"/>
    <cellStyle name="Normal 3" xfId="5575"/>
    <cellStyle name="Normal 3 2" xfId="7680"/>
    <cellStyle name="Normal 3 3" xfId="7679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" xfId="7613" builtinId="10" customBuiltin="1"/>
    <cellStyle name="Note 2" xfId="5578"/>
    <cellStyle name="Note 2 2" xfId="7681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" xfId="7608" builtinId="21" customBuiltin="1"/>
    <cellStyle name="Output 2" xfId="5584"/>
    <cellStyle name="Output 3" xfId="1264"/>
    <cellStyle name="OutputPlain" xfId="7682"/>
    <cellStyle name="Percent" xfId="1" builtinId="5"/>
    <cellStyle name="Percent 2" xfId="5585"/>
    <cellStyle name="Percent 2 10" xfId="7696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3 2 2" xfId="7683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ghtNumber" xfId="7684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atisfaisant" xfId="7685"/>
    <cellStyle name="Sortie" xfId="7686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1 4" xfId="7687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exte explicatif" xfId="7688"/>
    <cellStyle name="Titel" xfId="1305"/>
    <cellStyle name="Title" xfId="7600" builtinId="15" customBuiltin="1"/>
    <cellStyle name="Title - PROJECT" xfId="1307"/>
    <cellStyle name="Title - Underline" xfId="1308"/>
    <cellStyle name="Title 2" xfId="5638"/>
    <cellStyle name="Title 2 2" xfId="7689"/>
    <cellStyle name="Title 3" xfId="1306"/>
    <cellStyle name="Titles - Col. Headings" xfId="1309"/>
    <cellStyle name="Titles - Other" xfId="1310"/>
    <cellStyle name="Titre" xfId="7690"/>
    <cellStyle name="Titre 1" xfId="7691"/>
    <cellStyle name="Titre 2" xfId="7692"/>
    <cellStyle name="Titre 3" xfId="7693"/>
    <cellStyle name="Titre 4" xfId="7694"/>
    <cellStyle name="Totaal" xfId="1311"/>
    <cellStyle name="Total" xfId="7615" builtinId="25" customBuiltin="1"/>
    <cellStyle name="Total 2" xfId="5639"/>
    <cellStyle name="Total 3" xfId="1312"/>
    <cellStyle name="Uitvoer" xfId="1313"/>
    <cellStyle name="Valuta_Inputrapportages jaar" xfId="1314"/>
    <cellStyle name="Vérification" xfId="7695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" xfId="7612" builtinId="11" customBuiltin="1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[3]Evaluatie!$B$2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999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0.00%</c:formatCode>
                <c:ptCount val="8"/>
                <c:pt idx="0">
                  <c:v>0.55282478375024968</c:v>
                </c:pt>
                <c:pt idx="1">
                  <c:v>9.9075500713263709E-2</c:v>
                </c:pt>
                <c:pt idx="2">
                  <c:v>9.346901390128548E-2</c:v>
                </c:pt>
                <c:pt idx="3">
                  <c:v>0.11036511115690795</c:v>
                </c:pt>
                <c:pt idx="4">
                  <c:v>4.9724653199130588E-2</c:v>
                </c:pt>
                <c:pt idx="5">
                  <c:v>1.9027140584823948E-2</c:v>
                </c:pt>
                <c:pt idx="6">
                  <c:v>3.0988823352997075E-2</c:v>
                </c:pt>
                <c:pt idx="7">
                  <c:v>4.4524973341341555E-2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148"/>
          <c:w val="0.5562682138416909"/>
          <c:h val="0.6925821841330474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-7.5654321834008253E-3"/>
                  <c:y val="-6.8632946305440728E-2"/>
                </c:manualLayout>
              </c:layout>
              <c:showVal val="1"/>
            </c:dLbl>
            <c:dLbl>
              <c:idx val="4"/>
              <c:layout>
                <c:manualLayout>
                  <c:x val="-7.8066587971661926E-4"/>
                  <c:y val="-8.3464566929134246E-2"/>
                </c:manualLayout>
              </c:layout>
              <c:showVal val="1"/>
            </c:dLbl>
            <c:dLbl>
              <c:idx val="5"/>
              <c:layout>
                <c:manualLayout>
                  <c:x val="2.6391177018773599E-2"/>
                  <c:y val="0.11040230140723969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0.50191550106692151</c:v>
                </c:pt>
                <c:pt idx="1">
                  <c:v>3.5441427473810093E-2</c:v>
                </c:pt>
                <c:pt idx="2">
                  <c:v>0.34834613947489812</c:v>
                </c:pt>
                <c:pt idx="3">
                  <c:v>1.7742427289872478E-3</c:v>
                </c:pt>
                <c:pt idx="4">
                  <c:v>7.7712101707215292E-2</c:v>
                </c:pt>
                <c:pt idx="5">
                  <c:v>4.4679371515441444E-3</c:v>
                </c:pt>
                <c:pt idx="6">
                  <c:v>1.8928757373420063E-2</c:v>
                </c:pt>
                <c:pt idx="7">
                  <c:v>1.1413893023203357E-2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21" l="0.70000000000000062" r="0.70000000000000062" t="0.750000000000012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4098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0.47802755015757986</c:v>
                </c:pt>
                <c:pt idx="1">
                  <c:v>1.4124601042672547E-2</c:v>
                </c:pt>
                <c:pt idx="2">
                  <c:v>0.29023525091011454</c:v>
                </c:pt>
                <c:pt idx="3">
                  <c:v>2.4762226148134479E-4</c:v>
                </c:pt>
                <c:pt idx="4">
                  <c:v>4.1023522190379344E-2</c:v>
                </c:pt>
                <c:pt idx="5">
                  <c:v>1.0937254290032804E-3</c:v>
                </c:pt>
                <c:pt idx="6">
                  <c:v>7.9837615273268166E-3</c:v>
                </c:pt>
                <c:pt idx="7">
                  <c:v>3.5267526171440127E-3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2.3887950909341649E-2</c:v>
                </c:pt>
                <c:pt idx="1">
                  <c:v>2.1316826431137546E-2</c:v>
                </c:pt>
                <c:pt idx="2">
                  <c:v>5.811088856478358E-2</c:v>
                </c:pt>
                <c:pt idx="3">
                  <c:v>1.5266204675059031E-3</c:v>
                </c:pt>
                <c:pt idx="4">
                  <c:v>3.6688579516835948E-2</c:v>
                </c:pt>
                <c:pt idx="5">
                  <c:v>3.3742117225408642E-3</c:v>
                </c:pt>
                <c:pt idx="6">
                  <c:v>1.0944995846093247E-2</c:v>
                </c:pt>
                <c:pt idx="7">
                  <c:v>7.887140406059345E-3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2.2193298553934038E-2</c:v>
                </c:pt>
                <c:pt idx="1">
                  <c:v>1.605323503558026E-2</c:v>
                </c:pt>
                <c:pt idx="2">
                  <c:v>5.2615834212901558E-2</c:v>
                </c:pt>
                <c:pt idx="3">
                  <c:v>6.9689188118907813E-4</c:v>
                </c:pt>
                <c:pt idx="4">
                  <c:v>3.4462540055257118E-2</c:v>
                </c:pt>
                <c:pt idx="5">
                  <c:v>1.9403684317166195E-3</c:v>
                </c:pt>
                <c:pt idx="6">
                  <c:v>7.9565989865291384E-3</c:v>
                </c:pt>
                <c:pt idx="7">
                  <c:v>4.9792678256778966E-3</c:v>
                </c:pt>
              </c:numCache>
            </c:numRef>
          </c:val>
        </c:ser>
        <c:overlap val="100"/>
        <c:axId val="305928064"/>
        <c:axId val="305930240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0.00%</c:formatCode>
                <c:ptCount val="8"/>
                <c:pt idx="0">
                  <c:v>0.55282478375024968</c:v>
                </c:pt>
                <c:pt idx="1">
                  <c:v>9.9075500713263709E-2</c:v>
                </c:pt>
                <c:pt idx="2">
                  <c:v>9.346901390128548E-2</c:v>
                </c:pt>
                <c:pt idx="3">
                  <c:v>0.11036511115690795</c:v>
                </c:pt>
                <c:pt idx="4">
                  <c:v>4.9724653199130588E-2</c:v>
                </c:pt>
                <c:pt idx="5">
                  <c:v>1.9027140584823948E-2</c:v>
                </c:pt>
                <c:pt idx="6">
                  <c:v>3.0988823352997075E-2</c:v>
                </c:pt>
                <c:pt idx="7">
                  <c:v>4.4524973341341555E-2</c:v>
                </c:pt>
              </c:numCache>
            </c:numRef>
          </c:val>
        </c:ser>
        <c:marker val="1"/>
        <c:axId val="305928064"/>
        <c:axId val="305930240"/>
      </c:lineChart>
      <c:catAx>
        <c:axId val="305928064"/>
        <c:scaling>
          <c:orientation val="minMax"/>
        </c:scaling>
        <c:axPos val="b"/>
        <c:tickLblPos val="nextTo"/>
        <c:crossAx val="305930240"/>
        <c:crosses val="autoZero"/>
        <c:auto val="1"/>
        <c:lblAlgn val="ctr"/>
        <c:lblOffset val="100"/>
      </c:catAx>
      <c:valAx>
        <c:axId val="305930240"/>
        <c:scaling>
          <c:orientation val="minMax"/>
        </c:scaling>
        <c:axPos val="l"/>
        <c:majorGridlines/>
        <c:numFmt formatCode="0%" sourceLinked="0"/>
        <c:tickLblPos val="nextTo"/>
        <c:crossAx val="305928064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3.1392347703607063E-2</c:v>
                </c:pt>
                <c:pt idx="3">
                  <c:v>5.5586945104648379E-2</c:v>
                </c:pt>
                <c:pt idx="4">
                  <c:v>5.4126209330308192E-2</c:v>
                </c:pt>
                <c:pt idx="5">
                  <c:v>5.1749106701455286E-2</c:v>
                </c:pt>
                <c:pt idx="6">
                  <c:v>2.8567108921173753E-2</c:v>
                </c:pt>
                <c:pt idx="7">
                  <c:v>3.8735949538907542E-2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0.00%</c:formatCode>
                <c:ptCount val="8"/>
                <c:pt idx="0">
                  <c:v>-3.2445168309994665E-3</c:v>
                </c:pt>
                <c:pt idx="1">
                  <c:v>2.821524342416672E-2</c:v>
                </c:pt>
                <c:pt idx="2">
                  <c:v>4.9715877116872115E-2</c:v>
                </c:pt>
                <c:pt idx="3">
                  <c:v>-1.8932480826239766E-2</c:v>
                </c:pt>
                <c:pt idx="4">
                  <c:v>7.6891594824893134E-2</c:v>
                </c:pt>
                <c:pt idx="5">
                  <c:v>2.095392217212597E-2</c:v>
                </c:pt>
                <c:pt idx="6">
                  <c:v>1.380587420653143E-2</c:v>
                </c:pt>
                <c:pt idx="7">
                  <c:v>2.0067539862887711E-2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0.00%</c:formatCode>
                <c:ptCount val="8"/>
                <c:pt idx="0">
                  <c:v>-1.0761362748873404E-3</c:v>
                </c:pt>
                <c:pt idx="1">
                  <c:v>-4.3289757138539151E-2</c:v>
                </c:pt>
                <c:pt idx="2">
                  <c:v>-1.5254735941571146E-2</c:v>
                </c:pt>
                <c:pt idx="3">
                  <c:v>-0.18637839848821813</c:v>
                </c:pt>
                <c:pt idx="4">
                  <c:v>-1.5041633078088965E-2</c:v>
                </c:pt>
                <c:pt idx="5">
                  <c:v>1.7326163923364224E-2</c:v>
                </c:pt>
                <c:pt idx="6">
                  <c:v>-4.2158606606711446E-2</c:v>
                </c:pt>
                <c:pt idx="7">
                  <c:v>-5.1766673344794997E-2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0.00%</c:formatCode>
                <c:ptCount val="8"/>
                <c:pt idx="0">
                  <c:v>-3.4179872754884488E-3</c:v>
                </c:pt>
                <c:pt idx="1">
                  <c:v>2.8173968116101435E-2</c:v>
                </c:pt>
                <c:pt idx="2">
                  <c:v>4.2527479167274736E-2</c:v>
                </c:pt>
                <c:pt idx="3">
                  <c:v>3.3016877644366754E-2</c:v>
                </c:pt>
                <c:pt idx="4">
                  <c:v>7.4724436355395413E-2</c:v>
                </c:pt>
                <c:pt idx="5">
                  <c:v>-3.9001815740357833E-3</c:v>
                </c:pt>
                <c:pt idx="6">
                  <c:v>1.0491043321084678E-2</c:v>
                </c:pt>
                <c:pt idx="7">
                  <c:v>4.4470055868840348E-2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0.00%</c:formatCode>
                <c:ptCount val="8"/>
                <c:pt idx="0">
                  <c:v>-5.8987126880164276E-2</c:v>
                </c:pt>
                <c:pt idx="1">
                  <c:v>-0.46709405332985687</c:v>
                </c:pt>
                <c:pt idx="2">
                  <c:v>-0.53388765375707492</c:v>
                </c:pt>
                <c:pt idx="3">
                  <c:v>-0.63662140327632288</c:v>
                </c:pt>
                <c:pt idx="4">
                  <c:v>-0.38154687800334713</c:v>
                </c:pt>
                <c:pt idx="5">
                  <c:v>-0.39528495301413574</c:v>
                </c:pt>
                <c:pt idx="6">
                  <c:v>-0.25764077911990541</c:v>
                </c:pt>
                <c:pt idx="7">
                  <c:v>-0.32705491871314474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0.00%</c:formatCode>
                <c:ptCount val="8"/>
                <c:pt idx="0">
                  <c:v>-0.26287574291051119</c:v>
                </c:pt>
                <c:pt idx="1">
                  <c:v>-0.46905624232985693</c:v>
                </c:pt>
                <c:pt idx="2">
                  <c:v>-0.40758678794189662</c:v>
                </c:pt>
                <c:pt idx="3">
                  <c:v>-0.50223026172585394</c:v>
                </c:pt>
                <c:pt idx="4">
                  <c:v>-0.22652606438744602</c:v>
                </c:pt>
                <c:pt idx="5">
                  <c:v>-0.36578625545580234</c:v>
                </c:pt>
                <c:pt idx="6">
                  <c:v>-1.27081470544461E-2</c:v>
                </c:pt>
                <c:pt idx="7">
                  <c:v>-0.17140461936280491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0.00%</c:formatCode>
                <c:ptCount val="8"/>
                <c:pt idx="0">
                  <c:v>-3.2441343963196256E-3</c:v>
                </c:pt>
                <c:pt idx="1">
                  <c:v>0.30101613523680981</c:v>
                </c:pt>
                <c:pt idx="2">
                  <c:v>0.26888806032968465</c:v>
                </c:pt>
                <c:pt idx="3">
                  <c:v>0.34216639060226639</c:v>
                </c:pt>
                <c:pt idx="4">
                  <c:v>0.43818723932566084</c:v>
                </c:pt>
                <c:pt idx="5">
                  <c:v>0.41949577968586427</c:v>
                </c:pt>
                <c:pt idx="6">
                  <c:v>0.26865610006004731</c:v>
                </c:pt>
                <c:pt idx="7">
                  <c:v>0.40834897941312509</c:v>
                </c:pt>
              </c:numCache>
            </c:numRef>
          </c:val>
        </c:ser>
        <c:axId val="305983488"/>
        <c:axId val="305985024"/>
      </c:barChart>
      <c:catAx>
        <c:axId val="305983488"/>
        <c:scaling>
          <c:orientation val="minMax"/>
        </c:scaling>
        <c:axPos val="b"/>
        <c:tickLblPos val="nextTo"/>
        <c:crossAx val="305985024"/>
        <c:crosses val="autoZero"/>
        <c:auto val="1"/>
        <c:lblAlgn val="ctr"/>
        <c:lblOffset val="100"/>
      </c:catAx>
      <c:valAx>
        <c:axId val="305985024"/>
        <c:scaling>
          <c:orientation val="minMax"/>
        </c:scaling>
        <c:axPos val="l"/>
        <c:majorGridlines/>
        <c:numFmt formatCode="0.0%" sourceLinked="1"/>
        <c:tickLblPos val="nextTo"/>
        <c:crossAx val="3059834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7337"/>
          <c:y val="0.30999086720262392"/>
          <c:w val="0.27290015295627634"/>
          <c:h val="0.50313982945017888"/>
        </c:manualLayout>
      </c:layout>
    </c:legend>
    <c:plotVisOnly val="1"/>
  </c:chart>
  <c:printSettings>
    <c:headerFooter/>
    <c:pageMargins b="0.75000000000001021" l="0.70000000000000062" r="0.70000000000000062" t="0.7500000000000102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5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1.7689981899054359E-2</c:v>
                </c:pt>
                <c:pt idx="1">
                  <c:v>0.56757357536898656</c:v>
                </c:pt>
                <c:pt idx="2">
                  <c:v>1.9234270153773903E-4</c:v>
                </c:pt>
                <c:pt idx="3">
                  <c:v>4.8544643607962595E-2</c:v>
                </c:pt>
                <c:pt idx="4">
                  <c:v>1.2067341967224624E-3</c:v>
                </c:pt>
                <c:pt idx="5">
                  <c:v>1.0415615153442442E-2</c:v>
                </c:pt>
                <c:pt idx="6">
                  <c:v>4.0450734037922641E-3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5.3275440462939395E-2</c:v>
                </c:pt>
                <c:pt idx="1">
                  <c:v>0.12581681247726506</c:v>
                </c:pt>
                <c:pt idx="2">
                  <c:v>3.379478899186268E-3</c:v>
                </c:pt>
                <c:pt idx="3">
                  <c:v>0.11372807074283739</c:v>
                </c:pt>
                <c:pt idx="4">
                  <c:v>7.8031701083086207E-3</c:v>
                </c:pt>
                <c:pt idx="5">
                  <c:v>2.7411525522653808E-2</c:v>
                </c:pt>
                <c:pt idx="6">
                  <c:v>1.891753545531067E-2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5.3461008927731341E-2</c:v>
                </c:pt>
                <c:pt idx="1">
                  <c:v>0.12231717044685286</c:v>
                </c:pt>
                <c:pt idx="2">
                  <c:v>3.7903980991593972E-3</c:v>
                </c:pt>
                <c:pt idx="3">
                  <c:v>0.11706912915241713</c:v>
                </c:pt>
                <c:pt idx="4">
                  <c:v>8.6339781052762223E-3</c:v>
                </c:pt>
                <c:pt idx="5">
                  <c:v>2.6769848943111817E-2</c:v>
                </c:pt>
                <c:pt idx="6">
                  <c:v>2.0266179195878257E-2</c:v>
                </c:pt>
              </c:numCache>
            </c:numRef>
          </c:val>
        </c:ser>
        <c:overlap val="100"/>
        <c:axId val="307117440"/>
        <c:axId val="307148288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0.22155856834858528</c:v>
                </c:pt>
                <c:pt idx="1">
                  <c:v>0.2090210067659081</c:v>
                </c:pt>
                <c:pt idx="2">
                  <c:v>0.24680507135992147</c:v>
                </c:pt>
                <c:pt idx="3">
                  <c:v>0.11119724750434076</c:v>
                </c:pt>
                <c:pt idx="4">
                  <c:v>4.2549631315428632E-2</c:v>
                </c:pt>
                <c:pt idx="5">
                  <c:v>6.9299062709436046E-2</c:v>
                </c:pt>
                <c:pt idx="6">
                  <c:v>9.9569411996379656E-2</c:v>
                </c:pt>
              </c:numCache>
            </c:numRef>
          </c:val>
        </c:ser>
        <c:marker val="1"/>
        <c:axId val="307117440"/>
        <c:axId val="307148288"/>
      </c:lineChart>
      <c:catAx>
        <c:axId val="307117440"/>
        <c:scaling>
          <c:orientation val="minMax"/>
        </c:scaling>
        <c:axPos val="b"/>
        <c:numFmt formatCode="General" sourceLinked="1"/>
        <c:tickLblPos val="nextTo"/>
        <c:crossAx val="307148288"/>
        <c:crosses val="autoZero"/>
        <c:auto val="1"/>
        <c:lblAlgn val="ctr"/>
        <c:lblOffset val="100"/>
      </c:catAx>
      <c:valAx>
        <c:axId val="307148288"/>
        <c:scaling>
          <c:orientation val="minMax"/>
        </c:scaling>
        <c:axPos val="l"/>
        <c:majorGridlines/>
        <c:numFmt formatCode="0%" sourceLinked="0"/>
        <c:tickLblPos val="nextTo"/>
        <c:crossAx val="307117440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3.1392347703607063E-2</c:v>
                </c:pt>
                <c:pt idx="3">
                  <c:v>5.5586945104648379E-2</c:v>
                </c:pt>
                <c:pt idx="4">
                  <c:v>5.4126209330308192E-2</c:v>
                </c:pt>
                <c:pt idx="5">
                  <c:v>5.1749106701455286E-2</c:v>
                </c:pt>
                <c:pt idx="6">
                  <c:v>2.8567108921173753E-2</c:v>
                </c:pt>
                <c:pt idx="7">
                  <c:v>3.8735949538907542E-2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0.00%</c:formatCode>
                <c:ptCount val="8"/>
                <c:pt idx="0">
                  <c:v>-3.2445168309994665E-3</c:v>
                </c:pt>
                <c:pt idx="1">
                  <c:v>2.821524342416672E-2</c:v>
                </c:pt>
                <c:pt idx="2">
                  <c:v>4.9715877116872115E-2</c:v>
                </c:pt>
                <c:pt idx="3">
                  <c:v>-1.8932480826239766E-2</c:v>
                </c:pt>
                <c:pt idx="4">
                  <c:v>7.6891594824893134E-2</c:v>
                </c:pt>
                <c:pt idx="5">
                  <c:v>2.095392217212597E-2</c:v>
                </c:pt>
                <c:pt idx="6">
                  <c:v>1.380587420653143E-2</c:v>
                </c:pt>
                <c:pt idx="7">
                  <c:v>2.0067539862887711E-2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0.00%</c:formatCode>
                <c:ptCount val="8"/>
                <c:pt idx="0">
                  <c:v>-1.0761362748873404E-3</c:v>
                </c:pt>
                <c:pt idx="1">
                  <c:v>-4.3289757138539151E-2</c:v>
                </c:pt>
                <c:pt idx="2">
                  <c:v>-1.5254735941571146E-2</c:v>
                </c:pt>
                <c:pt idx="3">
                  <c:v>-0.18637839848821813</c:v>
                </c:pt>
                <c:pt idx="4">
                  <c:v>-1.5041633078088965E-2</c:v>
                </c:pt>
                <c:pt idx="5">
                  <c:v>1.7326163923364224E-2</c:v>
                </c:pt>
                <c:pt idx="6">
                  <c:v>-4.2158606606711446E-2</c:v>
                </c:pt>
                <c:pt idx="7">
                  <c:v>-5.1766673344794997E-2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0.00%</c:formatCode>
                <c:ptCount val="8"/>
                <c:pt idx="0">
                  <c:v>-3.4179872754884488E-3</c:v>
                </c:pt>
                <c:pt idx="1">
                  <c:v>2.8173968116101435E-2</c:v>
                </c:pt>
                <c:pt idx="2">
                  <c:v>4.2527479167274736E-2</c:v>
                </c:pt>
                <c:pt idx="3">
                  <c:v>3.3016877644366754E-2</c:v>
                </c:pt>
                <c:pt idx="4">
                  <c:v>7.4724436355395413E-2</c:v>
                </c:pt>
                <c:pt idx="5">
                  <c:v>-3.9001815740357833E-3</c:v>
                </c:pt>
                <c:pt idx="6">
                  <c:v>1.0491043321084678E-2</c:v>
                </c:pt>
                <c:pt idx="7">
                  <c:v>4.4470055868840348E-2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0.00%</c:formatCode>
                <c:ptCount val="8"/>
                <c:pt idx="0">
                  <c:v>-5.8987126880164276E-2</c:v>
                </c:pt>
                <c:pt idx="1">
                  <c:v>-0.46709405332985687</c:v>
                </c:pt>
                <c:pt idx="2">
                  <c:v>-0.53388765375707492</c:v>
                </c:pt>
                <c:pt idx="3">
                  <c:v>-0.63662140327632288</c:v>
                </c:pt>
                <c:pt idx="4">
                  <c:v>-0.38154687800334713</c:v>
                </c:pt>
                <c:pt idx="5">
                  <c:v>-0.39528495301413574</c:v>
                </c:pt>
                <c:pt idx="6">
                  <c:v>-0.25764077911990541</c:v>
                </c:pt>
                <c:pt idx="7">
                  <c:v>-0.32705491871314474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0.00%</c:formatCode>
                <c:ptCount val="8"/>
                <c:pt idx="0">
                  <c:v>-0.26287574291051119</c:v>
                </c:pt>
                <c:pt idx="1">
                  <c:v>-0.46905624232985693</c:v>
                </c:pt>
                <c:pt idx="2">
                  <c:v>-0.40758678794189662</c:v>
                </c:pt>
                <c:pt idx="3">
                  <c:v>-0.50223026172585394</c:v>
                </c:pt>
                <c:pt idx="4">
                  <c:v>-0.22652606438744602</c:v>
                </c:pt>
                <c:pt idx="5">
                  <c:v>-0.36578625545580234</c:v>
                </c:pt>
                <c:pt idx="6">
                  <c:v>-1.27081470544461E-2</c:v>
                </c:pt>
                <c:pt idx="7">
                  <c:v>-0.17140461936280491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0.00%</c:formatCode>
                <c:ptCount val="8"/>
                <c:pt idx="0">
                  <c:v>-3.2441343963196256E-3</c:v>
                </c:pt>
                <c:pt idx="1">
                  <c:v>0.30101613523680981</c:v>
                </c:pt>
                <c:pt idx="2">
                  <c:v>0.26888806032968465</c:v>
                </c:pt>
                <c:pt idx="3">
                  <c:v>0.34216639060226639</c:v>
                </c:pt>
                <c:pt idx="4">
                  <c:v>0.43818723932566084</c:v>
                </c:pt>
                <c:pt idx="5">
                  <c:v>0.41949577968586427</c:v>
                </c:pt>
                <c:pt idx="6">
                  <c:v>0.26865610006004731</c:v>
                </c:pt>
                <c:pt idx="7">
                  <c:v>0.40834897941312509</c:v>
                </c:pt>
              </c:numCache>
            </c:numRef>
          </c:val>
        </c:ser>
        <c:axId val="308639616"/>
        <c:axId val="308641152"/>
      </c:barChart>
      <c:catAx>
        <c:axId val="308639616"/>
        <c:scaling>
          <c:orientation val="minMax"/>
        </c:scaling>
        <c:axPos val="b"/>
        <c:tickLblPos val="nextTo"/>
        <c:crossAx val="308641152"/>
        <c:crosses val="autoZero"/>
        <c:auto val="1"/>
        <c:lblAlgn val="ctr"/>
        <c:lblOffset val="100"/>
      </c:catAx>
      <c:valAx>
        <c:axId val="308641152"/>
        <c:scaling>
          <c:orientation val="minMax"/>
        </c:scaling>
        <c:axPos val="l"/>
        <c:majorGridlines/>
        <c:numFmt formatCode="0.0%" sourceLinked="1"/>
        <c:tickLblPos val="nextTo"/>
        <c:crossAx val="30863961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29600218722659682"/>
          <c:y val="0.21878129039840552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mixen'!$S$4:$S$11</c:f>
              <c:numCache>
                <c:formatCode>0.0%</c:formatCode>
                <c:ptCount val="8"/>
                <c:pt idx="0">
                  <c:v>0.53674720715178714</c:v>
                </c:pt>
                <c:pt idx="1">
                  <c:v>5.0232757580011667E-2</c:v>
                </c:pt>
                <c:pt idx="2">
                  <c:v>5.3543461823731875E-2</c:v>
                </c:pt>
                <c:pt idx="3">
                  <c:v>7.5485182569393849E-2</c:v>
                </c:pt>
                <c:pt idx="4">
                  <c:v>3.6215060490609213E-2</c:v>
                </c:pt>
                <c:pt idx="5">
                  <c:v>1.3540803481245475E-2</c:v>
                </c:pt>
                <c:pt idx="6">
                  <c:v>3.075039540086253E-2</c:v>
                </c:pt>
                <c:pt idx="7">
                  <c:v>3.2691625437968962E-2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mixen'!$T$4:$T$11</c:f>
              <c:numCache>
                <c:formatCode>0.0%</c:formatCode>
                <c:ptCount val="8"/>
                <c:pt idx="0">
                  <c:v>1.1310390813222049E-2</c:v>
                </c:pt>
                <c:pt idx="1">
                  <c:v>3.4096085092574169E-2</c:v>
                </c:pt>
                <c:pt idx="2">
                  <c:v>3.1928503144807052E-2</c:v>
                </c:pt>
                <c:pt idx="3">
                  <c:v>1.8842257150938291E-2</c:v>
                </c:pt>
                <c:pt idx="4">
                  <c:v>1.4294803408465645E-2</c:v>
                </c:pt>
                <c:pt idx="5">
                  <c:v>9.11029253064706E-3</c:v>
                </c:pt>
                <c:pt idx="6">
                  <c:v>2.3315706813794586E-2</c:v>
                </c:pt>
                <c:pt idx="7">
                  <c:v>2.7895467109941299E-2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mixen'!$U$4:$U$11</c:f>
              <c:numCache>
                <c:formatCode>0.0%</c:formatCode>
                <c:ptCount val="8"/>
                <c:pt idx="0">
                  <c:v>9.7821024820824443E-3</c:v>
                </c:pt>
                <c:pt idx="1">
                  <c:v>3.0186223302910403E-2</c:v>
                </c:pt>
                <c:pt idx="2">
                  <c:v>3.0939260292469489E-2</c:v>
                </c:pt>
                <c:pt idx="3">
                  <c:v>1.5792085188663846E-2</c:v>
                </c:pt>
                <c:pt idx="4">
                  <c:v>1.3599371259018583E-2</c:v>
                </c:pt>
                <c:pt idx="5">
                  <c:v>8.4091275097713108E-3</c:v>
                </c:pt>
                <c:pt idx="6">
                  <c:v>2.1559370078535076E-2</c:v>
                </c:pt>
                <c:pt idx="7">
                  <c:v>2.3256955400561434E-2</c:v>
                </c:pt>
              </c:numCache>
            </c:numRef>
          </c:val>
        </c:ser>
        <c:gapWidth val="100"/>
        <c:overlap val="100"/>
        <c:axId val="309298688"/>
        <c:axId val="309300224"/>
      </c:barChart>
      <c:catAx>
        <c:axId val="309298688"/>
        <c:scaling>
          <c:orientation val="minMax"/>
        </c:scaling>
        <c:axPos val="l"/>
        <c:numFmt formatCode="0%" sourceLinked="1"/>
        <c:tickLblPos val="nextTo"/>
        <c:crossAx val="309300224"/>
        <c:crosses val="autoZero"/>
        <c:auto val="1"/>
        <c:lblAlgn val="ctr"/>
        <c:lblOffset val="100"/>
      </c:catAx>
      <c:valAx>
        <c:axId val="309300224"/>
        <c:scaling>
          <c:orientation val="minMax"/>
        </c:scaling>
        <c:axPos val="b"/>
        <c:majorGridlines/>
        <c:numFmt formatCode="0%" sourceLinked="0"/>
        <c:tickLblPos val="nextTo"/>
        <c:crossAx val="309298688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'[1]Samenvatting mixen'!$R$58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0.47802755015757986</c:v>
                </c:pt>
                <c:pt idx="1">
                  <c:v>1.4124601042672547E-2</c:v>
                </c:pt>
                <c:pt idx="2">
                  <c:v>0.29023525091011454</c:v>
                </c:pt>
                <c:pt idx="3">
                  <c:v>2.4762226148134479E-4</c:v>
                </c:pt>
                <c:pt idx="4">
                  <c:v>4.1023522190379344E-2</c:v>
                </c:pt>
                <c:pt idx="5">
                  <c:v>1.0937254290032804E-3</c:v>
                </c:pt>
                <c:pt idx="6">
                  <c:v>7.9837615273268166E-3</c:v>
                </c:pt>
                <c:pt idx="7">
                  <c:v>3.5267526171440127E-3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2.3887950909341649E-2</c:v>
                </c:pt>
                <c:pt idx="1">
                  <c:v>2.1316826431137546E-2</c:v>
                </c:pt>
                <c:pt idx="2">
                  <c:v>5.811088856478358E-2</c:v>
                </c:pt>
                <c:pt idx="3">
                  <c:v>1.5266204675059031E-3</c:v>
                </c:pt>
                <c:pt idx="4">
                  <c:v>3.6688579516835948E-2</c:v>
                </c:pt>
                <c:pt idx="5">
                  <c:v>3.3742117225408642E-3</c:v>
                </c:pt>
                <c:pt idx="6">
                  <c:v>1.0944995846093247E-2</c:v>
                </c:pt>
                <c:pt idx="7">
                  <c:v>7.887140406059345E-3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2.2193298553934038E-2</c:v>
                </c:pt>
                <c:pt idx="1">
                  <c:v>1.605323503558026E-2</c:v>
                </c:pt>
                <c:pt idx="2">
                  <c:v>5.2615834212901558E-2</c:v>
                </c:pt>
                <c:pt idx="3">
                  <c:v>6.9689188118907813E-4</c:v>
                </c:pt>
                <c:pt idx="4">
                  <c:v>3.4462540055257118E-2</c:v>
                </c:pt>
                <c:pt idx="5">
                  <c:v>1.9403684317166195E-3</c:v>
                </c:pt>
                <c:pt idx="6">
                  <c:v>7.9565989865291384E-3</c:v>
                </c:pt>
                <c:pt idx="7">
                  <c:v>4.9792678256778966E-3</c:v>
                </c:pt>
              </c:numCache>
            </c:numRef>
          </c:val>
        </c:ser>
        <c:gapWidth val="100"/>
        <c:overlap val="100"/>
        <c:axId val="308420608"/>
        <c:axId val="308422144"/>
      </c:barChart>
      <c:catAx>
        <c:axId val="308420608"/>
        <c:scaling>
          <c:orientation val="minMax"/>
        </c:scaling>
        <c:axPos val="l"/>
        <c:numFmt formatCode="0%" sourceLinked="1"/>
        <c:tickLblPos val="nextTo"/>
        <c:crossAx val="308422144"/>
        <c:crosses val="autoZero"/>
        <c:auto val="1"/>
        <c:lblAlgn val="ctr"/>
        <c:lblOffset val="100"/>
      </c:catAx>
      <c:valAx>
        <c:axId val="308422144"/>
        <c:scaling>
          <c:orientation val="minMax"/>
        </c:scaling>
        <c:axPos val="b"/>
        <c:majorGridlines/>
        <c:numFmt formatCode="0%" sourceLinked="0"/>
        <c:tickLblPos val="nextTo"/>
        <c:crossAx val="30842060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mixen'!$R$14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mixen'!$S$15:$S$22</c:f>
              <c:numCache>
                <c:formatCode>0.0%</c:formatCode>
                <c:ptCount val="8"/>
                <c:pt idx="0">
                  <c:v>0.47802755015757986</c:v>
                </c:pt>
                <c:pt idx="1">
                  <c:v>1.4124601042672547E-2</c:v>
                </c:pt>
                <c:pt idx="2">
                  <c:v>0.29023525091011454</c:v>
                </c:pt>
                <c:pt idx="3">
                  <c:v>2.4762226148134479E-4</c:v>
                </c:pt>
                <c:pt idx="4">
                  <c:v>4.1023522190379344E-2</c:v>
                </c:pt>
                <c:pt idx="5">
                  <c:v>1.0937254290032804E-3</c:v>
                </c:pt>
                <c:pt idx="6">
                  <c:v>7.9837615273268166E-3</c:v>
                </c:pt>
                <c:pt idx="7">
                  <c:v>3.5267526171440127E-3</c:v>
                </c:pt>
              </c:numCache>
            </c:numRef>
          </c:val>
        </c:ser>
        <c:ser>
          <c:idx val="1"/>
          <c:order val="1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mixen'!$T$15:$T$22</c:f>
              <c:numCache>
                <c:formatCode>0.0%</c:formatCode>
                <c:ptCount val="8"/>
                <c:pt idx="0">
                  <c:v>2.3887950909341649E-2</c:v>
                </c:pt>
                <c:pt idx="1">
                  <c:v>2.1316826431137546E-2</c:v>
                </c:pt>
                <c:pt idx="2">
                  <c:v>5.811088856478358E-2</c:v>
                </c:pt>
                <c:pt idx="3">
                  <c:v>1.5266204675059031E-3</c:v>
                </c:pt>
                <c:pt idx="4">
                  <c:v>3.6688579516835948E-2</c:v>
                </c:pt>
                <c:pt idx="5">
                  <c:v>3.3742117225408642E-3</c:v>
                </c:pt>
                <c:pt idx="6">
                  <c:v>1.0944995846093247E-2</c:v>
                </c:pt>
                <c:pt idx="7">
                  <c:v>7.887140406059345E-3</c:v>
                </c:pt>
              </c:numCache>
            </c:numRef>
          </c:val>
        </c:ser>
        <c:ser>
          <c:idx val="2"/>
          <c:order val="2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mixen'!$U$15:$U$22</c:f>
              <c:numCache>
                <c:formatCode>0.0%</c:formatCode>
                <c:ptCount val="8"/>
                <c:pt idx="0">
                  <c:v>2.2193298553934038E-2</c:v>
                </c:pt>
                <c:pt idx="1">
                  <c:v>1.605323503558026E-2</c:v>
                </c:pt>
                <c:pt idx="2">
                  <c:v>5.2615834212901558E-2</c:v>
                </c:pt>
                <c:pt idx="3">
                  <c:v>6.9689188118907813E-4</c:v>
                </c:pt>
                <c:pt idx="4">
                  <c:v>3.4462540055257118E-2</c:v>
                </c:pt>
                <c:pt idx="5">
                  <c:v>1.9403684317166195E-3</c:v>
                </c:pt>
                <c:pt idx="6">
                  <c:v>7.9565989865291384E-3</c:v>
                </c:pt>
                <c:pt idx="7">
                  <c:v>4.9792678256778966E-3</c:v>
                </c:pt>
              </c:numCache>
            </c:numRef>
          </c:val>
        </c:ser>
        <c:gapWidth val="100"/>
        <c:overlap val="100"/>
        <c:axId val="308447488"/>
        <c:axId val="308457472"/>
      </c:barChart>
      <c:catAx>
        <c:axId val="308447488"/>
        <c:scaling>
          <c:orientation val="minMax"/>
        </c:scaling>
        <c:axPos val="l"/>
        <c:numFmt formatCode="0%" sourceLinked="1"/>
        <c:tickLblPos val="nextTo"/>
        <c:crossAx val="308457472"/>
        <c:crosses val="autoZero"/>
        <c:auto val="1"/>
        <c:lblAlgn val="ctr"/>
        <c:lblOffset val="100"/>
      </c:catAx>
      <c:valAx>
        <c:axId val="308457472"/>
        <c:scaling>
          <c:orientation val="minMax"/>
        </c:scaling>
        <c:axPos val="b"/>
        <c:majorGridlines/>
        <c:numFmt formatCode="0%" sourceLinked="0"/>
        <c:tickLblPos val="nextTo"/>
        <c:crossAx val="30844748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mixen'!$R$36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mixen'!$S$37:$S$44</c:f>
              <c:numCache>
                <c:formatCode>0.0%</c:formatCode>
                <c:ptCount val="8"/>
                <c:pt idx="0">
                  <c:v>0.50600350684104156</c:v>
                </c:pt>
                <c:pt idx="1">
                  <c:v>1.3440490752372431E-2</c:v>
                </c:pt>
                <c:pt idx="2">
                  <c:v>0.16918033873772867</c:v>
                </c:pt>
                <c:pt idx="3">
                  <c:v>1.2252464376372491E-3</c:v>
                </c:pt>
                <c:pt idx="4">
                  <c:v>7.6388660914533016E-2</c:v>
                </c:pt>
                <c:pt idx="5">
                  <c:v>2.3070704801685836E-4</c:v>
                </c:pt>
                <c:pt idx="6">
                  <c:v>4.2245526250787035E-3</c:v>
                </c:pt>
                <c:pt idx="7">
                  <c:v>2.4072325619578505E-2</c:v>
                </c:pt>
              </c:numCache>
            </c:numRef>
          </c:val>
        </c:ser>
        <c:ser>
          <c:idx val="1"/>
          <c:order val="1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mixen'!$T$37:$T$44</c:f>
              <c:numCache>
                <c:formatCode>0.0%</c:formatCode>
                <c:ptCount val="8"/>
                <c:pt idx="0">
                  <c:v>2.7001140195868412E-2</c:v>
                </c:pt>
                <c:pt idx="1">
                  <c:v>1.9326086897603376E-2</c:v>
                </c:pt>
                <c:pt idx="2">
                  <c:v>7.518350745310165E-2</c:v>
                </c:pt>
                <c:pt idx="3">
                  <c:v>3.8555148979642745E-3</c:v>
                </c:pt>
                <c:pt idx="4">
                  <c:v>3.4141760038411156E-2</c:v>
                </c:pt>
                <c:pt idx="5">
                  <c:v>1.3423332748066215E-3</c:v>
                </c:pt>
                <c:pt idx="6">
                  <c:v>7.8966584031479256E-3</c:v>
                </c:pt>
                <c:pt idx="7">
                  <c:v>3.648716986310975E-2</c:v>
                </c:pt>
              </c:numCache>
            </c:numRef>
          </c:val>
        </c:ser>
        <c:ser>
          <c:idx val="2"/>
          <c:order val="2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mixen'!$U$37:$U$44</c:f>
              <c:numCache>
                <c:formatCode>0.0%</c:formatCode>
                <c:ptCount val="8"/>
                <c:pt idx="0">
                  <c:v>2.6145509029696146E-2</c:v>
                </c:pt>
                <c:pt idx="1">
                  <c:v>1.4325398277219133E-2</c:v>
                </c:pt>
                <c:pt idx="2">
                  <c:v>6.4334687881214297E-2</c:v>
                </c:pt>
                <c:pt idx="3">
                  <c:v>2.402921135584153E-3</c:v>
                </c:pt>
                <c:pt idx="4">
                  <c:v>3.4761855933211336E-2</c:v>
                </c:pt>
                <c:pt idx="5">
                  <c:v>6.2538895259033425E-4</c:v>
                </c:pt>
                <c:pt idx="6">
                  <c:v>6.1533755101134714E-3</c:v>
                </c:pt>
                <c:pt idx="7">
                  <c:v>2.9537714170877291E-2</c:v>
                </c:pt>
              </c:numCache>
            </c:numRef>
          </c:val>
        </c:ser>
        <c:gapWidth val="100"/>
        <c:overlap val="100"/>
        <c:axId val="308749056"/>
        <c:axId val="308750592"/>
      </c:barChart>
      <c:catAx>
        <c:axId val="308749056"/>
        <c:scaling>
          <c:orientation val="minMax"/>
        </c:scaling>
        <c:axPos val="l"/>
        <c:tickLblPos val="nextTo"/>
        <c:crossAx val="308750592"/>
        <c:crosses val="autoZero"/>
        <c:auto val="1"/>
        <c:lblAlgn val="ctr"/>
        <c:lblOffset val="100"/>
      </c:catAx>
      <c:valAx>
        <c:axId val="308750592"/>
        <c:scaling>
          <c:orientation val="minMax"/>
        </c:scaling>
        <c:axPos val="b"/>
        <c:majorGridlines/>
        <c:numFmt formatCode="0%" sourceLinked="0"/>
        <c:tickLblPos val="nextTo"/>
        <c:crossAx val="30874905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mixen'!$R$47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mixen'!$S$48:$S$55</c:f>
              <c:numCache>
                <c:formatCode>0.0%</c:formatCode>
                <c:ptCount val="8"/>
                <c:pt idx="0">
                  <c:v>0.99931285387684143</c:v>
                </c:pt>
                <c:pt idx="1">
                  <c:v>3.1775857169889283E-7</c:v>
                </c:pt>
                <c:pt idx="2">
                  <c:v>4.8573719057011657E-7</c:v>
                </c:pt>
                <c:pt idx="3">
                  <c:v>1.8154908072725241E-7</c:v>
                </c:pt>
                <c:pt idx="4">
                  <c:v>8.0181652301616647E-7</c:v>
                </c:pt>
                <c:pt idx="5">
                  <c:v>6.781913856355049E-7</c:v>
                </c:pt>
                <c:pt idx="6">
                  <c:v>6.4268548092067431E-6</c:v>
                </c:pt>
                <c:pt idx="7">
                  <c:v>3.4669991365964461E-6</c:v>
                </c:pt>
              </c:numCache>
            </c:numRef>
          </c:val>
        </c:ser>
        <c:ser>
          <c:idx val="1"/>
          <c:order val="1"/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mixen'!$T$48:$T$55</c:f>
              <c:numCache>
                <c:formatCode>0.0%</c:formatCode>
                <c:ptCount val="8"/>
                <c:pt idx="0">
                  <c:v>1.839235886830215E-4</c:v>
                </c:pt>
                <c:pt idx="1">
                  <c:v>4.7906489976452388E-5</c:v>
                </c:pt>
                <c:pt idx="2">
                  <c:v>3.8199398340172389E-5</c:v>
                </c:pt>
                <c:pt idx="3">
                  <c:v>2.6849146886161071E-5</c:v>
                </c:pt>
                <c:pt idx="4">
                  <c:v>6.8997846095130539E-5</c:v>
                </c:pt>
                <c:pt idx="5">
                  <c:v>6.2162215958849415E-5</c:v>
                </c:pt>
                <c:pt idx="6">
                  <c:v>1.5965510582593997E-4</c:v>
                </c:pt>
                <c:pt idx="7">
                  <c:v>8.7093424696281724E-5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mixen'!$U$48:$U$55</c:f>
              <c:numCache>
                <c:formatCode>0.0%</c:formatCode>
                <c:ptCount val="8"/>
                <c:pt idx="0">
                  <c:v>2.2958260764560645E-4</c:v>
                </c:pt>
                <c:pt idx="1">
                  <c:v>2.8833121911311002E-6</c:v>
                </c:pt>
                <c:pt idx="2">
                  <c:v>7.3625626494529025E-6</c:v>
                </c:pt>
                <c:pt idx="3">
                  <c:v>1.2629241952223478E-6</c:v>
                </c:pt>
                <c:pt idx="4">
                  <c:v>2.1964052476557057E-5</c:v>
                </c:pt>
                <c:pt idx="5">
                  <c:v>6.8278670148922343E-6</c:v>
                </c:pt>
                <c:pt idx="6">
                  <c:v>6.3893780178315567E-5</c:v>
                </c:pt>
                <c:pt idx="7">
                  <c:v>3.5435448572707166E-5</c:v>
                </c:pt>
              </c:numCache>
            </c:numRef>
          </c:val>
        </c:ser>
        <c:gapWidth val="100"/>
        <c:overlap val="100"/>
        <c:axId val="308554752"/>
        <c:axId val="308802304"/>
      </c:barChart>
      <c:catAx>
        <c:axId val="308554752"/>
        <c:scaling>
          <c:orientation val="minMax"/>
        </c:scaling>
        <c:axPos val="l"/>
        <c:tickLblPos val="nextTo"/>
        <c:crossAx val="308802304"/>
        <c:crosses val="autoZero"/>
        <c:auto val="1"/>
        <c:lblAlgn val="ctr"/>
        <c:lblOffset val="100"/>
      </c:catAx>
      <c:valAx>
        <c:axId val="308802304"/>
        <c:scaling>
          <c:orientation val="minMax"/>
        </c:scaling>
        <c:axPos val="b"/>
        <c:majorGridlines/>
        <c:numFmt formatCode="0%" sourceLinked="0"/>
        <c:tickLblPos val="nextTo"/>
        <c:crossAx val="30855475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99" l="0.70000000000000062" r="0.70000000000000062" t="0.75000000000001299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mixen'!$R$58</c:f>
          <c:strCache>
            <c:ptCount val="1"/>
            <c:pt idx="0">
              <c:v>Tail risk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mixen'!$S$59:$S$66</c:f>
              <c:numCache>
                <c:formatCode>0.0%</c:formatCode>
                <c:ptCount val="8"/>
                <c:pt idx="0">
                  <c:v>0.95125461246129883</c:v>
                </c:pt>
                <c:pt idx="1">
                  <c:v>1.5036938957847846E-6</c:v>
                </c:pt>
                <c:pt idx="2">
                  <c:v>8.7780240261453311E-7</c:v>
                </c:pt>
                <c:pt idx="3">
                  <c:v>4.1853561834766862E-7</c:v>
                </c:pt>
                <c:pt idx="4">
                  <c:v>1.4358844056654305E-6</c:v>
                </c:pt>
                <c:pt idx="5">
                  <c:v>1.3321226260864055E-6</c:v>
                </c:pt>
                <c:pt idx="6">
                  <c:v>4.6343412313171933E-2</c:v>
                </c:pt>
                <c:pt idx="7">
                  <c:v>1.3757128760277902E-5</c:v>
                </c:pt>
              </c:numCache>
            </c:numRef>
          </c:val>
        </c:ser>
        <c:ser>
          <c:idx val="1"/>
          <c:order val="1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mixen'!$T$59:$T$66</c:f>
              <c:numCache>
                <c:formatCode>0.0%</c:formatCode>
                <c:ptCount val="8"/>
                <c:pt idx="0">
                  <c:v>5.2403006414536435E-4</c:v>
                </c:pt>
                <c:pt idx="1">
                  <c:v>1.1366741914647256E-4</c:v>
                </c:pt>
                <c:pt idx="2">
                  <c:v>1.3908731517495949E-4</c:v>
                </c:pt>
                <c:pt idx="3">
                  <c:v>1.186603618779109E-4</c:v>
                </c:pt>
                <c:pt idx="4">
                  <c:v>2.003512418325181E-4</c:v>
                </c:pt>
                <c:pt idx="5">
                  <c:v>1.632418247176842E-4</c:v>
                </c:pt>
                <c:pt idx="6">
                  <c:v>6.5191103308861326E-4</c:v>
                </c:pt>
                <c:pt idx="7">
                  <c:v>4.7170079783712815E-4</c:v>
                </c:pt>
              </c:numCache>
            </c:numRef>
          </c:val>
        </c:ser>
        <c:ser>
          <c:idx val="2"/>
          <c:order val="2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mixen'!$U$59:$U$66</c:f>
              <c:numCache>
                <c:formatCode>0.0%</c:formatCode>
                <c:ptCount val="8"/>
                <c:pt idx="0">
                  <c:v>4.1584930003968346E-4</c:v>
                </c:pt>
                <c:pt idx="1">
                  <c:v>4.4656249490356096E-5</c:v>
                </c:pt>
                <c:pt idx="2">
                  <c:v>2.3100730648063284E-5</c:v>
                </c:pt>
                <c:pt idx="3">
                  <c:v>1.8927349860404634E-5</c:v>
                </c:pt>
                <c:pt idx="4">
                  <c:v>5.2580885461552755E-5</c:v>
                </c:pt>
                <c:pt idx="5">
                  <c:v>3.4974218266387421E-5</c:v>
                </c:pt>
                <c:pt idx="6">
                  <c:v>6.8899082706642273E-4</c:v>
                </c:pt>
                <c:pt idx="7">
                  <c:v>1.8421287854567334E-4</c:v>
                </c:pt>
              </c:numCache>
            </c:numRef>
          </c:val>
        </c:ser>
        <c:gapWidth val="100"/>
        <c:overlap val="100"/>
        <c:axId val="308987392"/>
        <c:axId val="308988928"/>
      </c:barChart>
      <c:catAx>
        <c:axId val="308987392"/>
        <c:scaling>
          <c:orientation val="minMax"/>
        </c:scaling>
        <c:axPos val="l"/>
        <c:tickLblPos val="nextTo"/>
        <c:crossAx val="308988928"/>
        <c:crosses val="autoZero"/>
        <c:auto val="1"/>
        <c:lblAlgn val="ctr"/>
        <c:lblOffset val="100"/>
      </c:catAx>
      <c:valAx>
        <c:axId val="308988928"/>
        <c:scaling>
          <c:orientation val="minMax"/>
        </c:scaling>
        <c:axPos val="b"/>
        <c:majorGridlines/>
        <c:numFmt formatCode="0%" sourceLinked="0"/>
        <c:tickLblPos val="nextTo"/>
        <c:crossAx val="30898739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321" l="0.70000000000000062" r="0.70000000000000062" t="0.7500000000000132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mixen'!$R$25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mixen'!$S$26:$S$33</c:f>
              <c:numCache>
                <c:formatCode>0.0%</c:formatCode>
                <c:ptCount val="8"/>
                <c:pt idx="0">
                  <c:v>0.7152859922175141</c:v>
                </c:pt>
                <c:pt idx="1">
                  <c:v>1.3849554481824263E-3</c:v>
                </c:pt>
                <c:pt idx="2">
                  <c:v>7.2517701838665759E-3</c:v>
                </c:pt>
                <c:pt idx="3">
                  <c:v>1.8216268025497755E-5</c:v>
                </c:pt>
                <c:pt idx="4">
                  <c:v>2.2394278876048342E-3</c:v>
                </c:pt>
                <c:pt idx="5">
                  <c:v>0.21937929402229212</c:v>
                </c:pt>
                <c:pt idx="6">
                  <c:v>1.3739693502583775E-3</c:v>
                </c:pt>
                <c:pt idx="7">
                  <c:v>8.4555022260916963E-4</c:v>
                </c:pt>
              </c:numCache>
            </c:numRef>
          </c:val>
        </c:ser>
        <c:ser>
          <c:idx val="1"/>
          <c:order val="1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mixen'!$T$26:$T$33</c:f>
              <c:numCache>
                <c:formatCode>0.0%</c:formatCode>
                <c:ptCount val="8"/>
                <c:pt idx="0">
                  <c:v>1.5053199289166597E-2</c:v>
                </c:pt>
                <c:pt idx="1">
                  <c:v>3.4736961582940238E-3</c:v>
                </c:pt>
                <c:pt idx="2">
                  <c:v>1.0226783137674136E-2</c:v>
                </c:pt>
                <c:pt idx="3">
                  <c:v>3.5836080731004385E-4</c:v>
                </c:pt>
                <c:pt idx="4">
                  <c:v>6.22721572956139E-3</c:v>
                </c:pt>
                <c:pt idx="5">
                  <c:v>1.0867870111100075E-2</c:v>
                </c:pt>
                <c:pt idx="6">
                  <c:v>3.5203533760143949E-3</c:v>
                </c:pt>
                <c:pt idx="7">
                  <c:v>2.4933457905266425E-3</c:v>
                </c:pt>
              </c:numCache>
            </c:numRef>
          </c:val>
        </c:ser>
        <c:ser>
          <c:idx val="2"/>
          <c:order val="2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mixen'!$U$26:$U$33</c:f>
              <c:numCache>
                <c:formatCode>0.0%</c:formatCode>
                <c:ptCount val="8"/>
                <c:pt idx="0">
                  <c:v>1.2164773417541741E-2</c:v>
                </c:pt>
                <c:pt idx="1">
                  <c:v>2.2191269313235071E-3</c:v>
                </c:pt>
                <c:pt idx="2">
                  <c:v>8.1260942719008807E-3</c:v>
                </c:pt>
                <c:pt idx="3">
                  <c:v>1.5757385076444364E-4</c:v>
                </c:pt>
                <c:pt idx="4">
                  <c:v>4.1205512230917743E-3</c:v>
                </c:pt>
                <c:pt idx="5">
                  <c:v>1.3045457005479461E-2</c:v>
                </c:pt>
                <c:pt idx="6">
                  <c:v>1.8553945094631121E-3</c:v>
                </c:pt>
                <c:pt idx="7">
                  <c:v>1.5543029941138395E-3</c:v>
                </c:pt>
              </c:numCache>
            </c:numRef>
          </c:val>
        </c:ser>
        <c:gapWidth val="100"/>
        <c:overlap val="100"/>
        <c:axId val="308854784"/>
        <c:axId val="308856320"/>
      </c:barChart>
      <c:catAx>
        <c:axId val="308854784"/>
        <c:scaling>
          <c:orientation val="minMax"/>
        </c:scaling>
        <c:axPos val="l"/>
        <c:numFmt formatCode="0%" sourceLinked="1"/>
        <c:tickLblPos val="nextTo"/>
        <c:crossAx val="308856320"/>
        <c:crosses val="autoZero"/>
        <c:auto val="1"/>
        <c:lblAlgn val="ctr"/>
        <c:lblOffset val="100"/>
      </c:catAx>
      <c:valAx>
        <c:axId val="308856320"/>
        <c:scaling>
          <c:orientation val="minMax"/>
        </c:scaling>
        <c:axPos val="b"/>
        <c:majorGridlines/>
        <c:numFmt formatCode="0%" sourceLinked="0"/>
        <c:tickLblPos val="nextTo"/>
        <c:crossAx val="30885478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mixen'!$R$69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mixen'!$S$70:$S$77</c:f>
              <c:numCache>
                <c:formatCode>0.0%</c:formatCode>
                <c:ptCount val="8"/>
                <c:pt idx="0">
                  <c:v>0.73950107931281006</c:v>
                </c:pt>
                <c:pt idx="1">
                  <c:v>1.0695709319605546E-2</c:v>
                </c:pt>
                <c:pt idx="2">
                  <c:v>1.3516797779218671E-3</c:v>
                </c:pt>
                <c:pt idx="3">
                  <c:v>9.3306599233297535E-5</c:v>
                </c:pt>
                <c:pt idx="4">
                  <c:v>4.0910442649008325E-4</c:v>
                </c:pt>
                <c:pt idx="5">
                  <c:v>3.522080270887276E-4</c:v>
                </c:pt>
                <c:pt idx="6">
                  <c:v>5.4075523727971954E-3</c:v>
                </c:pt>
                <c:pt idx="7">
                  <c:v>0.15467638652030202</c:v>
                </c:pt>
              </c:numCache>
            </c:numRef>
          </c:val>
        </c:ser>
        <c:ser>
          <c:idx val="1"/>
          <c:order val="1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mixen'!$T$70:$T$77</c:f>
              <c:numCache>
                <c:formatCode>0.0%</c:formatCode>
                <c:ptCount val="8"/>
                <c:pt idx="0">
                  <c:v>6.5885360903189527E-3</c:v>
                </c:pt>
                <c:pt idx="1">
                  <c:v>2.7974392867549554E-2</c:v>
                </c:pt>
                <c:pt idx="2">
                  <c:v>8.1058330453930051E-3</c:v>
                </c:pt>
                <c:pt idx="3">
                  <c:v>1.4237615205571863E-3</c:v>
                </c:pt>
                <c:pt idx="4">
                  <c:v>3.6705332051094833E-3</c:v>
                </c:pt>
                <c:pt idx="5">
                  <c:v>3.2838824499393823E-3</c:v>
                </c:pt>
                <c:pt idx="6">
                  <c:v>1.8505535562136875E-2</c:v>
                </c:pt>
                <c:pt idx="7">
                  <c:v>1.7960498902747174E-2</c:v>
                </c:pt>
              </c:numCache>
            </c:numRef>
          </c:val>
        </c:ser>
        <c:ser>
          <c:idx val="2"/>
          <c:order val="2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mixen'!$U$70:$U$77</c:f>
              <c:numCache>
                <c:formatCode>0.0%</c:formatCode>
                <c:ptCount val="8"/>
                <c:pt idx="0">
                  <c:v>6.7084092769457149E-3</c:v>
                </c:pt>
                <c:pt idx="1">
                  <c:v>2.0949547136139314E-2</c:v>
                </c:pt>
                <c:pt idx="2">
                  <c:v>5.156575819385778E-3</c:v>
                </c:pt>
                <c:pt idx="3">
                  <c:v>7.3548054992663304E-4</c:v>
                </c:pt>
                <c:pt idx="4">
                  <c:v>1.9569483498647301E-3</c:v>
                </c:pt>
                <c:pt idx="5">
                  <c:v>2.0255480031320804E-3</c:v>
                </c:pt>
                <c:pt idx="6">
                  <c:v>1.3303138443116026E-2</c:v>
                </c:pt>
                <c:pt idx="7">
                  <c:v>1.7879236858977993E-2</c:v>
                </c:pt>
              </c:numCache>
            </c:numRef>
          </c:val>
        </c:ser>
        <c:gapWidth val="100"/>
        <c:overlap val="100"/>
        <c:axId val="308881664"/>
        <c:axId val="308895744"/>
      </c:barChart>
      <c:catAx>
        <c:axId val="308881664"/>
        <c:scaling>
          <c:orientation val="minMax"/>
        </c:scaling>
        <c:axPos val="l"/>
        <c:tickLblPos val="nextTo"/>
        <c:crossAx val="308895744"/>
        <c:crosses val="autoZero"/>
        <c:auto val="1"/>
        <c:lblAlgn val="ctr"/>
        <c:lblOffset val="100"/>
      </c:catAx>
      <c:valAx>
        <c:axId val="308895744"/>
        <c:scaling>
          <c:orientation val="minMax"/>
        </c:scaling>
        <c:axPos val="b"/>
        <c:majorGridlines/>
        <c:numFmt formatCode="0%" sourceLinked="0"/>
        <c:tickLblPos val="nextTo"/>
        <c:crossAx val="30888166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343" l="0.70000000000000062" r="0.70000000000000062" t="0.7500000000000134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8.1556677787905998E-2</c:v>
                </c:pt>
                <c:pt idx="1">
                  <c:v>8.5628462959659896E-2</c:v>
                </c:pt>
                <c:pt idx="2">
                  <c:v>0.14847929678826829</c:v>
                </c:pt>
                <c:pt idx="3">
                  <c:v>6.3494955772804243E-2</c:v>
                </c:pt>
                <c:pt idx="4">
                  <c:v>2.1952965959462358E-2</c:v>
                </c:pt>
                <c:pt idx="5">
                  <c:v>4.6045266028692695E-2</c:v>
                </c:pt>
                <c:pt idx="6">
                  <c:v>4.943906484325794E-2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0.10405070489141398</c:v>
                </c:pt>
                <c:pt idx="1">
                  <c:v>0.10307331791796778</c:v>
                </c:pt>
                <c:pt idx="2">
                  <c:v>6.143699998339916E-2</c:v>
                </c:pt>
                <c:pt idx="3">
                  <c:v>4.8831557938862569E-2</c:v>
                </c:pt>
                <c:pt idx="4">
                  <c:v>2.8338016724379498E-2</c:v>
                </c:pt>
                <c:pt idx="5">
                  <c:v>7.2905758648475538E-2</c:v>
                </c:pt>
                <c:pt idx="6">
                  <c:v>8.4766953755450347E-2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0.10919328944745255</c:v>
                </c:pt>
                <c:pt idx="1">
                  <c:v>0.10547252299807486</c:v>
                </c:pt>
                <c:pt idx="2">
                  <c:v>6.5176404216515993E-2</c:v>
                </c:pt>
                <c:pt idx="3">
                  <c:v>4.6990834386913635E-2</c:v>
                </c:pt>
                <c:pt idx="4">
                  <c:v>2.8262641805246513E-2</c:v>
                </c:pt>
                <c:pt idx="5">
                  <c:v>7.4695949606881654E-2</c:v>
                </c:pt>
                <c:pt idx="6">
                  <c:v>8.519983444247492E-2</c:v>
                </c:pt>
              </c:numCache>
            </c:numRef>
          </c:val>
        </c:ser>
        <c:gapWidth val="101"/>
        <c:overlap val="100"/>
        <c:axId val="309335168"/>
        <c:axId val="309336704"/>
      </c:barChart>
      <c:catAx>
        <c:axId val="309335168"/>
        <c:scaling>
          <c:orientation val="minMax"/>
        </c:scaling>
        <c:axPos val="l"/>
        <c:tickLblPos val="nextTo"/>
        <c:crossAx val="309336704"/>
        <c:crosses val="autoZero"/>
        <c:auto val="1"/>
        <c:lblAlgn val="ctr"/>
        <c:lblOffset val="100"/>
      </c:catAx>
      <c:valAx>
        <c:axId val="309336704"/>
        <c:scaling>
          <c:orientation val="minMax"/>
        </c:scaling>
        <c:axPos val="b"/>
        <c:majorGridlines/>
        <c:numFmt formatCode="0%" sourceLinked="0"/>
        <c:tickLblPos val="nextTo"/>
        <c:crossAx val="30933516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return'!$Q$13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return'!$R$14:$R$20</c:f>
              <c:numCache>
                <c:formatCode>0.0%</c:formatCode>
                <c:ptCount val="7"/>
                <c:pt idx="0">
                  <c:v>1.7689981899054359E-2</c:v>
                </c:pt>
                <c:pt idx="1">
                  <c:v>0.56757357536898656</c:v>
                </c:pt>
                <c:pt idx="2">
                  <c:v>1.9234270153773903E-4</c:v>
                </c:pt>
                <c:pt idx="3">
                  <c:v>4.8544643607962595E-2</c:v>
                </c:pt>
                <c:pt idx="4">
                  <c:v>1.2067341967224624E-3</c:v>
                </c:pt>
                <c:pt idx="5">
                  <c:v>1.0415615153442442E-2</c:v>
                </c:pt>
                <c:pt idx="6">
                  <c:v>4.0450734037922641E-3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return'!$S$14:$S$20</c:f>
              <c:numCache>
                <c:formatCode>0.0%</c:formatCode>
                <c:ptCount val="7"/>
                <c:pt idx="0">
                  <c:v>5.3275440462939395E-2</c:v>
                </c:pt>
                <c:pt idx="1">
                  <c:v>0.12581681247726506</c:v>
                </c:pt>
                <c:pt idx="2">
                  <c:v>3.379478899186268E-3</c:v>
                </c:pt>
                <c:pt idx="3">
                  <c:v>0.11372807074283739</c:v>
                </c:pt>
                <c:pt idx="4">
                  <c:v>7.8031701083086207E-3</c:v>
                </c:pt>
                <c:pt idx="5">
                  <c:v>2.7411525522653808E-2</c:v>
                </c:pt>
                <c:pt idx="6">
                  <c:v>1.891753545531067E-2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return'!$T$14:$T$20</c:f>
              <c:numCache>
                <c:formatCode>0.0%</c:formatCode>
                <c:ptCount val="7"/>
                <c:pt idx="0">
                  <c:v>5.3461008927731341E-2</c:v>
                </c:pt>
                <c:pt idx="1">
                  <c:v>0.12231717044685286</c:v>
                </c:pt>
                <c:pt idx="2">
                  <c:v>3.7903980991593972E-3</c:v>
                </c:pt>
                <c:pt idx="3">
                  <c:v>0.11706912915241713</c:v>
                </c:pt>
                <c:pt idx="4">
                  <c:v>8.6339781052762223E-3</c:v>
                </c:pt>
                <c:pt idx="5">
                  <c:v>2.6769848943111817E-2</c:v>
                </c:pt>
                <c:pt idx="6">
                  <c:v>2.0266179195878257E-2</c:v>
                </c:pt>
              </c:numCache>
            </c:numRef>
          </c:val>
        </c:ser>
        <c:gapWidth val="101"/>
        <c:overlap val="100"/>
        <c:axId val="309370240"/>
        <c:axId val="309376128"/>
      </c:barChart>
      <c:catAx>
        <c:axId val="309370240"/>
        <c:scaling>
          <c:orientation val="minMax"/>
        </c:scaling>
        <c:axPos val="l"/>
        <c:tickLblPos val="nextTo"/>
        <c:crossAx val="309376128"/>
        <c:crosses val="autoZero"/>
        <c:auto val="1"/>
        <c:lblAlgn val="ctr"/>
        <c:lblOffset val="100"/>
      </c:catAx>
      <c:valAx>
        <c:axId val="309376128"/>
        <c:scaling>
          <c:orientation val="minMax"/>
        </c:scaling>
        <c:axPos val="b"/>
        <c:majorGridlines/>
        <c:numFmt formatCode="0%" sourceLinked="0"/>
        <c:tickLblPos val="nextTo"/>
        <c:crossAx val="30937024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return'!$Q$23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return'!$R$24:$R$30</c:f>
              <c:numCache>
                <c:formatCode>0.0%</c:formatCode>
                <c:ptCount val="7"/>
                <c:pt idx="0">
                  <c:v>2.9873169456910817E-3</c:v>
                </c:pt>
                <c:pt idx="1">
                  <c:v>1.8947495899032048E-2</c:v>
                </c:pt>
                <c:pt idx="2">
                  <c:v>2.2649620053582683E-5</c:v>
                </c:pt>
                <c:pt idx="3">
                  <c:v>4.1802112496225081E-3</c:v>
                </c:pt>
                <c:pt idx="4">
                  <c:v>0.80486333081504724</c:v>
                </c:pt>
                <c:pt idx="5">
                  <c:v>2.6936473200456974E-3</c:v>
                </c:pt>
                <c:pt idx="6">
                  <c:v>1.3662559704584513E-3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return'!$S$24:$S$30</c:f>
              <c:numCache>
                <c:formatCode>0.0%</c:formatCode>
                <c:ptCount val="7"/>
                <c:pt idx="0">
                  <c:v>1.4898136259345548E-2</c:v>
                </c:pt>
                <c:pt idx="1">
                  <c:v>4.4515872059630354E-2</c:v>
                </c:pt>
                <c:pt idx="2">
                  <c:v>1.3683363937042959E-3</c:v>
                </c:pt>
                <c:pt idx="3">
                  <c:v>2.7069553817759891E-2</c:v>
                </c:pt>
                <c:pt idx="4">
                  <c:v>5.0858332317472277E-2</c:v>
                </c:pt>
                <c:pt idx="5">
                  <c:v>1.5298691842998617E-2</c:v>
                </c:pt>
                <c:pt idx="6">
                  <c:v>1.0930169489137716E-2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return'!$T$24:$T$30</c:f>
              <c:numCache>
                <c:formatCode>0.0%</c:formatCode>
                <c:ptCount val="7"/>
                <c:pt idx="0">
                  <c:v>1.5815494783040819E-2</c:v>
                </c:pt>
                <c:pt idx="1">
                  <c:v>4.9190556423511819E-2</c:v>
                </c:pt>
                <c:pt idx="2">
                  <c:v>1.5162287194876508E-3</c:v>
                </c:pt>
                <c:pt idx="3">
                  <c:v>2.5292488177890461E-2</c:v>
                </c:pt>
                <c:pt idx="4">
                  <c:v>4.9232562810244573E-2</c:v>
                </c:pt>
                <c:pt idx="5">
                  <c:v>1.4391669066541168E-2</c:v>
                </c:pt>
                <c:pt idx="6">
                  <c:v>1.0419931861645795E-2</c:v>
                </c:pt>
              </c:numCache>
            </c:numRef>
          </c:val>
        </c:ser>
        <c:gapWidth val="101"/>
        <c:overlap val="100"/>
        <c:axId val="309397376"/>
        <c:axId val="309398912"/>
      </c:barChart>
      <c:catAx>
        <c:axId val="309397376"/>
        <c:scaling>
          <c:orientation val="minMax"/>
        </c:scaling>
        <c:axPos val="l"/>
        <c:tickLblPos val="nextTo"/>
        <c:crossAx val="309398912"/>
        <c:crosses val="autoZero"/>
        <c:auto val="1"/>
        <c:lblAlgn val="ctr"/>
        <c:lblOffset val="100"/>
      </c:catAx>
      <c:valAx>
        <c:axId val="309398912"/>
        <c:scaling>
          <c:orientation val="minMax"/>
        </c:scaling>
        <c:axPos val="b"/>
        <c:majorGridlines/>
        <c:numFmt formatCode="0%" sourceLinked="0"/>
        <c:tickLblPos val="nextTo"/>
        <c:crossAx val="30939737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return'!$Q$33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return'!$R$34:$R$40</c:f>
              <c:numCache>
                <c:formatCode>0.0%</c:formatCode>
                <c:ptCount val="7"/>
                <c:pt idx="0">
                  <c:v>1.8335859886351964E-2</c:v>
                </c:pt>
                <c:pt idx="1">
                  <c:v>0.34450286515863837</c:v>
                </c:pt>
                <c:pt idx="2">
                  <c:v>1.3813820731033294E-3</c:v>
                </c:pt>
                <c:pt idx="3">
                  <c:v>0.12126751516537322</c:v>
                </c:pt>
                <c:pt idx="4">
                  <c:v>1.650791025240039E-4</c:v>
                </c:pt>
                <c:pt idx="5">
                  <c:v>5.6410164931040589E-3</c:v>
                </c:pt>
                <c:pt idx="6">
                  <c:v>3.0874212257634748E-2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return'!$S$34:$S$40</c:f>
              <c:numCache>
                <c:formatCode>0.0%</c:formatCode>
                <c:ptCount val="7"/>
                <c:pt idx="0">
                  <c:v>5.1541447995141723E-2</c:v>
                </c:pt>
                <c:pt idx="1">
                  <c:v>0.16773061752269058</c:v>
                </c:pt>
                <c:pt idx="2">
                  <c:v>9.5062868872658832E-3</c:v>
                </c:pt>
                <c:pt idx="3">
                  <c:v>0.12448022887079936</c:v>
                </c:pt>
                <c:pt idx="4">
                  <c:v>3.2258723086582772E-3</c:v>
                </c:pt>
                <c:pt idx="5">
                  <c:v>2.030817719527565E-2</c:v>
                </c:pt>
                <c:pt idx="6">
                  <c:v>0.10103943908343797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return'!$T$34:$T$40</c:f>
              <c:numCache>
                <c:formatCode>0.0%</c:formatCode>
                <c:ptCount val="7"/>
                <c:pt idx="0">
                  <c:v>4.9822399772341375E-2</c:v>
                </c:pt>
                <c:pt idx="1">
                  <c:v>0.1728983754243979</c:v>
                </c:pt>
                <c:pt idx="2">
                  <c:v>1.0907122374357344E-2</c:v>
                </c:pt>
                <c:pt idx="3">
                  <c:v>0.12538797830514417</c:v>
                </c:pt>
                <c:pt idx="4">
                  <c:v>3.2879657728106053E-3</c:v>
                </c:pt>
                <c:pt idx="5">
                  <c:v>2.0803386068917309E-2</c:v>
                </c:pt>
                <c:pt idx="6">
                  <c:v>0.10199091558720155</c:v>
                </c:pt>
              </c:numCache>
            </c:numRef>
          </c:val>
        </c:ser>
        <c:gapWidth val="100"/>
        <c:overlap val="100"/>
        <c:axId val="309444992"/>
        <c:axId val="309446528"/>
      </c:barChart>
      <c:catAx>
        <c:axId val="309444992"/>
        <c:scaling>
          <c:orientation val="minMax"/>
        </c:scaling>
        <c:axPos val="l"/>
        <c:tickLblPos val="nextTo"/>
        <c:crossAx val="309446528"/>
        <c:crosses val="autoZero"/>
        <c:auto val="1"/>
        <c:lblAlgn val="ctr"/>
        <c:lblOffset val="100"/>
      </c:catAx>
      <c:valAx>
        <c:axId val="309446528"/>
        <c:scaling>
          <c:orientation val="minMax"/>
        </c:scaling>
        <c:axPos val="b"/>
        <c:majorGridlines/>
        <c:numFmt formatCode="0%" sourceLinked="0"/>
        <c:tickLblPos val="nextTo"/>
        <c:crossAx val="30944499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return'!$Q$43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return'!$R$44:$R$50</c:f>
              <c:numCache>
                <c:formatCode>0.0%</c:formatCode>
                <c:ptCount val="7"/>
                <c:pt idx="0">
                  <c:v>1.6320296571683168E-4</c:v>
                </c:pt>
                <c:pt idx="1">
                  <c:v>2.430678091334357E-4</c:v>
                </c:pt>
                <c:pt idx="2">
                  <c:v>8.4076864540389717E-5</c:v>
                </c:pt>
                <c:pt idx="3">
                  <c:v>2.9340269108695557E-4</c:v>
                </c:pt>
                <c:pt idx="4">
                  <c:v>2.782982612921637E-4</c:v>
                </c:pt>
                <c:pt idx="5">
                  <c:v>7.1772847168031393E-3</c:v>
                </c:pt>
                <c:pt idx="6">
                  <c:v>2.2873459960583613E-3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return'!$S$44:$S$50</c:f>
              <c:numCache>
                <c:formatCode>0.0%</c:formatCode>
                <c:ptCount val="7"/>
                <c:pt idx="0">
                  <c:v>0.10113719494518361</c:v>
                </c:pt>
                <c:pt idx="1">
                  <c:v>8.9030365775368242E-2</c:v>
                </c:pt>
                <c:pt idx="2">
                  <c:v>6.7279510345156099E-2</c:v>
                </c:pt>
                <c:pt idx="3">
                  <c:v>0.15482102293363895</c:v>
                </c:pt>
                <c:pt idx="4">
                  <c:v>0.13554524385233868</c:v>
                </c:pt>
                <c:pt idx="5">
                  <c:v>0.26004099565629113</c:v>
                </c:pt>
                <c:pt idx="6">
                  <c:v>0.18161898718701272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return'!$T$44:$T$50</c:f>
              <c:numCache>
                <c:formatCode>0.0%</c:formatCode>
                <c:ptCount val="7"/>
                <c:pt idx="0">
                  <c:v>0.10797117611741426</c:v>
                </c:pt>
                <c:pt idx="1">
                  <c:v>8.3769320677893444E-2</c:v>
                </c:pt>
                <c:pt idx="2">
                  <c:v>7.3096860728721874E-2</c:v>
                </c:pt>
                <c:pt idx="3">
                  <c:v>0.19707239434661158</c:v>
                </c:pt>
                <c:pt idx="4">
                  <c:v>0.1718555329574955</c:v>
                </c:pt>
                <c:pt idx="5">
                  <c:v>0.32952192935874058</c:v>
                </c:pt>
                <c:pt idx="6">
                  <c:v>0.24129095702961317</c:v>
                </c:pt>
              </c:numCache>
            </c:numRef>
          </c:val>
        </c:ser>
        <c:gapWidth val="100"/>
        <c:overlap val="100"/>
        <c:axId val="309607040"/>
        <c:axId val="309621120"/>
      </c:barChart>
      <c:catAx>
        <c:axId val="309607040"/>
        <c:scaling>
          <c:orientation val="minMax"/>
        </c:scaling>
        <c:axPos val="l"/>
        <c:tickLblPos val="nextTo"/>
        <c:crossAx val="309621120"/>
        <c:crosses val="autoZero"/>
        <c:auto val="1"/>
        <c:lblAlgn val="ctr"/>
        <c:lblOffset val="100"/>
      </c:catAx>
      <c:valAx>
        <c:axId val="309621120"/>
        <c:scaling>
          <c:orientation val="minMax"/>
        </c:scaling>
        <c:axPos val="b"/>
        <c:majorGridlines/>
        <c:numFmt formatCode="0%" sourceLinked="0"/>
        <c:tickLblPos val="nextTo"/>
        <c:crossAx val="30960704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1.7689981899054359E-2</c:v>
                </c:pt>
                <c:pt idx="1">
                  <c:v>0.56757357536898656</c:v>
                </c:pt>
                <c:pt idx="2">
                  <c:v>1.9234270153773903E-4</c:v>
                </c:pt>
                <c:pt idx="3">
                  <c:v>4.8544643607962595E-2</c:v>
                </c:pt>
                <c:pt idx="4">
                  <c:v>1.2067341967224624E-3</c:v>
                </c:pt>
                <c:pt idx="5">
                  <c:v>1.0415615153442442E-2</c:v>
                </c:pt>
                <c:pt idx="6">
                  <c:v>4.0450734037922641E-3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5.3275440462939395E-2</c:v>
                </c:pt>
                <c:pt idx="1">
                  <c:v>0.12581681247726506</c:v>
                </c:pt>
                <c:pt idx="2">
                  <c:v>3.379478899186268E-3</c:v>
                </c:pt>
                <c:pt idx="3">
                  <c:v>0.11372807074283739</c:v>
                </c:pt>
                <c:pt idx="4">
                  <c:v>7.8031701083086207E-3</c:v>
                </c:pt>
                <c:pt idx="5">
                  <c:v>2.7411525522653808E-2</c:v>
                </c:pt>
                <c:pt idx="6">
                  <c:v>1.891753545531067E-2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5.3461008927731341E-2</c:v>
                </c:pt>
                <c:pt idx="1">
                  <c:v>0.12231717044685286</c:v>
                </c:pt>
                <c:pt idx="2">
                  <c:v>3.7903980991593972E-3</c:v>
                </c:pt>
                <c:pt idx="3">
                  <c:v>0.11706912915241713</c:v>
                </c:pt>
                <c:pt idx="4">
                  <c:v>8.6339781052762223E-3</c:v>
                </c:pt>
                <c:pt idx="5">
                  <c:v>2.6769848943111817E-2</c:v>
                </c:pt>
                <c:pt idx="6">
                  <c:v>2.0266179195878257E-2</c:v>
                </c:pt>
              </c:numCache>
            </c:numRef>
          </c:val>
        </c:ser>
        <c:gapWidth val="100"/>
        <c:overlap val="100"/>
        <c:axId val="309646464"/>
        <c:axId val="309648000"/>
      </c:barChart>
      <c:catAx>
        <c:axId val="309646464"/>
        <c:scaling>
          <c:orientation val="minMax"/>
        </c:scaling>
        <c:axPos val="l"/>
        <c:tickLblPos val="nextTo"/>
        <c:crossAx val="309648000"/>
        <c:crosses val="autoZero"/>
        <c:auto val="1"/>
        <c:lblAlgn val="ctr"/>
        <c:lblOffset val="100"/>
      </c:catAx>
      <c:valAx>
        <c:axId val="309648000"/>
        <c:scaling>
          <c:orientation val="minMax"/>
        </c:scaling>
        <c:axPos val="b"/>
        <c:majorGridlines/>
        <c:numFmt formatCode="0%" sourceLinked="0"/>
        <c:tickLblPos val="nextTo"/>
        <c:crossAx val="30964646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55" l="0.70000000000000062" r="0.70000000000000062" t="0.7500000000000125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return'!$A$74:$A$80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return'!$B$74:$B$80</c:f>
              <c:numCache>
                <c:formatCode>0.0%</c:formatCode>
                <c:ptCount val="7"/>
                <c:pt idx="0">
                  <c:v>7.0965422361993755E-2</c:v>
                </c:pt>
                <c:pt idx="1">
                  <c:v>0.69339038784625162</c:v>
                </c:pt>
                <c:pt idx="2">
                  <c:v>3.5718216007240072E-3</c:v>
                </c:pt>
                <c:pt idx="3">
                  <c:v>0.16227271435079998</c:v>
                </c:pt>
                <c:pt idx="4">
                  <c:v>9.0099043050310829E-3</c:v>
                </c:pt>
                <c:pt idx="5">
                  <c:v>3.7827140676096251E-2</c:v>
                </c:pt>
                <c:pt idx="6">
                  <c:v>2.2962608859102934E-2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return'!$A$103:$A$109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return'!$B$103:$B$109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return'!$Q$63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return'!$R$64:$R$70</c:f>
              <c:numCache>
                <c:formatCode>0.0%</c:formatCode>
                <c:ptCount val="7"/>
                <c:pt idx="0">
                  <c:v>2.2022090809635228E-2</c:v>
                </c:pt>
                <c:pt idx="1">
                  <c:v>2.4767254847988776E-3</c:v>
                </c:pt>
                <c:pt idx="2">
                  <c:v>1.0538314385997336E-4</c:v>
                </c:pt>
                <c:pt idx="3">
                  <c:v>4.2639423224586205E-4</c:v>
                </c:pt>
                <c:pt idx="4">
                  <c:v>4.4516887780731107E-4</c:v>
                </c:pt>
                <c:pt idx="5">
                  <c:v>9.0431371416842977E-3</c:v>
                </c:pt>
                <c:pt idx="6">
                  <c:v>0.55536313153721006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return'!$S$64:$S$70</c:f>
              <c:numCache>
                <c:formatCode>0.0%</c:formatCode>
                <c:ptCount val="7"/>
                <c:pt idx="0">
                  <c:v>0.12715181374550094</c:v>
                </c:pt>
                <c:pt idx="1">
                  <c:v>3.4734778557095315E-2</c:v>
                </c:pt>
                <c:pt idx="2">
                  <c:v>5.9288533975451968E-3</c:v>
                </c:pt>
                <c:pt idx="3">
                  <c:v>1.5856986188054884E-2</c:v>
                </c:pt>
                <c:pt idx="4">
                  <c:v>1.4014893797770281E-2</c:v>
                </c:pt>
                <c:pt idx="5">
                  <c:v>8.3628200770619679E-2</c:v>
                </c:pt>
                <c:pt idx="6">
                  <c:v>0.12880244231617188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return'!$T$64:$T$70</c:f>
              <c:numCache>
                <c:formatCode>0.0%</c:formatCode>
                <c:ptCount val="7"/>
                <c:pt idx="0">
                  <c:v>0.13308662709556612</c:v>
                </c:pt>
                <c:pt idx="1">
                  <c:v>3.8307155673134329E-2</c:v>
                </c:pt>
                <c:pt idx="2">
                  <c:v>6.9533530234366396E-3</c:v>
                </c:pt>
                <c:pt idx="3">
                  <c:v>1.5622084516892516E-2</c:v>
                </c:pt>
                <c:pt idx="4">
                  <c:v>1.5847009583782788E-2</c:v>
                </c:pt>
                <c:pt idx="5">
                  <c:v>8.8683503871567981E-2</c:v>
                </c:pt>
                <c:pt idx="6">
                  <c:v>0.13920112412543351</c:v>
                </c:pt>
              </c:numCache>
            </c:numRef>
          </c:val>
        </c:ser>
        <c:gapWidth val="100"/>
        <c:overlap val="100"/>
        <c:axId val="309763456"/>
        <c:axId val="309777536"/>
      </c:barChart>
      <c:catAx>
        <c:axId val="309763456"/>
        <c:scaling>
          <c:orientation val="minMax"/>
        </c:scaling>
        <c:axPos val="l"/>
        <c:tickLblPos val="nextTo"/>
        <c:crossAx val="309777536"/>
        <c:crosses val="autoZero"/>
        <c:auto val="1"/>
        <c:lblAlgn val="ctr"/>
        <c:lblOffset val="100"/>
      </c:catAx>
      <c:valAx>
        <c:axId val="309777536"/>
        <c:scaling>
          <c:orientation val="minMax"/>
        </c:scaling>
        <c:axPos val="b"/>
        <c:majorGridlines/>
        <c:numFmt formatCode="0%" sourceLinked="0"/>
        <c:tickLblPos val="nextTo"/>
        <c:crossAx val="30976345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return'!$Q$53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24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return'!$R$54:$R$60</c:f>
              <c:numCache>
                <c:formatCode>0.0%</c:formatCode>
                <c:ptCount val="7"/>
                <c:pt idx="0">
                  <c:v>3.196262340591038E-6</c:v>
                </c:pt>
                <c:pt idx="1">
                  <c:v>1.105200329382637E-6</c:v>
                </c:pt>
                <c:pt idx="2">
                  <c:v>9.6574528857113598E-7</c:v>
                </c:pt>
                <c:pt idx="3">
                  <c:v>5.3581393123925768E-6</c:v>
                </c:pt>
                <c:pt idx="4">
                  <c:v>4.396136480363585E-6</c:v>
                </c:pt>
                <c:pt idx="5">
                  <c:v>0.95857434778978423</c:v>
                </c:pt>
                <c:pt idx="6">
                  <c:v>3.539717288938552E-5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return'!$S$54:$S$60</c:f>
              <c:numCache>
                <c:formatCode>0.0%</c:formatCode>
                <c:ptCount val="7"/>
                <c:pt idx="0">
                  <c:v>2.3802445569592223E-3</c:v>
                </c:pt>
                <c:pt idx="1">
                  <c:v>2.8963737691813144E-3</c:v>
                </c:pt>
                <c:pt idx="2">
                  <c:v>2.4556996085910374E-3</c:v>
                </c:pt>
                <c:pt idx="3">
                  <c:v>4.1825203961979428E-3</c:v>
                </c:pt>
                <c:pt idx="4">
                  <c:v>3.3937544107332882E-3</c:v>
                </c:pt>
                <c:pt idx="5">
                  <c:v>1.6059894800735997E-2</c:v>
                </c:pt>
                <c:pt idx="6">
                  <c:v>1.0006746011173016E-2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return'!$T$54:$T$60</c:f>
              <c:numCache>
                <c:formatCode>0.0%</c:formatCode>
                <c:ptCount val="7"/>
                <c:pt idx="0">
                  <c:v>2.7219567792069101E-3</c:v>
                </c:pt>
                <c:pt idx="1">
                  <c:v>3.8014797172323295E-3</c:v>
                </c:pt>
                <c:pt idx="2">
                  <c:v>2.496731389603169E-3</c:v>
                </c:pt>
                <c:pt idx="3">
                  <c:v>5.2514447206663635E-3</c:v>
                </c:pt>
                <c:pt idx="4">
                  <c:v>3.873163967437622E-3</c:v>
                </c:pt>
                <c:pt idx="5">
                  <c:v>1.6492045402250022E-2</c:v>
                </c:pt>
                <c:pt idx="6">
                  <c:v>1.1855574511716078E-2</c:v>
                </c:pt>
              </c:numCache>
            </c:numRef>
          </c:val>
        </c:ser>
        <c:gapWidth val="100"/>
        <c:overlap val="100"/>
        <c:axId val="309806976"/>
        <c:axId val="309808512"/>
      </c:barChart>
      <c:catAx>
        <c:axId val="309806976"/>
        <c:scaling>
          <c:orientation val="minMax"/>
        </c:scaling>
        <c:axPos val="l"/>
        <c:tickLblPos val="nextTo"/>
        <c:crossAx val="309808512"/>
        <c:crosses val="autoZero"/>
        <c:auto val="1"/>
        <c:lblAlgn val="ctr"/>
        <c:lblOffset val="100"/>
      </c:catAx>
      <c:valAx>
        <c:axId val="309808512"/>
        <c:scaling>
          <c:orientation val="minMax"/>
        </c:scaling>
        <c:axPos val="b"/>
        <c:majorGridlines/>
        <c:numFmt formatCode="0%" sourceLinked="0"/>
        <c:tickLblPos val="nextTo"/>
        <c:crossAx val="30980697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299" l="0.70000000000000062" r="0.70000000000000062" t="0.7500000000000129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719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593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0.47802755015757986</c:v>
                </c:pt>
                <c:pt idx="1">
                  <c:v>1.4124601042672547E-2</c:v>
                </c:pt>
                <c:pt idx="2">
                  <c:v>0.29023525091011454</c:v>
                </c:pt>
                <c:pt idx="3">
                  <c:v>2.4762226148134479E-4</c:v>
                </c:pt>
                <c:pt idx="4">
                  <c:v>4.1023522190379344E-2</c:v>
                </c:pt>
                <c:pt idx="5">
                  <c:v>1.0937254290032804E-3</c:v>
                </c:pt>
                <c:pt idx="6">
                  <c:v>7.9837615273268166E-3</c:v>
                </c:pt>
                <c:pt idx="7">
                  <c:v>3.5267526171440127E-3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2.3887950909341649E-2</c:v>
                </c:pt>
                <c:pt idx="1">
                  <c:v>2.1316826431137546E-2</c:v>
                </c:pt>
                <c:pt idx="2">
                  <c:v>5.811088856478358E-2</c:v>
                </c:pt>
                <c:pt idx="3">
                  <c:v>1.5266204675059031E-3</c:v>
                </c:pt>
                <c:pt idx="4">
                  <c:v>3.6688579516835948E-2</c:v>
                </c:pt>
                <c:pt idx="5">
                  <c:v>3.3742117225408642E-3</c:v>
                </c:pt>
                <c:pt idx="6">
                  <c:v>1.0944995846093247E-2</c:v>
                </c:pt>
                <c:pt idx="7">
                  <c:v>7.887140406059345E-3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2.2193298553934038E-2</c:v>
                </c:pt>
                <c:pt idx="1">
                  <c:v>1.605323503558026E-2</c:v>
                </c:pt>
                <c:pt idx="2">
                  <c:v>5.2615834212901558E-2</c:v>
                </c:pt>
                <c:pt idx="3">
                  <c:v>6.9689188118907813E-4</c:v>
                </c:pt>
                <c:pt idx="4">
                  <c:v>3.4462540055257118E-2</c:v>
                </c:pt>
                <c:pt idx="5">
                  <c:v>1.9403684317166195E-3</c:v>
                </c:pt>
                <c:pt idx="6">
                  <c:v>7.9565989865291384E-3</c:v>
                </c:pt>
                <c:pt idx="7">
                  <c:v>4.9792678256778966E-3</c:v>
                </c:pt>
              </c:numCache>
            </c:numRef>
          </c:val>
        </c:ser>
        <c:overlap val="100"/>
        <c:axId val="309863936"/>
        <c:axId val="309865856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0.00%</c:formatCode>
                <c:ptCount val="8"/>
                <c:pt idx="0">
                  <c:v>0.55282478375024968</c:v>
                </c:pt>
                <c:pt idx="1">
                  <c:v>9.9075500713263709E-2</c:v>
                </c:pt>
                <c:pt idx="2">
                  <c:v>9.346901390128548E-2</c:v>
                </c:pt>
                <c:pt idx="3">
                  <c:v>0.11036511115690795</c:v>
                </c:pt>
                <c:pt idx="4">
                  <c:v>4.9724653199130588E-2</c:v>
                </c:pt>
                <c:pt idx="5">
                  <c:v>1.9027140584823948E-2</c:v>
                </c:pt>
                <c:pt idx="6">
                  <c:v>3.0988823352997075E-2</c:v>
                </c:pt>
                <c:pt idx="7">
                  <c:v>4.4524973341341555E-2</c:v>
                </c:pt>
              </c:numCache>
            </c:numRef>
          </c:val>
        </c:ser>
        <c:marker val="1"/>
        <c:axId val="309863936"/>
        <c:axId val="309865856"/>
      </c:lineChart>
      <c:catAx>
        <c:axId val="309863936"/>
        <c:scaling>
          <c:orientation val="minMax"/>
        </c:scaling>
        <c:axPos val="b"/>
        <c:tickLblPos val="nextTo"/>
        <c:crossAx val="309865856"/>
        <c:crosses val="autoZero"/>
        <c:auto val="1"/>
        <c:lblAlgn val="ctr"/>
        <c:lblOffset val="100"/>
      </c:catAx>
      <c:valAx>
        <c:axId val="309865856"/>
        <c:scaling>
          <c:orientation val="minMax"/>
        </c:scaling>
        <c:axPos val="l"/>
        <c:majorGridlines/>
        <c:numFmt formatCode="0%" sourceLinked="0"/>
        <c:tickLblPos val="nextTo"/>
        <c:crossAx val="309863936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154"/>
          <c:w val="0.5562682138416909"/>
          <c:h val="0.69258218413304717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48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0.50191550106692151</c:v>
                </c:pt>
                <c:pt idx="1">
                  <c:v>3.5441427473810093E-2</c:v>
                </c:pt>
                <c:pt idx="2">
                  <c:v>0.34834613947489812</c:v>
                </c:pt>
                <c:pt idx="3">
                  <c:v>1.7742427289872478E-3</c:v>
                </c:pt>
                <c:pt idx="4">
                  <c:v>7.7712101707215292E-2</c:v>
                </c:pt>
                <c:pt idx="5">
                  <c:v>4.4679371515441444E-3</c:v>
                </c:pt>
                <c:pt idx="6">
                  <c:v>1.8928757373420063E-2</c:v>
                </c:pt>
                <c:pt idx="7">
                  <c:v>1.1413893023203357E-2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232" l="0.70000000000000062" r="0.70000000000000062" t="0.75000000000001232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IC'!$D$195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IC'!$C$196:$C$203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IC'!$D$196:$D$203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IC'!$E$195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IC'!$C$196:$C$203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IC'!$E$196:$E$203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309917568"/>
        <c:axId val="309919104"/>
      </c:barChart>
      <c:catAx>
        <c:axId val="309917568"/>
        <c:scaling>
          <c:orientation val="minMax"/>
        </c:scaling>
        <c:axPos val="l"/>
        <c:tickLblPos val="nextTo"/>
        <c:crossAx val="309919104"/>
        <c:crosses val="autoZero"/>
        <c:auto val="1"/>
        <c:lblAlgn val="ctr"/>
        <c:lblOffset val="100"/>
      </c:catAx>
      <c:valAx>
        <c:axId val="309919104"/>
        <c:scaling>
          <c:orientation val="minMax"/>
        </c:scaling>
        <c:axPos val="b"/>
        <c:majorGridlines/>
        <c:numFmt formatCode="0.0%" sourceLinked="1"/>
        <c:tickLblPos val="nextTo"/>
        <c:crossAx val="309917568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Base Case</a:t>
            </a:r>
          </a:p>
        </c:rich>
      </c:tx>
      <c:layout>
        <c:manualLayout>
          <c:xMode val="edge"/>
          <c:yMode val="edge"/>
          <c:x val="0.46539267229392189"/>
          <c:y val="2.2888685473957206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414"/>
          <c:y val="5.1400554097404488E-2"/>
          <c:w val="0.8216434820647488"/>
          <c:h val="0.8213732137649461"/>
        </c:manualLayout>
      </c:layout>
      <c:scatterChart>
        <c:scatterStyle val="lineMarker"/>
        <c:ser>
          <c:idx val="0"/>
          <c:order val="0"/>
          <c:tx>
            <c:v>evenwicht</c:v>
          </c:tx>
          <c:spPr>
            <a:ln w="28575">
              <a:noFill/>
            </a:ln>
          </c:spPr>
          <c:dLbls>
            <c:dLbl>
              <c:idx val="0"/>
              <c:layout>
                <c:manualLayout>
                  <c:x val="2.292592357365628E-3"/>
                  <c:y val="-2.0934752710929168E-3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N</a:t>
                    </a:r>
                    <a:r>
                      <a:rPr lang="en-US"/>
                      <a:t>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2.9267566437338667E-2"/>
                  <c:y val="-5.7823089876890797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H</a:t>
                    </a:r>
                    <a:r>
                      <a:rPr lang="en-US"/>
                      <a:t>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7.4067765714299863E-2"/>
                  <c:y val="1.8910961589052824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E</a:t>
                    </a:r>
                    <a:r>
                      <a:rPr lang="en-US"/>
                      <a:t>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963300376201249"/>
                  <c:y val="2.1797292668660189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A</a:t>
                    </a:r>
                    <a:r>
                      <a:rPr lang="en-US"/>
                      <a:t>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1.1987411018905291E-3"/>
                  <c:y val="-6.8002196299113624E-3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A</a:t>
                    </a:r>
                    <a:r>
                      <a:rPr lang="en-US"/>
                      <a:t>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1.370578989202815E-3"/>
                  <c:y val="4.8181936007252596E-3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G</a:t>
                    </a:r>
                    <a:r>
                      <a:rPr lang="en-US"/>
                      <a:t>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1.8733079123236423E-3"/>
                  <c:y val="1.1191455951559761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H</a:t>
                    </a:r>
                    <a:r>
                      <a:rPr lang="en-US"/>
                      <a:t>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4.8749721278946914E-3"/>
                  <c:y val="2.8709188524677746E-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solidFill>
                          <a:schemeClr val="accent1"/>
                        </a:solidFill>
                      </a:rPr>
                      <a:t>V</a:t>
                    </a:r>
                    <a:r>
                      <a:rPr lang="en-US"/>
                      <a:t>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txPr>
              <a:bodyPr/>
              <a:lstStyle/>
              <a:p>
                <a:pPr>
                  <a:defRPr baseline="0">
                    <a:solidFill>
                      <a:schemeClr val="accent1"/>
                    </a:solidFill>
                  </a:defRPr>
                </a:pPr>
                <a:endParaRPr lang="nl-NL"/>
              </a:p>
            </c:tx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IC'!$J$3:$J$10</c:f>
              <c:numCache>
                <c:formatCode>0.0%</c:formatCode>
                <c:ptCount val="8"/>
                <c:pt idx="0">
                  <c:v>3.8327320576542839E-2</c:v>
                </c:pt>
                <c:pt idx="1">
                  <c:v>0.15740402046445473</c:v>
                </c:pt>
                <c:pt idx="2">
                  <c:v>0.16055565886911449</c:v>
                </c:pt>
                <c:pt idx="3">
                  <c:v>0.28482723462884557</c:v>
                </c:pt>
                <c:pt idx="4">
                  <c:v>0.29086830436352928</c:v>
                </c:pt>
                <c:pt idx="5">
                  <c:v>0.32762989319180058</c:v>
                </c:pt>
                <c:pt idx="6">
                  <c:v>0.15798659221184908</c:v>
                </c:pt>
                <c:pt idx="7">
                  <c:v>0.19621796279766246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3.1392347703607063E-2</c:v>
                </c:pt>
                <c:pt idx="3">
                  <c:v>5.5586945104648379E-2</c:v>
                </c:pt>
                <c:pt idx="4">
                  <c:v>5.4126209330308192E-2</c:v>
                </c:pt>
                <c:pt idx="5">
                  <c:v>5.1749106701455286E-2</c:v>
                </c:pt>
                <c:pt idx="6">
                  <c:v>2.8567108921173753E-2</c:v>
                </c:pt>
                <c:pt idx="7">
                  <c:v>3.8735949538907542E-2</c:v>
                </c:pt>
              </c:numCache>
            </c:numRef>
          </c:yVal>
        </c:ser>
        <c:ser>
          <c:idx val="1"/>
          <c:order val="1"/>
          <c:tx>
            <c:v>base case</c:v>
          </c:tx>
          <c:spPr>
            <a:ln w="28575">
              <a:noFill/>
            </a:ln>
          </c:spPr>
          <c:marker>
            <c:symbol val="diamond"/>
            <c:size val="12"/>
          </c:marker>
          <c:dLbls>
            <c:dLbl>
              <c:idx val="0"/>
              <c:layout>
                <c:manualLayout>
                  <c:x val="-2.6188094026392678E-2"/>
                  <c:y val="4.6123189318668316E-2"/>
                </c:manualLayout>
              </c:layout>
              <c:tx>
                <c:rich>
                  <a:bodyPr/>
                  <a:lstStyle/>
                  <a:p>
                    <a:r>
                      <a:rPr lang="en-US" sz="1200" baseline="0"/>
                      <a:t>N</a:t>
                    </a:r>
                    <a:r>
                      <a:rPr lang="en-US"/>
                      <a:t>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1.7458729350929081E-3"/>
                  <c:y val="1.1530797329667145E-2"/>
                </c:manualLayout>
              </c:layout>
              <c:tx>
                <c:rich>
                  <a:bodyPr/>
                  <a:lstStyle/>
                  <a:p>
                    <a:r>
                      <a:rPr lang="en-US" sz="1200" baseline="0"/>
                      <a:t>H</a:t>
                    </a:r>
                    <a:r>
                      <a:rPr lang="en-US"/>
                      <a:t>igh Yield</a:t>
                    </a:r>
                  </a:p>
                </c:rich>
              </c:tx>
              <c:showVal val="1"/>
            </c:dLbl>
            <c:dLbl>
              <c:idx val="2"/>
              <c:tx>
                <c:rich>
                  <a:bodyPr/>
                  <a:lstStyle/>
                  <a:p>
                    <a:r>
                      <a:rPr lang="en-US" sz="1200" baseline="0"/>
                      <a:t>E</a:t>
                    </a:r>
                    <a:r>
                      <a:rPr lang="en-US"/>
                      <a:t>MD</a:t>
                    </a:r>
                  </a:p>
                </c:rich>
              </c:tx>
              <c:showVal val="1"/>
            </c:dLbl>
            <c:dLbl>
              <c:idx val="3"/>
              <c:tx>
                <c:rich>
                  <a:bodyPr/>
                  <a:lstStyle/>
                  <a:p>
                    <a:r>
                      <a:rPr lang="en-US" sz="1200" baseline="0"/>
                      <a:t>A</a:t>
                    </a:r>
                    <a:r>
                      <a:rPr lang="en-US"/>
                      <a:t>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0"/>
                  <c:y val="-3.1709692656584486E-2"/>
                </c:manualLayout>
              </c:layout>
              <c:tx>
                <c:rich>
                  <a:bodyPr/>
                  <a:lstStyle/>
                  <a:p>
                    <a:r>
                      <a:rPr lang="en-US" sz="1200" baseline="0"/>
                      <a:t>A</a:t>
                    </a:r>
                    <a:r>
                      <a:rPr lang="en-US"/>
                      <a:t>andelen Opkomend</a:t>
                    </a:r>
                  </a:p>
                </c:rich>
              </c:tx>
              <c:showVal val="1"/>
            </c:dLbl>
            <c:dLbl>
              <c:idx val="5"/>
              <c:tx>
                <c:rich>
                  <a:bodyPr/>
                  <a:lstStyle/>
                  <a:p>
                    <a:r>
                      <a:rPr lang="en-US" sz="1200" baseline="0"/>
                      <a:t>G</a:t>
                    </a:r>
                    <a:r>
                      <a:rPr lang="en-US"/>
                      <a:t>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6.9834917403714105E-3"/>
                  <c:y val="-1.1530797329667145E-2"/>
                </c:manualLayout>
              </c:layout>
              <c:tx>
                <c:rich>
                  <a:bodyPr/>
                  <a:lstStyle/>
                  <a:p>
                    <a:r>
                      <a:rPr lang="en-US" sz="1200" baseline="0"/>
                      <a:t>H</a:t>
                    </a:r>
                    <a:r>
                      <a:rPr lang="en-US"/>
                      <a:t>edge Funds</a:t>
                    </a:r>
                  </a:p>
                </c:rich>
              </c:tx>
              <c:showVal val="1"/>
            </c:dLbl>
            <c:dLbl>
              <c:idx val="7"/>
              <c:tx>
                <c:rich>
                  <a:bodyPr/>
                  <a:lstStyle/>
                  <a:p>
                    <a:r>
                      <a:rPr lang="en-US" sz="1200" baseline="0"/>
                      <a:t>V</a:t>
                    </a:r>
                    <a:r>
                      <a:rPr lang="en-US"/>
                      <a:t>astgoed</a:t>
                    </a:r>
                  </a:p>
                </c:rich>
              </c:tx>
              <c:showVal val="1"/>
            </c:dLbl>
            <c:txPr>
              <a:bodyPr/>
              <a:lstStyle/>
              <a:p>
                <a:pPr>
                  <a:defRPr sz="1200" baseline="0"/>
                </a:pPr>
                <a:endParaRPr lang="nl-NL"/>
              </a:p>
            </c:txPr>
            <c:showVal val="1"/>
          </c:dLbls>
          <c:xVal>
            <c:numRef>
              <c:f>'output IC'!$J$3:$J$10</c:f>
              <c:numCache>
                <c:formatCode>0.0%</c:formatCode>
                <c:ptCount val="8"/>
                <c:pt idx="0">
                  <c:v>3.8327320576542839E-2</c:v>
                </c:pt>
                <c:pt idx="1">
                  <c:v>0.15740402046445473</c:v>
                </c:pt>
                <c:pt idx="2">
                  <c:v>0.16055565886911449</c:v>
                </c:pt>
                <c:pt idx="3">
                  <c:v>0.28482723462884557</c:v>
                </c:pt>
                <c:pt idx="4">
                  <c:v>0.29086830436352928</c:v>
                </c:pt>
                <c:pt idx="5">
                  <c:v>0.32762989319180058</c:v>
                </c:pt>
                <c:pt idx="6">
                  <c:v>0.15798659221184908</c:v>
                </c:pt>
                <c:pt idx="7">
                  <c:v>0.19621796279766246</c:v>
                </c:pt>
              </c:numCache>
            </c:numRef>
          </c:xVal>
          <c:yVal>
            <c:numRef>
              <c:f>'output IC'!$D$3:$D$10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2.821524342416672E-2</c:v>
                </c:pt>
                <c:pt idx="2">
                  <c:v>4.9715877116872115E-2</c:v>
                </c:pt>
                <c:pt idx="3">
                  <c:v>-1.8932480826239766E-2</c:v>
                </c:pt>
                <c:pt idx="4">
                  <c:v>7.6891594824893134E-2</c:v>
                </c:pt>
                <c:pt idx="5">
                  <c:v>2.095392217212597E-2</c:v>
                </c:pt>
                <c:pt idx="6">
                  <c:v>1.380587420653143E-2</c:v>
                </c:pt>
                <c:pt idx="7">
                  <c:v>2.0067539862887711E-2</c:v>
                </c:pt>
              </c:numCache>
            </c:numRef>
          </c:yVal>
        </c:ser>
        <c:axId val="310143616"/>
        <c:axId val="310174464"/>
      </c:scatterChart>
      <c:valAx>
        <c:axId val="310143616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 sz="1300" baseline="0"/>
                </a:pPr>
                <a:r>
                  <a:rPr lang="en-US" sz="1300" baseline="0"/>
                  <a:t>Volatility</a:t>
                </a:r>
              </a:p>
            </c:rich>
          </c:tx>
          <c:layout>
            <c:manualLayout>
              <c:xMode val="edge"/>
              <c:yMode val="edge"/>
              <c:x val="0.6561558255177935"/>
              <c:y val="0.9143162960411767"/>
            </c:manualLayout>
          </c:layout>
        </c:title>
        <c:numFmt formatCode="0%" sourceLinked="0"/>
        <c:tickLblPos val="nextTo"/>
        <c:crossAx val="310174464"/>
        <c:crossesAt val="-4.0000000000000022E-2"/>
        <c:crossBetween val="midCat"/>
      </c:valAx>
      <c:valAx>
        <c:axId val="310174464"/>
        <c:scaling>
          <c:orientation val="minMax"/>
          <c:min val="-4.0000000000000022E-2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300" b="1" i="0" baseline="0"/>
                </a:pPr>
                <a:r>
                  <a:rPr lang="en-US" sz="1300" b="1" i="0" baseline="0"/>
                  <a:t>Overrendement</a:t>
                </a:r>
              </a:p>
            </c:rich>
          </c:tx>
        </c:title>
        <c:numFmt formatCode="0%" sourceLinked="0"/>
        <c:tickLblPos val="nextTo"/>
        <c:crossAx val="310143616"/>
        <c:crosses val="autoZero"/>
        <c:crossBetween val="midCat"/>
      </c:valAx>
    </c:plotArea>
    <c:legend>
      <c:legendPos val="tr"/>
      <c:legendEntry>
        <c:idx val="2"/>
        <c:delete val="1"/>
      </c:legendEntry>
      <c:layout>
        <c:manualLayout>
          <c:xMode val="edge"/>
          <c:yMode val="edge"/>
          <c:x val="0.8568781601100266"/>
          <c:y val="0.53330637154320026"/>
          <c:w val="8.8877338137349757E-2"/>
          <c:h val="8.2778823388200001E-2"/>
        </c:manualLayout>
      </c:layout>
      <c:spPr>
        <a:solidFill>
          <a:sysClr val="window" lastClr="FFFFFF"/>
        </a:solidFill>
        <a:ln>
          <a:solidFill>
            <a:sysClr val="windowText" lastClr="000000">
              <a:shade val="95000"/>
              <a:satMod val="105000"/>
            </a:sysClr>
          </a:solidFill>
        </a:ln>
      </c:spPr>
    </c:legend>
    <c:plotVisOnly val="1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IC'!$H$195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IC'!$C$196:$C$203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IC'!$H$196:$H$203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IC'!$I$195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IC'!$C$196:$C$203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IC'!$I$196:$I$203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2.821524342416672E-2</c:v>
                </c:pt>
                <c:pt idx="2">
                  <c:v>4.9715877116872115E-2</c:v>
                </c:pt>
                <c:pt idx="3">
                  <c:v>-1.8932480826239766E-2</c:v>
                </c:pt>
                <c:pt idx="4">
                  <c:v>7.6891594824893134E-2</c:v>
                </c:pt>
                <c:pt idx="5">
                  <c:v>2.095392217212597E-2</c:v>
                </c:pt>
                <c:pt idx="6">
                  <c:v>1.380587420653143E-2</c:v>
                </c:pt>
                <c:pt idx="7">
                  <c:v>2.0067539862887711E-2</c:v>
                </c:pt>
              </c:numCache>
            </c:numRef>
          </c:val>
        </c:ser>
        <c:axId val="309691136"/>
        <c:axId val="309692672"/>
      </c:barChart>
      <c:catAx>
        <c:axId val="309691136"/>
        <c:scaling>
          <c:orientation val="minMax"/>
        </c:scaling>
        <c:axPos val="l"/>
        <c:tickLblPos val="none"/>
        <c:crossAx val="309692672"/>
        <c:crosses val="autoZero"/>
        <c:auto val="1"/>
        <c:lblAlgn val="ctr"/>
        <c:lblOffset val="100"/>
      </c:catAx>
      <c:valAx>
        <c:axId val="309692672"/>
        <c:scaling>
          <c:orientation val="minMax"/>
        </c:scaling>
        <c:axPos val="b"/>
        <c:majorGridlines/>
        <c:numFmt formatCode="0.0%" sourceLinked="1"/>
        <c:tickLblPos val="nextTo"/>
        <c:crossAx val="309691136"/>
        <c:crosses val="autoZero"/>
        <c:crossBetween val="between"/>
      </c:valAx>
    </c:plotArea>
    <c:legend>
      <c:legendPos val="b"/>
    </c:legend>
    <c:plotVisOnly val="1"/>
  </c:chart>
  <c:spPr>
    <a:noFill/>
    <a:ln>
      <a:noFill/>
    </a:ln>
  </c:spPr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IC'!$K$195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IC'!$C$196:$C$203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IC'!$K$196:$K$203</c:f>
              <c:numCache>
                <c:formatCode>#,##0.00_ ;\-#,##0.00\ </c:formatCode>
                <c:ptCount val="8"/>
                <c:pt idx="0">
                  <c:v>-0.85337243401759533</c:v>
                </c:pt>
                <c:pt idx="1">
                  <c:v>-0.29522023448510448</c:v>
                </c:pt>
                <c:pt idx="2">
                  <c:v>6.9162591375635629E-2</c:v>
                </c:pt>
                <c:pt idx="3">
                  <c:v>-0.20416543288383174</c:v>
                </c:pt>
                <c:pt idx="4">
                  <c:v>-0.15003557868125147</c:v>
                </c:pt>
                <c:pt idx="5">
                  <c:v>-0.10901166161223171</c:v>
                </c:pt>
                <c:pt idx="6">
                  <c:v>-0.43789862932231632</c:v>
                </c:pt>
                <c:pt idx="7">
                  <c:v>-0.29750670106956317</c:v>
                </c:pt>
              </c:numCache>
            </c:numRef>
          </c:val>
        </c:ser>
        <c:ser>
          <c:idx val="1"/>
          <c:order val="1"/>
          <c:tx>
            <c:strRef>
              <c:f>'output IC'!$L$195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IC'!$C$196:$C$203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IC'!$L$196:$L$203</c:f>
              <c:numCache>
                <c:formatCode>#,##0.00_ ;[Red]\-#,##0.00\ </c:formatCode>
                <c:ptCount val="8"/>
                <c:pt idx="0">
                  <c:v>-3.1715707047893123E-2</c:v>
                </c:pt>
                <c:pt idx="1">
                  <c:v>0.17925363876292053</c:v>
                </c:pt>
                <c:pt idx="2">
                  <c:v>0.30964886237613504</c:v>
                </c:pt>
                <c:pt idx="3">
                  <c:v>-6.6470051050105589E-2</c:v>
                </c:pt>
                <c:pt idx="4">
                  <c:v>0.26435192034121902</c:v>
                </c:pt>
                <c:pt idx="5">
                  <c:v>6.3956075460608705E-2</c:v>
                </c:pt>
                <c:pt idx="6">
                  <c:v>8.7386366230488149E-2</c:v>
                </c:pt>
                <c:pt idx="7">
                  <c:v>0.10227167572614701</c:v>
                </c:pt>
              </c:numCache>
            </c:numRef>
          </c:val>
        </c:ser>
        <c:axId val="309722112"/>
        <c:axId val="310096640"/>
      </c:barChart>
      <c:catAx>
        <c:axId val="309722112"/>
        <c:scaling>
          <c:orientation val="minMax"/>
        </c:scaling>
        <c:axPos val="l"/>
        <c:tickLblPos val="high"/>
        <c:crossAx val="310096640"/>
        <c:crosses val="autoZero"/>
        <c:auto val="1"/>
        <c:lblAlgn val="ctr"/>
        <c:lblOffset val="100"/>
      </c:catAx>
      <c:valAx>
        <c:axId val="310096640"/>
        <c:scaling>
          <c:orientation val="minMax"/>
        </c:scaling>
        <c:axPos val="b"/>
        <c:majorGridlines/>
        <c:numFmt formatCode="#,##0.00_ ;\-#,##0.00\ " sourceLinked="1"/>
        <c:tickLblPos val="nextTo"/>
        <c:crossAx val="309722112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53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1.7689981899054359E-2</c:v>
                </c:pt>
                <c:pt idx="1">
                  <c:v>0.56757357536898656</c:v>
                </c:pt>
                <c:pt idx="2">
                  <c:v>1.9234270153773903E-4</c:v>
                </c:pt>
                <c:pt idx="3">
                  <c:v>4.8544643607962595E-2</c:v>
                </c:pt>
                <c:pt idx="4">
                  <c:v>1.2067341967224624E-3</c:v>
                </c:pt>
                <c:pt idx="5">
                  <c:v>1.0415615153442442E-2</c:v>
                </c:pt>
                <c:pt idx="6">
                  <c:v>4.0450734037922641E-3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5.3275440462939395E-2</c:v>
                </c:pt>
                <c:pt idx="1">
                  <c:v>0.12581681247726506</c:v>
                </c:pt>
                <c:pt idx="2">
                  <c:v>3.379478899186268E-3</c:v>
                </c:pt>
                <c:pt idx="3">
                  <c:v>0.11372807074283739</c:v>
                </c:pt>
                <c:pt idx="4">
                  <c:v>7.8031701083086207E-3</c:v>
                </c:pt>
                <c:pt idx="5">
                  <c:v>2.7411525522653808E-2</c:v>
                </c:pt>
                <c:pt idx="6">
                  <c:v>1.891753545531067E-2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5.3461008927731341E-2</c:v>
                </c:pt>
                <c:pt idx="1">
                  <c:v>0.12231717044685286</c:v>
                </c:pt>
                <c:pt idx="2">
                  <c:v>3.7903980991593972E-3</c:v>
                </c:pt>
                <c:pt idx="3">
                  <c:v>0.11706912915241713</c:v>
                </c:pt>
                <c:pt idx="4">
                  <c:v>8.6339781052762223E-3</c:v>
                </c:pt>
                <c:pt idx="5">
                  <c:v>2.6769848943111817E-2</c:v>
                </c:pt>
                <c:pt idx="6">
                  <c:v>2.0266179195878257E-2</c:v>
                </c:pt>
              </c:numCache>
            </c:numRef>
          </c:val>
        </c:ser>
        <c:overlap val="100"/>
        <c:axId val="310209152"/>
        <c:axId val="310219520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0.22155856834858528</c:v>
                </c:pt>
                <c:pt idx="1">
                  <c:v>0.2090210067659081</c:v>
                </c:pt>
                <c:pt idx="2">
                  <c:v>0.24680507135992147</c:v>
                </c:pt>
                <c:pt idx="3">
                  <c:v>0.11119724750434076</c:v>
                </c:pt>
                <c:pt idx="4">
                  <c:v>4.2549631315428632E-2</c:v>
                </c:pt>
                <c:pt idx="5">
                  <c:v>6.9299062709436046E-2</c:v>
                </c:pt>
                <c:pt idx="6">
                  <c:v>9.9569411996379656E-2</c:v>
                </c:pt>
              </c:numCache>
            </c:numRef>
          </c:val>
        </c:ser>
        <c:marker val="1"/>
        <c:axId val="310209152"/>
        <c:axId val="310219520"/>
      </c:lineChart>
      <c:catAx>
        <c:axId val="310209152"/>
        <c:scaling>
          <c:orientation val="minMax"/>
        </c:scaling>
        <c:axPos val="b"/>
        <c:numFmt formatCode="General" sourceLinked="1"/>
        <c:tickLblPos val="nextTo"/>
        <c:crossAx val="310219520"/>
        <c:crosses val="autoZero"/>
        <c:auto val="1"/>
        <c:lblAlgn val="ctr"/>
        <c:lblOffset val="100"/>
      </c:catAx>
      <c:valAx>
        <c:axId val="310219520"/>
        <c:scaling>
          <c:orientation val="minMax"/>
        </c:scaling>
        <c:axPos val="l"/>
        <c:majorGridlines/>
        <c:numFmt formatCode="0%" sourceLinked="0"/>
        <c:tickLblPos val="nextTo"/>
        <c:crossAx val="310209152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734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414"/>
          <c:y val="5.1400554097404488E-2"/>
          <c:w val="0.8216434820647488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85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IC'!$J$196:$J$203</c:f>
              <c:numCache>
                <c:formatCode>0.0%</c:formatCode>
                <c:ptCount val="8"/>
                <c:pt idx="0">
                  <c:v>0.1023</c:v>
                </c:pt>
                <c:pt idx="1">
                  <c:v>0.15740402046445473</c:v>
                </c:pt>
                <c:pt idx="2">
                  <c:v>0.16055565886911449</c:v>
                </c:pt>
                <c:pt idx="3">
                  <c:v>0.28482723462884557</c:v>
                </c:pt>
                <c:pt idx="4">
                  <c:v>0.29086830436352928</c:v>
                </c:pt>
                <c:pt idx="5">
                  <c:v>0.32762989319180058</c:v>
                </c:pt>
                <c:pt idx="6">
                  <c:v>0.15798659221184908</c:v>
                </c:pt>
                <c:pt idx="7">
                  <c:v>0.19621796279766246</c:v>
                </c:pt>
              </c:numCache>
            </c:numRef>
          </c:xVal>
          <c:yVal>
            <c:numRef>
              <c:f>'output IC'!$I$196:$I$203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2.821524342416672E-2</c:v>
                </c:pt>
                <c:pt idx="2">
                  <c:v>4.9715877116872115E-2</c:v>
                </c:pt>
                <c:pt idx="3">
                  <c:v>-1.8932480826239766E-2</c:v>
                </c:pt>
                <c:pt idx="4">
                  <c:v>7.6891594824893134E-2</c:v>
                </c:pt>
                <c:pt idx="5">
                  <c:v>2.095392217212597E-2</c:v>
                </c:pt>
                <c:pt idx="6">
                  <c:v>1.380587420653143E-2</c:v>
                </c:pt>
                <c:pt idx="7">
                  <c:v>2.0067539862887711E-2</c:v>
                </c:pt>
              </c:numCache>
            </c:numRef>
          </c:yVal>
        </c:ser>
        <c:axId val="310350976"/>
        <c:axId val="310352896"/>
      </c:scatterChart>
      <c:valAx>
        <c:axId val="310350976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601"/>
            </c:manualLayout>
          </c:layout>
        </c:title>
        <c:numFmt formatCode="0%" sourceLinked="0"/>
        <c:tickLblPos val="nextTo"/>
        <c:crossAx val="310352896"/>
        <c:crosses val="autoZero"/>
        <c:crossBetween val="midCat"/>
      </c:valAx>
      <c:valAx>
        <c:axId val="31035289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310350976"/>
        <c:crosses val="autoZero"/>
        <c:crossBetween val="midCat"/>
      </c:valAx>
    </c:plotArea>
    <c:plotVisOnly val="1"/>
  </c:chart>
  <c:printSettings>
    <c:headerFooter/>
    <c:pageMargins b="0.75000000000000577" l="0.70000000000000062" r="0.70000000000000062" t="0.75000000000000577" header="0.30000000000000032" footer="0.30000000000000032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Evenwicht</a:t>
            </a:r>
            <a:r>
              <a:rPr lang="nl-NL" sz="1800" b="1" i="0" u="none" strike="noStrike" baseline="0"/>
              <a:t> </a:t>
            </a:r>
            <a:endParaRPr lang="nl-NL"/>
          </a:p>
        </c:rich>
      </c:tx>
      <c:layout>
        <c:manualLayout>
          <c:xMode val="edge"/>
          <c:yMode val="edge"/>
          <c:x val="9.5235958753018602E-4"/>
          <c:y val="4.6296296296296476E-3"/>
        </c:manualLayout>
      </c:layout>
      <c:overlay val="1"/>
    </c:title>
    <c:plotArea>
      <c:layout/>
      <c:pieChart>
        <c:varyColors val="1"/>
        <c:ser>
          <c:idx val="0"/>
          <c:order val="0"/>
          <c:dLbls>
            <c:showVal val="1"/>
            <c:showLeaderLines val="1"/>
          </c:dLbls>
          <c:val>
            <c:numRef>
              <c:f>'extra analyze'!$B$10:$B$17</c:f>
              <c:numCache>
                <c:formatCode>0.00%</c:formatCode>
                <c:ptCount val="8"/>
                <c:pt idx="0">
                  <c:v>1.4756554714979015E-2</c:v>
                </c:pt>
                <c:pt idx="1">
                  <c:v>1.4212854294443212E-2</c:v>
                </c:pt>
                <c:pt idx="2">
                  <c:v>1.4438415379559985E-2</c:v>
                </c:pt>
                <c:pt idx="3">
                  <c:v>2.6178530363036752E-2</c:v>
                </c:pt>
                <c:pt idx="4">
                  <c:v>1.2885940533325082E-2</c:v>
                </c:pt>
                <c:pt idx="5">
                  <c:v>4.6353992557141592E-3</c:v>
                </c:pt>
                <c:pt idx="6">
                  <c:v>4.3180826561846995E-3</c:v>
                </c:pt>
                <c:pt idx="7">
                  <c:v>8.4910307979983776E-3</c:v>
                </c:pt>
              </c:numCache>
            </c:numRef>
          </c:val>
        </c:ser>
        <c:firstSliceAng val="0"/>
      </c:pieChart>
    </c:plotArea>
    <c:plotVisOnly val="1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Base Case</a:t>
            </a:r>
          </a:p>
        </c:rich>
      </c:tx>
      <c:layout>
        <c:manualLayout>
          <c:xMode val="edge"/>
          <c:yMode val="edge"/>
          <c:x val="0.66951836148686539"/>
          <c:y val="1.7532808398950186E-2"/>
        </c:manualLayout>
      </c:layout>
      <c:overlay val="1"/>
    </c:title>
    <c:plotArea>
      <c:layout/>
      <c:pieChart>
        <c:varyColors val="1"/>
        <c:ser>
          <c:idx val="0"/>
          <c:order val="0"/>
          <c:dLbls>
            <c:showVal val="1"/>
            <c:showLeaderLines val="1"/>
          </c:dLbls>
          <c:val>
            <c:numRef>
              <c:f>'extra analyze'!$C$10:$C$17</c:f>
              <c:numCache>
                <c:formatCode>0.00%</c:formatCode>
                <c:ptCount val="8"/>
                <c:pt idx="0">
                  <c:v>1.5220718103759889E-2</c:v>
                </c:pt>
                <c:pt idx="1">
                  <c:v>1.0530542875070045E-2</c:v>
                </c:pt>
                <c:pt idx="2">
                  <c:v>1.5173593894911512E-2</c:v>
                </c:pt>
                <c:pt idx="3">
                  <c:v>1.942785291665489E-2</c:v>
                </c:pt>
                <c:pt idx="4">
                  <c:v>2.1277542423549976E-2</c:v>
                </c:pt>
                <c:pt idx="5">
                  <c:v>4.686099916713796E-3</c:v>
                </c:pt>
                <c:pt idx="6">
                  <c:v>4.264603068845089E-3</c:v>
                </c:pt>
                <c:pt idx="7">
                  <c:v>8.4188379833086361E-3</c:v>
                </c:pt>
              </c:numCache>
            </c:numRef>
          </c:val>
        </c:ser>
        <c:firstSliceAng val="0"/>
      </c:pieChart>
    </c:plotArea>
    <c:plotVisOnly val="1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autoTitleDeleted val="1"/>
    <c:plotArea>
      <c:layout/>
      <c:pieChart>
        <c:varyColors val="1"/>
        <c:ser>
          <c:idx val="0"/>
          <c:order val="0"/>
          <c:cat>
            <c:strRef>
              <c:f>'extra analyze'!$A$10:$A$17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'extra analyze'!$C$10:$C$17</c:f>
              <c:numCache>
                <c:formatCode>0.00%</c:formatCode>
                <c:ptCount val="8"/>
                <c:pt idx="0">
                  <c:v>1.5220718103759889E-2</c:v>
                </c:pt>
                <c:pt idx="1">
                  <c:v>1.0530542875070045E-2</c:v>
                </c:pt>
                <c:pt idx="2">
                  <c:v>1.5173593894911512E-2</c:v>
                </c:pt>
                <c:pt idx="3">
                  <c:v>1.942785291665489E-2</c:v>
                </c:pt>
                <c:pt idx="4">
                  <c:v>2.1277542423549976E-2</c:v>
                </c:pt>
                <c:pt idx="5">
                  <c:v>4.686099916713796E-3</c:v>
                </c:pt>
                <c:pt idx="6">
                  <c:v>4.264603068845089E-3</c:v>
                </c:pt>
                <c:pt idx="7">
                  <c:v>8.4188379833086361E-3</c:v>
                </c:pt>
              </c:numCache>
            </c:numRef>
          </c:val>
        </c:ser>
        <c:firstSliceAng val="0"/>
      </c:pieChart>
    </c:plotArea>
    <c:legend>
      <c:legendPos val="b"/>
      <c:layout>
        <c:manualLayout>
          <c:xMode val="edge"/>
          <c:yMode val="edge"/>
          <c:x val="8.3125267910103065E-2"/>
          <c:y val="8.2949983364755453E-2"/>
          <c:w val="0.83374946417979789"/>
          <c:h val="0.45695611992162982"/>
        </c:manualLayout>
      </c:layout>
      <c:spPr>
        <a:solidFill>
          <a:schemeClr val="bg1"/>
        </a:solidFill>
      </c:spPr>
      <c:txPr>
        <a:bodyPr/>
        <a:lstStyle/>
        <a:p>
          <a:pPr rtl="0">
            <a:defRPr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Evenwicht</a:t>
            </a:r>
          </a:p>
        </c:rich>
      </c:tx>
      <c:overlay val="1"/>
    </c:title>
    <c:plotArea>
      <c:layout>
        <c:manualLayout>
          <c:layoutTarget val="inner"/>
          <c:xMode val="edge"/>
          <c:yMode val="edge"/>
          <c:x val="0.12586592300962368"/>
          <c:y val="0.16658543698297906"/>
          <c:w val="0.84357852143482071"/>
          <c:h val="0.52385151043111589"/>
        </c:manualLayout>
      </c:layout>
      <c:barChart>
        <c:barDir val="col"/>
        <c:grouping val="stacked"/>
        <c:ser>
          <c:idx val="0"/>
          <c:order val="0"/>
          <c:spPr>
            <a:noFill/>
            <a:ln>
              <a:noFill/>
            </a:ln>
          </c:spPr>
          <c:cat>
            <c:strRef>
              <c:f>'extra analyze'!$A$10:$A$17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'extra analyze'!$E$10:$E$17</c:f>
              <c:numCache>
                <c:formatCode>0.00%</c:formatCode>
                <c:ptCount val="8"/>
                <c:pt idx="0" formatCode="General">
                  <c:v>0</c:v>
                </c:pt>
                <c:pt idx="1">
                  <c:v>1.4756554714979015E-2</c:v>
                </c:pt>
                <c:pt idx="2">
                  <c:v>2.8969409009422228E-2</c:v>
                </c:pt>
                <c:pt idx="3">
                  <c:v>4.3407824388982212E-2</c:v>
                </c:pt>
                <c:pt idx="4">
                  <c:v>6.9586354752018964E-2</c:v>
                </c:pt>
                <c:pt idx="5">
                  <c:v>8.2472295285344041E-2</c:v>
                </c:pt>
                <c:pt idx="6">
                  <c:v>8.7107694541058198E-2</c:v>
                </c:pt>
                <c:pt idx="7">
                  <c:v>9.1425777197242902E-2</c:v>
                </c:pt>
              </c:numCache>
            </c:numRef>
          </c:val>
        </c:ser>
        <c:ser>
          <c:idx val="1"/>
          <c:order val="1"/>
          <c:spPr>
            <a:solidFill>
              <a:srgbClr val="002060"/>
            </a:solidFill>
          </c:spPr>
          <c:cat>
            <c:strRef>
              <c:f>'extra analyze'!$A$10:$A$17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'extra analyze'!$F$10:$F$17</c:f>
              <c:numCache>
                <c:formatCode>0.00%</c:formatCode>
                <c:ptCount val="8"/>
                <c:pt idx="0">
                  <c:v>1.4756554714979015E-2</c:v>
                </c:pt>
                <c:pt idx="1">
                  <c:v>1.4212854294443212E-2</c:v>
                </c:pt>
                <c:pt idx="2">
                  <c:v>1.4438415379559985E-2</c:v>
                </c:pt>
                <c:pt idx="3">
                  <c:v>2.6178530363036752E-2</c:v>
                </c:pt>
                <c:pt idx="4">
                  <c:v>1.2885940533325082E-2</c:v>
                </c:pt>
                <c:pt idx="5">
                  <c:v>4.6353992557141592E-3</c:v>
                </c:pt>
                <c:pt idx="6">
                  <c:v>4.3180826561846995E-3</c:v>
                </c:pt>
                <c:pt idx="7">
                  <c:v>8.4910307979983776E-3</c:v>
                </c:pt>
              </c:numCache>
            </c:numRef>
          </c:val>
        </c:ser>
        <c:overlap val="100"/>
        <c:axId val="310441856"/>
        <c:axId val="310443392"/>
      </c:barChart>
      <c:catAx>
        <c:axId val="310441856"/>
        <c:scaling>
          <c:orientation val="minMax"/>
        </c:scaling>
        <c:axPos val="b"/>
        <c:tickLblPos val="nextTo"/>
        <c:crossAx val="310443392"/>
        <c:crosses val="autoZero"/>
        <c:auto val="1"/>
        <c:lblAlgn val="ctr"/>
        <c:lblOffset val="100"/>
      </c:catAx>
      <c:valAx>
        <c:axId val="310443392"/>
        <c:scaling>
          <c:orientation val="minMax"/>
        </c:scaling>
        <c:axPos val="l"/>
        <c:majorGridlines/>
        <c:numFmt formatCode="General" sourceLinked="1"/>
        <c:tickLblPos val="nextTo"/>
        <c:crossAx val="31044185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Base Case</a:t>
            </a:r>
          </a:p>
        </c:rich>
      </c:tx>
      <c:overlay val="1"/>
    </c:title>
    <c:plotArea>
      <c:layout>
        <c:manualLayout>
          <c:layoutTarget val="inner"/>
          <c:xMode val="edge"/>
          <c:yMode val="edge"/>
          <c:x val="0.12586592300962368"/>
          <c:y val="0.16658543698297912"/>
          <c:w val="0.84357852143482071"/>
          <c:h val="0.52385151043111611"/>
        </c:manualLayout>
      </c:layout>
      <c:barChart>
        <c:barDir val="col"/>
        <c:grouping val="stacked"/>
        <c:ser>
          <c:idx val="0"/>
          <c:order val="0"/>
          <c:spPr>
            <a:noFill/>
            <a:ln>
              <a:noFill/>
            </a:ln>
          </c:spPr>
          <c:cat>
            <c:strRef>
              <c:f>'extra analyze'!$A$10:$A$17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'extra analyze'!$H$10:$H$17</c:f>
              <c:numCache>
                <c:formatCode>0.00%</c:formatCode>
                <c:ptCount val="8"/>
                <c:pt idx="0" formatCode="General">
                  <c:v>0</c:v>
                </c:pt>
                <c:pt idx="1">
                  <c:v>1.5220718103759889E-2</c:v>
                </c:pt>
                <c:pt idx="2">
                  <c:v>2.5751260978829932E-2</c:v>
                </c:pt>
                <c:pt idx="3">
                  <c:v>4.0924854873741444E-2</c:v>
                </c:pt>
                <c:pt idx="4">
                  <c:v>6.0352707790396337E-2</c:v>
                </c:pt>
                <c:pt idx="5">
                  <c:v>8.163025021394632E-2</c:v>
                </c:pt>
                <c:pt idx="6">
                  <c:v>8.6316350130660122E-2</c:v>
                </c:pt>
                <c:pt idx="7">
                  <c:v>9.058095319950521E-2</c:v>
                </c:pt>
              </c:numCache>
            </c:numRef>
          </c:val>
        </c:ser>
        <c:ser>
          <c:idx val="1"/>
          <c:order val="1"/>
          <c:spPr>
            <a:solidFill>
              <a:srgbClr val="002060"/>
            </a:solidFill>
          </c:spPr>
          <c:cat>
            <c:strRef>
              <c:f>'extra analyze'!$A$10:$A$17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'extra analyze'!$I$10:$I$17</c:f>
              <c:numCache>
                <c:formatCode>0.00%</c:formatCode>
                <c:ptCount val="8"/>
                <c:pt idx="0">
                  <c:v>1.5220718103759889E-2</c:v>
                </c:pt>
                <c:pt idx="1">
                  <c:v>1.0530542875070045E-2</c:v>
                </c:pt>
                <c:pt idx="2">
                  <c:v>1.5173593894911512E-2</c:v>
                </c:pt>
                <c:pt idx="3">
                  <c:v>1.942785291665489E-2</c:v>
                </c:pt>
                <c:pt idx="4">
                  <c:v>2.1277542423549976E-2</c:v>
                </c:pt>
                <c:pt idx="5">
                  <c:v>4.686099916713796E-3</c:v>
                </c:pt>
                <c:pt idx="6">
                  <c:v>4.264603068845089E-3</c:v>
                </c:pt>
                <c:pt idx="7">
                  <c:v>8.4188379833086361E-3</c:v>
                </c:pt>
              </c:numCache>
            </c:numRef>
          </c:val>
        </c:ser>
        <c:overlap val="100"/>
        <c:axId val="310467968"/>
        <c:axId val="310486144"/>
      </c:barChart>
      <c:catAx>
        <c:axId val="310467968"/>
        <c:scaling>
          <c:orientation val="minMax"/>
        </c:scaling>
        <c:axPos val="b"/>
        <c:tickLblPos val="nextTo"/>
        <c:crossAx val="310486144"/>
        <c:crosses val="autoZero"/>
        <c:auto val="1"/>
        <c:lblAlgn val="ctr"/>
        <c:lblOffset val="100"/>
      </c:catAx>
      <c:valAx>
        <c:axId val="310486144"/>
        <c:scaling>
          <c:orientation val="minMax"/>
        </c:scaling>
        <c:axPos val="l"/>
        <c:majorGridlines/>
        <c:numFmt formatCode="General" sourceLinked="1"/>
        <c:tickLblPos val="nextTo"/>
        <c:crossAx val="31046796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3" Type="http://schemas.openxmlformats.org/officeDocument/2006/relationships/chart" Target="../charts/chart27.xml"/><Relationship Id="rId7" Type="http://schemas.openxmlformats.org/officeDocument/2006/relationships/chart" Target="../charts/chart30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image" Target="../media/image1.png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5" Type="http://schemas.openxmlformats.org/officeDocument/2006/relationships/chart" Target="../charts/chart37.xml"/><Relationship Id="rId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12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13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460841</xdr:colOff>
      <xdr:row>4</xdr:row>
      <xdr:rowOff>123265</xdr:rowOff>
    </xdr:from>
    <xdr:to>
      <xdr:col>23</xdr:col>
      <xdr:colOff>268941</xdr:colOff>
      <xdr:row>21</xdr:row>
      <xdr:rowOff>57431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21</xdr:row>
      <xdr:rowOff>28575</xdr:rowOff>
    </xdr:from>
    <xdr:to>
      <xdr:col>13</xdr:col>
      <xdr:colOff>114300</xdr:colOff>
      <xdr:row>37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18</xdr:row>
      <xdr:rowOff>123825</xdr:rowOff>
    </xdr:from>
    <xdr:to>
      <xdr:col>29</xdr:col>
      <xdr:colOff>561975</xdr:colOff>
      <xdr:row>32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33</xdr:row>
      <xdr:rowOff>95250</xdr:rowOff>
    </xdr:from>
    <xdr:to>
      <xdr:col>29</xdr:col>
      <xdr:colOff>495300</xdr:colOff>
      <xdr:row>46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33</xdr:row>
      <xdr:rowOff>66675</xdr:rowOff>
    </xdr:from>
    <xdr:to>
      <xdr:col>37</xdr:col>
      <xdr:colOff>133350</xdr:colOff>
      <xdr:row>46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48</xdr:row>
      <xdr:rowOff>95250</xdr:rowOff>
    </xdr:from>
    <xdr:to>
      <xdr:col>30</xdr:col>
      <xdr:colOff>95250</xdr:colOff>
      <xdr:row>61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18</xdr:row>
      <xdr:rowOff>95250</xdr:rowOff>
    </xdr:from>
    <xdr:to>
      <xdr:col>37</xdr:col>
      <xdr:colOff>285750</xdr:colOff>
      <xdr:row>31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48</xdr:row>
      <xdr:rowOff>57150</xdr:rowOff>
    </xdr:from>
    <xdr:to>
      <xdr:col>37</xdr:col>
      <xdr:colOff>114300</xdr:colOff>
      <xdr:row>61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82</xdr:row>
      <xdr:rowOff>180974</xdr:rowOff>
    </xdr:from>
    <xdr:to>
      <xdr:col>15</xdr:col>
      <xdr:colOff>152400</xdr:colOff>
      <xdr:row>100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82</xdr:row>
      <xdr:rowOff>180974</xdr:rowOff>
    </xdr:from>
    <xdr:to>
      <xdr:col>5</xdr:col>
      <xdr:colOff>704849</xdr:colOff>
      <xdr:row>100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616045</xdr:colOff>
      <xdr:row>5</xdr:row>
      <xdr:rowOff>17089</xdr:rowOff>
    </xdr:from>
    <xdr:to>
      <xdr:col>48</xdr:col>
      <xdr:colOff>443473</xdr:colOff>
      <xdr:row>26</xdr:row>
      <xdr:rowOff>62471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201705</xdr:colOff>
      <xdr:row>19</xdr:row>
      <xdr:rowOff>58832</xdr:rowOff>
    </xdr:from>
    <xdr:to>
      <xdr:col>38</xdr:col>
      <xdr:colOff>602315</xdr:colOff>
      <xdr:row>26</xdr:row>
      <xdr:rowOff>108698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321609</xdr:colOff>
      <xdr:row>206</xdr:row>
      <xdr:rowOff>73958</xdr:rowOff>
    </xdr:from>
    <xdr:to>
      <xdr:col>5</xdr:col>
      <xdr:colOff>35859</xdr:colOff>
      <xdr:row>223</xdr:row>
      <xdr:rowOff>147917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31937</xdr:colOff>
      <xdr:row>104</xdr:row>
      <xdr:rowOff>65553</xdr:rowOff>
    </xdr:from>
    <xdr:to>
      <xdr:col>10</xdr:col>
      <xdr:colOff>156883</xdr:colOff>
      <xdr:row>133</xdr:row>
      <xdr:rowOff>89646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1210234</xdr:colOff>
      <xdr:row>206</xdr:row>
      <xdr:rowOff>22412</xdr:rowOff>
    </xdr:from>
    <xdr:to>
      <xdr:col>10</xdr:col>
      <xdr:colOff>930087</xdr:colOff>
      <xdr:row>221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16</xdr:row>
      <xdr:rowOff>121024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10</xdr:col>
      <xdr:colOff>1019735</xdr:colOff>
      <xdr:row>206</xdr:row>
      <xdr:rowOff>56031</xdr:rowOff>
    </xdr:from>
    <xdr:to>
      <xdr:col>13</xdr:col>
      <xdr:colOff>705971</xdr:colOff>
      <xdr:row>222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136</xdr:row>
      <xdr:rowOff>0</xdr:rowOff>
    </xdr:from>
    <xdr:to>
      <xdr:col>5</xdr:col>
      <xdr:colOff>471769</xdr:colOff>
      <xdr:row>154</xdr:row>
      <xdr:rowOff>14567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157</xdr:row>
      <xdr:rowOff>0</xdr:rowOff>
    </xdr:from>
    <xdr:to>
      <xdr:col>5</xdr:col>
      <xdr:colOff>395567</xdr:colOff>
      <xdr:row>169</xdr:row>
      <xdr:rowOff>165847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923925</xdr:colOff>
      <xdr:row>21</xdr:row>
      <xdr:rowOff>28575</xdr:rowOff>
    </xdr:from>
    <xdr:to>
      <xdr:col>5</xdr:col>
      <xdr:colOff>200025</xdr:colOff>
      <xdr:row>35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400050</xdr:colOff>
      <xdr:row>21</xdr:row>
      <xdr:rowOff>9524</xdr:rowOff>
    </xdr:from>
    <xdr:to>
      <xdr:col>11</xdr:col>
      <xdr:colOff>85725</xdr:colOff>
      <xdr:row>35</xdr:row>
      <xdr:rowOff>95249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190501</xdr:colOff>
      <xdr:row>34</xdr:row>
      <xdr:rowOff>95250</xdr:rowOff>
    </xdr:from>
    <xdr:to>
      <xdr:col>10</xdr:col>
      <xdr:colOff>142875</xdr:colOff>
      <xdr:row>40</xdr:row>
      <xdr:rowOff>19049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485775</xdr:colOff>
      <xdr:row>1</xdr:row>
      <xdr:rowOff>38100</xdr:rowOff>
    </xdr:from>
    <xdr:to>
      <xdr:col>18</xdr:col>
      <xdr:colOff>180975</xdr:colOff>
      <xdr:row>19</xdr:row>
      <xdr:rowOff>123825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314325</xdr:colOff>
      <xdr:row>1</xdr:row>
      <xdr:rowOff>38100</xdr:rowOff>
    </xdr:from>
    <xdr:to>
      <xdr:col>26</xdr:col>
      <xdr:colOff>9525</xdr:colOff>
      <xdr:row>19</xdr:row>
      <xdr:rowOff>123825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kl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Norm2012\Excel\norm2012_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Port2012\Excel\Portefeuilles2012_Zoetware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IC_modelportfolio\Cluster%20Portfolio%20Construction\Modelportefeuille\Optimalisatie_2013_MP_BaseCase_100_unconstrained_IRAN_december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</sheetNames>
    <sheetDataSet>
      <sheetData sheetId="0"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R3" t="str">
            <v>Basis</v>
          </cell>
        </row>
        <row r="58">
          <cell r="R58" t="str">
            <v>Kansgewogen</v>
          </cell>
        </row>
      </sheetData>
      <sheetData sheetId="10">
        <row r="3">
          <cell r="Q3" t="str">
            <v>Basis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  <sheetName val="norm2012_final"/>
    </sheetNames>
    <sheetDataSet>
      <sheetData sheetId="0">
        <row r="4">
          <cell r="A4" t="str">
            <v>Nominale matching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  <row r="51">
          <cell r="B51" t="str">
            <v>Matching portefeuille</v>
          </cell>
        </row>
        <row r="52">
          <cell r="B52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Q3" t="str">
            <v>Basis</v>
          </cell>
        </row>
      </sheetData>
      <sheetData sheetId="11">
        <row r="52">
          <cell r="A52" t="str">
            <v>HY</v>
          </cell>
        </row>
      </sheetData>
      <sheetData sheetId="12"/>
      <sheetData sheetId="13">
        <row r="1">
          <cell r="B1" t="str">
            <v>B&amp;W</v>
          </cell>
        </row>
      </sheetData>
      <sheetData sheetId="14">
        <row r="1">
          <cell r="C1" t="str">
            <v>B&amp;W</v>
          </cell>
        </row>
      </sheetData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definedNames>
      <definedName name="Zet_minimum_tot_op_0"/>
    </definedNames>
    <sheetDataSet>
      <sheetData sheetId="0">
        <row r="103">
          <cell r="A103" t="str">
            <v>B&amp;W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47">
          <cell r="B47" t="str">
            <v>Matching portefeuille</v>
          </cell>
        </row>
        <row r="48">
          <cell r="B48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Control panel"/>
      <sheetName val="Scenarios"/>
      <sheetName val="Absolute visies"/>
      <sheetName val="Restricties"/>
      <sheetName val="Optimalisatie"/>
      <sheetName val="Samenvatting mixen"/>
      <sheetName val="Samenvatting mixen - return"/>
      <sheetName val="output IC"/>
      <sheetName val="Sheet1"/>
    </sheetNames>
    <sheetDataSet>
      <sheetData sheetId="0" refreshError="1">
        <row r="3">
          <cell r="F3">
            <v>0.99933044801477622</v>
          </cell>
        </row>
        <row r="4">
          <cell r="F4">
            <v>5.9498856944343162E-5</v>
          </cell>
        </row>
        <row r="5">
          <cell r="F5">
            <v>8.6775571303158883E-5</v>
          </cell>
        </row>
        <row r="6">
          <cell r="F6">
            <v>3.3196657987390124E-5</v>
          </cell>
        </row>
        <row r="7">
          <cell r="F7">
            <v>4.8644439396432552E-5</v>
          </cell>
        </row>
        <row r="8">
          <cell r="F8">
            <v>2.3467442398853234E-4</v>
          </cell>
        </row>
        <row r="9">
          <cell r="F9">
            <v>1.5994064696340217E-4</v>
          </cell>
        </row>
        <row r="10">
          <cell r="F10">
            <v>4.6821388640572115E-5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06"/>
  <sheetViews>
    <sheetView tabSelected="1" zoomScale="85" zoomScaleNormal="85" workbookViewId="0">
      <selection activeCell="F22" sqref="F22"/>
    </sheetView>
  </sheetViews>
  <sheetFormatPr defaultRowHeight="15"/>
  <cols>
    <col min="1" max="1" width="32.7109375" style="75" customWidth="1"/>
    <col min="2" max="6" width="15.7109375" style="75" customWidth="1"/>
    <col min="7" max="7" width="17.28515625" style="75" customWidth="1"/>
    <col min="8" max="22" width="9.140625" style="75"/>
    <col min="23" max="23" width="9.140625" style="133"/>
    <col min="24" max="24" width="20.42578125" style="133" bestFit="1" customWidth="1"/>
    <col min="25" max="16384" width="9.140625" style="75"/>
  </cols>
  <sheetData>
    <row r="1" spans="1:24" ht="15.75" thickBot="1">
      <c r="A1" s="137"/>
      <c r="B1" s="235" t="s">
        <v>100</v>
      </c>
      <c r="C1" s="387" t="s">
        <v>93</v>
      </c>
      <c r="D1" s="387"/>
      <c r="E1" s="388"/>
      <c r="F1" s="235" t="s">
        <v>124</v>
      </c>
      <c r="G1" s="235" t="s">
        <v>98</v>
      </c>
    </row>
    <row r="2" spans="1:24" ht="15.75" thickBot="1">
      <c r="A2" s="139"/>
      <c r="B2" s="236" t="s">
        <v>101</v>
      </c>
      <c r="C2" s="140" t="s">
        <v>91</v>
      </c>
      <c r="D2" s="141" t="s">
        <v>92</v>
      </c>
      <c r="E2" s="142" t="s">
        <v>23</v>
      </c>
      <c r="F2" s="236" t="s">
        <v>101</v>
      </c>
      <c r="G2" s="236" t="s">
        <v>101</v>
      </c>
    </row>
    <row r="3" spans="1:24">
      <c r="A3" s="143" t="str">
        <f>Scenarios!A4</f>
        <v>Nominale matching</v>
      </c>
      <c r="B3" s="374">
        <v>0.55282478375024968</v>
      </c>
      <c r="C3" s="298">
        <v>0.55000000000000004</v>
      </c>
      <c r="D3" s="217">
        <v>0.65</v>
      </c>
      <c r="E3" s="145">
        <v>0.99</v>
      </c>
      <c r="F3" s="383">
        <f>'Samenvatting mixen'!B81</f>
        <v>0.50191550106692151</v>
      </c>
      <c r="G3" s="144">
        <f>+F3-B3</f>
        <v>-5.0909282683328172E-2</v>
      </c>
      <c r="H3" s="300"/>
    </row>
    <row r="4" spans="1:24">
      <c r="A4" s="143" t="str">
        <f>Scenarios!A5</f>
        <v>High Yield</v>
      </c>
      <c r="B4" s="374">
        <v>9.9075500713263709E-2</v>
      </c>
      <c r="C4" s="298">
        <v>0.05</v>
      </c>
      <c r="D4" s="345">
        <v>0.15</v>
      </c>
      <c r="E4" s="145">
        <v>0.99</v>
      </c>
      <c r="F4" s="383">
        <f>'Samenvatting mixen'!B82</f>
        <v>3.5441427473810093E-2</v>
      </c>
      <c r="G4" s="144">
        <f t="shared" ref="G4:G10" si="0">+F4-B4</f>
        <v>-6.3634073239453609E-2</v>
      </c>
      <c r="H4" s="301"/>
      <c r="W4" s="133" t="str">
        <f>A4</f>
        <v>High Yield</v>
      </c>
      <c r="X4" s="134">
        <f>B4/SUM($B$4:$B$10)</f>
        <v>0.22155856834858528</v>
      </c>
    </row>
    <row r="5" spans="1:24">
      <c r="A5" s="143" t="str">
        <f>Scenarios!A6</f>
        <v>Emerging market debt</v>
      </c>
      <c r="B5" s="374">
        <v>9.346901390128548E-2</v>
      </c>
      <c r="C5" s="298">
        <v>0.05</v>
      </c>
      <c r="D5" s="217">
        <v>0.15</v>
      </c>
      <c r="E5" s="145">
        <v>0.99</v>
      </c>
      <c r="F5" s="383">
        <f>'Samenvatting mixen'!B83</f>
        <v>0.34834613947489812</v>
      </c>
      <c r="G5" s="144">
        <f t="shared" si="0"/>
        <v>0.25487712557361264</v>
      </c>
      <c r="W5" s="133" t="str">
        <f t="shared" ref="W5:W10" si="1">A5</f>
        <v>Emerging market debt</v>
      </c>
      <c r="X5" s="134">
        <f t="shared" ref="X5:X10" si="2">B5/SUM($B$4:$B$10)</f>
        <v>0.2090210067659081</v>
      </c>
    </row>
    <row r="6" spans="1:24">
      <c r="A6" s="143" t="str">
        <f>Scenarios!A7</f>
        <v>Aandelen ontwikkeld</v>
      </c>
      <c r="B6" s="374">
        <v>0.11036511115690795</v>
      </c>
      <c r="C6" s="298">
        <v>7.4999999999999997E-2</v>
      </c>
      <c r="D6" s="345">
        <v>0.3</v>
      </c>
      <c r="E6" s="145">
        <v>0.99</v>
      </c>
      <c r="F6" s="383">
        <f>'Samenvatting mixen'!B84</f>
        <v>1.7742427289872478E-3</v>
      </c>
      <c r="G6" s="144">
        <f t="shared" si="0"/>
        <v>-0.10859086842792071</v>
      </c>
      <c r="H6" s="300"/>
      <c r="W6" s="133" t="str">
        <f t="shared" si="1"/>
        <v>Aandelen ontwikkeld</v>
      </c>
      <c r="X6" s="134">
        <f t="shared" si="2"/>
        <v>0.24680507135992147</v>
      </c>
    </row>
    <row r="7" spans="1:24">
      <c r="A7" s="143" t="str">
        <f>Scenarios!A8</f>
        <v>Aandelen opkomend</v>
      </c>
      <c r="B7" s="374">
        <v>4.9724653199130588E-2</v>
      </c>
      <c r="C7" s="298">
        <v>2.5000000000000001E-2</v>
      </c>
      <c r="D7" s="345">
        <v>0.1</v>
      </c>
      <c r="E7" s="145">
        <v>0.99</v>
      </c>
      <c r="F7" s="383">
        <f>'Samenvatting mixen'!B85</f>
        <v>7.7712101707215292E-2</v>
      </c>
      <c r="G7" s="144">
        <f t="shared" si="0"/>
        <v>2.7987448508084704E-2</v>
      </c>
      <c r="H7" s="300"/>
      <c r="W7" s="133" t="str">
        <f t="shared" si="1"/>
        <v>Aandelen opkomend</v>
      </c>
      <c r="X7" s="134">
        <f t="shared" si="2"/>
        <v>0.11119724750434076</v>
      </c>
    </row>
    <row r="8" spans="1:24">
      <c r="A8" s="143" t="str">
        <f>Scenarios!A9</f>
        <v>Commodities</v>
      </c>
      <c r="B8" s="374">
        <v>1.9027140584823948E-2</v>
      </c>
      <c r="C8" s="298">
        <v>0.01</v>
      </c>
      <c r="D8" s="345">
        <v>0.03</v>
      </c>
      <c r="E8" s="145">
        <v>0.99</v>
      </c>
      <c r="F8" s="383">
        <f>'Samenvatting mixen'!B86</f>
        <v>4.4679371515441444E-3</v>
      </c>
      <c r="G8" s="144">
        <f t="shared" si="0"/>
        <v>-1.4559203433279804E-2</v>
      </c>
      <c r="H8" s="300"/>
      <c r="W8" s="133" t="str">
        <f t="shared" si="1"/>
        <v>Commodities</v>
      </c>
      <c r="X8" s="134">
        <f t="shared" si="2"/>
        <v>4.2549631315428632E-2</v>
      </c>
    </row>
    <row r="9" spans="1:24">
      <c r="A9" s="143" t="str">
        <f>Scenarios!A10</f>
        <v>Hedge funds</v>
      </c>
      <c r="B9" s="374">
        <v>3.0988823352997075E-2</v>
      </c>
      <c r="C9" s="298">
        <v>0.02</v>
      </c>
      <c r="D9" s="345">
        <v>0.04</v>
      </c>
      <c r="E9" s="145">
        <v>0.99</v>
      </c>
      <c r="F9" s="383">
        <f>'Samenvatting mixen'!B87</f>
        <v>1.8928757373420063E-2</v>
      </c>
      <c r="G9" s="144">
        <f t="shared" si="0"/>
        <v>-1.2060065979577012E-2</v>
      </c>
      <c r="W9" s="133" t="str">
        <f t="shared" si="1"/>
        <v>Hedge funds</v>
      </c>
      <c r="X9" s="134">
        <f t="shared" si="2"/>
        <v>6.9299062709436046E-2</v>
      </c>
    </row>
    <row r="10" spans="1:24" ht="15.75" thickBot="1">
      <c r="A10" s="139" t="str">
        <f>Scenarios!A11</f>
        <v>Onroerend goed</v>
      </c>
      <c r="B10" s="375">
        <v>4.4524973341341555E-2</v>
      </c>
      <c r="C10" s="299">
        <v>3.5000000000000003E-2</v>
      </c>
      <c r="D10" s="218">
        <v>5.5E-2</v>
      </c>
      <c r="E10" s="147">
        <v>0.99</v>
      </c>
      <c r="F10" s="384">
        <f>'Samenvatting mixen'!B88</f>
        <v>1.1413893023203357E-2</v>
      </c>
      <c r="G10" s="146">
        <f t="shared" si="0"/>
        <v>-3.3111080318138197E-2</v>
      </c>
      <c r="W10" s="133" t="str">
        <f t="shared" si="1"/>
        <v>Onroerend goed</v>
      </c>
      <c r="X10" s="134">
        <f t="shared" si="2"/>
        <v>9.9569411996379656E-2</v>
      </c>
    </row>
    <row r="11" spans="1:24" ht="15.75" thickBot="1">
      <c r="A11" s="148" t="s">
        <v>89</v>
      </c>
      <c r="B11" s="149">
        <f>Scenarios!C12</f>
        <v>9.5014385241780117E-2</v>
      </c>
      <c r="C11" s="138"/>
      <c r="D11" s="150" t="s">
        <v>102</v>
      </c>
      <c r="E11" s="151">
        <v>0.99</v>
      </c>
      <c r="F11" s="138"/>
      <c r="X11" s="135"/>
    </row>
    <row r="12" spans="1:24">
      <c r="A12" s="172" t="s">
        <v>103</v>
      </c>
      <c r="B12" s="152">
        <v>0.03</v>
      </c>
      <c r="C12" s="138"/>
      <c r="D12" s="153"/>
      <c r="E12" s="154"/>
      <c r="F12" s="138"/>
    </row>
    <row r="13" spans="1:24">
      <c r="A13" s="138"/>
      <c r="B13" s="138"/>
      <c r="C13" s="138"/>
      <c r="D13" s="153"/>
      <c r="E13" s="154"/>
      <c r="F13" s="138"/>
    </row>
    <row r="14" spans="1:24">
      <c r="A14" s="138"/>
      <c r="B14" s="138"/>
      <c r="C14" s="138"/>
      <c r="D14" s="138"/>
      <c r="E14" s="138"/>
      <c r="F14" s="138"/>
    </row>
    <row r="15" spans="1:24">
      <c r="A15" s="334" t="s">
        <v>141</v>
      </c>
      <c r="B15" s="329">
        <f t="array" ref="B15">+MMULT(TRANSPOSE(F3:F10),MMULT(k,F3:F10))^(0.5)</f>
        <v>9.3999301383151254E-2</v>
      </c>
      <c r="C15" s="332"/>
      <c r="D15" s="332"/>
      <c r="E15" s="332"/>
      <c r="F15" s="216"/>
    </row>
    <row r="16" spans="1:24">
      <c r="A16" s="165"/>
      <c r="B16" s="216"/>
      <c r="C16" s="216"/>
      <c r="D16" s="216"/>
      <c r="E16" s="216"/>
      <c r="F16" s="165"/>
    </row>
    <row r="17" spans="1:6">
      <c r="A17" s="165"/>
      <c r="B17" s="163"/>
      <c r="C17" s="373"/>
      <c r="D17" s="163"/>
      <c r="E17" s="163"/>
      <c r="F17" s="154"/>
    </row>
    <row r="18" spans="1:6">
      <c r="A18" s="165"/>
      <c r="B18" s="382">
        <v>9.3074502522160901E-2</v>
      </c>
      <c r="C18" s="163"/>
      <c r="D18" s="163"/>
      <c r="E18" s="163"/>
      <c r="F18" s="154"/>
    </row>
    <row r="19" spans="1:6">
      <c r="A19" s="165"/>
      <c r="B19" s="163"/>
      <c r="C19" s="163"/>
      <c r="D19" s="163"/>
      <c r="E19" s="163"/>
      <c r="F19" s="154"/>
    </row>
    <row r="20" spans="1:6">
      <c r="A20" s="165"/>
      <c r="B20" s="163"/>
      <c r="C20" s="163"/>
      <c r="D20" s="163"/>
      <c r="E20" s="163"/>
      <c r="F20" s="154"/>
    </row>
    <row r="21" spans="1:6">
      <c r="A21" s="165"/>
      <c r="B21" s="165"/>
      <c r="C21" s="165"/>
      <c r="D21" s="165"/>
      <c r="E21" s="165"/>
      <c r="F21" s="154"/>
    </row>
    <row r="22" spans="1:6">
      <c r="A22" s="138"/>
      <c r="B22" s="138"/>
      <c r="C22" s="138"/>
      <c r="D22" s="138"/>
      <c r="E22" s="138"/>
      <c r="F22" s="138"/>
    </row>
    <row r="23" spans="1:6">
      <c r="A23" s="165" t="s">
        <v>14</v>
      </c>
      <c r="B23" s="166" t="s">
        <v>49</v>
      </c>
      <c r="C23" s="138"/>
      <c r="D23" s="138"/>
      <c r="E23" s="138"/>
      <c r="F23" s="138"/>
    </row>
    <row r="24" spans="1:6" ht="15.75" thickBot="1">
      <c r="A24" s="138"/>
      <c r="B24" s="138"/>
      <c r="C24" s="138"/>
      <c r="D24" s="138"/>
      <c r="E24" s="138"/>
      <c r="F24" s="138"/>
    </row>
    <row r="25" spans="1:6" ht="15.75" thickBot="1">
      <c r="A25" s="167" t="s">
        <v>93</v>
      </c>
      <c r="B25" s="168"/>
      <c r="C25" s="142" t="s">
        <v>106</v>
      </c>
      <c r="D25" s="138"/>
      <c r="E25" s="138"/>
      <c r="F25" s="138"/>
    </row>
    <row r="26" spans="1:6">
      <c r="A26" s="169" t="s">
        <v>105</v>
      </c>
      <c r="B26" s="144">
        <v>0</v>
      </c>
      <c r="C26" s="170">
        <v>0</v>
      </c>
      <c r="D26" s="138"/>
      <c r="E26" s="138"/>
      <c r="F26" s="138"/>
    </row>
    <row r="27" spans="1:6">
      <c r="A27" s="169" t="s">
        <v>104</v>
      </c>
      <c r="B27" s="144">
        <f>B11</f>
        <v>9.5014385241780117E-2</v>
      </c>
      <c r="C27" s="170">
        <v>1</v>
      </c>
      <c r="D27" s="138"/>
      <c r="E27" s="138"/>
      <c r="F27" s="138"/>
    </row>
    <row r="28" spans="1:6" ht="15.75" thickBot="1">
      <c r="A28" s="171" t="s">
        <v>107</v>
      </c>
      <c r="B28" s="146">
        <v>0.02</v>
      </c>
      <c r="C28" s="159">
        <v>0</v>
      </c>
      <c r="D28" s="138"/>
      <c r="E28" s="138"/>
      <c r="F28" s="138"/>
    </row>
    <row r="29" spans="1:6">
      <c r="A29" s="138"/>
      <c r="B29" s="138"/>
      <c r="C29" s="138"/>
      <c r="D29" s="138"/>
      <c r="E29" s="138"/>
      <c r="F29" s="138"/>
    </row>
    <row r="30" spans="1:6">
      <c r="A30" s="201" t="s">
        <v>108</v>
      </c>
      <c r="B30" s="138"/>
      <c r="C30" s="138"/>
      <c r="D30" s="138"/>
      <c r="E30" s="138"/>
      <c r="F30" s="138"/>
    </row>
    <row r="31" spans="1:6">
      <c r="A31" s="172" t="s">
        <v>53</v>
      </c>
      <c r="B31" s="173">
        <v>0</v>
      </c>
      <c r="C31" s="138"/>
      <c r="D31" s="138"/>
      <c r="E31" s="138"/>
      <c r="F31" s="138"/>
    </row>
    <row r="32" spans="1:6">
      <c r="A32" s="172" t="s">
        <v>54</v>
      </c>
      <c r="B32" s="174">
        <v>2</v>
      </c>
      <c r="C32" s="138"/>
      <c r="D32" s="138"/>
      <c r="E32" s="138"/>
      <c r="F32" s="138"/>
    </row>
    <row r="33" spans="1:6">
      <c r="A33" s="138"/>
      <c r="B33" s="138"/>
      <c r="C33" s="138"/>
      <c r="D33" s="138"/>
      <c r="E33" s="138"/>
      <c r="F33" s="138"/>
    </row>
    <row r="34" spans="1:6">
      <c r="A34" s="75" t="s">
        <v>111</v>
      </c>
    </row>
    <row r="35" spans="1:6">
      <c r="A35" s="202" t="s">
        <v>109</v>
      </c>
      <c r="B35" s="175">
        <v>500</v>
      </c>
    </row>
    <row r="36" spans="1:6">
      <c r="A36" s="202" t="s">
        <v>110</v>
      </c>
      <c r="B36" s="175" t="s">
        <v>60</v>
      </c>
    </row>
    <row r="100" spans="1:1">
      <c r="A100" s="74" t="s">
        <v>14</v>
      </c>
    </row>
    <row r="101" spans="1:1">
      <c r="A101" s="75" t="s">
        <v>58</v>
      </c>
    </row>
    <row r="102" spans="1:1">
      <c r="A102" s="75" t="s">
        <v>49</v>
      </c>
    </row>
    <row r="103" spans="1:1">
      <c r="A103" s="75" t="s">
        <v>50</v>
      </c>
    </row>
    <row r="104" spans="1:1">
      <c r="A104" s="75" t="s">
        <v>51</v>
      </c>
    </row>
    <row r="106" spans="1:1">
      <c r="A106" s="175">
        <v>0</v>
      </c>
    </row>
    <row r="107" spans="1:1">
      <c r="A107" s="175">
        <v>1</v>
      </c>
    </row>
    <row r="108" spans="1:1">
      <c r="A108" s="175">
        <v>2</v>
      </c>
    </row>
    <row r="110" spans="1:1">
      <c r="A110" s="175" t="s">
        <v>60</v>
      </c>
    </row>
    <row r="111" spans="1:1">
      <c r="A111" s="175" t="s">
        <v>61</v>
      </c>
    </row>
    <row r="199" spans="1:6" ht="15.75" thickBot="1"/>
    <row r="200" spans="1:6">
      <c r="A200" s="155"/>
      <c r="B200" s="389" t="s">
        <v>98</v>
      </c>
      <c r="C200" s="387"/>
      <c r="D200" s="387"/>
      <c r="E200" s="388"/>
      <c r="F200" s="215" t="s">
        <v>99</v>
      </c>
    </row>
    <row r="201" spans="1:6" ht="15.75" thickBot="1">
      <c r="A201" s="156"/>
      <c r="B201" s="157" t="s">
        <v>94</v>
      </c>
      <c r="C201" s="158" t="s">
        <v>78</v>
      </c>
      <c r="D201" s="158" t="s">
        <v>95</v>
      </c>
      <c r="E201" s="159" t="s">
        <v>96</v>
      </c>
      <c r="F201" s="160"/>
    </row>
    <row r="202" spans="1:6">
      <c r="A202" s="161" t="s">
        <v>27</v>
      </c>
      <c r="B202" s="162">
        <v>-1E-3</v>
      </c>
      <c r="C202" s="163">
        <v>9.5665806092079075E-4</v>
      </c>
      <c r="D202" s="163">
        <v>-4.2098094805683751E-3</v>
      </c>
      <c r="E202" s="164">
        <v>-2.1826028553036574E-3</v>
      </c>
      <c r="F202" s="145">
        <v>0.6</v>
      </c>
    </row>
    <row r="203" spans="1:6">
      <c r="A203" s="161" t="s">
        <v>29</v>
      </c>
      <c r="B203" s="162">
        <v>-0.01</v>
      </c>
      <c r="C203" s="163">
        <v>-1.5821642227643869E-2</v>
      </c>
      <c r="D203" s="163">
        <v>2.4975428417868189E-2</v>
      </c>
      <c r="E203" s="164">
        <v>7.9322737499224957E-3</v>
      </c>
      <c r="F203" s="145">
        <v>0.4</v>
      </c>
    </row>
    <row r="204" spans="1:6">
      <c r="A204" s="161" t="s">
        <v>28</v>
      </c>
      <c r="B204" s="162">
        <v>9.9999999999999985E-3</v>
      </c>
      <c r="C204" s="163">
        <v>7.8062556418956319E-18</v>
      </c>
      <c r="D204" s="163">
        <v>-3.0000000000000002E-2</v>
      </c>
      <c r="E204" s="164">
        <v>-2.0000000000000004E-2</v>
      </c>
      <c r="F204" s="145">
        <v>0</v>
      </c>
    </row>
    <row r="205" spans="1:6" ht="15.75" thickBot="1">
      <c r="A205" s="161" t="s">
        <v>97</v>
      </c>
      <c r="B205" s="162">
        <v>1.0378578383895283E-2</v>
      </c>
      <c r="C205" s="163">
        <v>1.3858854184576361E-2</v>
      </c>
      <c r="D205" s="163">
        <v>1.3462277224022302E-3</v>
      </c>
      <c r="E205" s="164">
        <v>7.8027138965618484E-4</v>
      </c>
      <c r="F205" s="145">
        <v>0</v>
      </c>
    </row>
    <row r="206" spans="1:6" ht="15.75" thickBot="1">
      <c r="A206" s="168" t="s">
        <v>70</v>
      </c>
      <c r="B206" s="167"/>
      <c r="C206" s="176"/>
      <c r="D206" s="176"/>
      <c r="E206" s="177"/>
      <c r="F206" s="151">
        <v>0.95</v>
      </c>
    </row>
  </sheetData>
  <mergeCells count="2">
    <mergeCell ref="C1:E1"/>
    <mergeCell ref="B200:E200"/>
  </mergeCells>
  <dataValidations disablePrompts="1"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zoomScale="85" zoomScaleNormal="85" workbookViewId="0">
      <selection activeCell="I15" sqref="I15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7"/>
      <c r="C1" s="77"/>
      <c r="D1" s="78"/>
    </row>
    <row r="2" spans="1:21">
      <c r="A2" s="79"/>
      <c r="B2" s="296" t="s">
        <v>79</v>
      </c>
      <c r="C2" s="13" t="s">
        <v>79</v>
      </c>
      <c r="D2" s="297" t="s">
        <v>116</v>
      </c>
      <c r="E2" s="391" t="s">
        <v>117</v>
      </c>
      <c r="F2" s="391"/>
      <c r="G2" s="391"/>
      <c r="H2" s="391"/>
      <c r="I2" s="391"/>
      <c r="J2" s="391"/>
      <c r="K2" s="391"/>
      <c r="L2" s="392"/>
    </row>
    <row r="3" spans="1:21" ht="13.5" thickBot="1">
      <c r="A3" s="101"/>
      <c r="B3" s="104" t="s">
        <v>80</v>
      </c>
      <c r="C3" s="80" t="s">
        <v>82</v>
      </c>
      <c r="D3" s="80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29" t="s">
        <v>77</v>
      </c>
      <c r="S3" s="82"/>
      <c r="T3" s="76"/>
      <c r="U3" s="76"/>
    </row>
    <row r="4" spans="1:21">
      <c r="A4" s="102" t="s">
        <v>4</v>
      </c>
      <c r="B4" s="105">
        <f>'Control panel'!B3</f>
        <v>0.55282478375024968</v>
      </c>
      <c r="C4" s="380">
        <v>0</v>
      </c>
      <c r="D4" s="222">
        <v>3.8327320576542839E-2</v>
      </c>
      <c r="E4" s="219">
        <v>1</v>
      </c>
      <c r="F4" s="220">
        <v>0.3418544126049784</v>
      </c>
      <c r="G4" s="220">
        <v>0.32920370115226022</v>
      </c>
      <c r="H4" s="220">
        <v>9.8859848538283293E-2</v>
      </c>
      <c r="I4" s="220">
        <v>0.17199291666801578</v>
      </c>
      <c r="J4" s="220">
        <v>0.11635308708310647</v>
      </c>
      <c r="K4" s="220">
        <v>0.31533261335053236</v>
      </c>
      <c r="L4" s="221">
        <v>0.22382706166473479</v>
      </c>
      <c r="M4" s="3" t="s">
        <v>118</v>
      </c>
      <c r="N4" s="291"/>
      <c r="O4" s="362"/>
      <c r="S4" s="84"/>
      <c r="T4" s="6"/>
      <c r="U4" s="85"/>
    </row>
    <row r="5" spans="1:21">
      <c r="A5" s="102" t="s">
        <v>5</v>
      </c>
      <c r="B5" s="106">
        <f>'Control panel'!B4</f>
        <v>9.9075500713263709E-2</v>
      </c>
      <c r="C5" s="380">
        <v>0.03</v>
      </c>
      <c r="D5" s="222">
        <v>0.15740402046445473</v>
      </c>
      <c r="E5" s="222">
        <v>0.3418544126049784</v>
      </c>
      <c r="F5" s="223">
        <v>0.99999999999999978</v>
      </c>
      <c r="G5" s="223">
        <v>0.94415502841460053</v>
      </c>
      <c r="H5" s="223">
        <v>0.75643025620736359</v>
      </c>
      <c r="I5" s="223">
        <v>0.74460051775263425</v>
      </c>
      <c r="J5" s="223">
        <v>0.63042249533958317</v>
      </c>
      <c r="K5" s="223">
        <v>0.87087144487559465</v>
      </c>
      <c r="L5" s="224">
        <v>0.88503479579271971</v>
      </c>
      <c r="N5" s="291"/>
      <c r="O5" s="362"/>
      <c r="S5" s="84"/>
      <c r="T5" s="6"/>
      <c r="U5" s="85"/>
    </row>
    <row r="6" spans="1:21">
      <c r="A6" s="102" t="s">
        <v>6</v>
      </c>
      <c r="B6" s="106">
        <f>'Control panel'!B5</f>
        <v>9.346901390128548E-2</v>
      </c>
      <c r="C6" s="380">
        <v>3.1392347703607063E-2</v>
      </c>
      <c r="D6" s="222">
        <v>0.16055565886911449</v>
      </c>
      <c r="E6" s="222">
        <v>0.32920370115226077</v>
      </c>
      <c r="F6" s="223">
        <v>0.94415502841460075</v>
      </c>
      <c r="G6" s="223">
        <v>1</v>
      </c>
      <c r="H6" s="223">
        <v>0.79131459925771463</v>
      </c>
      <c r="I6" s="223">
        <v>0.79813028035122646</v>
      </c>
      <c r="J6" s="223">
        <v>0.65620336381946465</v>
      </c>
      <c r="K6" s="223">
        <v>0.87052123629161937</v>
      </c>
      <c r="L6" s="224">
        <v>0.89384087654365485</v>
      </c>
      <c r="N6" s="291"/>
      <c r="O6" s="362"/>
      <c r="S6" s="84"/>
      <c r="T6" s="6"/>
      <c r="U6" s="85"/>
    </row>
    <row r="7" spans="1:21">
      <c r="A7" s="102" t="s">
        <v>7</v>
      </c>
      <c r="B7" s="106">
        <f>'Control panel'!B6</f>
        <v>0.11036511115690795</v>
      </c>
      <c r="C7" s="380">
        <v>5.5586945104648379E-2</v>
      </c>
      <c r="D7" s="222">
        <v>0.28482723462884557</v>
      </c>
      <c r="E7" s="222">
        <v>9.8859848538283279E-2</v>
      </c>
      <c r="F7" s="223">
        <v>0.75643025620736359</v>
      </c>
      <c r="G7" s="223">
        <v>0.79131459925771463</v>
      </c>
      <c r="H7" s="223">
        <v>1.0000000000000002</v>
      </c>
      <c r="I7" s="223">
        <v>0.80404615715542727</v>
      </c>
      <c r="J7" s="223">
        <v>0.71454817175760521</v>
      </c>
      <c r="K7" s="223">
        <v>0.77932838421386064</v>
      </c>
      <c r="L7" s="224">
        <v>0.8858491706713586</v>
      </c>
      <c r="N7" s="291"/>
      <c r="O7" s="362"/>
      <c r="S7" s="84"/>
      <c r="T7" s="6"/>
      <c r="U7" s="85"/>
    </row>
    <row r="8" spans="1:21">
      <c r="A8" s="102" t="s">
        <v>8</v>
      </c>
      <c r="B8" s="106">
        <f>'Control panel'!B7</f>
        <v>4.9724653199130588E-2</v>
      </c>
      <c r="C8" s="380">
        <v>5.4126209330308192E-2</v>
      </c>
      <c r="D8" s="222">
        <v>0.29086830436352928</v>
      </c>
      <c r="E8" s="222">
        <v>0.17199291666801564</v>
      </c>
      <c r="F8" s="223">
        <v>0.74460051775263425</v>
      </c>
      <c r="G8" s="223">
        <v>0.79813028035122635</v>
      </c>
      <c r="H8" s="223">
        <v>0.80404615715542738</v>
      </c>
      <c r="I8" s="223">
        <v>1</v>
      </c>
      <c r="J8" s="223">
        <v>0.63722686856845323</v>
      </c>
      <c r="K8" s="223">
        <v>0.66166173932878602</v>
      </c>
      <c r="L8" s="224">
        <v>0.78445174530045891</v>
      </c>
      <c r="N8" s="291"/>
      <c r="O8" s="362"/>
      <c r="S8" s="84"/>
      <c r="T8" s="6"/>
      <c r="U8" s="85"/>
    </row>
    <row r="9" spans="1:21">
      <c r="A9" s="102" t="s">
        <v>9</v>
      </c>
      <c r="B9" s="106">
        <f>'Control panel'!B8</f>
        <v>1.9027140584823948E-2</v>
      </c>
      <c r="C9" s="380">
        <v>5.1749106701455286E-2</v>
      </c>
      <c r="D9" s="222">
        <v>0.32762989319180058</v>
      </c>
      <c r="E9" s="222">
        <v>0.1163530870831065</v>
      </c>
      <c r="F9" s="223">
        <v>0.63042249533958294</v>
      </c>
      <c r="G9" s="223">
        <v>0.65620336381946465</v>
      </c>
      <c r="H9" s="223">
        <v>0.71454817175760499</v>
      </c>
      <c r="I9" s="223">
        <v>0.63722686856845323</v>
      </c>
      <c r="J9" s="223">
        <v>0.99999999999999978</v>
      </c>
      <c r="K9" s="223">
        <v>0.61123567343454832</v>
      </c>
      <c r="L9" s="224">
        <v>0.68083389626068458</v>
      </c>
      <c r="N9" s="291"/>
      <c r="O9" s="362"/>
      <c r="S9" s="84"/>
      <c r="T9" s="6"/>
      <c r="U9" s="85"/>
    </row>
    <row r="10" spans="1:21">
      <c r="A10" s="102" t="s">
        <v>10</v>
      </c>
      <c r="B10" s="106">
        <f>'Control panel'!B9</f>
        <v>3.0988823352997075E-2</v>
      </c>
      <c r="C10" s="380">
        <v>2.8567108921173753E-2</v>
      </c>
      <c r="D10" s="222">
        <v>0.15798659221184908</v>
      </c>
      <c r="E10" s="222">
        <v>0.31533261335053225</v>
      </c>
      <c r="F10" s="223">
        <v>0.87087144487559476</v>
      </c>
      <c r="G10" s="223">
        <v>0.87052123629161926</v>
      </c>
      <c r="H10" s="223">
        <v>0.77932838421386041</v>
      </c>
      <c r="I10" s="223">
        <v>0.66166173932878602</v>
      </c>
      <c r="J10" s="223">
        <v>0.61123567343454821</v>
      </c>
      <c r="K10" s="223">
        <v>0.99999999999999978</v>
      </c>
      <c r="L10" s="224">
        <v>0.84390932125983842</v>
      </c>
      <c r="N10" s="291"/>
      <c r="O10" s="362"/>
      <c r="S10" s="84"/>
      <c r="T10" s="6"/>
      <c r="U10" s="85"/>
    </row>
    <row r="11" spans="1:21" ht="13.5" thickBot="1">
      <c r="A11" s="103" t="s">
        <v>11</v>
      </c>
      <c r="B11" s="107">
        <f>'Control panel'!B10</f>
        <v>4.4524973341341555E-2</v>
      </c>
      <c r="C11" s="381">
        <v>3.8735949538907542E-2</v>
      </c>
      <c r="D11" s="225">
        <v>0.19621796279766246</v>
      </c>
      <c r="E11" s="225">
        <v>0.22382706166473476</v>
      </c>
      <c r="F11" s="226">
        <v>0.88503479579271971</v>
      </c>
      <c r="G11" s="226">
        <v>0.89384087654365474</v>
      </c>
      <c r="H11" s="226">
        <v>0.8858491706713586</v>
      </c>
      <c r="I11" s="226">
        <v>0.78445174530045891</v>
      </c>
      <c r="J11" s="226">
        <v>0.68083389626068469</v>
      </c>
      <c r="K11" s="226">
        <v>0.84390932125983853</v>
      </c>
      <c r="L11" s="227">
        <v>1.0000000000000002</v>
      </c>
      <c r="N11" s="291"/>
      <c r="O11" s="362"/>
    </row>
    <row r="12" spans="1:21">
      <c r="A12" s="84"/>
      <c r="B12" s="110" t="s">
        <v>89</v>
      </c>
      <c r="C12" s="85">
        <v>9.5014385241780117E-2</v>
      </c>
      <c r="D12" s="83"/>
      <c r="E12" s="83"/>
      <c r="F12" s="83"/>
      <c r="G12" s="83"/>
      <c r="H12" s="83"/>
      <c r="I12" s="83"/>
      <c r="J12" s="83"/>
      <c r="K12" s="83"/>
      <c r="L12" s="86"/>
    </row>
    <row r="13" spans="1:21">
      <c r="A13" s="84" t="s">
        <v>85</v>
      </c>
    </row>
    <row r="14" spans="1:21">
      <c r="A14" s="87" t="s">
        <v>45</v>
      </c>
      <c r="B14" s="88" t="s">
        <v>58</v>
      </c>
      <c r="C14" s="99" t="s">
        <v>86</v>
      </c>
      <c r="H14" s="291"/>
    </row>
    <row r="15" spans="1:21">
      <c r="A15" s="87" t="s">
        <v>83</v>
      </c>
      <c r="B15" s="89" t="s">
        <v>4</v>
      </c>
      <c r="C15" s="200">
        <v>0</v>
      </c>
      <c r="H15" s="291"/>
    </row>
    <row r="16" spans="1:21">
      <c r="A16" s="87" t="s">
        <v>84</v>
      </c>
      <c r="B16" s="89" t="s">
        <v>5</v>
      </c>
      <c r="C16" s="200">
        <v>0.03</v>
      </c>
    </row>
    <row r="17" spans="1:24">
      <c r="D17" s="98"/>
      <c r="E17" s="98"/>
      <c r="G17" s="390"/>
      <c r="H17" s="390"/>
      <c r="I17" s="390"/>
      <c r="J17" s="390"/>
    </row>
    <row r="18" spans="1:24">
      <c r="D18" s="98"/>
      <c r="E18" s="98"/>
      <c r="S18" s="84"/>
      <c r="T18" s="390"/>
      <c r="U18" s="390"/>
      <c r="V18" s="390"/>
      <c r="W18" s="390"/>
      <c r="X18" s="390"/>
    </row>
    <row r="19" spans="1:24">
      <c r="D19" s="98"/>
      <c r="E19" s="98"/>
      <c r="S19" s="84"/>
      <c r="T19" s="273"/>
      <c r="U19" s="273"/>
      <c r="V19" s="273"/>
      <c r="W19" s="273"/>
      <c r="X19" s="273"/>
    </row>
    <row r="20" spans="1:24">
      <c r="D20" s="98"/>
      <c r="E20" s="98"/>
      <c r="S20" s="84"/>
      <c r="T20" s="273"/>
      <c r="U20" s="273"/>
      <c r="V20" s="273"/>
      <c r="W20" s="273"/>
      <c r="X20" s="273"/>
    </row>
    <row r="21" spans="1:24">
      <c r="D21" s="85"/>
      <c r="E21" s="98"/>
      <c r="F21" s="91"/>
      <c r="S21" s="82"/>
      <c r="T21" s="85"/>
      <c r="U21" s="85"/>
      <c r="V21" s="85"/>
      <c r="W21" s="85"/>
      <c r="X21" s="85"/>
    </row>
    <row r="22" spans="1:24" ht="13.5" thickBot="1">
      <c r="D22" s="98"/>
      <c r="E22" s="98"/>
      <c r="F22" s="82"/>
      <c r="S22" s="82"/>
      <c r="T22" s="85"/>
      <c r="U22" s="85"/>
      <c r="V22" s="85"/>
      <c r="W22" s="85"/>
      <c r="X22" s="85"/>
    </row>
    <row r="23" spans="1:24" ht="13.5" thickBot="1">
      <c r="A23" s="237" t="s">
        <v>115</v>
      </c>
      <c r="B23" s="286" t="s">
        <v>70</v>
      </c>
      <c r="C23" s="287" t="s">
        <v>112</v>
      </c>
      <c r="D23" s="287" t="s">
        <v>126</v>
      </c>
      <c r="E23" s="287" t="s">
        <v>127</v>
      </c>
      <c r="F23" s="287" t="s">
        <v>113</v>
      </c>
      <c r="G23" s="287" t="s">
        <v>114</v>
      </c>
      <c r="H23" s="288" t="s">
        <v>128</v>
      </c>
      <c r="I23" s="290" t="s">
        <v>30</v>
      </c>
      <c r="S23" s="82"/>
      <c r="T23" s="85"/>
      <c r="U23" s="85"/>
      <c r="V23" s="85"/>
      <c r="W23" s="85"/>
      <c r="X23" s="85"/>
    </row>
    <row r="24" spans="1:24">
      <c r="A24" s="14" t="s">
        <v>4</v>
      </c>
      <c r="B24" s="21">
        <f t="shared" ref="B24:B31" si="0">C4</f>
        <v>0</v>
      </c>
      <c r="C24" s="376">
        <v>-3.2445168309994665E-3</v>
      </c>
      <c r="D24" s="376">
        <v>-1.0761362748873404E-3</v>
      </c>
      <c r="E24" s="376">
        <v>-3.4179872754884488E-3</v>
      </c>
      <c r="F24" s="376">
        <v>-5.8987126880164276E-2</v>
      </c>
      <c r="G24" s="376">
        <v>-0.26287574291051119</v>
      </c>
      <c r="H24" s="377">
        <v>-3.2441343963196256E-3</v>
      </c>
      <c r="I24" s="346">
        <f>+SUMPRODUCT(B24:H24,$B$33:$H$33)</f>
        <v>-3.2445168309994665E-3</v>
      </c>
      <c r="S24" s="82"/>
      <c r="T24" s="85"/>
      <c r="U24" s="85"/>
      <c r="V24" s="85"/>
      <c r="W24" s="85"/>
      <c r="X24" s="85"/>
    </row>
    <row r="25" spans="1:24">
      <c r="A25" s="18" t="s">
        <v>5</v>
      </c>
      <c r="B25" s="21">
        <f t="shared" si="0"/>
        <v>0.03</v>
      </c>
      <c r="C25" s="376">
        <v>2.821524342416672E-2</v>
      </c>
      <c r="D25" s="376">
        <v>-4.3289757138539151E-2</v>
      </c>
      <c r="E25" s="376">
        <v>2.8173968116101435E-2</v>
      </c>
      <c r="F25" s="376">
        <v>-0.46709405332985687</v>
      </c>
      <c r="G25" s="376">
        <v>-0.46905624232985693</v>
      </c>
      <c r="H25" s="377">
        <v>0.30101613523680981</v>
      </c>
      <c r="I25" s="178">
        <f t="shared" ref="I25:I31" si="1">+SUMPRODUCT(B25:H25,$B$33:$H$33)</f>
        <v>2.821524342416672E-2</v>
      </c>
      <c r="S25" s="82"/>
      <c r="T25" s="85"/>
      <c r="U25" s="85"/>
      <c r="V25" s="85"/>
      <c r="W25" s="85"/>
      <c r="X25" s="85"/>
    </row>
    <row r="26" spans="1:24">
      <c r="A26" s="18" t="s">
        <v>6</v>
      </c>
      <c r="B26" s="21">
        <f t="shared" si="0"/>
        <v>3.1392347703607063E-2</v>
      </c>
      <c r="C26" s="376">
        <v>4.9715877116872115E-2</v>
      </c>
      <c r="D26" s="376">
        <v>-1.5254735941571146E-2</v>
      </c>
      <c r="E26" s="376">
        <v>4.2527479167274736E-2</v>
      </c>
      <c r="F26" s="376">
        <v>-0.53388765375707492</v>
      </c>
      <c r="G26" s="376">
        <v>-0.40758678794189662</v>
      </c>
      <c r="H26" s="377">
        <v>0.26888806032968465</v>
      </c>
      <c r="I26" s="178">
        <f t="shared" si="1"/>
        <v>4.9715877116872115E-2</v>
      </c>
      <c r="S26" s="82"/>
      <c r="T26" s="85"/>
      <c r="U26" s="85"/>
      <c r="V26" s="85"/>
      <c r="W26" s="85"/>
      <c r="X26" s="85"/>
    </row>
    <row r="27" spans="1:24">
      <c r="A27" s="18" t="s">
        <v>7</v>
      </c>
      <c r="B27" s="21">
        <f t="shared" si="0"/>
        <v>5.5586945104648379E-2</v>
      </c>
      <c r="C27" s="376">
        <v>-1.8932480826239766E-2</v>
      </c>
      <c r="D27" s="376">
        <v>-0.18637839848821813</v>
      </c>
      <c r="E27" s="376">
        <v>3.3016877644366754E-2</v>
      </c>
      <c r="F27" s="376">
        <v>-0.63662140327632288</v>
      </c>
      <c r="G27" s="376">
        <v>-0.50223026172585394</v>
      </c>
      <c r="H27" s="377">
        <v>0.34216639060226639</v>
      </c>
      <c r="I27" s="178">
        <f t="shared" si="1"/>
        <v>-1.8932480826239766E-2</v>
      </c>
      <c r="J27" s="76"/>
    </row>
    <row r="28" spans="1:24">
      <c r="A28" s="18" t="s">
        <v>8</v>
      </c>
      <c r="B28" s="21">
        <f t="shared" si="0"/>
        <v>5.4126209330308192E-2</v>
      </c>
      <c r="C28" s="376">
        <v>7.6891594824893134E-2</v>
      </c>
      <c r="D28" s="376">
        <v>-1.5041633078088965E-2</v>
      </c>
      <c r="E28" s="376">
        <v>7.4724436355395413E-2</v>
      </c>
      <c r="F28" s="376">
        <v>-0.38154687800334713</v>
      </c>
      <c r="G28" s="376">
        <v>-0.22652606438744602</v>
      </c>
      <c r="H28" s="377">
        <v>0.43818723932566084</v>
      </c>
      <c r="I28" s="178">
        <f t="shared" si="1"/>
        <v>7.6891594824893134E-2</v>
      </c>
      <c r="J28" s="94"/>
      <c r="U28" s="95"/>
    </row>
    <row r="29" spans="1:24">
      <c r="A29" s="18" t="s">
        <v>9</v>
      </c>
      <c r="B29" s="21">
        <f t="shared" si="0"/>
        <v>5.1749106701455286E-2</v>
      </c>
      <c r="C29" s="376">
        <v>2.095392217212597E-2</v>
      </c>
      <c r="D29" s="376">
        <v>1.7326163923364224E-2</v>
      </c>
      <c r="E29" s="376">
        <v>-3.9001815740357833E-3</v>
      </c>
      <c r="F29" s="376">
        <v>-0.39528495301413574</v>
      </c>
      <c r="G29" s="376">
        <v>-0.36578625545580234</v>
      </c>
      <c r="H29" s="377">
        <v>0.41949577968586427</v>
      </c>
      <c r="I29" s="178">
        <f t="shared" si="1"/>
        <v>2.095392217212597E-2</v>
      </c>
      <c r="J29" s="96"/>
      <c r="U29" s="95"/>
    </row>
    <row r="30" spans="1:24">
      <c r="A30" s="18" t="s">
        <v>10</v>
      </c>
      <c r="B30" s="21">
        <f t="shared" si="0"/>
        <v>2.8567108921173753E-2</v>
      </c>
      <c r="C30" s="376">
        <v>1.380587420653143E-2</v>
      </c>
      <c r="D30" s="376">
        <v>-4.2158606606711446E-2</v>
      </c>
      <c r="E30" s="376">
        <v>1.0491043321084678E-2</v>
      </c>
      <c r="F30" s="376">
        <v>-0.25764077911990541</v>
      </c>
      <c r="G30" s="376">
        <v>-1.27081470544461E-2</v>
      </c>
      <c r="H30" s="377">
        <v>0.26865610006004731</v>
      </c>
      <c r="I30" s="178">
        <f t="shared" si="1"/>
        <v>1.380587420653143E-2</v>
      </c>
      <c r="J30" s="96"/>
      <c r="U30" s="95"/>
    </row>
    <row r="31" spans="1:24" ht="13.5" thickBot="1">
      <c r="A31" s="22" t="s">
        <v>11</v>
      </c>
      <c r="B31" s="25">
        <f t="shared" si="0"/>
        <v>3.8735949538907542E-2</v>
      </c>
      <c r="C31" s="378">
        <v>2.0067539862887711E-2</v>
      </c>
      <c r="D31" s="378">
        <v>-5.1766673344794997E-2</v>
      </c>
      <c r="E31" s="378">
        <v>4.4470055868840348E-2</v>
      </c>
      <c r="F31" s="378">
        <v>-0.32705491871314474</v>
      </c>
      <c r="G31" s="378">
        <v>-0.17140461936280491</v>
      </c>
      <c r="H31" s="379">
        <v>0.40834897941312509</v>
      </c>
      <c r="I31" s="347">
        <f t="shared" si="1"/>
        <v>2.0067539862887711E-2</v>
      </c>
      <c r="J31" s="96"/>
      <c r="U31" s="95"/>
    </row>
    <row r="32" spans="1:24" ht="13.5" thickBot="1">
      <c r="D32" s="98"/>
      <c r="E32" s="98"/>
      <c r="H32" s="84"/>
      <c r="I32" s="84"/>
      <c r="J32" s="84"/>
      <c r="U32" s="95"/>
    </row>
    <row r="33" spans="1:21" ht="13.5" thickBot="1">
      <c r="A33" s="292" t="s">
        <v>123</v>
      </c>
      <c r="B33" s="289">
        <f>Optimalisatie!B13</f>
        <v>0</v>
      </c>
      <c r="C33" s="289">
        <f>Optimalisatie!C13</f>
        <v>1</v>
      </c>
      <c r="D33" s="289">
        <f>Optimalisatie!D13</f>
        <v>0</v>
      </c>
      <c r="E33" s="289">
        <f>Optimalisatie!E13</f>
        <v>0</v>
      </c>
      <c r="F33" s="289">
        <f>Optimalisatie!F13</f>
        <v>0</v>
      </c>
      <c r="G33" s="289">
        <f>Optimalisatie!G13</f>
        <v>0</v>
      </c>
      <c r="H33" s="289">
        <f>Optimalisatie!H13</f>
        <v>0</v>
      </c>
      <c r="I33" s="295">
        <f>+$B$33+((100%-$B$33)*(D33+E33+F33+G33+H33+C33))</f>
        <v>1</v>
      </c>
      <c r="U33" s="95"/>
    </row>
    <row r="34" spans="1:21" ht="13.5" thickBot="1">
      <c r="U34" s="95"/>
    </row>
    <row r="35" spans="1:21" ht="13.5" thickBot="1">
      <c r="A35" s="292" t="s">
        <v>129</v>
      </c>
      <c r="B35" s="303">
        <f>Optimalisatie!B15</f>
        <v>0</v>
      </c>
      <c r="C35" s="302">
        <f>SUMPRODUCT(C24:C31,'Control panel'!$F$3:$F$10)</f>
        <v>2.3215663301568282E-2</v>
      </c>
      <c r="D35" s="302">
        <f>SUMPRODUCT(D24:D31,'Control panel'!$F$3:$F$10)</f>
        <v>-1.0199363173428679E-2</v>
      </c>
      <c r="E35" s="302">
        <f>SUMPRODUCT(E24:E31,'Control panel'!$F$3:$F$10)</f>
        <v>2.0651574102186879E-2</v>
      </c>
      <c r="F35" s="302">
        <f>SUMPRODUCT(F24:F31,'Control panel'!$F$3:$F$10)</f>
        <v>-0.27329496512341134</v>
      </c>
      <c r="G35" s="302">
        <f>SUMPRODUCT(G24:G31,'Control panel'!$F$3:$F$10)</f>
        <v>-0.31287286546225501</v>
      </c>
      <c r="H35" s="302">
        <f>SUMPRODUCT(H24:H31,'Control panel'!$F$3:$F$10)</f>
        <v>0.14898627397208952</v>
      </c>
      <c r="I35" s="304">
        <f>SUMPRODUCT(I24:I31,'Control panel'!$F$3:$F$10)</f>
        <v>2.3215663301568282E-2</v>
      </c>
    </row>
    <row r="38" spans="1:21" ht="13.5" thickBot="1"/>
    <row r="39" spans="1:21" ht="13.5" thickBot="1">
      <c r="A39" s="293" t="s">
        <v>119</v>
      </c>
      <c r="B39" s="294">
        <v>8</v>
      </c>
    </row>
    <row r="40" spans="1:21" ht="13.5" thickBot="1">
      <c r="A40" s="293" t="s">
        <v>142</v>
      </c>
      <c r="B40" s="294">
        <v>8</v>
      </c>
    </row>
    <row r="45" spans="1:21">
      <c r="A45" s="291"/>
      <c r="B45" s="291"/>
      <c r="C45" s="291"/>
      <c r="D45" s="291"/>
      <c r="E45" s="291"/>
      <c r="F45" s="291"/>
      <c r="G45" s="291"/>
      <c r="H45" s="291"/>
      <c r="I45" s="291"/>
    </row>
    <row r="46" spans="1:21">
      <c r="A46" s="291"/>
      <c r="B46" s="291"/>
      <c r="C46" s="291"/>
      <c r="D46" s="291"/>
      <c r="E46" s="291"/>
      <c r="F46" s="291"/>
      <c r="G46" s="291"/>
      <c r="H46" s="291"/>
      <c r="I46" s="291"/>
    </row>
    <row r="47" spans="1:21">
      <c r="A47" s="291"/>
      <c r="B47" s="291"/>
      <c r="C47" s="291"/>
      <c r="D47" s="291"/>
      <c r="E47" s="291"/>
      <c r="F47" s="291"/>
      <c r="G47" s="291"/>
      <c r="H47" s="291"/>
      <c r="I47" s="291"/>
    </row>
    <row r="48" spans="1:21">
      <c r="A48" s="291"/>
      <c r="B48" s="291"/>
      <c r="C48" s="291"/>
      <c r="D48" s="291"/>
      <c r="E48" s="291"/>
      <c r="F48" s="291"/>
      <c r="G48" s="291"/>
      <c r="H48" s="291"/>
      <c r="I48" s="291"/>
    </row>
    <row r="49" spans="1:9">
      <c r="A49" s="291"/>
      <c r="B49" s="291"/>
      <c r="C49" s="291"/>
      <c r="D49" s="291"/>
      <c r="E49" s="291"/>
      <c r="F49" s="291"/>
      <c r="G49" s="291"/>
      <c r="H49" s="291"/>
      <c r="I49" s="291"/>
    </row>
    <row r="50" spans="1:9">
      <c r="A50" s="291"/>
      <c r="B50" s="291"/>
      <c r="C50" s="291"/>
      <c r="D50" s="291"/>
      <c r="E50" s="291"/>
      <c r="F50" s="291"/>
      <c r="G50" s="291"/>
      <c r="H50" s="291"/>
      <c r="I50" s="291"/>
    </row>
    <row r="51" spans="1:9">
      <c r="A51" s="291"/>
      <c r="B51" s="291"/>
      <c r="C51" s="291"/>
      <c r="D51" s="291"/>
      <c r="E51" s="291"/>
      <c r="F51" s="291"/>
      <c r="G51" s="291"/>
      <c r="H51" s="291"/>
      <c r="I51" s="291"/>
    </row>
    <row r="52" spans="1:9">
      <c r="A52" s="291"/>
      <c r="B52" s="291"/>
      <c r="C52" s="291"/>
      <c r="D52" s="291"/>
      <c r="E52" s="291"/>
      <c r="F52" s="291"/>
      <c r="G52" s="291"/>
      <c r="H52" s="291"/>
      <c r="I52" s="291"/>
    </row>
    <row r="53" spans="1:9">
      <c r="A53" s="291"/>
      <c r="B53" s="291"/>
      <c r="C53" s="291"/>
      <c r="D53" s="291"/>
      <c r="E53" s="291"/>
      <c r="F53" s="291"/>
      <c r="G53" s="291"/>
      <c r="H53" s="291"/>
      <c r="I53" s="291"/>
    </row>
    <row r="54" spans="1:9">
      <c r="A54" s="291"/>
      <c r="B54" s="291"/>
      <c r="C54" s="291"/>
      <c r="D54" s="291"/>
      <c r="E54" s="291"/>
      <c r="F54" s="291"/>
      <c r="G54" s="291"/>
      <c r="H54" s="291"/>
      <c r="I54" s="291"/>
    </row>
    <row r="55" spans="1:9">
      <c r="A55" s="291"/>
      <c r="B55" s="291"/>
      <c r="C55" s="291"/>
      <c r="D55" s="291"/>
      <c r="E55" s="291"/>
      <c r="F55" s="291"/>
      <c r="G55" s="291"/>
      <c r="H55" s="291"/>
      <c r="I55" s="291"/>
    </row>
    <row r="56" spans="1:9">
      <c r="A56" s="291"/>
      <c r="B56" s="291"/>
      <c r="C56" s="291"/>
      <c r="D56" s="291"/>
      <c r="E56" s="291"/>
      <c r="F56" s="291"/>
      <c r="G56" s="291"/>
      <c r="H56" s="291"/>
      <c r="I56" s="291"/>
    </row>
    <row r="57" spans="1:9">
      <c r="I57" s="291"/>
    </row>
    <row r="58" spans="1:9">
      <c r="I58" s="291"/>
    </row>
    <row r="59" spans="1:9">
      <c r="I59" s="291"/>
    </row>
    <row r="60" spans="1:9">
      <c r="I60" s="291"/>
    </row>
    <row r="61" spans="1:9">
      <c r="I61" s="291"/>
    </row>
    <row r="62" spans="1:9">
      <c r="I62" s="291"/>
    </row>
    <row r="97" spans="1:2">
      <c r="B97" s="99"/>
    </row>
    <row r="98" spans="1:2">
      <c r="B98" s="99"/>
    </row>
    <row r="100" spans="1:2">
      <c r="B100" s="99"/>
    </row>
    <row r="102" spans="1:2">
      <c r="A102" s="100" t="s">
        <v>81</v>
      </c>
    </row>
    <row r="103" spans="1:2">
      <c r="A103" s="3" t="s">
        <v>58</v>
      </c>
      <c r="B103" s="99">
        <v>0</v>
      </c>
    </row>
    <row r="104" spans="1:2">
      <c r="A104" s="3" t="str">
        <f>A4</f>
        <v>Nominale matching</v>
      </c>
      <c r="B104" s="99">
        <v>1</v>
      </c>
    </row>
    <row r="105" spans="1:2">
      <c r="A105" s="3" t="str">
        <f t="shared" ref="A105:A111" si="2">A5</f>
        <v>High Yield</v>
      </c>
      <c r="B105" s="99">
        <v>2</v>
      </c>
    </row>
    <row r="106" spans="1:2">
      <c r="A106" s="3" t="str">
        <f t="shared" si="2"/>
        <v>Emerging market debt</v>
      </c>
      <c r="B106" s="99">
        <v>3</v>
      </c>
    </row>
    <row r="107" spans="1:2">
      <c r="A107" s="3" t="str">
        <f t="shared" si="2"/>
        <v>Aandelen ontwikkeld</v>
      </c>
      <c r="B107" s="99">
        <v>4</v>
      </c>
    </row>
    <row r="108" spans="1:2">
      <c r="A108" s="3" t="str">
        <f t="shared" si="2"/>
        <v>Aandelen opkomend</v>
      </c>
      <c r="B108" s="99">
        <v>5</v>
      </c>
    </row>
    <row r="109" spans="1:2">
      <c r="A109" s="3" t="str">
        <f t="shared" si="2"/>
        <v>Commodities</v>
      </c>
      <c r="B109" s="99">
        <v>6</v>
      </c>
    </row>
    <row r="110" spans="1:2">
      <c r="A110" s="3" t="str">
        <f t="shared" si="2"/>
        <v>Hedge funds</v>
      </c>
      <c r="B110" s="99">
        <v>7</v>
      </c>
    </row>
    <row r="111" spans="1:2">
      <c r="A111" s="3" t="str">
        <f t="shared" si="2"/>
        <v>Onroerend goed</v>
      </c>
      <c r="B111" s="99">
        <v>8</v>
      </c>
    </row>
    <row r="113" spans="1:2">
      <c r="A113" s="27" t="s">
        <v>59</v>
      </c>
    </row>
    <row r="114" spans="1:2">
      <c r="A114" s="3" t="s">
        <v>45</v>
      </c>
      <c r="B114" s="99">
        <f>VLOOKUP(B14,$A$103:$B$111,2,0)</f>
        <v>0</v>
      </c>
    </row>
    <row r="115" spans="1:2">
      <c r="A115" s="3" t="s">
        <v>87</v>
      </c>
      <c r="B115" s="99">
        <f t="shared" ref="B115:B116" si="3">VLOOKUP(B15,$A$103:$B$111,2,0)</f>
        <v>1</v>
      </c>
    </row>
    <row r="116" spans="1:2">
      <c r="A116" s="3" t="s">
        <v>88</v>
      </c>
      <c r="B116" s="99">
        <f t="shared" si="3"/>
        <v>2</v>
      </c>
    </row>
  </sheetData>
  <mergeCells count="3">
    <mergeCell ref="G17:J17"/>
    <mergeCell ref="T18:X18"/>
    <mergeCell ref="E2:L2"/>
  </mergeCells>
  <dataValidations count="3">
    <dataValidation type="list" allowBlank="1" showInputMessage="1" showErrorMessage="1" sqref="B14">
      <formula1>$A$103:$A$111</formula1>
    </dataValidation>
    <dataValidation type="list" allowBlank="1" showInputMessage="1" showErrorMessage="1" sqref="B15:B16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U86"/>
  <sheetViews>
    <sheetView topLeftCell="A37" workbookViewId="0"/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1">
      <c r="A1" s="37" t="s">
        <v>0</v>
      </c>
    </row>
    <row r="2" spans="1:21" ht="13.5" thickBot="1"/>
    <row r="3" spans="1:21" ht="13.5" thickBot="1">
      <c r="A3" s="38" t="s">
        <v>70</v>
      </c>
      <c r="B3" s="39" t="s">
        <v>1</v>
      </c>
      <c r="C3" s="39" t="s">
        <v>2</v>
      </c>
      <c r="D3" s="394" t="s">
        <v>3</v>
      </c>
      <c r="E3" s="394"/>
      <c r="F3" s="394"/>
      <c r="G3" s="394"/>
      <c r="H3" s="394"/>
      <c r="I3" s="394"/>
      <c r="J3" s="394"/>
      <c r="K3" s="395"/>
      <c r="N3" s="36" t="s">
        <v>4</v>
      </c>
      <c r="O3" s="36" t="s">
        <v>5</v>
      </c>
      <c r="P3" s="36" t="s">
        <v>6</v>
      </c>
      <c r="Q3" s="36" t="s">
        <v>7</v>
      </c>
      <c r="R3" s="36" t="s">
        <v>8</v>
      </c>
      <c r="S3" s="36" t="s">
        <v>9</v>
      </c>
      <c r="T3" s="36" t="s">
        <v>10</v>
      </c>
      <c r="U3" s="36" t="s">
        <v>11</v>
      </c>
    </row>
    <row r="4" spans="1:21">
      <c r="A4" s="41" t="s">
        <v>4</v>
      </c>
      <c r="B4" s="42">
        <f>Scenarios!B24</f>
        <v>0</v>
      </c>
      <c r="C4" s="42">
        <f>Scenarios!D4</f>
        <v>3.8327320576542839E-2</v>
      </c>
      <c r="D4" s="111">
        <f>Scenarios!E4</f>
        <v>1</v>
      </c>
      <c r="E4" s="112">
        <f>Scenarios!F4</f>
        <v>0.3418544126049784</v>
      </c>
      <c r="F4" s="112">
        <f>Scenarios!G4</f>
        <v>0.32920370115226022</v>
      </c>
      <c r="G4" s="112">
        <f>Scenarios!H4</f>
        <v>9.8859848538283293E-2</v>
      </c>
      <c r="H4" s="112">
        <f>Scenarios!I4</f>
        <v>0.17199291666801578</v>
      </c>
      <c r="I4" s="112">
        <f>Scenarios!J4</f>
        <v>0.11635308708310647</v>
      </c>
      <c r="J4" s="112">
        <f>Scenarios!K4</f>
        <v>0.31533261335053236</v>
      </c>
      <c r="K4" s="113">
        <f>Scenarios!L4</f>
        <v>0.22382706166473479</v>
      </c>
      <c r="L4" s="238" t="s">
        <v>120</v>
      </c>
      <c r="N4" s="36">
        <f t="array" ref="N4:U11">+D4:K11*TRANSPOSE(C4:C11)*C4:C11</f>
        <v>1.4689835025770842E-3</v>
      </c>
      <c r="O4" s="36">
        <v>2.0623647180517748E-3</v>
      </c>
      <c r="P4" s="36">
        <v>2.0258103496887318E-3</v>
      </c>
      <c r="Q4" s="36">
        <v>1.0792198218053869E-3</v>
      </c>
      <c r="R4" s="36">
        <v>1.9174119060451009E-3</v>
      </c>
      <c r="S4" s="36">
        <v>1.461066186458311E-3</v>
      </c>
      <c r="T4" s="36">
        <v>1.9094029127275302E-3</v>
      </c>
      <c r="U4" s="36">
        <v>1.6832933786511406E-3</v>
      </c>
    </row>
    <row r="5" spans="1:21">
      <c r="A5" s="41" t="s">
        <v>5</v>
      </c>
      <c r="B5" s="42">
        <f>Scenarios!B25</f>
        <v>0.03</v>
      </c>
      <c r="C5" s="42">
        <f>Scenarios!D5</f>
        <v>0.15740402046445473</v>
      </c>
      <c r="D5" s="111">
        <f>Scenarios!E5</f>
        <v>0.3418544126049784</v>
      </c>
      <c r="E5" s="112">
        <f>Scenarios!F5</f>
        <v>0.99999999999999978</v>
      </c>
      <c r="F5" s="112">
        <f>Scenarios!G5</f>
        <v>0.94415502841460053</v>
      </c>
      <c r="G5" s="112">
        <f>Scenarios!H5</f>
        <v>0.75643025620736359</v>
      </c>
      <c r="H5" s="112">
        <f>Scenarios!I5</f>
        <v>0.74460051775263425</v>
      </c>
      <c r="I5" s="112">
        <f>Scenarios!J5</f>
        <v>0.63042249533958317</v>
      </c>
      <c r="J5" s="112">
        <f>Scenarios!K5</f>
        <v>0.87087144487559465</v>
      </c>
      <c r="K5" s="113">
        <f>Scenarios!L5</f>
        <v>0.88503479579271971</v>
      </c>
      <c r="N5" s="36">
        <v>2.0623647180517748E-3</v>
      </c>
      <c r="O5" s="36">
        <v>2.477602565837448E-2</v>
      </c>
      <c r="P5" s="36">
        <v>2.3860786160876318E-2</v>
      </c>
      <c r="Q5" s="36">
        <v>3.3913001268310553E-2</v>
      </c>
      <c r="R5" s="36">
        <v>3.4090671365202212E-2</v>
      </c>
      <c r="S5" s="36">
        <v>3.2511053515549913E-2</v>
      </c>
      <c r="T5" s="36">
        <v>2.1656591421791421E-2</v>
      </c>
      <c r="U5" s="36">
        <v>2.7334738850376662E-2</v>
      </c>
    </row>
    <row r="6" spans="1:21">
      <c r="A6" s="41" t="s">
        <v>6</v>
      </c>
      <c r="B6" s="42">
        <f>Scenarios!B26</f>
        <v>3.1392347703607063E-2</v>
      </c>
      <c r="C6" s="42">
        <f>Scenarios!D6</f>
        <v>0.16055565886911449</v>
      </c>
      <c r="D6" s="111">
        <f>Scenarios!E6</f>
        <v>0.32920370115226077</v>
      </c>
      <c r="E6" s="112">
        <f>Scenarios!F6</f>
        <v>0.94415502841460075</v>
      </c>
      <c r="F6" s="112">
        <f>Scenarios!G6</f>
        <v>1</v>
      </c>
      <c r="G6" s="112">
        <f>Scenarios!H6</f>
        <v>0.79131459925771463</v>
      </c>
      <c r="H6" s="112">
        <f>Scenarios!I6</f>
        <v>0.79813028035122646</v>
      </c>
      <c r="I6" s="112">
        <f>Scenarios!J6</f>
        <v>0.65620336381946465</v>
      </c>
      <c r="J6" s="112">
        <f>Scenarios!K6</f>
        <v>0.87052123629161937</v>
      </c>
      <c r="K6" s="113">
        <f>Scenarios!L6</f>
        <v>0.89384087654365485</v>
      </c>
      <c r="N6" s="36">
        <v>2.0258103496887357E-3</v>
      </c>
      <c r="O6" s="36">
        <v>2.3860786160876321E-2</v>
      </c>
      <c r="P6" s="36">
        <v>2.5778119594895465E-2</v>
      </c>
      <c r="Q6" s="36">
        <v>3.6187310657350216E-2</v>
      </c>
      <c r="R6" s="36">
        <v>3.7273124860830162E-2</v>
      </c>
      <c r="S6" s="36">
        <v>3.451815620161551E-2</v>
      </c>
      <c r="T6" s="36">
        <v>2.2081329515262319E-2</v>
      </c>
      <c r="U6" s="36">
        <v>2.8159477433106667E-2</v>
      </c>
    </row>
    <row r="7" spans="1:21">
      <c r="A7" s="41" t="s">
        <v>7</v>
      </c>
      <c r="B7" s="42">
        <f>Scenarios!B27</f>
        <v>5.5586945104648379E-2</v>
      </c>
      <c r="C7" s="42">
        <f>Scenarios!D7</f>
        <v>0.28482723462884557</v>
      </c>
      <c r="D7" s="111">
        <f>Scenarios!E7</f>
        <v>9.8859848538283279E-2</v>
      </c>
      <c r="E7" s="112">
        <f>Scenarios!F7</f>
        <v>0.75643025620736359</v>
      </c>
      <c r="F7" s="112">
        <f>Scenarios!G7</f>
        <v>0.79131459925771463</v>
      </c>
      <c r="G7" s="112">
        <f>Scenarios!H7</f>
        <v>1.0000000000000002</v>
      </c>
      <c r="H7" s="112">
        <f>Scenarios!I7</f>
        <v>0.80404615715542727</v>
      </c>
      <c r="I7" s="112">
        <f>Scenarios!J7</f>
        <v>0.71454817175760521</v>
      </c>
      <c r="J7" s="112">
        <f>Scenarios!K7</f>
        <v>0.77932838421386064</v>
      </c>
      <c r="K7" s="113">
        <f>Scenarios!L7</f>
        <v>0.8858491706713586</v>
      </c>
      <c r="N7" s="36">
        <v>1.0792198218053869E-3</v>
      </c>
      <c r="O7" s="36">
        <v>3.3913001268310553E-2</v>
      </c>
      <c r="P7" s="36">
        <v>3.6187310657350216E-2</v>
      </c>
      <c r="Q7" s="36">
        <v>8.1126553586315459E-2</v>
      </c>
      <c r="R7" s="36">
        <v>6.661298466929752E-2</v>
      </c>
      <c r="S7" s="36">
        <v>6.6680146598410817E-2</v>
      </c>
      <c r="T7" s="36">
        <v>3.5068907690180166E-2</v>
      </c>
      <c r="U7" s="36">
        <v>4.9508533096492648E-2</v>
      </c>
    </row>
    <row r="8" spans="1:21">
      <c r="A8" s="41" t="s">
        <v>8</v>
      </c>
      <c r="B8" s="42">
        <f>Scenarios!B28</f>
        <v>5.4126209330308192E-2</v>
      </c>
      <c r="C8" s="42">
        <f>Scenarios!D8</f>
        <v>0.29086830436352928</v>
      </c>
      <c r="D8" s="111">
        <f>Scenarios!E8</f>
        <v>0.17199291666801564</v>
      </c>
      <c r="E8" s="112">
        <f>Scenarios!F8</f>
        <v>0.74460051775263425</v>
      </c>
      <c r="F8" s="112">
        <f>Scenarios!G8</f>
        <v>0.79813028035122635</v>
      </c>
      <c r="G8" s="112">
        <f>Scenarios!H8</f>
        <v>0.80404615715542738</v>
      </c>
      <c r="H8" s="112">
        <f>Scenarios!I8</f>
        <v>1</v>
      </c>
      <c r="I8" s="112">
        <f>Scenarios!J8</f>
        <v>0.63722686856845323</v>
      </c>
      <c r="J8" s="112">
        <f>Scenarios!K8</f>
        <v>0.66166173932878602</v>
      </c>
      <c r="K8" s="113">
        <f>Scenarios!L8</f>
        <v>0.78445174530045891</v>
      </c>
      <c r="N8" s="36">
        <v>1.9174119060450991E-3</v>
      </c>
      <c r="O8" s="36">
        <v>3.4090671365202212E-2</v>
      </c>
      <c r="P8" s="36">
        <v>3.7273124860830155E-2</v>
      </c>
      <c r="Q8" s="36">
        <v>6.661298466929752E-2</v>
      </c>
      <c r="R8" s="36">
        <v>8.4604370483314706E-2</v>
      </c>
      <c r="S8" s="36">
        <v>6.0725905428424112E-2</v>
      </c>
      <c r="T8" s="36">
        <v>3.0405535237547097E-2</v>
      </c>
      <c r="U8" s="36">
        <v>4.4771474246015901E-2</v>
      </c>
    </row>
    <row r="9" spans="1:21">
      <c r="A9" s="41" t="s">
        <v>9</v>
      </c>
      <c r="B9" s="42">
        <f>Scenarios!B29</f>
        <v>5.1749106701455286E-2</v>
      </c>
      <c r="C9" s="42">
        <f>Scenarios!D9</f>
        <v>0.32762989319180058</v>
      </c>
      <c r="D9" s="111">
        <f>Scenarios!E9</f>
        <v>0.1163530870831065</v>
      </c>
      <c r="E9" s="112">
        <f>Scenarios!F9</f>
        <v>0.63042249533958294</v>
      </c>
      <c r="F9" s="112">
        <f>Scenarios!G9</f>
        <v>0.65620336381946465</v>
      </c>
      <c r="G9" s="112">
        <f>Scenarios!H9</f>
        <v>0.71454817175760499</v>
      </c>
      <c r="H9" s="112">
        <f>Scenarios!I9</f>
        <v>0.63722686856845323</v>
      </c>
      <c r="I9" s="112">
        <f>Scenarios!J9</f>
        <v>0.99999999999999978</v>
      </c>
      <c r="J9" s="112">
        <f>Scenarios!K9</f>
        <v>0.61123567343454832</v>
      </c>
      <c r="K9" s="113">
        <f>Scenarios!L9</f>
        <v>0.68083389626068458</v>
      </c>
      <c r="N9" s="36">
        <v>1.4610661864583113E-3</v>
      </c>
      <c r="O9" s="36">
        <v>3.2511053515549906E-2</v>
      </c>
      <c r="P9" s="36">
        <v>3.451815620161551E-2</v>
      </c>
      <c r="Q9" s="36">
        <v>6.6680146598410803E-2</v>
      </c>
      <c r="R9" s="36">
        <v>6.0725905428424112E-2</v>
      </c>
      <c r="S9" s="36">
        <v>0.10734134691287064</v>
      </c>
      <c r="T9" s="36">
        <v>3.1638249356277424E-2</v>
      </c>
      <c r="U9" s="36">
        <v>4.3768680312389029E-2</v>
      </c>
    </row>
    <row r="10" spans="1:21">
      <c r="A10" s="41" t="s">
        <v>10</v>
      </c>
      <c r="B10" s="42">
        <f>Scenarios!B30</f>
        <v>2.8567108921173753E-2</v>
      </c>
      <c r="C10" s="42">
        <f>Scenarios!D10</f>
        <v>0.15798659221184908</v>
      </c>
      <c r="D10" s="111">
        <f>Scenarios!E10</f>
        <v>0.31533261335053225</v>
      </c>
      <c r="E10" s="112">
        <f>Scenarios!F10</f>
        <v>0.87087144487559476</v>
      </c>
      <c r="F10" s="112">
        <f>Scenarios!G10</f>
        <v>0.87052123629161926</v>
      </c>
      <c r="G10" s="112">
        <f>Scenarios!H10</f>
        <v>0.77932838421386041</v>
      </c>
      <c r="H10" s="112">
        <f>Scenarios!I10</f>
        <v>0.66166173932878602</v>
      </c>
      <c r="I10" s="112">
        <f>Scenarios!J10</f>
        <v>0.61123567343454821</v>
      </c>
      <c r="J10" s="112">
        <f>Scenarios!K10</f>
        <v>0.99999999999999978</v>
      </c>
      <c r="K10" s="113">
        <f>Scenarios!L10</f>
        <v>0.84390932125983842</v>
      </c>
      <c r="N10" s="36">
        <v>1.9094029127275296E-3</v>
      </c>
      <c r="O10" s="36">
        <v>2.1656591421791424E-2</v>
      </c>
      <c r="P10" s="36">
        <v>2.2081329515262316E-2</v>
      </c>
      <c r="Q10" s="36">
        <v>3.5068907690180159E-2</v>
      </c>
      <c r="R10" s="36">
        <v>3.0405535237547094E-2</v>
      </c>
      <c r="S10" s="36">
        <v>3.1638249356277418E-2</v>
      </c>
      <c r="T10" s="36">
        <v>2.4959763318713087E-2</v>
      </c>
      <c r="U10" s="36">
        <v>2.6161026315073256E-2</v>
      </c>
    </row>
    <row r="11" spans="1:21" ht="13.5" thickBot="1">
      <c r="A11" s="43" t="s">
        <v>11</v>
      </c>
      <c r="B11" s="44">
        <f>Scenarios!B31</f>
        <v>3.8735949538907542E-2</v>
      </c>
      <c r="C11" s="44">
        <f>Scenarios!D11</f>
        <v>0.19621796279766246</v>
      </c>
      <c r="D11" s="114">
        <f>Scenarios!E11</f>
        <v>0.22382706166473476</v>
      </c>
      <c r="E11" s="115">
        <f>Scenarios!F11</f>
        <v>0.88503479579271971</v>
      </c>
      <c r="F11" s="115">
        <f>Scenarios!G11</f>
        <v>0.89384087654365474</v>
      </c>
      <c r="G11" s="115">
        <f>Scenarios!H11</f>
        <v>0.8858491706713586</v>
      </c>
      <c r="H11" s="115">
        <f>Scenarios!I11</f>
        <v>0.78445174530045891</v>
      </c>
      <c r="I11" s="115">
        <f>Scenarios!J11</f>
        <v>0.68083389626068469</v>
      </c>
      <c r="J11" s="115">
        <f>Scenarios!K11</f>
        <v>0.84390932125983853</v>
      </c>
      <c r="K11" s="116">
        <f>Scenarios!L11</f>
        <v>1.0000000000000002</v>
      </c>
      <c r="N11" s="36">
        <v>1.6832933786511404E-3</v>
      </c>
      <c r="O11" s="36">
        <v>2.7334738850376659E-2</v>
      </c>
      <c r="P11" s="36">
        <v>2.815947743310666E-2</v>
      </c>
      <c r="Q11" s="36">
        <v>4.9508533096492655E-2</v>
      </c>
      <c r="R11" s="36">
        <v>4.4771474246015901E-2</v>
      </c>
      <c r="S11" s="36">
        <v>4.3768680312389036E-2</v>
      </c>
      <c r="T11" s="36">
        <v>2.6161026315073256E-2</v>
      </c>
      <c r="U11" s="36">
        <v>3.8501488924464859E-2</v>
      </c>
    </row>
    <row r="13" spans="1:21" ht="13.5" thickBot="1"/>
    <row r="14" spans="1:21" ht="13.5" thickBot="1">
      <c r="A14" s="45" t="str">
        <f>Scenarios!C23</f>
        <v>Base Case</v>
      </c>
      <c r="B14" s="39" t="s">
        <v>1</v>
      </c>
      <c r="C14" s="40" t="s">
        <v>2</v>
      </c>
      <c r="D14" s="393" t="s">
        <v>3</v>
      </c>
      <c r="E14" s="394"/>
      <c r="F14" s="394"/>
      <c r="G14" s="394"/>
      <c r="H14" s="394"/>
      <c r="I14" s="394"/>
      <c r="J14" s="394"/>
      <c r="K14" s="395"/>
    </row>
    <row r="15" spans="1:21">
      <c r="A15" s="41" t="s">
        <v>4</v>
      </c>
      <c r="B15" s="46">
        <f>Scenarios!C24</f>
        <v>-3.2445168309994665E-3</v>
      </c>
      <c r="C15" s="42">
        <f>C4</f>
        <v>3.8327320576542839E-2</v>
      </c>
      <c r="D15" s="111">
        <f t="shared" ref="D15:K15" si="0">D4</f>
        <v>1</v>
      </c>
      <c r="E15" s="112">
        <f t="shared" si="0"/>
        <v>0.3418544126049784</v>
      </c>
      <c r="F15" s="112">
        <f t="shared" si="0"/>
        <v>0.32920370115226022</v>
      </c>
      <c r="G15" s="112">
        <f t="shared" si="0"/>
        <v>9.8859848538283293E-2</v>
      </c>
      <c r="H15" s="112">
        <f t="shared" si="0"/>
        <v>0.17199291666801578</v>
      </c>
      <c r="I15" s="112">
        <f t="shared" si="0"/>
        <v>0.11635308708310647</v>
      </c>
      <c r="J15" s="112">
        <f t="shared" si="0"/>
        <v>0.31533261335053236</v>
      </c>
      <c r="K15" s="113">
        <f t="shared" si="0"/>
        <v>0.22382706166473479</v>
      </c>
      <c r="L15" s="238" t="s">
        <v>120</v>
      </c>
    </row>
    <row r="16" spans="1:21">
      <c r="A16" s="41" t="s">
        <v>5</v>
      </c>
      <c r="B16" s="46">
        <f>Scenarios!C25</f>
        <v>2.821524342416672E-2</v>
      </c>
      <c r="C16" s="42">
        <f t="shared" ref="C16:K16" si="1">C5</f>
        <v>0.15740402046445473</v>
      </c>
      <c r="D16" s="111">
        <f t="shared" si="1"/>
        <v>0.3418544126049784</v>
      </c>
      <c r="E16" s="112">
        <f t="shared" si="1"/>
        <v>0.99999999999999978</v>
      </c>
      <c r="F16" s="112">
        <f t="shared" si="1"/>
        <v>0.94415502841460053</v>
      </c>
      <c r="G16" s="112">
        <f t="shared" si="1"/>
        <v>0.75643025620736359</v>
      </c>
      <c r="H16" s="112">
        <f t="shared" si="1"/>
        <v>0.74460051775263425</v>
      </c>
      <c r="I16" s="112">
        <f t="shared" si="1"/>
        <v>0.63042249533958317</v>
      </c>
      <c r="J16" s="112">
        <f t="shared" si="1"/>
        <v>0.87087144487559465</v>
      </c>
      <c r="K16" s="113">
        <f t="shared" si="1"/>
        <v>0.88503479579271971</v>
      </c>
    </row>
    <row r="17" spans="1:12">
      <c r="A17" s="41" t="s">
        <v>6</v>
      </c>
      <c r="B17" s="46">
        <f>Scenarios!C26</f>
        <v>4.9715877116872115E-2</v>
      </c>
      <c r="C17" s="42">
        <f t="shared" ref="C17:K17" si="2">C6</f>
        <v>0.16055565886911449</v>
      </c>
      <c r="D17" s="111">
        <f t="shared" si="2"/>
        <v>0.32920370115226077</v>
      </c>
      <c r="E17" s="112">
        <f t="shared" si="2"/>
        <v>0.94415502841460075</v>
      </c>
      <c r="F17" s="112">
        <f t="shared" si="2"/>
        <v>1</v>
      </c>
      <c r="G17" s="112">
        <f t="shared" si="2"/>
        <v>0.79131459925771463</v>
      </c>
      <c r="H17" s="112">
        <f t="shared" si="2"/>
        <v>0.79813028035122646</v>
      </c>
      <c r="I17" s="112">
        <f t="shared" si="2"/>
        <v>0.65620336381946465</v>
      </c>
      <c r="J17" s="112">
        <f t="shared" si="2"/>
        <v>0.87052123629161937</v>
      </c>
      <c r="K17" s="113">
        <f t="shared" si="2"/>
        <v>0.89384087654365485</v>
      </c>
    </row>
    <row r="18" spans="1:12">
      <c r="A18" s="41" t="s">
        <v>7</v>
      </c>
      <c r="B18" s="46">
        <f>Scenarios!C27</f>
        <v>-1.8932480826239766E-2</v>
      </c>
      <c r="C18" s="42">
        <f t="shared" ref="C18:K18" si="3">C7</f>
        <v>0.28482723462884557</v>
      </c>
      <c r="D18" s="111">
        <f t="shared" si="3"/>
        <v>9.8859848538283279E-2</v>
      </c>
      <c r="E18" s="112">
        <f t="shared" si="3"/>
        <v>0.75643025620736359</v>
      </c>
      <c r="F18" s="112">
        <f t="shared" si="3"/>
        <v>0.79131459925771463</v>
      </c>
      <c r="G18" s="112">
        <f t="shared" si="3"/>
        <v>1.0000000000000002</v>
      </c>
      <c r="H18" s="112">
        <f t="shared" si="3"/>
        <v>0.80404615715542727</v>
      </c>
      <c r="I18" s="112">
        <f t="shared" si="3"/>
        <v>0.71454817175760521</v>
      </c>
      <c r="J18" s="112">
        <f t="shared" si="3"/>
        <v>0.77932838421386064</v>
      </c>
      <c r="K18" s="113">
        <f t="shared" si="3"/>
        <v>0.8858491706713586</v>
      </c>
    </row>
    <row r="19" spans="1:12">
      <c r="A19" s="41" t="s">
        <v>8</v>
      </c>
      <c r="B19" s="46">
        <f>Scenarios!C28</f>
        <v>7.6891594824893134E-2</v>
      </c>
      <c r="C19" s="42">
        <f t="shared" ref="C19:K19" si="4">C8</f>
        <v>0.29086830436352928</v>
      </c>
      <c r="D19" s="111">
        <f t="shared" si="4"/>
        <v>0.17199291666801564</v>
      </c>
      <c r="E19" s="112">
        <f t="shared" si="4"/>
        <v>0.74460051775263425</v>
      </c>
      <c r="F19" s="112">
        <f t="shared" si="4"/>
        <v>0.79813028035122635</v>
      </c>
      <c r="G19" s="112">
        <f t="shared" si="4"/>
        <v>0.80404615715542738</v>
      </c>
      <c r="H19" s="112">
        <f t="shared" si="4"/>
        <v>1</v>
      </c>
      <c r="I19" s="112">
        <f t="shared" si="4"/>
        <v>0.63722686856845323</v>
      </c>
      <c r="J19" s="112">
        <f t="shared" si="4"/>
        <v>0.66166173932878602</v>
      </c>
      <c r="K19" s="113">
        <f t="shared" si="4"/>
        <v>0.78445174530045891</v>
      </c>
    </row>
    <row r="20" spans="1:12">
      <c r="A20" s="41" t="s">
        <v>9</v>
      </c>
      <c r="B20" s="46">
        <f>Scenarios!C29</f>
        <v>2.095392217212597E-2</v>
      </c>
      <c r="C20" s="42">
        <f t="shared" ref="C20:K20" si="5">C9</f>
        <v>0.32762989319180058</v>
      </c>
      <c r="D20" s="111">
        <f t="shared" si="5"/>
        <v>0.1163530870831065</v>
      </c>
      <c r="E20" s="112">
        <f t="shared" si="5"/>
        <v>0.63042249533958294</v>
      </c>
      <c r="F20" s="112">
        <f t="shared" si="5"/>
        <v>0.65620336381946465</v>
      </c>
      <c r="G20" s="112">
        <f t="shared" si="5"/>
        <v>0.71454817175760499</v>
      </c>
      <c r="H20" s="112">
        <f t="shared" si="5"/>
        <v>0.63722686856845323</v>
      </c>
      <c r="I20" s="112">
        <f t="shared" si="5"/>
        <v>0.99999999999999978</v>
      </c>
      <c r="J20" s="112">
        <f t="shared" si="5"/>
        <v>0.61123567343454832</v>
      </c>
      <c r="K20" s="113">
        <f t="shared" si="5"/>
        <v>0.68083389626068458</v>
      </c>
    </row>
    <row r="21" spans="1:12">
      <c r="A21" s="41" t="s">
        <v>10</v>
      </c>
      <c r="B21" s="46">
        <f>Scenarios!C30</f>
        <v>1.380587420653143E-2</v>
      </c>
      <c r="C21" s="42">
        <f t="shared" ref="C21:K21" si="6">C10</f>
        <v>0.15798659221184908</v>
      </c>
      <c r="D21" s="111">
        <f t="shared" si="6"/>
        <v>0.31533261335053225</v>
      </c>
      <c r="E21" s="112">
        <f t="shared" si="6"/>
        <v>0.87087144487559476</v>
      </c>
      <c r="F21" s="112">
        <f t="shared" si="6"/>
        <v>0.87052123629161926</v>
      </c>
      <c r="G21" s="112">
        <f t="shared" si="6"/>
        <v>0.77932838421386041</v>
      </c>
      <c r="H21" s="112">
        <f t="shared" si="6"/>
        <v>0.66166173932878602</v>
      </c>
      <c r="I21" s="112">
        <f t="shared" si="6"/>
        <v>0.61123567343454821</v>
      </c>
      <c r="J21" s="112">
        <f t="shared" si="6"/>
        <v>0.99999999999999978</v>
      </c>
      <c r="K21" s="113">
        <f t="shared" si="6"/>
        <v>0.84390932125983842</v>
      </c>
    </row>
    <row r="22" spans="1:12" ht="13.5" thickBot="1">
      <c r="A22" s="43" t="s">
        <v>11</v>
      </c>
      <c r="B22" s="47">
        <f>Scenarios!C31</f>
        <v>2.0067539862887711E-2</v>
      </c>
      <c r="C22" s="44">
        <f t="shared" ref="C22:K22" si="7">C11</f>
        <v>0.19621796279766246</v>
      </c>
      <c r="D22" s="114">
        <f t="shared" si="7"/>
        <v>0.22382706166473476</v>
      </c>
      <c r="E22" s="115">
        <f t="shared" si="7"/>
        <v>0.88503479579271971</v>
      </c>
      <c r="F22" s="115">
        <f t="shared" si="7"/>
        <v>0.89384087654365474</v>
      </c>
      <c r="G22" s="115">
        <f t="shared" si="7"/>
        <v>0.8858491706713586</v>
      </c>
      <c r="H22" s="115">
        <f t="shared" si="7"/>
        <v>0.78445174530045891</v>
      </c>
      <c r="I22" s="115">
        <f t="shared" si="7"/>
        <v>0.68083389626068469</v>
      </c>
      <c r="J22" s="115">
        <f t="shared" si="7"/>
        <v>0.84390932125983853</v>
      </c>
      <c r="K22" s="116">
        <f t="shared" si="7"/>
        <v>1.0000000000000002</v>
      </c>
    </row>
    <row r="24" spans="1:12" ht="13.5" thickBot="1"/>
    <row r="25" spans="1:12" ht="13.5" thickBot="1">
      <c r="A25" s="45" t="str">
        <f>Scenarios!D23</f>
        <v>Base - muddle down</v>
      </c>
      <c r="B25" s="39" t="s">
        <v>1</v>
      </c>
      <c r="C25" s="40" t="s">
        <v>2</v>
      </c>
      <c r="D25" s="393" t="s">
        <v>3</v>
      </c>
      <c r="E25" s="394"/>
      <c r="F25" s="394"/>
      <c r="G25" s="394"/>
      <c r="H25" s="394"/>
      <c r="I25" s="394"/>
      <c r="J25" s="394"/>
      <c r="K25" s="395"/>
    </row>
    <row r="26" spans="1:12">
      <c r="A26" s="41" t="s">
        <v>4</v>
      </c>
      <c r="B26" s="46">
        <f>Scenarios!D24</f>
        <v>-1.0761362748873404E-3</v>
      </c>
      <c r="C26" s="242">
        <f>C4</f>
        <v>3.8327320576542839E-2</v>
      </c>
      <c r="D26" s="248">
        <f t="shared" ref="D26:K26" si="8">D4</f>
        <v>1</v>
      </c>
      <c r="E26" s="249">
        <f t="shared" si="8"/>
        <v>0.3418544126049784</v>
      </c>
      <c r="F26" s="249">
        <f t="shared" si="8"/>
        <v>0.32920370115226022</v>
      </c>
      <c r="G26" s="249">
        <f t="shared" si="8"/>
        <v>9.8859848538283293E-2</v>
      </c>
      <c r="H26" s="249">
        <f t="shared" si="8"/>
        <v>0.17199291666801578</v>
      </c>
      <c r="I26" s="249">
        <f t="shared" si="8"/>
        <v>0.11635308708310647</v>
      </c>
      <c r="J26" s="249">
        <f t="shared" si="8"/>
        <v>0.31533261335053236</v>
      </c>
      <c r="K26" s="250">
        <f t="shared" si="8"/>
        <v>0.22382706166473479</v>
      </c>
      <c r="L26" s="238" t="s">
        <v>120</v>
      </c>
    </row>
    <row r="27" spans="1:12">
      <c r="A27" s="41" t="s">
        <v>5</v>
      </c>
      <c r="B27" s="46">
        <f>Scenarios!D25</f>
        <v>-4.3289757138539151E-2</v>
      </c>
      <c r="C27" s="242">
        <f t="shared" ref="C27:K27" si="9">C5</f>
        <v>0.15740402046445473</v>
      </c>
      <c r="D27" s="248">
        <f t="shared" si="9"/>
        <v>0.3418544126049784</v>
      </c>
      <c r="E27" s="249">
        <f t="shared" si="9"/>
        <v>0.99999999999999978</v>
      </c>
      <c r="F27" s="249">
        <f t="shared" si="9"/>
        <v>0.94415502841460053</v>
      </c>
      <c r="G27" s="249">
        <f t="shared" si="9"/>
        <v>0.75643025620736359</v>
      </c>
      <c r="H27" s="249">
        <f t="shared" si="9"/>
        <v>0.74460051775263425</v>
      </c>
      <c r="I27" s="249">
        <f t="shared" si="9"/>
        <v>0.63042249533958317</v>
      </c>
      <c r="J27" s="249">
        <f t="shared" si="9"/>
        <v>0.87087144487559465</v>
      </c>
      <c r="K27" s="250">
        <f t="shared" si="9"/>
        <v>0.88503479579271971</v>
      </c>
    </row>
    <row r="28" spans="1:12">
      <c r="A28" s="41" t="s">
        <v>6</v>
      </c>
      <c r="B28" s="46">
        <f>Scenarios!D26</f>
        <v>-1.5254735941571146E-2</v>
      </c>
      <c r="C28" s="242">
        <f t="shared" ref="C28:K28" si="10">C6</f>
        <v>0.16055565886911449</v>
      </c>
      <c r="D28" s="248">
        <f t="shared" si="10"/>
        <v>0.32920370115226077</v>
      </c>
      <c r="E28" s="249">
        <f t="shared" si="10"/>
        <v>0.94415502841460075</v>
      </c>
      <c r="F28" s="249">
        <f t="shared" si="10"/>
        <v>1</v>
      </c>
      <c r="G28" s="249">
        <f t="shared" si="10"/>
        <v>0.79131459925771463</v>
      </c>
      <c r="H28" s="249">
        <f t="shared" si="10"/>
        <v>0.79813028035122646</v>
      </c>
      <c r="I28" s="249">
        <f t="shared" si="10"/>
        <v>0.65620336381946465</v>
      </c>
      <c r="J28" s="249">
        <f t="shared" si="10"/>
        <v>0.87052123629161937</v>
      </c>
      <c r="K28" s="250">
        <f t="shared" si="10"/>
        <v>0.89384087654365485</v>
      </c>
    </row>
    <row r="29" spans="1:12">
      <c r="A29" s="41" t="s">
        <v>7</v>
      </c>
      <c r="B29" s="46">
        <f>Scenarios!D27</f>
        <v>-0.18637839848821813</v>
      </c>
      <c r="C29" s="242">
        <f t="shared" ref="C29:K29" si="11">C7</f>
        <v>0.28482723462884557</v>
      </c>
      <c r="D29" s="248">
        <f t="shared" si="11"/>
        <v>9.8859848538283279E-2</v>
      </c>
      <c r="E29" s="249">
        <f t="shared" si="11"/>
        <v>0.75643025620736359</v>
      </c>
      <c r="F29" s="249">
        <f t="shared" si="11"/>
        <v>0.79131459925771463</v>
      </c>
      <c r="G29" s="249">
        <f t="shared" si="11"/>
        <v>1.0000000000000002</v>
      </c>
      <c r="H29" s="249">
        <f t="shared" si="11"/>
        <v>0.80404615715542727</v>
      </c>
      <c r="I29" s="249">
        <f t="shared" si="11"/>
        <v>0.71454817175760521</v>
      </c>
      <c r="J29" s="249">
        <f t="shared" si="11"/>
        <v>0.77932838421386064</v>
      </c>
      <c r="K29" s="250">
        <f t="shared" si="11"/>
        <v>0.8858491706713586</v>
      </c>
    </row>
    <row r="30" spans="1:12">
      <c r="A30" s="41" t="s">
        <v>8</v>
      </c>
      <c r="B30" s="46">
        <f>Scenarios!D28</f>
        <v>-1.5041633078088965E-2</v>
      </c>
      <c r="C30" s="242">
        <f t="shared" ref="C30:K30" si="12">C8</f>
        <v>0.29086830436352928</v>
      </c>
      <c r="D30" s="248">
        <f t="shared" si="12"/>
        <v>0.17199291666801564</v>
      </c>
      <c r="E30" s="249">
        <f t="shared" si="12"/>
        <v>0.74460051775263425</v>
      </c>
      <c r="F30" s="249">
        <f t="shared" si="12"/>
        <v>0.79813028035122635</v>
      </c>
      <c r="G30" s="249">
        <f t="shared" si="12"/>
        <v>0.80404615715542738</v>
      </c>
      <c r="H30" s="249">
        <f t="shared" si="12"/>
        <v>1</v>
      </c>
      <c r="I30" s="249">
        <f t="shared" si="12"/>
        <v>0.63722686856845323</v>
      </c>
      <c r="J30" s="249">
        <f t="shared" si="12"/>
        <v>0.66166173932878602</v>
      </c>
      <c r="K30" s="250">
        <f t="shared" si="12"/>
        <v>0.78445174530045891</v>
      </c>
    </row>
    <row r="31" spans="1:12">
      <c r="A31" s="41" t="s">
        <v>9</v>
      </c>
      <c r="B31" s="46">
        <f>Scenarios!D29</f>
        <v>1.7326163923364224E-2</v>
      </c>
      <c r="C31" s="242">
        <f t="shared" ref="C31:K31" si="13">C9</f>
        <v>0.32762989319180058</v>
      </c>
      <c r="D31" s="248">
        <f t="shared" si="13"/>
        <v>0.1163530870831065</v>
      </c>
      <c r="E31" s="249">
        <f t="shared" si="13"/>
        <v>0.63042249533958294</v>
      </c>
      <c r="F31" s="249">
        <f t="shared" si="13"/>
        <v>0.65620336381946465</v>
      </c>
      <c r="G31" s="249">
        <f t="shared" si="13"/>
        <v>0.71454817175760499</v>
      </c>
      <c r="H31" s="249">
        <f t="shared" si="13"/>
        <v>0.63722686856845323</v>
      </c>
      <c r="I31" s="249">
        <f t="shared" si="13"/>
        <v>0.99999999999999978</v>
      </c>
      <c r="J31" s="249">
        <f t="shared" si="13"/>
        <v>0.61123567343454832</v>
      </c>
      <c r="K31" s="250">
        <f t="shared" si="13"/>
        <v>0.68083389626068458</v>
      </c>
    </row>
    <row r="32" spans="1:12">
      <c r="A32" s="41" t="s">
        <v>10</v>
      </c>
      <c r="B32" s="46">
        <f>Scenarios!D30</f>
        <v>-4.2158606606711446E-2</v>
      </c>
      <c r="C32" s="242">
        <f t="shared" ref="C32:K32" si="14">C10</f>
        <v>0.15798659221184908</v>
      </c>
      <c r="D32" s="248">
        <f t="shared" si="14"/>
        <v>0.31533261335053225</v>
      </c>
      <c r="E32" s="249">
        <f t="shared" si="14"/>
        <v>0.87087144487559476</v>
      </c>
      <c r="F32" s="249">
        <f t="shared" si="14"/>
        <v>0.87052123629161926</v>
      </c>
      <c r="G32" s="249">
        <f t="shared" si="14"/>
        <v>0.77932838421386041</v>
      </c>
      <c r="H32" s="249">
        <f t="shared" si="14"/>
        <v>0.66166173932878602</v>
      </c>
      <c r="I32" s="249">
        <f t="shared" si="14"/>
        <v>0.61123567343454821</v>
      </c>
      <c r="J32" s="249">
        <f t="shared" si="14"/>
        <v>0.99999999999999978</v>
      </c>
      <c r="K32" s="250">
        <f t="shared" si="14"/>
        <v>0.84390932125983842</v>
      </c>
    </row>
    <row r="33" spans="1:12" ht="13.5" thickBot="1">
      <c r="A33" s="43" t="s">
        <v>11</v>
      </c>
      <c r="B33" s="47">
        <f>Scenarios!D31</f>
        <v>-5.1766673344794997E-2</v>
      </c>
      <c r="C33" s="245">
        <f t="shared" ref="C33:K33" si="15">C11</f>
        <v>0.19621796279766246</v>
      </c>
      <c r="D33" s="251">
        <f t="shared" si="15"/>
        <v>0.22382706166473476</v>
      </c>
      <c r="E33" s="252">
        <f t="shared" si="15"/>
        <v>0.88503479579271971</v>
      </c>
      <c r="F33" s="252">
        <f t="shared" si="15"/>
        <v>0.89384087654365474</v>
      </c>
      <c r="G33" s="252">
        <f t="shared" si="15"/>
        <v>0.8858491706713586</v>
      </c>
      <c r="H33" s="252">
        <f t="shared" si="15"/>
        <v>0.78445174530045891</v>
      </c>
      <c r="I33" s="252">
        <f t="shared" si="15"/>
        <v>0.68083389626068469</v>
      </c>
      <c r="J33" s="252">
        <f t="shared" si="15"/>
        <v>0.84390932125983853</v>
      </c>
      <c r="K33" s="253">
        <f t="shared" si="15"/>
        <v>1.0000000000000002</v>
      </c>
    </row>
    <row r="35" spans="1:12" ht="13.5" thickBot="1"/>
    <row r="36" spans="1:12" ht="13.5" thickBot="1">
      <c r="A36" s="45" t="str">
        <f>Scenarios!E23</f>
        <v>Base - muddle up</v>
      </c>
      <c r="B36" s="39" t="s">
        <v>1</v>
      </c>
      <c r="C36" s="40" t="s">
        <v>2</v>
      </c>
      <c r="D36" s="393" t="s">
        <v>3</v>
      </c>
      <c r="E36" s="394"/>
      <c r="F36" s="394"/>
      <c r="G36" s="394"/>
      <c r="H36" s="394"/>
      <c r="I36" s="394"/>
      <c r="J36" s="394"/>
      <c r="K36" s="395"/>
    </row>
    <row r="37" spans="1:12">
      <c r="A37" s="41" t="s">
        <v>4</v>
      </c>
      <c r="B37" s="46">
        <f>Scenarios!E24</f>
        <v>-3.4179872754884488E-3</v>
      </c>
      <c r="C37" s="242">
        <f t="shared" ref="C37:K37" si="16">C15</f>
        <v>3.8327320576542839E-2</v>
      </c>
      <c r="D37" s="248">
        <f t="shared" si="16"/>
        <v>1</v>
      </c>
      <c r="E37" s="249">
        <f t="shared" si="16"/>
        <v>0.3418544126049784</v>
      </c>
      <c r="F37" s="249">
        <f t="shared" si="16"/>
        <v>0.32920370115226022</v>
      </c>
      <c r="G37" s="249">
        <f t="shared" si="16"/>
        <v>9.8859848538283293E-2</v>
      </c>
      <c r="H37" s="249">
        <f t="shared" si="16"/>
        <v>0.17199291666801578</v>
      </c>
      <c r="I37" s="249">
        <f t="shared" si="16"/>
        <v>0.11635308708310647</v>
      </c>
      <c r="J37" s="249">
        <f t="shared" si="16"/>
        <v>0.31533261335053236</v>
      </c>
      <c r="K37" s="250">
        <f t="shared" si="16"/>
        <v>0.22382706166473479</v>
      </c>
      <c r="L37" s="238" t="s">
        <v>120</v>
      </c>
    </row>
    <row r="38" spans="1:12">
      <c r="A38" s="41" t="s">
        <v>5</v>
      </c>
      <c r="B38" s="46">
        <f>Scenarios!E25</f>
        <v>2.8173968116101435E-2</v>
      </c>
      <c r="C38" s="242">
        <f t="shared" ref="C38:K38" si="17">C16</f>
        <v>0.15740402046445473</v>
      </c>
      <c r="D38" s="248">
        <f t="shared" si="17"/>
        <v>0.3418544126049784</v>
      </c>
      <c r="E38" s="249">
        <f t="shared" si="17"/>
        <v>0.99999999999999978</v>
      </c>
      <c r="F38" s="249">
        <f t="shared" si="17"/>
        <v>0.94415502841460053</v>
      </c>
      <c r="G38" s="249">
        <f t="shared" si="17"/>
        <v>0.75643025620736359</v>
      </c>
      <c r="H38" s="249">
        <f t="shared" si="17"/>
        <v>0.74460051775263425</v>
      </c>
      <c r="I38" s="249">
        <f t="shared" si="17"/>
        <v>0.63042249533958317</v>
      </c>
      <c r="J38" s="249">
        <f t="shared" si="17"/>
        <v>0.87087144487559465</v>
      </c>
      <c r="K38" s="250">
        <f t="shared" si="17"/>
        <v>0.88503479579271971</v>
      </c>
    </row>
    <row r="39" spans="1:12">
      <c r="A39" s="41" t="s">
        <v>6</v>
      </c>
      <c r="B39" s="46">
        <f>Scenarios!E26</f>
        <v>4.2527479167274736E-2</v>
      </c>
      <c r="C39" s="242">
        <f t="shared" ref="C39:K39" si="18">C17</f>
        <v>0.16055565886911449</v>
      </c>
      <c r="D39" s="248">
        <f t="shared" si="18"/>
        <v>0.32920370115226077</v>
      </c>
      <c r="E39" s="249">
        <f t="shared" si="18"/>
        <v>0.94415502841460075</v>
      </c>
      <c r="F39" s="249">
        <f t="shared" si="18"/>
        <v>1</v>
      </c>
      <c r="G39" s="249">
        <f t="shared" si="18"/>
        <v>0.79131459925771463</v>
      </c>
      <c r="H39" s="249">
        <f t="shared" si="18"/>
        <v>0.79813028035122646</v>
      </c>
      <c r="I39" s="249">
        <f t="shared" si="18"/>
        <v>0.65620336381946465</v>
      </c>
      <c r="J39" s="249">
        <f t="shared" si="18"/>
        <v>0.87052123629161937</v>
      </c>
      <c r="K39" s="250">
        <f t="shared" si="18"/>
        <v>0.89384087654365485</v>
      </c>
    </row>
    <row r="40" spans="1:12">
      <c r="A40" s="41" t="s">
        <v>7</v>
      </c>
      <c r="B40" s="46">
        <f>Scenarios!E27</f>
        <v>3.3016877644366754E-2</v>
      </c>
      <c r="C40" s="242">
        <f t="shared" ref="C40:K40" si="19">C18</f>
        <v>0.28482723462884557</v>
      </c>
      <c r="D40" s="248">
        <f t="shared" si="19"/>
        <v>9.8859848538283279E-2</v>
      </c>
      <c r="E40" s="249">
        <f t="shared" si="19"/>
        <v>0.75643025620736359</v>
      </c>
      <c r="F40" s="249">
        <f t="shared" si="19"/>
        <v>0.79131459925771463</v>
      </c>
      <c r="G40" s="249">
        <f t="shared" si="19"/>
        <v>1.0000000000000002</v>
      </c>
      <c r="H40" s="249">
        <f t="shared" si="19"/>
        <v>0.80404615715542727</v>
      </c>
      <c r="I40" s="249">
        <f t="shared" si="19"/>
        <v>0.71454817175760521</v>
      </c>
      <c r="J40" s="249">
        <f t="shared" si="19"/>
        <v>0.77932838421386064</v>
      </c>
      <c r="K40" s="250">
        <f t="shared" si="19"/>
        <v>0.8858491706713586</v>
      </c>
    </row>
    <row r="41" spans="1:12">
      <c r="A41" s="41" t="s">
        <v>8</v>
      </c>
      <c r="B41" s="46">
        <f>Scenarios!E28</f>
        <v>7.4724436355395413E-2</v>
      </c>
      <c r="C41" s="242">
        <f t="shared" ref="C41:K41" si="20">C19</f>
        <v>0.29086830436352928</v>
      </c>
      <c r="D41" s="248">
        <f t="shared" si="20"/>
        <v>0.17199291666801564</v>
      </c>
      <c r="E41" s="249">
        <f t="shared" si="20"/>
        <v>0.74460051775263425</v>
      </c>
      <c r="F41" s="249">
        <f t="shared" si="20"/>
        <v>0.79813028035122635</v>
      </c>
      <c r="G41" s="249">
        <f t="shared" si="20"/>
        <v>0.80404615715542738</v>
      </c>
      <c r="H41" s="249">
        <f t="shared" si="20"/>
        <v>1</v>
      </c>
      <c r="I41" s="249">
        <f t="shared" si="20"/>
        <v>0.63722686856845323</v>
      </c>
      <c r="J41" s="249">
        <f t="shared" si="20"/>
        <v>0.66166173932878602</v>
      </c>
      <c r="K41" s="250">
        <f t="shared" si="20"/>
        <v>0.78445174530045891</v>
      </c>
    </row>
    <row r="42" spans="1:12">
      <c r="A42" s="41" t="s">
        <v>9</v>
      </c>
      <c r="B42" s="46">
        <f>Scenarios!E29</f>
        <v>-3.9001815740357833E-3</v>
      </c>
      <c r="C42" s="242">
        <f t="shared" ref="C42:K42" si="21">C20</f>
        <v>0.32762989319180058</v>
      </c>
      <c r="D42" s="248">
        <f t="shared" si="21"/>
        <v>0.1163530870831065</v>
      </c>
      <c r="E42" s="249">
        <f t="shared" si="21"/>
        <v>0.63042249533958294</v>
      </c>
      <c r="F42" s="249">
        <f t="shared" si="21"/>
        <v>0.65620336381946465</v>
      </c>
      <c r="G42" s="249">
        <f t="shared" si="21"/>
        <v>0.71454817175760499</v>
      </c>
      <c r="H42" s="249">
        <f t="shared" si="21"/>
        <v>0.63722686856845323</v>
      </c>
      <c r="I42" s="249">
        <f t="shared" si="21"/>
        <v>0.99999999999999978</v>
      </c>
      <c r="J42" s="249">
        <f t="shared" si="21"/>
        <v>0.61123567343454832</v>
      </c>
      <c r="K42" s="250">
        <f t="shared" si="21"/>
        <v>0.68083389626068458</v>
      </c>
    </row>
    <row r="43" spans="1:12">
      <c r="A43" s="41" t="s">
        <v>10</v>
      </c>
      <c r="B43" s="46">
        <f>Scenarios!E30</f>
        <v>1.0491043321084678E-2</v>
      </c>
      <c r="C43" s="242">
        <f t="shared" ref="C43:K43" si="22">C21</f>
        <v>0.15798659221184908</v>
      </c>
      <c r="D43" s="248">
        <f t="shared" si="22"/>
        <v>0.31533261335053225</v>
      </c>
      <c r="E43" s="249">
        <f t="shared" si="22"/>
        <v>0.87087144487559476</v>
      </c>
      <c r="F43" s="249">
        <f t="shared" si="22"/>
        <v>0.87052123629161926</v>
      </c>
      <c r="G43" s="249">
        <f t="shared" si="22"/>
        <v>0.77932838421386041</v>
      </c>
      <c r="H43" s="249">
        <f t="shared" si="22"/>
        <v>0.66166173932878602</v>
      </c>
      <c r="I43" s="249">
        <f t="shared" si="22"/>
        <v>0.61123567343454821</v>
      </c>
      <c r="J43" s="249">
        <f t="shared" si="22"/>
        <v>0.99999999999999978</v>
      </c>
      <c r="K43" s="250">
        <f t="shared" si="22"/>
        <v>0.84390932125983842</v>
      </c>
    </row>
    <row r="44" spans="1:12" ht="13.5" thickBot="1">
      <c r="A44" s="43" t="s">
        <v>11</v>
      </c>
      <c r="B44" s="47">
        <f>Scenarios!E31</f>
        <v>4.4470055868840348E-2</v>
      </c>
      <c r="C44" s="245">
        <f t="shared" ref="C44:K44" si="23">C22</f>
        <v>0.19621796279766246</v>
      </c>
      <c r="D44" s="251">
        <f t="shared" si="23"/>
        <v>0.22382706166473476</v>
      </c>
      <c r="E44" s="252">
        <f t="shared" si="23"/>
        <v>0.88503479579271971</v>
      </c>
      <c r="F44" s="252">
        <f t="shared" si="23"/>
        <v>0.89384087654365474</v>
      </c>
      <c r="G44" s="252">
        <f t="shared" si="23"/>
        <v>0.8858491706713586</v>
      </c>
      <c r="H44" s="252">
        <f t="shared" si="23"/>
        <v>0.78445174530045891</v>
      </c>
      <c r="I44" s="252">
        <f t="shared" si="23"/>
        <v>0.68083389626068469</v>
      </c>
      <c r="J44" s="252">
        <f t="shared" si="23"/>
        <v>0.84390932125983853</v>
      </c>
      <c r="K44" s="253">
        <f t="shared" si="23"/>
        <v>1.0000000000000002</v>
      </c>
    </row>
    <row r="46" spans="1:12" ht="13.5" thickBot="1"/>
    <row r="47" spans="1:12" ht="13.5" thickBot="1">
      <c r="A47" s="45" t="str">
        <f>Scenarios!F23</f>
        <v>Bear case</v>
      </c>
      <c r="B47" s="39" t="s">
        <v>1</v>
      </c>
      <c r="C47" s="231" t="s">
        <v>2</v>
      </c>
      <c r="D47" s="396" t="s">
        <v>3</v>
      </c>
      <c r="E47" s="397"/>
      <c r="F47" s="397"/>
      <c r="G47" s="397"/>
      <c r="H47" s="397"/>
      <c r="I47" s="397"/>
      <c r="J47" s="397"/>
      <c r="K47" s="398"/>
    </row>
    <row r="48" spans="1:12">
      <c r="A48" s="41" t="s">
        <v>4</v>
      </c>
      <c r="B48" s="229">
        <f>Scenarios!F24</f>
        <v>-5.8987126880164276E-2</v>
      </c>
      <c r="C48" s="232">
        <v>6.2230972955435157E-2</v>
      </c>
      <c r="D48" s="280">
        <v>1</v>
      </c>
      <c r="E48" s="281">
        <v>0.47102969549764873</v>
      </c>
      <c r="F48" s="281">
        <v>0.44102598120003672</v>
      </c>
      <c r="G48" s="281">
        <v>0.1916139221868596</v>
      </c>
      <c r="H48" s="281">
        <v>0.24756676138433611</v>
      </c>
      <c r="I48" s="281">
        <v>0.1747091736012199</v>
      </c>
      <c r="J48" s="281">
        <v>0.43690863222333309</v>
      </c>
      <c r="K48" s="282">
        <v>0.33880552794512614</v>
      </c>
      <c r="L48" s="36" t="s">
        <v>125</v>
      </c>
    </row>
    <row r="49" spans="1:13">
      <c r="A49" s="41" t="s">
        <v>5</v>
      </c>
      <c r="B49" s="229">
        <f>Scenarios!F25</f>
        <v>-0.46709405332985687</v>
      </c>
      <c r="C49" s="228">
        <v>0.22813368702469963</v>
      </c>
      <c r="D49" s="274">
        <v>0.47102969549764873</v>
      </c>
      <c r="E49" s="275">
        <v>1.0000000000000002</v>
      </c>
      <c r="F49" s="275">
        <v>0.93822360415104178</v>
      </c>
      <c r="G49" s="275">
        <v>0.75326025420376108</v>
      </c>
      <c r="H49" s="275">
        <v>0.73352486795767102</v>
      </c>
      <c r="I49" s="275">
        <v>0.63359529390296199</v>
      </c>
      <c r="J49" s="275">
        <v>0.87098619109423425</v>
      </c>
      <c r="K49" s="276">
        <v>0.87135999187444568</v>
      </c>
    </row>
    <row r="50" spans="1:13">
      <c r="A50" s="41" t="s">
        <v>6</v>
      </c>
      <c r="B50" s="229">
        <f>Scenarios!F26</f>
        <v>-0.53388765375707492</v>
      </c>
      <c r="C50" s="228">
        <v>0.23612462727275424</v>
      </c>
      <c r="D50" s="274">
        <v>0.44102598120003672</v>
      </c>
      <c r="E50" s="275">
        <v>0.93822360415104189</v>
      </c>
      <c r="F50" s="275">
        <v>1.0000000000000002</v>
      </c>
      <c r="G50" s="275">
        <v>0.79963015318153241</v>
      </c>
      <c r="H50" s="275">
        <v>0.78704984484445428</v>
      </c>
      <c r="I50" s="275">
        <v>0.6705837763066671</v>
      </c>
      <c r="J50" s="275">
        <v>0.87302411710056305</v>
      </c>
      <c r="K50" s="276">
        <v>0.89106747178031864</v>
      </c>
    </row>
    <row r="51" spans="1:13">
      <c r="A51" s="41" t="s">
        <v>7</v>
      </c>
      <c r="B51" s="229">
        <f>Scenarios!F27</f>
        <v>-0.63662140327632288</v>
      </c>
      <c r="C51" s="228">
        <v>0.41877013863949536</v>
      </c>
      <c r="D51" s="274">
        <v>0.19161392218685974</v>
      </c>
      <c r="E51" s="275">
        <v>0.75326025420376086</v>
      </c>
      <c r="F51" s="275">
        <v>0.79963015318153241</v>
      </c>
      <c r="G51" s="275">
        <v>1</v>
      </c>
      <c r="H51" s="275">
        <v>0.80812183743359234</v>
      </c>
      <c r="I51" s="275">
        <v>0.70238919189824067</v>
      </c>
      <c r="J51" s="275">
        <v>0.80604385760605091</v>
      </c>
      <c r="K51" s="276">
        <v>0.88086813992686197</v>
      </c>
    </row>
    <row r="52" spans="1:13">
      <c r="A52" s="41" t="s">
        <v>8</v>
      </c>
      <c r="B52" s="229">
        <f>Scenarios!F28</f>
        <v>-0.38154687800334713</v>
      </c>
      <c r="C52" s="228">
        <v>0.43715930361035565</v>
      </c>
      <c r="D52" s="274">
        <v>0.24756676138433592</v>
      </c>
      <c r="E52" s="275">
        <v>0.73352486795767102</v>
      </c>
      <c r="F52" s="275">
        <v>0.78704984484445417</v>
      </c>
      <c r="G52" s="275">
        <v>0.80812183743359234</v>
      </c>
      <c r="H52" s="275">
        <v>1</v>
      </c>
      <c r="I52" s="275">
        <v>0.6227307997578343</v>
      </c>
      <c r="J52" s="275">
        <v>0.64969582874157039</v>
      </c>
      <c r="K52" s="276">
        <v>0.77520880186806285</v>
      </c>
    </row>
    <row r="53" spans="1:13">
      <c r="A53" s="41" t="s">
        <v>9</v>
      </c>
      <c r="B53" s="229">
        <f>Scenarios!F29</f>
        <v>-0.39528495301413574</v>
      </c>
      <c r="C53" s="228">
        <v>0.49612218939856001</v>
      </c>
      <c r="D53" s="274">
        <v>0.17470917360121993</v>
      </c>
      <c r="E53" s="275">
        <v>0.63359529390296199</v>
      </c>
      <c r="F53" s="275">
        <v>0.67058377630666699</v>
      </c>
      <c r="G53" s="275">
        <v>0.70238919189824078</v>
      </c>
      <c r="H53" s="275">
        <v>0.6227307997578343</v>
      </c>
      <c r="I53" s="275">
        <v>0.99999999999999989</v>
      </c>
      <c r="J53" s="275">
        <v>0.64379087144854052</v>
      </c>
      <c r="K53" s="276">
        <v>0.65952840986787564</v>
      </c>
    </row>
    <row r="54" spans="1:13">
      <c r="A54" s="41" t="s">
        <v>10</v>
      </c>
      <c r="B54" s="229">
        <f>Scenarios!F30</f>
        <v>-0.25764077911990541</v>
      </c>
      <c r="C54" s="228">
        <v>0.22513334484340575</v>
      </c>
      <c r="D54" s="274">
        <v>0.43690863222333315</v>
      </c>
      <c r="E54" s="275">
        <v>0.87098619109423403</v>
      </c>
      <c r="F54" s="275">
        <v>0.87302411710056305</v>
      </c>
      <c r="G54" s="275">
        <v>0.80604385760605068</v>
      </c>
      <c r="H54" s="275">
        <v>0.6496958287415705</v>
      </c>
      <c r="I54" s="275">
        <v>0.64379087144854041</v>
      </c>
      <c r="J54" s="275">
        <v>1.0000000000000002</v>
      </c>
      <c r="K54" s="276">
        <v>0.86491136423250092</v>
      </c>
    </row>
    <row r="55" spans="1:13" ht="13.5" thickBot="1">
      <c r="A55" s="43" t="s">
        <v>11</v>
      </c>
      <c r="B55" s="230">
        <f>Scenarios!F31</f>
        <v>-0.32705491871314474</v>
      </c>
      <c r="C55" s="233">
        <v>0.28443486592153544</v>
      </c>
      <c r="D55" s="277">
        <v>0.33880552794512614</v>
      </c>
      <c r="E55" s="278">
        <v>0.87135999187444568</v>
      </c>
      <c r="F55" s="278">
        <v>0.89106747178031853</v>
      </c>
      <c r="G55" s="278">
        <v>0.88086813992686197</v>
      </c>
      <c r="H55" s="278">
        <v>0.77520880186806285</v>
      </c>
      <c r="I55" s="278">
        <v>0.65952840986787553</v>
      </c>
      <c r="J55" s="278">
        <v>0.86491136423250081</v>
      </c>
      <c r="K55" s="279">
        <v>1</v>
      </c>
    </row>
    <row r="56" spans="1:13">
      <c r="A56" s="206"/>
      <c r="B56" s="207"/>
      <c r="C56" s="208"/>
      <c r="D56" s="112"/>
      <c r="E56" s="112"/>
      <c r="F56" s="112"/>
      <c r="G56" s="112"/>
      <c r="H56" s="112"/>
      <c r="I56" s="112"/>
      <c r="J56" s="112"/>
      <c r="K56" s="112"/>
    </row>
    <row r="57" spans="1:13" ht="13.5" thickBot="1"/>
    <row r="58" spans="1:13" ht="13.5" thickBot="1">
      <c r="A58" s="45" t="str">
        <f>Scenarios!G23</f>
        <v>Tail risk</v>
      </c>
      <c r="B58" s="39" t="s">
        <v>1</v>
      </c>
      <c r="C58" s="203" t="s">
        <v>2</v>
      </c>
      <c r="D58" s="393" t="s">
        <v>3</v>
      </c>
      <c r="E58" s="394"/>
      <c r="F58" s="394"/>
      <c r="G58" s="394"/>
      <c r="H58" s="394"/>
      <c r="I58" s="394"/>
      <c r="J58" s="394"/>
      <c r="K58" s="395"/>
      <c r="M58" s="78"/>
    </row>
    <row r="59" spans="1:13">
      <c r="A59" s="41" t="s">
        <v>4</v>
      </c>
      <c r="B59" s="46">
        <f>Scenarios!G24</f>
        <v>-0.26287574291051119</v>
      </c>
      <c r="C59" s="228">
        <v>9.0618112702252188E-2</v>
      </c>
      <c r="D59" s="274">
        <v>1</v>
      </c>
      <c r="E59" s="275">
        <v>0.57085300818064821</v>
      </c>
      <c r="F59" s="275">
        <v>0.51590317152054344</v>
      </c>
      <c r="G59" s="275">
        <v>0.22543235061374906</v>
      </c>
      <c r="H59" s="275">
        <v>0.30482733339870521</v>
      </c>
      <c r="I59" s="275">
        <v>0.1877131252242237</v>
      </c>
      <c r="J59" s="275">
        <v>0.56475392912687616</v>
      </c>
      <c r="K59" s="276">
        <v>0.42620353457974319</v>
      </c>
      <c r="L59" s="36" t="s">
        <v>121</v>
      </c>
      <c r="M59" s="78"/>
    </row>
    <row r="60" spans="1:13">
      <c r="A60" s="41" t="s">
        <v>5</v>
      </c>
      <c r="B60" s="46">
        <f>Scenarios!G25</f>
        <v>-0.46905624232985693</v>
      </c>
      <c r="C60" s="228">
        <v>0.31486528648887419</v>
      </c>
      <c r="D60" s="274">
        <v>0.57085300818064832</v>
      </c>
      <c r="E60" s="275">
        <v>0.99999999999999978</v>
      </c>
      <c r="F60" s="275">
        <v>0.92670220027648009</v>
      </c>
      <c r="G60" s="275">
        <v>0.70556983049672706</v>
      </c>
      <c r="H60" s="275">
        <v>0.73729250351193587</v>
      </c>
      <c r="I60" s="275">
        <v>0.60792613623167058</v>
      </c>
      <c r="J60" s="275">
        <v>0.86315016289079405</v>
      </c>
      <c r="K60" s="276">
        <v>0.86742743262167787</v>
      </c>
      <c r="M60" s="78"/>
    </row>
    <row r="61" spans="1:13">
      <c r="A61" s="41" t="s">
        <v>6</v>
      </c>
      <c r="B61" s="46">
        <f>Scenarios!G26</f>
        <v>-0.40758678794189662</v>
      </c>
      <c r="C61" s="228">
        <v>0.33563157880530137</v>
      </c>
      <c r="D61" s="274">
        <v>0.51590317152054366</v>
      </c>
      <c r="E61" s="275">
        <v>0.92670220027648009</v>
      </c>
      <c r="F61" s="275">
        <v>0.99999999999999989</v>
      </c>
      <c r="G61" s="275">
        <v>0.77735373318815371</v>
      </c>
      <c r="H61" s="275">
        <v>0.80713427036091268</v>
      </c>
      <c r="I61" s="275">
        <v>0.67030879727576365</v>
      </c>
      <c r="J61" s="275">
        <v>0.8684724670306897</v>
      </c>
      <c r="K61" s="276">
        <v>0.8890877543808684</v>
      </c>
      <c r="M61" s="78"/>
    </row>
    <row r="62" spans="1:13">
      <c r="A62" s="41" t="s">
        <v>7</v>
      </c>
      <c r="B62" s="46">
        <f>Scenarios!G27</f>
        <v>-0.50223026172585394</v>
      </c>
      <c r="C62" s="228">
        <v>0.58057822101166678</v>
      </c>
      <c r="D62" s="274">
        <v>0.22543235061374906</v>
      </c>
      <c r="E62" s="275">
        <v>0.70556983049672706</v>
      </c>
      <c r="F62" s="275">
        <v>0.77735373318815371</v>
      </c>
      <c r="G62" s="275">
        <v>1.0000000000000002</v>
      </c>
      <c r="H62" s="275">
        <v>0.82379140885718805</v>
      </c>
      <c r="I62" s="275">
        <v>0.71491859487248288</v>
      </c>
      <c r="J62" s="275">
        <v>0.7945256498620229</v>
      </c>
      <c r="K62" s="276">
        <v>0.86375669090984664</v>
      </c>
      <c r="M62" s="78"/>
    </row>
    <row r="63" spans="1:13">
      <c r="A63" s="41" t="s">
        <v>8</v>
      </c>
      <c r="B63" s="46">
        <f>Scenarios!G28</f>
        <v>-0.22652606438744602</v>
      </c>
      <c r="C63" s="228">
        <v>0.63397873832777574</v>
      </c>
      <c r="D63" s="274">
        <v>0.30482733339870499</v>
      </c>
      <c r="E63" s="275">
        <v>0.73729250351193587</v>
      </c>
      <c r="F63" s="275">
        <v>0.80713427036091279</v>
      </c>
      <c r="G63" s="275">
        <v>0.82379140885718805</v>
      </c>
      <c r="H63" s="275">
        <v>1</v>
      </c>
      <c r="I63" s="275">
        <v>0.66043271027173578</v>
      </c>
      <c r="J63" s="275">
        <v>0.67907866736685552</v>
      </c>
      <c r="K63" s="276">
        <v>0.79157487896608858</v>
      </c>
      <c r="M63" s="78"/>
    </row>
    <row r="64" spans="1:13">
      <c r="A64" s="41" t="s">
        <v>9</v>
      </c>
      <c r="B64" s="46">
        <f>Scenarios!G29</f>
        <v>-0.36578625545580234</v>
      </c>
      <c r="C64" s="228">
        <v>0.67038386164030728</v>
      </c>
      <c r="D64" s="274">
        <v>0.18771312522422376</v>
      </c>
      <c r="E64" s="275">
        <v>0.60792613623167069</v>
      </c>
      <c r="F64" s="275">
        <v>0.67030879727576365</v>
      </c>
      <c r="G64" s="275">
        <v>0.71491859487248288</v>
      </c>
      <c r="H64" s="275">
        <v>0.66043271027173578</v>
      </c>
      <c r="I64" s="275">
        <v>1.0000000000000002</v>
      </c>
      <c r="J64" s="275">
        <v>0.64225367758188689</v>
      </c>
      <c r="K64" s="276">
        <v>0.67366535141540462</v>
      </c>
      <c r="M64" s="78"/>
    </row>
    <row r="65" spans="1:13">
      <c r="A65" s="41" t="s">
        <v>10</v>
      </c>
      <c r="B65" s="46">
        <f>Scenarios!G30</f>
        <v>-1.27081470544461E-2</v>
      </c>
      <c r="C65" s="228">
        <v>0.29165630729321568</v>
      </c>
      <c r="D65" s="274">
        <v>0.56475392912687616</v>
      </c>
      <c r="E65" s="275">
        <v>0.86315016289079405</v>
      </c>
      <c r="F65" s="275">
        <v>0.86847246703068981</v>
      </c>
      <c r="G65" s="275">
        <v>0.7945256498620229</v>
      </c>
      <c r="H65" s="275">
        <v>0.67907866736685563</v>
      </c>
      <c r="I65" s="275">
        <v>0.64225367758188689</v>
      </c>
      <c r="J65" s="275">
        <v>1</v>
      </c>
      <c r="K65" s="276">
        <v>0.89194847086880591</v>
      </c>
      <c r="M65" s="78"/>
    </row>
    <row r="66" spans="1:13" ht="13.5" thickBot="1">
      <c r="A66" s="43" t="s">
        <v>11</v>
      </c>
      <c r="B66" s="47">
        <f>+Scenarios!G31</f>
        <v>-0.17140461936280491</v>
      </c>
      <c r="C66" s="233">
        <v>0.38188039832723164</v>
      </c>
      <c r="D66" s="277">
        <v>0.4262035345797428</v>
      </c>
      <c r="E66" s="278">
        <v>0.86742743262167776</v>
      </c>
      <c r="F66" s="278">
        <v>0.8890877543808684</v>
      </c>
      <c r="G66" s="278">
        <v>0.86375669090984664</v>
      </c>
      <c r="H66" s="278">
        <v>0.79157487896608847</v>
      </c>
      <c r="I66" s="278">
        <v>0.67366535141540462</v>
      </c>
      <c r="J66" s="278">
        <v>0.89194847086880591</v>
      </c>
      <c r="K66" s="279">
        <v>1</v>
      </c>
    </row>
    <row r="67" spans="1:13">
      <c r="A67" s="206"/>
      <c r="B67" s="207"/>
      <c r="C67" s="208"/>
      <c r="D67" s="112"/>
      <c r="E67" s="112"/>
      <c r="F67" s="112"/>
      <c r="G67" s="112"/>
      <c r="H67" s="112"/>
      <c r="I67" s="112"/>
      <c r="J67" s="112"/>
      <c r="K67" s="112"/>
    </row>
    <row r="68" spans="1:13" ht="13.5" thickBot="1">
      <c r="A68" s="78"/>
      <c r="B68" s="78"/>
      <c r="C68" s="78"/>
      <c r="D68" s="78"/>
      <c r="E68" s="78"/>
      <c r="F68" s="78"/>
      <c r="G68" s="78"/>
      <c r="H68" s="78"/>
      <c r="I68" s="78"/>
      <c r="J68" s="78"/>
      <c r="K68" s="78"/>
      <c r="M68" s="78"/>
    </row>
    <row r="69" spans="1:13" ht="13.5" thickBot="1">
      <c r="A69" s="45" t="str">
        <f>Scenarios!H23</f>
        <v>Bull case</v>
      </c>
      <c r="B69" s="39" t="s">
        <v>1</v>
      </c>
      <c r="C69" s="203" t="s">
        <v>2</v>
      </c>
      <c r="D69" s="393" t="s">
        <v>3</v>
      </c>
      <c r="E69" s="394"/>
      <c r="F69" s="394"/>
      <c r="G69" s="394"/>
      <c r="H69" s="394"/>
      <c r="I69" s="394"/>
      <c r="J69" s="394"/>
      <c r="K69" s="395"/>
      <c r="M69" s="78"/>
    </row>
    <row r="70" spans="1:13">
      <c r="A70" s="41" t="s">
        <v>4</v>
      </c>
      <c r="B70" s="46">
        <f>+Scenarios!H24</f>
        <v>-3.2441343963196256E-3</v>
      </c>
      <c r="C70" s="239">
        <f>C48</f>
        <v>6.2230972955435157E-2</v>
      </c>
      <c r="D70" s="240">
        <f t="shared" ref="D70:K70" si="24">D48</f>
        <v>1</v>
      </c>
      <c r="E70" s="240">
        <f t="shared" si="24"/>
        <v>0.47102969549764873</v>
      </c>
      <c r="F70" s="240">
        <f t="shared" si="24"/>
        <v>0.44102598120003672</v>
      </c>
      <c r="G70" s="240">
        <f t="shared" si="24"/>
        <v>0.1916139221868596</v>
      </c>
      <c r="H70" s="240">
        <f t="shared" si="24"/>
        <v>0.24756676138433611</v>
      </c>
      <c r="I70" s="240">
        <f t="shared" si="24"/>
        <v>0.1747091736012199</v>
      </c>
      <c r="J70" s="240">
        <f t="shared" si="24"/>
        <v>0.43690863222333309</v>
      </c>
      <c r="K70" s="241">
        <f t="shared" si="24"/>
        <v>0.33880552794512614</v>
      </c>
      <c r="L70" s="238" t="s">
        <v>122</v>
      </c>
    </row>
    <row r="71" spans="1:13">
      <c r="A71" s="41" t="s">
        <v>5</v>
      </c>
      <c r="B71" s="46">
        <f>+Scenarios!H25</f>
        <v>0.30101613523680981</v>
      </c>
      <c r="C71" s="242">
        <f t="shared" ref="C71:K71" si="25">C49</f>
        <v>0.22813368702469963</v>
      </c>
      <c r="D71" s="243">
        <f t="shared" si="25"/>
        <v>0.47102969549764873</v>
      </c>
      <c r="E71" s="243">
        <f t="shared" si="25"/>
        <v>1.0000000000000002</v>
      </c>
      <c r="F71" s="243">
        <f t="shared" si="25"/>
        <v>0.93822360415104178</v>
      </c>
      <c r="G71" s="243">
        <f t="shared" si="25"/>
        <v>0.75326025420376108</v>
      </c>
      <c r="H71" s="243">
        <f t="shared" si="25"/>
        <v>0.73352486795767102</v>
      </c>
      <c r="I71" s="243">
        <f t="shared" si="25"/>
        <v>0.63359529390296199</v>
      </c>
      <c r="J71" s="243">
        <f t="shared" si="25"/>
        <v>0.87098619109423425</v>
      </c>
      <c r="K71" s="244">
        <f t="shared" si="25"/>
        <v>0.87135999187444568</v>
      </c>
    </row>
    <row r="72" spans="1:13">
      <c r="A72" s="41" t="s">
        <v>6</v>
      </c>
      <c r="B72" s="46">
        <f>+Scenarios!H26</f>
        <v>0.26888806032968465</v>
      </c>
      <c r="C72" s="242">
        <f t="shared" ref="C72:K72" si="26">C50</f>
        <v>0.23612462727275424</v>
      </c>
      <c r="D72" s="243">
        <f t="shared" si="26"/>
        <v>0.44102598120003672</v>
      </c>
      <c r="E72" s="243">
        <f t="shared" si="26"/>
        <v>0.93822360415104189</v>
      </c>
      <c r="F72" s="243">
        <f t="shared" si="26"/>
        <v>1.0000000000000002</v>
      </c>
      <c r="G72" s="243">
        <f t="shared" si="26"/>
        <v>0.79963015318153241</v>
      </c>
      <c r="H72" s="243">
        <f t="shared" si="26"/>
        <v>0.78704984484445428</v>
      </c>
      <c r="I72" s="243">
        <f t="shared" si="26"/>
        <v>0.6705837763066671</v>
      </c>
      <c r="J72" s="243">
        <f t="shared" si="26"/>
        <v>0.87302411710056305</v>
      </c>
      <c r="K72" s="244">
        <f t="shared" si="26"/>
        <v>0.89106747178031864</v>
      </c>
    </row>
    <row r="73" spans="1:13">
      <c r="A73" s="41" t="s">
        <v>7</v>
      </c>
      <c r="B73" s="46">
        <f>+Scenarios!H27</f>
        <v>0.34216639060226639</v>
      </c>
      <c r="C73" s="242">
        <f t="shared" ref="C73:K73" si="27">C51</f>
        <v>0.41877013863949536</v>
      </c>
      <c r="D73" s="243">
        <f t="shared" si="27"/>
        <v>0.19161392218685974</v>
      </c>
      <c r="E73" s="243">
        <f t="shared" si="27"/>
        <v>0.75326025420376086</v>
      </c>
      <c r="F73" s="243">
        <f t="shared" si="27"/>
        <v>0.79963015318153241</v>
      </c>
      <c r="G73" s="243">
        <f t="shared" si="27"/>
        <v>1</v>
      </c>
      <c r="H73" s="243">
        <f t="shared" si="27"/>
        <v>0.80812183743359234</v>
      </c>
      <c r="I73" s="243">
        <f t="shared" si="27"/>
        <v>0.70238919189824067</v>
      </c>
      <c r="J73" s="243">
        <f t="shared" si="27"/>
        <v>0.80604385760605091</v>
      </c>
      <c r="K73" s="244">
        <f t="shared" si="27"/>
        <v>0.88086813992686197</v>
      </c>
    </row>
    <row r="74" spans="1:13">
      <c r="A74" s="41" t="s">
        <v>8</v>
      </c>
      <c r="B74" s="46">
        <f>+Scenarios!H28</f>
        <v>0.43818723932566084</v>
      </c>
      <c r="C74" s="242">
        <f t="shared" ref="C74:K74" si="28">C52</f>
        <v>0.43715930361035565</v>
      </c>
      <c r="D74" s="243">
        <f t="shared" si="28"/>
        <v>0.24756676138433592</v>
      </c>
      <c r="E74" s="243">
        <f t="shared" si="28"/>
        <v>0.73352486795767102</v>
      </c>
      <c r="F74" s="243">
        <f t="shared" si="28"/>
        <v>0.78704984484445417</v>
      </c>
      <c r="G74" s="243">
        <f t="shared" si="28"/>
        <v>0.80812183743359234</v>
      </c>
      <c r="H74" s="243">
        <f t="shared" si="28"/>
        <v>1</v>
      </c>
      <c r="I74" s="243">
        <f t="shared" si="28"/>
        <v>0.6227307997578343</v>
      </c>
      <c r="J74" s="243">
        <f t="shared" si="28"/>
        <v>0.64969582874157039</v>
      </c>
      <c r="K74" s="244">
        <f t="shared" si="28"/>
        <v>0.77520880186806285</v>
      </c>
    </row>
    <row r="75" spans="1:13">
      <c r="A75" s="41" t="s">
        <v>9</v>
      </c>
      <c r="B75" s="46">
        <f>+Scenarios!H29</f>
        <v>0.41949577968586427</v>
      </c>
      <c r="C75" s="242">
        <f t="shared" ref="C75:K75" si="29">C53</f>
        <v>0.49612218939856001</v>
      </c>
      <c r="D75" s="243">
        <f t="shared" si="29"/>
        <v>0.17470917360121993</v>
      </c>
      <c r="E75" s="243">
        <f t="shared" si="29"/>
        <v>0.63359529390296199</v>
      </c>
      <c r="F75" s="243">
        <f t="shared" si="29"/>
        <v>0.67058377630666699</v>
      </c>
      <c r="G75" s="243">
        <f t="shared" si="29"/>
        <v>0.70238919189824078</v>
      </c>
      <c r="H75" s="243">
        <f t="shared" si="29"/>
        <v>0.6227307997578343</v>
      </c>
      <c r="I75" s="243">
        <f t="shared" si="29"/>
        <v>0.99999999999999989</v>
      </c>
      <c r="J75" s="243">
        <f t="shared" si="29"/>
        <v>0.64379087144854052</v>
      </c>
      <c r="K75" s="244">
        <f t="shared" si="29"/>
        <v>0.65952840986787564</v>
      </c>
    </row>
    <row r="76" spans="1:13">
      <c r="A76" s="41" t="s">
        <v>10</v>
      </c>
      <c r="B76" s="46">
        <f>+Scenarios!H30</f>
        <v>0.26865610006004731</v>
      </c>
      <c r="C76" s="242">
        <f t="shared" ref="C76:K76" si="30">C54</f>
        <v>0.22513334484340575</v>
      </c>
      <c r="D76" s="243">
        <f t="shared" si="30"/>
        <v>0.43690863222333315</v>
      </c>
      <c r="E76" s="243">
        <f t="shared" si="30"/>
        <v>0.87098619109423403</v>
      </c>
      <c r="F76" s="243">
        <f t="shared" si="30"/>
        <v>0.87302411710056305</v>
      </c>
      <c r="G76" s="243">
        <f t="shared" si="30"/>
        <v>0.80604385760605068</v>
      </c>
      <c r="H76" s="243">
        <f t="shared" si="30"/>
        <v>0.6496958287415705</v>
      </c>
      <c r="I76" s="243">
        <f t="shared" si="30"/>
        <v>0.64379087144854041</v>
      </c>
      <c r="J76" s="243">
        <f t="shared" si="30"/>
        <v>1.0000000000000002</v>
      </c>
      <c r="K76" s="244">
        <f t="shared" si="30"/>
        <v>0.86491136423250092</v>
      </c>
    </row>
    <row r="77" spans="1:13" ht="13.5" thickBot="1">
      <c r="A77" s="43" t="s">
        <v>11</v>
      </c>
      <c r="B77" s="47">
        <f>+Scenarios!H31</f>
        <v>0.40834897941312509</v>
      </c>
      <c r="C77" s="245">
        <f t="shared" ref="C77:K77" si="31">C55</f>
        <v>0.28443486592153544</v>
      </c>
      <c r="D77" s="246">
        <f t="shared" si="31"/>
        <v>0.33880552794512614</v>
      </c>
      <c r="E77" s="246">
        <f t="shared" si="31"/>
        <v>0.87135999187444568</v>
      </c>
      <c r="F77" s="246">
        <f t="shared" si="31"/>
        <v>0.89106747178031853</v>
      </c>
      <c r="G77" s="246">
        <f t="shared" si="31"/>
        <v>0.88086813992686197</v>
      </c>
      <c r="H77" s="246">
        <f t="shared" si="31"/>
        <v>0.77520880186806285</v>
      </c>
      <c r="I77" s="246">
        <f t="shared" si="31"/>
        <v>0.65952840986787553</v>
      </c>
      <c r="J77" s="246">
        <f t="shared" si="31"/>
        <v>0.86491136423250081</v>
      </c>
      <c r="K77" s="247">
        <f t="shared" si="31"/>
        <v>1</v>
      </c>
    </row>
    <row r="78" spans="1:13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M78" s="78"/>
    </row>
    <row r="79" spans="1:13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M79" s="78"/>
    </row>
    <row r="80" spans="1:13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M80" s="78"/>
    </row>
    <row r="81" spans="1:13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M81" s="78"/>
    </row>
    <row r="82" spans="1:13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M82" s="78"/>
    </row>
    <row r="83" spans="1:13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M83" s="78"/>
    </row>
    <row r="84" spans="1:13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M84" s="78"/>
    </row>
    <row r="85" spans="1:13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M85" s="78"/>
    </row>
    <row r="86" spans="1:13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M86" s="78"/>
    </row>
  </sheetData>
  <mergeCells count="7">
    <mergeCell ref="D58:K58"/>
    <mergeCell ref="D69:K69"/>
    <mergeCell ref="D3:K3"/>
    <mergeCell ref="D14:K14"/>
    <mergeCell ref="D25:K25"/>
    <mergeCell ref="D36:K36"/>
    <mergeCell ref="D47:K4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4"/>
  <sheetViews>
    <sheetView zoomScale="80" zoomScaleNormal="80" workbookViewId="0">
      <selection activeCell="D12" sqref="D12"/>
    </sheetView>
  </sheetViews>
  <sheetFormatPr defaultRowHeight="15"/>
  <cols>
    <col min="1" max="1" width="32.42578125" style="75" customWidth="1"/>
    <col min="2" max="2" width="19.140625" style="75" customWidth="1"/>
    <col min="3" max="8" width="18.7109375" style="75" customWidth="1"/>
    <col min="9" max="16384" width="9.140625" style="75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99" t="s">
        <v>16</v>
      </c>
      <c r="D2" s="400"/>
      <c r="E2" s="401" t="s">
        <v>17</v>
      </c>
      <c r="F2" s="402"/>
      <c r="G2" s="403" t="s">
        <v>33</v>
      </c>
      <c r="H2" s="404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6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v>0</v>
      </c>
      <c r="D4" s="16">
        <v>1</v>
      </c>
      <c r="E4" s="16">
        <v>0</v>
      </c>
      <c r="F4" s="16">
        <v>1</v>
      </c>
      <c r="G4" s="17">
        <f>'Control panel'!B3</f>
        <v>0.55282478375024968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v>0</v>
      </c>
      <c r="D5" s="20">
        <v>1</v>
      </c>
      <c r="E5" s="20">
        <v>0</v>
      </c>
      <c r="F5" s="20">
        <v>1</v>
      </c>
      <c r="G5" s="21">
        <f>'Control panel'!B4</f>
        <v>9.9075500713263709E-2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v>0</v>
      </c>
      <c r="D6" s="20">
        <v>1</v>
      </c>
      <c r="E6" s="20">
        <v>0</v>
      </c>
      <c r="F6" s="20">
        <v>1</v>
      </c>
      <c r="G6" s="21">
        <f>'Control panel'!B5</f>
        <v>9.346901390128548E-2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v>0</v>
      </c>
      <c r="D7" s="20">
        <v>1</v>
      </c>
      <c r="E7" s="20">
        <v>0</v>
      </c>
      <c r="F7" s="20">
        <v>1</v>
      </c>
      <c r="G7" s="21">
        <f>'Control panel'!B6</f>
        <v>0.11036511115690795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v>0</v>
      </c>
      <c r="D8" s="20">
        <v>1</v>
      </c>
      <c r="E8" s="20">
        <v>0</v>
      </c>
      <c r="F8" s="20">
        <v>1</v>
      </c>
      <c r="G8" s="21">
        <f>'Control panel'!B7</f>
        <v>4.9724653199130588E-2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v>0</v>
      </c>
      <c r="D9" s="20">
        <v>1</v>
      </c>
      <c r="E9" s="20">
        <v>0</v>
      </c>
      <c r="F9" s="20">
        <v>1</v>
      </c>
      <c r="G9" s="21">
        <f>'Control panel'!B8</f>
        <v>1.9027140584823948E-2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v>0</v>
      </c>
      <c r="D10" s="20">
        <v>1</v>
      </c>
      <c r="E10" s="20">
        <v>0</v>
      </c>
      <c r="F10" s="20">
        <v>1</v>
      </c>
      <c r="G10" s="21">
        <f>'Control panel'!B9</f>
        <v>3.0988823352997075E-2</v>
      </c>
      <c r="H10" s="20">
        <f>'Control panel'!E9</f>
        <v>0.99</v>
      </c>
    </row>
    <row r="11" spans="1:8" ht="15.75" thickBot="1">
      <c r="A11" s="22" t="str">
        <f>'Absolute visies'!A11</f>
        <v>Onroerend goed</v>
      </c>
      <c r="B11" s="23" t="s">
        <v>25</v>
      </c>
      <c r="C11" s="24">
        <v>0</v>
      </c>
      <c r="D11" s="24">
        <v>1</v>
      </c>
      <c r="E11" s="24">
        <v>0</v>
      </c>
      <c r="F11" s="24">
        <v>1</v>
      </c>
      <c r="G11" s="25">
        <f>'Control panel'!B10</f>
        <v>4.4524973341341555E-2</v>
      </c>
      <c r="H11" s="24">
        <f>'Control panel'!E10</f>
        <v>0.99</v>
      </c>
    </row>
    <row r="12" spans="1:8" ht="15.75" thickBot="1">
      <c r="G12" s="26" t="s">
        <v>26</v>
      </c>
      <c r="H12" s="24">
        <f>'Control panel'!E11</f>
        <v>0.99</v>
      </c>
    </row>
    <row r="13" spans="1:8" ht="15.75" thickBot="1">
      <c r="G13" s="28"/>
      <c r="H13" s="6"/>
    </row>
    <row r="14" spans="1:8" ht="15.75" thickBot="1">
      <c r="A14" s="34" t="s">
        <v>32</v>
      </c>
      <c r="B14" s="30">
        <v>0</v>
      </c>
      <c r="C14" s="30">
        <v>0</v>
      </c>
      <c r="D14" s="30">
        <v>0</v>
      </c>
      <c r="E14" s="30">
        <v>0</v>
      </c>
      <c r="F14" s="30">
        <v>0</v>
      </c>
      <c r="G14" s="31">
        <v>0</v>
      </c>
    </row>
    <row r="15" spans="1:8">
      <c r="A15" s="14" t="str">
        <f>A4</f>
        <v>Nominale matching</v>
      </c>
      <c r="B15" s="254">
        <v>0</v>
      </c>
      <c r="C15" s="254">
        <v>0</v>
      </c>
      <c r="D15" s="254">
        <v>0</v>
      </c>
      <c r="E15" s="254">
        <v>0</v>
      </c>
      <c r="F15" s="254">
        <v>0</v>
      </c>
      <c r="G15" s="255">
        <v>0</v>
      </c>
    </row>
    <row r="16" spans="1:8">
      <c r="A16" s="18" t="str">
        <f t="shared" ref="A16:A22" si="0">A5</f>
        <v>High Yield</v>
      </c>
      <c r="B16" s="256">
        <v>0</v>
      </c>
      <c r="C16" s="256">
        <v>0</v>
      </c>
      <c r="D16" s="256">
        <v>0</v>
      </c>
      <c r="E16" s="256">
        <v>0</v>
      </c>
      <c r="F16" s="256">
        <v>0</v>
      </c>
      <c r="G16" s="256">
        <v>0</v>
      </c>
    </row>
    <row r="17" spans="1:7">
      <c r="A17" s="18" t="str">
        <f t="shared" si="0"/>
        <v>Emerging market debt</v>
      </c>
      <c r="B17" s="256">
        <v>0</v>
      </c>
      <c r="C17" s="256">
        <v>0</v>
      </c>
      <c r="D17" s="256">
        <v>0</v>
      </c>
      <c r="E17" s="256">
        <v>0</v>
      </c>
      <c r="F17" s="256">
        <v>0</v>
      </c>
      <c r="G17" s="257">
        <v>0</v>
      </c>
    </row>
    <row r="18" spans="1:7">
      <c r="A18" s="18" t="str">
        <f t="shared" si="0"/>
        <v>Aandelen ontwikkeld</v>
      </c>
      <c r="B18" s="256">
        <v>0</v>
      </c>
      <c r="C18" s="256">
        <v>0</v>
      </c>
      <c r="D18" s="256">
        <v>0</v>
      </c>
      <c r="E18" s="256">
        <v>0</v>
      </c>
      <c r="F18" s="256">
        <v>0</v>
      </c>
      <c r="G18" s="257">
        <v>0</v>
      </c>
    </row>
    <row r="19" spans="1:7">
      <c r="A19" s="18" t="str">
        <f t="shared" si="0"/>
        <v>Aandelen opkomend</v>
      </c>
      <c r="B19" s="256">
        <v>0</v>
      </c>
      <c r="C19" s="256">
        <v>0</v>
      </c>
      <c r="D19" s="256">
        <v>0</v>
      </c>
      <c r="E19" s="256">
        <v>0</v>
      </c>
      <c r="F19" s="256">
        <v>0</v>
      </c>
      <c r="G19" s="257">
        <v>0</v>
      </c>
    </row>
    <row r="20" spans="1:7">
      <c r="A20" s="18" t="str">
        <f t="shared" si="0"/>
        <v>Commodities</v>
      </c>
      <c r="B20" s="256">
        <v>0</v>
      </c>
      <c r="C20" s="256">
        <v>0</v>
      </c>
      <c r="D20" s="256">
        <v>0</v>
      </c>
      <c r="E20" s="256">
        <v>0</v>
      </c>
      <c r="F20" s="256">
        <v>0</v>
      </c>
      <c r="G20" s="257">
        <v>0</v>
      </c>
    </row>
    <row r="21" spans="1:7">
      <c r="A21" s="18" t="str">
        <f t="shared" si="0"/>
        <v>Hedge funds</v>
      </c>
      <c r="B21" s="256">
        <v>0</v>
      </c>
      <c r="C21" s="256">
        <v>0</v>
      </c>
      <c r="D21" s="256">
        <v>0</v>
      </c>
      <c r="E21" s="256">
        <v>0</v>
      </c>
      <c r="F21" s="256">
        <v>0</v>
      </c>
      <c r="G21" s="257">
        <v>0</v>
      </c>
    </row>
    <row r="22" spans="1:7" ht="15.75" thickBot="1">
      <c r="A22" s="22" t="str">
        <f t="shared" si="0"/>
        <v>Onroerend goed</v>
      </c>
      <c r="B22" s="258">
        <v>0</v>
      </c>
      <c r="C22" s="258">
        <v>0</v>
      </c>
      <c r="D22" s="258">
        <v>0</v>
      </c>
      <c r="E22" s="258">
        <v>0</v>
      </c>
      <c r="F22" s="258">
        <v>0</v>
      </c>
      <c r="G22" s="259">
        <v>0</v>
      </c>
    </row>
    <row r="23" spans="1:7" ht="15.75" thickBot="1">
      <c r="A23" s="35" t="s">
        <v>34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3">
        <v>0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9">
        <v>1</v>
      </c>
      <c r="D102" s="3" t="s">
        <v>36</v>
      </c>
      <c r="E102" s="99">
        <v>1</v>
      </c>
    </row>
    <row r="103" spans="1:5">
      <c r="A103" s="3"/>
      <c r="B103" s="3" t="s">
        <v>25</v>
      </c>
      <c r="C103" s="99">
        <v>2</v>
      </c>
      <c r="D103" s="3" t="s">
        <v>37</v>
      </c>
      <c r="E103" s="99">
        <v>0</v>
      </c>
    </row>
    <row r="106" spans="1:5">
      <c r="A106" s="27" t="s">
        <v>62</v>
      </c>
    </row>
    <row r="107" spans="1:5">
      <c r="A107" s="3" t="str">
        <f t="shared" ref="A107:A114" si="1">A4</f>
        <v>Nominale matching</v>
      </c>
      <c r="B107" s="99">
        <f>VLOOKUP(B4,$B$102:$C$103,2,0)</f>
        <v>1</v>
      </c>
    </row>
    <row r="108" spans="1:5">
      <c r="A108" s="3" t="str">
        <f t="shared" si="1"/>
        <v>High Yield</v>
      </c>
      <c r="B108" s="99">
        <f t="shared" ref="B108:B114" si="2">VLOOKUP(B5,$B$102:$C$103,2,0)</f>
        <v>2</v>
      </c>
    </row>
    <row r="109" spans="1:5">
      <c r="A109" s="3" t="str">
        <f t="shared" si="1"/>
        <v>Emerging market debt</v>
      </c>
      <c r="B109" s="99">
        <f t="shared" si="2"/>
        <v>2</v>
      </c>
    </row>
    <row r="110" spans="1:5">
      <c r="A110" s="3" t="str">
        <f t="shared" si="1"/>
        <v>Aandelen ontwikkeld</v>
      </c>
      <c r="B110" s="99">
        <f t="shared" si="2"/>
        <v>2</v>
      </c>
    </row>
    <row r="111" spans="1:5">
      <c r="A111" s="3" t="str">
        <f t="shared" si="1"/>
        <v>Aandelen opkomend</v>
      </c>
      <c r="B111" s="99">
        <f t="shared" si="2"/>
        <v>2</v>
      </c>
    </row>
    <row r="112" spans="1:5">
      <c r="A112" s="3" t="str">
        <f t="shared" si="1"/>
        <v>Commodities</v>
      </c>
      <c r="B112" s="99">
        <f t="shared" si="2"/>
        <v>2</v>
      </c>
    </row>
    <row r="113" spans="1:2">
      <c r="A113" s="3" t="str">
        <f t="shared" si="1"/>
        <v>Hedge funds</v>
      </c>
      <c r="B113" s="99">
        <f t="shared" si="2"/>
        <v>2</v>
      </c>
    </row>
    <row r="114" spans="1:2">
      <c r="A114" s="3" t="str">
        <f t="shared" si="1"/>
        <v>Onroerend goed</v>
      </c>
      <c r="B114" s="99">
        <f t="shared" si="2"/>
        <v>2</v>
      </c>
    </row>
  </sheetData>
  <mergeCells count="3">
    <mergeCell ref="C2:D2"/>
    <mergeCell ref="E2:F2"/>
    <mergeCell ref="G2:H2"/>
  </mergeCells>
  <conditionalFormatting sqref="B4:B11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1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1">
    <cfRule type="iconSet" priority="3">
      <iconSet>
        <cfvo type="percent" val="0"/>
        <cfvo type="percent" val="33"/>
        <cfvo type="percent" val="67"/>
      </iconSet>
    </cfRule>
  </conditionalFormatting>
  <conditionalFormatting sqref="E4:E11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1">
    <cfRule type="iconSet" priority="1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4:B11">
      <formula1>$B$102:$B$103</formula1>
    </dataValidation>
    <dataValidation type="list" allowBlank="1" showInputMessage="1" showErrorMessage="1" sqref="B14:G14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C45" sqref="C45"/>
    </sheetView>
  </sheetViews>
  <sheetFormatPr defaultRowHeight="15"/>
  <cols>
    <col min="1" max="1" width="44.7109375" style="75" customWidth="1"/>
    <col min="2" max="9" width="20.7109375" style="75" customWidth="1"/>
    <col min="10" max="16384" width="9.140625" style="75"/>
  </cols>
  <sheetData>
    <row r="1" spans="1:8">
      <c r="A1" s="179" t="s">
        <v>39</v>
      </c>
    </row>
    <row r="2" spans="1:8">
      <c r="C2" s="180"/>
    </row>
    <row r="3" spans="1:8">
      <c r="A3" s="27" t="s">
        <v>40</v>
      </c>
      <c r="B3" s="3"/>
      <c r="C3" s="181"/>
      <c r="D3" s="3"/>
      <c r="E3" s="3"/>
      <c r="F3" s="3"/>
    </row>
    <row r="4" spans="1:8" ht="15.75" thickBot="1">
      <c r="A4" s="182"/>
      <c r="B4" s="204"/>
      <c r="C4" s="204"/>
      <c r="D4" s="204"/>
      <c r="E4" s="204"/>
      <c r="F4" s="204"/>
      <c r="G4" s="204"/>
      <c r="H4" s="204"/>
    </row>
    <row r="5" spans="1:8" ht="15.75" thickBot="1">
      <c r="A5" s="211" t="s">
        <v>38</v>
      </c>
      <c r="B5" s="212" t="str">
        <f>Scenarios!B23</f>
        <v>Evenwicht</v>
      </c>
      <c r="C5" s="183" t="str">
        <f>Scenarios!C23</f>
        <v>Base Case</v>
      </c>
      <c r="D5" s="212" t="str">
        <f>Scenarios!D23</f>
        <v>Base - muddle down</v>
      </c>
      <c r="E5" s="183" t="str">
        <f>Scenarios!E23</f>
        <v>Base - muddle up</v>
      </c>
      <c r="F5" s="212" t="str">
        <f>Scenarios!F23</f>
        <v>Bear case</v>
      </c>
      <c r="G5" s="212" t="str">
        <f>Scenarios!G23</f>
        <v>Tail risk</v>
      </c>
      <c r="H5" s="212" t="str">
        <f>Scenarios!H23</f>
        <v>Bull case</v>
      </c>
    </row>
    <row r="6" spans="1:8">
      <c r="A6" s="184" t="s">
        <v>70</v>
      </c>
      <c r="B6" s="283">
        <v>1</v>
      </c>
      <c r="C6" s="264">
        <v>0</v>
      </c>
      <c r="D6" s="263">
        <v>0</v>
      </c>
      <c r="E6" s="264">
        <v>0</v>
      </c>
      <c r="F6" s="263">
        <v>0</v>
      </c>
      <c r="G6" s="263">
        <v>0</v>
      </c>
      <c r="H6" s="263">
        <v>0</v>
      </c>
    </row>
    <row r="7" spans="1:8">
      <c r="A7" s="184" t="s">
        <v>112</v>
      </c>
      <c r="B7" s="213">
        <v>0</v>
      </c>
      <c r="C7" s="98">
        <v>1</v>
      </c>
      <c r="D7" s="213">
        <v>0</v>
      </c>
      <c r="E7" s="98">
        <v>0</v>
      </c>
      <c r="F7" s="213">
        <v>0</v>
      </c>
      <c r="G7" s="213">
        <v>0</v>
      </c>
      <c r="H7" s="213">
        <v>0</v>
      </c>
    </row>
    <row r="8" spans="1:8">
      <c r="A8" s="184" t="s">
        <v>126</v>
      </c>
      <c r="B8" s="213">
        <v>0</v>
      </c>
      <c r="C8" s="98">
        <v>0</v>
      </c>
      <c r="D8" s="213">
        <v>1</v>
      </c>
      <c r="E8" s="98">
        <v>0</v>
      </c>
      <c r="F8" s="213">
        <v>0</v>
      </c>
      <c r="G8" s="213">
        <v>0</v>
      </c>
      <c r="H8" s="213">
        <v>0</v>
      </c>
    </row>
    <row r="9" spans="1:8">
      <c r="A9" s="184" t="s">
        <v>127</v>
      </c>
      <c r="B9" s="213">
        <v>0</v>
      </c>
      <c r="C9" s="98">
        <v>0</v>
      </c>
      <c r="D9" s="213">
        <v>0</v>
      </c>
      <c r="E9" s="98">
        <v>1</v>
      </c>
      <c r="F9" s="213">
        <v>0</v>
      </c>
      <c r="G9" s="213">
        <v>0</v>
      </c>
      <c r="H9" s="213">
        <v>0</v>
      </c>
    </row>
    <row r="10" spans="1:8">
      <c r="A10" s="184" t="s">
        <v>113</v>
      </c>
      <c r="B10" s="213">
        <v>0</v>
      </c>
      <c r="C10" s="98">
        <v>0</v>
      </c>
      <c r="D10" s="213">
        <v>0</v>
      </c>
      <c r="E10" s="98">
        <v>0</v>
      </c>
      <c r="F10" s="213">
        <v>1</v>
      </c>
      <c r="G10" s="213">
        <v>0</v>
      </c>
      <c r="H10" s="213">
        <v>0</v>
      </c>
    </row>
    <row r="11" spans="1:8">
      <c r="A11" s="184" t="s">
        <v>114</v>
      </c>
      <c r="B11" s="213">
        <v>0</v>
      </c>
      <c r="C11" s="98">
        <v>0</v>
      </c>
      <c r="D11" s="213">
        <v>0</v>
      </c>
      <c r="E11" s="98">
        <v>0</v>
      </c>
      <c r="F11" s="213">
        <v>0</v>
      </c>
      <c r="G11" s="213">
        <v>1</v>
      </c>
      <c r="H11" s="213">
        <v>0</v>
      </c>
    </row>
    <row r="12" spans="1:8" ht="15.75" thickBot="1">
      <c r="A12" s="184" t="s">
        <v>128</v>
      </c>
      <c r="B12" s="214">
        <v>0</v>
      </c>
      <c r="C12" s="210">
        <v>0</v>
      </c>
      <c r="D12" s="214">
        <v>0</v>
      </c>
      <c r="E12" s="210">
        <v>0</v>
      </c>
      <c r="F12" s="214">
        <v>0</v>
      </c>
      <c r="G12" s="214">
        <v>0</v>
      </c>
      <c r="H12" s="214">
        <v>1</v>
      </c>
    </row>
    <row r="13" spans="1:8" ht="15.75" thickBot="1">
      <c r="A13" s="205" t="s">
        <v>30</v>
      </c>
      <c r="B13" s="260">
        <v>0</v>
      </c>
      <c r="C13" s="260">
        <v>1</v>
      </c>
      <c r="D13" s="261">
        <v>0</v>
      </c>
      <c r="E13" s="261">
        <v>0</v>
      </c>
      <c r="F13" s="261">
        <v>0</v>
      </c>
      <c r="G13" s="262">
        <v>0</v>
      </c>
      <c r="H13" s="261">
        <v>0</v>
      </c>
    </row>
    <row r="14" spans="1:8">
      <c r="A14" s="209"/>
      <c r="B14" s="90"/>
      <c r="C14" s="90"/>
      <c r="D14" s="90"/>
      <c r="E14" s="90"/>
      <c r="F14" s="90"/>
    </row>
    <row r="15" spans="1:8">
      <c r="A15" s="91" t="s">
        <v>41</v>
      </c>
    </row>
    <row r="16" spans="1:8">
      <c r="A16" s="97" t="s">
        <v>45</v>
      </c>
      <c r="B16" s="73" t="s">
        <v>58</v>
      </c>
    </row>
    <row r="17" spans="1:9" ht="15.75" thickBot="1">
      <c r="A17" s="97"/>
    </row>
    <row r="18" spans="1:9">
      <c r="A18" s="185"/>
      <c r="B18" s="186" t="s">
        <v>43</v>
      </c>
      <c r="C18" s="187"/>
      <c r="D18" s="187"/>
      <c r="E18" s="92"/>
      <c r="F18" s="188"/>
      <c r="G18" s="188"/>
      <c r="H18" s="189"/>
      <c r="I18" s="93" t="s">
        <v>46</v>
      </c>
    </row>
    <row r="19" spans="1:9" ht="15.75" thickBot="1">
      <c r="A19" s="190"/>
      <c r="B19" s="104" t="s">
        <v>42</v>
      </c>
      <c r="C19" s="104" t="s">
        <v>48</v>
      </c>
      <c r="D19" s="104" t="s">
        <v>44</v>
      </c>
      <c r="E19" s="80" t="s">
        <v>48</v>
      </c>
      <c r="F19" s="108" t="s">
        <v>63</v>
      </c>
      <c r="G19" s="108" t="s">
        <v>48</v>
      </c>
      <c r="H19" s="108" t="s">
        <v>14</v>
      </c>
      <c r="I19" s="108" t="s">
        <v>47</v>
      </c>
    </row>
    <row r="20" spans="1:9">
      <c r="A20" s="184" t="str">
        <f>A6</f>
        <v>Evenwicht</v>
      </c>
      <c r="B20" s="191">
        <v>0</v>
      </c>
      <c r="C20" s="192">
        <v>0</v>
      </c>
      <c r="D20" s="106">
        <f>D27</f>
        <v>9.5014385241780117E-2</v>
      </c>
      <c r="E20" s="19">
        <v>1</v>
      </c>
      <c r="F20" s="193">
        <v>0.02</v>
      </c>
      <c r="G20" s="29">
        <v>0</v>
      </c>
      <c r="H20" s="29" t="str">
        <f>'Control panel'!B23:B23</f>
        <v>Max rendement</v>
      </c>
      <c r="I20" s="29" t="s">
        <v>60</v>
      </c>
    </row>
    <row r="21" spans="1:9">
      <c r="A21" s="184" t="str">
        <f t="shared" ref="A21:A26" si="0">A7</f>
        <v>Base Case</v>
      </c>
      <c r="B21" s="191">
        <v>0</v>
      </c>
      <c r="C21" s="192">
        <v>0</v>
      </c>
      <c r="D21" s="106">
        <f t="shared" ref="D21:D26" si="1">$D$27</f>
        <v>9.5014385241780117E-2</v>
      </c>
      <c r="E21" s="19">
        <v>1</v>
      </c>
      <c r="F21" s="193">
        <v>0.02</v>
      </c>
      <c r="G21" s="29">
        <v>0</v>
      </c>
      <c r="H21" s="29" t="s">
        <v>49</v>
      </c>
      <c r="I21" s="29" t="s">
        <v>60</v>
      </c>
    </row>
    <row r="22" spans="1:9">
      <c r="A22" s="184" t="str">
        <f t="shared" si="0"/>
        <v>Base - muddle down</v>
      </c>
      <c r="B22" s="191">
        <v>0</v>
      </c>
      <c r="C22" s="192">
        <v>0</v>
      </c>
      <c r="D22" s="106">
        <f t="shared" si="1"/>
        <v>9.5014385241780117E-2</v>
      </c>
      <c r="E22" s="19">
        <v>1</v>
      </c>
      <c r="F22" s="193">
        <v>0.02</v>
      </c>
      <c r="G22" s="29">
        <v>0</v>
      </c>
      <c r="H22" s="29" t="s">
        <v>49</v>
      </c>
      <c r="I22" s="29" t="s">
        <v>60</v>
      </c>
    </row>
    <row r="23" spans="1:9">
      <c r="A23" s="184" t="str">
        <f t="shared" si="0"/>
        <v>Base - muddle up</v>
      </c>
      <c r="B23" s="191">
        <v>0</v>
      </c>
      <c r="C23" s="192">
        <v>0</v>
      </c>
      <c r="D23" s="106">
        <f t="shared" si="1"/>
        <v>9.5014385241780117E-2</v>
      </c>
      <c r="E23" s="19">
        <v>1</v>
      </c>
      <c r="F23" s="193">
        <v>0.02</v>
      </c>
      <c r="G23" s="29">
        <v>0</v>
      </c>
      <c r="H23" s="29" t="s">
        <v>49</v>
      </c>
      <c r="I23" s="29" t="s">
        <v>60</v>
      </c>
    </row>
    <row r="24" spans="1:9">
      <c r="A24" s="184" t="str">
        <f t="shared" si="0"/>
        <v>Bear case</v>
      </c>
      <c r="B24" s="191">
        <v>0</v>
      </c>
      <c r="C24" s="192">
        <v>0</v>
      </c>
      <c r="D24" s="106">
        <f t="shared" si="1"/>
        <v>9.5014385241780117E-2</v>
      </c>
      <c r="E24" s="19">
        <v>1</v>
      </c>
      <c r="F24" s="193">
        <v>0.02</v>
      </c>
      <c r="G24" s="29">
        <v>0</v>
      </c>
      <c r="H24" s="29" t="s">
        <v>49</v>
      </c>
      <c r="I24" s="29" t="s">
        <v>60</v>
      </c>
    </row>
    <row r="25" spans="1:9">
      <c r="A25" s="184" t="str">
        <f t="shared" si="0"/>
        <v>Tail risk</v>
      </c>
      <c r="B25" s="191">
        <v>0</v>
      </c>
      <c r="C25" s="192">
        <v>0</v>
      </c>
      <c r="D25" s="106">
        <f t="shared" si="1"/>
        <v>9.5014385241780117E-2</v>
      </c>
      <c r="E25" s="19">
        <v>1</v>
      </c>
      <c r="F25" s="193">
        <v>0.02</v>
      </c>
      <c r="G25" s="29">
        <v>0</v>
      </c>
      <c r="H25" s="29" t="s">
        <v>49</v>
      </c>
      <c r="I25" s="29" t="s">
        <v>60</v>
      </c>
    </row>
    <row r="26" spans="1:9">
      <c r="A26" s="184" t="str">
        <f t="shared" si="0"/>
        <v>Bull case</v>
      </c>
      <c r="B26" s="191">
        <v>0</v>
      </c>
      <c r="C26" s="192">
        <v>0</v>
      </c>
      <c r="D26" s="106">
        <f t="shared" si="1"/>
        <v>9.5014385241780117E-2</v>
      </c>
      <c r="E26" s="19">
        <v>1</v>
      </c>
      <c r="F26" s="193">
        <v>0.02</v>
      </c>
      <c r="G26" s="29">
        <v>0</v>
      </c>
      <c r="H26" s="29" t="s">
        <v>49</v>
      </c>
      <c r="I26" s="29" t="s">
        <v>60</v>
      </c>
    </row>
    <row r="27" spans="1:9" ht="15.75" thickBot="1">
      <c r="A27" s="194" t="str">
        <f>A13</f>
        <v>Kansgewogen</v>
      </c>
      <c r="B27" s="195">
        <f>'Control panel'!B26</f>
        <v>0</v>
      </c>
      <c r="C27" s="81">
        <f>'Control panel'!C26</f>
        <v>0</v>
      </c>
      <c r="D27" s="107">
        <f>'Control panel'!B27</f>
        <v>9.5014385241780117E-2</v>
      </c>
      <c r="E27" s="23">
        <f>'Control panel'!C27</f>
        <v>1</v>
      </c>
      <c r="F27" s="196">
        <v>0.02</v>
      </c>
      <c r="G27" s="33">
        <f>'Control panel'!C28</f>
        <v>0</v>
      </c>
      <c r="H27" s="33" t="str">
        <f>'Control panel'!B23</f>
        <v>Max rendement</v>
      </c>
      <c r="I27" s="259" t="s">
        <v>60</v>
      </c>
    </row>
    <row r="29" spans="1:9">
      <c r="A29" s="27" t="s">
        <v>52</v>
      </c>
    </row>
    <row r="30" spans="1:9">
      <c r="A30" s="197" t="s">
        <v>53</v>
      </c>
      <c r="B30" s="109">
        <f>'Control panel'!B31</f>
        <v>0</v>
      </c>
    </row>
    <row r="31" spans="1:9">
      <c r="A31" s="197" t="s">
        <v>54</v>
      </c>
      <c r="B31" s="73">
        <f>'Control panel'!B32</f>
        <v>2</v>
      </c>
    </row>
    <row r="33" spans="1:2">
      <c r="A33" s="27" t="s">
        <v>55</v>
      </c>
    </row>
    <row r="34" spans="1:2">
      <c r="A34" s="198" t="s">
        <v>13</v>
      </c>
      <c r="B34" s="73">
        <f>'Control panel'!B35</f>
        <v>500</v>
      </c>
    </row>
    <row r="35" spans="1:2">
      <c r="A35" s="198" t="s">
        <v>12</v>
      </c>
      <c r="B35" s="73">
        <v>500</v>
      </c>
    </row>
    <row r="100" spans="1:3">
      <c r="A100" s="74" t="s">
        <v>31</v>
      </c>
    </row>
    <row r="101" spans="1:3">
      <c r="A101" s="75" t="s">
        <v>36</v>
      </c>
      <c r="B101" s="175">
        <v>1</v>
      </c>
    </row>
    <row r="102" spans="1:3">
      <c r="A102" s="75" t="s">
        <v>37</v>
      </c>
      <c r="B102" s="175">
        <v>0</v>
      </c>
    </row>
    <row r="104" spans="1:3">
      <c r="A104" s="74" t="s">
        <v>14</v>
      </c>
      <c r="C104" s="199" t="s">
        <v>62</v>
      </c>
    </row>
    <row r="105" spans="1:3">
      <c r="A105" s="75" t="s">
        <v>58</v>
      </c>
      <c r="B105" s="175">
        <v>0</v>
      </c>
      <c r="C105" s="175">
        <f>VLOOKUP(H20,$A$105:$B$108,2,0)</f>
        <v>1</v>
      </c>
    </row>
    <row r="106" spans="1:3">
      <c r="A106" s="75" t="s">
        <v>49</v>
      </c>
      <c r="B106" s="175">
        <v>1</v>
      </c>
      <c r="C106" s="175">
        <f t="shared" ref="C106:C111" si="2">VLOOKUP(H21,$A$105:$B$108,2,0)</f>
        <v>1</v>
      </c>
    </row>
    <row r="107" spans="1:3">
      <c r="A107" s="75" t="s">
        <v>50</v>
      </c>
      <c r="B107" s="175">
        <v>2</v>
      </c>
      <c r="C107" s="175">
        <f t="shared" si="2"/>
        <v>1</v>
      </c>
    </row>
    <row r="108" spans="1:3">
      <c r="A108" s="75" t="s">
        <v>51</v>
      </c>
      <c r="B108" s="175">
        <v>3</v>
      </c>
      <c r="C108" s="175">
        <f t="shared" si="2"/>
        <v>1</v>
      </c>
    </row>
    <row r="109" spans="1:3">
      <c r="C109" s="175">
        <f t="shared" si="2"/>
        <v>1</v>
      </c>
    </row>
    <row r="110" spans="1:3">
      <c r="C110" s="175">
        <f t="shared" si="2"/>
        <v>1</v>
      </c>
    </row>
    <row r="111" spans="1:3">
      <c r="A111" s="74" t="s">
        <v>56</v>
      </c>
      <c r="B111" s="175">
        <v>0</v>
      </c>
      <c r="C111" s="175">
        <f t="shared" si="2"/>
        <v>1</v>
      </c>
    </row>
    <row r="112" spans="1:3">
      <c r="B112" s="175">
        <v>1</v>
      </c>
      <c r="C112" s="175">
        <f>VLOOKUP(H27,$A$105:$B$108,2,0)</f>
        <v>1</v>
      </c>
    </row>
    <row r="113" spans="1:2">
      <c r="B113" s="175">
        <v>2</v>
      </c>
    </row>
    <row r="115" spans="1:2">
      <c r="A115" s="74" t="s">
        <v>57</v>
      </c>
    </row>
    <row r="116" spans="1:2">
      <c r="A116" s="75" t="s">
        <v>58</v>
      </c>
      <c r="B116" s="175">
        <v>0</v>
      </c>
    </row>
    <row r="117" spans="1:2">
      <c r="A117" s="75" t="str">
        <f>'Absolute visies'!A37</f>
        <v>Nominale matching</v>
      </c>
      <c r="B117" s="175">
        <v>1</v>
      </c>
    </row>
    <row r="118" spans="1:2">
      <c r="A118" s="75" t="str">
        <f>'Absolute visies'!A38</f>
        <v>High Yield</v>
      </c>
      <c r="B118" s="175">
        <v>2</v>
      </c>
    </row>
    <row r="119" spans="1:2">
      <c r="A119" s="75" t="str">
        <f>'Absolute visies'!A39</f>
        <v>Emerging market debt</v>
      </c>
      <c r="B119" s="175">
        <v>3</v>
      </c>
    </row>
    <row r="120" spans="1:2">
      <c r="A120" s="75" t="str">
        <f>'Absolute visies'!A40</f>
        <v>Aandelen ontwikkeld</v>
      </c>
      <c r="B120" s="175">
        <v>4</v>
      </c>
    </row>
    <row r="121" spans="1:2">
      <c r="A121" s="75" t="str">
        <f>'Absolute visies'!A41</f>
        <v>Aandelen opkomend</v>
      </c>
      <c r="B121" s="175">
        <v>5</v>
      </c>
    </row>
    <row r="122" spans="1:2">
      <c r="A122" s="75" t="str">
        <f>'Absolute visies'!A42</f>
        <v>Commodities</v>
      </c>
      <c r="B122" s="175">
        <v>6</v>
      </c>
    </row>
    <row r="123" spans="1:2">
      <c r="A123" s="75" t="str">
        <f>'Absolute visies'!A43</f>
        <v>Hedge funds</v>
      </c>
      <c r="B123" s="175">
        <v>7</v>
      </c>
    </row>
    <row r="124" spans="1:2">
      <c r="A124" s="75" t="str">
        <f>'Absolute visies'!A44</f>
        <v>Onroerend goed</v>
      </c>
      <c r="B124" s="175">
        <v>8</v>
      </c>
    </row>
    <row r="126" spans="1:2">
      <c r="A126" s="74" t="s">
        <v>59</v>
      </c>
      <c r="B126" s="175">
        <f>VLOOKUP(B16,A116:B124,2,0)</f>
        <v>0</v>
      </c>
    </row>
    <row r="128" spans="1:2">
      <c r="A128" s="74" t="s">
        <v>46</v>
      </c>
      <c r="B128" s="175" t="s">
        <v>60</v>
      </c>
    </row>
    <row r="129" spans="2:2">
      <c r="B129" s="17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J88"/>
  <sheetViews>
    <sheetView topLeftCell="A58" workbookViewId="0">
      <selection activeCell="A28" sqref="A28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8" t="s">
        <v>69</v>
      </c>
    </row>
    <row r="2" spans="1:30" ht="15.75" thickBot="1">
      <c r="A2" s="49"/>
      <c r="D2" s="405" t="s">
        <v>64</v>
      </c>
      <c r="E2" s="406"/>
      <c r="F2" s="407"/>
      <c r="G2" s="405" t="s">
        <v>65</v>
      </c>
      <c r="H2" s="406"/>
      <c r="I2" s="406"/>
      <c r="J2" s="406"/>
      <c r="K2" s="406"/>
      <c r="L2" s="406"/>
      <c r="M2" s="406"/>
      <c r="N2" s="406"/>
      <c r="O2" s="407"/>
      <c r="R2" s="234" t="s">
        <v>66</v>
      </c>
      <c r="S2" s="50"/>
      <c r="T2" s="50"/>
      <c r="U2" s="50"/>
      <c r="W2" s="50"/>
    </row>
    <row r="3" spans="1:30">
      <c r="A3" s="265" t="s">
        <v>70</v>
      </c>
      <c r="B3" s="266" t="s">
        <v>67</v>
      </c>
      <c r="C3" s="267" t="s">
        <v>2</v>
      </c>
      <c r="D3" s="268">
        <v>0.25</v>
      </c>
      <c r="E3" s="269">
        <v>0.5</v>
      </c>
      <c r="F3" s="270">
        <v>0.75</v>
      </c>
      <c r="G3" s="271">
        <v>0.407174431650138</v>
      </c>
      <c r="H3" s="271">
        <v>0.2429276215000753</v>
      </c>
      <c r="I3" s="271">
        <v>0.15386349532722976</v>
      </c>
      <c r="J3" s="271">
        <v>0.10930674141286734</v>
      </c>
      <c r="K3" s="271">
        <v>6.4351459124401211E-2</v>
      </c>
      <c r="L3" s="271">
        <v>2.2352562059101633E-2</v>
      </c>
      <c r="M3" s="271">
        <v>2.3688926188980552E-5</v>
      </c>
      <c r="N3" s="271">
        <v>-2.2204460492503131E-16</v>
      </c>
      <c r="O3" s="272">
        <v>0</v>
      </c>
      <c r="R3" s="51" t="str">
        <f>A3</f>
        <v>Evenwicht</v>
      </c>
      <c r="S3" s="51"/>
      <c r="T3" s="52"/>
      <c r="U3" s="51"/>
      <c r="W3" s="51"/>
      <c r="AA3" s="52"/>
      <c r="AB3" s="52"/>
      <c r="AC3" s="52"/>
      <c r="AD3" s="52"/>
    </row>
    <row r="4" spans="1:30">
      <c r="A4" s="53" t="str">
        <f>'Absolute visies'!A4</f>
        <v>Nominale matching</v>
      </c>
      <c r="B4" s="1">
        <v>0.54805759796500919</v>
      </c>
      <c r="C4" s="54">
        <v>1.5743519162440305E-2</v>
      </c>
      <c r="D4" s="55">
        <v>0.53674720715178714</v>
      </c>
      <c r="E4" s="1">
        <v>0.54700693378568199</v>
      </c>
      <c r="F4" s="56">
        <v>0.55783970044709164</v>
      </c>
      <c r="G4" s="2">
        <v>-4.05045194126184E-2</v>
      </c>
      <c r="H4" s="2">
        <v>6.2759079329027759E-2</v>
      </c>
      <c r="I4" s="2">
        <v>-3.8421279648240485E-2</v>
      </c>
      <c r="J4" s="2">
        <v>0.73187509992696231</v>
      </c>
      <c r="K4" s="2">
        <v>0.36922820971752096</v>
      </c>
      <c r="L4" s="2">
        <v>0.13319642293868927</v>
      </c>
      <c r="M4" s="2">
        <v>1</v>
      </c>
      <c r="N4" s="2">
        <v>0.99999999999788503</v>
      </c>
      <c r="O4" s="57"/>
      <c r="R4" s="51" t="str">
        <f>A4</f>
        <v>Nominale matching</v>
      </c>
      <c r="S4" s="52">
        <f>D4</f>
        <v>0.53674720715178714</v>
      </c>
      <c r="T4" s="52">
        <f>B4-D4</f>
        <v>1.1310390813222049E-2</v>
      </c>
      <c r="U4" s="52">
        <f>F4-B4</f>
        <v>9.7821024820824443E-3</v>
      </c>
      <c r="W4" s="58"/>
      <c r="AA4" s="52"/>
      <c r="AB4" s="52"/>
      <c r="AC4" s="52"/>
      <c r="AD4" s="52"/>
    </row>
    <row r="5" spans="1:30">
      <c r="A5" s="59" t="str">
        <f>'Absolute visies'!A5</f>
        <v>High Yield</v>
      </c>
      <c r="B5" s="1">
        <v>8.4328842672585835E-2</v>
      </c>
      <c r="C5" s="54">
        <v>4.6808211461404618E-2</v>
      </c>
      <c r="D5" s="55">
        <v>5.0232757580011667E-2</v>
      </c>
      <c r="E5" s="1">
        <v>7.9845810547987423E-2</v>
      </c>
      <c r="F5" s="56">
        <v>0.11451506597549624</v>
      </c>
      <c r="G5" s="2">
        <v>1</v>
      </c>
      <c r="H5" s="2">
        <v>-0.66765521399039329</v>
      </c>
      <c r="I5" s="2">
        <v>-0.23714988510685953</v>
      </c>
      <c r="J5" s="2">
        <v>-0.51586640820215224</v>
      </c>
      <c r="K5" s="2">
        <v>-8.5869016896642281E-2</v>
      </c>
      <c r="L5" s="2">
        <v>-9.9742816709607426E-2</v>
      </c>
      <c r="M5" s="2">
        <v>0.17416981915316232</v>
      </c>
      <c r="N5" s="2">
        <v>0.99999999999902667</v>
      </c>
      <c r="O5" s="57"/>
      <c r="R5" s="51" t="str">
        <f t="shared" ref="R5:R11" si="0">A5</f>
        <v>High Yield</v>
      </c>
      <c r="S5" s="52">
        <f t="shared" ref="S5:S11" si="1">D5</f>
        <v>5.0232757580011667E-2</v>
      </c>
      <c r="T5" s="52">
        <f t="shared" ref="T5:T11" si="2">B5-D5</f>
        <v>3.4096085092574169E-2</v>
      </c>
      <c r="U5" s="52">
        <f t="shared" ref="U5:U11" si="3">F5-B5</f>
        <v>3.0186223302910403E-2</v>
      </c>
      <c r="W5" s="58"/>
      <c r="AA5" s="52"/>
      <c r="AB5" s="52"/>
      <c r="AC5" s="52"/>
      <c r="AD5" s="52"/>
    </row>
    <row r="6" spans="1:30">
      <c r="A6" s="59" t="str">
        <f>'Absolute visies'!A6</f>
        <v>Emerging market debt</v>
      </c>
      <c r="B6" s="1">
        <v>8.5471964968538927E-2</v>
      </c>
      <c r="C6" s="54">
        <v>4.5767076732087561E-2</v>
      </c>
      <c r="D6" s="55">
        <v>5.3543461823731875E-2</v>
      </c>
      <c r="E6" s="1">
        <v>8.1293321469272178E-2</v>
      </c>
      <c r="F6" s="56">
        <v>0.11641122526100842</v>
      </c>
      <c r="G6" s="2">
        <v>-0.95202421929169534</v>
      </c>
      <c r="H6" s="2">
        <v>-0.69655877700679736</v>
      </c>
      <c r="I6" s="2">
        <v>-0.23066963884544536</v>
      </c>
      <c r="J6" s="2">
        <v>-0.60127664379913814</v>
      </c>
      <c r="K6" s="2">
        <v>-3.8919636601122139E-2</v>
      </c>
      <c r="L6" s="2">
        <v>-0.12419798020309473</v>
      </c>
      <c r="M6" s="2">
        <v>0.13590513976541552</v>
      </c>
      <c r="N6" s="2">
        <v>0.99999999999908007</v>
      </c>
      <c r="O6" s="57"/>
      <c r="R6" s="51" t="str">
        <f t="shared" si="0"/>
        <v>Emerging market debt</v>
      </c>
      <c r="S6" s="52">
        <f t="shared" si="1"/>
        <v>5.3543461823731875E-2</v>
      </c>
      <c r="T6" s="52">
        <f t="shared" si="2"/>
        <v>3.1928503144807052E-2</v>
      </c>
      <c r="U6" s="52">
        <f t="shared" si="3"/>
        <v>3.0939260292469489E-2</v>
      </c>
      <c r="AA6" s="52"/>
      <c r="AB6" s="52"/>
      <c r="AC6" s="52"/>
      <c r="AD6" s="52"/>
    </row>
    <row r="7" spans="1:30">
      <c r="A7" s="59" t="str">
        <f>'Absolute visies'!A7</f>
        <v>Aandelen ontwikkeld</v>
      </c>
      <c r="B7" s="1">
        <v>9.432743972033214E-2</v>
      </c>
      <c r="C7" s="54">
        <v>2.5454777149514003E-2</v>
      </c>
      <c r="D7" s="55">
        <v>7.5485182569393849E-2</v>
      </c>
      <c r="E7" s="1">
        <v>9.2782980180318941E-2</v>
      </c>
      <c r="F7" s="56">
        <v>0.11011952490899599</v>
      </c>
      <c r="G7" s="2">
        <v>-2.6528849355534855E-2</v>
      </c>
      <c r="H7" s="2">
        <v>-0.48788952103832789</v>
      </c>
      <c r="I7" s="2">
        <v>0.11817816238067429</v>
      </c>
      <c r="J7" s="2">
        <v>1</v>
      </c>
      <c r="K7" s="2">
        <v>-0.49377943345764225</v>
      </c>
      <c r="L7" s="2">
        <v>-0.26802321552497821</v>
      </c>
      <c r="M7" s="2">
        <v>-0.527850037436699</v>
      </c>
      <c r="N7" s="2">
        <v>1</v>
      </c>
      <c r="O7" s="57"/>
      <c r="R7" s="51" t="str">
        <f t="shared" si="0"/>
        <v>Aandelen ontwikkeld</v>
      </c>
      <c r="S7" s="52">
        <f t="shared" si="1"/>
        <v>7.5485182569393849E-2</v>
      </c>
      <c r="T7" s="52">
        <f t="shared" si="2"/>
        <v>1.8842257150938291E-2</v>
      </c>
      <c r="U7" s="52">
        <f t="shared" si="3"/>
        <v>1.5792085188663846E-2</v>
      </c>
      <c r="AA7" s="52"/>
      <c r="AB7" s="52"/>
      <c r="AC7" s="52"/>
      <c r="AD7" s="52"/>
    </row>
    <row r="8" spans="1:30">
      <c r="A8" s="59" t="str">
        <f>'Absolute visies'!A8</f>
        <v>Aandelen opkomend</v>
      </c>
      <c r="B8" s="1">
        <v>5.0509863899074858E-2</v>
      </c>
      <c r="C8" s="54">
        <v>2.0002416249422453E-2</v>
      </c>
      <c r="D8" s="55">
        <v>3.6215060490609213E-2</v>
      </c>
      <c r="E8" s="1">
        <v>5.148938999166297E-2</v>
      </c>
      <c r="F8" s="56">
        <v>6.4109235158093442E-2</v>
      </c>
      <c r="G8" s="2">
        <v>4.3400573452077602E-2</v>
      </c>
      <c r="H8" s="2">
        <v>0.28223453503878076</v>
      </c>
      <c r="I8" s="2">
        <v>0.17531670883219749</v>
      </c>
      <c r="J8" s="2">
        <v>-7.0481828903935895E-2</v>
      </c>
      <c r="K8" s="2">
        <v>1</v>
      </c>
      <c r="L8" s="2">
        <v>-0.40876832115518458</v>
      </c>
      <c r="M8" s="2">
        <v>-0.49046136441161986</v>
      </c>
      <c r="N8" s="2">
        <v>0.99999999999994826</v>
      </c>
      <c r="O8" s="57"/>
      <c r="R8" s="51" t="str">
        <f t="shared" si="0"/>
        <v>Aandelen opkomend</v>
      </c>
      <c r="S8" s="52">
        <f t="shared" si="1"/>
        <v>3.6215060490609213E-2</v>
      </c>
      <c r="T8" s="52">
        <f t="shared" si="2"/>
        <v>1.4294803408465645E-2</v>
      </c>
      <c r="U8" s="52">
        <f t="shared" si="3"/>
        <v>1.3599371259018583E-2</v>
      </c>
      <c r="AA8" s="52"/>
      <c r="AB8" s="52"/>
      <c r="AC8" s="52"/>
      <c r="AD8" s="52"/>
    </row>
    <row r="9" spans="1:30">
      <c r="A9" s="59" t="str">
        <f>'Absolute visies'!A9</f>
        <v>Commodities</v>
      </c>
      <c r="B9" s="1">
        <v>2.2651096011892535E-2</v>
      </c>
      <c r="C9" s="54">
        <v>1.1865599360903489E-2</v>
      </c>
      <c r="D9" s="55">
        <v>1.3540803481245475E-2</v>
      </c>
      <c r="E9" s="1">
        <v>2.2688137046531852E-2</v>
      </c>
      <c r="F9" s="56">
        <v>3.1060223521663845E-2</v>
      </c>
      <c r="G9" s="2">
        <v>-5.241091334427031E-3</v>
      </c>
      <c r="H9" s="2">
        <v>1.5183471093616327E-2</v>
      </c>
      <c r="I9" s="2">
        <v>1.3294797575368793E-2</v>
      </c>
      <c r="J9" s="2">
        <v>-3.2214264388908738E-2</v>
      </c>
      <c r="K9" s="2">
        <v>0.115139227402196</v>
      </c>
      <c r="L9" s="2">
        <v>1</v>
      </c>
      <c r="M9" s="2">
        <v>-0.43453666299832294</v>
      </c>
      <c r="N9" s="2">
        <v>0.99999999999987077</v>
      </c>
      <c r="O9" s="57"/>
      <c r="R9" s="51" t="str">
        <f t="shared" si="0"/>
        <v>Commodities</v>
      </c>
      <c r="S9" s="52">
        <f t="shared" si="1"/>
        <v>1.3540803481245475E-2</v>
      </c>
      <c r="T9" s="52">
        <f t="shared" si="2"/>
        <v>9.11029253064706E-3</v>
      </c>
      <c r="U9" s="52">
        <f t="shared" si="3"/>
        <v>8.4091275097713108E-3</v>
      </c>
      <c r="AA9" s="52"/>
      <c r="AB9" s="52"/>
      <c r="AC9" s="52"/>
      <c r="AD9" s="52"/>
    </row>
    <row r="10" spans="1:30">
      <c r="A10" s="59" t="str">
        <f>'Absolute visies'!A10</f>
        <v>Hedge funds</v>
      </c>
      <c r="B10" s="1">
        <v>5.4066102214657116E-2</v>
      </c>
      <c r="C10" s="54">
        <v>3.1605122790683032E-2</v>
      </c>
      <c r="D10" s="55">
        <v>3.075039540086253E-2</v>
      </c>
      <c r="E10" s="1">
        <v>4.9853518148442168E-2</v>
      </c>
      <c r="F10" s="56">
        <v>7.5625472293192192E-2</v>
      </c>
      <c r="G10" s="2">
        <v>-2.0579661363078574E-3</v>
      </c>
      <c r="H10" s="2">
        <v>0.49192642657409325</v>
      </c>
      <c r="I10" s="2">
        <v>1</v>
      </c>
      <c r="J10" s="2">
        <v>-0.41554961528044121</v>
      </c>
      <c r="K10" s="2">
        <v>-0.4591729802149398</v>
      </c>
      <c r="L10" s="2">
        <v>-7.9553728970895549E-2</v>
      </c>
      <c r="M10" s="2">
        <v>0.21077748771754096</v>
      </c>
      <c r="N10" s="2">
        <v>0.9999999999989766</v>
      </c>
      <c r="O10" s="57"/>
      <c r="R10" s="51" t="str">
        <f t="shared" si="0"/>
        <v>Hedge funds</v>
      </c>
      <c r="S10" s="52">
        <f t="shared" si="1"/>
        <v>3.075039540086253E-2</v>
      </c>
      <c r="T10" s="52">
        <f t="shared" si="2"/>
        <v>2.3315706813794586E-2</v>
      </c>
      <c r="U10" s="52">
        <f t="shared" si="3"/>
        <v>2.1559370078535076E-2</v>
      </c>
      <c r="AA10" s="52"/>
      <c r="AB10" s="52"/>
      <c r="AC10" s="52"/>
      <c r="AD10" s="52"/>
    </row>
    <row r="11" spans="1:30">
      <c r="A11" s="60" t="str">
        <f>'Absolute visies'!A11</f>
        <v>Onroerend goed</v>
      </c>
      <c r="B11" s="61">
        <v>6.0587092547910261E-2</v>
      </c>
      <c r="C11" s="62">
        <v>3.5664751265278058E-2</v>
      </c>
      <c r="D11" s="63">
        <v>3.2691625437968962E-2</v>
      </c>
      <c r="E11" s="61">
        <v>5.7163169432347324E-2</v>
      </c>
      <c r="F11" s="64">
        <v>8.3844047948471695E-2</v>
      </c>
      <c r="G11" s="65">
        <v>-1.7043927921494013E-2</v>
      </c>
      <c r="H11" s="65">
        <v>1</v>
      </c>
      <c r="I11" s="65">
        <v>-0.80054886518769586</v>
      </c>
      <c r="J11" s="65">
        <v>-9.6486339352388512E-2</v>
      </c>
      <c r="K11" s="65">
        <v>-0.40662636994937212</v>
      </c>
      <c r="L11" s="65">
        <v>-0.15291036037492903</v>
      </c>
      <c r="M11" s="65">
        <v>-6.8004381786977333E-2</v>
      </c>
      <c r="N11" s="65">
        <v>0.9999999999993624</v>
      </c>
      <c r="O11" s="66"/>
      <c r="R11" s="51" t="str">
        <f t="shared" si="0"/>
        <v>Onroerend goed</v>
      </c>
      <c r="S11" s="52">
        <f t="shared" si="1"/>
        <v>3.2691625437968962E-2</v>
      </c>
      <c r="T11" s="52">
        <f t="shared" si="2"/>
        <v>2.7895467109941299E-2</v>
      </c>
      <c r="U11" s="52">
        <f t="shared" si="3"/>
        <v>2.3256955400561434E-2</v>
      </c>
    </row>
    <row r="12" spans="1:30">
      <c r="AA12" s="52"/>
      <c r="AB12" s="52"/>
      <c r="AC12" s="52"/>
      <c r="AD12" s="52"/>
    </row>
    <row r="13" spans="1:30">
      <c r="A13" s="48" t="s">
        <v>68</v>
      </c>
      <c r="D13" s="405" t="s">
        <v>64</v>
      </c>
      <c r="E13" s="406"/>
      <c r="F13" s="407"/>
      <c r="G13" s="405" t="s">
        <v>65</v>
      </c>
      <c r="H13" s="406"/>
      <c r="I13" s="406"/>
      <c r="J13" s="406"/>
      <c r="K13" s="406"/>
      <c r="L13" s="406"/>
      <c r="M13" s="406"/>
      <c r="N13" s="406"/>
      <c r="O13" s="407"/>
    </row>
    <row r="14" spans="1:30">
      <c r="A14" s="265" t="str">
        <f>Optimalisatie!A21</f>
        <v>Base Case</v>
      </c>
      <c r="B14" s="266" t="s">
        <v>1</v>
      </c>
      <c r="C14" s="267" t="s">
        <v>2</v>
      </c>
      <c r="D14" s="268">
        <v>0.25</v>
      </c>
      <c r="E14" s="269">
        <v>0.5</v>
      </c>
      <c r="F14" s="270">
        <v>0.75</v>
      </c>
      <c r="G14" s="271">
        <v>0.86528954344036924</v>
      </c>
      <c r="H14" s="271">
        <v>9.1285332117435725E-2</v>
      </c>
      <c r="I14" s="271">
        <v>2.476363321245989E-2</v>
      </c>
      <c r="J14" s="271">
        <v>1.4023180236327759E-2</v>
      </c>
      <c r="K14" s="271">
        <v>3.017565004528433E-3</v>
      </c>
      <c r="L14" s="271">
        <v>1.1490183043190161E-3</v>
      </c>
      <c r="M14" s="271">
        <v>4.7172768456016367E-4</v>
      </c>
      <c r="N14" s="271">
        <v>0</v>
      </c>
      <c r="O14" s="272">
        <v>0</v>
      </c>
      <c r="R14" s="51" t="str">
        <f>A14</f>
        <v>Base Case</v>
      </c>
      <c r="S14" s="51"/>
      <c r="T14" s="52"/>
      <c r="U14" s="51"/>
      <c r="AA14" s="52"/>
      <c r="AB14" s="52"/>
      <c r="AC14" s="52"/>
      <c r="AD14" s="52"/>
    </row>
    <row r="15" spans="1:30">
      <c r="A15" s="59" t="str">
        <f>A4</f>
        <v>Nominale matching</v>
      </c>
      <c r="B15" s="284">
        <v>0.50191550106692151</v>
      </c>
      <c r="C15" s="54">
        <v>3.0686115801673245E-2</v>
      </c>
      <c r="D15" s="55">
        <v>0.47802755015757986</v>
      </c>
      <c r="E15" s="1">
        <v>0.49870278239144822</v>
      </c>
      <c r="F15" s="56">
        <v>0.52410879962085555</v>
      </c>
      <c r="G15" s="2">
        <v>-0.38577520617915739</v>
      </c>
      <c r="H15" s="2">
        <v>-0.32024965961361046</v>
      </c>
      <c r="I15" s="2">
        <v>-0.30957655151453378</v>
      </c>
      <c r="J15" s="2">
        <v>-3.3028000023165013E-2</v>
      </c>
      <c r="K15" s="2">
        <v>0.42700503850220373</v>
      </c>
      <c r="L15" s="2">
        <v>1</v>
      </c>
      <c r="M15" s="2">
        <v>-0.17659011640478112</v>
      </c>
      <c r="N15" s="2">
        <v>0.99999999999993894</v>
      </c>
      <c r="O15" s="57"/>
      <c r="R15" s="51" t="str">
        <f>A15</f>
        <v>Nominale matching</v>
      </c>
      <c r="S15" s="52">
        <f>D15</f>
        <v>0.47802755015757986</v>
      </c>
      <c r="T15" s="52">
        <f>B15-D15</f>
        <v>2.3887950909341649E-2</v>
      </c>
      <c r="U15" s="52">
        <f>F15-B15</f>
        <v>2.2193298553934038E-2</v>
      </c>
      <c r="AA15" s="52"/>
      <c r="AB15" s="52"/>
      <c r="AC15" s="52"/>
      <c r="AD15" s="52"/>
    </row>
    <row r="16" spans="1:30">
      <c r="A16" s="59" t="str">
        <f t="shared" ref="A16:A22" si="4">A5</f>
        <v>High Yield</v>
      </c>
      <c r="B16" s="284">
        <v>3.5441427473810093E-2</v>
      </c>
      <c r="C16" s="54">
        <v>2.6729509331313836E-2</v>
      </c>
      <c r="D16" s="55">
        <v>1.4124601042672547E-2</v>
      </c>
      <c r="E16" s="1">
        <v>3.0053185866124633E-2</v>
      </c>
      <c r="F16" s="56">
        <v>5.1494662509390353E-2</v>
      </c>
      <c r="G16" s="2">
        <v>-4.3511285095124044E-2</v>
      </c>
      <c r="H16" s="2">
        <v>1</v>
      </c>
      <c r="I16" s="2">
        <v>-0.2514485929606104</v>
      </c>
      <c r="J16" s="2">
        <v>-0.16574085450812262</v>
      </c>
      <c r="K16" s="2">
        <v>-0.13962757740375292</v>
      </c>
      <c r="L16" s="2">
        <v>0.11733365232107408</v>
      </c>
      <c r="M16" s="2">
        <v>-0.13739572433189626</v>
      </c>
      <c r="N16" s="2">
        <v>0.99999999999996936</v>
      </c>
      <c r="O16" s="57"/>
      <c r="R16" s="51" t="str">
        <f t="shared" ref="R16:R22" si="5">A16</f>
        <v>High Yield</v>
      </c>
      <c r="S16" s="52">
        <f t="shared" ref="S16:S22" si="6">D16</f>
        <v>1.4124601042672547E-2</v>
      </c>
      <c r="T16" s="52">
        <f t="shared" ref="T16:T22" si="7">B16-D16</f>
        <v>2.1316826431137546E-2</v>
      </c>
      <c r="U16" s="52">
        <f t="shared" ref="U16:U22" si="8">F16-B16</f>
        <v>1.605323503558026E-2</v>
      </c>
      <c r="AA16" s="52"/>
      <c r="AB16" s="52"/>
      <c r="AC16" s="52"/>
      <c r="AD16" s="52"/>
    </row>
    <row r="17" spans="1:30">
      <c r="A17" s="59" t="str">
        <f t="shared" si="4"/>
        <v>Emerging market debt</v>
      </c>
      <c r="B17" s="284">
        <v>0.34834613947489812</v>
      </c>
      <c r="C17" s="54">
        <v>7.5820591479754174E-2</v>
      </c>
      <c r="D17" s="55">
        <v>0.29023525091011454</v>
      </c>
      <c r="E17" s="1">
        <v>0.350376719845861</v>
      </c>
      <c r="F17" s="56">
        <v>0.40096197368779968</v>
      </c>
      <c r="G17" s="2">
        <v>1</v>
      </c>
      <c r="H17" s="2">
        <v>-0.27988153487440903</v>
      </c>
      <c r="I17" s="2">
        <v>-0.28042393596216419</v>
      </c>
      <c r="J17" s="2">
        <v>-0.23274063297116182</v>
      </c>
      <c r="K17" s="2">
        <v>-0.2119249073074444</v>
      </c>
      <c r="L17" s="2">
        <v>3.9442438708388525E-2</v>
      </c>
      <c r="M17" s="2">
        <v>-0.1423534781455926</v>
      </c>
      <c r="N17" s="2">
        <v>0.9999999999999758</v>
      </c>
      <c r="O17" s="57"/>
      <c r="R17" s="51" t="str">
        <f t="shared" si="5"/>
        <v>Emerging market debt</v>
      </c>
      <c r="S17" s="52">
        <f t="shared" si="6"/>
        <v>0.29023525091011454</v>
      </c>
      <c r="T17" s="52">
        <f t="shared" si="7"/>
        <v>5.811088856478358E-2</v>
      </c>
      <c r="U17" s="52">
        <f t="shared" si="8"/>
        <v>5.2615834212901558E-2</v>
      </c>
      <c r="AA17" s="52"/>
      <c r="AB17" s="52"/>
      <c r="AC17" s="52"/>
      <c r="AD17" s="52"/>
    </row>
    <row r="18" spans="1:30">
      <c r="A18" s="59" t="str">
        <f t="shared" si="4"/>
        <v>Aandelen ontwikkeld</v>
      </c>
      <c r="B18" s="284">
        <v>1.7742427289872478E-3</v>
      </c>
      <c r="C18" s="54">
        <v>2.0301462070998954E-3</v>
      </c>
      <c r="D18" s="55">
        <v>2.4762226148134479E-4</v>
      </c>
      <c r="E18" s="1">
        <v>1.0543674861416097E-3</v>
      </c>
      <c r="F18" s="56">
        <v>2.471134610176326E-3</v>
      </c>
      <c r="G18" s="2">
        <v>9.4216553281112705E-4</v>
      </c>
      <c r="H18" s="2">
        <v>-6.547033390310833E-3</v>
      </c>
      <c r="I18" s="2">
        <v>-8.6267735338315249E-3</v>
      </c>
      <c r="J18" s="2">
        <v>3.2893512837471817E-4</v>
      </c>
      <c r="K18" s="2">
        <v>4.3839153217198022E-2</v>
      </c>
      <c r="L18" s="2">
        <v>3.1333906535777355E-2</v>
      </c>
      <c r="M18" s="2">
        <v>1</v>
      </c>
      <c r="N18" s="2">
        <v>0.999999999999866</v>
      </c>
      <c r="O18" s="57"/>
      <c r="R18" s="51" t="str">
        <f t="shared" si="5"/>
        <v>Aandelen ontwikkeld</v>
      </c>
      <c r="S18" s="52">
        <f t="shared" si="6"/>
        <v>2.4762226148134479E-4</v>
      </c>
      <c r="T18" s="52">
        <f t="shared" si="7"/>
        <v>1.5266204675059031E-3</v>
      </c>
      <c r="U18" s="52">
        <f t="shared" si="8"/>
        <v>6.9689188118907813E-4</v>
      </c>
      <c r="AA18" s="52"/>
      <c r="AB18" s="52"/>
      <c r="AC18" s="52"/>
      <c r="AD18" s="52"/>
    </row>
    <row r="19" spans="1:30">
      <c r="A19" s="59" t="str">
        <f t="shared" si="4"/>
        <v>Aandelen opkomend</v>
      </c>
      <c r="B19" s="284">
        <v>7.7712101707215292E-2</v>
      </c>
      <c r="C19" s="54">
        <v>4.539989567013105E-2</v>
      </c>
      <c r="D19" s="55">
        <v>4.1023522190379344E-2</v>
      </c>
      <c r="E19" s="1">
        <v>7.5230596810583625E-2</v>
      </c>
      <c r="F19" s="56">
        <v>0.11217464176247241</v>
      </c>
      <c r="G19" s="2">
        <v>-0.58592319105666302</v>
      </c>
      <c r="H19" s="2">
        <v>-0.34134267377501704</v>
      </c>
      <c r="I19" s="2">
        <v>-0.23767518799477649</v>
      </c>
      <c r="J19" s="2">
        <v>-0.36411663750046125</v>
      </c>
      <c r="K19" s="2">
        <v>-0.63337996088759763</v>
      </c>
      <c r="L19" s="2">
        <v>-0.59767072297090007</v>
      </c>
      <c r="M19" s="2">
        <v>-0.11823280003347268</v>
      </c>
      <c r="N19" s="2">
        <v>1</v>
      </c>
      <c r="O19" s="57"/>
      <c r="R19" s="51" t="str">
        <f t="shared" si="5"/>
        <v>Aandelen opkomend</v>
      </c>
      <c r="S19" s="52">
        <f t="shared" si="6"/>
        <v>4.1023522190379344E-2</v>
      </c>
      <c r="T19" s="52">
        <f t="shared" si="7"/>
        <v>3.6688579516835948E-2</v>
      </c>
      <c r="U19" s="52">
        <f t="shared" si="8"/>
        <v>3.4462540055257118E-2</v>
      </c>
      <c r="AA19" s="52"/>
      <c r="AB19" s="52"/>
      <c r="AC19" s="52"/>
      <c r="AD19" s="52"/>
    </row>
    <row r="20" spans="1:30">
      <c r="A20" s="59" t="str">
        <f t="shared" si="4"/>
        <v>Commodities</v>
      </c>
      <c r="B20" s="284">
        <v>4.4679371515441444E-3</v>
      </c>
      <c r="C20" s="54">
        <v>4.5293431624538307E-3</v>
      </c>
      <c r="D20" s="55">
        <v>1.0937254290032804E-3</v>
      </c>
      <c r="E20" s="1">
        <v>2.9846188625897458E-3</v>
      </c>
      <c r="F20" s="56">
        <v>6.4083055832607639E-3</v>
      </c>
      <c r="G20" s="2">
        <v>1.3349492864623605E-3</v>
      </c>
      <c r="H20" s="2">
        <v>-1.2817864381418412E-2</v>
      </c>
      <c r="I20" s="2">
        <v>1.1734165628606089E-2</v>
      </c>
      <c r="J20" s="2">
        <v>7.5909496810147678E-2</v>
      </c>
      <c r="K20" s="2">
        <v>1</v>
      </c>
      <c r="L20" s="2">
        <v>-0.7752276812971185</v>
      </c>
      <c r="M20" s="2">
        <v>-0.15709465745395396</v>
      </c>
      <c r="N20" s="2">
        <v>0.99999999999997014</v>
      </c>
      <c r="O20" s="57"/>
      <c r="R20" s="51" t="str">
        <f t="shared" si="5"/>
        <v>Commodities</v>
      </c>
      <c r="S20" s="52">
        <f t="shared" si="6"/>
        <v>1.0937254290032804E-3</v>
      </c>
      <c r="T20" s="52">
        <f t="shared" si="7"/>
        <v>3.3742117225408642E-3</v>
      </c>
      <c r="U20" s="52">
        <f t="shared" si="8"/>
        <v>1.9403684317166195E-3</v>
      </c>
      <c r="AA20" s="52"/>
      <c r="AB20" s="52"/>
      <c r="AC20" s="52"/>
      <c r="AD20" s="52"/>
    </row>
    <row r="21" spans="1:30">
      <c r="A21" s="59" t="str">
        <f t="shared" si="4"/>
        <v>Hedge funds</v>
      </c>
      <c r="B21" s="284">
        <v>1.8928757373420063E-2</v>
      </c>
      <c r="C21" s="54">
        <v>1.4002208634684146E-2</v>
      </c>
      <c r="D21" s="55">
        <v>7.9837615273268166E-3</v>
      </c>
      <c r="E21" s="1">
        <v>1.6323961313112714E-2</v>
      </c>
      <c r="F21" s="56">
        <v>2.6885356359949202E-2</v>
      </c>
      <c r="G21" s="2">
        <v>1.0612847431632122E-2</v>
      </c>
      <c r="H21" s="2">
        <v>-4.5850579969246132E-3</v>
      </c>
      <c r="I21" s="2">
        <v>1</v>
      </c>
      <c r="J21" s="2">
        <v>-0.28061230693560457</v>
      </c>
      <c r="K21" s="2">
        <v>-9.4487018561116839E-2</v>
      </c>
      <c r="L21" s="2">
        <v>0.22014358663141739</v>
      </c>
      <c r="M21" s="2">
        <v>-0.1367648839756021</v>
      </c>
      <c r="N21" s="2">
        <v>0.99999999999996492</v>
      </c>
      <c r="O21" s="57"/>
      <c r="R21" s="51" t="str">
        <f t="shared" si="5"/>
        <v>Hedge funds</v>
      </c>
      <c r="S21" s="52">
        <f t="shared" si="6"/>
        <v>7.9837615273268166E-3</v>
      </c>
      <c r="T21" s="52">
        <f t="shared" si="7"/>
        <v>1.0944995846093247E-2</v>
      </c>
      <c r="U21" s="52">
        <f t="shared" si="8"/>
        <v>7.9565989865291384E-3</v>
      </c>
    </row>
    <row r="22" spans="1:30">
      <c r="A22" s="60" t="str">
        <f t="shared" si="4"/>
        <v>Onroerend goed</v>
      </c>
      <c r="B22" s="285">
        <v>1.1413893023203357E-2</v>
      </c>
      <c r="C22" s="62">
        <v>1.0497782917688893E-2</v>
      </c>
      <c r="D22" s="63">
        <v>3.5267526171440127E-3</v>
      </c>
      <c r="E22" s="61">
        <v>8.1802551762304131E-3</v>
      </c>
      <c r="F22" s="64">
        <v>1.6393160848881254E-2</v>
      </c>
      <c r="G22" s="65">
        <v>2.3197200800382212E-3</v>
      </c>
      <c r="H22" s="65">
        <v>-3.4576175968308205E-2</v>
      </c>
      <c r="I22" s="65">
        <v>7.6016876337313299E-2</v>
      </c>
      <c r="J22" s="65">
        <v>1</v>
      </c>
      <c r="K22" s="65">
        <v>-0.39142472755945101</v>
      </c>
      <c r="L22" s="65">
        <v>-3.5355179928585452E-2</v>
      </c>
      <c r="M22" s="65">
        <v>-0.13156833965459955</v>
      </c>
      <c r="N22" s="65">
        <v>0.99999999999997258</v>
      </c>
      <c r="O22" s="66"/>
      <c r="R22" s="51" t="str">
        <f t="shared" si="5"/>
        <v>Onroerend goed</v>
      </c>
      <c r="S22" s="52">
        <f t="shared" si="6"/>
        <v>3.5267526171440127E-3</v>
      </c>
      <c r="T22" s="52">
        <f t="shared" si="7"/>
        <v>7.887140406059345E-3</v>
      </c>
      <c r="U22" s="52">
        <f t="shared" si="8"/>
        <v>4.9792678256778966E-3</v>
      </c>
    </row>
    <row r="23" spans="1:30">
      <c r="A23" s="67"/>
      <c r="B23" s="1"/>
      <c r="C23" s="1"/>
      <c r="D23" s="1"/>
      <c r="E23" s="1"/>
      <c r="F23" s="68"/>
      <c r="G23" s="68"/>
      <c r="H23" s="68"/>
      <c r="I23" s="68"/>
      <c r="J23" s="68"/>
      <c r="K23" s="68"/>
      <c r="L23" s="68"/>
      <c r="M23" s="68"/>
      <c r="N23" s="68"/>
      <c r="O23" s="68"/>
    </row>
    <row r="24" spans="1:30">
      <c r="D24" s="405" t="s">
        <v>64</v>
      </c>
      <c r="E24" s="406"/>
      <c r="F24" s="407"/>
      <c r="G24" s="405" t="s">
        <v>65</v>
      </c>
      <c r="H24" s="406"/>
      <c r="I24" s="406"/>
      <c r="J24" s="406"/>
      <c r="K24" s="406"/>
      <c r="L24" s="406"/>
      <c r="M24" s="406"/>
      <c r="N24" s="406"/>
      <c r="O24" s="407"/>
    </row>
    <row r="25" spans="1:30">
      <c r="A25" s="265" t="str">
        <f>Optimalisatie!A22</f>
        <v>Base - muddle down</v>
      </c>
      <c r="B25" s="266" t="s">
        <v>1</v>
      </c>
      <c r="C25" s="267" t="s">
        <v>2</v>
      </c>
      <c r="D25" s="268">
        <v>0.25</v>
      </c>
      <c r="E25" s="269">
        <v>0.5</v>
      </c>
      <c r="F25" s="270">
        <v>0.75</v>
      </c>
      <c r="G25" s="271">
        <v>0.65207636592202323</v>
      </c>
      <c r="H25" s="271">
        <v>0.2157855042121275</v>
      </c>
      <c r="I25" s="271">
        <v>7.3306981345528266E-2</v>
      </c>
      <c r="J25" s="271">
        <v>2.7707376251504212E-2</v>
      </c>
      <c r="K25" s="271">
        <v>1.9194300361753958E-2</v>
      </c>
      <c r="L25" s="271">
        <v>1.156334705372708E-2</v>
      </c>
      <c r="M25" s="271">
        <v>3.6612485333509248E-4</v>
      </c>
      <c r="N25" s="271">
        <v>0</v>
      </c>
      <c r="O25" s="272">
        <v>0</v>
      </c>
      <c r="R25" s="51" t="str">
        <f>A25</f>
        <v>Base - muddle down</v>
      </c>
      <c r="S25" s="51"/>
      <c r="T25" s="52"/>
      <c r="U25" s="51"/>
      <c r="AA25" s="52"/>
      <c r="AB25" s="52"/>
      <c r="AC25" s="52"/>
      <c r="AD25" s="52"/>
    </row>
    <row r="26" spans="1:30">
      <c r="A26" s="59" t="str">
        <f>A15</f>
        <v>Nominale matching</v>
      </c>
      <c r="B26" s="1">
        <v>0.7303391915066807</v>
      </c>
      <c r="C26" s="54">
        <v>2.1712915534894479E-2</v>
      </c>
      <c r="D26" s="55">
        <v>0.7152859922175141</v>
      </c>
      <c r="E26" s="1">
        <v>0.72681393448076048</v>
      </c>
      <c r="F26" s="56">
        <v>0.74250396492422244</v>
      </c>
      <c r="G26" s="68">
        <v>1</v>
      </c>
      <c r="H26" s="68">
        <v>-0.27245131328492639</v>
      </c>
      <c r="I26" s="68">
        <v>-0.29630946315223711</v>
      </c>
      <c r="J26" s="68">
        <v>-0.38103334777677456</v>
      </c>
      <c r="K26" s="68">
        <v>-4.604602832252503E-2</v>
      </c>
      <c r="L26" s="2">
        <v>-0.14060114106630994</v>
      </c>
      <c r="M26" s="2">
        <v>-0.14156344960414385</v>
      </c>
      <c r="N26" s="2">
        <v>0.99999999999999989</v>
      </c>
      <c r="O26" s="69"/>
      <c r="R26" s="51" t="str">
        <f>A26</f>
        <v>Nominale matching</v>
      </c>
      <c r="S26" s="52">
        <f>D26</f>
        <v>0.7152859922175141</v>
      </c>
      <c r="T26" s="52">
        <f>B26-D26</f>
        <v>1.5053199289166597E-2</v>
      </c>
      <c r="U26" s="52">
        <f>F26-B26</f>
        <v>1.2164773417541741E-2</v>
      </c>
      <c r="AA26" s="52"/>
      <c r="AB26" s="52"/>
      <c r="AC26" s="52"/>
      <c r="AD26" s="52"/>
    </row>
    <row r="27" spans="1:30">
      <c r="A27" s="59" t="str">
        <f t="shared" ref="A27:A33" si="9">A16</f>
        <v>High Yield</v>
      </c>
      <c r="B27" s="1">
        <v>4.8586516064764501E-3</v>
      </c>
      <c r="C27" s="54">
        <v>4.6067039476186625E-3</v>
      </c>
      <c r="D27" s="55">
        <v>1.3849554481824263E-3</v>
      </c>
      <c r="E27" s="1">
        <v>3.4522806961764393E-3</v>
      </c>
      <c r="F27" s="56">
        <v>7.0777785377999572E-3</v>
      </c>
      <c r="G27" s="68">
        <v>-3.1265146050857978E-2</v>
      </c>
      <c r="H27" s="68">
        <v>-2.2106866091435379E-2</v>
      </c>
      <c r="I27" s="68">
        <v>4.6175584187831756E-2</v>
      </c>
      <c r="J27" s="68">
        <v>1</v>
      </c>
      <c r="K27" s="68">
        <v>-0.78995820992983978</v>
      </c>
      <c r="L27" s="2">
        <v>-0.2089744017483692</v>
      </c>
      <c r="M27" s="2">
        <v>-0.15593058400190046</v>
      </c>
      <c r="N27" s="2">
        <v>0.99999999999999778</v>
      </c>
      <c r="O27" s="69"/>
      <c r="R27" s="51" t="str">
        <f t="shared" ref="R27:R33" si="10">A27</f>
        <v>High Yield</v>
      </c>
      <c r="S27" s="52">
        <f t="shared" ref="S27:S33" si="11">D27</f>
        <v>1.3849554481824263E-3</v>
      </c>
      <c r="T27" s="52">
        <f t="shared" ref="T27:T33" si="12">B27-D27</f>
        <v>3.4736961582940238E-3</v>
      </c>
      <c r="U27" s="52">
        <f t="shared" ref="U27:U33" si="13">F27-B27</f>
        <v>2.2191269313235071E-3</v>
      </c>
      <c r="AA27" s="52"/>
      <c r="AB27" s="52"/>
      <c r="AC27" s="52"/>
      <c r="AD27" s="52"/>
    </row>
    <row r="28" spans="1:30">
      <c r="A28" s="59" t="str">
        <f t="shared" si="9"/>
        <v>Emerging market debt</v>
      </c>
      <c r="B28" s="1">
        <v>1.7478553321540712E-2</v>
      </c>
      <c r="C28" s="54">
        <v>1.312391542476617E-2</v>
      </c>
      <c r="D28" s="55">
        <v>7.2517701838665759E-3</v>
      </c>
      <c r="E28" s="1">
        <v>1.3906386244422133E-2</v>
      </c>
      <c r="F28" s="56">
        <v>2.5604647593441592E-2</v>
      </c>
      <c r="G28" s="68">
        <v>-0.22129058747773711</v>
      </c>
      <c r="H28" s="68">
        <v>1</v>
      </c>
      <c r="I28" s="68">
        <v>-0.43683037495410348</v>
      </c>
      <c r="J28" s="68">
        <v>-0.37043855689271132</v>
      </c>
      <c r="K28" s="68">
        <v>-2.9643385515533707E-2</v>
      </c>
      <c r="L28" s="2">
        <v>-0.1396157277060365</v>
      </c>
      <c r="M28" s="2">
        <v>-0.14070702545478267</v>
      </c>
      <c r="N28" s="2">
        <v>0.99999999999999922</v>
      </c>
      <c r="O28" s="69"/>
      <c r="R28" s="51" t="str">
        <f t="shared" si="10"/>
        <v>Emerging market debt</v>
      </c>
      <c r="S28" s="52">
        <f t="shared" si="11"/>
        <v>7.2517701838665759E-3</v>
      </c>
      <c r="T28" s="52">
        <f t="shared" si="12"/>
        <v>1.0226783137674136E-2</v>
      </c>
      <c r="U28" s="52">
        <f t="shared" si="13"/>
        <v>8.1260942719008807E-3</v>
      </c>
      <c r="AA28" s="52"/>
      <c r="AB28" s="52"/>
      <c r="AC28" s="52"/>
      <c r="AD28" s="52"/>
    </row>
    <row r="29" spans="1:30">
      <c r="A29" s="59" t="str">
        <f t="shared" si="9"/>
        <v>Aandelen ontwikkeld</v>
      </c>
      <c r="B29" s="1">
        <v>3.7657707533554163E-4</v>
      </c>
      <c r="C29" s="54">
        <v>5.8533895090493858E-4</v>
      </c>
      <c r="D29" s="55">
        <v>1.8216268025497755E-5</v>
      </c>
      <c r="E29" s="1">
        <v>1.1575806472895165E-4</v>
      </c>
      <c r="F29" s="56">
        <v>5.3415092609998527E-4</v>
      </c>
      <c r="G29" s="68">
        <v>-2.5477160745322599E-3</v>
      </c>
      <c r="H29" s="68">
        <v>-3.6877601426774571E-3</v>
      </c>
      <c r="I29" s="68">
        <v>-1.4231837289400665E-3</v>
      </c>
      <c r="J29" s="68">
        <v>8.5637836233961474E-3</v>
      </c>
      <c r="K29" s="68">
        <v>-1.3852681289131131E-2</v>
      </c>
      <c r="L29" s="2">
        <v>-5.3637948178239282E-3</v>
      </c>
      <c r="M29" s="2">
        <v>1</v>
      </c>
      <c r="N29" s="2">
        <v>0.99999999999985167</v>
      </c>
      <c r="O29" s="69"/>
      <c r="R29" s="51" t="str">
        <f t="shared" si="10"/>
        <v>Aandelen ontwikkeld</v>
      </c>
      <c r="S29" s="52">
        <f t="shared" si="11"/>
        <v>1.8216268025497755E-5</v>
      </c>
      <c r="T29" s="52">
        <f t="shared" si="12"/>
        <v>3.5836080731004385E-4</v>
      </c>
      <c r="U29" s="52">
        <f t="shared" si="13"/>
        <v>1.5757385076444364E-4</v>
      </c>
      <c r="AA29" s="52"/>
      <c r="AB29" s="52"/>
      <c r="AC29" s="52"/>
      <c r="AD29" s="52"/>
    </row>
    <row r="30" spans="1:30">
      <c r="A30" s="59" t="str">
        <f t="shared" si="9"/>
        <v>Aandelen opkomend</v>
      </c>
      <c r="B30" s="1">
        <v>8.4666436171662238E-3</v>
      </c>
      <c r="C30" s="54">
        <v>7.777750206494469E-3</v>
      </c>
      <c r="D30" s="55">
        <v>2.2394278876048342E-3</v>
      </c>
      <c r="E30" s="1">
        <v>6.7804034862272893E-3</v>
      </c>
      <c r="F30" s="56">
        <v>1.2587194840257998E-2</v>
      </c>
      <c r="G30" s="68">
        <v>-1.6762918256757433E-2</v>
      </c>
      <c r="H30" s="68">
        <v>0.1162842230086157</v>
      </c>
      <c r="I30" s="68">
        <v>1</v>
      </c>
      <c r="J30" s="68">
        <v>-0.50469566305344005</v>
      </c>
      <c r="K30" s="68">
        <v>-3.2577254245149116E-2</v>
      </c>
      <c r="L30" s="2">
        <v>-0.14622110444671121</v>
      </c>
      <c r="M30" s="2">
        <v>-0.1403968543708875</v>
      </c>
      <c r="N30" s="2">
        <v>0.99999999999999811</v>
      </c>
      <c r="O30" s="69"/>
      <c r="R30" s="51" t="str">
        <f t="shared" si="10"/>
        <v>Aandelen opkomend</v>
      </c>
      <c r="S30" s="52">
        <f t="shared" si="11"/>
        <v>2.2394278876048342E-3</v>
      </c>
      <c r="T30" s="52">
        <f t="shared" si="12"/>
        <v>6.22721572956139E-3</v>
      </c>
      <c r="U30" s="52">
        <f t="shared" si="13"/>
        <v>4.1205512230917743E-3</v>
      </c>
      <c r="AA30" s="52"/>
      <c r="AB30" s="52"/>
      <c r="AC30" s="52"/>
      <c r="AD30" s="52"/>
    </row>
    <row r="31" spans="1:30">
      <c r="A31" s="59" t="str">
        <f t="shared" si="9"/>
        <v>Commodities</v>
      </c>
      <c r="B31" s="1">
        <v>0.23024716413339219</v>
      </c>
      <c r="C31" s="54">
        <v>1.6936417626325685E-2</v>
      </c>
      <c r="D31" s="55">
        <v>0.21937929402229212</v>
      </c>
      <c r="E31" s="1">
        <v>0.23305237360604725</v>
      </c>
      <c r="F31" s="56">
        <v>0.24329262113887165</v>
      </c>
      <c r="G31" s="68">
        <v>-0.66704574968515695</v>
      </c>
      <c r="H31" s="68">
        <v>-0.73806306574193803</v>
      </c>
      <c r="I31" s="68">
        <v>-0.32751547846350776</v>
      </c>
      <c r="J31" s="68">
        <v>-0.52529059724986804</v>
      </c>
      <c r="K31" s="68">
        <v>-7.8301649662463377E-2</v>
      </c>
      <c r="L31" s="2">
        <v>-0.17463850211388326</v>
      </c>
      <c r="M31" s="2">
        <v>-0.14592288665021638</v>
      </c>
      <c r="N31" s="2">
        <v>1</v>
      </c>
      <c r="O31" s="69"/>
      <c r="R31" s="51" t="str">
        <f t="shared" si="10"/>
        <v>Commodities</v>
      </c>
      <c r="S31" s="52">
        <f t="shared" si="11"/>
        <v>0.21937929402229212</v>
      </c>
      <c r="T31" s="52">
        <f t="shared" si="12"/>
        <v>1.0867870111100075E-2</v>
      </c>
      <c r="U31" s="52">
        <f t="shared" si="13"/>
        <v>1.3045457005479461E-2</v>
      </c>
      <c r="AA31" s="52"/>
      <c r="AB31" s="52"/>
      <c r="AC31" s="52"/>
      <c r="AD31" s="52"/>
    </row>
    <row r="32" spans="1:30">
      <c r="A32" s="59" t="str">
        <f t="shared" si="9"/>
        <v>Hedge funds</v>
      </c>
      <c r="B32" s="1">
        <v>4.8943227262727724E-3</v>
      </c>
      <c r="C32" s="54">
        <v>4.4610025080762282E-3</v>
      </c>
      <c r="D32" s="55">
        <v>1.3739693502583775E-3</v>
      </c>
      <c r="E32" s="1">
        <v>3.9180891709557127E-3</v>
      </c>
      <c r="F32" s="56">
        <v>6.7497172357358845E-3</v>
      </c>
      <c r="G32" s="68">
        <v>-3.8243875249718215E-2</v>
      </c>
      <c r="H32" s="68">
        <v>-5.4663356139296564E-2</v>
      </c>
      <c r="I32" s="68">
        <v>1.678780047854609E-2</v>
      </c>
      <c r="J32" s="68">
        <v>0.70463470881667734</v>
      </c>
      <c r="K32" s="68">
        <v>1</v>
      </c>
      <c r="L32" s="2">
        <v>-0.18458532810086051</v>
      </c>
      <c r="M32" s="2">
        <v>-0.13734414618741098</v>
      </c>
      <c r="N32" s="2">
        <v>0.99999999999999589</v>
      </c>
      <c r="O32" s="69"/>
      <c r="R32" s="51" t="str">
        <f t="shared" si="10"/>
        <v>Hedge funds</v>
      </c>
      <c r="S32" s="52">
        <f t="shared" si="11"/>
        <v>1.3739693502583775E-3</v>
      </c>
      <c r="T32" s="52">
        <f t="shared" si="12"/>
        <v>3.5203533760143949E-3</v>
      </c>
      <c r="U32" s="52">
        <f t="shared" si="13"/>
        <v>1.8553945094631121E-3</v>
      </c>
    </row>
    <row r="33" spans="1:30">
      <c r="A33" s="60" t="str">
        <f t="shared" si="9"/>
        <v>Onroerend goed</v>
      </c>
      <c r="B33" s="61">
        <v>3.3388960131358119E-3</v>
      </c>
      <c r="C33" s="62">
        <v>3.2727242718507796E-3</v>
      </c>
      <c r="D33" s="63">
        <v>8.4555022260916963E-4</v>
      </c>
      <c r="E33" s="61">
        <v>2.4363484548173891E-3</v>
      </c>
      <c r="F33" s="64">
        <v>4.8931990072496514E-3</v>
      </c>
      <c r="G33" s="70">
        <v>-2.284400720524073E-2</v>
      </c>
      <c r="H33" s="70">
        <v>-2.5311861608341889E-2</v>
      </c>
      <c r="I33" s="70">
        <v>-8.8488436758804394E-4</v>
      </c>
      <c r="J33" s="70">
        <v>6.8259672532725857E-2</v>
      </c>
      <c r="K33" s="70">
        <v>-9.6207910353584541E-3</v>
      </c>
      <c r="L33" s="65">
        <v>1</v>
      </c>
      <c r="M33" s="65">
        <v>-0.13813505373051282</v>
      </c>
      <c r="N33" s="65">
        <v>0.99999999999999245</v>
      </c>
      <c r="O33" s="71"/>
      <c r="R33" s="51" t="str">
        <f t="shared" si="10"/>
        <v>Onroerend goed</v>
      </c>
      <c r="S33" s="52">
        <f t="shared" si="11"/>
        <v>8.4555022260916963E-4</v>
      </c>
      <c r="T33" s="52">
        <f t="shared" si="12"/>
        <v>2.4933457905266425E-3</v>
      </c>
      <c r="U33" s="52">
        <f t="shared" si="13"/>
        <v>1.5543029941138395E-3</v>
      </c>
    </row>
    <row r="34" spans="1:30">
      <c r="A34" s="67"/>
      <c r="B34" s="1"/>
      <c r="C34" s="1"/>
      <c r="D34" s="1"/>
      <c r="E34" s="1"/>
      <c r="F34" s="68"/>
      <c r="G34" s="68"/>
      <c r="H34" s="68"/>
      <c r="I34" s="68"/>
      <c r="J34" s="68"/>
      <c r="K34" s="68"/>
      <c r="L34" s="68"/>
      <c r="M34" s="68"/>
      <c r="N34" s="68"/>
      <c r="O34" s="68"/>
    </row>
    <row r="35" spans="1:30">
      <c r="D35" s="405" t="s">
        <v>64</v>
      </c>
      <c r="E35" s="406"/>
      <c r="F35" s="407"/>
      <c r="G35" s="405" t="s">
        <v>65</v>
      </c>
      <c r="H35" s="406"/>
      <c r="I35" s="406"/>
      <c r="J35" s="406"/>
      <c r="K35" s="406"/>
      <c r="L35" s="406"/>
      <c r="M35" s="406"/>
      <c r="N35" s="406"/>
      <c r="O35" s="407"/>
    </row>
    <row r="36" spans="1:30">
      <c r="A36" s="265" t="str">
        <f>Optimalisatie!A23</f>
        <v>Base - muddle up</v>
      </c>
      <c r="B36" s="266" t="s">
        <v>1</v>
      </c>
      <c r="C36" s="267" t="s">
        <v>2</v>
      </c>
      <c r="D36" s="268">
        <v>0.25</v>
      </c>
      <c r="E36" s="269">
        <v>0.5</v>
      </c>
      <c r="F36" s="270">
        <v>0.75</v>
      </c>
      <c r="G36" s="271">
        <v>0.80334613416631573</v>
      </c>
      <c r="H36" s="271">
        <v>0.13835616730072697</v>
      </c>
      <c r="I36" s="271">
        <v>4.7720799099569056E-2</v>
      </c>
      <c r="J36" s="271">
        <v>7.4608229881748533E-3</v>
      </c>
      <c r="K36" s="271">
        <v>2.2686949309048687E-3</v>
      </c>
      <c r="L36" s="271">
        <v>5.5057713151518417E-4</v>
      </c>
      <c r="M36" s="271">
        <v>2.9680438279611199E-4</v>
      </c>
      <c r="N36" s="271">
        <v>0</v>
      </c>
      <c r="O36" s="272">
        <v>-2.2204460492503131E-16</v>
      </c>
      <c r="R36" s="51" t="str">
        <f>A36</f>
        <v>Base - muddle up</v>
      </c>
      <c r="S36" s="51"/>
      <c r="T36" s="52"/>
      <c r="U36" s="51"/>
      <c r="AA36" s="52"/>
      <c r="AB36" s="52"/>
      <c r="AC36" s="52"/>
      <c r="AD36" s="52"/>
    </row>
    <row r="37" spans="1:30">
      <c r="A37" s="59" t="str">
        <f>A15</f>
        <v>Nominale matching</v>
      </c>
      <c r="B37" s="1">
        <v>0.53300464703690997</v>
      </c>
      <c r="C37" s="54">
        <v>3.601871039044871E-2</v>
      </c>
      <c r="D37" s="55">
        <v>0.50600350684104156</v>
      </c>
      <c r="E37" s="1">
        <v>0.53198175301302952</v>
      </c>
      <c r="F37" s="56">
        <v>0.55915015606660612</v>
      </c>
      <c r="G37" s="2">
        <v>-0.35952057832869844</v>
      </c>
      <c r="H37" s="2">
        <v>-0.23181519353080471</v>
      </c>
      <c r="I37" s="2">
        <v>-0.31632259753112313</v>
      </c>
      <c r="J37" s="2">
        <v>-0.34528194050912664</v>
      </c>
      <c r="K37" s="2">
        <v>0.23941302863703717</v>
      </c>
      <c r="L37" s="2">
        <v>1</v>
      </c>
      <c r="M37" s="2">
        <v>-0.20342595694493598</v>
      </c>
      <c r="N37" s="2">
        <v>0.9999999999998298</v>
      </c>
      <c r="O37" s="57"/>
      <c r="R37" s="51" t="str">
        <f>A37</f>
        <v>Nominale matching</v>
      </c>
      <c r="S37" s="52">
        <f>D37</f>
        <v>0.50600350684104156</v>
      </c>
      <c r="T37" s="52">
        <f>B37-D37</f>
        <v>2.7001140195868412E-2</v>
      </c>
      <c r="U37" s="52">
        <f>F37-B37</f>
        <v>2.6145509029696146E-2</v>
      </c>
      <c r="AA37" s="52"/>
      <c r="AB37" s="52"/>
      <c r="AC37" s="52"/>
      <c r="AD37" s="52"/>
    </row>
    <row r="38" spans="1:30">
      <c r="A38" s="59" t="str">
        <f t="shared" ref="A38:A44" si="14">A16</f>
        <v>High Yield</v>
      </c>
      <c r="B38" s="1">
        <v>3.2766577649975807E-2</v>
      </c>
      <c r="C38" s="54">
        <v>2.4279791045339907E-2</v>
      </c>
      <c r="D38" s="55">
        <v>1.3440490752372431E-2</v>
      </c>
      <c r="E38" s="1">
        <v>2.8147604987296751E-2</v>
      </c>
      <c r="F38" s="56">
        <v>4.709197592719494E-2</v>
      </c>
      <c r="G38" s="2">
        <v>-4.1305142833063064E-3</v>
      </c>
      <c r="H38" s="2">
        <v>-6.2340634788163193E-2</v>
      </c>
      <c r="I38" s="2">
        <v>1</v>
      </c>
      <c r="J38" s="2">
        <v>-0.19750999107877668</v>
      </c>
      <c r="K38" s="2">
        <v>-0.12346479132654611</v>
      </c>
      <c r="L38" s="2">
        <v>0.12056021491908657</v>
      </c>
      <c r="M38" s="2">
        <v>-0.13686567138134523</v>
      </c>
      <c r="N38" s="2">
        <v>0.99999999999990719</v>
      </c>
      <c r="O38" s="57"/>
      <c r="R38" s="51" t="str">
        <f t="shared" ref="R38:R44" si="15">A38</f>
        <v>High Yield</v>
      </c>
      <c r="S38" s="52">
        <f t="shared" ref="S38:S44" si="16">D38</f>
        <v>1.3440490752372431E-2</v>
      </c>
      <c r="T38" s="52">
        <f t="shared" ref="T38:T44" si="17">B38-D38</f>
        <v>1.9326086897603376E-2</v>
      </c>
      <c r="U38" s="52">
        <f t="shared" ref="U38:U44" si="18">F38-B38</f>
        <v>1.4325398277219133E-2</v>
      </c>
      <c r="AA38" s="52"/>
      <c r="AB38" s="52"/>
      <c r="AC38" s="52"/>
      <c r="AD38" s="52"/>
    </row>
    <row r="39" spans="1:30">
      <c r="A39" s="59" t="str">
        <f t="shared" si="14"/>
        <v>Emerging market debt</v>
      </c>
      <c r="B39" s="1">
        <v>0.24436384619083032</v>
      </c>
      <c r="C39" s="54">
        <v>9.4254029229509706E-2</v>
      </c>
      <c r="D39" s="55">
        <v>0.16918033873772867</v>
      </c>
      <c r="E39" s="1">
        <v>0.23500377386741572</v>
      </c>
      <c r="F39" s="56">
        <v>0.30869853407204462</v>
      </c>
      <c r="G39" s="2">
        <v>1</v>
      </c>
      <c r="H39" s="2">
        <v>-0.11524442614780323</v>
      </c>
      <c r="I39" s="2">
        <v>-0.24444345526878958</v>
      </c>
      <c r="J39" s="2">
        <v>-0.21340773340703806</v>
      </c>
      <c r="K39" s="2">
        <v>-0.21561300896922458</v>
      </c>
      <c r="L39" s="2">
        <v>8.7922020555038383E-3</v>
      </c>
      <c r="M39" s="2">
        <v>-0.14759287340768973</v>
      </c>
      <c r="N39" s="2">
        <v>0.99999999999992772</v>
      </c>
      <c r="O39" s="57"/>
      <c r="R39" s="51" t="str">
        <f t="shared" si="15"/>
        <v>Emerging market debt</v>
      </c>
      <c r="S39" s="52">
        <f t="shared" si="16"/>
        <v>0.16918033873772867</v>
      </c>
      <c r="T39" s="52">
        <f t="shared" si="17"/>
        <v>7.518350745310165E-2</v>
      </c>
      <c r="U39" s="52">
        <f t="shared" si="18"/>
        <v>6.4334687881214297E-2</v>
      </c>
      <c r="AA39" s="52"/>
      <c r="AB39" s="52"/>
      <c r="AC39" s="52"/>
      <c r="AD39" s="52"/>
    </row>
    <row r="40" spans="1:30">
      <c r="A40" s="59" t="str">
        <f t="shared" si="14"/>
        <v>Aandelen ontwikkeld</v>
      </c>
      <c r="B40" s="1">
        <v>5.0807613356015236E-3</v>
      </c>
      <c r="C40" s="54">
        <v>5.0539865520206348E-3</v>
      </c>
      <c r="D40" s="55">
        <v>1.2252464376372491E-3</v>
      </c>
      <c r="E40" s="1">
        <v>3.5348625843151186E-3</v>
      </c>
      <c r="F40" s="56">
        <v>7.4836824711856766E-3</v>
      </c>
      <c r="G40" s="2">
        <v>7.130477264728481E-3</v>
      </c>
      <c r="H40" s="2">
        <v>-1.3781885206876291E-2</v>
      </c>
      <c r="I40" s="2">
        <v>-2.0794369880972441E-2</v>
      </c>
      <c r="J40" s="2">
        <v>2.0805753244079638E-2</v>
      </c>
      <c r="K40" s="2">
        <v>1</v>
      </c>
      <c r="L40" s="2">
        <v>-0.62598510297303611</v>
      </c>
      <c r="M40" s="2">
        <v>-0.11879104283033305</v>
      </c>
      <c r="N40" s="2">
        <v>0.99999999999992006</v>
      </c>
      <c r="O40" s="57"/>
      <c r="R40" s="51" t="str">
        <f t="shared" si="15"/>
        <v>Aandelen ontwikkeld</v>
      </c>
      <c r="S40" s="52">
        <f t="shared" si="16"/>
        <v>1.2252464376372491E-3</v>
      </c>
      <c r="T40" s="52">
        <f t="shared" si="17"/>
        <v>3.8555148979642745E-3</v>
      </c>
      <c r="U40" s="52">
        <f t="shared" si="18"/>
        <v>2.402921135584153E-3</v>
      </c>
      <c r="AA40" s="52"/>
      <c r="AB40" s="52"/>
      <c r="AC40" s="52"/>
      <c r="AD40" s="52"/>
    </row>
    <row r="41" spans="1:30">
      <c r="A41" s="59" t="str">
        <f t="shared" si="14"/>
        <v>Aandelen opkomend</v>
      </c>
      <c r="B41" s="1">
        <v>0.11053042095294417</v>
      </c>
      <c r="C41" s="54">
        <v>4.717684551980824E-2</v>
      </c>
      <c r="D41" s="55">
        <v>7.6388660914533016E-2</v>
      </c>
      <c r="E41" s="1">
        <v>0.11377216376253449</v>
      </c>
      <c r="F41" s="56">
        <v>0.14529227688615551</v>
      </c>
      <c r="G41" s="2">
        <v>-0.44555234179090569</v>
      </c>
      <c r="H41" s="2">
        <v>-0.53112936886172424</v>
      </c>
      <c r="I41" s="2">
        <v>-0.22893569686885432</v>
      </c>
      <c r="J41" s="2">
        <v>-0.12092077425932257</v>
      </c>
      <c r="K41" s="2">
        <v>-0.54357690227830013</v>
      </c>
      <c r="L41" s="2">
        <v>-0.72860219973582818</v>
      </c>
      <c r="M41" s="2">
        <v>-0.10672220768165966</v>
      </c>
      <c r="N41" s="2">
        <v>1</v>
      </c>
      <c r="O41" s="57"/>
      <c r="R41" s="51" t="str">
        <f t="shared" si="15"/>
        <v>Aandelen opkomend</v>
      </c>
      <c r="S41" s="52">
        <f t="shared" si="16"/>
        <v>7.6388660914533016E-2</v>
      </c>
      <c r="T41" s="52">
        <f t="shared" si="17"/>
        <v>3.4141760038411156E-2</v>
      </c>
      <c r="U41" s="52">
        <f t="shared" si="18"/>
        <v>3.4761855933211336E-2</v>
      </c>
      <c r="AA41" s="52"/>
      <c r="AB41" s="52"/>
      <c r="AC41" s="52"/>
      <c r="AD41" s="52"/>
    </row>
    <row r="42" spans="1:30">
      <c r="A42" s="59" t="str">
        <f t="shared" si="14"/>
        <v>Commodities</v>
      </c>
      <c r="B42" s="1">
        <v>1.5730403228234799E-3</v>
      </c>
      <c r="C42" s="54">
        <v>2.0207317906996373E-3</v>
      </c>
      <c r="D42" s="55">
        <v>2.3070704801685836E-4</v>
      </c>
      <c r="E42" s="1">
        <v>7.6621315353987533E-4</v>
      </c>
      <c r="F42" s="56">
        <v>2.1984292754138142E-3</v>
      </c>
      <c r="G42" s="2">
        <v>9.6414975030613642E-4</v>
      </c>
      <c r="H42" s="2">
        <v>-4.8351997484020548E-3</v>
      </c>
      <c r="I42" s="2">
        <v>-1.4011738215383891E-2</v>
      </c>
      <c r="J42" s="2">
        <v>-3.6346495828393989E-3</v>
      </c>
      <c r="K42" s="2">
        <v>9.8137573031287211E-3</v>
      </c>
      <c r="L42" s="2">
        <v>9.2645904749851113E-2</v>
      </c>
      <c r="M42" s="2">
        <v>1</v>
      </c>
      <c r="N42" s="2">
        <v>0.99999999999967937</v>
      </c>
      <c r="O42" s="57"/>
      <c r="R42" s="51" t="str">
        <f t="shared" si="15"/>
        <v>Commodities</v>
      </c>
      <c r="S42" s="52">
        <f t="shared" si="16"/>
        <v>2.3070704801685836E-4</v>
      </c>
      <c r="T42" s="52">
        <f t="shared" si="17"/>
        <v>1.3423332748066215E-3</v>
      </c>
      <c r="U42" s="52">
        <f t="shared" si="18"/>
        <v>6.2538895259033425E-4</v>
      </c>
      <c r="AA42" s="52"/>
      <c r="AB42" s="52"/>
      <c r="AC42" s="52"/>
      <c r="AD42" s="52"/>
    </row>
    <row r="43" spans="1:30">
      <c r="A43" s="59" t="str">
        <f t="shared" si="14"/>
        <v>Hedge funds</v>
      </c>
      <c r="B43" s="1">
        <v>1.2121211028226629E-2</v>
      </c>
      <c r="C43" s="54">
        <v>9.7098666865891858E-3</v>
      </c>
      <c r="D43" s="55">
        <v>4.2245526250787035E-3</v>
      </c>
      <c r="E43" s="1">
        <v>9.6074050846844394E-3</v>
      </c>
      <c r="F43" s="56">
        <v>1.8274586538340101E-2</v>
      </c>
      <c r="G43" s="2">
        <v>5.7714314095774757E-3</v>
      </c>
      <c r="H43" s="2">
        <v>-4.0853291716224566E-2</v>
      </c>
      <c r="I43" s="2">
        <v>-1.3820237573366556E-2</v>
      </c>
      <c r="J43" s="2">
        <v>1</v>
      </c>
      <c r="K43" s="2">
        <v>-0.11014642557278381</v>
      </c>
      <c r="L43" s="2">
        <v>0.27612542229001463</v>
      </c>
      <c r="M43" s="2">
        <v>-0.15412182393154181</v>
      </c>
      <c r="N43" s="2">
        <v>0.99999999999988676</v>
      </c>
      <c r="O43" s="57"/>
      <c r="R43" s="51" t="str">
        <f t="shared" si="15"/>
        <v>Hedge funds</v>
      </c>
      <c r="S43" s="52">
        <f t="shared" si="16"/>
        <v>4.2245526250787035E-3</v>
      </c>
      <c r="T43" s="52">
        <f t="shared" si="17"/>
        <v>7.8966584031479256E-3</v>
      </c>
      <c r="U43" s="52">
        <f t="shared" si="18"/>
        <v>6.1533755101134714E-3</v>
      </c>
    </row>
    <row r="44" spans="1:30">
      <c r="A44" s="60" t="str">
        <f t="shared" si="14"/>
        <v>Onroerend goed</v>
      </c>
      <c r="B44" s="61">
        <v>6.0559495482688255E-2</v>
      </c>
      <c r="C44" s="62">
        <v>4.3868878359761158E-2</v>
      </c>
      <c r="D44" s="63">
        <v>2.4072325619578505E-2</v>
      </c>
      <c r="E44" s="61">
        <v>5.2562953054386866E-2</v>
      </c>
      <c r="F44" s="64">
        <v>9.0097209653565546E-2</v>
      </c>
      <c r="G44" s="65">
        <v>-0.20466262402170229</v>
      </c>
      <c r="H44" s="65">
        <v>1</v>
      </c>
      <c r="I44" s="65">
        <v>-0.1616719046615068</v>
      </c>
      <c r="J44" s="65">
        <v>-0.14005066440696459</v>
      </c>
      <c r="K44" s="65">
        <v>-0.2564256577932435</v>
      </c>
      <c r="L44" s="65">
        <v>-0.14353644130540655</v>
      </c>
      <c r="M44" s="65">
        <v>-0.13248042382226771</v>
      </c>
      <c r="N44" s="65">
        <v>0.99999999999993816</v>
      </c>
      <c r="O44" s="66"/>
      <c r="R44" s="51" t="str">
        <f t="shared" si="15"/>
        <v>Onroerend goed</v>
      </c>
      <c r="S44" s="52">
        <f t="shared" si="16"/>
        <v>2.4072325619578505E-2</v>
      </c>
      <c r="T44" s="52">
        <f t="shared" si="17"/>
        <v>3.648716986310975E-2</v>
      </c>
      <c r="U44" s="52">
        <f t="shared" si="18"/>
        <v>2.9537714170877291E-2</v>
      </c>
    </row>
    <row r="45" spans="1:30">
      <c r="A45" s="67"/>
      <c r="B45" s="1"/>
      <c r="C45" s="1"/>
      <c r="D45" s="1"/>
      <c r="E45" s="1"/>
      <c r="F45" s="68"/>
      <c r="G45" s="68"/>
      <c r="H45" s="68"/>
      <c r="I45" s="68"/>
      <c r="J45" s="68"/>
      <c r="K45" s="68"/>
      <c r="L45" s="68"/>
      <c r="M45" s="68"/>
      <c r="N45" s="68"/>
      <c r="O45" s="68"/>
    </row>
    <row r="46" spans="1:30">
      <c r="D46" s="405" t="s">
        <v>64</v>
      </c>
      <c r="E46" s="406"/>
      <c r="F46" s="407"/>
      <c r="G46" s="405" t="s">
        <v>65</v>
      </c>
      <c r="H46" s="406"/>
      <c r="I46" s="406"/>
      <c r="J46" s="406"/>
      <c r="K46" s="406"/>
      <c r="L46" s="406"/>
      <c r="M46" s="406"/>
      <c r="N46" s="406"/>
      <c r="O46" s="407"/>
    </row>
    <row r="47" spans="1:30">
      <c r="A47" s="265" t="str">
        <f>Optimalisatie!A24</f>
        <v>Bear case</v>
      </c>
      <c r="B47" s="266" t="s">
        <v>1</v>
      </c>
      <c r="C47" s="267" t="s">
        <v>2</v>
      </c>
      <c r="D47" s="268">
        <v>0.25</v>
      </c>
      <c r="E47" s="269">
        <v>0.5</v>
      </c>
      <c r="F47" s="270">
        <v>0.75</v>
      </c>
      <c r="G47" s="271">
        <v>0.61596236855409825</v>
      </c>
      <c r="H47" s="271">
        <v>0.1520309053888711</v>
      </c>
      <c r="I47" s="271">
        <v>7.8157651966413444E-2</v>
      </c>
      <c r="J47" s="271">
        <v>6.3428126659594852E-2</v>
      </c>
      <c r="K47" s="271">
        <v>4.8711644632918882E-2</v>
      </c>
      <c r="L47" s="271">
        <v>2.7419964489297288E-2</v>
      </c>
      <c r="M47" s="271">
        <v>1.4289338308812849E-2</v>
      </c>
      <c r="N47" s="271">
        <v>0</v>
      </c>
      <c r="O47" s="272">
        <v>1.1102230246251565E-16</v>
      </c>
      <c r="R47" s="51" t="str">
        <f>A47</f>
        <v>Bear case</v>
      </c>
      <c r="S47" s="51"/>
      <c r="T47" s="52"/>
      <c r="U47" s="51"/>
      <c r="AA47" s="52"/>
      <c r="AB47" s="52"/>
      <c r="AC47" s="52"/>
      <c r="AD47" s="52"/>
    </row>
    <row r="48" spans="1:30">
      <c r="A48" s="59" t="str">
        <f>A37</f>
        <v>Nominale matching</v>
      </c>
      <c r="B48" s="1">
        <v>0.99949677746552446</v>
      </c>
      <c r="C48" s="54">
        <v>2.882597438527837E-4</v>
      </c>
      <c r="D48" s="55">
        <v>0.99931285387684143</v>
      </c>
      <c r="E48" s="1">
        <v>0.99952283611536608</v>
      </c>
      <c r="F48" s="56">
        <v>0.99972636007317006</v>
      </c>
      <c r="G48" s="68">
        <v>1</v>
      </c>
      <c r="H48" s="68">
        <v>0.62397211264539321</v>
      </c>
      <c r="I48" s="68">
        <v>0.24866986620821777</v>
      </c>
      <c r="J48" s="68">
        <v>-3.8335928778213214E-2</v>
      </c>
      <c r="K48" s="68">
        <v>-0.11093776118867203</v>
      </c>
      <c r="L48" s="2">
        <v>-0.12454975227999127</v>
      </c>
      <c r="M48" s="2">
        <v>-0.12225358373890319</v>
      </c>
      <c r="N48" s="2">
        <v>0.99999999999990452</v>
      </c>
      <c r="O48" s="69"/>
      <c r="R48" s="51" t="str">
        <f>A48</f>
        <v>Nominale matching</v>
      </c>
      <c r="S48" s="52">
        <f>D48</f>
        <v>0.99931285387684143</v>
      </c>
      <c r="T48" s="52">
        <f>B48-D48</f>
        <v>1.839235886830215E-4</v>
      </c>
      <c r="U48" s="52">
        <f>F48-B48</f>
        <v>2.2958260764560645E-4</v>
      </c>
      <c r="AA48" s="52"/>
      <c r="AB48" s="52"/>
      <c r="AC48" s="52"/>
      <c r="AD48" s="52"/>
    </row>
    <row r="49" spans="1:36">
      <c r="A49" s="59" t="str">
        <f t="shared" ref="A49:A55" si="19">A38</f>
        <v>High Yield</v>
      </c>
      <c r="B49" s="1">
        <v>4.8224248548151283E-5</v>
      </c>
      <c r="C49" s="54">
        <v>9.1944083609165014E-5</v>
      </c>
      <c r="D49" s="55">
        <v>3.1775857169889283E-7</v>
      </c>
      <c r="E49" s="1">
        <v>7.2952723798514622E-6</v>
      </c>
      <c r="F49" s="56">
        <v>5.1107560739282383E-5</v>
      </c>
      <c r="G49" s="68">
        <v>-3.0794265269021227E-2</v>
      </c>
      <c r="H49" s="68">
        <v>-0.1287409732980884</v>
      </c>
      <c r="I49" s="68">
        <v>-0.3257204471021099</v>
      </c>
      <c r="J49" s="68">
        <v>-3.7162730010923475E-2</v>
      </c>
      <c r="K49" s="68">
        <v>1</v>
      </c>
      <c r="L49" s="2">
        <v>-0.3319807409424913</v>
      </c>
      <c r="M49" s="2">
        <v>-0.14089877154749028</v>
      </c>
      <c r="N49" s="2">
        <v>0.99999999999986333</v>
      </c>
      <c r="O49" s="69"/>
      <c r="R49" s="51" t="str">
        <f t="shared" ref="R49:R55" si="20">A49</f>
        <v>High Yield</v>
      </c>
      <c r="S49" s="52">
        <f t="shared" ref="S49:S55" si="21">D49</f>
        <v>3.1775857169889283E-7</v>
      </c>
      <c r="T49" s="52">
        <f t="shared" ref="T49:T55" si="22">B49-D49</f>
        <v>4.7906489976452388E-5</v>
      </c>
      <c r="U49" s="52">
        <f t="shared" ref="U49:U55" si="23">F49-B49</f>
        <v>2.8833121911311002E-6</v>
      </c>
      <c r="AA49" s="52"/>
      <c r="AB49" s="52"/>
      <c r="AC49" s="52"/>
      <c r="AD49" s="52"/>
    </row>
    <row r="50" spans="1:36">
      <c r="A50" s="59" t="str">
        <f t="shared" si="19"/>
        <v>Emerging market debt</v>
      </c>
      <c r="B50" s="1">
        <v>3.8685135530742506E-5</v>
      </c>
      <c r="C50" s="54">
        <v>6.9546374268775261E-5</v>
      </c>
      <c r="D50" s="55">
        <v>4.8573719057011657E-7</v>
      </c>
      <c r="E50" s="1">
        <v>8.3183268939304433E-6</v>
      </c>
      <c r="F50" s="56">
        <v>4.6047698180195408E-5</v>
      </c>
      <c r="G50" s="68">
        <v>-1.2928523737035607E-2</v>
      </c>
      <c r="H50" s="68">
        <v>-4.7577279458499669E-2</v>
      </c>
      <c r="I50" s="68">
        <v>-0.16249019084980063</v>
      </c>
      <c r="J50" s="68">
        <v>-4.5304885412973915E-2</v>
      </c>
      <c r="K50" s="68">
        <v>0.11723124504603914</v>
      </c>
      <c r="L50" s="2">
        <v>1</v>
      </c>
      <c r="M50" s="2">
        <v>-0.2311768730530282</v>
      </c>
      <c r="N50" s="2">
        <v>1</v>
      </c>
      <c r="O50" s="69"/>
      <c r="R50" s="51" t="str">
        <f t="shared" si="20"/>
        <v>Emerging market debt</v>
      </c>
      <c r="S50" s="52">
        <f t="shared" si="21"/>
        <v>4.8573719057011657E-7</v>
      </c>
      <c r="T50" s="52">
        <f t="shared" si="22"/>
        <v>3.8199398340172389E-5</v>
      </c>
      <c r="U50" s="52">
        <f t="shared" si="23"/>
        <v>7.3625626494529025E-6</v>
      </c>
      <c r="AA50" s="52"/>
      <c r="AB50" s="52"/>
      <c r="AC50" s="52"/>
      <c r="AD50" s="52"/>
    </row>
    <row r="51" spans="1:36">
      <c r="A51" s="59" t="str">
        <f t="shared" si="19"/>
        <v>Aandelen ontwikkeld</v>
      </c>
      <c r="B51" s="1">
        <v>2.7030695966888324E-5</v>
      </c>
      <c r="C51" s="54">
        <v>5.0055034938911025E-5</v>
      </c>
      <c r="D51" s="55">
        <v>1.8154908072725241E-7</v>
      </c>
      <c r="E51" s="1">
        <v>5.6334923562466324E-6</v>
      </c>
      <c r="F51" s="56">
        <v>2.8293620162110672E-5</v>
      </c>
      <c r="G51" s="68">
        <v>3.3317454284480059E-3</v>
      </c>
      <c r="H51" s="68">
        <v>-3.4979682412122452E-2</v>
      </c>
      <c r="I51" s="68">
        <v>-5.9199963291211594E-3</v>
      </c>
      <c r="J51" s="68">
        <v>-1.313623691162819E-2</v>
      </c>
      <c r="K51" s="68">
        <v>2.5151551140509213E-2</v>
      </c>
      <c r="L51" s="2">
        <v>8.9410361255317511E-2</v>
      </c>
      <c r="M51" s="2">
        <v>1</v>
      </c>
      <c r="N51" s="2">
        <v>0.99999999999988221</v>
      </c>
      <c r="O51" s="69"/>
      <c r="R51" s="51" t="str">
        <f t="shared" si="20"/>
        <v>Aandelen ontwikkeld</v>
      </c>
      <c r="S51" s="52">
        <f t="shared" si="21"/>
        <v>1.8154908072725241E-7</v>
      </c>
      <c r="T51" s="52">
        <f t="shared" si="22"/>
        <v>2.6849146886161071E-5</v>
      </c>
      <c r="U51" s="52">
        <f t="shared" si="23"/>
        <v>1.2629241952223478E-6</v>
      </c>
      <c r="AA51" s="52"/>
      <c r="AB51" s="52"/>
      <c r="AC51" s="52"/>
      <c r="AD51" s="52"/>
    </row>
    <row r="52" spans="1:36">
      <c r="A52" s="59" t="str">
        <f t="shared" si="19"/>
        <v>Aandelen opkomend</v>
      </c>
      <c r="B52" s="1">
        <v>6.9799662618146699E-5</v>
      </c>
      <c r="C52" s="54">
        <v>1.0771493480571143E-4</v>
      </c>
      <c r="D52" s="55">
        <v>8.0181652301616647E-7</v>
      </c>
      <c r="E52" s="1">
        <v>2.1523482562734649E-5</v>
      </c>
      <c r="F52" s="56">
        <v>9.1763715094703757E-5</v>
      </c>
      <c r="G52" s="68">
        <v>-5.6014432029598757E-2</v>
      </c>
      <c r="H52" s="68">
        <v>-0.31638709354997613</v>
      </c>
      <c r="I52" s="68">
        <v>-0.18295863808213395</v>
      </c>
      <c r="J52" s="68">
        <v>1</v>
      </c>
      <c r="K52" s="68">
        <v>-0.28256300642907783</v>
      </c>
      <c r="L52" s="2">
        <v>-0.14318723850203857</v>
      </c>
      <c r="M52" s="2">
        <v>-0.12166170243556582</v>
      </c>
      <c r="N52" s="2">
        <v>0.99999999999987255</v>
      </c>
      <c r="O52" s="69"/>
      <c r="R52" s="51" t="str">
        <f t="shared" si="20"/>
        <v>Aandelen opkomend</v>
      </c>
      <c r="S52" s="52">
        <f t="shared" si="21"/>
        <v>8.0181652301616647E-7</v>
      </c>
      <c r="T52" s="52">
        <f t="shared" si="22"/>
        <v>6.8997846095130539E-5</v>
      </c>
      <c r="U52" s="52">
        <f t="shared" si="23"/>
        <v>2.1964052476557057E-5</v>
      </c>
      <c r="AA52" s="52"/>
      <c r="AB52" s="52"/>
      <c r="AC52" s="52"/>
      <c r="AD52" s="52"/>
    </row>
    <row r="53" spans="1:36">
      <c r="A53" s="59" t="str">
        <f t="shared" si="19"/>
        <v>Commodities</v>
      </c>
      <c r="B53" s="1">
        <v>6.2840407344484913E-5</v>
      </c>
      <c r="C53" s="54">
        <v>1.0866335030688512E-4</v>
      </c>
      <c r="D53" s="55">
        <v>6.781913856355049E-7</v>
      </c>
      <c r="E53" s="1">
        <v>1.5819401948840516E-5</v>
      </c>
      <c r="F53" s="56">
        <v>6.9668274359377147E-5</v>
      </c>
      <c r="G53" s="68">
        <v>-4.9149240177234155E-2</v>
      </c>
      <c r="H53" s="68">
        <v>-0.3029037150131178</v>
      </c>
      <c r="I53" s="68">
        <v>-0.8458366096852401</v>
      </c>
      <c r="J53" s="68">
        <v>-0.54370159552798536</v>
      </c>
      <c r="K53" s="68">
        <v>-0.53163953608197434</v>
      </c>
      <c r="L53" s="2">
        <v>-0.2479561472421673</v>
      </c>
      <c r="M53" s="2">
        <v>-0.12685719215630195</v>
      </c>
      <c r="N53" s="2">
        <v>0.99999999999992462</v>
      </c>
      <c r="O53" s="69"/>
      <c r="R53" s="51" t="str">
        <f t="shared" si="20"/>
        <v>Commodities</v>
      </c>
      <c r="S53" s="52">
        <f t="shared" si="21"/>
        <v>6.781913856355049E-7</v>
      </c>
      <c r="T53" s="52">
        <f t="shared" si="22"/>
        <v>6.2162215958849415E-5</v>
      </c>
      <c r="U53" s="52">
        <f t="shared" si="23"/>
        <v>6.8278670148922343E-6</v>
      </c>
      <c r="AA53" s="52"/>
      <c r="AB53" s="52"/>
      <c r="AC53" s="52"/>
      <c r="AD53" s="52"/>
    </row>
    <row r="54" spans="1:36">
      <c r="A54" s="59" t="str">
        <f t="shared" si="19"/>
        <v>Hedge funds</v>
      </c>
      <c r="B54" s="1">
        <v>1.660819606351467E-4</v>
      </c>
      <c r="C54" s="54">
        <v>2.3932238472039664E-4</v>
      </c>
      <c r="D54" s="55">
        <v>6.4268548092067431E-6</v>
      </c>
      <c r="E54" s="1">
        <v>5.3031715871366229E-5</v>
      </c>
      <c r="F54" s="56">
        <v>2.2997574081346227E-4</v>
      </c>
      <c r="G54" s="68">
        <v>-0.74660420580280851</v>
      </c>
      <c r="H54" s="68">
        <v>1</v>
      </c>
      <c r="I54" s="68">
        <v>0.27425601584021198</v>
      </c>
      <c r="J54" s="68">
        <v>-4.880992645582375E-2</v>
      </c>
      <c r="K54" s="68">
        <v>-0.12176486284220484</v>
      </c>
      <c r="L54" s="2">
        <v>-0.12630777510436575</v>
      </c>
      <c r="M54" s="2">
        <v>-0.11085941553300389</v>
      </c>
      <c r="N54" s="2">
        <v>0.99999999999993716</v>
      </c>
      <c r="O54" s="69"/>
      <c r="R54" s="51" t="str">
        <f t="shared" si="20"/>
        <v>Hedge funds</v>
      </c>
      <c r="S54" s="52">
        <f t="shared" si="21"/>
        <v>6.4268548092067431E-6</v>
      </c>
      <c r="T54" s="52">
        <f t="shared" si="22"/>
        <v>1.5965510582593997E-4</v>
      </c>
      <c r="U54" s="52">
        <f t="shared" si="23"/>
        <v>6.3893780178315567E-5</v>
      </c>
    </row>
    <row r="55" spans="1:36">
      <c r="A55" s="60" t="str">
        <f t="shared" si="19"/>
        <v>Onroerend goed</v>
      </c>
      <c r="B55" s="61">
        <v>9.0560423832878163E-5</v>
      </c>
      <c r="C55" s="62">
        <v>1.3366075948438081E-4</v>
      </c>
      <c r="D55" s="63">
        <v>3.4669991365964461E-6</v>
      </c>
      <c r="E55" s="61">
        <v>2.5820372034980487E-5</v>
      </c>
      <c r="F55" s="64">
        <v>1.2599587240558533E-4</v>
      </c>
      <c r="G55" s="70">
        <v>-0.10784107841272848</v>
      </c>
      <c r="H55" s="70">
        <v>-0.79338336891364258</v>
      </c>
      <c r="I55" s="70">
        <v>1</v>
      </c>
      <c r="J55" s="70">
        <v>-0.27354869690240957</v>
      </c>
      <c r="K55" s="70">
        <v>-9.5477629644585255E-2</v>
      </c>
      <c r="L55" s="65">
        <v>-0.11542870718436753</v>
      </c>
      <c r="M55" s="65">
        <v>-0.14629246153566797</v>
      </c>
      <c r="N55" s="65">
        <v>0.99999999999988498</v>
      </c>
      <c r="O55" s="71"/>
      <c r="R55" s="51" t="str">
        <f t="shared" si="20"/>
        <v>Onroerend goed</v>
      </c>
      <c r="S55" s="52">
        <f t="shared" si="21"/>
        <v>3.4669991365964461E-6</v>
      </c>
      <c r="T55" s="52">
        <f t="shared" si="22"/>
        <v>8.7093424696281724E-5</v>
      </c>
      <c r="U55" s="52">
        <f t="shared" si="23"/>
        <v>3.5435448572707166E-5</v>
      </c>
    </row>
    <row r="56" spans="1:36">
      <c r="A56" s="67"/>
      <c r="B56" s="1"/>
      <c r="C56" s="1"/>
      <c r="D56" s="1"/>
      <c r="E56" s="1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36">
      <c r="D57" s="405" t="s">
        <v>64</v>
      </c>
      <c r="E57" s="406"/>
      <c r="F57" s="407"/>
      <c r="G57" s="405" t="s">
        <v>65</v>
      </c>
      <c r="H57" s="406"/>
      <c r="I57" s="406"/>
      <c r="J57" s="406"/>
      <c r="K57" s="406"/>
      <c r="L57" s="406"/>
      <c r="M57" s="406"/>
      <c r="N57" s="406"/>
      <c r="O57" s="407"/>
    </row>
    <row r="58" spans="1:36">
      <c r="A58" s="265" t="str">
        <f>Optimalisatie!A11</f>
        <v>Tail risk</v>
      </c>
      <c r="B58" s="266" t="s">
        <v>1</v>
      </c>
      <c r="C58" s="267" t="s">
        <v>2</v>
      </c>
      <c r="D58" s="268">
        <v>0.25</v>
      </c>
      <c r="E58" s="269">
        <v>0.5</v>
      </c>
      <c r="F58" s="270">
        <v>0.75</v>
      </c>
      <c r="G58" s="271">
        <v>0.54828279728598539</v>
      </c>
      <c r="H58" s="271">
        <v>0.25489959029847042</v>
      </c>
      <c r="I58" s="271">
        <v>7.8801919086765593E-2</v>
      </c>
      <c r="J58" s="271">
        <v>4.3800871885640857E-2</v>
      </c>
      <c r="K58" s="271">
        <v>3.0879662514401329E-2</v>
      </c>
      <c r="L58" s="271">
        <v>2.4625250298948465E-2</v>
      </c>
      <c r="M58" s="271">
        <v>1.8709908629787275E-2</v>
      </c>
      <c r="N58" s="271">
        <v>0</v>
      </c>
      <c r="O58" s="272"/>
      <c r="R58" s="51" t="str">
        <f>A58</f>
        <v>Tail risk</v>
      </c>
      <c r="S58" s="51"/>
      <c r="T58" s="52"/>
      <c r="U58" s="51"/>
      <c r="AA58" s="52"/>
      <c r="AB58" s="52"/>
      <c r="AC58" s="52"/>
      <c r="AD58" s="52"/>
      <c r="AF58" s="72"/>
      <c r="AG58" s="72"/>
      <c r="AH58" s="72"/>
      <c r="AJ58" s="52"/>
    </row>
    <row r="59" spans="1:36">
      <c r="A59" s="53" t="str">
        <f>A48</f>
        <v>Nominale matching</v>
      </c>
      <c r="B59" s="1">
        <v>0.9517786425254442</v>
      </c>
      <c r="C59" s="54">
        <v>6.7757952862033347E-4</v>
      </c>
      <c r="D59" s="55">
        <v>0.95125461246129883</v>
      </c>
      <c r="E59" s="1">
        <v>0.95161825864026461</v>
      </c>
      <c r="F59" s="56">
        <v>0.95219449182548388</v>
      </c>
      <c r="G59" s="2">
        <v>-0.38311761310246012</v>
      </c>
      <c r="H59" s="2">
        <v>1</v>
      </c>
      <c r="I59" s="2">
        <v>-0.60611782313946128</v>
      </c>
      <c r="J59" s="2">
        <v>-0.11781035768169056</v>
      </c>
      <c r="K59" s="2">
        <v>-0.1683681848398115</v>
      </c>
      <c r="L59" s="2">
        <v>-5.7053545512419625E-2</v>
      </c>
      <c r="M59" s="2">
        <v>-9.0975566097725266E-2</v>
      </c>
      <c r="N59" s="2">
        <v>0.99999999999997791</v>
      </c>
      <c r="O59" s="69"/>
      <c r="R59" s="51" t="str">
        <f>A59</f>
        <v>Nominale matching</v>
      </c>
      <c r="S59" s="52">
        <f>D59</f>
        <v>0.95125461246129883</v>
      </c>
      <c r="T59" s="52">
        <f>B59-D59</f>
        <v>5.2403006414536435E-4</v>
      </c>
      <c r="U59" s="52">
        <f>F59-B59</f>
        <v>4.1584930003968346E-4</v>
      </c>
      <c r="AA59" s="52"/>
      <c r="AB59" s="52"/>
      <c r="AC59" s="52"/>
      <c r="AD59" s="52"/>
      <c r="AF59" s="72"/>
      <c r="AG59" s="72"/>
      <c r="AH59" s="72"/>
      <c r="AJ59" s="52"/>
    </row>
    <row r="60" spans="1:36">
      <c r="A60" s="59" t="str">
        <f t="shared" ref="A60:A66" si="24">A49</f>
        <v>High Yield</v>
      </c>
      <c r="B60" s="1">
        <v>1.1517111304225734E-4</v>
      </c>
      <c r="C60" s="54">
        <v>1.8990558766770202E-4</v>
      </c>
      <c r="D60" s="55">
        <v>1.5036938957847846E-6</v>
      </c>
      <c r="E60" s="1">
        <v>2.3569482156480669E-5</v>
      </c>
      <c r="F60" s="56">
        <v>1.5982736253261344E-4</v>
      </c>
      <c r="G60" s="2">
        <v>2.9765555416878055E-4</v>
      </c>
      <c r="H60" s="2">
        <v>-1.4337543683293088E-2</v>
      </c>
      <c r="I60" s="2">
        <v>6.7101451701764944E-2</v>
      </c>
      <c r="J60" s="2">
        <v>3.8415625466288572E-2</v>
      </c>
      <c r="K60" s="2">
        <v>0.10883278558524906</v>
      </c>
      <c r="L60" s="2">
        <v>0.133027780286186</v>
      </c>
      <c r="M60" s="2">
        <v>1</v>
      </c>
      <c r="N60" s="2">
        <v>0.99999999999998279</v>
      </c>
      <c r="O60" s="69"/>
      <c r="R60" s="51" t="str">
        <f t="shared" ref="R60:R66" si="25">A60</f>
        <v>High Yield</v>
      </c>
      <c r="S60" s="52">
        <f t="shared" ref="S60:S66" si="26">D60</f>
        <v>1.5036938957847846E-6</v>
      </c>
      <c r="T60" s="52">
        <f t="shared" ref="T60:T66" si="27">B60-D60</f>
        <v>1.1366741914647256E-4</v>
      </c>
      <c r="U60" s="52">
        <f t="shared" ref="U60:U66" si="28">F60-B60</f>
        <v>4.4656249490356096E-5</v>
      </c>
      <c r="AA60" s="52"/>
      <c r="AB60" s="52"/>
      <c r="AC60" s="52"/>
      <c r="AD60" s="52"/>
      <c r="AF60" s="72"/>
      <c r="AG60" s="72"/>
      <c r="AH60" s="72"/>
      <c r="AJ60" s="52"/>
    </row>
    <row r="61" spans="1:36">
      <c r="A61" s="59" t="str">
        <f t="shared" si="24"/>
        <v>Emerging market debt</v>
      </c>
      <c r="B61" s="1">
        <v>1.3996511757757401E-4</v>
      </c>
      <c r="C61" s="54">
        <v>2.3778051213951715E-4</v>
      </c>
      <c r="D61" s="55">
        <v>8.7780240261453311E-7</v>
      </c>
      <c r="E61" s="1">
        <v>3.141677602817332E-5</v>
      </c>
      <c r="F61" s="56">
        <v>1.630658482256373E-4</v>
      </c>
      <c r="G61" s="2">
        <v>-6.2865079759300072E-3</v>
      </c>
      <c r="H61" s="2">
        <v>-2.8143269649975665E-3</v>
      </c>
      <c r="I61" s="2">
        <v>0.15004617156582878</v>
      </c>
      <c r="J61" s="2">
        <v>0.17431224747245194</v>
      </c>
      <c r="K61" s="2">
        <v>1</v>
      </c>
      <c r="L61" s="2">
        <v>-0.52904504181846634</v>
      </c>
      <c r="M61" s="2">
        <v>-0.17605560926574129</v>
      </c>
      <c r="N61" s="2">
        <v>0.99999999999997002</v>
      </c>
      <c r="O61" s="69"/>
      <c r="R61" s="51" t="str">
        <f t="shared" si="25"/>
        <v>Emerging market debt</v>
      </c>
      <c r="S61" s="52">
        <f t="shared" si="26"/>
        <v>8.7780240261453311E-7</v>
      </c>
      <c r="T61" s="52">
        <f t="shared" si="27"/>
        <v>1.3908731517495949E-4</v>
      </c>
      <c r="U61" s="52">
        <f t="shared" si="28"/>
        <v>2.3100730648063284E-5</v>
      </c>
      <c r="AA61" s="52"/>
      <c r="AB61" s="52"/>
      <c r="AC61" s="52"/>
      <c r="AD61" s="52"/>
      <c r="AF61" s="72"/>
      <c r="AG61" s="72"/>
      <c r="AH61" s="72"/>
      <c r="AJ61" s="52"/>
    </row>
    <row r="62" spans="1:36">
      <c r="A62" s="59" t="str">
        <f t="shared" si="24"/>
        <v>Aandelen ontwikkeld</v>
      </c>
      <c r="B62" s="1">
        <v>1.1907889749625857E-4</v>
      </c>
      <c r="C62" s="54">
        <v>2.196860080908663E-4</v>
      </c>
      <c r="D62" s="55">
        <v>4.1853561834766862E-7</v>
      </c>
      <c r="E62" s="1">
        <v>1.4885361404838464E-5</v>
      </c>
      <c r="F62" s="56">
        <v>1.3800624735666321E-4</v>
      </c>
      <c r="G62" s="2">
        <v>1.5933651096231689E-2</v>
      </c>
      <c r="H62" s="2">
        <v>-5.1971911747160045E-2</v>
      </c>
      <c r="I62" s="2">
        <v>0.11671582583350655</v>
      </c>
      <c r="J62" s="2">
        <v>6.6707662969293868E-2</v>
      </c>
      <c r="K62" s="2">
        <v>0.32432775097754984</v>
      </c>
      <c r="L62" s="2">
        <v>1</v>
      </c>
      <c r="M62" s="2">
        <v>-0.29256720332239722</v>
      </c>
      <c r="N62" s="2">
        <v>0.99999999999995659</v>
      </c>
      <c r="O62" s="69"/>
      <c r="R62" s="51" t="str">
        <f t="shared" si="25"/>
        <v>Aandelen ontwikkeld</v>
      </c>
      <c r="S62" s="52">
        <f t="shared" si="26"/>
        <v>4.1853561834766862E-7</v>
      </c>
      <c r="T62" s="52">
        <f t="shared" si="27"/>
        <v>1.186603618779109E-4</v>
      </c>
      <c r="U62" s="52">
        <f t="shared" si="28"/>
        <v>1.8927349860404634E-5</v>
      </c>
      <c r="AA62" s="52"/>
      <c r="AB62" s="52"/>
      <c r="AC62" s="52"/>
      <c r="AD62" s="52"/>
      <c r="AF62" s="72"/>
      <c r="AG62" s="72"/>
      <c r="AH62" s="72"/>
      <c r="AJ62" s="52"/>
    </row>
    <row r="63" spans="1:36">
      <c r="A63" s="59" t="str">
        <f t="shared" si="24"/>
        <v>Aandelen opkomend</v>
      </c>
      <c r="B63" s="1">
        <v>2.0178712623818352E-4</v>
      </c>
      <c r="C63" s="54">
        <v>3.4825560550620128E-4</v>
      </c>
      <c r="D63" s="55">
        <v>1.4358844056654305E-6</v>
      </c>
      <c r="E63" s="1">
        <v>2.9464135899428092E-5</v>
      </c>
      <c r="F63" s="56">
        <v>2.5436801169973627E-4</v>
      </c>
      <c r="G63" s="2">
        <v>-5.9387975919049464E-2</v>
      </c>
      <c r="H63" s="2">
        <v>9.9204214626178011E-2</v>
      </c>
      <c r="I63" s="2">
        <v>1</v>
      </c>
      <c r="J63" s="2">
        <v>-0.67582025758819109</v>
      </c>
      <c r="K63" s="2">
        <v>-0.33228156586265245</v>
      </c>
      <c r="L63" s="2">
        <v>-0.15770326075064753</v>
      </c>
      <c r="M63" s="2">
        <v>-0.12144427204693037</v>
      </c>
      <c r="N63" s="2">
        <v>1</v>
      </c>
      <c r="O63" s="69"/>
      <c r="R63" s="51" t="str">
        <f t="shared" si="25"/>
        <v>Aandelen opkomend</v>
      </c>
      <c r="S63" s="52">
        <f t="shared" si="26"/>
        <v>1.4358844056654305E-6</v>
      </c>
      <c r="T63" s="52">
        <f t="shared" si="27"/>
        <v>2.003512418325181E-4</v>
      </c>
      <c r="U63" s="52">
        <f t="shared" si="28"/>
        <v>5.2580885461552755E-5</v>
      </c>
      <c r="AA63" s="52"/>
      <c r="AB63" s="52"/>
      <c r="AC63" s="52"/>
      <c r="AD63" s="52"/>
      <c r="AF63" s="72"/>
      <c r="AG63" s="72"/>
      <c r="AH63" s="72"/>
      <c r="AJ63" s="52"/>
    </row>
    <row r="64" spans="1:36">
      <c r="A64" s="59" t="str">
        <f t="shared" si="24"/>
        <v>Commodities</v>
      </c>
      <c r="B64" s="1">
        <v>1.6457394734377062E-4</v>
      </c>
      <c r="C64" s="54">
        <v>2.8407078779711149E-4</v>
      </c>
      <c r="D64" s="55">
        <v>1.3321226260864055E-6</v>
      </c>
      <c r="E64" s="1">
        <v>2.8151879196522536E-5</v>
      </c>
      <c r="F64" s="56">
        <v>1.9954816561015804E-4</v>
      </c>
      <c r="G64" s="2">
        <v>-2.1102183292515494E-4</v>
      </c>
      <c r="H64" s="2">
        <v>-5.6854469618408156E-2</v>
      </c>
      <c r="I64" s="2">
        <v>0.31400516882877294</v>
      </c>
      <c r="J64" s="2">
        <v>1</v>
      </c>
      <c r="K64" s="2">
        <v>-0.53991617216381083</v>
      </c>
      <c r="L64" s="2">
        <v>-0.1508246635689813</v>
      </c>
      <c r="M64" s="2">
        <v>-0.12754069062149981</v>
      </c>
      <c r="N64" s="2">
        <v>0.99999999999995681</v>
      </c>
      <c r="O64" s="69"/>
      <c r="R64" s="51" t="str">
        <f t="shared" si="25"/>
        <v>Commodities</v>
      </c>
      <c r="S64" s="52">
        <f t="shared" si="26"/>
        <v>1.3321226260864055E-6</v>
      </c>
      <c r="T64" s="52">
        <f t="shared" si="27"/>
        <v>1.632418247176842E-4</v>
      </c>
      <c r="U64" s="52">
        <f t="shared" si="28"/>
        <v>3.4974218266387421E-5</v>
      </c>
      <c r="AA64" s="52"/>
      <c r="AB64" s="52"/>
      <c r="AC64" s="52"/>
      <c r="AD64" s="52"/>
      <c r="AF64" s="72"/>
      <c r="AG64" s="72"/>
      <c r="AH64" s="72"/>
      <c r="AJ64" s="52"/>
    </row>
    <row r="65" spans="1:36">
      <c r="A65" s="59" t="str">
        <f t="shared" si="24"/>
        <v>Hedge funds</v>
      </c>
      <c r="B65" s="1">
        <v>4.6995323346260547E-2</v>
      </c>
      <c r="C65" s="54">
        <v>9.1205008507326687E-4</v>
      </c>
      <c r="D65" s="55">
        <v>4.6343412313171933E-2</v>
      </c>
      <c r="E65" s="1">
        <v>4.6995459184316704E-2</v>
      </c>
      <c r="F65" s="56">
        <v>4.7684314173326969E-2</v>
      </c>
      <c r="G65" s="2">
        <v>1</v>
      </c>
      <c r="H65" s="2">
        <v>-0.10351355956090719</v>
      </c>
      <c r="I65" s="2">
        <v>-0.48787216382257548</v>
      </c>
      <c r="J65" s="2">
        <v>-0.2300881019570761</v>
      </c>
      <c r="K65" s="2">
        <v>-0.19522149130237557</v>
      </c>
      <c r="L65" s="2">
        <v>-0.11854223742239386</v>
      </c>
      <c r="M65" s="2">
        <v>-9.4059867900570943E-2</v>
      </c>
      <c r="N65" s="2">
        <v>0.9999999999999799</v>
      </c>
      <c r="O65" s="69"/>
      <c r="R65" s="51" t="str">
        <f t="shared" si="25"/>
        <v>Hedge funds</v>
      </c>
      <c r="S65" s="52">
        <f t="shared" si="26"/>
        <v>4.6343412313171933E-2</v>
      </c>
      <c r="T65" s="52">
        <f t="shared" si="27"/>
        <v>6.5191103308861326E-4</v>
      </c>
      <c r="U65" s="52">
        <f t="shared" si="28"/>
        <v>6.8899082706642273E-4</v>
      </c>
    </row>
    <row r="66" spans="1:36">
      <c r="A66" s="60" t="str">
        <f t="shared" si="24"/>
        <v>Onroerend goed</v>
      </c>
      <c r="B66" s="61">
        <v>4.8545792659740607E-4</v>
      </c>
      <c r="C66" s="62">
        <v>7.2348230574901628E-4</v>
      </c>
      <c r="D66" s="63">
        <v>1.3757128760277902E-5</v>
      </c>
      <c r="E66" s="61">
        <v>1.6005135926225905E-4</v>
      </c>
      <c r="F66" s="64">
        <v>6.6967080514307941E-4</v>
      </c>
      <c r="G66" s="65">
        <v>-0.56722818782002682</v>
      </c>
      <c r="H66" s="65">
        <v>-0.86971240305140141</v>
      </c>
      <c r="I66" s="65">
        <v>-0.55387863096783907</v>
      </c>
      <c r="J66" s="65">
        <v>-0.2557168186810333</v>
      </c>
      <c r="K66" s="65">
        <v>-0.19737312239413446</v>
      </c>
      <c r="L66" s="65">
        <v>-0.11985903121325889</v>
      </c>
      <c r="M66" s="65">
        <v>-9.7356790745146499E-2</v>
      </c>
      <c r="N66" s="65">
        <v>0.99999999999999412</v>
      </c>
      <c r="O66" s="71"/>
      <c r="R66" s="51" t="str">
        <f t="shared" si="25"/>
        <v>Onroerend goed</v>
      </c>
      <c r="S66" s="52">
        <f t="shared" si="26"/>
        <v>1.3757128760277902E-5</v>
      </c>
      <c r="T66" s="52">
        <f t="shared" si="27"/>
        <v>4.7170079783712815E-4</v>
      </c>
      <c r="U66" s="52">
        <f t="shared" si="28"/>
        <v>1.8421287854567334E-4</v>
      </c>
    </row>
    <row r="69" spans="1:36">
      <c r="A69" s="265" t="str">
        <f>Optimalisatie!A12</f>
        <v>Bull case</v>
      </c>
      <c r="B69" s="266" t="s">
        <v>1</v>
      </c>
      <c r="C69" s="267" t="s">
        <v>2</v>
      </c>
      <c r="D69" s="268">
        <v>0.25</v>
      </c>
      <c r="E69" s="269">
        <v>0.5</v>
      </c>
      <c r="F69" s="270">
        <v>0.75</v>
      </c>
      <c r="G69" s="271">
        <v>0.66753431247058015</v>
      </c>
      <c r="H69" s="271">
        <v>0.24563672837196404</v>
      </c>
      <c r="I69" s="271">
        <v>5.342177847528029E-2</v>
      </c>
      <c r="J69" s="271">
        <v>2.1790480705054405E-2</v>
      </c>
      <c r="K69" s="271">
        <v>9.1861519293586769E-3</v>
      </c>
      <c r="L69" s="271">
        <v>2.1639277235500076E-3</v>
      </c>
      <c r="M69" s="271">
        <v>2.6662032421298498E-4</v>
      </c>
      <c r="N69" s="271">
        <v>2.2204460492503131E-16</v>
      </c>
      <c r="O69" s="272">
        <v>1.1102230246251565E-16</v>
      </c>
      <c r="R69" s="51" t="str">
        <f>A69</f>
        <v>Bull case</v>
      </c>
      <c r="S69" s="51"/>
      <c r="T69" s="52"/>
      <c r="U69" s="51"/>
      <c r="AA69" s="52"/>
      <c r="AB69" s="52"/>
      <c r="AC69" s="52"/>
      <c r="AD69" s="52"/>
    </row>
    <row r="70" spans="1:36">
      <c r="A70" s="59" t="str">
        <f>A59</f>
        <v>Nominale matching</v>
      </c>
      <c r="B70" s="1">
        <v>0.74608961540312901</v>
      </c>
      <c r="C70" s="54">
        <v>9.3114708827830035E-3</v>
      </c>
      <c r="D70" s="55">
        <v>0.73950107931281006</v>
      </c>
      <c r="E70" s="1">
        <v>0.74547296611105773</v>
      </c>
      <c r="F70" s="56">
        <v>0.75279802468007473</v>
      </c>
      <c r="G70" s="68">
        <v>-0.25450868900227253</v>
      </c>
      <c r="H70" s="68">
        <v>-0.17804533911270756</v>
      </c>
      <c r="I70" s="68">
        <v>-5.9602189503422741E-2</v>
      </c>
      <c r="J70" s="68">
        <v>0.73276539995129053</v>
      </c>
      <c r="K70" s="68">
        <v>7.1308953848394294E-2</v>
      </c>
      <c r="L70" s="2">
        <v>0.19232446423598062</v>
      </c>
      <c r="M70" s="2">
        <v>1</v>
      </c>
      <c r="N70" s="2">
        <v>0.99999999999994726</v>
      </c>
      <c r="O70" s="69"/>
      <c r="R70" s="51" t="str">
        <f>A70</f>
        <v>Nominale matching</v>
      </c>
      <c r="S70" s="52">
        <f>D70</f>
        <v>0.73950107931281006</v>
      </c>
      <c r="T70" s="52">
        <f>B70-D70</f>
        <v>6.5885360903189527E-3</v>
      </c>
      <c r="U70" s="52">
        <f>F70-B70</f>
        <v>6.7084092769457149E-3</v>
      </c>
      <c r="AA70" s="52"/>
      <c r="AB70" s="52"/>
      <c r="AC70" s="52"/>
      <c r="AD70" s="52"/>
    </row>
    <row r="71" spans="1:36">
      <c r="A71" s="59" t="str">
        <f t="shared" ref="A71:A77" si="29">A60</f>
        <v>High Yield</v>
      </c>
      <c r="B71" s="1">
        <v>3.8670102187155102E-2</v>
      </c>
      <c r="C71" s="54">
        <v>3.2625978233196809E-2</v>
      </c>
      <c r="D71" s="55">
        <v>1.0695709319605546E-2</v>
      </c>
      <c r="E71" s="1">
        <v>3.3085908237937542E-2</v>
      </c>
      <c r="F71" s="56">
        <v>5.9619649323294416E-2</v>
      </c>
      <c r="G71" s="68">
        <v>1</v>
      </c>
      <c r="H71" s="68">
        <v>-0.43959266034299316</v>
      </c>
      <c r="I71" s="68">
        <v>-0.28911686103874201</v>
      </c>
      <c r="J71" s="68">
        <v>-0.4465344119085104</v>
      </c>
      <c r="K71" s="68">
        <v>-7.0909950247883602E-2</v>
      </c>
      <c r="L71" s="2">
        <v>-9.9390352188467812E-2</v>
      </c>
      <c r="M71" s="2">
        <v>0.12399961056784761</v>
      </c>
      <c r="N71" s="2">
        <v>0.99999999999998135</v>
      </c>
      <c r="O71" s="69"/>
      <c r="R71" s="51" t="str">
        <f t="shared" ref="R71:R77" si="30">A71</f>
        <v>High Yield</v>
      </c>
      <c r="S71" s="52">
        <f t="shared" ref="S71:S77" si="31">D71</f>
        <v>1.0695709319605546E-2</v>
      </c>
      <c r="T71" s="52">
        <f t="shared" ref="T71:T77" si="32">B71-D71</f>
        <v>2.7974392867549554E-2</v>
      </c>
      <c r="U71" s="52">
        <f t="shared" ref="U71:U77" si="33">F71-B71</f>
        <v>2.0949547136139314E-2</v>
      </c>
      <c r="AA71" s="52"/>
      <c r="AB71" s="52"/>
      <c r="AC71" s="52"/>
      <c r="AD71" s="52"/>
    </row>
    <row r="72" spans="1:36">
      <c r="A72" s="59" t="str">
        <f t="shared" si="29"/>
        <v>Emerging market debt</v>
      </c>
      <c r="B72" s="1">
        <v>9.4575128233148724E-3</v>
      </c>
      <c r="C72" s="54">
        <v>1.0197784818973536E-2</v>
      </c>
      <c r="D72" s="55">
        <v>1.3516797779218671E-3</v>
      </c>
      <c r="E72" s="1">
        <v>6.209599821887091E-3</v>
      </c>
      <c r="F72" s="56">
        <v>1.461408864270065E-2</v>
      </c>
      <c r="G72" s="68">
        <v>-3.6051627072451589E-2</v>
      </c>
      <c r="H72" s="68">
        <v>-1.3151380315624783E-3</v>
      </c>
      <c r="I72" s="68">
        <v>1</v>
      </c>
      <c r="J72" s="68">
        <v>-0.61341997495140066</v>
      </c>
      <c r="K72" s="68">
        <v>-8.5250927103789134E-2</v>
      </c>
      <c r="L72" s="2">
        <v>-0.11091376379283073</v>
      </c>
      <c r="M72" s="2">
        <v>0.12188341725423044</v>
      </c>
      <c r="N72" s="2">
        <v>0.99999999999998046</v>
      </c>
      <c r="O72" s="69"/>
      <c r="R72" s="51" t="str">
        <f t="shared" si="30"/>
        <v>Emerging market debt</v>
      </c>
      <c r="S72" s="52">
        <f t="shared" si="31"/>
        <v>1.3516797779218671E-3</v>
      </c>
      <c r="T72" s="52">
        <f t="shared" si="32"/>
        <v>8.1058330453930051E-3</v>
      </c>
      <c r="U72" s="52">
        <f t="shared" si="33"/>
        <v>5.156575819385778E-3</v>
      </c>
      <c r="AA72" s="52"/>
      <c r="AB72" s="52"/>
      <c r="AC72" s="52"/>
      <c r="AD72" s="52"/>
    </row>
    <row r="73" spans="1:36">
      <c r="A73" s="59" t="str">
        <f t="shared" si="29"/>
        <v>Aandelen ontwikkeld</v>
      </c>
      <c r="B73" s="1">
        <v>1.5170681197904838E-3</v>
      </c>
      <c r="C73" s="54">
        <v>2.0595617486242968E-3</v>
      </c>
      <c r="D73" s="55">
        <v>9.3306599233297535E-5</v>
      </c>
      <c r="E73" s="1">
        <v>5.757451145404005E-4</v>
      </c>
      <c r="F73" s="56">
        <v>2.2525486697171169E-3</v>
      </c>
      <c r="G73" s="68">
        <v>-4.0143643519462537E-3</v>
      </c>
      <c r="H73" s="68">
        <v>-8.0618751469511626E-3</v>
      </c>
      <c r="I73" s="68">
        <v>1.3937738204898201E-2</v>
      </c>
      <c r="J73" s="68">
        <v>0.10271254541126548</v>
      </c>
      <c r="K73" s="68">
        <v>-2.2928453834207663E-2</v>
      </c>
      <c r="L73" s="2">
        <v>1</v>
      </c>
      <c r="M73" s="2">
        <v>-0.47419916974811482</v>
      </c>
      <c r="N73" s="2">
        <v>0.99999999999999245</v>
      </c>
      <c r="O73" s="69"/>
      <c r="R73" s="51" t="str">
        <f t="shared" si="30"/>
        <v>Aandelen ontwikkeld</v>
      </c>
      <c r="S73" s="52">
        <f t="shared" si="31"/>
        <v>9.3306599233297535E-5</v>
      </c>
      <c r="T73" s="52">
        <f t="shared" si="32"/>
        <v>1.4237615205571863E-3</v>
      </c>
      <c r="U73" s="52">
        <f t="shared" si="33"/>
        <v>7.3548054992663304E-4</v>
      </c>
      <c r="AA73" s="52"/>
      <c r="AB73" s="52"/>
      <c r="AC73" s="52"/>
      <c r="AD73" s="52"/>
    </row>
    <row r="74" spans="1:36">
      <c r="A74" s="59" t="str">
        <f t="shared" si="29"/>
        <v>Aandelen opkomend</v>
      </c>
      <c r="B74" s="1">
        <v>4.0796376315995666E-3</v>
      </c>
      <c r="C74" s="54">
        <v>5.0130587016739003E-3</v>
      </c>
      <c r="D74" s="55">
        <v>4.0910442649008325E-4</v>
      </c>
      <c r="E74" s="1">
        <v>2.333818702471483E-3</v>
      </c>
      <c r="F74" s="56">
        <v>6.0365859814642967E-3</v>
      </c>
      <c r="G74" s="68">
        <v>-6.3182819881687346E-3</v>
      </c>
      <c r="H74" s="68">
        <v>3.0784213097137594E-3</v>
      </c>
      <c r="I74" s="68">
        <v>3.9437685484306005E-2</v>
      </c>
      <c r="J74" s="68">
        <v>1</v>
      </c>
      <c r="K74" s="68">
        <v>-0.70640382585174943</v>
      </c>
      <c r="L74" s="2">
        <v>-0.40110471695245481</v>
      </c>
      <c r="M74" s="2">
        <v>-0.43453417732930993</v>
      </c>
      <c r="N74" s="2">
        <v>1</v>
      </c>
      <c r="O74" s="69"/>
      <c r="R74" s="51" t="str">
        <f t="shared" si="30"/>
        <v>Aandelen opkomend</v>
      </c>
      <c r="S74" s="52">
        <f t="shared" si="31"/>
        <v>4.0910442649008325E-4</v>
      </c>
      <c r="T74" s="52">
        <f t="shared" si="32"/>
        <v>3.6705332051094833E-3</v>
      </c>
      <c r="U74" s="52">
        <f t="shared" si="33"/>
        <v>1.9569483498647301E-3</v>
      </c>
      <c r="AA74" s="52"/>
      <c r="AB74" s="52"/>
      <c r="AC74" s="52"/>
      <c r="AD74" s="52"/>
    </row>
    <row r="75" spans="1:36">
      <c r="A75" s="59" t="str">
        <f t="shared" si="29"/>
        <v>Commodities</v>
      </c>
      <c r="B75" s="1">
        <v>3.63609047702811E-3</v>
      </c>
      <c r="C75" s="54">
        <v>4.3180225178101172E-3</v>
      </c>
      <c r="D75" s="55">
        <v>3.522080270887276E-4</v>
      </c>
      <c r="E75" s="1">
        <v>2.092783029037103E-3</v>
      </c>
      <c r="F75" s="56">
        <v>5.6616384801601903E-3</v>
      </c>
      <c r="G75" s="68">
        <v>-7.7337406093831189E-3</v>
      </c>
      <c r="H75" s="68">
        <v>2.2822110060608204E-3</v>
      </c>
      <c r="I75" s="68">
        <v>2.5624295644979544E-2</v>
      </c>
      <c r="J75" s="68">
        <v>0.44634408686130234</v>
      </c>
      <c r="K75" s="68">
        <v>1</v>
      </c>
      <c r="L75" s="2">
        <v>-0.31838007082917991</v>
      </c>
      <c r="M75" s="2">
        <v>-0.3753746144413424</v>
      </c>
      <c r="N75" s="2">
        <v>0.99999999999999678</v>
      </c>
      <c r="O75" s="69"/>
      <c r="R75" s="51" t="str">
        <f t="shared" si="30"/>
        <v>Commodities</v>
      </c>
      <c r="S75" s="52">
        <f t="shared" si="31"/>
        <v>3.522080270887276E-4</v>
      </c>
      <c r="T75" s="52">
        <f t="shared" si="32"/>
        <v>3.2838824499393823E-3</v>
      </c>
      <c r="U75" s="52">
        <f t="shared" si="33"/>
        <v>2.0255480031320804E-3</v>
      </c>
      <c r="AA75" s="52"/>
      <c r="AB75" s="52"/>
      <c r="AC75" s="52"/>
      <c r="AD75" s="52"/>
    </row>
    <row r="76" spans="1:36">
      <c r="A76" s="59" t="str">
        <f t="shared" si="29"/>
        <v>Hedge funds</v>
      </c>
      <c r="B76" s="1">
        <v>2.3913087934934071E-2</v>
      </c>
      <c r="C76" s="54">
        <v>2.1483449545656393E-2</v>
      </c>
      <c r="D76" s="55">
        <v>5.4075523727971954E-3</v>
      </c>
      <c r="E76" s="1">
        <v>1.9814190620719204E-2</v>
      </c>
      <c r="F76" s="56">
        <v>3.7216226378050096E-2</v>
      </c>
      <c r="G76" s="68">
        <v>9.624424986332869E-2</v>
      </c>
      <c r="H76" s="68">
        <v>1</v>
      </c>
      <c r="I76" s="68">
        <v>-0.29945785145754295</v>
      </c>
      <c r="J76" s="68">
        <v>-0.38610911422686428</v>
      </c>
      <c r="K76" s="68">
        <v>-6.47025127848712E-2</v>
      </c>
      <c r="L76" s="2">
        <v>-7.1753110926593047E-2</v>
      </c>
      <c r="M76" s="2">
        <v>0.17814734772483795</v>
      </c>
      <c r="N76" s="2">
        <v>0.99999999999997846</v>
      </c>
      <c r="O76" s="69"/>
      <c r="R76" s="51" t="str">
        <f t="shared" si="30"/>
        <v>Hedge funds</v>
      </c>
      <c r="S76" s="52">
        <f t="shared" si="31"/>
        <v>5.4075523727971954E-3</v>
      </c>
      <c r="T76" s="52">
        <f t="shared" si="32"/>
        <v>1.8505535562136875E-2</v>
      </c>
      <c r="U76" s="52">
        <f t="shared" si="33"/>
        <v>1.3303138443116026E-2</v>
      </c>
    </row>
    <row r="77" spans="1:36">
      <c r="A77" s="60" t="str">
        <f t="shared" si="29"/>
        <v>Onroerend goed</v>
      </c>
      <c r="B77" s="61">
        <v>0.1726368854230492</v>
      </c>
      <c r="C77" s="62">
        <v>2.6333800929978446E-2</v>
      </c>
      <c r="D77" s="63">
        <v>0.15467638652030202</v>
      </c>
      <c r="E77" s="61">
        <v>0.17291775640241558</v>
      </c>
      <c r="F77" s="64">
        <v>0.19051612228202719</v>
      </c>
      <c r="G77" s="70">
        <v>-0.78761754683910634</v>
      </c>
      <c r="H77" s="70">
        <v>-0.37834561968155977</v>
      </c>
      <c r="I77" s="70">
        <v>-0.43082281733447442</v>
      </c>
      <c r="J77" s="70">
        <v>-0.83575853113707799</v>
      </c>
      <c r="K77" s="70">
        <v>-0.12111328402589204</v>
      </c>
      <c r="L77" s="65">
        <v>-0.19078244954644522</v>
      </c>
      <c r="M77" s="65">
        <v>-0.13992241402809305</v>
      </c>
      <c r="N77" s="65">
        <v>0.99999999999999201</v>
      </c>
      <c r="O77" s="71"/>
      <c r="R77" s="51" t="str">
        <f t="shared" si="30"/>
        <v>Onroerend goed</v>
      </c>
      <c r="S77" s="52">
        <f t="shared" si="31"/>
        <v>0.15467638652030202</v>
      </c>
      <c r="T77" s="52">
        <f t="shared" si="32"/>
        <v>1.7960498902747174E-2</v>
      </c>
      <c r="U77" s="52">
        <f t="shared" si="33"/>
        <v>1.7879236858977993E-2</v>
      </c>
    </row>
    <row r="78" spans="1:36">
      <c r="A78" s="67"/>
      <c r="B78" s="1"/>
      <c r="C78" s="1"/>
      <c r="D78" s="1"/>
      <c r="E78" s="1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36">
      <c r="D79" s="405" t="s">
        <v>64</v>
      </c>
      <c r="E79" s="406"/>
      <c r="F79" s="407"/>
      <c r="G79" s="405" t="s">
        <v>65</v>
      </c>
      <c r="H79" s="406"/>
      <c r="I79" s="406"/>
      <c r="J79" s="406"/>
      <c r="K79" s="406"/>
      <c r="L79" s="406"/>
      <c r="M79" s="406"/>
      <c r="N79" s="406"/>
      <c r="O79" s="407"/>
    </row>
    <row r="80" spans="1:36">
      <c r="A80" s="265" t="str">
        <f>Optimalisatie!A13</f>
        <v>Kansgewogen</v>
      </c>
      <c r="B80" s="266" t="s">
        <v>1</v>
      </c>
      <c r="C80" s="267" t="s">
        <v>2</v>
      </c>
      <c r="D80" s="268">
        <v>0.25</v>
      </c>
      <c r="E80" s="269">
        <v>0.5</v>
      </c>
      <c r="F80" s="270">
        <v>0.75</v>
      </c>
      <c r="G80" s="271">
        <v>0.86528954344036924</v>
      </c>
      <c r="H80" s="271">
        <v>9.1285332117435725E-2</v>
      </c>
      <c r="I80" s="271">
        <v>2.476363321245989E-2</v>
      </c>
      <c r="J80" s="271">
        <v>1.4023180236327759E-2</v>
      </c>
      <c r="K80" s="271">
        <v>3.017565004528433E-3</v>
      </c>
      <c r="L80" s="271">
        <v>1.1490183043190161E-3</v>
      </c>
      <c r="M80" s="271">
        <v>4.7172768456016367E-4</v>
      </c>
      <c r="N80" s="271">
        <v>0</v>
      </c>
      <c r="O80" s="272"/>
      <c r="R80" s="51" t="str">
        <f>A80</f>
        <v>Kansgewogen</v>
      </c>
      <c r="S80" s="51"/>
      <c r="T80" s="52"/>
      <c r="U80" s="51"/>
      <c r="AA80" s="52"/>
      <c r="AB80" s="52"/>
      <c r="AC80" s="52"/>
      <c r="AD80" s="52"/>
      <c r="AF80" s="72"/>
      <c r="AG80" s="72"/>
      <c r="AH80" s="72"/>
      <c r="AJ80" s="52"/>
    </row>
    <row r="81" spans="1:36">
      <c r="A81" s="53" t="str">
        <f>A70</f>
        <v>Nominale matching</v>
      </c>
      <c r="B81" s="284">
        <v>0.50191550106692151</v>
      </c>
      <c r="C81" s="54">
        <v>3.0686115801673245E-2</v>
      </c>
      <c r="D81" s="55">
        <v>0.47802755015757986</v>
      </c>
      <c r="E81" s="1">
        <v>0.49870278239144822</v>
      </c>
      <c r="F81" s="56">
        <v>0.52410879962085555</v>
      </c>
      <c r="G81" s="2">
        <v>-0.38577520617915739</v>
      </c>
      <c r="H81" s="2">
        <v>-0.32024965961361046</v>
      </c>
      <c r="I81" s="2">
        <v>-0.30957655151453378</v>
      </c>
      <c r="J81" s="2">
        <v>-3.3028000023165013E-2</v>
      </c>
      <c r="K81" s="2">
        <v>0.42700503850220373</v>
      </c>
      <c r="L81" s="2">
        <v>1</v>
      </c>
      <c r="M81" s="2">
        <v>-0.17659011640478112</v>
      </c>
      <c r="N81" s="2">
        <v>0.99999999999993894</v>
      </c>
      <c r="O81" s="69"/>
      <c r="R81" s="51" t="str">
        <f>A81</f>
        <v>Nominale matching</v>
      </c>
      <c r="S81" s="52">
        <f>D81</f>
        <v>0.47802755015757986</v>
      </c>
      <c r="T81" s="52">
        <f>B81-D81</f>
        <v>2.3887950909341649E-2</v>
      </c>
      <c r="U81" s="52">
        <f>F81-B81</f>
        <v>2.2193298553934038E-2</v>
      </c>
      <c r="AA81" s="52"/>
      <c r="AB81" s="52"/>
      <c r="AC81" s="52"/>
      <c r="AD81" s="52"/>
      <c r="AF81" s="72"/>
      <c r="AG81" s="72"/>
      <c r="AH81" s="72"/>
      <c r="AJ81" s="52"/>
    </row>
    <row r="82" spans="1:36">
      <c r="A82" s="59" t="str">
        <f t="shared" ref="A82:A88" si="34">A71</f>
        <v>High Yield</v>
      </c>
      <c r="B82" s="284">
        <v>3.5441427473810093E-2</v>
      </c>
      <c r="C82" s="54">
        <v>2.6729509331313836E-2</v>
      </c>
      <c r="D82" s="55">
        <v>1.4124601042672547E-2</v>
      </c>
      <c r="E82" s="1">
        <v>3.0053185866124633E-2</v>
      </c>
      <c r="F82" s="56">
        <v>5.1494662509390353E-2</v>
      </c>
      <c r="G82" s="2">
        <v>-4.3511285095124044E-2</v>
      </c>
      <c r="H82" s="2">
        <v>1</v>
      </c>
      <c r="I82" s="2">
        <v>-0.2514485929606104</v>
      </c>
      <c r="J82" s="2">
        <v>-0.16574085450812262</v>
      </c>
      <c r="K82" s="2">
        <v>-0.13962757740375292</v>
      </c>
      <c r="L82" s="2">
        <v>0.11733365232107408</v>
      </c>
      <c r="M82" s="2">
        <v>-0.13739572433189626</v>
      </c>
      <c r="N82" s="2">
        <v>0.99999999999996936</v>
      </c>
      <c r="O82" s="69"/>
      <c r="R82" s="51" t="str">
        <f t="shared" ref="R82:R88" si="35">A82</f>
        <v>High Yield</v>
      </c>
      <c r="S82" s="52">
        <f t="shared" ref="S82:S88" si="36">D82</f>
        <v>1.4124601042672547E-2</v>
      </c>
      <c r="T82" s="52">
        <f t="shared" ref="T82:T88" si="37">B82-D82</f>
        <v>2.1316826431137546E-2</v>
      </c>
      <c r="U82" s="52">
        <f t="shared" ref="U82:U88" si="38">F82-B82</f>
        <v>1.605323503558026E-2</v>
      </c>
      <c r="AA82" s="52"/>
      <c r="AB82" s="52"/>
      <c r="AC82" s="52"/>
      <c r="AD82" s="52"/>
      <c r="AF82" s="72"/>
      <c r="AG82" s="72"/>
      <c r="AH82" s="72"/>
      <c r="AJ82" s="52"/>
    </row>
    <row r="83" spans="1:36">
      <c r="A83" s="59" t="str">
        <f t="shared" si="34"/>
        <v>Emerging market debt</v>
      </c>
      <c r="B83" s="284">
        <v>0.34834613947489812</v>
      </c>
      <c r="C83" s="54">
        <v>7.5820591479754174E-2</v>
      </c>
      <c r="D83" s="55">
        <v>0.29023525091011454</v>
      </c>
      <c r="E83" s="1">
        <v>0.350376719845861</v>
      </c>
      <c r="F83" s="56">
        <v>0.40096197368779968</v>
      </c>
      <c r="G83" s="2">
        <v>1</v>
      </c>
      <c r="H83" s="2">
        <v>-0.27988153487440903</v>
      </c>
      <c r="I83" s="2">
        <v>-0.28042393596216419</v>
      </c>
      <c r="J83" s="2">
        <v>-0.23274063297116182</v>
      </c>
      <c r="K83" s="2">
        <v>-0.2119249073074444</v>
      </c>
      <c r="L83" s="2">
        <v>3.9442438708388525E-2</v>
      </c>
      <c r="M83" s="2">
        <v>-0.1423534781455926</v>
      </c>
      <c r="N83" s="2">
        <v>0.9999999999999758</v>
      </c>
      <c r="O83" s="69"/>
      <c r="R83" s="51" t="str">
        <f t="shared" si="35"/>
        <v>Emerging market debt</v>
      </c>
      <c r="S83" s="52">
        <f t="shared" si="36"/>
        <v>0.29023525091011454</v>
      </c>
      <c r="T83" s="52">
        <f t="shared" si="37"/>
        <v>5.811088856478358E-2</v>
      </c>
      <c r="U83" s="52">
        <f t="shared" si="38"/>
        <v>5.2615834212901558E-2</v>
      </c>
      <c r="AA83" s="52"/>
      <c r="AB83" s="52"/>
      <c r="AC83" s="52"/>
      <c r="AD83" s="52"/>
      <c r="AF83" s="72"/>
      <c r="AG83" s="72"/>
      <c r="AH83" s="72"/>
      <c r="AJ83" s="52"/>
    </row>
    <row r="84" spans="1:36">
      <c r="A84" s="59" t="str">
        <f t="shared" si="34"/>
        <v>Aandelen ontwikkeld</v>
      </c>
      <c r="B84" s="284">
        <v>1.7742427289872478E-3</v>
      </c>
      <c r="C84" s="54">
        <v>2.0301462070998954E-3</v>
      </c>
      <c r="D84" s="55">
        <v>2.4762226148134479E-4</v>
      </c>
      <c r="E84" s="1">
        <v>1.0543674861416097E-3</v>
      </c>
      <c r="F84" s="56">
        <v>2.471134610176326E-3</v>
      </c>
      <c r="G84" s="2">
        <v>9.4216553281112705E-4</v>
      </c>
      <c r="H84" s="2">
        <v>-6.547033390310833E-3</v>
      </c>
      <c r="I84" s="2">
        <v>-8.6267735338315249E-3</v>
      </c>
      <c r="J84" s="2">
        <v>3.2893512837471817E-4</v>
      </c>
      <c r="K84" s="2">
        <v>4.3839153217198022E-2</v>
      </c>
      <c r="L84" s="2">
        <v>3.1333906535777355E-2</v>
      </c>
      <c r="M84" s="2">
        <v>1</v>
      </c>
      <c r="N84" s="2">
        <v>0.999999999999866</v>
      </c>
      <c r="O84" s="69"/>
      <c r="R84" s="51" t="str">
        <f t="shared" si="35"/>
        <v>Aandelen ontwikkeld</v>
      </c>
      <c r="S84" s="52">
        <f t="shared" si="36"/>
        <v>2.4762226148134479E-4</v>
      </c>
      <c r="T84" s="52">
        <f t="shared" si="37"/>
        <v>1.5266204675059031E-3</v>
      </c>
      <c r="U84" s="52">
        <f t="shared" si="38"/>
        <v>6.9689188118907813E-4</v>
      </c>
      <c r="AA84" s="52"/>
      <c r="AB84" s="52"/>
      <c r="AC84" s="52"/>
      <c r="AD84" s="52"/>
      <c r="AF84" s="72"/>
      <c r="AG84" s="72"/>
      <c r="AH84" s="72"/>
      <c r="AJ84" s="52"/>
    </row>
    <row r="85" spans="1:36">
      <c r="A85" s="59" t="str">
        <f t="shared" si="34"/>
        <v>Aandelen opkomend</v>
      </c>
      <c r="B85" s="284">
        <v>7.7712101707215292E-2</v>
      </c>
      <c r="C85" s="54">
        <v>4.539989567013105E-2</v>
      </c>
      <c r="D85" s="55">
        <v>4.1023522190379344E-2</v>
      </c>
      <c r="E85" s="1">
        <v>7.5230596810583625E-2</v>
      </c>
      <c r="F85" s="56">
        <v>0.11217464176247241</v>
      </c>
      <c r="G85" s="2">
        <v>-0.58592319105666302</v>
      </c>
      <c r="H85" s="2">
        <v>-0.34134267377501704</v>
      </c>
      <c r="I85" s="2">
        <v>-0.23767518799477649</v>
      </c>
      <c r="J85" s="2">
        <v>-0.36411663750046125</v>
      </c>
      <c r="K85" s="2">
        <v>-0.63337996088759763</v>
      </c>
      <c r="L85" s="2">
        <v>-0.59767072297090007</v>
      </c>
      <c r="M85" s="2">
        <v>-0.11823280003347268</v>
      </c>
      <c r="N85" s="2">
        <v>1</v>
      </c>
      <c r="O85" s="69"/>
      <c r="R85" s="51" t="str">
        <f t="shared" si="35"/>
        <v>Aandelen opkomend</v>
      </c>
      <c r="S85" s="52">
        <f t="shared" si="36"/>
        <v>4.1023522190379344E-2</v>
      </c>
      <c r="T85" s="52">
        <f t="shared" si="37"/>
        <v>3.6688579516835948E-2</v>
      </c>
      <c r="U85" s="52">
        <f t="shared" si="38"/>
        <v>3.4462540055257118E-2</v>
      </c>
      <c r="AA85" s="52"/>
      <c r="AB85" s="52"/>
      <c r="AC85" s="52"/>
      <c r="AD85" s="52"/>
      <c r="AF85" s="72"/>
      <c r="AG85" s="72"/>
      <c r="AH85" s="72"/>
      <c r="AJ85" s="52"/>
    </row>
    <row r="86" spans="1:36">
      <c r="A86" s="59" t="str">
        <f t="shared" si="34"/>
        <v>Commodities</v>
      </c>
      <c r="B86" s="284">
        <v>4.4679371515441444E-3</v>
      </c>
      <c r="C86" s="54">
        <v>4.5293431624538307E-3</v>
      </c>
      <c r="D86" s="55">
        <v>1.0937254290032804E-3</v>
      </c>
      <c r="E86" s="1">
        <v>2.9846188625897458E-3</v>
      </c>
      <c r="F86" s="56">
        <v>6.4083055832607639E-3</v>
      </c>
      <c r="G86" s="2">
        <v>1.3349492864623605E-3</v>
      </c>
      <c r="H86" s="2">
        <v>-1.2817864381418412E-2</v>
      </c>
      <c r="I86" s="2">
        <v>1.1734165628606089E-2</v>
      </c>
      <c r="J86" s="2">
        <v>7.5909496810147678E-2</v>
      </c>
      <c r="K86" s="2">
        <v>1</v>
      </c>
      <c r="L86" s="2">
        <v>-0.7752276812971185</v>
      </c>
      <c r="M86" s="2">
        <v>-0.15709465745395396</v>
      </c>
      <c r="N86" s="2">
        <v>0.99999999999997014</v>
      </c>
      <c r="O86" s="69"/>
      <c r="R86" s="51" t="str">
        <f t="shared" si="35"/>
        <v>Commodities</v>
      </c>
      <c r="S86" s="52">
        <f t="shared" si="36"/>
        <v>1.0937254290032804E-3</v>
      </c>
      <c r="T86" s="52">
        <f t="shared" si="37"/>
        <v>3.3742117225408642E-3</v>
      </c>
      <c r="U86" s="52">
        <f t="shared" si="38"/>
        <v>1.9403684317166195E-3</v>
      </c>
      <c r="AA86" s="52"/>
      <c r="AB86" s="52"/>
      <c r="AC86" s="52"/>
      <c r="AD86" s="52"/>
      <c r="AF86" s="72"/>
      <c r="AG86" s="72"/>
      <c r="AH86" s="72"/>
      <c r="AJ86" s="52"/>
    </row>
    <row r="87" spans="1:36">
      <c r="A87" s="59" t="str">
        <f t="shared" si="34"/>
        <v>Hedge funds</v>
      </c>
      <c r="B87" s="284">
        <v>1.8928757373420063E-2</v>
      </c>
      <c r="C87" s="54">
        <v>1.4002208634684146E-2</v>
      </c>
      <c r="D87" s="55">
        <v>7.9837615273268166E-3</v>
      </c>
      <c r="E87" s="1">
        <v>1.6323961313112714E-2</v>
      </c>
      <c r="F87" s="56">
        <v>2.6885356359949202E-2</v>
      </c>
      <c r="G87" s="2">
        <v>1.0612847431632122E-2</v>
      </c>
      <c r="H87" s="2">
        <v>-4.5850579969246132E-3</v>
      </c>
      <c r="I87" s="2">
        <v>1</v>
      </c>
      <c r="J87" s="2">
        <v>-0.28061230693560457</v>
      </c>
      <c r="K87" s="2">
        <v>-9.4487018561116839E-2</v>
      </c>
      <c r="L87" s="2">
        <v>0.22014358663141739</v>
      </c>
      <c r="M87" s="2">
        <v>-0.1367648839756021</v>
      </c>
      <c r="N87" s="2">
        <v>0.99999999999996492</v>
      </c>
      <c r="O87" s="69"/>
      <c r="R87" s="51" t="str">
        <f t="shared" si="35"/>
        <v>Hedge funds</v>
      </c>
      <c r="S87" s="52">
        <f t="shared" si="36"/>
        <v>7.9837615273268166E-3</v>
      </c>
      <c r="T87" s="52">
        <f t="shared" si="37"/>
        <v>1.0944995846093247E-2</v>
      </c>
      <c r="U87" s="52">
        <f t="shared" si="38"/>
        <v>7.9565989865291384E-3</v>
      </c>
    </row>
    <row r="88" spans="1:36">
      <c r="A88" s="60" t="str">
        <f t="shared" si="34"/>
        <v>Onroerend goed</v>
      </c>
      <c r="B88" s="285">
        <v>1.1413893023203357E-2</v>
      </c>
      <c r="C88" s="62">
        <v>1.0497782917688893E-2</v>
      </c>
      <c r="D88" s="63">
        <v>3.5267526171440127E-3</v>
      </c>
      <c r="E88" s="61">
        <v>8.1802551762304131E-3</v>
      </c>
      <c r="F88" s="64">
        <v>1.6393160848881254E-2</v>
      </c>
      <c r="G88" s="65">
        <v>2.3197200800382212E-3</v>
      </c>
      <c r="H88" s="65">
        <v>-3.4576175968308205E-2</v>
      </c>
      <c r="I88" s="65">
        <v>7.6016876337313299E-2</v>
      </c>
      <c r="J88" s="65">
        <v>1</v>
      </c>
      <c r="K88" s="65">
        <v>-0.39142472755945101</v>
      </c>
      <c r="L88" s="65">
        <v>-3.5355179928585452E-2</v>
      </c>
      <c r="M88" s="65">
        <v>-0.13156833965459955</v>
      </c>
      <c r="N88" s="65">
        <v>0.99999999999997258</v>
      </c>
      <c r="O88" s="71"/>
      <c r="R88" s="51" t="str">
        <f t="shared" si="35"/>
        <v>Onroerend goed</v>
      </c>
      <c r="S88" s="52">
        <f t="shared" si="36"/>
        <v>3.5267526171440127E-3</v>
      </c>
      <c r="T88" s="52">
        <f t="shared" si="37"/>
        <v>7.887140406059345E-3</v>
      </c>
      <c r="U88" s="52">
        <f t="shared" si="38"/>
        <v>4.9792678256778966E-3</v>
      </c>
    </row>
  </sheetData>
  <mergeCells count="14">
    <mergeCell ref="D79:F79"/>
    <mergeCell ref="G79:O79"/>
    <mergeCell ref="D2:F2"/>
    <mergeCell ref="G2:O2"/>
    <mergeCell ref="D13:F13"/>
    <mergeCell ref="G13:O13"/>
    <mergeCell ref="D24:F24"/>
    <mergeCell ref="G24:O24"/>
    <mergeCell ref="D35:F35"/>
    <mergeCell ref="G35:O35"/>
    <mergeCell ref="D46:F46"/>
    <mergeCell ref="G46:O46"/>
    <mergeCell ref="D57:F57"/>
    <mergeCell ref="G57:O5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A121"/>
  <sheetViews>
    <sheetView topLeftCell="F60" workbookViewId="0">
      <selection activeCell="A4" sqref="A4:A1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8" t="s">
        <v>90</v>
      </c>
    </row>
    <row r="2" spans="1:23">
      <c r="A2" s="49"/>
      <c r="D2" s="405" t="s">
        <v>64</v>
      </c>
      <c r="E2" s="406"/>
      <c r="F2" s="407"/>
      <c r="G2" s="405" t="s">
        <v>65</v>
      </c>
      <c r="H2" s="406"/>
      <c r="I2" s="406"/>
      <c r="J2" s="406"/>
      <c r="K2" s="406"/>
      <c r="L2" s="406"/>
      <c r="M2" s="406"/>
      <c r="N2" s="407"/>
    </row>
    <row r="3" spans="1:23">
      <c r="A3" s="265" t="str">
        <f>'Samenvatting mixen'!A3</f>
        <v>Evenwicht</v>
      </c>
      <c r="B3" s="266" t="s">
        <v>67</v>
      </c>
      <c r="C3" s="267" t="s">
        <v>2</v>
      </c>
      <c r="D3" s="268">
        <v>0.25</v>
      </c>
      <c r="E3" s="269">
        <v>0.5</v>
      </c>
      <c r="F3" s="270">
        <v>0.75</v>
      </c>
      <c r="G3" s="271">
        <v>0.41887044195054779</v>
      </c>
      <c r="H3" s="271">
        <v>0.25127169828198925</v>
      </c>
      <c r="I3" s="271">
        <v>0.159207924410668</v>
      </c>
      <c r="J3" s="271">
        <v>9.4486824330967112E-2</v>
      </c>
      <c r="K3" s="271">
        <v>5.4489881276797547E-2</v>
      </c>
      <c r="L3" s="271">
        <v>2.1673229749036182E-2</v>
      </c>
      <c r="M3" s="271">
        <v>0</v>
      </c>
      <c r="N3" s="271"/>
      <c r="O3" s="272"/>
      <c r="Q3" s="51" t="str">
        <f>A3</f>
        <v>Evenwicht</v>
      </c>
    </row>
    <row r="4" spans="1:23">
      <c r="A4" s="53" t="str">
        <f>+'Samenvatting mixen'!A5</f>
        <v>High Yield</v>
      </c>
      <c r="B4" s="117">
        <v>0.18560738267931998</v>
      </c>
      <c r="C4" s="118">
        <v>0.1014263515304879</v>
      </c>
      <c r="D4" s="119">
        <v>8.1556677787905998E-2</v>
      </c>
      <c r="E4" s="117">
        <v>0.17617095733655858</v>
      </c>
      <c r="F4" s="120">
        <v>0.29480067212677252</v>
      </c>
      <c r="G4" s="2">
        <v>1</v>
      </c>
      <c r="H4" s="2">
        <v>-0.61681812466933916</v>
      </c>
      <c r="I4" s="2">
        <v>-0.25015846080210341</v>
      </c>
      <c r="J4" s="2">
        <v>-0.34106807038456854</v>
      </c>
      <c r="K4" s="2">
        <v>-0.22657343140169645</v>
      </c>
      <c r="L4" s="2">
        <v>-0.17031157914968334</v>
      </c>
      <c r="M4" s="2">
        <v>0.99999999999999922</v>
      </c>
      <c r="N4" s="57"/>
      <c r="O4" s="72"/>
      <c r="Q4" s="72" t="str">
        <f>A4</f>
        <v>High Yield</v>
      </c>
      <c r="R4" s="72">
        <f>D4</f>
        <v>8.1556677787905998E-2</v>
      </c>
      <c r="S4" s="52">
        <f>B4-D4</f>
        <v>0.10405070489141398</v>
      </c>
      <c r="T4" s="52">
        <f>F4-B4</f>
        <v>0.10919328944745255</v>
      </c>
      <c r="U4" s="52"/>
      <c r="V4" s="52"/>
      <c r="W4" s="52"/>
    </row>
    <row r="5" spans="1:23">
      <c r="A5" s="59" t="str">
        <f>+'Samenvatting mixen'!A6</f>
        <v>Emerging market debt</v>
      </c>
      <c r="B5" s="117">
        <v>0.18870178087762768</v>
      </c>
      <c r="C5" s="118">
        <v>9.987275081377113E-2</v>
      </c>
      <c r="D5" s="119">
        <v>8.5628462959659896E-2</v>
      </c>
      <c r="E5" s="117">
        <v>0.17904459154648183</v>
      </c>
      <c r="F5" s="120">
        <v>0.29417430387570254</v>
      </c>
      <c r="G5" s="2">
        <v>-0.97037967098273925</v>
      </c>
      <c r="H5" s="2">
        <v>-0.63232534623058823</v>
      </c>
      <c r="I5" s="2">
        <v>-0.24562549317905638</v>
      </c>
      <c r="J5" s="2">
        <v>-0.40110204188732507</v>
      </c>
      <c r="K5" s="2">
        <v>-0.18260522131279835</v>
      </c>
      <c r="L5" s="2">
        <v>-0.18289313071057811</v>
      </c>
      <c r="M5" s="2">
        <v>0.99999999999999889</v>
      </c>
      <c r="N5" s="57"/>
      <c r="O5" s="72"/>
      <c r="Q5" s="72" t="str">
        <f t="shared" ref="Q5:Q10" si="0">A5</f>
        <v>Emerging market debt</v>
      </c>
      <c r="R5" s="72">
        <f t="shared" ref="R5:R10" si="1">D5</f>
        <v>8.5628462959659896E-2</v>
      </c>
      <c r="S5" s="52">
        <f t="shared" ref="S5:S10" si="2">B5-D5</f>
        <v>0.10307331791796778</v>
      </c>
      <c r="T5" s="52">
        <f t="shared" ref="T5:T10" si="3">F5-B5</f>
        <v>0.10547252299807486</v>
      </c>
      <c r="U5" s="52"/>
      <c r="V5" s="52"/>
      <c r="W5" s="52"/>
    </row>
    <row r="6" spans="1:23">
      <c r="A6" s="59" t="str">
        <f>+'Samenvatting mixen'!A7</f>
        <v>Aandelen ontwikkeld</v>
      </c>
      <c r="B6" s="117">
        <v>0.20991629677166745</v>
      </c>
      <c r="C6" s="118">
        <v>6.0811553409452844E-2</v>
      </c>
      <c r="D6" s="119">
        <v>0.14847929678826829</v>
      </c>
      <c r="E6" s="117">
        <v>0.20364522452251105</v>
      </c>
      <c r="F6" s="120">
        <v>0.27509270098818345</v>
      </c>
      <c r="G6" s="2">
        <v>-3.5039447633036069E-2</v>
      </c>
      <c r="H6" s="2">
        <v>-0.50995403659055627</v>
      </c>
      <c r="I6" s="2">
        <v>9.4261831633494469E-2</v>
      </c>
      <c r="J6" s="2">
        <v>1</v>
      </c>
      <c r="K6" s="2">
        <v>9.6719231262422642E-2</v>
      </c>
      <c r="L6" s="2">
        <v>-0.11362897136578509</v>
      </c>
      <c r="M6" s="2">
        <v>0.99999999999999989</v>
      </c>
      <c r="N6" s="57"/>
      <c r="O6" s="72"/>
      <c r="Q6" s="72" t="str">
        <f t="shared" si="0"/>
        <v>Aandelen ontwikkeld</v>
      </c>
      <c r="R6" s="72">
        <f t="shared" si="1"/>
        <v>0.14847929678826829</v>
      </c>
      <c r="S6" s="52">
        <f t="shared" si="2"/>
        <v>6.143699998339916E-2</v>
      </c>
      <c r="T6" s="52">
        <f t="shared" si="3"/>
        <v>6.5176404216515993E-2</v>
      </c>
      <c r="U6" s="52"/>
      <c r="V6" s="52"/>
      <c r="W6" s="52"/>
    </row>
    <row r="7" spans="1:23">
      <c r="A7" s="59" t="str">
        <f>+'Samenvatting mixen'!A8</f>
        <v>Aandelen opkomend</v>
      </c>
      <c r="B7" s="117">
        <v>0.11232651371166681</v>
      </c>
      <c r="C7" s="118">
        <v>4.5796542589879898E-2</v>
      </c>
      <c r="D7" s="119">
        <v>6.3494955772804243E-2</v>
      </c>
      <c r="E7" s="117">
        <v>0.11347727612351233</v>
      </c>
      <c r="F7" s="120">
        <v>0.15931734809858045</v>
      </c>
      <c r="G7" s="2">
        <v>4.3287659352154471E-2</v>
      </c>
      <c r="H7" s="2">
        <v>0.26396315374115731</v>
      </c>
      <c r="I7" s="2">
        <v>0.18217908610664674</v>
      </c>
      <c r="J7" s="2">
        <v>-0.2553312347269982</v>
      </c>
      <c r="K7" s="2">
        <v>1</v>
      </c>
      <c r="L7" s="2">
        <v>-0.21050705533918188</v>
      </c>
      <c r="M7" s="2">
        <v>1</v>
      </c>
      <c r="N7" s="57"/>
      <c r="O7" s="72"/>
      <c r="Q7" s="72" t="str">
        <f t="shared" si="0"/>
        <v>Aandelen opkomend</v>
      </c>
      <c r="R7" s="72">
        <f t="shared" si="1"/>
        <v>6.3494955772804243E-2</v>
      </c>
      <c r="S7" s="52">
        <f t="shared" si="2"/>
        <v>4.8831557938862569E-2</v>
      </c>
      <c r="T7" s="52">
        <f t="shared" si="3"/>
        <v>4.6990834386913635E-2</v>
      </c>
      <c r="U7" s="52"/>
      <c r="V7" s="52"/>
      <c r="W7" s="52"/>
    </row>
    <row r="8" spans="1:23">
      <c r="A8" s="59" t="str">
        <f>+'Samenvatting mixen'!A9</f>
        <v>Commodities</v>
      </c>
      <c r="B8" s="117">
        <v>5.0290982683841856E-2</v>
      </c>
      <c r="C8" s="118">
        <v>2.6695193020248406E-2</v>
      </c>
      <c r="D8" s="119">
        <v>2.1952965959462358E-2</v>
      </c>
      <c r="E8" s="117">
        <v>5.0226382719528249E-2</v>
      </c>
      <c r="F8" s="120">
        <v>7.8553624489088369E-2</v>
      </c>
      <c r="G8" s="2">
        <v>-6.9078973855051838E-3</v>
      </c>
      <c r="H8" s="2">
        <v>1.104988651476466E-2</v>
      </c>
      <c r="I8" s="2">
        <v>1.3210338472625814E-2</v>
      </c>
      <c r="J8" s="2">
        <v>-6.4309584627198851E-2</v>
      </c>
      <c r="K8" s="2">
        <v>3.1069310323943115E-2</v>
      </c>
      <c r="L8" s="2">
        <v>1</v>
      </c>
      <c r="M8" s="2">
        <v>0.99999999999999933</v>
      </c>
      <c r="N8" s="57"/>
      <c r="O8" s="72"/>
      <c r="Q8" s="72" t="str">
        <f t="shared" si="0"/>
        <v>Commodities</v>
      </c>
      <c r="R8" s="72">
        <f t="shared" si="1"/>
        <v>2.1952965959462358E-2</v>
      </c>
      <c r="S8" s="52">
        <f t="shared" si="2"/>
        <v>2.8338016724379498E-2</v>
      </c>
      <c r="T8" s="52">
        <f t="shared" si="3"/>
        <v>2.8262641805246513E-2</v>
      </c>
      <c r="U8" s="52"/>
      <c r="V8" s="52"/>
      <c r="W8" s="52"/>
    </row>
    <row r="9" spans="1:23">
      <c r="A9" s="59" t="str">
        <f>+'Samenvatting mixen'!A10</f>
        <v>Hedge funds</v>
      </c>
      <c r="B9" s="117">
        <v>0.11895102467716824</v>
      </c>
      <c r="C9" s="118">
        <v>6.8515607385538815E-2</v>
      </c>
      <c r="D9" s="119">
        <v>4.6045266028692695E-2</v>
      </c>
      <c r="E9" s="117">
        <v>0.11027152373207998</v>
      </c>
      <c r="F9" s="120">
        <v>0.19364697428404989</v>
      </c>
      <c r="G9" s="2">
        <v>-9.6228605590614417E-3</v>
      </c>
      <c r="H9" s="2">
        <v>0.484084467234563</v>
      </c>
      <c r="I9" s="2">
        <v>1</v>
      </c>
      <c r="J9" s="2">
        <v>-0.10127200705532187</v>
      </c>
      <c r="K9" s="2">
        <v>-0.48148439144100957</v>
      </c>
      <c r="L9" s="2">
        <v>-0.17159921310295842</v>
      </c>
      <c r="M9" s="2">
        <v>0.99999999999999911</v>
      </c>
      <c r="N9" s="57"/>
      <c r="O9" s="72"/>
      <c r="Q9" s="72" t="str">
        <f t="shared" si="0"/>
        <v>Hedge funds</v>
      </c>
      <c r="R9" s="72">
        <f t="shared" si="1"/>
        <v>4.6045266028692695E-2</v>
      </c>
      <c r="S9" s="52">
        <f t="shared" si="2"/>
        <v>7.2905758648475538E-2</v>
      </c>
      <c r="T9" s="52">
        <f t="shared" si="3"/>
        <v>7.4695949606881654E-2</v>
      </c>
      <c r="U9" s="52"/>
      <c r="V9" s="52"/>
      <c r="W9" s="52"/>
    </row>
    <row r="10" spans="1:23">
      <c r="A10" s="60" t="str">
        <f>+'Samenvatting mixen'!A11</f>
        <v>Onroerend goed</v>
      </c>
      <c r="B10" s="121">
        <v>0.13420601859870829</v>
      </c>
      <c r="C10" s="122">
        <v>7.9597681743261026E-2</v>
      </c>
      <c r="D10" s="123">
        <v>4.943906484325794E-2</v>
      </c>
      <c r="E10" s="121">
        <v>0.12530893849297697</v>
      </c>
      <c r="F10" s="124">
        <v>0.21940585304118321</v>
      </c>
      <c r="G10" s="65">
        <v>-2.1337782791812688E-2</v>
      </c>
      <c r="H10" s="65">
        <v>1</v>
      </c>
      <c r="I10" s="65">
        <v>-0.79386730223160706</v>
      </c>
      <c r="J10" s="65">
        <v>0.16308293868141197</v>
      </c>
      <c r="K10" s="65">
        <v>-0.23712549743086234</v>
      </c>
      <c r="L10" s="65">
        <v>-0.15106005033181291</v>
      </c>
      <c r="M10" s="65">
        <v>0.99999999999999911</v>
      </c>
      <c r="N10" s="66"/>
      <c r="O10" s="72"/>
      <c r="Q10" s="72" t="str">
        <f t="shared" si="0"/>
        <v>Onroerend goed</v>
      </c>
      <c r="R10" s="72">
        <f t="shared" si="1"/>
        <v>4.943906484325794E-2</v>
      </c>
      <c r="S10" s="52">
        <f t="shared" si="2"/>
        <v>8.4766953755450347E-2</v>
      </c>
      <c r="T10" s="52">
        <f t="shared" si="3"/>
        <v>8.519983444247492E-2</v>
      </c>
      <c r="U10" s="52"/>
      <c r="V10" s="52"/>
      <c r="W10" s="52"/>
    </row>
    <row r="12" spans="1:23">
      <c r="A12" s="48" t="s">
        <v>68</v>
      </c>
      <c r="D12" s="405" t="s">
        <v>64</v>
      </c>
      <c r="E12" s="406"/>
      <c r="F12" s="407"/>
      <c r="G12" s="405" t="s">
        <v>65</v>
      </c>
      <c r="H12" s="406"/>
      <c r="I12" s="406"/>
      <c r="J12" s="406"/>
      <c r="K12" s="406"/>
      <c r="L12" s="406"/>
      <c r="M12" s="406"/>
      <c r="N12" s="407"/>
      <c r="T12" s="48"/>
      <c r="U12" s="48"/>
    </row>
    <row r="13" spans="1:23">
      <c r="A13" s="265" t="str">
        <f>'Samenvatting mixen'!A14</f>
        <v>Base Case</v>
      </c>
      <c r="B13" s="266" t="s">
        <v>1</v>
      </c>
      <c r="C13" s="267" t="s">
        <v>2</v>
      </c>
      <c r="D13" s="268">
        <v>0.25</v>
      </c>
      <c r="E13" s="269">
        <v>0.5</v>
      </c>
      <c r="F13" s="270">
        <v>0.75</v>
      </c>
      <c r="G13" s="271">
        <v>0.8112954795745676</v>
      </c>
      <c r="H13" s="271">
        <v>0.12925254548946052</v>
      </c>
      <c r="I13" s="271">
        <v>3.5629258856645363E-2</v>
      </c>
      <c r="J13" s="271">
        <v>1.962366414842931E-2</v>
      </c>
      <c r="K13" s="271">
        <v>3.5263691243579975E-3</v>
      </c>
      <c r="L13" s="271">
        <v>6.7268280653653978E-4</v>
      </c>
      <c r="M13" s="271">
        <v>1.1102230246251565E-16</v>
      </c>
      <c r="N13" s="271"/>
      <c r="O13" s="272"/>
      <c r="Q13" s="51" t="str">
        <f>A13</f>
        <v>Base Case</v>
      </c>
    </row>
    <row r="14" spans="1:23">
      <c r="A14" s="53" t="str">
        <f>A4</f>
        <v>High Yield</v>
      </c>
      <c r="B14" s="117">
        <v>7.0965422361993755E-2</v>
      </c>
      <c r="C14" s="118">
        <v>5.2608396737447563E-2</v>
      </c>
      <c r="D14" s="119">
        <v>1.7689981899054359E-2</v>
      </c>
      <c r="E14" s="117">
        <v>6.2020307807364457E-2</v>
      </c>
      <c r="F14" s="120">
        <v>0.1244264312897251</v>
      </c>
      <c r="G14" s="2">
        <v>-0.11600897974362401</v>
      </c>
      <c r="H14" s="2">
        <v>1</v>
      </c>
      <c r="I14" s="2">
        <v>-0.36515839676872403</v>
      </c>
      <c r="J14" s="2">
        <v>-0.18957885839482991</v>
      </c>
      <c r="K14" s="2">
        <v>-0.17845722764985408</v>
      </c>
      <c r="L14" s="2">
        <v>-0.15651518410837589</v>
      </c>
      <c r="M14" s="2">
        <v>0.99999999999999722</v>
      </c>
      <c r="N14" s="57"/>
      <c r="Q14" s="51" t="str">
        <f t="shared" ref="Q14:Q20" si="4">A14</f>
        <v>High Yield</v>
      </c>
      <c r="R14" s="72">
        <f>D14</f>
        <v>1.7689981899054359E-2</v>
      </c>
      <c r="S14" s="52">
        <f>B14-D14</f>
        <v>5.3275440462939395E-2</v>
      </c>
      <c r="T14" s="52">
        <f>F14-B14</f>
        <v>5.3461008927731341E-2</v>
      </c>
      <c r="U14" s="52"/>
    </row>
    <row r="15" spans="1:23">
      <c r="A15" s="59" t="str">
        <f t="shared" ref="A15:A20" si="5">A5</f>
        <v>Emerging market debt</v>
      </c>
      <c r="B15" s="117">
        <v>0.69339038784625162</v>
      </c>
      <c r="C15" s="118">
        <v>0.1155697372774777</v>
      </c>
      <c r="D15" s="119">
        <v>0.56757357536898656</v>
      </c>
      <c r="E15" s="117">
        <v>0.70514605807808672</v>
      </c>
      <c r="F15" s="120">
        <v>0.81570755829310448</v>
      </c>
      <c r="G15" s="2">
        <v>1</v>
      </c>
      <c r="H15" s="2">
        <v>-0.37399969296731178</v>
      </c>
      <c r="I15" s="2">
        <v>-0.39063753251030814</v>
      </c>
      <c r="J15" s="2">
        <v>-0.22733661269606992</v>
      </c>
      <c r="K15" s="2">
        <v>-0.19274486734554125</v>
      </c>
      <c r="L15" s="2">
        <v>-0.16446529697650858</v>
      </c>
      <c r="M15" s="2">
        <v>1</v>
      </c>
      <c r="N15" s="57"/>
      <c r="Q15" s="51" t="str">
        <f t="shared" si="4"/>
        <v>Emerging market debt</v>
      </c>
      <c r="R15" s="72">
        <f t="shared" ref="R15:R20" si="6">D15</f>
        <v>0.56757357536898656</v>
      </c>
      <c r="S15" s="52">
        <f t="shared" ref="S15:S20" si="7">B15-D15</f>
        <v>0.12581681247726506</v>
      </c>
      <c r="T15" s="52">
        <f t="shared" ref="T15:T20" si="8">F15-B15</f>
        <v>0.12231717044685286</v>
      </c>
      <c r="U15" s="52"/>
    </row>
    <row r="16" spans="1:23">
      <c r="A16" s="59" t="str">
        <f t="shared" si="5"/>
        <v>Aandelen ontwikkeld</v>
      </c>
      <c r="B16" s="117">
        <v>3.5718216007240072E-3</v>
      </c>
      <c r="C16" s="118">
        <v>4.0592747255040421E-3</v>
      </c>
      <c r="D16" s="119">
        <v>1.9234270153773903E-4</v>
      </c>
      <c r="E16" s="117">
        <v>2.1784555296845681E-3</v>
      </c>
      <c r="F16" s="120">
        <v>7.3622196998834044E-3</v>
      </c>
      <c r="G16" s="2">
        <v>4.039589423087112E-4</v>
      </c>
      <c r="H16" s="2">
        <v>-7.3326632831725233E-3</v>
      </c>
      <c r="I16" s="2">
        <v>-8.8718982962021353E-3</v>
      </c>
      <c r="J16" s="2">
        <v>1.4073256459900983E-3</v>
      </c>
      <c r="K16" s="2">
        <v>4.0138944419814207E-2</v>
      </c>
      <c r="L16" s="2">
        <v>1</v>
      </c>
      <c r="M16" s="2">
        <v>0.99999999999988631</v>
      </c>
      <c r="N16" s="57"/>
      <c r="Q16" s="51" t="str">
        <f t="shared" si="4"/>
        <v>Aandelen ontwikkeld</v>
      </c>
      <c r="R16" s="72">
        <f t="shared" si="6"/>
        <v>1.9234270153773903E-4</v>
      </c>
      <c r="S16" s="52">
        <f t="shared" si="7"/>
        <v>3.379478899186268E-3</v>
      </c>
      <c r="T16" s="52">
        <f t="shared" si="8"/>
        <v>3.7903980991593972E-3</v>
      </c>
      <c r="U16" s="52"/>
    </row>
    <row r="17" spans="1:24">
      <c r="A17" s="59" t="str">
        <f t="shared" si="5"/>
        <v>Aandelen opkomend</v>
      </c>
      <c r="B17" s="117">
        <v>0.16227271435079998</v>
      </c>
      <c r="C17" s="118">
        <v>0.10319772741808733</v>
      </c>
      <c r="D17" s="119">
        <v>4.8544643607962595E-2</v>
      </c>
      <c r="E17" s="117">
        <v>0.14888643866634901</v>
      </c>
      <c r="F17" s="120">
        <v>0.27934184350321711</v>
      </c>
      <c r="G17" s="2">
        <v>-0.86854694667133214</v>
      </c>
      <c r="H17" s="2">
        <v>-0.5638735139847505</v>
      </c>
      <c r="I17" s="2">
        <v>-0.41350980656124886</v>
      </c>
      <c r="J17" s="2">
        <v>-0.2374760394888209</v>
      </c>
      <c r="K17" s="2">
        <v>-0.195009026919401</v>
      </c>
      <c r="L17" s="2">
        <v>-0.16514198353521109</v>
      </c>
      <c r="M17" s="2">
        <v>0.99999999999999978</v>
      </c>
      <c r="N17" s="57"/>
      <c r="Q17" s="51" t="str">
        <f t="shared" si="4"/>
        <v>Aandelen opkomend</v>
      </c>
      <c r="R17" s="72">
        <f t="shared" si="6"/>
        <v>4.8544643607962595E-2</v>
      </c>
      <c r="S17" s="52">
        <f t="shared" si="7"/>
        <v>0.11372807074283739</v>
      </c>
      <c r="T17" s="52">
        <f t="shared" si="8"/>
        <v>0.11706912915241713</v>
      </c>
      <c r="U17" s="52"/>
    </row>
    <row r="18" spans="1:24">
      <c r="A18" s="59" t="str">
        <f t="shared" si="5"/>
        <v>Commodities</v>
      </c>
      <c r="B18" s="117">
        <v>9.0099043050310829E-3</v>
      </c>
      <c r="C18" s="118">
        <v>9.1783818170832147E-3</v>
      </c>
      <c r="D18" s="119">
        <v>1.2067341967224624E-3</v>
      </c>
      <c r="E18" s="117">
        <v>5.9163687655239931E-3</v>
      </c>
      <c r="F18" s="120">
        <v>1.7643882410307305E-2</v>
      </c>
      <c r="G18" s="2">
        <v>-7.4380242801350886E-4</v>
      </c>
      <c r="H18" s="2">
        <v>-1.3845613104402734E-2</v>
      </c>
      <c r="I18" s="2">
        <v>2.235979243504202E-2</v>
      </c>
      <c r="J18" s="2">
        <v>6.6507839038892624E-2</v>
      </c>
      <c r="K18" s="2">
        <v>1</v>
      </c>
      <c r="L18" s="2">
        <v>-0.20528276421544925</v>
      </c>
      <c r="M18" s="2">
        <v>0.99999999999997635</v>
      </c>
      <c r="N18" s="57"/>
      <c r="Q18" s="51" t="str">
        <f t="shared" si="4"/>
        <v>Commodities</v>
      </c>
      <c r="R18" s="72">
        <f t="shared" si="6"/>
        <v>1.2067341967224624E-3</v>
      </c>
      <c r="S18" s="52">
        <f t="shared" si="7"/>
        <v>7.8031701083086207E-3</v>
      </c>
      <c r="T18" s="52">
        <f t="shared" si="8"/>
        <v>8.6339781052762223E-3</v>
      </c>
      <c r="U18" s="52"/>
    </row>
    <row r="19" spans="1:24">
      <c r="A19" s="59" t="str">
        <f t="shared" si="5"/>
        <v>Hedge funds</v>
      </c>
      <c r="B19" s="117">
        <v>3.7827140676096251E-2</v>
      </c>
      <c r="C19" s="118">
        <v>2.741220781831746E-2</v>
      </c>
      <c r="D19" s="119">
        <v>1.0415615153442442E-2</v>
      </c>
      <c r="E19" s="117">
        <v>3.2700743662896381E-2</v>
      </c>
      <c r="F19" s="120">
        <v>6.4596989619208067E-2</v>
      </c>
      <c r="G19" s="2">
        <v>-1.007256157014319E-2</v>
      </c>
      <c r="H19" s="2">
        <v>-8.8631442773092865E-3</v>
      </c>
      <c r="I19" s="2">
        <v>1</v>
      </c>
      <c r="J19" s="2">
        <v>-0.41352365410515746</v>
      </c>
      <c r="K19" s="2">
        <v>-0.20049458666836673</v>
      </c>
      <c r="L19" s="2">
        <v>-0.15179239504513536</v>
      </c>
      <c r="M19" s="2">
        <v>0.99999999999999423</v>
      </c>
      <c r="N19" s="57"/>
      <c r="Q19" s="51" t="str">
        <f t="shared" si="4"/>
        <v>Hedge funds</v>
      </c>
      <c r="R19" s="72">
        <f t="shared" si="6"/>
        <v>1.0415615153442442E-2</v>
      </c>
      <c r="S19" s="52">
        <f t="shared" si="7"/>
        <v>2.7411525522653808E-2</v>
      </c>
      <c r="T19" s="52">
        <f t="shared" si="8"/>
        <v>2.6769848943111817E-2</v>
      </c>
      <c r="U19" s="52"/>
    </row>
    <row r="20" spans="1:24">
      <c r="A20" s="60" t="str">
        <f t="shared" si="5"/>
        <v>Onroerend goed</v>
      </c>
      <c r="B20" s="121">
        <v>2.2962608859102934E-2</v>
      </c>
      <c r="C20" s="122">
        <v>2.1051847051969576E-2</v>
      </c>
      <c r="D20" s="123">
        <v>4.0450734037922641E-3</v>
      </c>
      <c r="E20" s="121">
        <v>1.6362616632784526E-2</v>
      </c>
      <c r="F20" s="124">
        <v>4.322878805498119E-2</v>
      </c>
      <c r="G20" s="65">
        <v>-5.0316685291965368E-3</v>
      </c>
      <c r="H20" s="65">
        <v>-3.2085372383051661E-2</v>
      </c>
      <c r="I20" s="65">
        <v>0.15581784170144636</v>
      </c>
      <c r="J20" s="65">
        <v>1</v>
      </c>
      <c r="K20" s="65">
        <v>-0.27343323583662604</v>
      </c>
      <c r="L20" s="65">
        <v>-0.15680237611921322</v>
      </c>
      <c r="M20" s="65">
        <v>0.99999999999999378</v>
      </c>
      <c r="N20" s="66"/>
      <c r="Q20" s="51" t="str">
        <f t="shared" si="4"/>
        <v>Onroerend goed</v>
      </c>
      <c r="R20" s="72">
        <f t="shared" si="6"/>
        <v>4.0450734037922641E-3</v>
      </c>
      <c r="S20" s="52">
        <f t="shared" si="7"/>
        <v>1.891753545531067E-2</v>
      </c>
      <c r="T20" s="52">
        <f t="shared" si="8"/>
        <v>2.0266179195878257E-2</v>
      </c>
      <c r="U20" s="52"/>
    </row>
    <row r="21" spans="1:24">
      <c r="A21" s="125"/>
      <c r="B21" s="126"/>
      <c r="C21" s="126"/>
      <c r="D21" s="127"/>
      <c r="E21" s="127"/>
      <c r="F21" s="127"/>
      <c r="G21" s="128"/>
      <c r="H21" s="129"/>
      <c r="I21" s="128"/>
      <c r="J21" s="128"/>
      <c r="K21" s="128"/>
      <c r="L21" s="128"/>
      <c r="M21" s="128"/>
      <c r="N21" s="130"/>
    </row>
    <row r="22" spans="1:24">
      <c r="A22" s="49"/>
      <c r="D22" s="405" t="s">
        <v>64</v>
      </c>
      <c r="E22" s="406"/>
      <c r="F22" s="407"/>
      <c r="G22" s="405" t="s">
        <v>65</v>
      </c>
      <c r="H22" s="406"/>
      <c r="I22" s="406"/>
      <c r="J22" s="406"/>
      <c r="K22" s="406"/>
      <c r="L22" s="406"/>
      <c r="M22" s="406"/>
      <c r="N22" s="407"/>
      <c r="O22" s="67"/>
    </row>
    <row r="23" spans="1:24">
      <c r="A23" s="265" t="str">
        <f>'Samenvatting mixen'!A25</f>
        <v>Base - muddle down</v>
      </c>
      <c r="B23" s="266" t="s">
        <v>67</v>
      </c>
      <c r="C23" s="267" t="s">
        <v>2</v>
      </c>
      <c r="D23" s="268">
        <v>0.25</v>
      </c>
      <c r="E23" s="269">
        <v>0.5</v>
      </c>
      <c r="F23" s="270">
        <v>0.75</v>
      </c>
      <c r="G23" s="271">
        <v>0.66084181834514133</v>
      </c>
      <c r="H23" s="271">
        <v>0.18982527837917829</v>
      </c>
      <c r="I23" s="271">
        <v>7.4522834355077228E-2</v>
      </c>
      <c r="J23" s="271">
        <v>4.5458622875212851E-2</v>
      </c>
      <c r="K23" s="271">
        <v>2.845875788769614E-2</v>
      </c>
      <c r="L23" s="271">
        <v>8.9268815769216747E-4</v>
      </c>
      <c r="M23" s="271">
        <v>0</v>
      </c>
      <c r="N23" s="271"/>
      <c r="O23" s="272"/>
      <c r="Q23" s="51" t="str">
        <f>A23</f>
        <v>Base - muddle down</v>
      </c>
    </row>
    <row r="24" spans="1:24">
      <c r="A24" s="59" t="str">
        <f>A4</f>
        <v>High Yield</v>
      </c>
      <c r="B24" s="117">
        <v>1.7885453205036629E-2</v>
      </c>
      <c r="C24" s="118">
        <v>1.6612814668444643E-2</v>
      </c>
      <c r="D24" s="119">
        <v>2.9873169456910817E-3</v>
      </c>
      <c r="E24" s="117">
        <v>1.3167662825533862E-2</v>
      </c>
      <c r="F24" s="120">
        <v>3.3700947988077448E-2</v>
      </c>
      <c r="G24" s="2">
        <v>-1.9041396130613701E-3</v>
      </c>
      <c r="H24" s="2">
        <v>8.5229321624957416E-2</v>
      </c>
      <c r="I24" s="2">
        <v>1</v>
      </c>
      <c r="J24" s="2">
        <v>-0.91323923510937743</v>
      </c>
      <c r="K24" s="2">
        <v>-0.23667528435637855</v>
      </c>
      <c r="L24" s="2">
        <v>-0.18066075183115757</v>
      </c>
      <c r="M24" s="2">
        <v>0.99999999999999933</v>
      </c>
      <c r="N24" s="57"/>
      <c r="O24" s="67"/>
      <c r="Q24" s="51" t="str">
        <f t="shared" ref="Q24:Q30" si="9">A24</f>
        <v>High Yield</v>
      </c>
      <c r="R24" s="72">
        <f>D24</f>
        <v>2.9873169456910817E-3</v>
      </c>
      <c r="S24" s="52">
        <f>B24-D24</f>
        <v>1.4898136259345548E-2</v>
      </c>
      <c r="T24" s="52">
        <f>F24-B24</f>
        <v>1.5815494783040819E-2</v>
      </c>
      <c r="U24" s="52"/>
    </row>
    <row r="25" spans="1:24">
      <c r="A25" s="59" t="str">
        <f t="shared" ref="A25:A30" si="10">A5</f>
        <v>Emerging market debt</v>
      </c>
      <c r="B25" s="117">
        <v>6.3463367958662406E-2</v>
      </c>
      <c r="C25" s="118">
        <v>4.5419655413511541E-2</v>
      </c>
      <c r="D25" s="119">
        <v>1.8947495899032048E-2</v>
      </c>
      <c r="E25" s="117">
        <v>5.254128744857936E-2</v>
      </c>
      <c r="F25" s="120">
        <v>0.11265392438217423</v>
      </c>
      <c r="G25" s="2">
        <v>-0.89879544551240909</v>
      </c>
      <c r="H25" s="2">
        <v>-0.6707564871788223</v>
      </c>
      <c r="I25" s="2">
        <v>-0.56177524805337375</v>
      </c>
      <c r="J25" s="2">
        <v>-3.3672924763177306E-2</v>
      </c>
      <c r="K25" s="2">
        <v>-0.15779402766080858</v>
      </c>
      <c r="L25" s="2">
        <v>-0.16395690686367489</v>
      </c>
      <c r="M25" s="2">
        <v>1</v>
      </c>
      <c r="N25" s="57"/>
      <c r="O25" s="67"/>
      <c r="Q25" s="51" t="str">
        <f t="shared" si="9"/>
        <v>Emerging market debt</v>
      </c>
      <c r="R25" s="72">
        <f t="shared" ref="R25:R30" si="11">D25</f>
        <v>1.8947495899032048E-2</v>
      </c>
      <c r="S25" s="52">
        <f t="shared" ref="S25:S30" si="12">B25-D25</f>
        <v>4.4515872059630354E-2</v>
      </c>
      <c r="T25" s="52">
        <f t="shared" ref="T25:T30" si="13">F25-B25</f>
        <v>4.9190556423511819E-2</v>
      </c>
      <c r="U25" s="52"/>
      <c r="X25" s="51"/>
    </row>
    <row r="26" spans="1:24">
      <c r="A26" s="59" t="str">
        <f t="shared" si="10"/>
        <v>Aandelen ontwikkeld</v>
      </c>
      <c r="B26" s="117">
        <v>1.3909860137578786E-3</v>
      </c>
      <c r="C26" s="118">
        <v>2.1362775387309403E-3</v>
      </c>
      <c r="D26" s="119">
        <v>2.2649620053582683E-5</v>
      </c>
      <c r="E26" s="117">
        <v>4.2920327407442273E-4</v>
      </c>
      <c r="F26" s="120">
        <v>2.9072147332455294E-3</v>
      </c>
      <c r="G26" s="2">
        <v>2.9268943290969144E-3</v>
      </c>
      <c r="H26" s="2">
        <v>-8.1186158773968655E-4</v>
      </c>
      <c r="I26" s="2">
        <v>1.1114346910123109E-2</v>
      </c>
      <c r="J26" s="2">
        <v>-1.5357993440239847E-2</v>
      </c>
      <c r="K26" s="2">
        <v>-3.9241513921606337E-3</v>
      </c>
      <c r="L26" s="2">
        <v>1</v>
      </c>
      <c r="M26" s="2">
        <v>0.99999999999994138</v>
      </c>
      <c r="N26" s="57"/>
      <c r="O26" s="67"/>
      <c r="P26" s="72"/>
      <c r="Q26" s="51" t="str">
        <f t="shared" si="9"/>
        <v>Aandelen ontwikkeld</v>
      </c>
      <c r="R26" s="72">
        <f t="shared" si="11"/>
        <v>2.2649620053582683E-5</v>
      </c>
      <c r="S26" s="52">
        <f t="shared" si="12"/>
        <v>1.3683363937042959E-3</v>
      </c>
      <c r="T26" s="52">
        <f t="shared" si="13"/>
        <v>1.5162287194876508E-3</v>
      </c>
      <c r="U26" s="52"/>
      <c r="V26" s="52"/>
      <c r="W26" s="52"/>
    </row>
    <row r="27" spans="1:24">
      <c r="A27" s="59" t="str">
        <f t="shared" si="10"/>
        <v>Aandelen opkomend</v>
      </c>
      <c r="B27" s="117">
        <v>3.1249765067382397E-2</v>
      </c>
      <c r="C27" s="118">
        <v>2.8234409294694656E-2</v>
      </c>
      <c r="D27" s="119">
        <v>4.1802112496225081E-3</v>
      </c>
      <c r="E27" s="117">
        <v>2.5374715055758907E-2</v>
      </c>
      <c r="F27" s="120">
        <v>5.6542253245272858E-2</v>
      </c>
      <c r="G27" s="2">
        <v>-0.13561832555844869</v>
      </c>
      <c r="H27" s="2">
        <v>1</v>
      </c>
      <c r="I27" s="2">
        <v>-0.79711642301472674</v>
      </c>
      <c r="J27" s="2">
        <v>-1.72403725253817E-2</v>
      </c>
      <c r="K27" s="2">
        <v>-0.16171185239353905</v>
      </c>
      <c r="L27" s="2">
        <v>-0.16330275376760925</v>
      </c>
      <c r="M27" s="2">
        <v>0.99999999999999933</v>
      </c>
      <c r="N27" s="57"/>
      <c r="O27" s="67"/>
      <c r="P27" s="72"/>
      <c r="Q27" s="51" t="str">
        <f t="shared" si="9"/>
        <v>Aandelen opkomend</v>
      </c>
      <c r="R27" s="72">
        <f t="shared" si="11"/>
        <v>4.1802112496225081E-3</v>
      </c>
      <c r="S27" s="52">
        <f t="shared" si="12"/>
        <v>2.7069553817759891E-2</v>
      </c>
      <c r="T27" s="52">
        <f t="shared" si="13"/>
        <v>2.5292488177890461E-2</v>
      </c>
      <c r="U27" s="52"/>
      <c r="V27" s="52"/>
      <c r="W27" s="52"/>
    </row>
    <row r="28" spans="1:24">
      <c r="A28" s="59" t="str">
        <f t="shared" si="10"/>
        <v>Commodities</v>
      </c>
      <c r="B28" s="117">
        <v>0.85572166313251952</v>
      </c>
      <c r="C28" s="118">
        <v>4.8274853729882987E-2</v>
      </c>
      <c r="D28" s="119">
        <v>0.80486333081504724</v>
      </c>
      <c r="E28" s="117">
        <v>0.85730031543685015</v>
      </c>
      <c r="F28" s="120">
        <v>0.90495422594276409</v>
      </c>
      <c r="G28" s="2">
        <v>1</v>
      </c>
      <c r="H28" s="2">
        <v>-0.46817925401614502</v>
      </c>
      <c r="I28" s="2">
        <v>-0.63087725837185638</v>
      </c>
      <c r="J28" s="2">
        <v>-5.6239254846295696E-2</v>
      </c>
      <c r="K28" s="2">
        <v>-0.17026646277601271</v>
      </c>
      <c r="L28" s="2">
        <v>-0.16736806720119396</v>
      </c>
      <c r="M28" s="2">
        <v>0.99999999999999967</v>
      </c>
      <c r="N28" s="57"/>
      <c r="O28" s="67"/>
      <c r="P28" s="72"/>
      <c r="Q28" s="51" t="str">
        <f t="shared" si="9"/>
        <v>Commodities</v>
      </c>
      <c r="R28" s="72">
        <f t="shared" si="11"/>
        <v>0.80486333081504724</v>
      </c>
      <c r="S28" s="52">
        <f t="shared" si="12"/>
        <v>5.0858332317472277E-2</v>
      </c>
      <c r="T28" s="52">
        <f t="shared" si="13"/>
        <v>4.9232562810244573E-2</v>
      </c>
      <c r="U28" s="52"/>
      <c r="V28" s="52"/>
      <c r="W28" s="52"/>
    </row>
    <row r="29" spans="1:24">
      <c r="A29" s="59" t="str">
        <f t="shared" si="10"/>
        <v>Hedge funds</v>
      </c>
      <c r="B29" s="117">
        <v>1.7992339163044314E-2</v>
      </c>
      <c r="C29" s="118">
        <v>1.6064474009553031E-2</v>
      </c>
      <c r="D29" s="119">
        <v>2.6936473200456974E-3</v>
      </c>
      <c r="E29" s="117">
        <v>1.4345092540927605E-2</v>
      </c>
      <c r="F29" s="120">
        <v>3.2384008229585481E-2</v>
      </c>
      <c r="G29" s="2">
        <v>2.1517617804140486E-2</v>
      </c>
      <c r="H29" s="2">
        <v>4.5835885605762787E-2</v>
      </c>
      <c r="I29" s="2">
        <v>0.84032542549951561</v>
      </c>
      <c r="J29" s="2">
        <v>1</v>
      </c>
      <c r="K29" s="2">
        <v>-0.2696282214210981</v>
      </c>
      <c r="L29" s="2">
        <v>-0.16154426403160949</v>
      </c>
      <c r="M29" s="2">
        <v>0.99999999999999845</v>
      </c>
      <c r="N29" s="57"/>
      <c r="O29" s="67"/>
      <c r="P29" s="72"/>
      <c r="Q29" s="51" t="str">
        <f t="shared" si="9"/>
        <v>Hedge funds</v>
      </c>
      <c r="R29" s="72">
        <f t="shared" si="11"/>
        <v>2.6936473200456974E-3</v>
      </c>
      <c r="S29" s="52">
        <f t="shared" si="12"/>
        <v>1.5298691842998617E-2</v>
      </c>
      <c r="T29" s="52">
        <f t="shared" si="13"/>
        <v>1.4391669066541168E-2</v>
      </c>
      <c r="U29" s="52"/>
      <c r="V29" s="52"/>
      <c r="W29" s="52"/>
    </row>
    <row r="30" spans="1:24">
      <c r="A30" s="60" t="str">
        <f t="shared" si="10"/>
        <v>Onroerend goed</v>
      </c>
      <c r="B30" s="121">
        <v>1.2296425459596168E-2</v>
      </c>
      <c r="C30" s="122">
        <v>1.1899453924612434E-2</v>
      </c>
      <c r="D30" s="123">
        <v>1.3662559704584513E-3</v>
      </c>
      <c r="E30" s="121">
        <v>9.0903657251993411E-3</v>
      </c>
      <c r="F30" s="124">
        <v>2.2716357321241963E-2</v>
      </c>
      <c r="G30" s="65">
        <v>1.1873398550682019E-2</v>
      </c>
      <c r="H30" s="65">
        <v>8.6823955519868459E-3</v>
      </c>
      <c r="I30" s="65">
        <v>0.13832915703032089</v>
      </c>
      <c r="J30" s="65">
        <v>3.5749780684472376E-2</v>
      </c>
      <c r="K30" s="65">
        <v>1</v>
      </c>
      <c r="L30" s="65">
        <v>-0.16316725630469733</v>
      </c>
      <c r="M30" s="65">
        <v>0.99999999999999645</v>
      </c>
      <c r="N30" s="66"/>
      <c r="O30" s="67"/>
      <c r="P30" s="72"/>
      <c r="Q30" s="51" t="str">
        <f t="shared" si="9"/>
        <v>Onroerend goed</v>
      </c>
      <c r="R30" s="72">
        <f t="shared" si="11"/>
        <v>1.3662559704584513E-3</v>
      </c>
      <c r="S30" s="52">
        <f t="shared" si="12"/>
        <v>1.0930169489137716E-2</v>
      </c>
      <c r="T30" s="52">
        <f t="shared" si="13"/>
        <v>1.0419931861645795E-2</v>
      </c>
      <c r="U30" s="52"/>
      <c r="V30" s="52"/>
      <c r="W30" s="52"/>
    </row>
    <row r="31" spans="1:24">
      <c r="A31" s="67"/>
      <c r="B31" s="117"/>
      <c r="C31" s="117"/>
      <c r="D31" s="117"/>
      <c r="E31" s="117"/>
      <c r="F31" s="117"/>
      <c r="G31" s="68"/>
      <c r="H31" s="68"/>
      <c r="I31" s="68"/>
      <c r="J31" s="68"/>
      <c r="K31" s="68"/>
      <c r="L31" s="68"/>
      <c r="M31" s="68"/>
      <c r="N31" s="68"/>
      <c r="O31" s="67"/>
      <c r="P31" s="72"/>
      <c r="Q31" s="72"/>
      <c r="R31" s="72"/>
      <c r="T31" s="52"/>
      <c r="U31" s="52"/>
      <c r="V31" s="52"/>
      <c r="W31" s="52"/>
    </row>
    <row r="32" spans="1:24">
      <c r="A32" s="49"/>
      <c r="D32" s="405" t="s">
        <v>64</v>
      </c>
      <c r="E32" s="406"/>
      <c r="F32" s="407"/>
      <c r="G32" s="405" t="s">
        <v>65</v>
      </c>
      <c r="H32" s="406"/>
      <c r="I32" s="406"/>
      <c r="J32" s="406"/>
      <c r="K32" s="406"/>
      <c r="L32" s="406"/>
      <c r="M32" s="406"/>
      <c r="N32" s="407"/>
      <c r="O32" s="67"/>
    </row>
    <row r="33" spans="1:24">
      <c r="A33" s="265" t="str">
        <f>'Samenvatting mixen'!A36</f>
        <v>Base - muddle up</v>
      </c>
      <c r="B33" s="266" t="s">
        <v>67</v>
      </c>
      <c r="C33" s="267" t="s">
        <v>2</v>
      </c>
      <c r="D33" s="268">
        <v>0.25</v>
      </c>
      <c r="E33" s="269">
        <v>0.5</v>
      </c>
      <c r="F33" s="270">
        <v>0.75</v>
      </c>
      <c r="G33" s="271">
        <v>0.74882919248078483</v>
      </c>
      <c r="H33" s="271">
        <v>0.1788213943814364</v>
      </c>
      <c r="I33" s="271">
        <v>5.993866354292543E-2</v>
      </c>
      <c r="J33" s="271">
        <v>9.5708519764923228E-3</v>
      </c>
      <c r="K33" s="271">
        <v>2.4519548514934097E-3</v>
      </c>
      <c r="L33" s="271">
        <v>3.8794276686715534E-4</v>
      </c>
      <c r="M33" s="271">
        <v>0</v>
      </c>
      <c r="N33" s="271"/>
      <c r="O33" s="272"/>
      <c r="Q33" s="51" t="str">
        <f>A33</f>
        <v>Base - muddle up</v>
      </c>
    </row>
    <row r="34" spans="1:24">
      <c r="A34" s="53" t="str">
        <f t="shared" ref="A34:A40" si="14">A4</f>
        <v>High Yield</v>
      </c>
      <c r="B34" s="117">
        <v>6.9877307881493683E-2</v>
      </c>
      <c r="C34" s="118">
        <v>5.0911073533742329E-2</v>
      </c>
      <c r="D34" s="119">
        <v>1.8335859886351964E-2</v>
      </c>
      <c r="E34" s="117">
        <v>6.0682266470227869E-2</v>
      </c>
      <c r="F34" s="120">
        <v>0.11969970765383506</v>
      </c>
      <c r="G34" s="2">
        <v>-3.4844111167918301E-2</v>
      </c>
      <c r="H34" s="2">
        <v>-8.1587775062608892E-2</v>
      </c>
      <c r="I34" s="2">
        <v>1</v>
      </c>
      <c r="J34" s="2">
        <v>-0.23817578973965134</v>
      </c>
      <c r="K34" s="2">
        <v>-0.17037096726450851</v>
      </c>
      <c r="L34" s="2">
        <v>-0.15364390801352207</v>
      </c>
      <c r="M34" s="2">
        <v>0.99999999999989542</v>
      </c>
      <c r="N34" s="57"/>
      <c r="O34" s="67"/>
      <c r="Q34" s="51" t="str">
        <f t="shared" ref="Q34:Q40" si="15">A34</f>
        <v>High Yield</v>
      </c>
      <c r="R34" s="72">
        <f>D34</f>
        <v>1.8335859886351964E-2</v>
      </c>
      <c r="S34" s="52">
        <f>B34-D34</f>
        <v>5.1541447995141723E-2</v>
      </c>
      <c r="T34" s="52">
        <f>F34-B34</f>
        <v>4.9822399772341375E-2</v>
      </c>
      <c r="U34" s="52"/>
    </row>
    <row r="35" spans="1:24">
      <c r="A35" s="59" t="str">
        <f t="shared" si="14"/>
        <v>Emerging market debt</v>
      </c>
      <c r="B35" s="117">
        <v>0.51223348268132896</v>
      </c>
      <c r="C35" s="118">
        <v>0.16509039604380751</v>
      </c>
      <c r="D35" s="119">
        <v>0.34450286515863837</v>
      </c>
      <c r="E35" s="117">
        <v>0.50514281628418356</v>
      </c>
      <c r="F35" s="120">
        <v>0.68513185810572685</v>
      </c>
      <c r="G35" s="2">
        <v>1</v>
      </c>
      <c r="H35" s="2">
        <v>-0.12431600288674001</v>
      </c>
      <c r="I35" s="2">
        <v>-0.29969838111540481</v>
      </c>
      <c r="J35" s="2">
        <v>-0.27818510733571528</v>
      </c>
      <c r="K35" s="2">
        <v>-0.19997930133680841</v>
      </c>
      <c r="L35" s="2">
        <v>-0.17124507841223024</v>
      </c>
      <c r="M35" s="2">
        <v>0.99999999999989164</v>
      </c>
      <c r="N35" s="57"/>
      <c r="O35" s="67"/>
      <c r="Q35" s="51" t="str">
        <f t="shared" si="15"/>
        <v>Emerging market debt</v>
      </c>
      <c r="R35" s="72">
        <f t="shared" ref="R35:R40" si="16">D35</f>
        <v>0.34450286515863837</v>
      </c>
      <c r="S35" s="52">
        <f t="shared" ref="S35:S40" si="17">B35-D35</f>
        <v>0.16773061752269058</v>
      </c>
      <c r="T35" s="52">
        <f t="shared" ref="T35:T40" si="18">F35-B35</f>
        <v>0.1728983754243979</v>
      </c>
      <c r="U35" s="52"/>
    </row>
    <row r="36" spans="1:24">
      <c r="A36" s="59" t="str">
        <f t="shared" si="14"/>
        <v>Aandelen ontwikkeld</v>
      </c>
      <c r="B36" s="117">
        <v>1.0887668960369213E-2</v>
      </c>
      <c r="C36" s="118">
        <v>1.0754284654896652E-2</v>
      </c>
      <c r="D36" s="119">
        <v>1.3813820731033294E-3</v>
      </c>
      <c r="E36" s="117">
        <v>7.4710296220490543E-3</v>
      </c>
      <c r="F36" s="120">
        <v>2.1794791334726556E-2</v>
      </c>
      <c r="G36" s="2">
        <v>5.7905796920827198E-3</v>
      </c>
      <c r="H36" s="2">
        <v>-1.5170176234395878E-2</v>
      </c>
      <c r="I36" s="2">
        <v>-1.9421294597962317E-2</v>
      </c>
      <c r="J36" s="2">
        <v>5.4218082420735995E-2</v>
      </c>
      <c r="K36" s="2">
        <v>1</v>
      </c>
      <c r="L36" s="2">
        <v>-0.17181532406164482</v>
      </c>
      <c r="M36" s="2">
        <v>0.99999999999992151</v>
      </c>
      <c r="N36" s="57"/>
      <c r="O36" s="67"/>
      <c r="Q36" s="51" t="str">
        <f t="shared" si="15"/>
        <v>Aandelen ontwikkeld</v>
      </c>
      <c r="R36" s="72">
        <f t="shared" si="16"/>
        <v>1.3813820731033294E-3</v>
      </c>
      <c r="S36" s="52">
        <f t="shared" si="17"/>
        <v>9.5062868872658832E-3</v>
      </c>
      <c r="T36" s="52">
        <f t="shared" si="18"/>
        <v>1.0907122374357344E-2</v>
      </c>
      <c r="U36" s="52"/>
    </row>
    <row r="37" spans="1:24">
      <c r="A37" s="59" t="str">
        <f t="shared" si="14"/>
        <v>Aandelen opkomend</v>
      </c>
      <c r="B37" s="117">
        <v>0.24574774403617258</v>
      </c>
      <c r="C37" s="118">
        <v>0.12044480638820479</v>
      </c>
      <c r="D37" s="119">
        <v>0.12126751516537322</v>
      </c>
      <c r="E37" s="117">
        <v>0.24338764902164173</v>
      </c>
      <c r="F37" s="120">
        <v>0.37113572234131675</v>
      </c>
      <c r="G37" s="2">
        <v>-0.63306395170907714</v>
      </c>
      <c r="H37" s="2">
        <v>-0.7232186786307313</v>
      </c>
      <c r="I37" s="2">
        <v>-0.39827559077973546</v>
      </c>
      <c r="J37" s="2">
        <v>-0.30858252842965928</v>
      </c>
      <c r="K37" s="2">
        <v>-0.20035491582821699</v>
      </c>
      <c r="L37" s="2">
        <v>-0.17467891578999958</v>
      </c>
      <c r="M37" s="2">
        <v>0.99999999999989075</v>
      </c>
      <c r="N37" s="57"/>
      <c r="O37" s="67"/>
      <c r="Q37" s="51" t="str">
        <f t="shared" si="15"/>
        <v>Aandelen opkomend</v>
      </c>
      <c r="R37" s="72">
        <f t="shared" si="16"/>
        <v>0.12126751516537322</v>
      </c>
      <c r="S37" s="52">
        <f t="shared" si="17"/>
        <v>0.12448022887079936</v>
      </c>
      <c r="T37" s="52">
        <f t="shared" si="18"/>
        <v>0.12538797830514417</v>
      </c>
      <c r="U37" s="52"/>
      <c r="X37" s="51"/>
    </row>
    <row r="38" spans="1:24">
      <c r="A38" s="59" t="str">
        <f t="shared" si="14"/>
        <v>Commodities</v>
      </c>
      <c r="B38" s="117">
        <v>3.3909514111822811E-3</v>
      </c>
      <c r="C38" s="118">
        <v>4.3399083014842715E-3</v>
      </c>
      <c r="D38" s="119">
        <v>1.650791025240039E-4</v>
      </c>
      <c r="E38" s="117">
        <v>1.622804449857889E-3</v>
      </c>
      <c r="F38" s="120">
        <v>6.6789171839928864E-3</v>
      </c>
      <c r="G38" s="2">
        <v>3.1039855255933485E-4</v>
      </c>
      <c r="H38" s="2">
        <v>-5.386501616045241E-3</v>
      </c>
      <c r="I38" s="2">
        <v>-1.4860765022441994E-2</v>
      </c>
      <c r="J38" s="2">
        <v>-3.2129718478990789E-3</v>
      </c>
      <c r="K38" s="2">
        <v>5.1106439627343955E-3</v>
      </c>
      <c r="L38" s="2">
        <v>1</v>
      </c>
      <c r="M38" s="2">
        <v>1</v>
      </c>
      <c r="N38" s="57"/>
      <c r="O38" s="67"/>
      <c r="P38" s="72"/>
      <c r="Q38" s="51" t="str">
        <f t="shared" si="15"/>
        <v>Commodities</v>
      </c>
      <c r="R38" s="72">
        <f t="shared" si="16"/>
        <v>1.650791025240039E-4</v>
      </c>
      <c r="S38" s="52">
        <f t="shared" si="17"/>
        <v>3.2258723086582772E-3</v>
      </c>
      <c r="T38" s="52">
        <f t="shared" si="18"/>
        <v>3.2879657728106053E-3</v>
      </c>
      <c r="U38" s="52"/>
      <c r="V38" s="52"/>
      <c r="W38" s="52"/>
    </row>
    <row r="39" spans="1:24">
      <c r="A39" s="59" t="str">
        <f t="shared" si="14"/>
        <v>Hedge funds</v>
      </c>
      <c r="B39" s="117">
        <v>2.594919368837971E-2</v>
      </c>
      <c r="C39" s="118">
        <v>2.0753634314372181E-2</v>
      </c>
      <c r="D39" s="119">
        <v>5.6410164931040589E-3</v>
      </c>
      <c r="E39" s="117">
        <v>2.1292930533933798E-2</v>
      </c>
      <c r="F39" s="120">
        <v>4.6752579757297019E-2</v>
      </c>
      <c r="G39" s="2">
        <v>-1.8203067707982606E-3</v>
      </c>
      <c r="H39" s="2">
        <v>-5.0320865569479484E-2</v>
      </c>
      <c r="I39" s="2">
        <v>-2.2525897580058542E-2</v>
      </c>
      <c r="J39" s="2">
        <v>1</v>
      </c>
      <c r="K39" s="2">
        <v>-0.25320065509342299</v>
      </c>
      <c r="L39" s="2">
        <v>-0.16303759096401813</v>
      </c>
      <c r="M39" s="2">
        <v>0.99999999999989964</v>
      </c>
      <c r="N39" s="57"/>
      <c r="O39" s="67"/>
      <c r="P39" s="72"/>
      <c r="Q39" s="51" t="str">
        <f t="shared" si="15"/>
        <v>Hedge funds</v>
      </c>
      <c r="R39" s="72">
        <f t="shared" si="16"/>
        <v>5.6410164931040589E-3</v>
      </c>
      <c r="S39" s="52">
        <f t="shared" si="17"/>
        <v>2.030817719527565E-2</v>
      </c>
      <c r="T39" s="52">
        <f t="shared" si="18"/>
        <v>2.0803386068917309E-2</v>
      </c>
      <c r="U39" s="52"/>
      <c r="V39" s="52"/>
      <c r="W39" s="52"/>
    </row>
    <row r="40" spans="1:24">
      <c r="A40" s="60" t="str">
        <f t="shared" si="14"/>
        <v>Onroerend goed</v>
      </c>
      <c r="B40" s="121">
        <v>0.13191365134107272</v>
      </c>
      <c r="C40" s="122">
        <v>9.7494481365453328E-2</v>
      </c>
      <c r="D40" s="123">
        <v>3.0874212257634748E-2</v>
      </c>
      <c r="E40" s="121">
        <v>0.11284813881474602</v>
      </c>
      <c r="F40" s="124">
        <v>0.23390456692827427</v>
      </c>
      <c r="G40" s="65">
        <v>-0.33637260859684803</v>
      </c>
      <c r="H40" s="65">
        <v>1</v>
      </c>
      <c r="I40" s="65">
        <v>-0.24521807090439787</v>
      </c>
      <c r="J40" s="65">
        <v>-0.2260616850678189</v>
      </c>
      <c r="K40" s="65">
        <v>-0.18120480443980519</v>
      </c>
      <c r="L40" s="65">
        <v>-0.16557918275868636</v>
      </c>
      <c r="M40" s="65">
        <v>0.99999999999989375</v>
      </c>
      <c r="N40" s="66"/>
      <c r="O40" s="67"/>
      <c r="P40" s="72"/>
      <c r="Q40" s="51" t="str">
        <f t="shared" si="15"/>
        <v>Onroerend goed</v>
      </c>
      <c r="R40" s="72">
        <f t="shared" si="16"/>
        <v>3.0874212257634748E-2</v>
      </c>
      <c r="S40" s="52">
        <f t="shared" si="17"/>
        <v>0.10103943908343797</v>
      </c>
      <c r="T40" s="52">
        <f t="shared" si="18"/>
        <v>0.10199091558720155</v>
      </c>
      <c r="U40" s="52"/>
      <c r="V40" s="52"/>
      <c r="W40" s="52"/>
    </row>
    <row r="41" spans="1:24">
      <c r="A41" s="67"/>
      <c r="B41" s="117"/>
      <c r="C41" s="117"/>
      <c r="D41" s="117"/>
      <c r="E41" s="117"/>
      <c r="F41" s="117"/>
      <c r="G41" s="2"/>
      <c r="H41" s="2"/>
      <c r="I41" s="2"/>
      <c r="J41" s="2"/>
      <c r="K41" s="2"/>
      <c r="L41" s="2"/>
      <c r="M41" s="2"/>
      <c r="N41" s="68"/>
      <c r="O41" s="67"/>
      <c r="P41" s="72"/>
      <c r="Q41" s="72"/>
      <c r="R41" s="72"/>
      <c r="T41" s="52"/>
      <c r="U41" s="52"/>
      <c r="V41" s="52"/>
      <c r="W41" s="52"/>
    </row>
    <row r="42" spans="1:24">
      <c r="A42" s="49"/>
      <c r="D42" s="405" t="s">
        <v>64</v>
      </c>
      <c r="E42" s="406"/>
      <c r="F42" s="407"/>
      <c r="G42" s="405" t="s">
        <v>65</v>
      </c>
      <c r="H42" s="406"/>
      <c r="I42" s="406"/>
      <c r="J42" s="406"/>
      <c r="K42" s="406"/>
      <c r="L42" s="406"/>
      <c r="M42" s="406"/>
      <c r="N42" s="407"/>
      <c r="O42" s="67"/>
      <c r="P42" s="72"/>
      <c r="Q42" s="72"/>
      <c r="R42" s="72"/>
      <c r="T42" s="52"/>
      <c r="U42" s="52"/>
      <c r="V42" s="52"/>
      <c r="W42" s="52"/>
    </row>
    <row r="43" spans="1:24">
      <c r="A43" s="265" t="str">
        <f>'Samenvatting mixen'!A47</f>
        <v>Bear case</v>
      </c>
      <c r="B43" s="266" t="s">
        <v>67</v>
      </c>
      <c r="C43" s="267" t="s">
        <v>2</v>
      </c>
      <c r="D43" s="268">
        <v>0.25</v>
      </c>
      <c r="E43" s="269">
        <v>0.5</v>
      </c>
      <c r="F43" s="270">
        <v>0.75</v>
      </c>
      <c r="G43" s="271">
        <v>0.33134637450343796</v>
      </c>
      <c r="H43" s="271">
        <v>0.20561530939733619</v>
      </c>
      <c r="I43" s="271">
        <v>0.17955451568431569</v>
      </c>
      <c r="J43" s="271">
        <v>0.12718552754565726</v>
      </c>
      <c r="K43" s="271">
        <v>9.5374024658951173E-2</v>
      </c>
      <c r="L43" s="271">
        <v>6.0924248210303289E-2</v>
      </c>
      <c r="M43" s="271">
        <v>-2.2204460492503131E-16</v>
      </c>
      <c r="N43" s="271"/>
      <c r="O43" s="272"/>
      <c r="P43" s="72"/>
      <c r="Q43" s="51" t="str">
        <f>A43</f>
        <v>Bear case</v>
      </c>
      <c r="V43" s="52"/>
      <c r="W43" s="52"/>
    </row>
    <row r="44" spans="1:24">
      <c r="A44" s="53" t="str">
        <f>A4</f>
        <v>High Yield</v>
      </c>
      <c r="B44" s="117">
        <v>0.10130039791090044</v>
      </c>
      <c r="C44" s="118">
        <v>0.16927288022620185</v>
      </c>
      <c r="D44" s="119">
        <v>1.6320296571683168E-4</v>
      </c>
      <c r="E44" s="117">
        <v>1.9451338115006482E-2</v>
      </c>
      <c r="F44" s="120">
        <v>0.2092715740283147</v>
      </c>
      <c r="G44" s="2">
        <v>-7.4224698295291866E-2</v>
      </c>
      <c r="H44" s="2">
        <v>-0.13753153693878839</v>
      </c>
      <c r="I44" s="2">
        <v>-0.19464624737612399</v>
      </c>
      <c r="J44" s="2">
        <v>1</v>
      </c>
      <c r="K44" s="2">
        <v>-0.55395264176342673</v>
      </c>
      <c r="L44" s="2">
        <v>-0.24246932118650355</v>
      </c>
      <c r="M44" s="2">
        <v>0.99999999999970124</v>
      </c>
      <c r="N44" s="57"/>
      <c r="O44" s="67"/>
      <c r="Q44" s="51" t="str">
        <f t="shared" ref="Q44:Q50" si="19">A44</f>
        <v>High Yield</v>
      </c>
      <c r="R44" s="72">
        <f>D44</f>
        <v>1.6320296571683168E-4</v>
      </c>
      <c r="S44" s="52">
        <f>B44-D44</f>
        <v>0.10113719494518361</v>
      </c>
      <c r="T44" s="52">
        <f>F44-B44</f>
        <v>0.10797117611741426</v>
      </c>
      <c r="U44" s="52"/>
    </row>
    <row r="45" spans="1:24">
      <c r="A45" s="59" t="str">
        <f t="shared" ref="A45:A50" si="20">A5</f>
        <v>Emerging market debt</v>
      </c>
      <c r="B45" s="117">
        <v>8.9273433584501682E-2</v>
      </c>
      <c r="C45" s="118">
        <v>0.15616199468678701</v>
      </c>
      <c r="D45" s="119">
        <v>2.430678091334357E-4</v>
      </c>
      <c r="E45" s="117">
        <v>2.2614325462243685E-2</v>
      </c>
      <c r="F45" s="120">
        <v>0.17304275426239513</v>
      </c>
      <c r="G45" s="2">
        <v>-6.6519102664869517E-2</v>
      </c>
      <c r="H45" s="2">
        <v>-0.1559566841774159</v>
      </c>
      <c r="I45" s="2">
        <v>-0.18632294060597424</v>
      </c>
      <c r="J45" s="2">
        <v>0.32011674930732964</v>
      </c>
      <c r="K45" s="2">
        <v>1</v>
      </c>
      <c r="L45" s="2">
        <v>-0.21198502797324659</v>
      </c>
      <c r="M45" s="2">
        <v>0.99999999999969125</v>
      </c>
      <c r="N45" s="57"/>
      <c r="O45" s="67"/>
      <c r="Q45" s="51" t="str">
        <f t="shared" si="19"/>
        <v>Emerging market debt</v>
      </c>
      <c r="R45" s="72">
        <f t="shared" ref="R45:R50" si="21">D45</f>
        <v>2.430678091334357E-4</v>
      </c>
      <c r="S45" s="52">
        <f t="shared" ref="S45:S50" si="22">B45-D45</f>
        <v>8.9030365775368242E-2</v>
      </c>
      <c r="T45" s="52">
        <f t="shared" ref="T45:T50" si="23">F45-B45</f>
        <v>8.3769320677893444E-2</v>
      </c>
      <c r="U45" s="52"/>
    </row>
    <row r="46" spans="1:24">
      <c r="A46" s="59" t="str">
        <f t="shared" si="20"/>
        <v>Aandelen ontwikkeld</v>
      </c>
      <c r="B46" s="117">
        <v>6.7363587209696485E-2</v>
      </c>
      <c r="C46" s="118">
        <v>0.12253279084828471</v>
      </c>
      <c r="D46" s="119">
        <v>8.4076864540389717E-5</v>
      </c>
      <c r="E46" s="117">
        <v>1.4329357282131968E-2</v>
      </c>
      <c r="F46" s="120">
        <v>0.14046044793841836</v>
      </c>
      <c r="G46" s="2">
        <v>-5.0362027581637825E-2</v>
      </c>
      <c r="H46" s="2">
        <v>-1.023469257203651E-2</v>
      </c>
      <c r="I46" s="2">
        <v>-2.386658510066441E-2</v>
      </c>
      <c r="J46" s="2">
        <v>0.11337787686997863</v>
      </c>
      <c r="K46" s="2">
        <v>1.4763703567974981E-2</v>
      </c>
      <c r="L46" s="2">
        <v>1</v>
      </c>
      <c r="M46" s="2">
        <v>0.99999999999965383</v>
      </c>
      <c r="N46" s="57"/>
      <c r="O46" s="67"/>
      <c r="Q46" s="51" t="str">
        <f t="shared" si="19"/>
        <v>Aandelen ontwikkeld</v>
      </c>
      <c r="R46" s="72">
        <f t="shared" si="21"/>
        <v>8.4076864540389717E-5</v>
      </c>
      <c r="S46" s="52">
        <f t="shared" si="22"/>
        <v>6.7279510345156099E-2</v>
      </c>
      <c r="T46" s="52">
        <f t="shared" si="23"/>
        <v>7.3096860728721874E-2</v>
      </c>
      <c r="U46" s="52"/>
    </row>
    <row r="47" spans="1:24">
      <c r="A47" s="59" t="str">
        <f t="shared" si="20"/>
        <v>Aandelen opkomend</v>
      </c>
      <c r="B47" s="117">
        <v>0.15511442562472591</v>
      </c>
      <c r="C47" s="118">
        <v>0.21217865740047676</v>
      </c>
      <c r="D47" s="119">
        <v>2.9340269108695557E-4</v>
      </c>
      <c r="E47" s="117">
        <v>4.8385768512011679E-2</v>
      </c>
      <c r="F47" s="120">
        <v>0.35218681997133749</v>
      </c>
      <c r="G47" s="2">
        <v>-0.2373773625237974</v>
      </c>
      <c r="H47" s="2">
        <v>-0.49972541409533483</v>
      </c>
      <c r="I47" s="2">
        <v>1</v>
      </c>
      <c r="J47" s="2">
        <v>-0.30700708520330305</v>
      </c>
      <c r="K47" s="2">
        <v>-0.10673962836724471</v>
      </c>
      <c r="L47" s="2">
        <v>-0.14445978439013127</v>
      </c>
      <c r="M47" s="2">
        <v>0.99999999999974276</v>
      </c>
      <c r="N47" s="57"/>
      <c r="O47" s="67"/>
      <c r="Q47" s="51" t="str">
        <f t="shared" si="19"/>
        <v>Aandelen opkomend</v>
      </c>
      <c r="R47" s="72">
        <f t="shared" si="21"/>
        <v>2.9340269108695557E-4</v>
      </c>
      <c r="S47" s="52">
        <f t="shared" si="22"/>
        <v>0.15482102293363895</v>
      </c>
      <c r="T47" s="52">
        <f t="shared" si="23"/>
        <v>0.19707239434661158</v>
      </c>
      <c r="U47" s="52"/>
    </row>
    <row r="48" spans="1:24">
      <c r="A48" s="59" t="str">
        <f t="shared" si="20"/>
        <v>Commodities</v>
      </c>
      <c r="B48" s="117">
        <v>0.13582354211363085</v>
      </c>
      <c r="C48" s="118">
        <v>0.1987406231996191</v>
      </c>
      <c r="D48" s="119">
        <v>2.782982612921637E-4</v>
      </c>
      <c r="E48" s="117">
        <v>4.4798616701069216E-2</v>
      </c>
      <c r="F48" s="120">
        <v>0.30767907507112635</v>
      </c>
      <c r="G48" s="2">
        <v>-0.20300103177685325</v>
      </c>
      <c r="H48" s="2">
        <v>-0.35357091304395599</v>
      </c>
      <c r="I48" s="2">
        <v>-0.8250617502094455</v>
      </c>
      <c r="J48" s="2">
        <v>-0.73779554309179229</v>
      </c>
      <c r="K48" s="2">
        <v>-0.24031049688918577</v>
      </c>
      <c r="L48" s="2">
        <v>-0.13726548958070983</v>
      </c>
      <c r="M48" s="2">
        <v>1</v>
      </c>
      <c r="N48" s="57"/>
      <c r="O48" s="67"/>
      <c r="Q48" s="51" t="str">
        <f t="shared" si="19"/>
        <v>Commodities</v>
      </c>
      <c r="R48" s="72">
        <f t="shared" si="21"/>
        <v>2.782982612921637E-4</v>
      </c>
      <c r="S48" s="52">
        <f t="shared" si="22"/>
        <v>0.13554524385233868</v>
      </c>
      <c r="T48" s="52">
        <f t="shared" si="23"/>
        <v>0.1718555329574955</v>
      </c>
      <c r="U48" s="52"/>
    </row>
    <row r="49" spans="1:27">
      <c r="A49" s="59" t="str">
        <f t="shared" si="20"/>
        <v>Hedge funds</v>
      </c>
      <c r="B49" s="117">
        <v>0.26721828037309425</v>
      </c>
      <c r="C49" s="118">
        <v>0.27773618870239553</v>
      </c>
      <c r="D49" s="119">
        <v>7.1772847168031393E-3</v>
      </c>
      <c r="E49" s="117">
        <v>0.1496184981833939</v>
      </c>
      <c r="F49" s="120">
        <v>0.59674020973183484</v>
      </c>
      <c r="G49" s="2">
        <v>1</v>
      </c>
      <c r="H49" s="2">
        <v>0.1570192408278058</v>
      </c>
      <c r="I49" s="2">
        <v>9.2484338952445913E-2</v>
      </c>
      <c r="J49" s="2">
        <v>-0.19339229387946558</v>
      </c>
      <c r="K49" s="2">
        <v>-6.5690061240202227E-2</v>
      </c>
      <c r="L49" s="2">
        <v>-0.10311516363737597</v>
      </c>
      <c r="M49" s="2">
        <v>0.99999999999930456</v>
      </c>
      <c r="N49" s="57"/>
      <c r="O49" s="67"/>
      <c r="Q49" s="51" t="str">
        <f t="shared" si="19"/>
        <v>Hedge funds</v>
      </c>
      <c r="R49" s="72">
        <f t="shared" si="21"/>
        <v>7.1772847168031393E-3</v>
      </c>
      <c r="S49" s="52">
        <f t="shared" si="22"/>
        <v>0.26004099565629113</v>
      </c>
      <c r="T49" s="52">
        <f t="shared" si="23"/>
        <v>0.32952192935874058</v>
      </c>
      <c r="U49" s="52"/>
      <c r="X49" s="51"/>
    </row>
    <row r="50" spans="1:27">
      <c r="A50" s="60" t="str">
        <f t="shared" si="20"/>
        <v>Onroerend goed</v>
      </c>
      <c r="B50" s="121">
        <v>0.18390633318307109</v>
      </c>
      <c r="C50" s="122">
        <v>0.22810855341687139</v>
      </c>
      <c r="D50" s="123">
        <v>2.2873459960583613E-3</v>
      </c>
      <c r="E50" s="121">
        <v>7.893129785165566E-2</v>
      </c>
      <c r="F50" s="124">
        <v>0.42519729021268426</v>
      </c>
      <c r="G50" s="65">
        <v>-0.3685157771571182</v>
      </c>
      <c r="H50" s="65">
        <v>1</v>
      </c>
      <c r="I50" s="65">
        <v>0.13741318434001301</v>
      </c>
      <c r="J50" s="65">
        <v>-0.19529970400259969</v>
      </c>
      <c r="K50" s="65">
        <v>-4.8070875307858564E-2</v>
      </c>
      <c r="L50" s="65">
        <v>-0.16070521323199516</v>
      </c>
      <c r="M50" s="65">
        <v>0.99999999999961386</v>
      </c>
      <c r="N50" s="66"/>
      <c r="O50" s="67"/>
      <c r="P50" s="72"/>
      <c r="Q50" s="51" t="str">
        <f t="shared" si="19"/>
        <v>Onroerend goed</v>
      </c>
      <c r="R50" s="72">
        <f t="shared" si="21"/>
        <v>2.2873459960583613E-3</v>
      </c>
      <c r="S50" s="52">
        <f t="shared" si="22"/>
        <v>0.18161898718701272</v>
      </c>
      <c r="T50" s="52">
        <f t="shared" si="23"/>
        <v>0.24129095702961317</v>
      </c>
      <c r="U50" s="52"/>
      <c r="V50" s="52"/>
      <c r="W50" s="52"/>
    </row>
    <row r="51" spans="1:27">
      <c r="A51" s="67"/>
      <c r="B51" s="117"/>
      <c r="C51" s="117"/>
      <c r="D51" s="117"/>
      <c r="E51" s="117"/>
      <c r="F51" s="117"/>
      <c r="G51" s="68"/>
      <c r="H51" s="68"/>
      <c r="I51" s="68"/>
      <c r="J51" s="68"/>
      <c r="K51" s="68"/>
      <c r="L51" s="68"/>
      <c r="M51" s="68"/>
      <c r="N51" s="68"/>
      <c r="O51" s="67"/>
      <c r="P51" s="72"/>
      <c r="Q51" s="72"/>
      <c r="R51" s="72"/>
      <c r="T51" s="52"/>
      <c r="U51" s="52"/>
      <c r="V51" s="52"/>
      <c r="W51" s="52"/>
    </row>
    <row r="52" spans="1:27">
      <c r="A52" s="49"/>
      <c r="D52" s="405" t="s">
        <v>64</v>
      </c>
      <c r="E52" s="406"/>
      <c r="F52" s="407"/>
      <c r="G52" s="405" t="s">
        <v>65</v>
      </c>
      <c r="H52" s="406"/>
      <c r="I52" s="406"/>
      <c r="J52" s="406"/>
      <c r="K52" s="406"/>
      <c r="L52" s="406"/>
      <c r="M52" s="406"/>
      <c r="N52" s="407"/>
      <c r="O52" s="67"/>
      <c r="P52" s="72"/>
      <c r="Q52" s="72"/>
      <c r="R52" s="72"/>
      <c r="T52" s="52"/>
      <c r="U52" s="52"/>
      <c r="V52" s="52"/>
      <c r="W52" s="52"/>
    </row>
    <row r="53" spans="1:27">
      <c r="A53" s="265" t="str">
        <f>'Samenvatting mixen'!A58</f>
        <v>Tail risk</v>
      </c>
      <c r="B53" s="266" t="s">
        <v>67</v>
      </c>
      <c r="C53" s="267" t="s">
        <v>2</v>
      </c>
      <c r="D53" s="268">
        <v>0.25</v>
      </c>
      <c r="E53" s="269">
        <v>0.5</v>
      </c>
      <c r="F53" s="270">
        <v>0.75</v>
      </c>
      <c r="G53" s="271">
        <v>0.69354228846378652</v>
      </c>
      <c r="H53" s="271">
        <v>0.1342696270116065</v>
      </c>
      <c r="I53" s="271">
        <v>6.5490496341331084E-2</v>
      </c>
      <c r="J53" s="271">
        <v>4.4584572309827153E-2</v>
      </c>
      <c r="K53" s="271">
        <v>3.5438352722925393E-2</v>
      </c>
      <c r="L53" s="271">
        <v>2.6674663150524469E-2</v>
      </c>
      <c r="M53" s="271">
        <v>0</v>
      </c>
      <c r="N53" s="271"/>
      <c r="O53" s="272"/>
      <c r="P53" s="72"/>
      <c r="Q53" s="51" t="str">
        <f>A53</f>
        <v>Tail risk</v>
      </c>
      <c r="V53" s="52"/>
      <c r="W53" s="52"/>
    </row>
    <row r="54" spans="1:27">
      <c r="A54" s="53" t="str">
        <f t="shared" ref="A54:A59" si="24">A44</f>
        <v>High Yield</v>
      </c>
      <c r="B54" s="117">
        <v>2.3834408192998134E-3</v>
      </c>
      <c r="C54" s="118">
        <v>3.924911169739898E-3</v>
      </c>
      <c r="D54" s="119">
        <v>3.196262340591038E-6</v>
      </c>
      <c r="E54" s="117">
        <v>4.8494831398438029E-4</v>
      </c>
      <c r="F54" s="120">
        <v>5.1053975985067236E-3</v>
      </c>
      <c r="G54" s="2">
        <v>-1.4289062297951622E-2</v>
      </c>
      <c r="H54" s="2">
        <v>8.4804111984768421E-2</v>
      </c>
      <c r="I54" s="2">
        <v>6.9321168597563113E-2</v>
      </c>
      <c r="J54" s="2">
        <v>0.14043418957399614</v>
      </c>
      <c r="K54" s="2">
        <v>0.16266724366104626</v>
      </c>
      <c r="L54" s="2">
        <v>1</v>
      </c>
      <c r="M54" s="2">
        <v>0.99999999999999889</v>
      </c>
      <c r="N54" s="57"/>
      <c r="O54" s="67"/>
      <c r="P54" s="72"/>
      <c r="Q54" s="51" t="str">
        <f t="shared" ref="Q54:Q60" si="25">A54</f>
        <v>High Yield</v>
      </c>
      <c r="R54" s="72">
        <f>D54</f>
        <v>3.196262340591038E-6</v>
      </c>
      <c r="S54" s="52">
        <f>B54-D54</f>
        <v>2.3802445569592223E-3</v>
      </c>
      <c r="T54" s="52">
        <f>F54-B54</f>
        <v>2.7219567792069101E-3</v>
      </c>
      <c r="U54" s="52"/>
      <c r="V54" s="52">
        <f>O4</f>
        <v>0</v>
      </c>
      <c r="W54" s="52"/>
    </row>
    <row r="55" spans="1:27">
      <c r="A55" s="59" t="str">
        <f t="shared" si="24"/>
        <v>Emerging market debt</v>
      </c>
      <c r="B55" s="117">
        <v>2.8974789695106972E-3</v>
      </c>
      <c r="C55" s="118">
        <v>4.9093161130096229E-3</v>
      </c>
      <c r="D55" s="119">
        <v>1.105200329382637E-6</v>
      </c>
      <c r="E55" s="117">
        <v>6.5053368972281729E-4</v>
      </c>
      <c r="F55" s="120">
        <v>6.6989586867430267E-3</v>
      </c>
      <c r="G55" s="2">
        <v>-2.081816149088166E-2</v>
      </c>
      <c r="H55" s="2">
        <v>0.1874088746454127</v>
      </c>
      <c r="I55" s="2">
        <v>0.21974295889131917</v>
      </c>
      <c r="J55" s="2">
        <v>1</v>
      </c>
      <c r="K55" s="2">
        <v>-0.6403524492073287</v>
      </c>
      <c r="L55" s="2">
        <v>-0.19439349994613378</v>
      </c>
      <c r="M55" s="2">
        <v>0.99999999999999889</v>
      </c>
      <c r="N55" s="57"/>
      <c r="O55" s="67"/>
      <c r="P55" s="72"/>
      <c r="Q55" s="51" t="str">
        <f t="shared" si="25"/>
        <v>Emerging market debt</v>
      </c>
      <c r="R55" s="72">
        <f t="shared" ref="R55:R60" si="26">D55</f>
        <v>1.105200329382637E-6</v>
      </c>
      <c r="S55" s="52">
        <f t="shared" ref="S55:S60" si="27">B55-D55</f>
        <v>2.8963737691813144E-3</v>
      </c>
      <c r="T55" s="52">
        <f t="shared" ref="T55:T60" si="28">F55-B55</f>
        <v>3.8014797172323295E-3</v>
      </c>
      <c r="U55" s="52"/>
      <c r="V55" s="52">
        <f t="shared" ref="V55:V60" si="29">O5</f>
        <v>0</v>
      </c>
      <c r="W55" s="52"/>
    </row>
    <row r="56" spans="1:27">
      <c r="A56" s="59" t="str">
        <f t="shared" si="24"/>
        <v>Aandelen ontwikkeld</v>
      </c>
      <c r="B56" s="117">
        <v>2.4566653538796086E-3</v>
      </c>
      <c r="C56" s="118">
        <v>4.5135136401861058E-3</v>
      </c>
      <c r="D56" s="119">
        <v>9.6574528857113598E-7</v>
      </c>
      <c r="E56" s="117">
        <v>3.1660891676790943E-4</v>
      </c>
      <c r="F56" s="120">
        <v>4.9533967434827776E-3</v>
      </c>
      <c r="G56" s="2">
        <v>-2.0758594140797029E-2</v>
      </c>
      <c r="H56" s="2">
        <v>0.12502522452408743</v>
      </c>
      <c r="I56" s="2">
        <v>0.15335389038995487</v>
      </c>
      <c r="J56" s="2">
        <v>0.38534808152352557</v>
      </c>
      <c r="K56" s="2">
        <v>1</v>
      </c>
      <c r="L56" s="2">
        <v>-0.34935502292943921</v>
      </c>
      <c r="M56" s="2">
        <v>0.99999999999999745</v>
      </c>
      <c r="N56" s="57"/>
      <c r="O56" s="67"/>
      <c r="Q56" s="51" t="str">
        <f t="shared" si="25"/>
        <v>Aandelen ontwikkeld</v>
      </c>
      <c r="R56" s="72">
        <f t="shared" si="26"/>
        <v>9.6574528857113598E-7</v>
      </c>
      <c r="S56" s="52">
        <f t="shared" si="27"/>
        <v>2.4556996085910374E-3</v>
      </c>
      <c r="T56" s="52">
        <f t="shared" si="28"/>
        <v>2.496731389603169E-3</v>
      </c>
      <c r="U56" s="52"/>
      <c r="V56" s="52">
        <f t="shared" si="29"/>
        <v>0</v>
      </c>
    </row>
    <row r="57" spans="1:27">
      <c r="A57" s="59" t="str">
        <f t="shared" si="24"/>
        <v>Aandelen opkomend</v>
      </c>
      <c r="B57" s="117">
        <v>4.1878785355103356E-3</v>
      </c>
      <c r="C57" s="118">
        <v>7.2351750912902765E-3</v>
      </c>
      <c r="D57" s="119">
        <v>5.3581393123925768E-6</v>
      </c>
      <c r="E57" s="117">
        <v>6.1020613094226351E-4</v>
      </c>
      <c r="F57" s="120">
        <v>9.4393232561766991E-3</v>
      </c>
      <c r="G57" s="2">
        <v>-4.8201673083349862E-2</v>
      </c>
      <c r="H57" s="2">
        <v>1</v>
      </c>
      <c r="I57" s="2">
        <v>-0.88114202413613185</v>
      </c>
      <c r="J57" s="2">
        <v>-0.37163798804011444</v>
      </c>
      <c r="K57" s="2">
        <v>-0.12886209369568549</v>
      </c>
      <c r="L57" s="2">
        <v>-0.12592569189694897</v>
      </c>
      <c r="M57" s="2">
        <v>0.99999999999999956</v>
      </c>
      <c r="N57" s="57"/>
      <c r="O57" s="67"/>
      <c r="Q57" s="51" t="str">
        <f t="shared" si="25"/>
        <v>Aandelen opkomend</v>
      </c>
      <c r="R57" s="72">
        <f t="shared" si="26"/>
        <v>5.3581393123925768E-6</v>
      </c>
      <c r="S57" s="52">
        <f t="shared" si="27"/>
        <v>4.1825203961979428E-3</v>
      </c>
      <c r="T57" s="52">
        <f t="shared" si="28"/>
        <v>5.2514447206663635E-3</v>
      </c>
      <c r="U57" s="52"/>
      <c r="V57" s="52">
        <f t="shared" si="29"/>
        <v>0</v>
      </c>
    </row>
    <row r="58" spans="1:27">
      <c r="A58" s="59" t="str">
        <f t="shared" si="24"/>
        <v>Commodities</v>
      </c>
      <c r="B58" s="117">
        <v>3.398150547213652E-3</v>
      </c>
      <c r="C58" s="118">
        <v>5.8435389209534746E-3</v>
      </c>
      <c r="D58" s="119">
        <v>4.396136480363585E-6</v>
      </c>
      <c r="E58" s="117">
        <v>5.8647099041735269E-4</v>
      </c>
      <c r="F58" s="120">
        <v>7.2713145146512739E-3</v>
      </c>
      <c r="G58" s="2">
        <v>-4.6220435616545659E-2</v>
      </c>
      <c r="H58" s="2">
        <v>0.32514013125814867</v>
      </c>
      <c r="I58" s="2">
        <v>1</v>
      </c>
      <c r="J58" s="2">
        <v>-0.73422133583750393</v>
      </c>
      <c r="K58" s="2">
        <v>-0.19379963075610018</v>
      </c>
      <c r="L58" s="2">
        <v>-0.1380946321873211</v>
      </c>
      <c r="M58" s="2">
        <v>1</v>
      </c>
      <c r="N58" s="57"/>
      <c r="O58" s="67"/>
      <c r="Q58" s="51" t="str">
        <f t="shared" si="25"/>
        <v>Commodities</v>
      </c>
      <c r="R58" s="72">
        <f t="shared" si="26"/>
        <v>4.396136480363585E-6</v>
      </c>
      <c r="S58" s="52">
        <f t="shared" si="27"/>
        <v>3.3937544107332882E-3</v>
      </c>
      <c r="T58" s="52">
        <f t="shared" si="28"/>
        <v>3.873163967437622E-3</v>
      </c>
      <c r="U58" s="52"/>
      <c r="V58" s="52">
        <f t="shared" si="29"/>
        <v>0</v>
      </c>
    </row>
    <row r="59" spans="1:27">
      <c r="A59" s="59" t="str">
        <f t="shared" si="24"/>
        <v>Hedge funds</v>
      </c>
      <c r="B59" s="117">
        <v>0.97463424259052023</v>
      </c>
      <c r="C59" s="118">
        <v>1.6797417174368359E-2</v>
      </c>
      <c r="D59" s="119">
        <v>0.95857434778978423</v>
      </c>
      <c r="E59" s="117">
        <v>0.97705342297403219</v>
      </c>
      <c r="F59" s="120">
        <v>0.99112628799277025</v>
      </c>
      <c r="G59" s="2">
        <v>1</v>
      </c>
      <c r="H59" s="2">
        <v>-0.7528670399960643</v>
      </c>
      <c r="I59" s="2">
        <v>-0.25108041903458783</v>
      </c>
      <c r="J59" s="2">
        <v>-0.20426913332195815</v>
      </c>
      <c r="K59" s="2">
        <v>-9.4644189565961739E-2</v>
      </c>
      <c r="L59" s="2">
        <v>-9.3421959721349937E-2</v>
      </c>
      <c r="M59" s="2">
        <v>0.99999999999999856</v>
      </c>
      <c r="N59" s="57"/>
      <c r="O59" s="67"/>
      <c r="Q59" s="51" t="str">
        <f t="shared" si="25"/>
        <v>Hedge funds</v>
      </c>
      <c r="R59" s="72">
        <f t="shared" si="26"/>
        <v>0.95857434778978423</v>
      </c>
      <c r="S59" s="52">
        <f t="shared" si="27"/>
        <v>1.6059894800735997E-2</v>
      </c>
      <c r="T59" s="52">
        <f t="shared" si="28"/>
        <v>1.6492045402250022E-2</v>
      </c>
      <c r="U59" s="52"/>
      <c r="V59" s="52">
        <f t="shared" si="29"/>
        <v>0</v>
      </c>
    </row>
    <row r="60" spans="1:27">
      <c r="A60" s="60" t="str">
        <f t="shared" ref="A60" si="30">A10</f>
        <v>Onroerend goed</v>
      </c>
      <c r="B60" s="121">
        <v>1.0042143184062402E-2</v>
      </c>
      <c r="C60" s="122">
        <v>1.4917440486550844E-2</v>
      </c>
      <c r="D60" s="123">
        <v>3.539717288938552E-5</v>
      </c>
      <c r="E60" s="121">
        <v>3.2955860909909731E-3</v>
      </c>
      <c r="F60" s="124">
        <v>2.1897717695778481E-2</v>
      </c>
      <c r="G60" s="65">
        <v>-0.84971207337047439</v>
      </c>
      <c r="H60" s="65">
        <v>-0.96951130241635441</v>
      </c>
      <c r="I60" s="65">
        <v>-0.31019557470811809</v>
      </c>
      <c r="J60" s="65">
        <v>-0.21565381389794275</v>
      </c>
      <c r="K60" s="65">
        <v>-0.1050088804359692</v>
      </c>
      <c r="L60" s="65">
        <v>-9.8809193318807539E-2</v>
      </c>
      <c r="M60" s="65">
        <v>0.99999999999999856</v>
      </c>
      <c r="N60" s="66"/>
      <c r="O60" s="67"/>
      <c r="Q60" s="51" t="str">
        <f t="shared" si="25"/>
        <v>Onroerend goed</v>
      </c>
      <c r="R60" s="72">
        <f t="shared" si="26"/>
        <v>3.539717288938552E-5</v>
      </c>
      <c r="S60" s="52">
        <f t="shared" si="27"/>
        <v>1.0006746011173016E-2</v>
      </c>
      <c r="T60" s="52">
        <f t="shared" si="28"/>
        <v>1.1855574511716078E-2</v>
      </c>
      <c r="U60" s="52"/>
      <c r="V60" s="52">
        <f t="shared" si="29"/>
        <v>0</v>
      </c>
    </row>
    <row r="61" spans="1:27">
      <c r="A61" s="67"/>
      <c r="B61" s="117"/>
      <c r="C61" s="117"/>
      <c r="D61" s="117"/>
      <c r="E61" s="117"/>
      <c r="F61" s="117"/>
      <c r="G61" s="68"/>
      <c r="H61" s="68"/>
      <c r="I61" s="68"/>
      <c r="J61" s="68"/>
      <c r="K61" s="68"/>
      <c r="L61" s="68"/>
      <c r="M61" s="68"/>
      <c r="N61" s="68"/>
      <c r="O61" s="67"/>
      <c r="P61" s="72"/>
      <c r="Q61" s="72"/>
      <c r="R61" s="72"/>
      <c r="T61" s="52"/>
      <c r="U61" s="52"/>
      <c r="V61" s="52"/>
      <c r="W61" s="52"/>
      <c r="Y61" s="131"/>
      <c r="Z61" s="131"/>
      <c r="AA61" s="131"/>
    </row>
    <row r="62" spans="1:27">
      <c r="A62" s="49"/>
      <c r="D62" s="405" t="s">
        <v>64</v>
      </c>
      <c r="E62" s="406"/>
      <c r="F62" s="407"/>
      <c r="G62" s="405" t="s">
        <v>65</v>
      </c>
      <c r="H62" s="406"/>
      <c r="I62" s="406"/>
      <c r="J62" s="406"/>
      <c r="K62" s="406"/>
      <c r="L62" s="406"/>
      <c r="M62" s="406"/>
      <c r="N62" s="407"/>
      <c r="O62" s="67"/>
      <c r="P62" s="72"/>
      <c r="Q62" s="72"/>
      <c r="R62" s="72"/>
      <c r="T62" s="52"/>
      <c r="U62" s="52"/>
      <c r="V62" s="52"/>
      <c r="W62" s="52"/>
    </row>
    <row r="63" spans="1:27">
      <c r="A63" s="265" t="str">
        <f>'Samenvatting mixen'!A69</f>
        <v>Bull case</v>
      </c>
      <c r="B63" s="266" t="s">
        <v>67</v>
      </c>
      <c r="C63" s="267" t="s">
        <v>2</v>
      </c>
      <c r="D63" s="268">
        <v>0.25</v>
      </c>
      <c r="E63" s="269">
        <v>0.5</v>
      </c>
      <c r="F63" s="270">
        <v>0.75</v>
      </c>
      <c r="G63" s="271">
        <v>0.68771344794319988</v>
      </c>
      <c r="H63" s="271">
        <v>0.23601097390418568</v>
      </c>
      <c r="I63" s="271">
        <v>5.2192105102654041E-2</v>
      </c>
      <c r="J63" s="271">
        <v>1.3398418479368734E-2</v>
      </c>
      <c r="K63" s="271">
        <v>8.7646543410695443E-3</v>
      </c>
      <c r="L63" s="271">
        <v>1.920400229520558E-3</v>
      </c>
      <c r="M63" s="271">
        <v>2.2204460492503131E-16</v>
      </c>
      <c r="N63" s="271"/>
      <c r="O63" s="272"/>
      <c r="P63" s="72"/>
      <c r="Q63" s="51" t="str">
        <f>A63</f>
        <v>Bull case</v>
      </c>
      <c r="V63" s="52"/>
      <c r="W63" s="52"/>
    </row>
    <row r="64" spans="1:27">
      <c r="A64" s="53" t="str">
        <f t="shared" ref="A64:A70" si="31">A54</f>
        <v>High Yield</v>
      </c>
      <c r="B64" s="117">
        <v>0.14917390455513618</v>
      </c>
      <c r="C64" s="118">
        <v>0.12269903350921688</v>
      </c>
      <c r="D64" s="119">
        <v>2.2022090809635228E-2</v>
      </c>
      <c r="E64" s="117">
        <v>0.13200280888103955</v>
      </c>
      <c r="F64" s="120">
        <v>0.28226053165070231</v>
      </c>
      <c r="G64" s="2">
        <v>-0.93261357901704389</v>
      </c>
      <c r="H64" s="2">
        <v>-0.58884253182265123</v>
      </c>
      <c r="I64" s="2">
        <v>-0.3125539121741247</v>
      </c>
      <c r="J64" s="2">
        <v>-0.30400307273798288</v>
      </c>
      <c r="K64" s="2">
        <v>-0.13444555880052603</v>
      </c>
      <c r="L64" s="2">
        <v>-0.15207949685684222</v>
      </c>
      <c r="M64" s="2">
        <v>0.99999999999999933</v>
      </c>
      <c r="N64" s="57"/>
      <c r="O64" s="67"/>
      <c r="Q64" s="51" t="str">
        <f t="shared" ref="Q64:Q70" si="32">A64</f>
        <v>High Yield</v>
      </c>
      <c r="R64" s="72">
        <f>D64</f>
        <v>2.2022090809635228E-2</v>
      </c>
      <c r="S64" s="52">
        <f>B64-D64</f>
        <v>0.12715181374550094</v>
      </c>
      <c r="T64" s="52">
        <f>F64-B64</f>
        <v>0.13308662709556612</v>
      </c>
      <c r="U64" s="52"/>
    </row>
    <row r="65" spans="1:24">
      <c r="A65" s="59" t="str">
        <f t="shared" si="31"/>
        <v>Emerging market debt</v>
      </c>
      <c r="B65" s="117">
        <v>3.7211504041894196E-2</v>
      </c>
      <c r="C65" s="118">
        <v>4.0100371873049705E-2</v>
      </c>
      <c r="D65" s="119">
        <v>2.4767254847988776E-3</v>
      </c>
      <c r="E65" s="117">
        <v>2.4249217414081672E-2</v>
      </c>
      <c r="F65" s="120">
        <v>7.5518659715028524E-2</v>
      </c>
      <c r="G65" s="2">
        <v>3.2776170680256483E-2</v>
      </c>
      <c r="H65" s="2">
        <v>1.2841644904245436E-2</v>
      </c>
      <c r="I65" s="2">
        <v>1</v>
      </c>
      <c r="J65" s="2">
        <v>-0.34235406808783231</v>
      </c>
      <c r="K65" s="2">
        <v>-0.1521741542352642</v>
      </c>
      <c r="L65" s="2">
        <v>-0.16208417322835875</v>
      </c>
      <c r="M65" s="2">
        <v>0.99999999999999822</v>
      </c>
      <c r="N65" s="57"/>
      <c r="O65" s="67"/>
      <c r="Q65" s="51" t="str">
        <f t="shared" si="32"/>
        <v>Emerging market debt</v>
      </c>
      <c r="R65" s="72">
        <f t="shared" ref="R65:R70" si="33">D65</f>
        <v>2.4767254847988776E-3</v>
      </c>
      <c r="S65" s="52">
        <f t="shared" ref="S65:S70" si="34">B65-D65</f>
        <v>3.4734778557095315E-2</v>
      </c>
      <c r="T65" s="52">
        <f t="shared" ref="T65:T70" si="35">F65-B65</f>
        <v>3.8307155673134329E-2</v>
      </c>
      <c r="U65" s="52"/>
    </row>
    <row r="66" spans="1:24">
      <c r="A66" s="59" t="str">
        <f t="shared" si="31"/>
        <v>Aandelen ontwikkeld</v>
      </c>
      <c r="B66" s="117">
        <v>6.0342365414051699E-3</v>
      </c>
      <c r="C66" s="118">
        <v>8.2750417409199577E-3</v>
      </c>
      <c r="D66" s="119">
        <v>1.0538314385997336E-4</v>
      </c>
      <c r="E66" s="117">
        <v>2.2534901314979088E-3</v>
      </c>
      <c r="F66" s="120">
        <v>1.298758956484181E-2</v>
      </c>
      <c r="G66" s="2">
        <v>5.4924504024143036E-3</v>
      </c>
      <c r="H66" s="2">
        <v>-8.5198880730046663E-3</v>
      </c>
      <c r="I66" s="2">
        <v>1.0851388787145443E-2</v>
      </c>
      <c r="J66" s="2">
        <v>6.4361429423703043E-2</v>
      </c>
      <c r="K66" s="2">
        <v>-2.0672132960962146E-2</v>
      </c>
      <c r="L66" s="2">
        <v>1</v>
      </c>
      <c r="M66" s="2">
        <v>0.9999999999999849</v>
      </c>
      <c r="N66" s="57"/>
      <c r="O66" s="67"/>
      <c r="Q66" s="51" t="str">
        <f t="shared" si="32"/>
        <v>Aandelen ontwikkeld</v>
      </c>
      <c r="R66" s="72">
        <f t="shared" si="33"/>
        <v>1.0538314385997336E-4</v>
      </c>
      <c r="S66" s="52">
        <f t="shared" si="34"/>
        <v>5.9288533975451968E-3</v>
      </c>
      <c r="T66" s="52">
        <f t="shared" si="35"/>
        <v>6.9533530234366396E-3</v>
      </c>
      <c r="U66" s="52"/>
    </row>
    <row r="67" spans="1:24">
      <c r="A67" s="59" t="str">
        <f t="shared" si="31"/>
        <v>Aandelen opkomend</v>
      </c>
      <c r="B67" s="117">
        <v>1.6283380420300746E-2</v>
      </c>
      <c r="C67" s="118">
        <v>2.0435356325469181E-2</v>
      </c>
      <c r="D67" s="119">
        <v>4.2639423224586205E-4</v>
      </c>
      <c r="E67" s="117">
        <v>9.2213949121545125E-3</v>
      </c>
      <c r="F67" s="120">
        <v>3.1905464937193262E-2</v>
      </c>
      <c r="G67" s="2">
        <v>1.0518518639678166E-2</v>
      </c>
      <c r="H67" s="2">
        <v>3.3786630477029593E-3</v>
      </c>
      <c r="I67" s="2">
        <v>1.2078599932357423E-2</v>
      </c>
      <c r="J67" s="2">
        <v>1</v>
      </c>
      <c r="K67" s="2">
        <v>-0.40699361806616091</v>
      </c>
      <c r="L67" s="2">
        <v>-0.22662305121528517</v>
      </c>
      <c r="M67" s="2">
        <v>0.999999999999997</v>
      </c>
      <c r="N67" s="57"/>
      <c r="O67" s="67"/>
      <c r="Q67" s="51" t="str">
        <f t="shared" si="32"/>
        <v>Aandelen opkomend</v>
      </c>
      <c r="R67" s="72">
        <f t="shared" si="33"/>
        <v>4.2639423224586205E-4</v>
      </c>
      <c r="S67" s="52">
        <f t="shared" si="34"/>
        <v>1.5856986188054884E-2</v>
      </c>
      <c r="T67" s="52">
        <f t="shared" si="35"/>
        <v>1.5622084516892516E-2</v>
      </c>
      <c r="U67" s="52"/>
    </row>
    <row r="68" spans="1:24">
      <c r="A68" s="59" t="str">
        <f t="shared" si="31"/>
        <v>Commodities</v>
      </c>
      <c r="B68" s="117">
        <v>1.4460062675577591E-2</v>
      </c>
      <c r="C68" s="118">
        <v>1.742686670968847E-2</v>
      </c>
      <c r="D68" s="119">
        <v>4.4516887780731107E-4</v>
      </c>
      <c r="E68" s="117">
        <v>8.203827947779371E-3</v>
      </c>
      <c r="F68" s="120">
        <v>3.0307072259360378E-2</v>
      </c>
      <c r="G68" s="2">
        <v>1.0981078913783074E-2</v>
      </c>
      <c r="H68" s="2">
        <v>3.5991796942127087E-3</v>
      </c>
      <c r="I68" s="2">
        <v>1.205483035378409E-2</v>
      </c>
      <c r="J68" s="2">
        <v>0.22366721254991168</v>
      </c>
      <c r="K68" s="2">
        <v>1</v>
      </c>
      <c r="L68" s="2">
        <v>-0.15951330622398185</v>
      </c>
      <c r="M68" s="2">
        <v>0.999999999999995</v>
      </c>
      <c r="N68" s="57"/>
      <c r="O68" s="67"/>
      <c r="Q68" s="51" t="str">
        <f t="shared" si="32"/>
        <v>Commodities</v>
      </c>
      <c r="R68" s="72">
        <f t="shared" si="33"/>
        <v>4.4516887780731107E-4</v>
      </c>
      <c r="S68" s="52">
        <f t="shared" si="34"/>
        <v>1.4014893797770281E-2</v>
      </c>
      <c r="T68" s="52">
        <f t="shared" si="35"/>
        <v>1.5847009583782788E-2</v>
      </c>
      <c r="U68" s="52"/>
    </row>
    <row r="69" spans="1:24">
      <c r="A69" s="59" t="str">
        <f t="shared" si="31"/>
        <v>Hedge funds</v>
      </c>
      <c r="B69" s="117">
        <v>9.2671337912303975E-2</v>
      </c>
      <c r="C69" s="118">
        <v>8.1714245165155269E-2</v>
      </c>
      <c r="D69" s="119">
        <v>9.0431371416842977E-3</v>
      </c>
      <c r="E69" s="117">
        <v>7.8283404828748793E-2</v>
      </c>
      <c r="F69" s="120">
        <v>0.18135484178387196</v>
      </c>
      <c r="G69" s="2">
        <v>-0.12715463961908832</v>
      </c>
      <c r="H69" s="2">
        <v>1</v>
      </c>
      <c r="I69" s="2">
        <v>-0.35296282766330556</v>
      </c>
      <c r="J69" s="2">
        <v>-0.31588126632601471</v>
      </c>
      <c r="K69" s="2">
        <v>-0.14082353418359222</v>
      </c>
      <c r="L69" s="2">
        <v>-0.14356857350749511</v>
      </c>
      <c r="M69" s="2">
        <v>0.99999999999999956</v>
      </c>
      <c r="N69" s="57"/>
      <c r="O69" s="67"/>
      <c r="Q69" s="51" t="str">
        <f t="shared" si="32"/>
        <v>Hedge funds</v>
      </c>
      <c r="R69" s="72">
        <f t="shared" si="33"/>
        <v>9.0431371416842977E-3</v>
      </c>
      <c r="S69" s="52">
        <f t="shared" si="34"/>
        <v>8.3628200770619679E-2</v>
      </c>
      <c r="T69" s="52">
        <f t="shared" si="35"/>
        <v>8.8683503871567981E-2</v>
      </c>
      <c r="U69" s="52"/>
      <c r="X69" s="51"/>
    </row>
    <row r="70" spans="1:24">
      <c r="A70" s="60" t="str">
        <f t="shared" si="31"/>
        <v>Onroerend goed</v>
      </c>
      <c r="B70" s="121">
        <v>0.68416557385338195</v>
      </c>
      <c r="C70" s="122">
        <v>0.12641216436245814</v>
      </c>
      <c r="D70" s="123">
        <v>0.55536313153721006</v>
      </c>
      <c r="E70" s="121">
        <v>0.68193954378962429</v>
      </c>
      <c r="F70" s="124">
        <v>0.82336669797881545</v>
      </c>
      <c r="G70" s="65">
        <v>1</v>
      </c>
      <c r="H70" s="65">
        <v>-0.42245706775050523</v>
      </c>
      <c r="I70" s="65">
        <v>-0.36946807923585528</v>
      </c>
      <c r="J70" s="65">
        <v>-0.3257902348217806</v>
      </c>
      <c r="K70" s="65">
        <v>-0.14489100175349126</v>
      </c>
      <c r="L70" s="65">
        <v>-0.15613139896802375</v>
      </c>
      <c r="M70" s="65">
        <v>1</v>
      </c>
      <c r="N70" s="66"/>
      <c r="O70" s="67"/>
      <c r="P70" s="72"/>
      <c r="Q70" s="51" t="str">
        <f t="shared" si="32"/>
        <v>Onroerend goed</v>
      </c>
      <c r="R70" s="72">
        <f t="shared" si="33"/>
        <v>0.55536313153721006</v>
      </c>
      <c r="S70" s="52">
        <f t="shared" si="34"/>
        <v>0.12880244231617188</v>
      </c>
      <c r="T70" s="52">
        <f t="shared" si="35"/>
        <v>0.13920112412543351</v>
      </c>
      <c r="U70" s="52"/>
      <c r="V70" s="52"/>
      <c r="W70" s="52"/>
    </row>
    <row r="71" spans="1:24">
      <c r="A71" s="67"/>
      <c r="B71" s="117"/>
      <c r="C71" s="117"/>
      <c r="D71" s="117"/>
      <c r="E71" s="117"/>
      <c r="F71" s="117"/>
      <c r="G71" s="68"/>
      <c r="H71" s="68"/>
      <c r="I71" s="68"/>
      <c r="J71" s="68"/>
      <c r="K71" s="68"/>
      <c r="L71" s="68"/>
      <c r="M71" s="68"/>
      <c r="N71" s="68"/>
      <c r="O71" s="67"/>
      <c r="P71" s="72"/>
      <c r="Q71" s="72"/>
      <c r="R71" s="72"/>
      <c r="T71" s="52"/>
      <c r="U71" s="52"/>
      <c r="V71" s="52"/>
      <c r="W71" s="52"/>
    </row>
    <row r="72" spans="1:24">
      <c r="A72" s="49"/>
      <c r="D72" s="405" t="s">
        <v>64</v>
      </c>
      <c r="E72" s="406"/>
      <c r="F72" s="407"/>
      <c r="G72" s="405" t="s">
        <v>65</v>
      </c>
      <c r="H72" s="406"/>
      <c r="I72" s="406"/>
      <c r="J72" s="406"/>
      <c r="K72" s="406"/>
      <c r="L72" s="406"/>
      <c r="M72" s="406"/>
      <c r="N72" s="407"/>
      <c r="O72" s="67"/>
      <c r="P72" s="72"/>
      <c r="Q72" s="72"/>
      <c r="R72" s="72"/>
      <c r="T72" s="52"/>
      <c r="U72" s="52"/>
      <c r="V72" s="52"/>
      <c r="W72" s="52"/>
    </row>
    <row r="73" spans="1:24">
      <c r="A73" s="265" t="str">
        <f>'Samenvatting mixen'!A80</f>
        <v>Kansgewogen</v>
      </c>
      <c r="B73" s="266" t="s">
        <v>67</v>
      </c>
      <c r="C73" s="267" t="s">
        <v>2</v>
      </c>
      <c r="D73" s="268">
        <v>0.25</v>
      </c>
      <c r="E73" s="269">
        <v>0.5</v>
      </c>
      <c r="F73" s="270">
        <v>0.75</v>
      </c>
      <c r="G73" s="271">
        <v>0.8112954795745676</v>
      </c>
      <c r="H73" s="271">
        <v>0.12925254548946052</v>
      </c>
      <c r="I73" s="271">
        <v>3.5629258856645363E-2</v>
      </c>
      <c r="J73" s="271">
        <v>1.962366414842931E-2</v>
      </c>
      <c r="K73" s="271">
        <v>3.5263691243579975E-3</v>
      </c>
      <c r="L73" s="271">
        <v>6.7268280653653978E-4</v>
      </c>
      <c r="M73" s="271">
        <v>1.1102230246251565E-16</v>
      </c>
      <c r="N73" s="271"/>
      <c r="O73" s="272"/>
      <c r="P73" s="72"/>
      <c r="Q73" s="51" t="str">
        <f>A73</f>
        <v>Kansgewogen</v>
      </c>
      <c r="V73" s="52"/>
      <c r="W73" s="52"/>
    </row>
    <row r="74" spans="1:24">
      <c r="A74" s="53" t="str">
        <f t="shared" ref="A74:A80" si="36">A64</f>
        <v>High Yield</v>
      </c>
      <c r="B74" s="117">
        <v>7.0965422361993755E-2</v>
      </c>
      <c r="C74" s="118">
        <v>5.2608396737447563E-2</v>
      </c>
      <c r="D74" s="119">
        <v>1.7689981899054359E-2</v>
      </c>
      <c r="E74" s="117">
        <v>6.2020307807364457E-2</v>
      </c>
      <c r="F74" s="120">
        <v>0.1244264312897251</v>
      </c>
      <c r="G74" s="2">
        <v>-0.11600897974362401</v>
      </c>
      <c r="H74" s="2">
        <v>1</v>
      </c>
      <c r="I74" s="2">
        <v>-0.36515839676872403</v>
      </c>
      <c r="J74" s="2">
        <v>-0.18957885839482991</v>
      </c>
      <c r="K74" s="2">
        <v>-0.17845722764985408</v>
      </c>
      <c r="L74" s="2">
        <v>-0.15651518410837589</v>
      </c>
      <c r="M74" s="2">
        <v>0.99999999999999722</v>
      </c>
      <c r="N74" s="57"/>
      <c r="O74" s="67"/>
      <c r="P74" s="72"/>
      <c r="Q74" s="51" t="str">
        <f t="shared" ref="Q74:Q80" si="37">A74</f>
        <v>High Yield</v>
      </c>
      <c r="R74" s="72">
        <f>D74</f>
        <v>1.7689981899054359E-2</v>
      </c>
      <c r="S74" s="52">
        <f>B74-D74</f>
        <v>5.3275440462939395E-2</v>
      </c>
      <c r="T74" s="52">
        <f>F74-B74</f>
        <v>5.3461008927731341E-2</v>
      </c>
      <c r="U74" s="52"/>
      <c r="V74" s="52">
        <f>O25</f>
        <v>0</v>
      </c>
      <c r="W74" s="52"/>
    </row>
    <row r="75" spans="1:24">
      <c r="A75" s="59" t="str">
        <f t="shared" si="36"/>
        <v>Emerging market debt</v>
      </c>
      <c r="B75" s="117">
        <v>0.69339038784625162</v>
      </c>
      <c r="C75" s="118">
        <v>0.1155697372774777</v>
      </c>
      <c r="D75" s="119">
        <v>0.56757357536898656</v>
      </c>
      <c r="E75" s="117">
        <v>0.70514605807808672</v>
      </c>
      <c r="F75" s="120">
        <v>0.81570755829310448</v>
      </c>
      <c r="G75" s="2">
        <v>1</v>
      </c>
      <c r="H75" s="2">
        <v>-0.37399969296731178</v>
      </c>
      <c r="I75" s="2">
        <v>-0.39063753251030814</v>
      </c>
      <c r="J75" s="2">
        <v>-0.22733661269606992</v>
      </c>
      <c r="K75" s="2">
        <v>-0.19274486734554125</v>
      </c>
      <c r="L75" s="2">
        <v>-0.16446529697650858</v>
      </c>
      <c r="M75" s="2">
        <v>1</v>
      </c>
      <c r="N75" s="57"/>
      <c r="O75" s="67"/>
      <c r="P75" s="72"/>
      <c r="Q75" s="51" t="str">
        <f t="shared" si="37"/>
        <v>Emerging market debt</v>
      </c>
      <c r="R75" s="72">
        <f t="shared" ref="R75:R80" si="38">D75</f>
        <v>0.56757357536898656</v>
      </c>
      <c r="S75" s="52">
        <f t="shared" ref="S75:S80" si="39">B75-D75</f>
        <v>0.12581681247726506</v>
      </c>
      <c r="T75" s="52">
        <f t="shared" ref="T75:T80" si="40">F75-B75</f>
        <v>0.12231717044685286</v>
      </c>
      <c r="U75" s="52"/>
      <c r="V75" s="52">
        <f t="shared" ref="V75:V80" si="41">O26</f>
        <v>0</v>
      </c>
      <c r="W75" s="52"/>
    </row>
    <row r="76" spans="1:24">
      <c r="A76" s="59" t="str">
        <f t="shared" si="36"/>
        <v>Aandelen ontwikkeld</v>
      </c>
      <c r="B76" s="117">
        <v>3.5718216007240072E-3</v>
      </c>
      <c r="C76" s="118">
        <v>4.0592747255040421E-3</v>
      </c>
      <c r="D76" s="119">
        <v>1.9234270153773903E-4</v>
      </c>
      <c r="E76" s="117">
        <v>2.1784555296845681E-3</v>
      </c>
      <c r="F76" s="120">
        <v>7.3622196998834044E-3</v>
      </c>
      <c r="G76" s="2">
        <v>4.039589423087112E-4</v>
      </c>
      <c r="H76" s="2">
        <v>-7.3326632831725233E-3</v>
      </c>
      <c r="I76" s="2">
        <v>-8.8718982962021353E-3</v>
      </c>
      <c r="J76" s="2">
        <v>1.4073256459900983E-3</v>
      </c>
      <c r="K76" s="2">
        <v>4.0138944419814207E-2</v>
      </c>
      <c r="L76" s="2">
        <v>1</v>
      </c>
      <c r="M76" s="2">
        <v>0.99999999999988631</v>
      </c>
      <c r="N76" s="57"/>
      <c r="O76" s="67"/>
      <c r="Q76" s="51" t="str">
        <f t="shared" si="37"/>
        <v>Aandelen ontwikkeld</v>
      </c>
      <c r="R76" s="72">
        <f t="shared" si="38"/>
        <v>1.9234270153773903E-4</v>
      </c>
      <c r="S76" s="52">
        <f t="shared" si="39"/>
        <v>3.379478899186268E-3</v>
      </c>
      <c r="T76" s="52">
        <f t="shared" si="40"/>
        <v>3.7903980991593972E-3</v>
      </c>
      <c r="U76" s="52"/>
      <c r="V76" s="52">
        <f t="shared" si="41"/>
        <v>0</v>
      </c>
    </row>
    <row r="77" spans="1:24">
      <c r="A77" s="59" t="str">
        <f t="shared" si="36"/>
        <v>Aandelen opkomend</v>
      </c>
      <c r="B77" s="117">
        <v>0.16227271435079998</v>
      </c>
      <c r="C77" s="118">
        <v>0.10319772741808733</v>
      </c>
      <c r="D77" s="119">
        <v>4.8544643607962595E-2</v>
      </c>
      <c r="E77" s="117">
        <v>0.14888643866634901</v>
      </c>
      <c r="F77" s="120">
        <v>0.27934184350321711</v>
      </c>
      <c r="G77" s="2">
        <v>-0.86854694667133214</v>
      </c>
      <c r="H77" s="2">
        <v>-0.5638735139847505</v>
      </c>
      <c r="I77" s="2">
        <v>-0.41350980656124886</v>
      </c>
      <c r="J77" s="2">
        <v>-0.2374760394888209</v>
      </c>
      <c r="K77" s="2">
        <v>-0.195009026919401</v>
      </c>
      <c r="L77" s="2">
        <v>-0.16514198353521109</v>
      </c>
      <c r="M77" s="2">
        <v>0.99999999999999978</v>
      </c>
      <c r="N77" s="57"/>
      <c r="O77" s="67"/>
      <c r="Q77" s="51" t="str">
        <f t="shared" si="37"/>
        <v>Aandelen opkomend</v>
      </c>
      <c r="R77" s="72">
        <f t="shared" si="38"/>
        <v>4.8544643607962595E-2</v>
      </c>
      <c r="S77" s="52">
        <f t="shared" si="39"/>
        <v>0.11372807074283739</v>
      </c>
      <c r="T77" s="52">
        <f t="shared" si="40"/>
        <v>0.11706912915241713</v>
      </c>
      <c r="U77" s="52"/>
      <c r="V77" s="52">
        <f t="shared" si="41"/>
        <v>0</v>
      </c>
    </row>
    <row r="78" spans="1:24">
      <c r="A78" s="59" t="str">
        <f t="shared" si="36"/>
        <v>Commodities</v>
      </c>
      <c r="B78" s="117">
        <v>9.0099043050310829E-3</v>
      </c>
      <c r="C78" s="118">
        <v>9.1783818170832147E-3</v>
      </c>
      <c r="D78" s="119">
        <v>1.2067341967224624E-3</v>
      </c>
      <c r="E78" s="117">
        <v>5.9163687655239931E-3</v>
      </c>
      <c r="F78" s="120">
        <v>1.7643882410307305E-2</v>
      </c>
      <c r="G78" s="2">
        <v>-7.4380242801350886E-4</v>
      </c>
      <c r="H78" s="2">
        <v>-1.3845613104402734E-2</v>
      </c>
      <c r="I78" s="2">
        <v>2.235979243504202E-2</v>
      </c>
      <c r="J78" s="2">
        <v>6.6507839038892624E-2</v>
      </c>
      <c r="K78" s="2">
        <v>1</v>
      </c>
      <c r="L78" s="2">
        <v>-0.20528276421544925</v>
      </c>
      <c r="M78" s="2">
        <v>0.99999999999997635</v>
      </c>
      <c r="N78" s="57"/>
      <c r="O78" s="67"/>
      <c r="Q78" s="51" t="str">
        <f t="shared" si="37"/>
        <v>Commodities</v>
      </c>
      <c r="R78" s="72">
        <f t="shared" si="38"/>
        <v>1.2067341967224624E-3</v>
      </c>
      <c r="S78" s="52">
        <f t="shared" si="39"/>
        <v>7.8031701083086207E-3</v>
      </c>
      <c r="T78" s="52">
        <f t="shared" si="40"/>
        <v>8.6339781052762223E-3</v>
      </c>
      <c r="U78" s="52"/>
      <c r="V78" s="52">
        <f t="shared" si="41"/>
        <v>0</v>
      </c>
    </row>
    <row r="79" spans="1:24">
      <c r="A79" s="59" t="str">
        <f t="shared" si="36"/>
        <v>Hedge funds</v>
      </c>
      <c r="B79" s="117">
        <v>3.7827140676096251E-2</v>
      </c>
      <c r="C79" s="118">
        <v>2.741220781831746E-2</v>
      </c>
      <c r="D79" s="119">
        <v>1.0415615153442442E-2</v>
      </c>
      <c r="E79" s="117">
        <v>3.2700743662896381E-2</v>
      </c>
      <c r="F79" s="120">
        <v>6.4596989619208067E-2</v>
      </c>
      <c r="G79" s="2">
        <v>-1.007256157014319E-2</v>
      </c>
      <c r="H79" s="2">
        <v>-8.8631442773092865E-3</v>
      </c>
      <c r="I79" s="2">
        <v>1</v>
      </c>
      <c r="J79" s="2">
        <v>-0.41352365410515746</v>
      </c>
      <c r="K79" s="2">
        <v>-0.20049458666836673</v>
      </c>
      <c r="L79" s="2">
        <v>-0.15179239504513536</v>
      </c>
      <c r="M79" s="2">
        <v>0.99999999999999423</v>
      </c>
      <c r="N79" s="57"/>
      <c r="O79" s="67"/>
      <c r="Q79" s="51" t="str">
        <f t="shared" si="37"/>
        <v>Hedge funds</v>
      </c>
      <c r="R79" s="72">
        <f t="shared" si="38"/>
        <v>1.0415615153442442E-2</v>
      </c>
      <c r="S79" s="52">
        <f t="shared" si="39"/>
        <v>2.7411525522653808E-2</v>
      </c>
      <c r="T79" s="52">
        <f t="shared" si="40"/>
        <v>2.6769848943111817E-2</v>
      </c>
      <c r="U79" s="52"/>
      <c r="V79" s="52">
        <f t="shared" si="41"/>
        <v>0</v>
      </c>
    </row>
    <row r="80" spans="1:24">
      <c r="A80" s="60" t="str">
        <f t="shared" si="36"/>
        <v>Onroerend goed</v>
      </c>
      <c r="B80" s="121">
        <v>2.2962608859102934E-2</v>
      </c>
      <c r="C80" s="122">
        <v>2.1051847051969576E-2</v>
      </c>
      <c r="D80" s="123">
        <v>4.0450734037922641E-3</v>
      </c>
      <c r="E80" s="121">
        <v>1.6362616632784526E-2</v>
      </c>
      <c r="F80" s="124">
        <v>4.322878805498119E-2</v>
      </c>
      <c r="G80" s="65">
        <v>-5.0316685291965368E-3</v>
      </c>
      <c r="H80" s="65">
        <v>-3.2085372383051661E-2</v>
      </c>
      <c r="I80" s="65">
        <v>0.15581784170144636</v>
      </c>
      <c r="J80" s="65">
        <v>1</v>
      </c>
      <c r="K80" s="65">
        <v>-0.27343323583662604</v>
      </c>
      <c r="L80" s="65">
        <v>-0.15680237611921322</v>
      </c>
      <c r="M80" s="65">
        <v>0.99999999999999378</v>
      </c>
      <c r="N80" s="66"/>
      <c r="O80" s="67"/>
      <c r="Q80" s="51" t="str">
        <f t="shared" si="37"/>
        <v>Onroerend goed</v>
      </c>
      <c r="R80" s="72">
        <f t="shared" si="38"/>
        <v>4.0450734037922641E-3</v>
      </c>
      <c r="S80" s="52">
        <f t="shared" si="39"/>
        <v>1.891753545531067E-2</v>
      </c>
      <c r="T80" s="52">
        <f t="shared" si="40"/>
        <v>2.0266179195878257E-2</v>
      </c>
      <c r="U80" s="52"/>
      <c r="V80" s="52">
        <f t="shared" si="41"/>
        <v>0</v>
      </c>
    </row>
    <row r="81" spans="1:27">
      <c r="A81" s="67"/>
      <c r="B81" s="117"/>
      <c r="C81" s="117"/>
      <c r="D81" s="117"/>
      <c r="E81" s="117"/>
      <c r="F81" s="117"/>
      <c r="G81" s="68"/>
      <c r="H81" s="68"/>
      <c r="I81" s="68"/>
      <c r="J81" s="68"/>
      <c r="K81" s="68"/>
      <c r="L81" s="68"/>
      <c r="M81" s="68"/>
      <c r="N81" s="68"/>
      <c r="O81" s="67"/>
      <c r="P81" s="72"/>
      <c r="Q81" s="72"/>
      <c r="R81" s="72"/>
      <c r="T81" s="52"/>
      <c r="U81" s="52"/>
      <c r="V81" s="52"/>
      <c r="W81" s="52"/>
      <c r="Y81" s="131"/>
      <c r="Z81" s="131"/>
      <c r="AA81" s="131"/>
    </row>
    <row r="82" spans="1:27">
      <c r="A82" s="67"/>
      <c r="B82" s="117"/>
      <c r="C82" s="117"/>
      <c r="D82" s="117"/>
      <c r="E82" s="117"/>
      <c r="F82" s="117"/>
      <c r="G82" s="68"/>
      <c r="H82" s="68"/>
      <c r="I82" s="68"/>
      <c r="J82" s="68"/>
      <c r="K82" s="68"/>
      <c r="L82" s="68"/>
      <c r="M82" s="68"/>
      <c r="N82" s="68"/>
      <c r="O82" s="67"/>
      <c r="P82" s="72"/>
      <c r="Q82" s="72"/>
      <c r="R82" s="72"/>
      <c r="T82" s="52"/>
      <c r="U82" s="52"/>
      <c r="V82" s="52"/>
      <c r="W82" s="52"/>
      <c r="Y82" s="131"/>
      <c r="Z82" s="131"/>
      <c r="AA82" s="131"/>
    </row>
    <row r="83" spans="1:27">
      <c r="A83" s="67"/>
      <c r="B83" s="117"/>
      <c r="C83" s="117"/>
      <c r="D83" s="117"/>
      <c r="E83" s="117"/>
      <c r="F83" s="117"/>
      <c r="G83" s="68"/>
      <c r="H83" s="68"/>
      <c r="I83" s="68"/>
      <c r="J83" s="68"/>
      <c r="K83" s="68"/>
      <c r="L83" s="68"/>
      <c r="M83" s="68"/>
      <c r="N83" s="68"/>
      <c r="O83" s="67"/>
      <c r="P83" s="72"/>
      <c r="Q83" s="72"/>
      <c r="R83" s="72"/>
      <c r="T83" s="52"/>
      <c r="U83" s="52"/>
      <c r="V83" s="52"/>
      <c r="W83" s="52"/>
      <c r="Y83" s="131"/>
      <c r="Z83" s="131"/>
      <c r="AA83" s="131"/>
    </row>
    <row r="84" spans="1:27">
      <c r="A84" s="67"/>
      <c r="B84" s="117"/>
      <c r="C84" s="117"/>
      <c r="D84" s="117"/>
      <c r="E84" s="117"/>
      <c r="F84" s="117"/>
      <c r="G84" s="68"/>
      <c r="H84" s="68"/>
      <c r="I84" s="68"/>
      <c r="J84" s="68"/>
      <c r="K84" s="68"/>
      <c r="L84" s="68"/>
      <c r="M84" s="68"/>
      <c r="N84" s="68"/>
      <c r="O84" s="67"/>
      <c r="P84" s="72"/>
      <c r="Q84" s="72"/>
      <c r="R84" s="72"/>
      <c r="T84" s="52"/>
      <c r="U84" s="52"/>
      <c r="V84" s="52"/>
      <c r="W84" s="52"/>
      <c r="Y84" s="131"/>
      <c r="Z84" s="131"/>
      <c r="AA84" s="131"/>
    </row>
    <row r="85" spans="1:27">
      <c r="A85" s="67"/>
      <c r="B85" s="117"/>
      <c r="C85" s="117"/>
      <c r="D85" s="117"/>
      <c r="E85" s="117"/>
      <c r="F85" s="117"/>
      <c r="G85" s="68"/>
      <c r="H85" s="68"/>
      <c r="I85" s="68"/>
      <c r="J85" s="68"/>
      <c r="K85" s="68"/>
      <c r="L85" s="68"/>
      <c r="M85" s="68"/>
      <c r="N85" s="68"/>
      <c r="O85" s="67"/>
    </row>
    <row r="86" spans="1:27">
      <c r="A86" s="67"/>
      <c r="B86" s="117"/>
      <c r="C86" s="117"/>
      <c r="D86" s="117"/>
      <c r="E86" s="117"/>
      <c r="F86" s="117"/>
      <c r="G86" s="68"/>
      <c r="H86" s="68"/>
      <c r="I86" s="68"/>
      <c r="J86" s="68"/>
      <c r="K86" s="68"/>
      <c r="L86" s="68"/>
      <c r="M86" s="68"/>
      <c r="N86" s="68"/>
      <c r="O86" s="67"/>
    </row>
    <row r="87" spans="1:27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</row>
    <row r="88" spans="1:27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</row>
    <row r="89" spans="1:27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</row>
    <row r="90" spans="1:27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</row>
    <row r="91" spans="1:27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</row>
    <row r="92" spans="1:27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</row>
    <row r="93" spans="1:27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</row>
    <row r="103" spans="1:2">
      <c r="A103" s="59" t="s">
        <v>5</v>
      </c>
      <c r="B103" s="132">
        <f>A115/SUM($A$115:$A$121)</f>
        <v>0.16317857772190714</v>
      </c>
    </row>
    <row r="104" spans="1:2">
      <c r="A104" s="59" t="s">
        <v>6</v>
      </c>
      <c r="B104" s="132">
        <f t="shared" ref="B104:B109" si="42">A116/SUM($A$115:$A$121)</f>
        <v>0.19290379455136406</v>
      </c>
    </row>
    <row r="105" spans="1:2">
      <c r="A105" s="59" t="s">
        <v>7</v>
      </c>
      <c r="B105" s="132">
        <f t="shared" si="42"/>
        <v>0.25645812312142269</v>
      </c>
    </row>
    <row r="106" spans="1:2">
      <c r="A106" s="59" t="s">
        <v>8</v>
      </c>
      <c r="B106" s="132">
        <f t="shared" si="42"/>
        <v>9.7041462553314958E-2</v>
      </c>
    </row>
    <row r="107" spans="1:2">
      <c r="A107" s="59" t="s">
        <v>9</v>
      </c>
      <c r="B107" s="132">
        <f t="shared" si="42"/>
        <v>5.6755052286840531E-2</v>
      </c>
    </row>
    <row r="108" spans="1:2">
      <c r="A108" s="59" t="s">
        <v>10</v>
      </c>
      <c r="B108" s="132">
        <f t="shared" si="42"/>
        <v>7.9154326422916976E-2</v>
      </c>
    </row>
    <row r="109" spans="1:2">
      <c r="A109" s="60" t="s">
        <v>11</v>
      </c>
      <c r="B109" s="132">
        <f t="shared" si="42"/>
        <v>0.15450866334223365</v>
      </c>
    </row>
    <row r="115" spans="1:1">
      <c r="A115">
        <v>8.1589288860953568E-2</v>
      </c>
    </row>
    <row r="116" spans="1:1">
      <c r="A116">
        <v>9.6451897275682028E-2</v>
      </c>
    </row>
    <row r="117" spans="1:1">
      <c r="A117">
        <v>0.12822906156071134</v>
      </c>
    </row>
    <row r="118" spans="1:1">
      <c r="A118">
        <v>4.8520731276657479E-2</v>
      </c>
    </row>
    <row r="119" spans="1:1">
      <c r="A119">
        <v>2.8377526143420265E-2</v>
      </c>
    </row>
    <row r="120" spans="1:1">
      <c r="A120">
        <v>3.9577163211458488E-2</v>
      </c>
    </row>
    <row r="121" spans="1:1">
      <c r="A121">
        <v>7.7254331671116824E-2</v>
      </c>
    </row>
  </sheetData>
  <mergeCells count="16">
    <mergeCell ref="D62:F62"/>
    <mergeCell ref="G62:N62"/>
    <mergeCell ref="D72:F72"/>
    <mergeCell ref="G72:N72"/>
    <mergeCell ref="D32:F32"/>
    <mergeCell ref="G32:N32"/>
    <mergeCell ref="D42:F42"/>
    <mergeCell ref="G42:N42"/>
    <mergeCell ref="D52:F52"/>
    <mergeCell ref="G52:N52"/>
    <mergeCell ref="D2:F2"/>
    <mergeCell ref="G2:N2"/>
    <mergeCell ref="D12:F12"/>
    <mergeCell ref="G12:N12"/>
    <mergeCell ref="D22:F22"/>
    <mergeCell ref="G22:N2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AK226"/>
  <sheetViews>
    <sheetView topLeftCell="A25" zoomScale="85" zoomScaleNormal="85" workbookViewId="0">
      <selection activeCell="N42" sqref="N42"/>
    </sheetView>
  </sheetViews>
  <sheetFormatPr defaultRowHeight="15" outlineLevelCol="1"/>
  <cols>
    <col min="1" max="1" width="9.140625" style="331"/>
    <col min="2" max="2" width="22.28515625" style="331" bestFit="1" customWidth="1"/>
    <col min="3" max="4" width="12.7109375" style="331" customWidth="1"/>
    <col min="5" max="6" width="12.7109375" style="331" customWidth="1" outlineLevel="1"/>
    <col min="7" max="10" width="12.7109375" style="331" customWidth="1"/>
    <col min="11" max="11" width="21" style="209" customWidth="1"/>
    <col min="12" max="12" width="18.140625" style="331" bestFit="1" customWidth="1"/>
    <col min="13" max="13" width="12" style="331" customWidth="1"/>
    <col min="14" max="14" width="9.42578125" style="331" customWidth="1"/>
    <col min="15" max="17" width="9.140625" style="331"/>
    <col min="18" max="18" width="10.85546875" style="331" customWidth="1"/>
    <col min="19" max="21" width="9.140625" style="209"/>
    <col min="22" max="22" width="18.85546875" style="209" bestFit="1" customWidth="1"/>
    <col min="23" max="37" width="9.140625" style="209"/>
    <col min="38" max="16384" width="9.140625" style="331"/>
  </cols>
  <sheetData>
    <row r="1" spans="1:19">
      <c r="A1" s="209"/>
      <c r="B1" s="209"/>
      <c r="C1" s="209"/>
      <c r="D1" s="209"/>
      <c r="E1" s="209"/>
      <c r="F1" s="209"/>
      <c r="G1" s="209"/>
      <c r="H1" s="209"/>
      <c r="I1" s="209"/>
      <c r="J1" s="209"/>
      <c r="L1" s="209"/>
      <c r="M1" s="209"/>
      <c r="N1" s="209"/>
      <c r="O1" s="209"/>
      <c r="P1" s="209"/>
      <c r="Q1" s="209"/>
      <c r="R1" s="209"/>
    </row>
    <row r="2" spans="1:19" ht="25.5">
      <c r="A2" s="209"/>
      <c r="B2" s="342" t="s">
        <v>115</v>
      </c>
      <c r="C2" s="316" t="s">
        <v>70</v>
      </c>
      <c r="D2" s="305" t="s">
        <v>112</v>
      </c>
      <c r="E2" s="305" t="s">
        <v>144</v>
      </c>
      <c r="F2" s="305" t="s">
        <v>145</v>
      </c>
      <c r="G2" s="305" t="s">
        <v>113</v>
      </c>
      <c r="H2" s="305" t="s">
        <v>114</v>
      </c>
      <c r="I2" s="305" t="s">
        <v>128</v>
      </c>
      <c r="J2" s="316" t="s">
        <v>130</v>
      </c>
      <c r="L2" s="369" t="s">
        <v>152</v>
      </c>
      <c r="M2" s="370" t="s">
        <v>70</v>
      </c>
      <c r="N2" s="371" t="s">
        <v>112</v>
      </c>
      <c r="O2" s="371" t="s">
        <v>144</v>
      </c>
      <c r="P2" s="371" t="s">
        <v>145</v>
      </c>
      <c r="Q2" s="371" t="s">
        <v>113</v>
      </c>
      <c r="R2" s="371" t="s">
        <v>114</v>
      </c>
      <c r="S2" s="372" t="s">
        <v>128</v>
      </c>
    </row>
    <row r="3" spans="1:19">
      <c r="A3" s="209"/>
      <c r="B3" s="343" t="s">
        <v>4</v>
      </c>
      <c r="C3" s="317">
        <f>Scenarios!C4</f>
        <v>0</v>
      </c>
      <c r="D3" s="85">
        <f>+Scenarios!C24</f>
        <v>-3.2445168309994665E-3</v>
      </c>
      <c r="E3" s="385">
        <f>+Scenarios!D24</f>
        <v>-1.0761362748873404E-3</v>
      </c>
      <c r="F3" s="85">
        <f>+Scenarios!E24</f>
        <v>-3.4179872754884488E-3</v>
      </c>
      <c r="G3" s="85">
        <f>+Scenarios!F24</f>
        <v>-5.8987126880164276E-2</v>
      </c>
      <c r="H3" s="85">
        <f>+Scenarios!G24</f>
        <v>-0.26287574291051119</v>
      </c>
      <c r="I3" s="85">
        <f>+Scenarios!H24</f>
        <v>-3.2441343963196256E-3</v>
      </c>
      <c r="J3" s="317">
        <f>Scenarios!D4</f>
        <v>3.8327320576542839E-2</v>
      </c>
      <c r="L3" s="343" t="s">
        <v>4</v>
      </c>
      <c r="M3" s="363">
        <f>C3/$J3</f>
        <v>0</v>
      </c>
      <c r="N3" s="364">
        <f t="shared" ref="N3:N10" si="0">D3/$J3</f>
        <v>-8.4652847686545088E-2</v>
      </c>
      <c r="O3" s="364">
        <f t="shared" ref="O3:O10" si="1">E3/$J3</f>
        <v>-2.8077524301188938E-2</v>
      </c>
      <c r="P3" s="364">
        <f t="shared" ref="P3:P10" si="2">F3/$J3</f>
        <v>-8.9178873557373903E-2</v>
      </c>
      <c r="Q3" s="364">
        <f t="shared" ref="Q3:Q10" si="3">G3/$J3</f>
        <v>-1.5390360190288306</v>
      </c>
      <c r="R3" s="364">
        <f t="shared" ref="R3:R10" si="4">H3/$J3</f>
        <v>-6.8587038946676824</v>
      </c>
      <c r="S3" s="367">
        <f t="shared" ref="S3:S10" si="5">I3/$J3</f>
        <v>-8.4642869564566098E-2</v>
      </c>
    </row>
    <row r="4" spans="1:19">
      <c r="A4" s="209"/>
      <c r="B4" s="343" t="s">
        <v>5</v>
      </c>
      <c r="C4" s="317">
        <f>Scenarios!C5</f>
        <v>0.03</v>
      </c>
      <c r="D4" s="85">
        <f>+Scenarios!C25</f>
        <v>2.821524342416672E-2</v>
      </c>
      <c r="E4" s="385">
        <f>+Scenarios!D25</f>
        <v>-4.3289757138539151E-2</v>
      </c>
      <c r="F4" s="85">
        <f>+Scenarios!E25</f>
        <v>2.8173968116101435E-2</v>
      </c>
      <c r="G4" s="85">
        <f>+Scenarios!F25</f>
        <v>-0.46709405332985687</v>
      </c>
      <c r="H4" s="85">
        <f>+Scenarios!G25</f>
        <v>-0.46905624232985693</v>
      </c>
      <c r="I4" s="85">
        <f>+Scenarios!H25</f>
        <v>0.30101613523680981</v>
      </c>
      <c r="J4" s="317">
        <f>Scenarios!D5</f>
        <v>0.15740402046445473</v>
      </c>
      <c r="L4" s="343" t="s">
        <v>5</v>
      </c>
      <c r="M4" s="363">
        <f t="shared" ref="M4:M10" si="6">C4/$J4</f>
        <v>0.19059233627882241</v>
      </c>
      <c r="N4" s="364">
        <f t="shared" si="0"/>
        <v>0.17925363876292053</v>
      </c>
      <c r="O4" s="364">
        <f t="shared" si="1"/>
        <v>-0.27502319833256689</v>
      </c>
      <c r="P4" s="364">
        <f t="shared" si="2"/>
        <v>0.1789914135164275</v>
      </c>
      <c r="Q4" s="364">
        <f t="shared" si="3"/>
        <v>-2.9674848962027429</v>
      </c>
      <c r="R4" s="364">
        <f t="shared" si="4"/>
        <v>-2.979950835727097</v>
      </c>
      <c r="S4" s="367">
        <f t="shared" si="5"/>
        <v>1.9123789490801846</v>
      </c>
    </row>
    <row r="5" spans="1:19">
      <c r="A5" s="209"/>
      <c r="B5" s="343" t="s">
        <v>6</v>
      </c>
      <c r="C5" s="317">
        <f>Scenarios!C6</f>
        <v>3.1392347703607063E-2</v>
      </c>
      <c r="D5" s="85">
        <f>+Scenarios!C26</f>
        <v>4.9715877116872115E-2</v>
      </c>
      <c r="E5" s="385">
        <f>+Scenarios!D26</f>
        <v>-1.5254735941571146E-2</v>
      </c>
      <c r="F5" s="85">
        <f>+Scenarios!E26</f>
        <v>4.2527479167274736E-2</v>
      </c>
      <c r="G5" s="85">
        <f>+Scenarios!F26</f>
        <v>-0.53388765375707492</v>
      </c>
      <c r="H5" s="85">
        <f>+Scenarios!G26</f>
        <v>-0.40758678794189662</v>
      </c>
      <c r="I5" s="85">
        <f>+Scenarios!H26</f>
        <v>0.26888806032968465</v>
      </c>
      <c r="J5" s="317">
        <f>Scenarios!D6</f>
        <v>0.16055565886911449</v>
      </c>
      <c r="L5" s="343" t="s">
        <v>6</v>
      </c>
      <c r="M5" s="363">
        <f t="shared" si="6"/>
        <v>0.19552314708009269</v>
      </c>
      <c r="N5" s="364">
        <f t="shared" si="0"/>
        <v>0.30964886237613504</v>
      </c>
      <c r="O5" s="364">
        <f t="shared" si="1"/>
        <v>-9.5012135037898959E-2</v>
      </c>
      <c r="P5" s="364">
        <f t="shared" si="2"/>
        <v>0.26487686243400038</v>
      </c>
      <c r="Q5" s="364">
        <f t="shared" si="3"/>
        <v>-3.3252496829918772</v>
      </c>
      <c r="R5" s="364">
        <f t="shared" si="4"/>
        <v>-2.5386011979444634</v>
      </c>
      <c r="S5" s="367">
        <f t="shared" si="5"/>
        <v>1.6747342462023285</v>
      </c>
    </row>
    <row r="6" spans="1:19">
      <c r="A6" s="209"/>
      <c r="B6" s="343" t="s">
        <v>7</v>
      </c>
      <c r="C6" s="317">
        <f>Scenarios!C7</f>
        <v>5.5586945104648379E-2</v>
      </c>
      <c r="D6" s="85">
        <f>+Scenarios!C27</f>
        <v>-1.8932480826239766E-2</v>
      </c>
      <c r="E6" s="385">
        <f>+Scenarios!D27</f>
        <v>-0.18637839848821813</v>
      </c>
      <c r="F6" s="85">
        <f>+Scenarios!E27</f>
        <v>3.3016877644366754E-2</v>
      </c>
      <c r="G6" s="85">
        <f>+Scenarios!F27</f>
        <v>-0.63662140327632288</v>
      </c>
      <c r="H6" s="85">
        <f>+Scenarios!G27</f>
        <v>-0.50223026172585394</v>
      </c>
      <c r="I6" s="85">
        <f>+Scenarios!H27</f>
        <v>0.34216639060226639</v>
      </c>
      <c r="J6" s="317">
        <f>Scenarios!D7</f>
        <v>0.28482723462884557</v>
      </c>
      <c r="L6" s="343" t="s">
        <v>7</v>
      </c>
      <c r="M6" s="363">
        <f t="shared" si="6"/>
        <v>0.19516021765644342</v>
      </c>
      <c r="N6" s="364">
        <f t="shared" si="0"/>
        <v>-6.6470051050105589E-2</v>
      </c>
      <c r="O6" s="364">
        <f t="shared" si="1"/>
        <v>-0.65435595978413108</v>
      </c>
      <c r="P6" s="364">
        <f t="shared" si="2"/>
        <v>0.11591896290181165</v>
      </c>
      <c r="Q6" s="364">
        <f t="shared" si="3"/>
        <v>-2.2351142232093619</v>
      </c>
      <c r="R6" s="364">
        <f t="shared" si="4"/>
        <v>-1.7632803351136812</v>
      </c>
      <c r="S6" s="367">
        <f t="shared" si="5"/>
        <v>1.2013120551766712</v>
      </c>
    </row>
    <row r="7" spans="1:19">
      <c r="A7" s="209"/>
      <c r="B7" s="343" t="s">
        <v>8</v>
      </c>
      <c r="C7" s="317">
        <f>Scenarios!C8</f>
        <v>5.4126209330308192E-2</v>
      </c>
      <c r="D7" s="85">
        <f>+Scenarios!C28</f>
        <v>7.6891594824893134E-2</v>
      </c>
      <c r="E7" s="385">
        <f>+Scenarios!D28</f>
        <v>-1.5041633078088965E-2</v>
      </c>
      <c r="F7" s="85">
        <f>+Scenarios!E28</f>
        <v>7.4724436355395413E-2</v>
      </c>
      <c r="G7" s="85">
        <f>+Scenarios!F28</f>
        <v>-0.38154687800334713</v>
      </c>
      <c r="H7" s="85">
        <f>+Scenarios!G28</f>
        <v>-0.22652606438744602</v>
      </c>
      <c r="I7" s="85">
        <f>+Scenarios!H28</f>
        <v>0.43818723932566084</v>
      </c>
      <c r="J7" s="317">
        <f>Scenarios!D8</f>
        <v>0.29086830436352928</v>
      </c>
      <c r="L7" s="343" t="s">
        <v>8</v>
      </c>
      <c r="M7" s="363">
        <f t="shared" si="6"/>
        <v>0.18608493437862128</v>
      </c>
      <c r="N7" s="364">
        <f t="shared" si="0"/>
        <v>0.26435192034121902</v>
      </c>
      <c r="O7" s="364">
        <f t="shared" si="1"/>
        <v>-5.171286404341198E-2</v>
      </c>
      <c r="P7" s="364">
        <f t="shared" si="2"/>
        <v>0.25690126849298878</v>
      </c>
      <c r="Q7" s="364">
        <f t="shared" si="3"/>
        <v>-1.3117513055890997</v>
      </c>
      <c r="R7" s="364">
        <f t="shared" si="4"/>
        <v>-0.77879253596614684</v>
      </c>
      <c r="S7" s="367">
        <f t="shared" si="5"/>
        <v>1.5064798493066858</v>
      </c>
    </row>
    <row r="8" spans="1:19">
      <c r="A8" s="209"/>
      <c r="B8" s="343" t="s">
        <v>9</v>
      </c>
      <c r="C8" s="317">
        <f>Scenarios!C9</f>
        <v>5.1749106701455286E-2</v>
      </c>
      <c r="D8" s="85">
        <f>+Scenarios!C29</f>
        <v>2.095392217212597E-2</v>
      </c>
      <c r="E8" s="385">
        <f>+Scenarios!D29</f>
        <v>1.7326163923364224E-2</v>
      </c>
      <c r="F8" s="85">
        <f>+Scenarios!E29</f>
        <v>-3.9001815740357833E-3</v>
      </c>
      <c r="G8" s="85">
        <f>+Scenarios!F29</f>
        <v>-0.39528495301413574</v>
      </c>
      <c r="H8" s="85">
        <f>+Scenarios!G29</f>
        <v>-0.36578625545580234</v>
      </c>
      <c r="I8" s="85">
        <f>+Scenarios!H29</f>
        <v>0.41949577968586427</v>
      </c>
      <c r="J8" s="317">
        <f>Scenarios!D9</f>
        <v>0.32762989319180058</v>
      </c>
      <c r="L8" s="343" t="s">
        <v>9</v>
      </c>
      <c r="M8" s="363">
        <f t="shared" si="6"/>
        <v>0.15794989339132251</v>
      </c>
      <c r="N8" s="364">
        <f t="shared" si="0"/>
        <v>6.3956075460608705E-2</v>
      </c>
      <c r="O8" s="364">
        <f t="shared" si="1"/>
        <v>5.2883342708966941E-2</v>
      </c>
      <c r="P8" s="364">
        <f t="shared" si="2"/>
        <v>-1.1904229910280333E-2</v>
      </c>
      <c r="Q8" s="364">
        <f t="shared" si="3"/>
        <v>-1.2064984338371365</v>
      </c>
      <c r="R8" s="364">
        <f t="shared" si="4"/>
        <v>-1.1164617852549381</v>
      </c>
      <c r="S8" s="367">
        <f t="shared" si="5"/>
        <v>1.280395313135495</v>
      </c>
    </row>
    <row r="9" spans="1:19">
      <c r="A9" s="209"/>
      <c r="B9" s="343" t="s">
        <v>10</v>
      </c>
      <c r="C9" s="317">
        <f>Scenarios!C10</f>
        <v>2.8567108921173753E-2</v>
      </c>
      <c r="D9" s="85">
        <f>+Scenarios!C30</f>
        <v>1.380587420653143E-2</v>
      </c>
      <c r="E9" s="385">
        <f>+Scenarios!D30</f>
        <v>-4.2158606606711446E-2</v>
      </c>
      <c r="F9" s="85">
        <f>+Scenarios!E30</f>
        <v>1.0491043321084678E-2</v>
      </c>
      <c r="G9" s="85">
        <f>+Scenarios!F30</f>
        <v>-0.25764077911990541</v>
      </c>
      <c r="H9" s="85">
        <f>+Scenarios!G30</f>
        <v>-1.27081470544461E-2</v>
      </c>
      <c r="I9" s="85">
        <f>+Scenarios!H30</f>
        <v>0.26865610006004731</v>
      </c>
      <c r="J9" s="317">
        <f>Scenarios!D10</f>
        <v>0.15798659221184908</v>
      </c>
      <c r="L9" s="343" t="s">
        <v>10</v>
      </c>
      <c r="M9" s="363">
        <f t="shared" si="6"/>
        <v>0.18081983110862496</v>
      </c>
      <c r="N9" s="364">
        <f t="shared" si="0"/>
        <v>8.7386366230488149E-2</v>
      </c>
      <c r="O9" s="364">
        <f t="shared" si="1"/>
        <v>-0.26684926876693227</v>
      </c>
      <c r="P9" s="364">
        <f t="shared" si="2"/>
        <v>6.6404643420733545E-2</v>
      </c>
      <c r="Q9" s="364">
        <f t="shared" si="3"/>
        <v>-1.6307762292538532</v>
      </c>
      <c r="R9" s="364">
        <f t="shared" si="4"/>
        <v>-8.0438136404672594E-2</v>
      </c>
      <c r="S9" s="367">
        <f t="shared" si="5"/>
        <v>1.7004993670589343</v>
      </c>
    </row>
    <row r="10" spans="1:19">
      <c r="A10" s="209"/>
      <c r="B10" s="344" t="s">
        <v>11</v>
      </c>
      <c r="C10" s="318">
        <f>Scenarios!C11</f>
        <v>3.8735949538907542E-2</v>
      </c>
      <c r="D10" s="308">
        <f>+Scenarios!C31</f>
        <v>2.0067539862887711E-2</v>
      </c>
      <c r="E10" s="386">
        <f>+Scenarios!D31</f>
        <v>-5.1766673344794997E-2</v>
      </c>
      <c r="F10" s="308">
        <f>+Scenarios!E31</f>
        <v>4.4470055868840348E-2</v>
      </c>
      <c r="G10" s="308">
        <f>+Scenarios!F31</f>
        <v>-0.32705491871314474</v>
      </c>
      <c r="H10" s="308">
        <f>+Scenarios!G31</f>
        <v>-0.17140461936280491</v>
      </c>
      <c r="I10" s="308">
        <f>+Scenarios!H31</f>
        <v>0.40834897941312509</v>
      </c>
      <c r="J10" s="318">
        <f>Scenarios!D11</f>
        <v>0.19621796279766246</v>
      </c>
      <c r="L10" s="344" t="s">
        <v>11</v>
      </c>
      <c r="M10" s="365">
        <f t="shared" si="6"/>
        <v>0.19741286162904248</v>
      </c>
      <c r="N10" s="366">
        <f t="shared" si="0"/>
        <v>0.10227167572614701</v>
      </c>
      <c r="O10" s="366">
        <f t="shared" si="1"/>
        <v>-0.26382229540409691</v>
      </c>
      <c r="P10" s="366">
        <f t="shared" si="2"/>
        <v>0.22663600842037751</v>
      </c>
      <c r="Q10" s="366">
        <f t="shared" si="3"/>
        <v>-1.6667939777277156</v>
      </c>
      <c r="R10" s="366">
        <f t="shared" si="4"/>
        <v>-0.87354193733809804</v>
      </c>
      <c r="S10" s="368">
        <f t="shared" si="5"/>
        <v>2.0810988636866519</v>
      </c>
    </row>
    <row r="11" spans="1:19" ht="15.75">
      <c r="A11" s="209"/>
      <c r="B11" s="84"/>
      <c r="C11" s="84"/>
      <c r="D11" s="84"/>
      <c r="E11" s="84"/>
      <c r="F11" s="84"/>
      <c r="G11" s="84"/>
      <c r="H11" s="84"/>
      <c r="I11" s="84"/>
      <c r="J11" s="84"/>
      <c r="L11" s="209"/>
      <c r="M11" s="348"/>
      <c r="N11" s="337"/>
      <c r="O11" s="337"/>
      <c r="P11" s="337"/>
      <c r="Q11" s="337"/>
      <c r="R11" s="349"/>
    </row>
    <row r="12" spans="1:19" ht="15.75">
      <c r="A12" s="209"/>
      <c r="B12" s="319" t="s">
        <v>123</v>
      </c>
      <c r="C12" s="324">
        <f>+Scenarios!B33</f>
        <v>0</v>
      </c>
      <c r="D12" s="310">
        <f>+Scenarios!C33</f>
        <v>1</v>
      </c>
      <c r="E12" s="310">
        <f>+Scenarios!D33</f>
        <v>0</v>
      </c>
      <c r="F12" s="310">
        <f>+Scenarios!E33</f>
        <v>0</v>
      </c>
      <c r="G12" s="310">
        <f>+Scenarios!F33</f>
        <v>0</v>
      </c>
      <c r="H12" s="310">
        <f>+Scenarios!G33</f>
        <v>0</v>
      </c>
      <c r="I12" s="325">
        <f>+Scenarios!H33</f>
        <v>0</v>
      </c>
      <c r="J12" s="326">
        <f>+Scenarios!I33</f>
        <v>1</v>
      </c>
      <c r="L12" s="209"/>
      <c r="M12" s="348"/>
      <c r="N12" s="337"/>
      <c r="O12" s="337"/>
      <c r="P12" s="337"/>
      <c r="Q12" s="337"/>
      <c r="R12" s="337"/>
    </row>
    <row r="13" spans="1:19" ht="15.75">
      <c r="A13" s="209"/>
      <c r="B13" s="84"/>
      <c r="C13" s="84"/>
      <c r="D13" s="84"/>
      <c r="E13" s="84"/>
      <c r="F13" s="84"/>
      <c r="G13" s="84"/>
      <c r="H13" s="84"/>
      <c r="I13" s="84"/>
      <c r="J13" s="84"/>
      <c r="L13" s="209"/>
      <c r="M13" s="348"/>
      <c r="N13" s="337"/>
      <c r="O13" s="337"/>
      <c r="P13" s="337"/>
      <c r="Q13" s="337"/>
      <c r="R13" s="337"/>
    </row>
    <row r="14" spans="1:19" ht="15.75">
      <c r="A14" s="209"/>
      <c r="B14" s="319" t="s">
        <v>129</v>
      </c>
      <c r="C14" s="324">
        <f>+Scenarios!B35</f>
        <v>0</v>
      </c>
      <c r="D14" s="311">
        <f>+Scenarios!C35</f>
        <v>2.3215663301568282E-2</v>
      </c>
      <c r="E14" s="311">
        <f>+Scenarios!D35</f>
        <v>-1.0199363173428679E-2</v>
      </c>
      <c r="F14" s="311">
        <f>+Scenarios!E35</f>
        <v>2.0651574102186879E-2</v>
      </c>
      <c r="G14" s="311">
        <f>+Scenarios!F35</f>
        <v>-0.27329496512341134</v>
      </c>
      <c r="H14" s="311">
        <f>+Scenarios!G35</f>
        <v>-0.31287286546225501</v>
      </c>
      <c r="I14" s="312">
        <f>+Scenarios!H35</f>
        <v>0.14898627397208952</v>
      </c>
      <c r="J14" s="320">
        <f>+Scenarios!I35</f>
        <v>2.3215663301568282E-2</v>
      </c>
      <c r="L14" s="209"/>
      <c r="M14" s="348"/>
      <c r="N14" s="337"/>
      <c r="O14" s="337"/>
      <c r="P14" s="337"/>
      <c r="Q14" s="337"/>
      <c r="R14" s="337"/>
    </row>
    <row r="15" spans="1:19">
      <c r="A15" s="209"/>
      <c r="B15" s="209"/>
      <c r="C15" s="209"/>
      <c r="D15" s="209"/>
      <c r="E15" s="209"/>
      <c r="F15" s="209"/>
      <c r="G15" s="209"/>
      <c r="H15" s="209"/>
      <c r="I15" s="209"/>
      <c r="J15" s="209"/>
      <c r="L15" s="209"/>
      <c r="M15" s="209"/>
      <c r="N15" s="209"/>
      <c r="O15" s="209"/>
      <c r="P15" s="209"/>
      <c r="Q15" s="209"/>
      <c r="R15" s="209"/>
    </row>
    <row r="16" spans="1:19" ht="6.75" customHeight="1">
      <c r="A16" s="209"/>
      <c r="B16" s="209"/>
      <c r="C16" s="209"/>
      <c r="D16" s="209"/>
      <c r="E16" s="209"/>
      <c r="F16" s="209"/>
      <c r="G16" s="209"/>
      <c r="H16" s="209"/>
      <c r="I16" s="209"/>
      <c r="J16" s="209"/>
      <c r="L16" s="209"/>
      <c r="M16" s="209"/>
      <c r="N16" s="209"/>
      <c r="O16" s="209"/>
      <c r="P16" s="209"/>
      <c r="Q16" s="209"/>
      <c r="R16" s="209"/>
    </row>
    <row r="17" spans="1:18">
      <c r="A17" s="209"/>
      <c r="B17" s="209"/>
      <c r="C17" s="209"/>
      <c r="D17" s="209"/>
      <c r="E17" s="209"/>
      <c r="F17" s="209"/>
      <c r="G17" s="209"/>
      <c r="H17" s="209"/>
      <c r="I17" s="209"/>
      <c r="J17" s="209"/>
    </row>
    <row r="18" spans="1:18" ht="4.5" customHeight="1">
      <c r="A18" s="209"/>
      <c r="B18" s="209"/>
      <c r="C18" s="209"/>
      <c r="D18" s="209"/>
      <c r="E18" s="209"/>
      <c r="F18" s="209"/>
      <c r="G18" s="209"/>
      <c r="H18" s="209"/>
      <c r="I18" s="209"/>
      <c r="J18" s="209"/>
    </row>
    <row r="19" spans="1:18">
      <c r="A19" s="209"/>
      <c r="B19" s="342" t="s">
        <v>101</v>
      </c>
      <c r="C19" s="316" t="s">
        <v>70</v>
      </c>
      <c r="D19" s="321" t="s">
        <v>112</v>
      </c>
      <c r="E19" s="305" t="s">
        <v>144</v>
      </c>
      <c r="F19" s="305" t="s">
        <v>145</v>
      </c>
      <c r="G19" s="305" t="s">
        <v>113</v>
      </c>
      <c r="H19" s="305" t="s">
        <v>114</v>
      </c>
      <c r="I19" s="306" t="s">
        <v>128</v>
      </c>
      <c r="J19" s="306" t="s">
        <v>143</v>
      </c>
    </row>
    <row r="20" spans="1:18">
      <c r="A20" s="209"/>
      <c r="B20" s="343" t="s">
        <v>4</v>
      </c>
      <c r="C20" s="317">
        <f>'Control panel'!B3</f>
        <v>0.55282478375024968</v>
      </c>
      <c r="D20" s="322">
        <f>'Samenvatting mixen'!B15</f>
        <v>0.50191550106692151</v>
      </c>
      <c r="E20" s="85">
        <f>'Samenvatting mixen'!B26</f>
        <v>0.7303391915066807</v>
      </c>
      <c r="F20" s="85">
        <f>'Samenvatting mixen'!B37</f>
        <v>0.53300464703690997</v>
      </c>
      <c r="G20" s="85">
        <f>'Samenvatting mixen'!B48</f>
        <v>0.99949677746552446</v>
      </c>
      <c r="H20" s="85">
        <f>'Samenvatting mixen'!B59</f>
        <v>0.9517786425254442</v>
      </c>
      <c r="I20" s="307">
        <f>'Samenvatting mixen'!B70</f>
        <v>0.74608961540312901</v>
      </c>
      <c r="J20" s="307">
        <f>'[4]Control panel'!F3</f>
        <v>0.99933044801477622</v>
      </c>
    </row>
    <row r="21" spans="1:18">
      <c r="A21" s="209"/>
      <c r="B21" s="343" t="s">
        <v>5</v>
      </c>
      <c r="C21" s="317">
        <f>'Control panel'!B4</f>
        <v>9.9075500713263709E-2</v>
      </c>
      <c r="D21" s="322">
        <f>'Samenvatting mixen'!B16</f>
        <v>3.5441427473810093E-2</v>
      </c>
      <c r="E21" s="85">
        <f>'Samenvatting mixen'!B27</f>
        <v>4.8586516064764501E-3</v>
      </c>
      <c r="F21" s="85">
        <f>'Samenvatting mixen'!B38</f>
        <v>3.2766577649975807E-2</v>
      </c>
      <c r="G21" s="85">
        <f>'Samenvatting mixen'!B49</f>
        <v>4.8224248548151283E-5</v>
      </c>
      <c r="H21" s="85">
        <f>'Samenvatting mixen'!B60</f>
        <v>1.1517111304225734E-4</v>
      </c>
      <c r="I21" s="307">
        <f>'Samenvatting mixen'!B71</f>
        <v>3.8670102187155102E-2</v>
      </c>
      <c r="J21" s="307">
        <f>'[4]Control panel'!F4</f>
        <v>5.9498856944343162E-5</v>
      </c>
    </row>
    <row r="22" spans="1:18">
      <c r="A22" s="209"/>
      <c r="B22" s="343" t="s">
        <v>6</v>
      </c>
      <c r="C22" s="317">
        <f>'Control panel'!B5</f>
        <v>9.346901390128548E-2</v>
      </c>
      <c r="D22" s="322">
        <f>'Samenvatting mixen'!B17</f>
        <v>0.34834613947489812</v>
      </c>
      <c r="E22" s="85">
        <f>'Samenvatting mixen'!B28</f>
        <v>1.7478553321540712E-2</v>
      </c>
      <c r="F22" s="85">
        <f>'Samenvatting mixen'!B39</f>
        <v>0.24436384619083032</v>
      </c>
      <c r="G22" s="85">
        <f>'Samenvatting mixen'!B50</f>
        <v>3.8685135530742506E-5</v>
      </c>
      <c r="H22" s="85">
        <f>'Samenvatting mixen'!B61</f>
        <v>1.3996511757757401E-4</v>
      </c>
      <c r="I22" s="307">
        <f>'Samenvatting mixen'!B72</f>
        <v>9.4575128233148724E-3</v>
      </c>
      <c r="J22" s="307">
        <f>'[4]Control panel'!F5</f>
        <v>8.6775571303158883E-5</v>
      </c>
    </row>
    <row r="23" spans="1:18">
      <c r="A23" s="209"/>
      <c r="B23" s="343" t="s">
        <v>7</v>
      </c>
      <c r="C23" s="317">
        <f>'Control panel'!B6</f>
        <v>0.11036511115690795</v>
      </c>
      <c r="D23" s="322">
        <f>'Samenvatting mixen'!B18</f>
        <v>1.7742427289872478E-3</v>
      </c>
      <c r="E23" s="85">
        <f>'Samenvatting mixen'!B29</f>
        <v>3.7657707533554163E-4</v>
      </c>
      <c r="F23" s="85">
        <f>'Samenvatting mixen'!B40</f>
        <v>5.0807613356015236E-3</v>
      </c>
      <c r="G23" s="85">
        <f>'Samenvatting mixen'!B51</f>
        <v>2.7030695966888324E-5</v>
      </c>
      <c r="H23" s="85">
        <f>'Samenvatting mixen'!B62</f>
        <v>1.1907889749625857E-4</v>
      </c>
      <c r="I23" s="307">
        <f>'Samenvatting mixen'!B73</f>
        <v>1.5170681197904838E-3</v>
      </c>
      <c r="J23" s="307">
        <f>'[4]Control panel'!F6</f>
        <v>3.3196657987390124E-5</v>
      </c>
    </row>
    <row r="24" spans="1:18">
      <c r="A24" s="209"/>
      <c r="B24" s="343" t="s">
        <v>8</v>
      </c>
      <c r="C24" s="317">
        <f>'Control panel'!B7</f>
        <v>4.9724653199130588E-2</v>
      </c>
      <c r="D24" s="322">
        <f>'Samenvatting mixen'!B19</f>
        <v>7.7712101707215292E-2</v>
      </c>
      <c r="E24" s="85">
        <f>'Samenvatting mixen'!B30</f>
        <v>8.4666436171662238E-3</v>
      </c>
      <c r="F24" s="85">
        <f>'Samenvatting mixen'!B41</f>
        <v>0.11053042095294417</v>
      </c>
      <c r="G24" s="85">
        <f>'Samenvatting mixen'!B52</f>
        <v>6.9799662618146699E-5</v>
      </c>
      <c r="H24" s="85">
        <f>'Samenvatting mixen'!B63</f>
        <v>2.0178712623818352E-4</v>
      </c>
      <c r="I24" s="307">
        <f>'Samenvatting mixen'!B74</f>
        <v>4.0796376315995666E-3</v>
      </c>
      <c r="J24" s="307">
        <f>'[4]Control panel'!F7</f>
        <v>4.8644439396432552E-5</v>
      </c>
    </row>
    <row r="25" spans="1:18">
      <c r="A25" s="209"/>
      <c r="B25" s="343" t="s">
        <v>9</v>
      </c>
      <c r="C25" s="317">
        <f>'Control panel'!B8</f>
        <v>1.9027140584823948E-2</v>
      </c>
      <c r="D25" s="322">
        <f>'Samenvatting mixen'!B20</f>
        <v>4.4679371515441444E-3</v>
      </c>
      <c r="E25" s="85">
        <f>'Samenvatting mixen'!B31</f>
        <v>0.23024716413339219</v>
      </c>
      <c r="F25" s="85">
        <f>'Samenvatting mixen'!B42</f>
        <v>1.5730403228234799E-3</v>
      </c>
      <c r="G25" s="85">
        <f>'Samenvatting mixen'!B53</f>
        <v>6.2840407344484913E-5</v>
      </c>
      <c r="H25" s="85">
        <f>'Samenvatting mixen'!B64</f>
        <v>1.6457394734377062E-4</v>
      </c>
      <c r="I25" s="307">
        <f>'Samenvatting mixen'!B75</f>
        <v>3.63609047702811E-3</v>
      </c>
      <c r="J25" s="307">
        <f>'[4]Control panel'!F8</f>
        <v>2.3467442398853234E-4</v>
      </c>
    </row>
    <row r="26" spans="1:18">
      <c r="A26" s="209"/>
      <c r="B26" s="343" t="s">
        <v>10</v>
      </c>
      <c r="C26" s="317">
        <f>'Control panel'!B9</f>
        <v>3.0988823352997075E-2</v>
      </c>
      <c r="D26" s="322">
        <f>'Samenvatting mixen'!B21</f>
        <v>1.8928757373420063E-2</v>
      </c>
      <c r="E26" s="85">
        <f>'Samenvatting mixen'!B32</f>
        <v>4.8943227262727724E-3</v>
      </c>
      <c r="F26" s="85">
        <f>'Samenvatting mixen'!B43</f>
        <v>1.2121211028226629E-2</v>
      </c>
      <c r="G26" s="85">
        <f>'Samenvatting mixen'!B54</f>
        <v>1.660819606351467E-4</v>
      </c>
      <c r="H26" s="85">
        <f>'Samenvatting mixen'!B65</f>
        <v>4.6995323346260547E-2</v>
      </c>
      <c r="I26" s="307">
        <f>'Samenvatting mixen'!B76</f>
        <v>2.3913087934934071E-2</v>
      </c>
      <c r="J26" s="307">
        <f>'[4]Control panel'!F9</f>
        <v>1.5994064696340217E-4</v>
      </c>
    </row>
    <row r="27" spans="1:18">
      <c r="A27" s="209"/>
      <c r="B27" s="344" t="s">
        <v>11</v>
      </c>
      <c r="C27" s="318">
        <f>'Control panel'!B10</f>
        <v>4.4524973341341555E-2</v>
      </c>
      <c r="D27" s="323">
        <f>'Samenvatting mixen'!B22</f>
        <v>1.1413893023203357E-2</v>
      </c>
      <c r="E27" s="308">
        <f>'Samenvatting mixen'!B33</f>
        <v>3.3388960131358119E-3</v>
      </c>
      <c r="F27" s="308">
        <f>'Samenvatting mixen'!B44</f>
        <v>6.0559495482688255E-2</v>
      </c>
      <c r="G27" s="308">
        <f>'Samenvatting mixen'!B55</f>
        <v>9.0560423832878163E-5</v>
      </c>
      <c r="H27" s="308">
        <f>'Samenvatting mixen'!B66</f>
        <v>4.8545792659740607E-4</v>
      </c>
      <c r="I27" s="309">
        <f>'Samenvatting mixen'!B77</f>
        <v>0.1726368854230492</v>
      </c>
      <c r="J27" s="309">
        <f>'[4]Control panel'!F10</f>
        <v>4.6821388640572115E-5</v>
      </c>
    </row>
    <row r="28" spans="1:18">
      <c r="A28" s="209"/>
      <c r="B28" s="209"/>
      <c r="C28" s="209"/>
      <c r="D28" s="209"/>
      <c r="E28" s="209"/>
      <c r="F28" s="209"/>
      <c r="G28" s="209"/>
      <c r="H28" s="209"/>
      <c r="I28" s="209"/>
      <c r="J28" s="209"/>
      <c r="L28" s="209"/>
      <c r="M28" s="209"/>
      <c r="N28" s="209"/>
      <c r="O28" s="209"/>
      <c r="P28" s="209"/>
      <c r="Q28" s="209"/>
      <c r="R28" s="209"/>
    </row>
    <row r="29" spans="1:18">
      <c r="A29" s="209"/>
      <c r="B29" s="209"/>
      <c r="C29" s="209"/>
      <c r="D29" s="209"/>
      <c r="E29" s="209"/>
      <c r="F29" s="209"/>
      <c r="G29" s="209"/>
      <c r="H29" s="209"/>
      <c r="I29" s="209"/>
      <c r="J29" s="209"/>
      <c r="L29" s="209"/>
      <c r="M29" s="209"/>
      <c r="N29" s="209"/>
      <c r="O29" s="209"/>
      <c r="P29" s="209"/>
      <c r="Q29" s="209"/>
      <c r="R29" s="209"/>
    </row>
    <row r="30" spans="1:18">
      <c r="A30" s="209"/>
      <c r="B30" s="209"/>
      <c r="C30" s="209"/>
      <c r="D30" s="209"/>
      <c r="E30" s="209"/>
      <c r="F30" s="209"/>
      <c r="G30" s="209"/>
      <c r="H30" s="209"/>
      <c r="I30" s="209"/>
      <c r="J30" s="209"/>
      <c r="L30" s="209"/>
      <c r="M30" s="209"/>
      <c r="N30" s="209"/>
      <c r="O30" s="209"/>
      <c r="P30" s="209"/>
      <c r="Q30" s="209"/>
      <c r="R30" s="209"/>
    </row>
    <row r="31" spans="1:18">
      <c r="A31" s="209"/>
      <c r="B31" s="209" t="s">
        <v>148</v>
      </c>
      <c r="C31" s="209"/>
      <c r="D31" s="209"/>
      <c r="E31" s="209"/>
      <c r="F31" s="209"/>
      <c r="G31" s="209"/>
      <c r="H31" s="209"/>
      <c r="I31" s="209"/>
      <c r="J31" s="209"/>
      <c r="L31" s="209"/>
      <c r="M31" s="209"/>
      <c r="N31" s="209"/>
      <c r="O31" s="209"/>
      <c r="P31" s="209"/>
      <c r="Q31" s="209"/>
      <c r="R31" s="209"/>
    </row>
    <row r="32" spans="1:18">
      <c r="A32" s="209"/>
      <c r="B32" s="209"/>
      <c r="C32" s="209"/>
      <c r="D32" s="209"/>
      <c r="E32" s="209"/>
      <c r="F32" s="209"/>
      <c r="G32" s="209"/>
      <c r="H32" s="209"/>
      <c r="I32" s="209"/>
      <c r="J32" s="209"/>
      <c r="L32" s="209"/>
      <c r="M32" s="209"/>
      <c r="N32" s="209"/>
      <c r="O32" s="209"/>
      <c r="P32" s="209"/>
      <c r="Q32" s="209"/>
      <c r="R32" s="209"/>
    </row>
    <row r="33" spans="1:18">
      <c r="A33" s="209"/>
      <c r="B33" s="342" t="s">
        <v>101</v>
      </c>
      <c r="C33" s="316" t="s">
        <v>70</v>
      </c>
      <c r="D33" s="321" t="s">
        <v>112</v>
      </c>
      <c r="E33" s="305" t="s">
        <v>144</v>
      </c>
      <c r="F33" s="305" t="s">
        <v>145</v>
      </c>
      <c r="G33" s="305" t="s">
        <v>113</v>
      </c>
      <c r="H33" s="305" t="s">
        <v>114</v>
      </c>
      <c r="I33" s="306" t="s">
        <v>128</v>
      </c>
      <c r="J33" s="306" t="s">
        <v>143</v>
      </c>
      <c r="L33" s="209"/>
      <c r="M33" s="209"/>
      <c r="N33" s="209"/>
      <c r="O33" s="209"/>
      <c r="P33" s="209"/>
      <c r="Q33" s="209"/>
      <c r="R33" s="209"/>
    </row>
    <row r="34" spans="1:18">
      <c r="A34" s="209"/>
      <c r="B34" s="343" t="s">
        <v>4</v>
      </c>
      <c r="C34" s="317">
        <v>0.55779999999999996</v>
      </c>
      <c r="D34" s="322">
        <v>0.60949476267497771</v>
      </c>
      <c r="E34" s="85">
        <v>0.76702587544189293</v>
      </c>
      <c r="F34" s="85">
        <v>0.58784103893106299</v>
      </c>
      <c r="G34" s="85">
        <v>0.99945348660809252</v>
      </c>
      <c r="H34" s="85">
        <v>0.90976712856151054</v>
      </c>
      <c r="I34" s="307">
        <v>0.73447064975202836</v>
      </c>
      <c r="J34" s="307">
        <v>0.99933044801477622</v>
      </c>
      <c r="L34" s="209"/>
      <c r="M34" s="209"/>
      <c r="N34" s="209"/>
      <c r="O34" s="209"/>
      <c r="P34" s="209"/>
      <c r="Q34" s="209"/>
      <c r="R34" s="209"/>
    </row>
    <row r="35" spans="1:18">
      <c r="A35" s="209"/>
      <c r="B35" s="343" t="s">
        <v>5</v>
      </c>
      <c r="C35" s="317">
        <v>9.6799999999999997E-2</v>
      </c>
      <c r="D35" s="322">
        <v>2.6294568624584302E-2</v>
      </c>
      <c r="E35" s="85">
        <v>2.8964092007196496E-3</v>
      </c>
      <c r="F35" s="85">
        <v>2.7433082699340937E-2</v>
      </c>
      <c r="G35" s="85">
        <v>6.2873159849689548E-5</v>
      </c>
      <c r="H35" s="85">
        <v>2.3748102145608268E-4</v>
      </c>
      <c r="I35" s="307">
        <v>6.5990588559895633E-2</v>
      </c>
      <c r="J35" s="307">
        <v>5.9498856944343162E-5</v>
      </c>
      <c r="L35" s="209"/>
      <c r="M35" s="209"/>
      <c r="N35" s="209"/>
      <c r="O35" s="209"/>
      <c r="P35" s="209"/>
      <c r="Q35" s="209"/>
      <c r="R35" s="209"/>
    </row>
    <row r="36" spans="1:18">
      <c r="A36" s="209"/>
      <c r="B36" s="343" t="s">
        <v>6</v>
      </c>
      <c r="C36" s="317">
        <v>9.3899999999999997E-2</v>
      </c>
      <c r="D36" s="322">
        <v>0.11662481011148722</v>
      </c>
      <c r="E36" s="85">
        <v>4.6043544521101017E-3</v>
      </c>
      <c r="F36" s="85">
        <v>0.11349825691172158</v>
      </c>
      <c r="G36" s="85">
        <v>4.8159719590674419E-5</v>
      </c>
      <c r="H36" s="85">
        <v>2.666251466651614E-4</v>
      </c>
      <c r="I36" s="307">
        <v>7.3378081548188569E-3</v>
      </c>
      <c r="J36" s="307">
        <v>8.6775571303158883E-5</v>
      </c>
      <c r="L36" s="209"/>
      <c r="M36" s="209"/>
      <c r="N36" s="209"/>
      <c r="O36" s="209"/>
      <c r="P36" s="209"/>
      <c r="Q36" s="209"/>
      <c r="R36" s="209"/>
    </row>
    <row r="37" spans="1:18">
      <c r="A37" s="209"/>
      <c r="B37" s="343" t="s">
        <v>7</v>
      </c>
      <c r="C37" s="317">
        <v>0.105</v>
      </c>
      <c r="D37" s="322">
        <v>1.1743493596617011E-3</v>
      </c>
      <c r="E37" s="85">
        <v>3.9959269119626401E-4</v>
      </c>
      <c r="F37" s="85">
        <v>1.6013882992027364E-3</v>
      </c>
      <c r="G37" s="85">
        <v>4.0527796264334552E-5</v>
      </c>
      <c r="H37" s="85">
        <v>1.4819779311236019E-4</v>
      </c>
      <c r="I37" s="307">
        <v>1.5744542587329922E-3</v>
      </c>
      <c r="J37" s="307">
        <v>3.3196657987390124E-5</v>
      </c>
      <c r="L37" s="209"/>
      <c r="M37" s="209"/>
      <c r="N37" s="209"/>
      <c r="O37" s="209"/>
      <c r="P37" s="209"/>
      <c r="Q37" s="209"/>
      <c r="R37" s="209"/>
    </row>
    <row r="38" spans="1:18">
      <c r="A38" s="209"/>
      <c r="B38" s="343" t="s">
        <v>8</v>
      </c>
      <c r="C38" s="317">
        <v>5.0299999999999997E-2</v>
      </c>
      <c r="D38" s="322">
        <v>9.5879021264212716E-2</v>
      </c>
      <c r="E38" s="85">
        <v>6.2450938189099713E-3</v>
      </c>
      <c r="F38" s="85">
        <v>4.8405824989314679E-2</v>
      </c>
      <c r="G38" s="85">
        <v>5.9344590957583426E-5</v>
      </c>
      <c r="H38" s="85">
        <v>2.5267500726963314E-4</v>
      </c>
      <c r="I38" s="307">
        <v>3.275264678146116E-3</v>
      </c>
      <c r="J38" s="307">
        <v>4.8644439396432552E-5</v>
      </c>
      <c r="L38" s="209"/>
      <c r="M38" s="209"/>
      <c r="N38" s="209"/>
      <c r="O38" s="209"/>
      <c r="P38" s="209"/>
      <c r="Q38" s="209"/>
      <c r="R38" s="209"/>
    </row>
    <row r="39" spans="1:18">
      <c r="A39" s="209"/>
      <c r="B39" s="343" t="s">
        <v>9</v>
      </c>
      <c r="C39" s="317">
        <v>1.9699999999999999E-2</v>
      </c>
      <c r="D39" s="322">
        <v>0.12408412700991976</v>
      </c>
      <c r="E39" s="85">
        <v>0.21046547205038543</v>
      </c>
      <c r="F39" s="85">
        <v>0.12395010123843762</v>
      </c>
      <c r="G39" s="85">
        <v>4.4275756207461171E-5</v>
      </c>
      <c r="H39" s="85">
        <v>1.3718925491314822E-4</v>
      </c>
      <c r="I39" s="307">
        <v>5.6586865317467594E-2</v>
      </c>
      <c r="J39" s="307">
        <v>2.3467442398853234E-4</v>
      </c>
      <c r="L39" s="209"/>
      <c r="M39" s="209"/>
      <c r="N39" s="209"/>
      <c r="O39" s="209"/>
      <c r="P39" s="209"/>
      <c r="Q39" s="209"/>
      <c r="R39" s="209"/>
    </row>
    <row r="40" spans="1:18">
      <c r="A40" s="209"/>
      <c r="B40" s="343" t="s">
        <v>10</v>
      </c>
      <c r="C40" s="317">
        <v>3.09E-2</v>
      </c>
      <c r="D40" s="322">
        <v>2.0912223188830296E-2</v>
      </c>
      <c r="E40" s="85">
        <v>5.9466079917001756E-3</v>
      </c>
      <c r="F40" s="85">
        <v>1.0218421937735509E-2</v>
      </c>
      <c r="G40" s="85">
        <v>1.8464174701065134E-4</v>
      </c>
      <c r="H40" s="85">
        <v>8.8410543390360641E-2</v>
      </c>
      <c r="I40" s="307">
        <v>3.4285280077062434E-2</v>
      </c>
      <c r="J40" s="307">
        <v>1.5994064696340217E-4</v>
      </c>
      <c r="L40" s="209"/>
      <c r="M40" s="209"/>
      <c r="N40" s="209"/>
      <c r="O40" s="209"/>
      <c r="P40" s="209"/>
      <c r="Q40" s="209"/>
      <c r="R40" s="209"/>
    </row>
    <row r="41" spans="1:18">
      <c r="A41" s="209"/>
      <c r="B41" s="344" t="s">
        <v>11</v>
      </c>
      <c r="C41" s="318">
        <v>4.5699999999999998E-2</v>
      </c>
      <c r="D41" s="323">
        <v>5.5361377663264606E-3</v>
      </c>
      <c r="E41" s="308">
        <v>2.4165943530856369E-3</v>
      </c>
      <c r="F41" s="308">
        <v>8.7051884993183656E-2</v>
      </c>
      <c r="G41" s="308">
        <v>1.0669062202838932E-4</v>
      </c>
      <c r="H41" s="308">
        <v>7.8015982471236816E-4</v>
      </c>
      <c r="I41" s="309">
        <v>9.6479089201848098E-2</v>
      </c>
      <c r="J41" s="309">
        <v>4.6821388640572115E-5</v>
      </c>
      <c r="L41" s="209"/>
      <c r="M41" s="209"/>
      <c r="N41" s="209"/>
      <c r="O41" s="209"/>
      <c r="P41" s="209"/>
      <c r="Q41" s="209"/>
      <c r="R41" s="209"/>
    </row>
    <row r="42" spans="1:18">
      <c r="A42" s="209"/>
      <c r="B42" s="209"/>
      <c r="C42" s="209"/>
      <c r="D42" s="209"/>
      <c r="E42" s="209"/>
      <c r="F42" s="209"/>
      <c r="G42" s="209"/>
      <c r="H42" s="209"/>
      <c r="I42" s="209"/>
      <c r="J42" s="209"/>
      <c r="L42" s="209"/>
      <c r="M42" s="209"/>
      <c r="N42" s="209"/>
      <c r="O42" s="209"/>
      <c r="P42" s="209"/>
      <c r="Q42" s="209"/>
      <c r="R42" s="209"/>
    </row>
    <row r="43" spans="1:18">
      <c r="A43" s="209"/>
      <c r="B43" s="209"/>
      <c r="C43" s="209"/>
      <c r="D43" s="209"/>
      <c r="E43" s="209"/>
      <c r="F43" s="209"/>
      <c r="G43" s="209"/>
      <c r="H43" s="209"/>
      <c r="I43" s="209"/>
      <c r="J43" s="209"/>
      <c r="L43" s="209"/>
      <c r="M43" s="209"/>
      <c r="N43" s="209"/>
      <c r="O43" s="209"/>
      <c r="P43" s="209"/>
      <c r="Q43" s="209"/>
      <c r="R43" s="209"/>
    </row>
    <row r="44" spans="1:18">
      <c r="A44" s="209"/>
      <c r="B44" s="209"/>
      <c r="C44" s="209"/>
      <c r="D44" s="209"/>
      <c r="E44" s="209"/>
      <c r="F44" s="209"/>
      <c r="G44" s="209"/>
      <c r="H44" s="209"/>
      <c r="I44" s="209"/>
      <c r="J44" s="209"/>
      <c r="L44" s="209"/>
      <c r="M44" s="209"/>
      <c r="N44" s="209"/>
      <c r="O44" s="209"/>
      <c r="P44" s="209"/>
      <c r="Q44" s="209"/>
      <c r="R44" s="209"/>
    </row>
    <row r="45" spans="1:18">
      <c r="A45" s="209"/>
      <c r="B45" s="342" t="s">
        <v>101</v>
      </c>
      <c r="C45" s="316" t="s">
        <v>70</v>
      </c>
      <c r="D45" s="321" t="s">
        <v>112</v>
      </c>
      <c r="E45" s="305" t="s">
        <v>144</v>
      </c>
      <c r="F45" s="305" t="s">
        <v>145</v>
      </c>
      <c r="G45" s="305" t="s">
        <v>113</v>
      </c>
      <c r="H45" s="305" t="s">
        <v>114</v>
      </c>
      <c r="I45" s="306" t="s">
        <v>128</v>
      </c>
      <c r="J45" s="306" t="s">
        <v>143</v>
      </c>
      <c r="L45" s="209"/>
      <c r="M45" s="209"/>
      <c r="N45" s="209"/>
      <c r="O45" s="209"/>
      <c r="P45" s="209"/>
      <c r="Q45" s="209"/>
      <c r="R45" s="209"/>
    </row>
    <row r="46" spans="1:18">
      <c r="A46" s="209"/>
      <c r="B46" s="343" t="s">
        <v>4</v>
      </c>
      <c r="C46" s="317">
        <f>'Control panel'!B3</f>
        <v>0.55282478375024968</v>
      </c>
      <c r="D46" s="322">
        <f t="shared" ref="D46:J53" si="7">D20-D34</f>
        <v>-0.1075792616080562</v>
      </c>
      <c r="E46" s="85">
        <f t="shared" si="7"/>
        <v>-3.6686683935212239E-2</v>
      </c>
      <c r="F46" s="85">
        <f t="shared" si="7"/>
        <v>-5.4836391894153014E-2</v>
      </c>
      <c r="G46" s="85">
        <f t="shared" si="7"/>
        <v>4.3290857431932395E-5</v>
      </c>
      <c r="H46" s="85">
        <f t="shared" si="7"/>
        <v>4.2011513963933655E-2</v>
      </c>
      <c r="I46" s="307">
        <f t="shared" si="7"/>
        <v>1.1618965651100654E-2</v>
      </c>
      <c r="J46" s="307">
        <f t="shared" si="7"/>
        <v>0</v>
      </c>
      <c r="L46" s="209"/>
      <c r="M46" s="209"/>
      <c r="N46" s="209"/>
      <c r="O46" s="209"/>
      <c r="P46" s="209"/>
      <c r="Q46" s="209"/>
      <c r="R46" s="209"/>
    </row>
    <row r="47" spans="1:18">
      <c r="A47" s="209"/>
      <c r="B47" s="343" t="s">
        <v>5</v>
      </c>
      <c r="C47" s="317">
        <f>'Control panel'!B4</f>
        <v>9.9075500713263709E-2</v>
      </c>
      <c r="D47" s="322">
        <f t="shared" si="7"/>
        <v>9.1468588492257911E-3</v>
      </c>
      <c r="E47" s="85">
        <f t="shared" si="7"/>
        <v>1.9622424057568004E-3</v>
      </c>
      <c r="F47" s="85">
        <f t="shared" si="7"/>
        <v>5.3334949506348706E-3</v>
      </c>
      <c r="G47" s="85">
        <f t="shared" si="7"/>
        <v>-1.4648911301538266E-5</v>
      </c>
      <c r="H47" s="85">
        <f t="shared" si="7"/>
        <v>-1.2230990841382533E-4</v>
      </c>
      <c r="I47" s="307">
        <f t="shared" si="7"/>
        <v>-2.7320486372740531E-2</v>
      </c>
      <c r="J47" s="307">
        <f t="shared" si="7"/>
        <v>0</v>
      </c>
      <c r="L47" s="209"/>
      <c r="M47" s="209"/>
      <c r="N47" s="209"/>
      <c r="O47" s="209"/>
      <c r="P47" s="209"/>
      <c r="Q47" s="209"/>
      <c r="R47" s="209"/>
    </row>
    <row r="48" spans="1:18">
      <c r="A48" s="209"/>
      <c r="B48" s="343" t="s">
        <v>6</v>
      </c>
      <c r="C48" s="317">
        <f>'Control panel'!B5</f>
        <v>9.346901390128548E-2</v>
      </c>
      <c r="D48" s="322">
        <f t="shared" si="7"/>
        <v>0.23172132936341089</v>
      </c>
      <c r="E48" s="85">
        <f t="shared" si="7"/>
        <v>1.2874198869430611E-2</v>
      </c>
      <c r="F48" s="85">
        <f t="shared" si="7"/>
        <v>0.13086558927910874</v>
      </c>
      <c r="G48" s="85">
        <f t="shared" si="7"/>
        <v>-9.474584059931913E-6</v>
      </c>
      <c r="H48" s="85">
        <f t="shared" si="7"/>
        <v>-1.2666002908758738E-4</v>
      </c>
      <c r="I48" s="307">
        <f t="shared" si="7"/>
        <v>2.1197046684960155E-3</v>
      </c>
      <c r="J48" s="307">
        <f t="shared" si="7"/>
        <v>0</v>
      </c>
      <c r="L48" s="209"/>
      <c r="M48" s="209"/>
      <c r="N48" s="209"/>
      <c r="O48" s="209"/>
      <c r="P48" s="209"/>
      <c r="Q48" s="209"/>
      <c r="R48" s="209"/>
    </row>
    <row r="49" spans="1:18">
      <c r="A49" s="209"/>
      <c r="B49" s="343" t="s">
        <v>7</v>
      </c>
      <c r="C49" s="317">
        <f>'Control panel'!B6</f>
        <v>0.11036511115690795</v>
      </c>
      <c r="D49" s="322">
        <f t="shared" si="7"/>
        <v>5.9989336932554671E-4</v>
      </c>
      <c r="E49" s="85">
        <f t="shared" si="7"/>
        <v>-2.3015615860722373E-5</v>
      </c>
      <c r="F49" s="85">
        <f t="shared" si="7"/>
        <v>3.4793730363987872E-3</v>
      </c>
      <c r="G49" s="85">
        <f t="shared" si="7"/>
        <v>-1.3497100297446228E-5</v>
      </c>
      <c r="H49" s="85">
        <f t="shared" si="7"/>
        <v>-2.9118895616101614E-5</v>
      </c>
      <c r="I49" s="307">
        <f t="shared" si="7"/>
        <v>-5.7386138942508306E-5</v>
      </c>
      <c r="J49" s="307">
        <f t="shared" si="7"/>
        <v>0</v>
      </c>
      <c r="L49" s="209"/>
      <c r="M49" s="209"/>
      <c r="N49" s="209"/>
      <c r="O49" s="209"/>
      <c r="P49" s="209"/>
      <c r="Q49" s="209"/>
      <c r="R49" s="209"/>
    </row>
    <row r="50" spans="1:18">
      <c r="A50" s="209"/>
      <c r="B50" s="343" t="s">
        <v>8</v>
      </c>
      <c r="C50" s="317">
        <f>'Control panel'!B7</f>
        <v>4.9724653199130588E-2</v>
      </c>
      <c r="D50" s="322">
        <f>D24-D38</f>
        <v>-1.8166919556997424E-2</v>
      </c>
      <c r="E50" s="85">
        <f t="shared" si="7"/>
        <v>2.2215497982562525E-3</v>
      </c>
      <c r="F50" s="85">
        <f t="shared" si="7"/>
        <v>6.2124595963629493E-2</v>
      </c>
      <c r="G50" s="85">
        <f t="shared" si="7"/>
        <v>1.0455071660563274E-5</v>
      </c>
      <c r="H50" s="85">
        <f t="shared" si="7"/>
        <v>-5.0887881031449621E-5</v>
      </c>
      <c r="I50" s="307">
        <f t="shared" si="7"/>
        <v>8.0437295345345055E-4</v>
      </c>
      <c r="J50" s="307">
        <f t="shared" si="7"/>
        <v>0</v>
      </c>
      <c r="L50" s="209"/>
      <c r="M50" s="209"/>
      <c r="N50" s="209"/>
      <c r="O50" s="209"/>
      <c r="P50" s="209"/>
      <c r="Q50" s="209"/>
      <c r="R50" s="209"/>
    </row>
    <row r="51" spans="1:18">
      <c r="A51" s="209"/>
      <c r="B51" s="343" t="s">
        <v>9</v>
      </c>
      <c r="C51" s="317">
        <f>'Control panel'!B8</f>
        <v>1.9027140584823948E-2</v>
      </c>
      <c r="D51" s="322">
        <f t="shared" si="7"/>
        <v>-0.11961618985837562</v>
      </c>
      <c r="E51" s="85">
        <f t="shared" si="7"/>
        <v>1.9781692083006758E-2</v>
      </c>
      <c r="F51" s="85">
        <f t="shared" si="7"/>
        <v>-0.12237706091561415</v>
      </c>
      <c r="G51" s="85">
        <f t="shared" si="7"/>
        <v>1.8564651137023742E-5</v>
      </c>
      <c r="H51" s="85">
        <f t="shared" si="7"/>
        <v>2.7384692430622396E-5</v>
      </c>
      <c r="I51" s="307">
        <f t="shared" si="7"/>
        <v>-5.2950774840439481E-2</v>
      </c>
      <c r="J51" s="307">
        <f t="shared" si="7"/>
        <v>0</v>
      </c>
      <c r="L51" s="209"/>
      <c r="M51" s="209"/>
      <c r="N51" s="209"/>
      <c r="O51" s="209"/>
      <c r="P51" s="209"/>
      <c r="Q51" s="209"/>
      <c r="R51" s="209"/>
    </row>
    <row r="52" spans="1:18">
      <c r="A52" s="209"/>
      <c r="B52" s="343" t="s">
        <v>10</v>
      </c>
      <c r="C52" s="317">
        <f>'Control panel'!B9</f>
        <v>3.0988823352997075E-2</v>
      </c>
      <c r="D52" s="322">
        <f t="shared" si="7"/>
        <v>-1.9834658154102326E-3</v>
      </c>
      <c r="E52" s="85">
        <f t="shared" si="7"/>
        <v>-1.0522852654274032E-3</v>
      </c>
      <c r="F52" s="85">
        <f t="shared" si="7"/>
        <v>1.90278909049112E-3</v>
      </c>
      <c r="G52" s="85">
        <f t="shared" si="7"/>
        <v>-1.855978637550464E-5</v>
      </c>
      <c r="H52" s="85">
        <f t="shared" si="7"/>
        <v>-4.1415220044100094E-2</v>
      </c>
      <c r="I52" s="307">
        <f t="shared" si="7"/>
        <v>-1.0372192142128363E-2</v>
      </c>
      <c r="J52" s="307">
        <f t="shared" si="7"/>
        <v>0</v>
      </c>
      <c r="L52" s="209"/>
      <c r="M52" s="209"/>
      <c r="N52" s="209"/>
      <c r="O52" s="209"/>
      <c r="P52" s="209"/>
      <c r="Q52" s="209"/>
      <c r="R52" s="209"/>
    </row>
    <row r="53" spans="1:18">
      <c r="A53" s="209"/>
      <c r="B53" s="344" t="s">
        <v>11</v>
      </c>
      <c r="C53" s="318">
        <f>'Control panel'!B10</f>
        <v>4.4524973341341555E-2</v>
      </c>
      <c r="D53" s="323">
        <f t="shared" si="7"/>
        <v>5.8777552568768966E-3</v>
      </c>
      <c r="E53" s="308">
        <f t="shared" si="7"/>
        <v>9.2230166005017504E-4</v>
      </c>
      <c r="F53" s="308">
        <f t="shared" si="7"/>
        <v>-2.6492389510495401E-2</v>
      </c>
      <c r="G53" s="308">
        <f t="shared" si="7"/>
        <v>-1.613019819551116E-5</v>
      </c>
      <c r="H53" s="308">
        <f t="shared" si="7"/>
        <v>-2.9470189811496209E-4</v>
      </c>
      <c r="I53" s="309">
        <f t="shared" si="7"/>
        <v>7.6157796221201099E-2</v>
      </c>
      <c r="J53" s="309">
        <f t="shared" si="7"/>
        <v>0</v>
      </c>
      <c r="L53" s="209"/>
      <c r="M53" s="209"/>
      <c r="N53" s="209"/>
      <c r="O53" s="209"/>
      <c r="P53" s="209"/>
      <c r="Q53" s="209"/>
      <c r="R53" s="209"/>
    </row>
    <row r="54" spans="1:18">
      <c r="A54" s="209"/>
      <c r="B54" s="209"/>
      <c r="C54" s="209"/>
      <c r="D54" s="209"/>
      <c r="E54" s="209"/>
      <c r="F54" s="209"/>
      <c r="G54" s="209"/>
      <c r="H54" s="209"/>
      <c r="I54" s="209"/>
      <c r="J54" s="209"/>
      <c r="L54" s="209"/>
      <c r="M54" s="209"/>
      <c r="N54" s="209"/>
      <c r="O54" s="209"/>
      <c r="P54" s="209"/>
      <c r="Q54" s="209"/>
      <c r="R54" s="209"/>
    </row>
    <row r="55" spans="1:18">
      <c r="A55" s="209"/>
      <c r="B55" s="209"/>
      <c r="C55" s="209"/>
      <c r="D55" s="209"/>
      <c r="E55" s="209"/>
      <c r="F55" s="209"/>
      <c r="G55" s="209"/>
      <c r="H55" s="209"/>
      <c r="I55" s="209"/>
      <c r="J55" s="209"/>
      <c r="L55" s="209"/>
      <c r="M55" s="209"/>
      <c r="N55" s="209"/>
      <c r="O55" s="209"/>
      <c r="P55" s="209"/>
      <c r="Q55" s="209"/>
      <c r="R55" s="209"/>
    </row>
    <row r="56" spans="1:18">
      <c r="A56" s="209"/>
      <c r="B56" s="209"/>
      <c r="C56" s="209"/>
      <c r="D56" s="209"/>
      <c r="E56" s="209"/>
      <c r="F56" s="209"/>
      <c r="G56" s="209"/>
      <c r="H56" s="209"/>
      <c r="I56" s="209"/>
      <c r="J56" s="209"/>
      <c r="L56" s="209"/>
      <c r="M56" s="209"/>
      <c r="N56" s="209"/>
      <c r="O56" s="209"/>
      <c r="P56" s="209"/>
      <c r="Q56" s="209"/>
      <c r="R56" s="209"/>
    </row>
    <row r="57" spans="1:18">
      <c r="A57" s="209"/>
      <c r="B57" s="209"/>
      <c r="C57" s="209"/>
      <c r="D57" s="209"/>
      <c r="E57" s="209"/>
      <c r="F57" s="209"/>
      <c r="G57" s="209"/>
      <c r="H57" s="209"/>
      <c r="I57" s="209"/>
      <c r="J57" s="209"/>
      <c r="L57" s="209"/>
      <c r="M57" s="209"/>
      <c r="N57" s="209"/>
      <c r="O57" s="209"/>
      <c r="P57" s="209"/>
      <c r="Q57" s="209"/>
      <c r="R57" s="209"/>
    </row>
    <row r="58" spans="1:18">
      <c r="A58" s="209"/>
      <c r="B58" s="209"/>
      <c r="C58" s="209"/>
      <c r="D58" s="209"/>
      <c r="E58" s="209"/>
      <c r="F58" s="209"/>
      <c r="G58" s="209"/>
      <c r="H58" s="209"/>
      <c r="I58" s="209"/>
      <c r="J58" s="209"/>
      <c r="L58" s="209"/>
      <c r="M58" s="209"/>
      <c r="N58" s="209"/>
      <c r="O58" s="209"/>
      <c r="P58" s="209"/>
      <c r="Q58" s="209"/>
      <c r="R58" s="209"/>
    </row>
    <row r="59" spans="1:18">
      <c r="A59" s="209"/>
      <c r="B59" s="209"/>
      <c r="C59" s="209"/>
      <c r="D59" s="209"/>
      <c r="E59" s="209"/>
      <c r="F59" s="209"/>
      <c r="G59" s="209"/>
      <c r="H59" s="209"/>
      <c r="I59" s="209"/>
      <c r="J59" s="209"/>
      <c r="L59" s="209"/>
      <c r="M59" s="209"/>
      <c r="N59" s="209"/>
      <c r="O59" s="209"/>
      <c r="P59" s="209"/>
      <c r="Q59" s="209"/>
      <c r="R59" s="209"/>
    </row>
    <row r="60" spans="1:18">
      <c r="A60" s="209"/>
      <c r="B60" s="209"/>
      <c r="C60" s="209"/>
      <c r="D60" s="209"/>
      <c r="E60" s="209"/>
      <c r="F60" s="209"/>
      <c r="G60" s="209"/>
      <c r="H60" s="209"/>
      <c r="I60" s="209"/>
      <c r="J60" s="209"/>
      <c r="L60" s="209"/>
      <c r="M60" s="209"/>
      <c r="N60" s="209"/>
      <c r="O60" s="209"/>
      <c r="P60" s="209"/>
      <c r="Q60" s="209"/>
      <c r="R60" s="209"/>
    </row>
    <row r="61" spans="1:18">
      <c r="A61" s="209"/>
      <c r="B61" s="209"/>
      <c r="C61" s="209"/>
      <c r="D61" s="209"/>
      <c r="E61" s="209"/>
      <c r="F61" s="209"/>
      <c r="G61" s="209"/>
      <c r="H61" s="209"/>
      <c r="I61" s="209"/>
      <c r="J61" s="209"/>
      <c r="L61" s="209"/>
      <c r="M61" s="209"/>
      <c r="N61" s="209"/>
      <c r="O61" s="209"/>
      <c r="P61" s="209"/>
      <c r="Q61" s="209"/>
      <c r="R61" s="209"/>
    </row>
    <row r="62" spans="1:18">
      <c r="A62" s="209"/>
      <c r="B62" s="342" t="s">
        <v>101</v>
      </c>
      <c r="C62" s="316" t="s">
        <v>70</v>
      </c>
      <c r="D62" s="209"/>
      <c r="E62" s="321" t="s">
        <v>112</v>
      </c>
      <c r="F62" s="316" t="s">
        <v>146</v>
      </c>
      <c r="G62" s="209"/>
      <c r="H62" s="321" t="s">
        <v>145</v>
      </c>
      <c r="I62" s="316" t="s">
        <v>146</v>
      </c>
      <c r="J62" s="209"/>
      <c r="L62" s="209"/>
      <c r="M62" s="209"/>
      <c r="N62" s="209"/>
      <c r="O62" s="209"/>
      <c r="P62" s="209"/>
      <c r="Q62" s="209"/>
      <c r="R62" s="209"/>
    </row>
    <row r="63" spans="1:18">
      <c r="A63" s="209"/>
      <c r="B63" s="343" t="s">
        <v>4</v>
      </c>
      <c r="C63" s="317">
        <f>'Control panel'!B3</f>
        <v>0.55282478375024968</v>
      </c>
      <c r="D63" s="209"/>
      <c r="E63" s="322">
        <f>'Samenvatting mixen'!B15</f>
        <v>0.50191550106692151</v>
      </c>
      <c r="F63" s="317">
        <f>E63-C63</f>
        <v>-5.0909282683328172E-2</v>
      </c>
      <c r="G63" s="209"/>
      <c r="H63" s="322">
        <f>'Samenvatting mixen'!B37</f>
        <v>0.53300464703690997</v>
      </c>
      <c r="I63" s="317">
        <f>H63-C63</f>
        <v>-1.9820136713339709E-2</v>
      </c>
      <c r="J63" s="209"/>
      <c r="L63" s="209"/>
      <c r="M63" s="209"/>
      <c r="N63" s="209"/>
      <c r="O63" s="209"/>
      <c r="P63" s="209"/>
      <c r="Q63" s="209"/>
      <c r="R63" s="209"/>
    </row>
    <row r="64" spans="1:18">
      <c r="A64" s="209"/>
      <c r="B64" s="343" t="s">
        <v>5</v>
      </c>
      <c r="C64" s="317">
        <f>'Control panel'!B4</f>
        <v>9.9075500713263709E-2</v>
      </c>
      <c r="D64" s="209"/>
      <c r="E64" s="322">
        <f>'Samenvatting mixen'!B16</f>
        <v>3.5441427473810093E-2</v>
      </c>
      <c r="F64" s="317">
        <f t="shared" ref="F64:F70" si="8">E64-C64</f>
        <v>-6.3634073239453609E-2</v>
      </c>
      <c r="G64" s="209"/>
      <c r="H64" s="322">
        <f>'Samenvatting mixen'!B38</f>
        <v>3.2766577649975807E-2</v>
      </c>
      <c r="I64" s="317">
        <f t="shared" ref="I64:I70" si="9">H64-C64</f>
        <v>-6.6308923063287895E-2</v>
      </c>
      <c r="J64" s="209"/>
      <c r="L64" s="209"/>
      <c r="M64" s="209"/>
      <c r="N64" s="209"/>
      <c r="O64" s="209"/>
      <c r="P64" s="209"/>
      <c r="Q64" s="209"/>
      <c r="R64" s="209"/>
    </row>
    <row r="65" spans="1:18">
      <c r="A65" s="209"/>
      <c r="B65" s="343" t="s">
        <v>6</v>
      </c>
      <c r="C65" s="317">
        <f>'Control panel'!B5</f>
        <v>9.346901390128548E-2</v>
      </c>
      <c r="D65" s="209"/>
      <c r="E65" s="322">
        <f>'Samenvatting mixen'!B17</f>
        <v>0.34834613947489812</v>
      </c>
      <c r="F65" s="317">
        <f t="shared" si="8"/>
        <v>0.25487712557361264</v>
      </c>
      <c r="G65" s="209"/>
      <c r="H65" s="322">
        <f>'Samenvatting mixen'!B39</f>
        <v>0.24436384619083032</v>
      </c>
      <c r="I65" s="317">
        <f t="shared" si="9"/>
        <v>0.15089483228954484</v>
      </c>
      <c r="J65" s="209"/>
      <c r="L65" s="209"/>
      <c r="M65" s="209"/>
      <c r="N65" s="209"/>
      <c r="O65" s="209"/>
      <c r="P65" s="209"/>
      <c r="Q65" s="209"/>
      <c r="R65" s="209"/>
    </row>
    <row r="66" spans="1:18">
      <c r="A66" s="209"/>
      <c r="B66" s="343" t="s">
        <v>7</v>
      </c>
      <c r="C66" s="317">
        <f>'Control panel'!B6</f>
        <v>0.11036511115690795</v>
      </c>
      <c r="D66" s="209"/>
      <c r="E66" s="322">
        <f>'Samenvatting mixen'!B18</f>
        <v>1.7742427289872478E-3</v>
      </c>
      <c r="F66" s="317">
        <f t="shared" si="8"/>
        <v>-0.10859086842792071</v>
      </c>
      <c r="G66" s="209"/>
      <c r="H66" s="322">
        <f>'Samenvatting mixen'!B40</f>
        <v>5.0807613356015236E-3</v>
      </c>
      <c r="I66" s="317">
        <f t="shared" si="9"/>
        <v>-0.10528434982130642</v>
      </c>
      <c r="J66" s="209"/>
      <c r="L66" s="209"/>
      <c r="M66" s="209"/>
      <c r="N66" s="209"/>
      <c r="O66" s="209"/>
      <c r="P66" s="209"/>
      <c r="Q66" s="209"/>
      <c r="R66" s="209"/>
    </row>
    <row r="67" spans="1:18">
      <c r="A67" s="209"/>
      <c r="B67" s="343" t="s">
        <v>8</v>
      </c>
      <c r="C67" s="317">
        <f>'Control panel'!B7</f>
        <v>4.9724653199130588E-2</v>
      </c>
      <c r="D67" s="209"/>
      <c r="E67" s="322">
        <f>'Samenvatting mixen'!B19</f>
        <v>7.7712101707215292E-2</v>
      </c>
      <c r="F67" s="317">
        <f t="shared" si="8"/>
        <v>2.7987448508084704E-2</v>
      </c>
      <c r="G67" s="209"/>
      <c r="H67" s="322">
        <f>'Samenvatting mixen'!B41</f>
        <v>0.11053042095294417</v>
      </c>
      <c r="I67" s="317">
        <f t="shared" si="9"/>
        <v>6.0805767753813585E-2</v>
      </c>
      <c r="J67" s="209"/>
      <c r="L67" s="209"/>
      <c r="M67" s="209"/>
      <c r="N67" s="209"/>
      <c r="O67" s="209"/>
      <c r="P67" s="209"/>
      <c r="Q67" s="209"/>
      <c r="R67" s="209"/>
    </row>
    <row r="68" spans="1:18">
      <c r="A68" s="209"/>
      <c r="B68" s="343" t="s">
        <v>9</v>
      </c>
      <c r="C68" s="317">
        <f>'Control panel'!B8</f>
        <v>1.9027140584823948E-2</v>
      </c>
      <c r="D68" s="209"/>
      <c r="E68" s="322">
        <f>'Samenvatting mixen'!B20</f>
        <v>4.4679371515441444E-3</v>
      </c>
      <c r="F68" s="317">
        <f t="shared" si="8"/>
        <v>-1.4559203433279804E-2</v>
      </c>
      <c r="G68" s="209"/>
      <c r="H68" s="322">
        <f>'Samenvatting mixen'!B42</f>
        <v>1.5730403228234799E-3</v>
      </c>
      <c r="I68" s="317">
        <f t="shared" si="9"/>
        <v>-1.7454100262000467E-2</v>
      </c>
      <c r="J68" s="209"/>
      <c r="L68" s="209"/>
      <c r="M68" s="209"/>
      <c r="N68" s="209"/>
      <c r="O68" s="209"/>
      <c r="P68" s="209"/>
      <c r="Q68" s="209"/>
      <c r="R68" s="209"/>
    </row>
    <row r="69" spans="1:18">
      <c r="A69" s="209"/>
      <c r="B69" s="343" t="s">
        <v>10</v>
      </c>
      <c r="C69" s="317">
        <f>'Control panel'!B9</f>
        <v>3.0988823352997075E-2</v>
      </c>
      <c r="D69" s="209"/>
      <c r="E69" s="322">
        <f>'Samenvatting mixen'!B21</f>
        <v>1.8928757373420063E-2</v>
      </c>
      <c r="F69" s="317">
        <f t="shared" si="8"/>
        <v>-1.2060065979577012E-2</v>
      </c>
      <c r="G69" s="209"/>
      <c r="H69" s="322">
        <f>'Samenvatting mixen'!B43</f>
        <v>1.2121211028226629E-2</v>
      </c>
      <c r="I69" s="317">
        <f t="shared" si="9"/>
        <v>-1.8867612324770446E-2</v>
      </c>
      <c r="J69" s="209"/>
      <c r="L69" s="209"/>
      <c r="M69" s="209"/>
      <c r="N69" s="209"/>
      <c r="O69" s="209"/>
      <c r="P69" s="209"/>
      <c r="Q69" s="209"/>
      <c r="R69" s="209"/>
    </row>
    <row r="70" spans="1:18">
      <c r="A70" s="209"/>
      <c r="B70" s="344" t="s">
        <v>11</v>
      </c>
      <c r="C70" s="318">
        <f>'Control panel'!B10</f>
        <v>4.4524973341341555E-2</v>
      </c>
      <c r="D70" s="209"/>
      <c r="E70" s="323">
        <f>'Samenvatting mixen'!B22</f>
        <v>1.1413893023203357E-2</v>
      </c>
      <c r="F70" s="318">
        <f t="shared" si="8"/>
        <v>-3.3111080318138197E-2</v>
      </c>
      <c r="G70" s="209"/>
      <c r="H70" s="323">
        <f>'Samenvatting mixen'!B44</f>
        <v>6.0559495482688255E-2</v>
      </c>
      <c r="I70" s="318">
        <f t="shared" si="9"/>
        <v>1.6034522141346701E-2</v>
      </c>
      <c r="J70" s="209"/>
      <c r="L70" s="209"/>
      <c r="M70" s="209"/>
      <c r="N70" s="209"/>
      <c r="O70" s="209"/>
      <c r="P70" s="209"/>
      <c r="Q70" s="209"/>
      <c r="R70" s="209"/>
    </row>
    <row r="71" spans="1:18">
      <c r="A71" s="209"/>
      <c r="B71" s="209"/>
      <c r="C71" s="209"/>
      <c r="D71" s="209"/>
      <c r="E71" s="209"/>
      <c r="F71" s="209"/>
      <c r="G71" s="209"/>
      <c r="H71" s="209"/>
      <c r="I71" s="209"/>
      <c r="J71" s="209"/>
      <c r="L71" s="209"/>
      <c r="M71" s="209"/>
      <c r="N71" s="209"/>
      <c r="O71" s="209"/>
      <c r="P71" s="209"/>
      <c r="Q71" s="209"/>
      <c r="R71" s="209"/>
    </row>
    <row r="72" spans="1:18">
      <c r="A72" s="209"/>
      <c r="B72" s="209"/>
      <c r="C72" s="209"/>
      <c r="D72" s="209"/>
      <c r="E72" s="209"/>
      <c r="F72" s="209"/>
      <c r="G72" s="209"/>
      <c r="H72" s="209"/>
      <c r="I72" s="209"/>
      <c r="J72" s="209"/>
      <c r="L72" s="209"/>
      <c r="M72" s="209"/>
      <c r="N72" s="209"/>
      <c r="O72" s="209"/>
      <c r="P72" s="209"/>
      <c r="Q72" s="209"/>
      <c r="R72" s="209"/>
    </row>
    <row r="73" spans="1:18">
      <c r="A73" s="209"/>
      <c r="B73" s="209"/>
      <c r="C73" s="209"/>
      <c r="D73" s="209"/>
      <c r="E73" s="209"/>
      <c r="F73" s="209"/>
      <c r="G73" s="209"/>
      <c r="H73" s="209"/>
      <c r="I73" s="209"/>
      <c r="J73" s="209"/>
      <c r="L73" s="209"/>
      <c r="M73" s="209"/>
      <c r="N73" s="209"/>
      <c r="O73" s="209"/>
      <c r="P73" s="209"/>
      <c r="Q73" s="209"/>
      <c r="R73" s="209"/>
    </row>
    <row r="74" spans="1:18">
      <c r="A74" s="209"/>
      <c r="B74" s="342" t="s">
        <v>149</v>
      </c>
      <c r="C74" s="361" t="s">
        <v>70</v>
      </c>
      <c r="D74" s="361" t="s">
        <v>91</v>
      </c>
      <c r="E74" s="361" t="s">
        <v>92</v>
      </c>
      <c r="F74" s="361" t="s">
        <v>150</v>
      </c>
      <c r="G74" s="361" t="s">
        <v>151</v>
      </c>
      <c r="H74" s="209"/>
      <c r="I74" s="209"/>
      <c r="J74" s="209"/>
      <c r="L74" s="209"/>
      <c r="M74" s="209"/>
      <c r="N74" s="209"/>
      <c r="O74" s="209"/>
      <c r="P74" s="209"/>
      <c r="Q74" s="209"/>
      <c r="R74" s="209"/>
    </row>
    <row r="75" spans="1:18">
      <c r="A75" s="209"/>
      <c r="B75" s="343" t="s">
        <v>4</v>
      </c>
      <c r="C75" s="317">
        <f>'Control panel'!B3</f>
        <v>0.55282478375024968</v>
      </c>
      <c r="D75" s="317">
        <f>'Control panel'!C3</f>
        <v>0.55000000000000004</v>
      </c>
      <c r="E75" s="317">
        <f>'Control panel'!D3</f>
        <v>0.65</v>
      </c>
      <c r="F75" s="317">
        <f>'Control panel'!F3</f>
        <v>0.50191550106692151</v>
      </c>
      <c r="G75" s="317">
        <f>'Control panel'!G3</f>
        <v>-5.0909282683328172E-2</v>
      </c>
      <c r="H75" s="209"/>
      <c r="I75" s="209"/>
      <c r="J75" s="209"/>
      <c r="L75" s="209"/>
      <c r="M75" s="209"/>
      <c r="N75" s="209"/>
      <c r="O75" s="209"/>
      <c r="P75" s="209"/>
      <c r="Q75" s="209"/>
      <c r="R75" s="209"/>
    </row>
    <row r="76" spans="1:18">
      <c r="A76" s="209"/>
      <c r="B76" s="343" t="s">
        <v>5</v>
      </c>
      <c r="C76" s="317">
        <f>'Control panel'!B4</f>
        <v>9.9075500713263709E-2</v>
      </c>
      <c r="D76" s="317">
        <f>'Control panel'!C4</f>
        <v>0.05</v>
      </c>
      <c r="E76" s="317">
        <f>'Control panel'!D4</f>
        <v>0.15</v>
      </c>
      <c r="F76" s="317">
        <f>'Control panel'!F4</f>
        <v>3.5441427473810093E-2</v>
      </c>
      <c r="G76" s="317">
        <f>'Control panel'!G4</f>
        <v>-6.3634073239453609E-2</v>
      </c>
      <c r="H76" s="209"/>
      <c r="I76" s="209"/>
      <c r="J76" s="209"/>
      <c r="L76" s="209"/>
      <c r="M76" s="209"/>
      <c r="N76" s="209"/>
      <c r="O76" s="209"/>
      <c r="P76" s="209"/>
      <c r="Q76" s="209"/>
      <c r="R76" s="209"/>
    </row>
    <row r="77" spans="1:18">
      <c r="A77" s="209"/>
      <c r="B77" s="343" t="s">
        <v>6</v>
      </c>
      <c r="C77" s="317">
        <f>'Control panel'!B5</f>
        <v>9.346901390128548E-2</v>
      </c>
      <c r="D77" s="317">
        <f>'Control panel'!C5</f>
        <v>0.05</v>
      </c>
      <c r="E77" s="317">
        <f>'Control panel'!D5</f>
        <v>0.15</v>
      </c>
      <c r="F77" s="317">
        <f>'Control panel'!F5</f>
        <v>0.34834613947489812</v>
      </c>
      <c r="G77" s="317">
        <f>'Control panel'!G5</f>
        <v>0.25487712557361264</v>
      </c>
      <c r="H77" s="209"/>
      <c r="I77" s="209"/>
      <c r="J77" s="209"/>
      <c r="L77" s="209"/>
      <c r="M77" s="209"/>
      <c r="N77" s="209"/>
      <c r="O77" s="209"/>
      <c r="P77" s="209"/>
      <c r="Q77" s="209"/>
      <c r="R77" s="209"/>
    </row>
    <row r="78" spans="1:18">
      <c r="A78" s="209"/>
      <c r="B78" s="343" t="s">
        <v>7</v>
      </c>
      <c r="C78" s="317">
        <f>'Control panel'!B6</f>
        <v>0.11036511115690795</v>
      </c>
      <c r="D78" s="317">
        <f>'Control panel'!C6</f>
        <v>7.4999999999999997E-2</v>
      </c>
      <c r="E78" s="317">
        <f>'Control panel'!D6</f>
        <v>0.3</v>
      </c>
      <c r="F78" s="317">
        <f>'Control panel'!F6</f>
        <v>1.7742427289872478E-3</v>
      </c>
      <c r="G78" s="317">
        <f>'Control panel'!G6</f>
        <v>-0.10859086842792071</v>
      </c>
      <c r="H78" s="209"/>
      <c r="I78" s="209"/>
      <c r="J78" s="209"/>
      <c r="L78" s="209"/>
      <c r="M78" s="209"/>
      <c r="N78" s="209"/>
      <c r="O78" s="209"/>
      <c r="P78" s="209"/>
      <c r="Q78" s="209"/>
      <c r="R78" s="209"/>
    </row>
    <row r="79" spans="1:18">
      <c r="A79" s="209"/>
      <c r="B79" s="343" t="s">
        <v>8</v>
      </c>
      <c r="C79" s="317">
        <f>'Control panel'!B7</f>
        <v>4.9724653199130588E-2</v>
      </c>
      <c r="D79" s="317">
        <f>'Control panel'!C7</f>
        <v>2.5000000000000001E-2</v>
      </c>
      <c r="E79" s="317">
        <f>'Control panel'!D7</f>
        <v>0.1</v>
      </c>
      <c r="F79" s="317">
        <f>'Control panel'!F7</f>
        <v>7.7712101707215292E-2</v>
      </c>
      <c r="G79" s="317">
        <f>'Control panel'!G7</f>
        <v>2.7987448508084704E-2</v>
      </c>
      <c r="H79" s="209"/>
      <c r="I79" s="209"/>
      <c r="J79" s="209"/>
      <c r="L79" s="209"/>
      <c r="M79" s="209"/>
      <c r="N79" s="209"/>
      <c r="O79" s="209"/>
      <c r="P79" s="209"/>
      <c r="Q79" s="209"/>
      <c r="R79" s="209"/>
    </row>
    <row r="80" spans="1:18">
      <c r="A80" s="209"/>
      <c r="B80" s="343" t="s">
        <v>9</v>
      </c>
      <c r="C80" s="317">
        <f>'Control panel'!B8</f>
        <v>1.9027140584823948E-2</v>
      </c>
      <c r="D80" s="317">
        <f>'Control panel'!C8</f>
        <v>0.01</v>
      </c>
      <c r="E80" s="317">
        <f>'Control panel'!D8</f>
        <v>0.03</v>
      </c>
      <c r="F80" s="317">
        <f>'Control panel'!F8</f>
        <v>4.4679371515441444E-3</v>
      </c>
      <c r="G80" s="317">
        <f>'Control panel'!G8</f>
        <v>-1.4559203433279804E-2</v>
      </c>
      <c r="H80" s="209"/>
      <c r="I80" s="209"/>
      <c r="J80" s="209"/>
      <c r="L80" s="209"/>
      <c r="M80" s="209"/>
      <c r="N80" s="209"/>
      <c r="O80" s="209"/>
      <c r="P80" s="209"/>
      <c r="Q80" s="209"/>
      <c r="R80" s="209"/>
    </row>
    <row r="81" spans="1:18">
      <c r="A81" s="209"/>
      <c r="B81" s="343" t="s">
        <v>10</v>
      </c>
      <c r="C81" s="317">
        <f>'Control panel'!B9</f>
        <v>3.0988823352997075E-2</v>
      </c>
      <c r="D81" s="317">
        <f>'Control panel'!C9</f>
        <v>0.02</v>
      </c>
      <c r="E81" s="317">
        <f>'Control panel'!D9</f>
        <v>0.04</v>
      </c>
      <c r="F81" s="317">
        <f>'Control panel'!F9</f>
        <v>1.8928757373420063E-2</v>
      </c>
      <c r="G81" s="317">
        <f>'Control panel'!G9</f>
        <v>-1.2060065979577012E-2</v>
      </c>
      <c r="H81" s="209"/>
      <c r="I81" s="209"/>
      <c r="J81" s="209"/>
      <c r="L81" s="209"/>
      <c r="M81" s="209"/>
      <c r="N81" s="209"/>
      <c r="O81" s="209"/>
      <c r="P81" s="209"/>
      <c r="Q81" s="209"/>
      <c r="R81" s="209"/>
    </row>
    <row r="82" spans="1:18">
      <c r="A82" s="209"/>
      <c r="B82" s="344" t="s">
        <v>11</v>
      </c>
      <c r="C82" s="318">
        <f>'Control panel'!B10</f>
        <v>4.4524973341341555E-2</v>
      </c>
      <c r="D82" s="318">
        <f>'Control panel'!C10</f>
        <v>3.5000000000000003E-2</v>
      </c>
      <c r="E82" s="318">
        <f>'Control panel'!D10</f>
        <v>5.5E-2</v>
      </c>
      <c r="F82" s="318">
        <f>'Control panel'!F10</f>
        <v>1.1413893023203357E-2</v>
      </c>
      <c r="G82" s="318">
        <f>'Control panel'!G10</f>
        <v>-3.3111080318138197E-2</v>
      </c>
      <c r="H82" s="209"/>
      <c r="I82" s="209"/>
      <c r="J82" s="209"/>
      <c r="L82" s="209"/>
      <c r="M82" s="209"/>
      <c r="N82" s="209"/>
      <c r="O82" s="209"/>
      <c r="P82" s="209"/>
      <c r="Q82" s="209"/>
      <c r="R82" s="209"/>
    </row>
    <row r="83" spans="1:18">
      <c r="A83" s="209"/>
      <c r="B83" s="209"/>
      <c r="C83" s="209"/>
      <c r="D83" s="209"/>
      <c r="E83" s="209"/>
      <c r="F83" s="209"/>
      <c r="G83" s="209"/>
      <c r="H83" s="209"/>
      <c r="I83" s="209"/>
      <c r="J83" s="209"/>
      <c r="L83" s="209"/>
      <c r="M83" s="209"/>
      <c r="N83" s="209"/>
      <c r="O83" s="209"/>
      <c r="P83" s="209"/>
      <c r="Q83" s="209"/>
      <c r="R83" s="209"/>
    </row>
    <row r="84" spans="1:18">
      <c r="A84" s="209"/>
      <c r="B84" s="209"/>
      <c r="C84" s="209"/>
      <c r="D84" s="209"/>
      <c r="E84" s="209"/>
      <c r="F84" s="209"/>
      <c r="G84" s="209"/>
      <c r="H84" s="209"/>
      <c r="I84" s="209"/>
      <c r="J84" s="209"/>
      <c r="L84" s="209"/>
      <c r="M84" s="209"/>
      <c r="N84" s="209"/>
      <c r="O84" s="209"/>
      <c r="P84" s="209"/>
      <c r="Q84" s="209"/>
      <c r="R84" s="209"/>
    </row>
    <row r="85" spans="1:18">
      <c r="A85" s="209"/>
      <c r="B85" s="209"/>
      <c r="C85" s="209"/>
      <c r="D85" s="209"/>
      <c r="E85" s="209"/>
      <c r="F85" s="209"/>
      <c r="G85" s="209"/>
      <c r="H85" s="209"/>
      <c r="I85" s="209"/>
      <c r="J85" s="209"/>
      <c r="L85" s="209"/>
      <c r="M85" s="209"/>
      <c r="N85" s="209"/>
      <c r="O85" s="209"/>
      <c r="P85" s="209"/>
      <c r="Q85" s="209"/>
      <c r="R85" s="209"/>
    </row>
    <row r="86" spans="1:18">
      <c r="A86" s="209"/>
      <c r="B86" s="209"/>
      <c r="C86" s="209"/>
      <c r="D86" s="209"/>
      <c r="E86" s="209"/>
      <c r="F86" s="209"/>
      <c r="G86" s="209"/>
      <c r="H86" s="209"/>
      <c r="I86" s="209"/>
      <c r="J86" s="209"/>
      <c r="L86" s="209"/>
      <c r="M86" s="209"/>
      <c r="N86" s="209"/>
      <c r="O86" s="209"/>
      <c r="P86" s="209"/>
      <c r="Q86" s="209"/>
      <c r="R86" s="209"/>
    </row>
    <row r="87" spans="1:18">
      <c r="A87" s="209"/>
      <c r="B87" s="209"/>
      <c r="C87" s="209"/>
      <c r="D87" s="209"/>
      <c r="E87" s="209"/>
      <c r="F87" s="209"/>
      <c r="G87" s="209"/>
      <c r="H87" s="209"/>
      <c r="I87" s="209"/>
      <c r="J87" s="209"/>
      <c r="L87" s="209"/>
      <c r="M87" s="209"/>
      <c r="N87" s="209"/>
      <c r="O87" s="209"/>
      <c r="P87" s="209"/>
      <c r="Q87" s="209"/>
      <c r="R87" s="209"/>
    </row>
    <row r="88" spans="1:18">
      <c r="A88" s="209"/>
      <c r="B88" s="209"/>
      <c r="C88" s="209"/>
      <c r="D88" s="209"/>
      <c r="E88" s="209"/>
      <c r="F88" s="209"/>
      <c r="G88" s="209"/>
      <c r="H88" s="209"/>
      <c r="I88" s="209"/>
      <c r="J88" s="209"/>
      <c r="L88" s="209"/>
      <c r="M88" s="209"/>
      <c r="N88" s="209"/>
      <c r="O88" s="209"/>
      <c r="P88" s="209"/>
      <c r="Q88" s="209"/>
      <c r="R88" s="209"/>
    </row>
    <row r="89" spans="1:18">
      <c r="A89" s="209"/>
      <c r="B89" s="209"/>
      <c r="C89" s="209"/>
      <c r="D89" s="209"/>
      <c r="E89" s="209"/>
      <c r="F89" s="209"/>
      <c r="G89" s="209"/>
      <c r="H89" s="209"/>
      <c r="I89" s="209"/>
      <c r="J89" s="209"/>
      <c r="L89" s="209"/>
      <c r="M89" s="209"/>
      <c r="N89" s="209"/>
      <c r="O89" s="209"/>
      <c r="P89" s="209"/>
      <c r="Q89" s="209"/>
      <c r="R89" s="209"/>
    </row>
    <row r="90" spans="1:18">
      <c r="A90" s="209"/>
      <c r="B90" s="209"/>
      <c r="C90" s="209"/>
      <c r="D90" s="209"/>
      <c r="E90" s="209"/>
      <c r="F90" s="209"/>
      <c r="G90" s="209"/>
      <c r="H90" s="209"/>
      <c r="I90" s="209"/>
      <c r="J90" s="209"/>
      <c r="L90" s="209"/>
      <c r="M90" s="209"/>
      <c r="N90" s="209"/>
      <c r="O90" s="209"/>
      <c r="P90" s="209"/>
      <c r="Q90" s="209"/>
      <c r="R90" s="209"/>
    </row>
    <row r="91" spans="1:18">
      <c r="A91" s="209"/>
      <c r="B91" s="209"/>
      <c r="C91" s="209"/>
      <c r="D91" s="209"/>
      <c r="E91" s="209"/>
      <c r="F91" s="209"/>
      <c r="G91" s="209"/>
      <c r="H91" s="209"/>
      <c r="I91" s="209"/>
      <c r="J91" s="209"/>
      <c r="L91" s="209"/>
      <c r="M91" s="209"/>
      <c r="N91" s="209"/>
      <c r="O91" s="209"/>
      <c r="P91" s="209"/>
      <c r="Q91" s="209"/>
      <c r="R91" s="209"/>
    </row>
    <row r="92" spans="1:18">
      <c r="A92" s="209"/>
      <c r="B92" s="209"/>
      <c r="C92" s="209"/>
      <c r="D92" s="209"/>
      <c r="E92" s="209"/>
      <c r="F92" s="209"/>
      <c r="G92" s="209"/>
      <c r="H92" s="209"/>
      <c r="I92" s="209"/>
      <c r="J92" s="209"/>
      <c r="L92" s="209"/>
      <c r="M92" s="209"/>
      <c r="N92" s="209"/>
      <c r="O92" s="209"/>
      <c r="P92" s="209"/>
      <c r="Q92" s="209"/>
      <c r="R92" s="209"/>
    </row>
    <row r="93" spans="1:18">
      <c r="A93" s="209"/>
      <c r="B93" s="209"/>
      <c r="C93" s="209"/>
      <c r="D93" s="209"/>
      <c r="E93" s="209"/>
      <c r="F93" s="209"/>
      <c r="G93" s="209"/>
      <c r="H93" s="209"/>
      <c r="I93" s="209"/>
      <c r="J93" s="209"/>
      <c r="L93" s="209"/>
      <c r="M93" s="209"/>
      <c r="N93" s="209"/>
      <c r="O93" s="209"/>
      <c r="P93" s="209"/>
      <c r="Q93" s="209"/>
      <c r="R93" s="209"/>
    </row>
    <row r="94" spans="1:18">
      <c r="A94" s="209"/>
      <c r="B94" s="209"/>
      <c r="C94" s="209"/>
      <c r="D94" s="209"/>
      <c r="E94" s="209"/>
      <c r="F94" s="209"/>
      <c r="G94" s="209"/>
      <c r="H94" s="209"/>
      <c r="I94" s="209"/>
      <c r="J94" s="209"/>
      <c r="L94" s="209"/>
      <c r="M94" s="209"/>
      <c r="N94" s="209"/>
      <c r="O94" s="209"/>
      <c r="P94" s="209"/>
      <c r="Q94" s="209"/>
      <c r="R94" s="209"/>
    </row>
    <row r="95" spans="1:18">
      <c r="A95" s="209"/>
      <c r="B95" s="209"/>
      <c r="C95" s="209"/>
      <c r="D95" s="209"/>
      <c r="E95" s="209"/>
      <c r="F95" s="209"/>
      <c r="G95" s="209"/>
      <c r="H95" s="209"/>
      <c r="I95" s="209"/>
      <c r="J95" s="209"/>
      <c r="L95" s="209"/>
      <c r="M95" s="209"/>
      <c r="N95" s="209"/>
      <c r="O95" s="209"/>
      <c r="P95" s="209"/>
      <c r="Q95" s="209"/>
      <c r="R95" s="209"/>
    </row>
    <row r="96" spans="1:18">
      <c r="A96" s="209"/>
      <c r="B96" s="209"/>
      <c r="C96" s="209"/>
      <c r="D96" s="209"/>
      <c r="E96" s="209"/>
      <c r="F96" s="209"/>
      <c r="G96" s="209"/>
      <c r="H96" s="209"/>
      <c r="I96" s="209"/>
      <c r="J96" s="209"/>
      <c r="L96" s="209"/>
      <c r="M96" s="209"/>
      <c r="N96" s="209"/>
      <c r="O96" s="209"/>
      <c r="P96" s="209"/>
      <c r="Q96" s="209"/>
      <c r="R96" s="209"/>
    </row>
    <row r="97" spans="1:18">
      <c r="A97" s="209"/>
      <c r="B97" s="209"/>
      <c r="C97" s="209"/>
      <c r="D97" s="209"/>
      <c r="E97" s="209"/>
      <c r="F97" s="209"/>
      <c r="G97" s="209"/>
      <c r="H97" s="209"/>
      <c r="I97" s="209"/>
      <c r="J97" s="209"/>
      <c r="L97" s="209"/>
      <c r="M97" s="209"/>
      <c r="N97" s="209"/>
      <c r="O97" s="209"/>
      <c r="P97" s="209"/>
      <c r="Q97" s="209"/>
      <c r="R97" s="209"/>
    </row>
    <row r="98" spans="1:18">
      <c r="A98" s="209"/>
      <c r="B98" s="209"/>
      <c r="C98" s="209"/>
      <c r="D98" s="209"/>
      <c r="E98" s="209"/>
      <c r="F98" s="209"/>
      <c r="G98" s="209"/>
      <c r="H98" s="209"/>
      <c r="I98" s="209"/>
      <c r="J98" s="209"/>
      <c r="L98" s="209"/>
      <c r="M98" s="209"/>
      <c r="N98" s="209"/>
      <c r="O98" s="209"/>
      <c r="P98" s="209"/>
      <c r="Q98" s="209"/>
      <c r="R98" s="209"/>
    </row>
    <row r="99" spans="1:18">
      <c r="A99" s="209"/>
      <c r="B99" s="209"/>
      <c r="C99" s="209"/>
      <c r="D99" s="209"/>
      <c r="E99" s="209"/>
      <c r="F99" s="209"/>
      <c r="G99" s="209"/>
      <c r="H99" s="209"/>
      <c r="I99" s="209"/>
      <c r="J99" s="209"/>
      <c r="L99" s="209"/>
      <c r="M99" s="209"/>
      <c r="N99" s="209"/>
      <c r="O99" s="209"/>
      <c r="P99" s="209"/>
      <c r="Q99" s="209"/>
      <c r="R99" s="209"/>
    </row>
    <row r="100" spans="1:18">
      <c r="A100" s="209"/>
      <c r="B100" s="209"/>
      <c r="C100" s="209"/>
      <c r="D100" s="209"/>
      <c r="E100" s="209"/>
      <c r="F100" s="209"/>
      <c r="G100" s="209"/>
      <c r="H100" s="209"/>
      <c r="I100" s="209"/>
      <c r="J100" s="209"/>
      <c r="L100" s="209"/>
      <c r="M100" s="209"/>
      <c r="N100" s="209"/>
      <c r="O100" s="209"/>
      <c r="P100" s="209"/>
      <c r="Q100" s="209"/>
      <c r="R100" s="209"/>
    </row>
    <row r="101" spans="1:18">
      <c r="A101" s="209"/>
      <c r="B101" s="209"/>
      <c r="C101" s="209"/>
      <c r="D101" s="209"/>
      <c r="E101" s="209"/>
      <c r="F101" s="209"/>
      <c r="G101" s="209"/>
      <c r="H101" s="209"/>
      <c r="I101" s="209"/>
      <c r="J101" s="209"/>
      <c r="L101" s="209"/>
      <c r="M101" s="209"/>
      <c r="N101" s="209"/>
      <c r="O101" s="209"/>
      <c r="P101" s="209"/>
      <c r="Q101" s="209"/>
      <c r="R101" s="209"/>
    </row>
    <row r="102" spans="1:18">
      <c r="A102" s="209"/>
      <c r="B102" s="209"/>
      <c r="C102" s="209"/>
      <c r="D102" s="209"/>
      <c r="E102" s="209"/>
      <c r="F102" s="209"/>
      <c r="G102" s="209"/>
      <c r="H102" s="209"/>
      <c r="I102" s="209"/>
      <c r="J102" s="209"/>
      <c r="L102" s="209"/>
      <c r="M102" s="209"/>
      <c r="N102" s="209"/>
      <c r="O102" s="209"/>
      <c r="P102" s="209"/>
      <c r="Q102" s="209"/>
      <c r="R102" s="209"/>
    </row>
    <row r="103" spans="1:18">
      <c r="A103" s="209"/>
      <c r="B103" s="209"/>
      <c r="C103" s="209"/>
      <c r="D103" s="209"/>
      <c r="E103" s="209"/>
      <c r="F103" s="209"/>
      <c r="G103" s="209"/>
      <c r="H103" s="209"/>
      <c r="I103" s="209"/>
      <c r="J103" s="209"/>
      <c r="L103" s="209"/>
      <c r="M103" s="209"/>
      <c r="N103" s="209"/>
      <c r="O103" s="209"/>
      <c r="P103" s="209"/>
      <c r="Q103" s="209"/>
      <c r="R103" s="209"/>
    </row>
    <row r="104" spans="1:18">
      <c r="A104" s="209"/>
      <c r="B104" s="209"/>
      <c r="C104" s="209"/>
      <c r="D104" s="209"/>
      <c r="E104" s="209"/>
      <c r="F104" s="209"/>
      <c r="G104" s="209"/>
      <c r="H104" s="209"/>
      <c r="I104" s="209"/>
      <c r="J104" s="209"/>
      <c r="L104" s="209"/>
      <c r="M104" s="209"/>
      <c r="N104" s="209"/>
      <c r="O104" s="209"/>
      <c r="P104" s="209"/>
      <c r="Q104" s="209"/>
      <c r="R104" s="209"/>
    </row>
    <row r="105" spans="1:18">
      <c r="O105" s="209"/>
      <c r="P105" s="209"/>
      <c r="Q105" s="209"/>
      <c r="R105" s="209"/>
    </row>
    <row r="106" spans="1:18">
      <c r="O106" s="209"/>
      <c r="P106" s="209"/>
      <c r="Q106" s="209"/>
      <c r="R106" s="209"/>
    </row>
    <row r="107" spans="1:18">
      <c r="O107" s="209"/>
      <c r="P107" s="209"/>
      <c r="Q107" s="209"/>
      <c r="R107" s="209"/>
    </row>
    <row r="108" spans="1:18">
      <c r="O108" s="209"/>
      <c r="P108" s="209"/>
      <c r="Q108" s="209"/>
      <c r="R108" s="209"/>
    </row>
    <row r="109" spans="1:18">
      <c r="O109" s="209"/>
      <c r="P109" s="209"/>
      <c r="Q109" s="209"/>
      <c r="R109" s="209"/>
    </row>
    <row r="110" spans="1:18">
      <c r="O110" s="209"/>
      <c r="P110" s="209"/>
      <c r="Q110" s="209"/>
      <c r="R110" s="209"/>
    </row>
    <row r="111" spans="1:18">
      <c r="O111" s="209"/>
      <c r="P111" s="209"/>
      <c r="Q111" s="209"/>
      <c r="R111" s="209"/>
    </row>
    <row r="112" spans="1:18">
      <c r="O112" s="209"/>
      <c r="P112" s="209"/>
      <c r="Q112" s="209"/>
      <c r="R112" s="209"/>
    </row>
    <row r="113" spans="15:18">
      <c r="O113" s="209"/>
      <c r="P113" s="209"/>
      <c r="Q113" s="209"/>
      <c r="R113" s="209"/>
    </row>
    <row r="114" spans="15:18">
      <c r="O114" s="209"/>
      <c r="P114" s="209"/>
      <c r="Q114" s="209"/>
      <c r="R114" s="209"/>
    </row>
    <row r="115" spans="15:18">
      <c r="O115" s="209"/>
      <c r="P115" s="209"/>
      <c r="Q115" s="209"/>
      <c r="R115" s="209"/>
    </row>
    <row r="116" spans="15:18">
      <c r="O116" s="209"/>
      <c r="P116" s="209"/>
      <c r="Q116" s="209"/>
      <c r="R116" s="209"/>
    </row>
    <row r="117" spans="15:18">
      <c r="O117" s="209"/>
      <c r="P117" s="209"/>
      <c r="Q117" s="209"/>
      <c r="R117" s="209"/>
    </row>
    <row r="118" spans="15:18">
      <c r="O118" s="209"/>
      <c r="P118" s="209"/>
      <c r="Q118" s="209"/>
      <c r="R118" s="209"/>
    </row>
    <row r="119" spans="15:18">
      <c r="O119" s="209"/>
      <c r="P119" s="209"/>
      <c r="Q119" s="209"/>
      <c r="R119" s="209"/>
    </row>
    <row r="120" spans="15:18">
      <c r="O120" s="209"/>
      <c r="P120" s="209"/>
      <c r="Q120" s="209"/>
      <c r="R120" s="209"/>
    </row>
    <row r="121" spans="15:18">
      <c r="O121" s="209"/>
      <c r="P121" s="209"/>
      <c r="Q121" s="209"/>
      <c r="R121" s="209"/>
    </row>
    <row r="122" spans="15:18">
      <c r="O122" s="209"/>
      <c r="P122" s="209"/>
      <c r="Q122" s="209"/>
      <c r="R122" s="209"/>
    </row>
    <row r="123" spans="15:18">
      <c r="O123" s="209"/>
      <c r="P123" s="209"/>
      <c r="Q123" s="209"/>
      <c r="R123" s="209"/>
    </row>
    <row r="124" spans="15:18">
      <c r="O124" s="209"/>
      <c r="P124" s="209"/>
      <c r="Q124" s="209"/>
      <c r="R124" s="209"/>
    </row>
    <row r="125" spans="15:18">
      <c r="O125" s="209"/>
      <c r="P125" s="209"/>
      <c r="Q125" s="209"/>
      <c r="R125" s="209"/>
    </row>
    <row r="190" spans="2:15">
      <c r="B190" s="209"/>
      <c r="C190" s="209"/>
      <c r="D190" s="209"/>
      <c r="E190" s="209"/>
      <c r="F190" s="209"/>
      <c r="G190" s="209"/>
      <c r="H190" s="209"/>
      <c r="I190" s="209"/>
      <c r="J190" s="209"/>
      <c r="L190" s="209"/>
      <c r="M190" s="209"/>
      <c r="N190" s="209"/>
      <c r="O190" s="209"/>
    </row>
    <row r="191" spans="2:15">
      <c r="B191" s="209"/>
      <c r="C191" s="209"/>
      <c r="D191" s="209"/>
      <c r="E191" s="209"/>
      <c r="F191" s="209"/>
      <c r="G191" s="209"/>
      <c r="H191" s="209"/>
      <c r="I191" s="209"/>
      <c r="J191" s="209"/>
      <c r="L191" s="209"/>
      <c r="M191" s="209"/>
      <c r="N191" s="209"/>
      <c r="O191" s="209"/>
    </row>
    <row r="192" spans="2:15">
      <c r="B192" s="209"/>
      <c r="C192" s="209"/>
      <c r="D192" s="209"/>
      <c r="E192" s="209"/>
      <c r="F192" s="209"/>
      <c r="G192" s="209"/>
      <c r="H192" s="209"/>
      <c r="I192" s="209"/>
      <c r="J192" s="209"/>
      <c r="L192" s="209"/>
      <c r="M192" s="209"/>
      <c r="N192" s="209"/>
      <c r="O192" s="209"/>
    </row>
    <row r="193" spans="2:15">
      <c r="B193" s="209"/>
      <c r="C193" s="209"/>
      <c r="D193" s="209"/>
      <c r="E193" s="209"/>
      <c r="F193" s="209"/>
      <c r="G193" s="209"/>
      <c r="H193" s="209"/>
      <c r="I193" s="209"/>
      <c r="J193" s="209"/>
      <c r="L193" s="209"/>
      <c r="M193" s="209"/>
      <c r="N193" s="209"/>
      <c r="O193" s="209"/>
    </row>
    <row r="194" spans="2:15">
      <c r="B194" s="209"/>
      <c r="C194" s="209"/>
      <c r="D194" s="408" t="s">
        <v>133</v>
      </c>
      <c r="E194" s="409"/>
      <c r="F194" s="408" t="s">
        <v>132</v>
      </c>
      <c r="G194" s="409"/>
      <c r="H194" s="409"/>
      <c r="I194" s="410"/>
      <c r="J194" s="209"/>
      <c r="L194" s="209"/>
      <c r="M194" s="209"/>
      <c r="N194" s="209"/>
      <c r="O194" s="209"/>
    </row>
    <row r="195" spans="2:15" ht="51.75">
      <c r="B195" s="209"/>
      <c r="C195" s="313"/>
      <c r="D195" s="327" t="s">
        <v>134</v>
      </c>
      <c r="E195" s="328" t="s">
        <v>135</v>
      </c>
      <c r="F195" s="328"/>
      <c r="G195" s="328"/>
      <c r="H195" s="327" t="s">
        <v>137</v>
      </c>
      <c r="I195" s="328" t="s">
        <v>136</v>
      </c>
      <c r="J195" s="306" t="s">
        <v>138</v>
      </c>
      <c r="K195" s="335" t="s">
        <v>139</v>
      </c>
      <c r="L195" s="335" t="s">
        <v>140</v>
      </c>
      <c r="M195" s="209"/>
      <c r="N195" s="209"/>
      <c r="O195" s="209"/>
    </row>
    <row r="196" spans="2:15">
      <c r="B196" s="209"/>
      <c r="C196" s="314" t="s">
        <v>4</v>
      </c>
      <c r="D196" s="336">
        <v>4.4499999999999998E-2</v>
      </c>
      <c r="E196" s="336">
        <v>9.3000000000000096E-3</v>
      </c>
      <c r="F196" s="85"/>
      <c r="G196" s="85"/>
      <c r="H196" s="336">
        <v>-8.7300000000000003E-2</v>
      </c>
      <c r="I196" s="336">
        <f>+Scenarios!C24</f>
        <v>-3.2445168309994665E-3</v>
      </c>
      <c r="J196" s="338">
        <v>0.1023</v>
      </c>
      <c r="K196" s="339">
        <f t="shared" ref="K196:K203" si="10">+H196/J196</f>
        <v>-0.85337243401759533</v>
      </c>
      <c r="L196" s="330">
        <f t="shared" ref="L196:L203" si="11">+I196/J196</f>
        <v>-3.1715707047893123E-2</v>
      </c>
      <c r="M196" s="209"/>
      <c r="N196" s="209"/>
      <c r="O196" s="209"/>
    </row>
    <row r="197" spans="2:15">
      <c r="B197" s="209"/>
      <c r="C197" s="314" t="s">
        <v>5</v>
      </c>
      <c r="D197" s="317">
        <v>8.5371817899603325E-2</v>
      </c>
      <c r="E197" s="317">
        <v>5.6265360838678849E-2</v>
      </c>
      <c r="F197" s="85"/>
      <c r="G197" s="85"/>
      <c r="H197" s="317">
        <v>-4.6468851830414513E-2</v>
      </c>
      <c r="I197" s="317">
        <f>+Scenarios!C25</f>
        <v>2.821524342416672E-2</v>
      </c>
      <c r="J197" s="317">
        <f t="shared" ref="J197:J203" si="12">+J4</f>
        <v>0.15740402046445473</v>
      </c>
      <c r="K197" s="340">
        <f t="shared" si="10"/>
        <v>-0.29522023448510448</v>
      </c>
      <c r="L197" s="330">
        <f t="shared" si="11"/>
        <v>0.17925363876292053</v>
      </c>
      <c r="M197" s="209"/>
      <c r="N197" s="209"/>
      <c r="O197" s="209"/>
    </row>
    <row r="198" spans="2:15">
      <c r="B198" s="209"/>
      <c r="C198" s="314" t="s">
        <v>6</v>
      </c>
      <c r="D198" s="317">
        <v>0.14294511515742836</v>
      </c>
      <c r="E198" s="317">
        <v>4.8236186870114238E-2</v>
      </c>
      <c r="F198" s="85"/>
      <c r="G198" s="85"/>
      <c r="H198" s="317">
        <v>1.1104445427410514E-2</v>
      </c>
      <c r="I198" s="317">
        <f>+Scenarios!C26</f>
        <v>4.9715877116872115E-2</v>
      </c>
      <c r="J198" s="317">
        <f t="shared" si="12"/>
        <v>0.16055565886911449</v>
      </c>
      <c r="K198" s="340">
        <f t="shared" si="10"/>
        <v>6.9162591375635629E-2</v>
      </c>
      <c r="L198" s="330">
        <f>+I198/J198</f>
        <v>0.30964886237613504</v>
      </c>
      <c r="M198" s="209"/>
      <c r="N198" s="209"/>
      <c r="O198" s="209"/>
    </row>
    <row r="199" spans="2:15">
      <c r="B199" s="209"/>
      <c r="C199" s="314" t="s">
        <v>7</v>
      </c>
      <c r="D199" s="317">
        <v>7.3688794074914882E-2</v>
      </c>
      <c r="E199" s="317">
        <v>4.4755655663184818E-2</v>
      </c>
      <c r="F199" s="85"/>
      <c r="G199" s="85"/>
      <c r="H199" s="317">
        <v>-5.8151875655102964E-2</v>
      </c>
      <c r="I199" s="317">
        <f>+Scenarios!C27</f>
        <v>-1.8932480826239766E-2</v>
      </c>
      <c r="J199" s="317">
        <f t="shared" si="12"/>
        <v>0.28482723462884557</v>
      </c>
      <c r="K199" s="340">
        <f t="shared" si="10"/>
        <v>-0.20416543288383174</v>
      </c>
      <c r="L199" s="330">
        <f>+I199/J199</f>
        <v>-6.6470051050105589E-2</v>
      </c>
      <c r="M199" s="209"/>
      <c r="N199" s="209"/>
      <c r="O199" s="209"/>
    </row>
    <row r="200" spans="2:15">
      <c r="B200" s="209"/>
      <c r="C200" s="314" t="s">
        <v>8</v>
      </c>
      <c r="D200" s="317">
        <v>8.8200075364801303E-2</v>
      </c>
      <c r="E200" s="317">
        <v>0.11547766137672615</v>
      </c>
      <c r="F200" s="85"/>
      <c r="G200" s="85"/>
      <c r="H200" s="317">
        <v>-4.3640594365216501E-2</v>
      </c>
      <c r="I200" s="317">
        <f>+Scenarios!C28</f>
        <v>7.6891594824893134E-2</v>
      </c>
      <c r="J200" s="317">
        <f t="shared" si="12"/>
        <v>0.29086830436352928</v>
      </c>
      <c r="K200" s="340">
        <f t="shared" si="10"/>
        <v>-0.15003557868125147</v>
      </c>
      <c r="L200" s="330">
        <f t="shared" si="11"/>
        <v>0.26435192034121902</v>
      </c>
      <c r="M200" s="209"/>
      <c r="N200" s="209"/>
      <c r="O200" s="209"/>
    </row>
    <row r="201" spans="2:15">
      <c r="C201" s="314" t="s">
        <v>9</v>
      </c>
      <c r="D201" s="317">
        <v>9.6125190679341666E-2</v>
      </c>
      <c r="E201" s="317">
        <v>8.8245130245983364E-2</v>
      </c>
      <c r="F201" s="85"/>
      <c r="G201" s="85"/>
      <c r="H201" s="317">
        <v>-3.571547905067618E-2</v>
      </c>
      <c r="I201" s="317">
        <f>+Scenarios!C29</f>
        <v>2.095392217212597E-2</v>
      </c>
      <c r="J201" s="317">
        <f t="shared" si="12"/>
        <v>0.32762989319180058</v>
      </c>
      <c r="K201" s="340">
        <f t="shared" si="10"/>
        <v>-0.10901166161223171</v>
      </c>
      <c r="L201" s="330">
        <f t="shared" si="11"/>
        <v>6.3956075460608705E-2</v>
      </c>
      <c r="M201" s="209"/>
      <c r="N201" s="209"/>
      <c r="O201" s="209"/>
    </row>
    <row r="202" spans="2:15">
      <c r="C202" s="314" t="s">
        <v>10</v>
      </c>
      <c r="D202" s="317">
        <v>6.2658557549145399E-2</v>
      </c>
      <c r="E202" s="317">
        <v>3.2952299000522406E-2</v>
      </c>
      <c r="F202" s="85"/>
      <c r="G202" s="85"/>
      <c r="H202" s="317">
        <v>-6.9182112180872446E-2</v>
      </c>
      <c r="I202" s="317">
        <f>+Scenarios!C30</f>
        <v>1.380587420653143E-2</v>
      </c>
      <c r="J202" s="317">
        <f t="shared" si="12"/>
        <v>0.15798659221184908</v>
      </c>
      <c r="K202" s="340">
        <f t="shared" si="10"/>
        <v>-0.43789862932231632</v>
      </c>
      <c r="L202" s="330">
        <f t="shared" si="11"/>
        <v>8.7386366230488149E-2</v>
      </c>
      <c r="M202" s="209"/>
      <c r="N202" s="209"/>
      <c r="O202" s="209"/>
    </row>
    <row r="203" spans="2:15">
      <c r="C203" s="315" t="s">
        <v>11</v>
      </c>
      <c r="D203" s="318">
        <v>7.3464510927495008E-2</v>
      </c>
      <c r="E203" s="318">
        <v>3.9406691481015818E-2</v>
      </c>
      <c r="F203" s="308"/>
      <c r="G203" s="308"/>
      <c r="H203" s="318">
        <v>-5.8376158802522837E-2</v>
      </c>
      <c r="I203" s="318">
        <f>+Scenarios!C31</f>
        <v>2.0067539862887711E-2</v>
      </c>
      <c r="J203" s="318">
        <f t="shared" si="12"/>
        <v>0.19621796279766246</v>
      </c>
      <c r="K203" s="341">
        <f t="shared" si="10"/>
        <v>-0.29750670106956317</v>
      </c>
      <c r="L203" s="333">
        <f t="shared" si="11"/>
        <v>0.10227167572614701</v>
      </c>
      <c r="M203" s="209"/>
      <c r="N203" s="209"/>
      <c r="O203" s="209"/>
    </row>
    <row r="204" spans="2:15">
      <c r="C204" s="84"/>
      <c r="D204" s="84"/>
      <c r="E204" s="84"/>
      <c r="F204" s="98"/>
      <c r="G204" s="98"/>
      <c r="H204" s="84"/>
      <c r="I204" s="84"/>
      <c r="J204" s="84"/>
      <c r="K204" s="84"/>
      <c r="L204" s="209"/>
      <c r="M204" s="209"/>
      <c r="N204" s="209"/>
      <c r="O204" s="209"/>
    </row>
    <row r="205" spans="2:15">
      <c r="C205" s="209"/>
      <c r="D205" s="209"/>
      <c r="E205" s="209"/>
      <c r="F205" s="209"/>
      <c r="G205" s="209"/>
      <c r="H205" s="209"/>
      <c r="I205" s="209"/>
      <c r="J205" s="209"/>
      <c r="L205" s="209"/>
      <c r="M205" s="209"/>
      <c r="N205" s="209"/>
      <c r="O205" s="209"/>
    </row>
    <row r="206" spans="2:15">
      <c r="C206" s="209"/>
      <c r="D206" s="209"/>
      <c r="E206" s="209"/>
      <c r="F206" s="209"/>
      <c r="G206" s="209"/>
      <c r="H206" s="209"/>
      <c r="I206" s="209"/>
      <c r="J206" s="209"/>
      <c r="L206" s="209"/>
      <c r="M206" s="209"/>
      <c r="N206" s="209"/>
      <c r="O206" s="209"/>
    </row>
    <row r="207" spans="2:15">
      <c r="C207" s="209"/>
      <c r="D207" s="209"/>
      <c r="E207" s="209"/>
      <c r="F207" s="209"/>
      <c r="G207" s="209"/>
      <c r="H207" s="209"/>
      <c r="I207" s="209"/>
      <c r="J207" s="209"/>
      <c r="L207" s="209"/>
      <c r="M207" s="209"/>
      <c r="N207" s="209"/>
      <c r="O207" s="209"/>
    </row>
    <row r="208" spans="2:15">
      <c r="C208" s="209"/>
      <c r="D208" s="209"/>
      <c r="E208" s="209"/>
      <c r="F208" s="209"/>
      <c r="G208" s="209"/>
      <c r="H208" s="209"/>
      <c r="I208" s="209"/>
      <c r="J208" s="209"/>
      <c r="L208" s="209"/>
      <c r="M208" s="209"/>
      <c r="N208" s="209"/>
      <c r="O208" s="209"/>
    </row>
    <row r="209" spans="3:15">
      <c r="C209" s="209"/>
      <c r="D209" s="209"/>
      <c r="E209" s="209"/>
      <c r="F209" s="209"/>
      <c r="G209" s="209"/>
      <c r="H209" s="209"/>
      <c r="I209" s="209"/>
      <c r="J209" s="209"/>
      <c r="L209" s="209"/>
      <c r="M209" s="209"/>
      <c r="N209" s="209"/>
      <c r="O209" s="209"/>
    </row>
    <row r="210" spans="3:15">
      <c r="C210" s="209"/>
      <c r="D210" s="209"/>
      <c r="E210" s="209"/>
      <c r="F210" s="209"/>
      <c r="G210" s="209"/>
      <c r="H210" s="209"/>
      <c r="I210" s="209"/>
      <c r="J210" s="209"/>
      <c r="L210" s="209"/>
      <c r="M210" s="209"/>
      <c r="N210" s="209"/>
      <c r="O210" s="209"/>
    </row>
    <row r="211" spans="3:15">
      <c r="C211" s="209"/>
      <c r="D211" s="209"/>
      <c r="E211" s="209"/>
      <c r="F211" s="209"/>
      <c r="G211" s="209"/>
      <c r="H211" s="209"/>
      <c r="I211" s="209"/>
      <c r="J211" s="209"/>
      <c r="L211" s="209"/>
      <c r="M211" s="209"/>
      <c r="N211" s="209"/>
    </row>
    <row r="212" spans="3:15">
      <c r="C212" s="209"/>
      <c r="D212" s="209"/>
      <c r="E212" s="209"/>
      <c r="F212" s="209"/>
      <c r="G212" s="209"/>
      <c r="H212" s="209"/>
      <c r="I212" s="209"/>
      <c r="J212" s="209"/>
      <c r="L212" s="209"/>
      <c r="M212" s="209"/>
      <c r="N212" s="209"/>
    </row>
    <row r="213" spans="3:15">
      <c r="C213" s="209"/>
      <c r="D213" s="209"/>
      <c r="E213" s="209"/>
      <c r="F213" s="209"/>
      <c r="G213" s="209"/>
      <c r="H213" s="209"/>
      <c r="I213" s="209"/>
      <c r="J213" s="209"/>
      <c r="L213" s="209"/>
      <c r="M213" s="209"/>
      <c r="N213" s="209"/>
    </row>
    <row r="214" spans="3:15">
      <c r="C214" s="209"/>
      <c r="D214" s="209"/>
      <c r="E214" s="209"/>
      <c r="F214" s="209"/>
      <c r="G214" s="209"/>
      <c r="H214" s="209"/>
      <c r="I214" s="209"/>
      <c r="J214" s="209"/>
      <c r="L214" s="209"/>
      <c r="M214" s="209"/>
      <c r="N214" s="209"/>
    </row>
    <row r="215" spans="3:15">
      <c r="C215" s="209"/>
      <c r="D215" s="209"/>
      <c r="E215" s="209"/>
      <c r="F215" s="209"/>
      <c r="G215" s="209"/>
      <c r="H215" s="209"/>
      <c r="I215" s="209"/>
      <c r="J215" s="209"/>
      <c r="L215" s="209"/>
      <c r="M215" s="209"/>
      <c r="N215" s="209"/>
    </row>
    <row r="216" spans="3:15">
      <c r="C216" s="209"/>
      <c r="D216" s="209"/>
      <c r="E216" s="209"/>
      <c r="F216" s="209"/>
      <c r="G216" s="209"/>
      <c r="H216" s="209"/>
      <c r="I216" s="209"/>
      <c r="J216" s="209"/>
      <c r="L216" s="209"/>
      <c r="M216" s="209"/>
      <c r="N216" s="209"/>
    </row>
    <row r="217" spans="3:15">
      <c r="C217" s="209"/>
      <c r="D217" s="209"/>
      <c r="E217" s="209"/>
      <c r="F217" s="209"/>
      <c r="G217" s="209"/>
      <c r="H217" s="209"/>
      <c r="I217" s="209"/>
      <c r="J217" s="209"/>
      <c r="L217" s="209"/>
      <c r="M217" s="209"/>
      <c r="N217" s="209"/>
    </row>
    <row r="218" spans="3:15">
      <c r="C218" s="209"/>
      <c r="D218" s="209"/>
      <c r="E218" s="209"/>
      <c r="F218" s="209"/>
      <c r="G218" s="209"/>
      <c r="H218" s="209"/>
      <c r="I218" s="209"/>
      <c r="J218" s="209"/>
      <c r="L218" s="209"/>
      <c r="M218" s="209"/>
      <c r="N218" s="209"/>
    </row>
    <row r="219" spans="3:15">
      <c r="C219" s="209"/>
      <c r="D219" s="209"/>
      <c r="E219" s="209"/>
      <c r="F219" s="209"/>
      <c r="G219" s="209"/>
      <c r="H219" s="209"/>
      <c r="I219" s="209"/>
      <c r="J219" s="209"/>
      <c r="L219" s="209"/>
      <c r="M219" s="209"/>
      <c r="N219" s="209"/>
    </row>
    <row r="220" spans="3:15">
      <c r="C220" s="209"/>
      <c r="D220" s="209"/>
      <c r="E220" s="209"/>
      <c r="F220" s="209"/>
      <c r="G220" s="209"/>
      <c r="H220" s="209"/>
      <c r="I220" s="209"/>
      <c r="J220" s="209"/>
      <c r="L220" s="209"/>
      <c r="M220" s="209"/>
      <c r="N220" s="209"/>
    </row>
    <row r="221" spans="3:15">
      <c r="C221" s="209"/>
      <c r="D221" s="209"/>
      <c r="E221" s="209"/>
      <c r="F221" s="209"/>
      <c r="G221" s="209"/>
      <c r="H221" s="209"/>
      <c r="I221" s="209"/>
      <c r="J221" s="209"/>
      <c r="L221" s="209"/>
      <c r="M221" s="209"/>
      <c r="N221" s="209"/>
    </row>
    <row r="222" spans="3:15">
      <c r="C222" s="209"/>
      <c r="D222" s="209"/>
      <c r="E222" s="209"/>
      <c r="F222" s="209"/>
      <c r="G222" s="209"/>
      <c r="H222" s="209"/>
      <c r="I222" s="209"/>
      <c r="J222" s="209"/>
      <c r="L222" s="209"/>
      <c r="M222" s="209"/>
      <c r="N222" s="209"/>
    </row>
    <row r="223" spans="3:15">
      <c r="C223" s="209"/>
      <c r="D223" s="209"/>
      <c r="E223" s="209"/>
      <c r="F223" s="209"/>
      <c r="G223" s="209"/>
      <c r="H223" s="209"/>
      <c r="I223" s="209"/>
      <c r="J223" s="209"/>
      <c r="L223" s="209"/>
      <c r="M223" s="209"/>
      <c r="N223" s="209"/>
    </row>
    <row r="224" spans="3:15">
      <c r="C224" s="209"/>
      <c r="D224" s="209"/>
      <c r="E224" s="209"/>
      <c r="F224" s="209"/>
      <c r="G224" s="209"/>
      <c r="H224" s="209"/>
      <c r="I224" s="209"/>
      <c r="J224" s="209"/>
      <c r="L224" s="209"/>
      <c r="M224" s="209"/>
      <c r="N224" s="209"/>
    </row>
    <row r="225" spans="11:14">
      <c r="K225" s="331"/>
      <c r="L225" s="209"/>
      <c r="N225" s="209"/>
    </row>
    <row r="226" spans="11:14">
      <c r="K226" s="331"/>
      <c r="L226" s="209"/>
    </row>
  </sheetData>
  <mergeCells count="2">
    <mergeCell ref="D194:E194"/>
    <mergeCell ref="F194:I194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9:I19"/>
  <sheetViews>
    <sheetView workbookViewId="0">
      <selection activeCell="H19" sqref="H19:H20"/>
    </sheetView>
  </sheetViews>
  <sheetFormatPr defaultRowHeight="15"/>
  <cols>
    <col min="1" max="1" width="20.85546875" style="75" bestFit="1" customWidth="1"/>
    <col min="2" max="2" width="9.85546875" style="75" customWidth="1"/>
    <col min="3" max="3" width="12" style="75" customWidth="1"/>
    <col min="4" max="16384" width="9.140625" style="75"/>
  </cols>
  <sheetData>
    <row r="9" spans="1:9">
      <c r="A9" s="313" t="s">
        <v>131</v>
      </c>
      <c r="B9" s="316" t="s">
        <v>70</v>
      </c>
      <c r="C9" s="316" t="s">
        <v>112</v>
      </c>
      <c r="E9" s="316" t="s">
        <v>147</v>
      </c>
      <c r="F9" s="316"/>
      <c r="H9" s="316" t="s">
        <v>112</v>
      </c>
      <c r="I9" s="316"/>
    </row>
    <row r="10" spans="1:9">
      <c r="A10" s="350" t="str">
        <f>'Control panel'!A3</f>
        <v>Nominale matching</v>
      </c>
      <c r="B10" s="352">
        <v>1.4756554714979015E-2</v>
      </c>
      <c r="C10" s="352">
        <v>1.5220718103759889E-2</v>
      </c>
      <c r="E10" s="358">
        <v>0</v>
      </c>
      <c r="F10" s="355">
        <f>B10</f>
        <v>1.4756554714979015E-2</v>
      </c>
      <c r="H10" s="358">
        <v>0</v>
      </c>
      <c r="I10" s="355">
        <f>C10</f>
        <v>1.5220718103759889E-2</v>
      </c>
    </row>
    <row r="11" spans="1:9">
      <c r="A11" s="350" t="str">
        <f>'Control panel'!A4</f>
        <v>High Yield</v>
      </c>
      <c r="B11" s="352">
        <v>1.4212854294443212E-2</v>
      </c>
      <c r="C11" s="352">
        <v>1.0530542875070045E-2</v>
      </c>
      <c r="E11" s="359">
        <f>E10+F10</f>
        <v>1.4756554714979015E-2</v>
      </c>
      <c r="F11" s="356">
        <f t="shared" ref="F11:F17" si="0">B11</f>
        <v>1.4212854294443212E-2</v>
      </c>
      <c r="H11" s="359">
        <f>H10+I10</f>
        <v>1.5220718103759889E-2</v>
      </c>
      <c r="I11" s="356">
        <f t="shared" ref="I11:I17" si="1">C11</f>
        <v>1.0530542875070045E-2</v>
      </c>
    </row>
    <row r="12" spans="1:9">
      <c r="A12" s="350" t="str">
        <f>'Control panel'!A5</f>
        <v>Emerging market debt</v>
      </c>
      <c r="B12" s="352">
        <v>1.4438415379559985E-2</v>
      </c>
      <c r="C12" s="352">
        <v>1.5173593894911512E-2</v>
      </c>
      <c r="E12" s="359">
        <f t="shared" ref="E12:E17" si="2">E11+F11</f>
        <v>2.8969409009422228E-2</v>
      </c>
      <c r="F12" s="356">
        <f t="shared" si="0"/>
        <v>1.4438415379559985E-2</v>
      </c>
      <c r="H12" s="359">
        <f t="shared" ref="H12:H17" si="3">H11+I11</f>
        <v>2.5751260978829932E-2</v>
      </c>
      <c r="I12" s="356">
        <f t="shared" si="1"/>
        <v>1.5173593894911512E-2</v>
      </c>
    </row>
    <row r="13" spans="1:9">
      <c r="A13" s="350" t="str">
        <f>'Control panel'!A6</f>
        <v>Aandelen ontwikkeld</v>
      </c>
      <c r="B13" s="352">
        <v>2.6178530363036752E-2</v>
      </c>
      <c r="C13" s="352">
        <v>1.942785291665489E-2</v>
      </c>
      <c r="E13" s="359">
        <f t="shared" si="2"/>
        <v>4.3407824388982212E-2</v>
      </c>
      <c r="F13" s="356">
        <f t="shared" si="0"/>
        <v>2.6178530363036752E-2</v>
      </c>
      <c r="H13" s="359">
        <f t="shared" si="3"/>
        <v>4.0924854873741444E-2</v>
      </c>
      <c r="I13" s="356">
        <f t="shared" si="1"/>
        <v>1.942785291665489E-2</v>
      </c>
    </row>
    <row r="14" spans="1:9">
      <c r="A14" s="350" t="str">
        <f>'Control panel'!A7</f>
        <v>Aandelen opkomend</v>
      </c>
      <c r="B14" s="352">
        <v>1.2885940533325082E-2</v>
      </c>
      <c r="C14" s="352">
        <v>2.1277542423549976E-2</v>
      </c>
      <c r="E14" s="359">
        <f t="shared" si="2"/>
        <v>6.9586354752018964E-2</v>
      </c>
      <c r="F14" s="356">
        <f t="shared" si="0"/>
        <v>1.2885940533325082E-2</v>
      </c>
      <c r="H14" s="359">
        <f t="shared" si="3"/>
        <v>6.0352707790396337E-2</v>
      </c>
      <c r="I14" s="356">
        <f t="shared" si="1"/>
        <v>2.1277542423549976E-2</v>
      </c>
    </row>
    <row r="15" spans="1:9">
      <c r="A15" s="350" t="str">
        <f>'Control panel'!A8</f>
        <v>Commodities</v>
      </c>
      <c r="B15" s="352">
        <v>4.6353992557141592E-3</v>
      </c>
      <c r="C15" s="352">
        <v>4.686099916713796E-3</v>
      </c>
      <c r="E15" s="359">
        <f t="shared" si="2"/>
        <v>8.2472295285344041E-2</v>
      </c>
      <c r="F15" s="356">
        <f t="shared" si="0"/>
        <v>4.6353992557141592E-3</v>
      </c>
      <c r="H15" s="359">
        <f t="shared" si="3"/>
        <v>8.163025021394632E-2</v>
      </c>
      <c r="I15" s="356">
        <f t="shared" si="1"/>
        <v>4.686099916713796E-3</v>
      </c>
    </row>
    <row r="16" spans="1:9">
      <c r="A16" s="350" t="str">
        <f>'Control panel'!A9</f>
        <v>Hedge funds</v>
      </c>
      <c r="B16" s="352">
        <v>4.3180826561846995E-3</v>
      </c>
      <c r="C16" s="352">
        <v>4.264603068845089E-3</v>
      </c>
      <c r="E16" s="359">
        <f t="shared" si="2"/>
        <v>8.7107694541058198E-2</v>
      </c>
      <c r="F16" s="356">
        <f t="shared" si="0"/>
        <v>4.3180826561846995E-3</v>
      </c>
      <c r="H16" s="359">
        <f t="shared" si="3"/>
        <v>8.6316350130660122E-2</v>
      </c>
      <c r="I16" s="356">
        <f t="shared" si="1"/>
        <v>4.264603068845089E-3</v>
      </c>
    </row>
    <row r="17" spans="1:9">
      <c r="A17" s="351" t="str">
        <f>'Control panel'!A10</f>
        <v>Onroerend goed</v>
      </c>
      <c r="B17" s="353">
        <v>8.4910307979983776E-3</v>
      </c>
      <c r="C17" s="353">
        <v>8.4188379833086361E-3</v>
      </c>
      <c r="E17" s="360">
        <f t="shared" si="2"/>
        <v>9.1425777197242902E-2</v>
      </c>
      <c r="F17" s="357">
        <f t="shared" si="0"/>
        <v>8.4910307979983776E-3</v>
      </c>
      <c r="H17" s="360">
        <f t="shared" si="3"/>
        <v>9.058095319950521E-2</v>
      </c>
      <c r="I17" s="357">
        <f t="shared" si="1"/>
        <v>8.4188379833086361E-3</v>
      </c>
    </row>
    <row r="19" spans="1:9">
      <c r="B19" s="354">
        <f>SUM(B10:B17)</f>
        <v>9.9916807995241275E-2</v>
      </c>
      <c r="C19" s="354">
        <f>SUM(C10:C17)</f>
        <v>9.8999791182813851E-2</v>
      </c>
    </row>
  </sheetData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B2:S27"/>
  <sheetViews>
    <sheetView workbookViewId="0">
      <selection activeCell="C8" sqref="C8"/>
    </sheetView>
  </sheetViews>
  <sheetFormatPr defaultRowHeight="15"/>
  <sheetData>
    <row r="2" spans="2:19" ht="25.5">
      <c r="B2" s="342" t="s">
        <v>115</v>
      </c>
      <c r="C2" s="316" t="s">
        <v>70</v>
      </c>
      <c r="D2" s="305" t="s">
        <v>112</v>
      </c>
      <c r="E2" s="305" t="s">
        <v>144</v>
      </c>
      <c r="F2" s="305" t="s">
        <v>145</v>
      </c>
      <c r="G2" s="305" t="s">
        <v>113</v>
      </c>
      <c r="H2" s="305" t="s">
        <v>114</v>
      </c>
      <c r="I2" s="305" t="s">
        <v>128</v>
      </c>
      <c r="J2" s="316" t="s">
        <v>130</v>
      </c>
      <c r="K2" s="209"/>
      <c r="L2" s="369" t="s">
        <v>152</v>
      </c>
      <c r="M2" s="370" t="s">
        <v>70</v>
      </c>
      <c r="N2" s="371" t="s">
        <v>112</v>
      </c>
      <c r="O2" s="371" t="s">
        <v>144</v>
      </c>
      <c r="P2" s="371" t="s">
        <v>145</v>
      </c>
      <c r="Q2" s="371" t="s">
        <v>113</v>
      </c>
      <c r="R2" s="371" t="s">
        <v>114</v>
      </c>
      <c r="S2" s="372" t="s">
        <v>128</v>
      </c>
    </row>
    <row r="3" spans="2:19">
      <c r="B3" s="343" t="s">
        <v>4</v>
      </c>
      <c r="C3" s="317">
        <f>+Scenarios!B24</f>
        <v>0</v>
      </c>
      <c r="D3" s="85">
        <f>+Scenarios!C24</f>
        <v>-3.2445168309994665E-3</v>
      </c>
      <c r="E3" s="85">
        <f>+Scenarios!D24</f>
        <v>-1.0761362748873404E-3</v>
      </c>
      <c r="F3" s="85">
        <f>+Scenarios!E24</f>
        <v>-3.4179872754884488E-3</v>
      </c>
      <c r="G3" s="85">
        <f>+Scenarios!F24</f>
        <v>-5.8987126880164276E-2</v>
      </c>
      <c r="H3" s="85">
        <f>+Scenarios!G24</f>
        <v>-0.26287574291051119</v>
      </c>
      <c r="I3" s="85">
        <f>+Scenarios!H24</f>
        <v>-3.2441343963196256E-3</v>
      </c>
      <c r="J3" s="317">
        <f>Scenarios!D4</f>
        <v>3.8327320576542839E-2</v>
      </c>
      <c r="K3" s="209"/>
      <c r="L3" s="343" t="s">
        <v>4</v>
      </c>
      <c r="M3" s="363">
        <f>C3/$J3</f>
        <v>0</v>
      </c>
      <c r="N3" s="364">
        <f t="shared" ref="N3:S10" si="0">D3/$J3</f>
        <v>-8.4652847686545088E-2</v>
      </c>
      <c r="O3" s="364">
        <f t="shared" si="0"/>
        <v>-2.8077524301188938E-2</v>
      </c>
      <c r="P3" s="364">
        <f t="shared" si="0"/>
        <v>-8.9178873557373903E-2</v>
      </c>
      <c r="Q3" s="364">
        <f t="shared" si="0"/>
        <v>-1.5390360190288306</v>
      </c>
      <c r="R3" s="364">
        <f t="shared" si="0"/>
        <v>-6.8587038946676824</v>
      </c>
      <c r="S3" s="367">
        <f t="shared" si="0"/>
        <v>-8.4642869564566098E-2</v>
      </c>
    </row>
    <row r="4" spans="2:19">
      <c r="B4" s="343" t="s">
        <v>5</v>
      </c>
      <c r="C4" s="317">
        <f>+Scenarios!B25</f>
        <v>0.03</v>
      </c>
      <c r="D4" s="85">
        <f>+Scenarios!C25</f>
        <v>2.821524342416672E-2</v>
      </c>
      <c r="E4" s="85">
        <f>+Scenarios!D25</f>
        <v>-4.3289757138539151E-2</v>
      </c>
      <c r="F4" s="85">
        <f>+Scenarios!E25</f>
        <v>2.8173968116101435E-2</v>
      </c>
      <c r="G4" s="85">
        <f>+Scenarios!F25</f>
        <v>-0.46709405332985687</v>
      </c>
      <c r="H4" s="85">
        <f>+Scenarios!G25</f>
        <v>-0.46905624232985693</v>
      </c>
      <c r="I4" s="85">
        <f>+Scenarios!H25</f>
        <v>0.30101613523680981</v>
      </c>
      <c r="J4" s="317">
        <f>Scenarios!D5</f>
        <v>0.15740402046445473</v>
      </c>
      <c r="K4" s="209"/>
      <c r="L4" s="343" t="s">
        <v>5</v>
      </c>
      <c r="M4" s="363">
        <f t="shared" ref="M4:M10" si="1">C4/$J4</f>
        <v>0.19059233627882241</v>
      </c>
      <c r="N4" s="364">
        <f t="shared" si="0"/>
        <v>0.17925363876292053</v>
      </c>
      <c r="O4" s="364">
        <f t="shared" si="0"/>
        <v>-0.27502319833256689</v>
      </c>
      <c r="P4" s="364">
        <f t="shared" si="0"/>
        <v>0.1789914135164275</v>
      </c>
      <c r="Q4" s="364">
        <f t="shared" si="0"/>
        <v>-2.9674848962027429</v>
      </c>
      <c r="R4" s="364">
        <f t="shared" si="0"/>
        <v>-2.979950835727097</v>
      </c>
      <c r="S4" s="367">
        <f t="shared" si="0"/>
        <v>1.9123789490801846</v>
      </c>
    </row>
    <row r="5" spans="2:19">
      <c r="B5" s="343" t="s">
        <v>6</v>
      </c>
      <c r="C5" s="317">
        <f>+Scenarios!B26</f>
        <v>3.1392347703607063E-2</v>
      </c>
      <c r="D5" s="85">
        <f>+Scenarios!C26</f>
        <v>4.9715877116872115E-2</v>
      </c>
      <c r="E5" s="85">
        <f>+Scenarios!D26</f>
        <v>-1.5254735941571146E-2</v>
      </c>
      <c r="F5" s="85">
        <f>+Scenarios!E26</f>
        <v>4.2527479167274736E-2</v>
      </c>
      <c r="G5" s="85">
        <f>+Scenarios!F26</f>
        <v>-0.53388765375707492</v>
      </c>
      <c r="H5" s="85">
        <f>+Scenarios!G26</f>
        <v>-0.40758678794189662</v>
      </c>
      <c r="I5" s="85">
        <f>+Scenarios!H26</f>
        <v>0.26888806032968465</v>
      </c>
      <c r="J5" s="317">
        <f>Scenarios!D6</f>
        <v>0.16055565886911449</v>
      </c>
      <c r="K5" s="209"/>
      <c r="L5" s="343" t="s">
        <v>6</v>
      </c>
      <c r="M5" s="363">
        <f t="shared" si="1"/>
        <v>0.19552314708009269</v>
      </c>
      <c r="N5" s="364">
        <f t="shared" si="0"/>
        <v>0.30964886237613504</v>
      </c>
      <c r="O5" s="364">
        <f t="shared" si="0"/>
        <v>-9.5012135037898959E-2</v>
      </c>
      <c r="P5" s="364">
        <f t="shared" si="0"/>
        <v>0.26487686243400038</v>
      </c>
      <c r="Q5" s="364">
        <f t="shared" si="0"/>
        <v>-3.3252496829918772</v>
      </c>
      <c r="R5" s="364">
        <f t="shared" si="0"/>
        <v>-2.5386011979444634</v>
      </c>
      <c r="S5" s="367">
        <f t="shared" si="0"/>
        <v>1.6747342462023285</v>
      </c>
    </row>
    <row r="6" spans="2:19">
      <c r="B6" s="343" t="s">
        <v>7</v>
      </c>
      <c r="C6" s="317">
        <f>+Scenarios!B27</f>
        <v>5.5586945104648379E-2</v>
      </c>
      <c r="D6" s="85">
        <f>+Scenarios!C27</f>
        <v>-1.8932480826239766E-2</v>
      </c>
      <c r="E6" s="85">
        <f>+Scenarios!D27</f>
        <v>-0.18637839848821813</v>
      </c>
      <c r="F6" s="85">
        <f>+Scenarios!E27</f>
        <v>3.3016877644366754E-2</v>
      </c>
      <c r="G6" s="85">
        <f>+Scenarios!F27</f>
        <v>-0.63662140327632288</v>
      </c>
      <c r="H6" s="85">
        <f>+Scenarios!G27</f>
        <v>-0.50223026172585394</v>
      </c>
      <c r="I6" s="85">
        <f>+Scenarios!H27</f>
        <v>0.34216639060226639</v>
      </c>
      <c r="J6" s="317">
        <f>Scenarios!D7</f>
        <v>0.28482723462884557</v>
      </c>
      <c r="K6" s="209"/>
      <c r="L6" s="343" t="s">
        <v>7</v>
      </c>
      <c r="M6" s="363">
        <f t="shared" si="1"/>
        <v>0.19516021765644342</v>
      </c>
      <c r="N6" s="364">
        <f t="shared" si="0"/>
        <v>-6.6470051050105589E-2</v>
      </c>
      <c r="O6" s="364">
        <f t="shared" si="0"/>
        <v>-0.65435595978413108</v>
      </c>
      <c r="P6" s="364">
        <f t="shared" si="0"/>
        <v>0.11591896290181165</v>
      </c>
      <c r="Q6" s="364">
        <f t="shared" si="0"/>
        <v>-2.2351142232093619</v>
      </c>
      <c r="R6" s="364">
        <f t="shared" si="0"/>
        <v>-1.7632803351136812</v>
      </c>
      <c r="S6" s="367">
        <f t="shared" si="0"/>
        <v>1.2013120551766712</v>
      </c>
    </row>
    <row r="7" spans="2:19">
      <c r="B7" s="343" t="s">
        <v>8</v>
      </c>
      <c r="C7" s="317">
        <f>+Scenarios!B28</f>
        <v>5.4126209330308192E-2</v>
      </c>
      <c r="D7" s="85">
        <f>+Scenarios!C28</f>
        <v>7.6891594824893134E-2</v>
      </c>
      <c r="E7" s="85">
        <f>+Scenarios!D28</f>
        <v>-1.5041633078088965E-2</v>
      </c>
      <c r="F7" s="85">
        <f>+Scenarios!E28</f>
        <v>7.4724436355395413E-2</v>
      </c>
      <c r="G7" s="85">
        <f>+Scenarios!F28</f>
        <v>-0.38154687800334713</v>
      </c>
      <c r="H7" s="85">
        <f>+Scenarios!G28</f>
        <v>-0.22652606438744602</v>
      </c>
      <c r="I7" s="85">
        <f>+Scenarios!H28</f>
        <v>0.43818723932566084</v>
      </c>
      <c r="J7" s="317">
        <f>Scenarios!D8</f>
        <v>0.29086830436352928</v>
      </c>
      <c r="K7" s="209"/>
      <c r="L7" s="343" t="s">
        <v>8</v>
      </c>
      <c r="M7" s="363">
        <f t="shared" si="1"/>
        <v>0.18608493437862128</v>
      </c>
      <c r="N7" s="364">
        <f t="shared" si="0"/>
        <v>0.26435192034121902</v>
      </c>
      <c r="O7" s="364">
        <f t="shared" si="0"/>
        <v>-5.171286404341198E-2</v>
      </c>
      <c r="P7" s="364">
        <f t="shared" si="0"/>
        <v>0.25690126849298878</v>
      </c>
      <c r="Q7" s="364">
        <f t="shared" si="0"/>
        <v>-1.3117513055890997</v>
      </c>
      <c r="R7" s="364">
        <f t="shared" si="0"/>
        <v>-0.77879253596614684</v>
      </c>
      <c r="S7" s="367">
        <f t="shared" si="0"/>
        <v>1.5064798493066858</v>
      </c>
    </row>
    <row r="8" spans="2:19">
      <c r="B8" s="343" t="s">
        <v>9</v>
      </c>
      <c r="C8" s="317">
        <f>+Scenarios!B29</f>
        <v>5.1749106701455286E-2</v>
      </c>
      <c r="D8" s="85">
        <f>+Scenarios!C29</f>
        <v>2.095392217212597E-2</v>
      </c>
      <c r="E8" s="85">
        <f>+Scenarios!D29</f>
        <v>1.7326163923364224E-2</v>
      </c>
      <c r="F8" s="85">
        <f>+Scenarios!E29</f>
        <v>-3.9001815740357833E-3</v>
      </c>
      <c r="G8" s="85">
        <f>+Scenarios!F29</f>
        <v>-0.39528495301413574</v>
      </c>
      <c r="H8" s="85">
        <f>+Scenarios!G29</f>
        <v>-0.36578625545580234</v>
      </c>
      <c r="I8" s="85">
        <f>+Scenarios!H29</f>
        <v>0.41949577968586427</v>
      </c>
      <c r="J8" s="317">
        <f>Scenarios!D9</f>
        <v>0.32762989319180058</v>
      </c>
      <c r="K8" s="209"/>
      <c r="L8" s="343" t="s">
        <v>9</v>
      </c>
      <c r="M8" s="363">
        <f t="shared" si="1"/>
        <v>0.15794989339132251</v>
      </c>
      <c r="N8" s="364">
        <f t="shared" si="0"/>
        <v>6.3956075460608705E-2</v>
      </c>
      <c r="O8" s="364">
        <f t="shared" si="0"/>
        <v>5.2883342708966941E-2</v>
      </c>
      <c r="P8" s="364">
        <f t="shared" si="0"/>
        <v>-1.1904229910280333E-2</v>
      </c>
      <c r="Q8" s="364">
        <f t="shared" si="0"/>
        <v>-1.2064984338371365</v>
      </c>
      <c r="R8" s="364">
        <f t="shared" si="0"/>
        <v>-1.1164617852549381</v>
      </c>
      <c r="S8" s="367">
        <f t="shared" si="0"/>
        <v>1.280395313135495</v>
      </c>
    </row>
    <row r="9" spans="2:19">
      <c r="B9" s="343" t="s">
        <v>10</v>
      </c>
      <c r="C9" s="317">
        <f>+Scenarios!B30</f>
        <v>2.8567108921173753E-2</v>
      </c>
      <c r="D9" s="85">
        <f>+Scenarios!C30</f>
        <v>1.380587420653143E-2</v>
      </c>
      <c r="E9" s="85">
        <f>+Scenarios!D30</f>
        <v>-4.2158606606711446E-2</v>
      </c>
      <c r="F9" s="85">
        <f>+Scenarios!E30</f>
        <v>1.0491043321084678E-2</v>
      </c>
      <c r="G9" s="85">
        <f>+Scenarios!F30</f>
        <v>-0.25764077911990541</v>
      </c>
      <c r="H9" s="85">
        <f>+Scenarios!G30</f>
        <v>-1.27081470544461E-2</v>
      </c>
      <c r="I9" s="85">
        <f>+Scenarios!H30</f>
        <v>0.26865610006004731</v>
      </c>
      <c r="J9" s="317">
        <f>Scenarios!D10</f>
        <v>0.15798659221184908</v>
      </c>
      <c r="K9" s="209"/>
      <c r="L9" s="343" t="s">
        <v>10</v>
      </c>
      <c r="M9" s="363">
        <f t="shared" si="1"/>
        <v>0.18081983110862496</v>
      </c>
      <c r="N9" s="364">
        <f t="shared" si="0"/>
        <v>8.7386366230488149E-2</v>
      </c>
      <c r="O9" s="364">
        <f t="shared" si="0"/>
        <v>-0.26684926876693227</v>
      </c>
      <c r="P9" s="364">
        <f t="shared" si="0"/>
        <v>6.6404643420733545E-2</v>
      </c>
      <c r="Q9" s="364">
        <f t="shared" si="0"/>
        <v>-1.6307762292538532</v>
      </c>
      <c r="R9" s="364">
        <f t="shared" si="0"/>
        <v>-8.0438136404672594E-2</v>
      </c>
      <c r="S9" s="367">
        <f t="shared" si="0"/>
        <v>1.7004993670589343</v>
      </c>
    </row>
    <row r="10" spans="2:19">
      <c r="B10" s="344" t="s">
        <v>11</v>
      </c>
      <c r="C10" s="318">
        <f>+Scenarios!B31</f>
        <v>3.8735949538907542E-2</v>
      </c>
      <c r="D10" s="308">
        <f>+Scenarios!C31</f>
        <v>2.0067539862887711E-2</v>
      </c>
      <c r="E10" s="308">
        <f>+Scenarios!D31</f>
        <v>-5.1766673344794997E-2</v>
      </c>
      <c r="F10" s="308">
        <f>+Scenarios!E31</f>
        <v>4.4470055868840348E-2</v>
      </c>
      <c r="G10" s="308">
        <f>+Scenarios!F31</f>
        <v>-0.32705491871314474</v>
      </c>
      <c r="H10" s="308">
        <f>+Scenarios!G31</f>
        <v>-0.17140461936280491</v>
      </c>
      <c r="I10" s="308">
        <f>+Scenarios!H31</f>
        <v>0.40834897941312509</v>
      </c>
      <c r="J10" s="318">
        <f>Scenarios!D11</f>
        <v>0.19621796279766246</v>
      </c>
      <c r="K10" s="209"/>
      <c r="L10" s="344" t="s">
        <v>11</v>
      </c>
      <c r="M10" s="365">
        <f t="shared" si="1"/>
        <v>0.19741286162904248</v>
      </c>
      <c r="N10" s="366">
        <f t="shared" si="0"/>
        <v>0.10227167572614701</v>
      </c>
      <c r="O10" s="366">
        <f t="shared" si="0"/>
        <v>-0.26382229540409691</v>
      </c>
      <c r="P10" s="366">
        <f t="shared" si="0"/>
        <v>0.22663600842037751</v>
      </c>
      <c r="Q10" s="366">
        <f t="shared" si="0"/>
        <v>-1.6667939777277156</v>
      </c>
      <c r="R10" s="366">
        <f t="shared" si="0"/>
        <v>-0.87354193733809804</v>
      </c>
      <c r="S10" s="368">
        <f t="shared" si="0"/>
        <v>2.0810988636866519</v>
      </c>
    </row>
    <row r="11" spans="2:19" ht="15.75">
      <c r="B11" s="84"/>
      <c r="C11" s="84"/>
      <c r="D11" s="84"/>
      <c r="E11" s="84"/>
      <c r="F11" s="84"/>
      <c r="G11" s="84"/>
      <c r="H11" s="84"/>
      <c r="I11" s="84"/>
      <c r="J11" s="84"/>
      <c r="K11" s="209"/>
      <c r="L11" s="209"/>
      <c r="M11" s="348"/>
      <c r="N11" s="337"/>
      <c r="O11" s="337"/>
      <c r="P11" s="337"/>
      <c r="Q11" s="337"/>
      <c r="R11" s="349"/>
      <c r="S11" s="209"/>
    </row>
    <row r="12" spans="2:19" ht="15.75">
      <c r="B12" s="319" t="s">
        <v>123</v>
      </c>
      <c r="C12" s="324">
        <f>+Scenarios!B33</f>
        <v>0</v>
      </c>
      <c r="D12" s="310">
        <f>+Scenarios!C33</f>
        <v>1</v>
      </c>
      <c r="E12" s="310">
        <f>+Scenarios!D33</f>
        <v>0</v>
      </c>
      <c r="F12" s="310">
        <f>+Scenarios!E33</f>
        <v>0</v>
      </c>
      <c r="G12" s="310">
        <f>+Scenarios!F33</f>
        <v>0</v>
      </c>
      <c r="H12" s="310">
        <f>+Scenarios!G33</f>
        <v>0</v>
      </c>
      <c r="I12" s="325">
        <f>+Scenarios!H33</f>
        <v>0</v>
      </c>
      <c r="J12" s="326">
        <f>+Scenarios!I33</f>
        <v>1</v>
      </c>
      <c r="K12" s="209"/>
      <c r="L12" s="209"/>
      <c r="M12" s="348"/>
      <c r="N12" s="337"/>
      <c r="O12" s="337"/>
      <c r="P12" s="337"/>
      <c r="Q12" s="337"/>
      <c r="R12" s="337"/>
      <c r="S12" s="209"/>
    </row>
    <row r="13" spans="2:19" ht="15.75">
      <c r="B13" s="84"/>
      <c r="C13" s="84"/>
      <c r="D13" s="84"/>
      <c r="E13" s="84"/>
      <c r="F13" s="84"/>
      <c r="G13" s="84"/>
      <c r="H13" s="84"/>
      <c r="I13" s="84"/>
      <c r="J13" s="84"/>
      <c r="K13" s="209"/>
      <c r="L13" s="209"/>
      <c r="M13" s="348"/>
      <c r="N13" s="337"/>
      <c r="O13" s="337"/>
      <c r="P13" s="337"/>
      <c r="Q13" s="337"/>
      <c r="R13" s="337"/>
      <c r="S13" s="209"/>
    </row>
    <row r="14" spans="2:19" ht="15.75">
      <c r="B14" s="319" t="s">
        <v>129</v>
      </c>
      <c r="C14" s="324">
        <f>+Scenarios!B35</f>
        <v>0</v>
      </c>
      <c r="D14" s="311">
        <f>+Scenarios!C35</f>
        <v>2.3215663301568282E-2</v>
      </c>
      <c r="E14" s="311">
        <f>+Scenarios!D35</f>
        <v>-1.0199363173428679E-2</v>
      </c>
      <c r="F14" s="311">
        <f>+Scenarios!E35</f>
        <v>2.0651574102186879E-2</v>
      </c>
      <c r="G14" s="311">
        <f>+Scenarios!F35</f>
        <v>-0.27329496512341134</v>
      </c>
      <c r="H14" s="311">
        <f>+Scenarios!G35</f>
        <v>-0.31287286546225501</v>
      </c>
      <c r="I14" s="312">
        <f>+Scenarios!H35</f>
        <v>0.14898627397208952</v>
      </c>
      <c r="J14" s="320">
        <f>+Scenarios!I35</f>
        <v>2.3215663301568282E-2</v>
      </c>
      <c r="K14" s="209"/>
      <c r="L14" s="209"/>
      <c r="M14" s="348"/>
      <c r="N14" s="337"/>
      <c r="O14" s="337"/>
      <c r="P14" s="337"/>
      <c r="Q14" s="337"/>
      <c r="R14" s="337"/>
      <c r="S14" s="209"/>
    </row>
    <row r="15" spans="2:19">
      <c r="B15" s="209"/>
      <c r="C15" s="209"/>
      <c r="D15" s="209"/>
      <c r="E15" s="209"/>
      <c r="F15" s="209"/>
      <c r="G15" s="209"/>
      <c r="H15" s="209"/>
      <c r="I15" s="209"/>
      <c r="J15" s="209"/>
      <c r="K15" s="209"/>
      <c r="L15" s="209"/>
      <c r="M15" s="209"/>
      <c r="N15" s="209"/>
      <c r="O15" s="209"/>
      <c r="P15" s="209"/>
      <c r="Q15" s="209"/>
      <c r="R15" s="209"/>
      <c r="S15" s="209"/>
    </row>
    <row r="16" spans="2:19">
      <c r="B16" s="209"/>
      <c r="C16" s="209"/>
      <c r="D16" s="209"/>
      <c r="E16" s="209"/>
      <c r="F16" s="209"/>
      <c r="G16" s="209"/>
      <c r="H16" s="209"/>
      <c r="I16" s="209"/>
      <c r="J16" s="209"/>
      <c r="K16" s="209"/>
      <c r="L16" s="209"/>
      <c r="M16" s="209"/>
      <c r="N16" s="209"/>
      <c r="O16" s="209"/>
      <c r="P16" s="209"/>
      <c r="Q16" s="209"/>
      <c r="R16" s="209"/>
      <c r="S16" s="209"/>
    </row>
    <row r="17" spans="2:19">
      <c r="B17" s="209"/>
      <c r="C17" s="209"/>
      <c r="D17" s="209"/>
      <c r="E17" s="209"/>
      <c r="F17" s="209"/>
      <c r="G17" s="209"/>
      <c r="H17" s="209"/>
      <c r="I17" s="209"/>
      <c r="J17" s="209"/>
      <c r="K17" s="209"/>
      <c r="L17" s="331"/>
      <c r="M17" s="331"/>
      <c r="N17" s="331"/>
      <c r="O17" s="331"/>
      <c r="P17" s="331"/>
      <c r="Q17" s="331"/>
      <c r="R17" s="331"/>
      <c r="S17" s="209"/>
    </row>
    <row r="18" spans="2:19">
      <c r="B18" s="209"/>
      <c r="C18" s="209"/>
      <c r="D18" s="209"/>
      <c r="E18" s="209"/>
      <c r="F18" s="209"/>
      <c r="G18" s="209"/>
      <c r="H18" s="209"/>
      <c r="I18" s="209"/>
      <c r="J18" s="209"/>
      <c r="K18" s="209"/>
      <c r="L18" s="331"/>
      <c r="M18" s="331"/>
      <c r="N18" s="331"/>
      <c r="O18" s="331"/>
      <c r="P18" s="331"/>
      <c r="Q18" s="331"/>
      <c r="R18" s="331"/>
      <c r="S18" s="209"/>
    </row>
    <row r="19" spans="2:19">
      <c r="B19" s="342" t="s">
        <v>101</v>
      </c>
      <c r="C19" s="316" t="s">
        <v>70</v>
      </c>
      <c r="D19" s="321" t="s">
        <v>112</v>
      </c>
      <c r="E19" s="305" t="s">
        <v>144</v>
      </c>
      <c r="F19" s="305" t="s">
        <v>145</v>
      </c>
      <c r="G19" s="305" t="s">
        <v>113</v>
      </c>
      <c r="H19" s="305" t="s">
        <v>114</v>
      </c>
      <c r="I19" s="306" t="s">
        <v>128</v>
      </c>
      <c r="J19" s="306"/>
      <c r="K19" s="209"/>
      <c r="L19" s="331"/>
      <c r="M19" s="331"/>
      <c r="N19" s="331"/>
      <c r="O19" s="331"/>
      <c r="P19" s="331"/>
      <c r="Q19" s="331"/>
      <c r="R19" s="331"/>
      <c r="S19" s="209"/>
    </row>
    <row r="20" spans="2:19">
      <c r="B20" s="343" t="s">
        <v>4</v>
      </c>
      <c r="C20" s="317">
        <f>'Samenvatting mixen'!B4</f>
        <v>0.54805759796500919</v>
      </c>
      <c r="D20" s="322">
        <f>'Samenvatting mixen'!B15</f>
        <v>0.50191550106692151</v>
      </c>
      <c r="E20" s="85">
        <f>'Samenvatting mixen'!B26</f>
        <v>0.7303391915066807</v>
      </c>
      <c r="F20" s="85">
        <f>'Samenvatting mixen'!B37</f>
        <v>0.53300464703690997</v>
      </c>
      <c r="G20" s="85">
        <f>'Samenvatting mixen'!B48</f>
        <v>0.99949677746552446</v>
      </c>
      <c r="H20" s="85">
        <f>'Samenvatting mixen'!B59</f>
        <v>0.9517786425254442</v>
      </c>
      <c r="I20" s="307">
        <f>'Samenvatting mixen'!B70</f>
        <v>0.74608961540312901</v>
      </c>
      <c r="J20" s="307"/>
      <c r="K20" s="209"/>
      <c r="L20" s="331"/>
      <c r="M20" s="331"/>
      <c r="N20" s="331"/>
      <c r="O20" s="331"/>
      <c r="P20" s="331"/>
      <c r="Q20" s="331"/>
      <c r="R20" s="331"/>
      <c r="S20" s="209"/>
    </row>
    <row r="21" spans="2:19">
      <c r="B21" s="343" t="s">
        <v>5</v>
      </c>
      <c r="C21" s="317">
        <f>'Samenvatting mixen'!B5</f>
        <v>8.4328842672585835E-2</v>
      </c>
      <c r="D21" s="322">
        <f>'Samenvatting mixen'!B16</f>
        <v>3.5441427473810093E-2</v>
      </c>
      <c r="E21" s="85">
        <f>'Samenvatting mixen'!B27</f>
        <v>4.8586516064764501E-3</v>
      </c>
      <c r="F21" s="85">
        <f>'Samenvatting mixen'!B38</f>
        <v>3.2766577649975807E-2</v>
      </c>
      <c r="G21" s="85">
        <f>'Samenvatting mixen'!B49</f>
        <v>4.8224248548151283E-5</v>
      </c>
      <c r="H21" s="85">
        <f>'Samenvatting mixen'!B60</f>
        <v>1.1517111304225734E-4</v>
      </c>
      <c r="I21" s="307">
        <f>'Samenvatting mixen'!B71</f>
        <v>3.8670102187155102E-2</v>
      </c>
      <c r="J21" s="307"/>
      <c r="K21" s="209"/>
      <c r="L21" s="331"/>
      <c r="M21" s="331"/>
      <c r="N21" s="331"/>
      <c r="O21" s="331"/>
      <c r="P21" s="331"/>
      <c r="Q21" s="331"/>
      <c r="R21" s="331"/>
      <c r="S21" s="209"/>
    </row>
    <row r="22" spans="2:19">
      <c r="B22" s="343" t="s">
        <v>6</v>
      </c>
      <c r="C22" s="317">
        <f>'Samenvatting mixen'!B6</f>
        <v>8.5471964968538927E-2</v>
      </c>
      <c r="D22" s="322">
        <f>'Samenvatting mixen'!B17</f>
        <v>0.34834613947489812</v>
      </c>
      <c r="E22" s="85">
        <f>'Samenvatting mixen'!B28</f>
        <v>1.7478553321540712E-2</v>
      </c>
      <c r="F22" s="85">
        <f>'Samenvatting mixen'!B39</f>
        <v>0.24436384619083032</v>
      </c>
      <c r="G22" s="85">
        <f>'Samenvatting mixen'!B50</f>
        <v>3.8685135530742506E-5</v>
      </c>
      <c r="H22" s="85">
        <f>'Samenvatting mixen'!B61</f>
        <v>1.3996511757757401E-4</v>
      </c>
      <c r="I22" s="307">
        <f>'Samenvatting mixen'!B72</f>
        <v>9.4575128233148724E-3</v>
      </c>
      <c r="J22" s="307"/>
      <c r="K22" s="209"/>
      <c r="L22" s="331"/>
      <c r="M22" s="331"/>
      <c r="N22" s="331"/>
      <c r="O22" s="331"/>
      <c r="P22" s="331"/>
      <c r="Q22" s="331"/>
      <c r="R22" s="331"/>
      <c r="S22" s="209"/>
    </row>
    <row r="23" spans="2:19">
      <c r="B23" s="343" t="s">
        <v>7</v>
      </c>
      <c r="C23" s="317">
        <f>'Samenvatting mixen'!B7</f>
        <v>9.432743972033214E-2</v>
      </c>
      <c r="D23" s="322">
        <f>'Samenvatting mixen'!B18</f>
        <v>1.7742427289872478E-3</v>
      </c>
      <c r="E23" s="85">
        <f>'Samenvatting mixen'!B29</f>
        <v>3.7657707533554163E-4</v>
      </c>
      <c r="F23" s="85">
        <f>'Samenvatting mixen'!B40</f>
        <v>5.0807613356015236E-3</v>
      </c>
      <c r="G23" s="85">
        <f>'Samenvatting mixen'!B51</f>
        <v>2.7030695966888324E-5</v>
      </c>
      <c r="H23" s="85">
        <f>'Samenvatting mixen'!B62</f>
        <v>1.1907889749625857E-4</v>
      </c>
      <c r="I23" s="307">
        <f>'Samenvatting mixen'!B73</f>
        <v>1.5170681197904838E-3</v>
      </c>
      <c r="J23" s="307"/>
      <c r="K23" s="209"/>
      <c r="L23" s="331"/>
      <c r="M23" s="331"/>
      <c r="N23" s="331"/>
      <c r="O23" s="331"/>
      <c r="P23" s="331"/>
      <c r="Q23" s="331"/>
      <c r="R23" s="331"/>
      <c r="S23" s="209"/>
    </row>
    <row r="24" spans="2:19">
      <c r="B24" s="343" t="s">
        <v>8</v>
      </c>
      <c r="C24" s="317">
        <f>'Samenvatting mixen'!B8</f>
        <v>5.0509863899074858E-2</v>
      </c>
      <c r="D24" s="322">
        <f>'Samenvatting mixen'!B19</f>
        <v>7.7712101707215292E-2</v>
      </c>
      <c r="E24" s="85">
        <f>'Samenvatting mixen'!B30</f>
        <v>8.4666436171662238E-3</v>
      </c>
      <c r="F24" s="85">
        <f>'Samenvatting mixen'!B41</f>
        <v>0.11053042095294417</v>
      </c>
      <c r="G24" s="85">
        <f>'Samenvatting mixen'!B52</f>
        <v>6.9799662618146699E-5</v>
      </c>
      <c r="H24" s="85">
        <f>'Samenvatting mixen'!B63</f>
        <v>2.0178712623818352E-4</v>
      </c>
      <c r="I24" s="307">
        <f>'Samenvatting mixen'!B74</f>
        <v>4.0796376315995666E-3</v>
      </c>
      <c r="J24" s="307"/>
      <c r="K24" s="209"/>
      <c r="L24" s="331"/>
      <c r="M24" s="331"/>
      <c r="N24" s="331"/>
      <c r="O24" s="331"/>
      <c r="P24" s="331"/>
      <c r="Q24" s="331"/>
      <c r="R24" s="331"/>
      <c r="S24" s="209"/>
    </row>
    <row r="25" spans="2:19">
      <c r="B25" s="343" t="s">
        <v>9</v>
      </c>
      <c r="C25" s="317">
        <f>'Samenvatting mixen'!B9</f>
        <v>2.2651096011892535E-2</v>
      </c>
      <c r="D25" s="322">
        <f>'Samenvatting mixen'!B20</f>
        <v>4.4679371515441444E-3</v>
      </c>
      <c r="E25" s="85">
        <f>'Samenvatting mixen'!B31</f>
        <v>0.23024716413339219</v>
      </c>
      <c r="F25" s="85">
        <f>'Samenvatting mixen'!B42</f>
        <v>1.5730403228234799E-3</v>
      </c>
      <c r="G25" s="85">
        <f>'Samenvatting mixen'!B53</f>
        <v>6.2840407344484913E-5</v>
      </c>
      <c r="H25" s="85">
        <f>'Samenvatting mixen'!B64</f>
        <v>1.6457394734377062E-4</v>
      </c>
      <c r="I25" s="307">
        <f>'Samenvatting mixen'!B75</f>
        <v>3.63609047702811E-3</v>
      </c>
      <c r="J25" s="307"/>
      <c r="K25" s="209"/>
      <c r="L25" s="331"/>
      <c r="M25" s="331"/>
      <c r="N25" s="331"/>
      <c r="O25" s="331"/>
      <c r="P25" s="331"/>
      <c r="Q25" s="331"/>
      <c r="R25" s="331"/>
      <c r="S25" s="209"/>
    </row>
    <row r="26" spans="2:19">
      <c r="B26" s="343" t="s">
        <v>10</v>
      </c>
      <c r="C26" s="317">
        <f>'Samenvatting mixen'!B10</f>
        <v>5.4066102214657116E-2</v>
      </c>
      <c r="D26" s="322">
        <f>'Samenvatting mixen'!B21</f>
        <v>1.8928757373420063E-2</v>
      </c>
      <c r="E26" s="85">
        <f>'Samenvatting mixen'!B32</f>
        <v>4.8943227262727724E-3</v>
      </c>
      <c r="F26" s="85">
        <f>'Samenvatting mixen'!B43</f>
        <v>1.2121211028226629E-2</v>
      </c>
      <c r="G26" s="85">
        <f>'Samenvatting mixen'!B54</f>
        <v>1.660819606351467E-4</v>
      </c>
      <c r="H26" s="85">
        <f>'Samenvatting mixen'!B65</f>
        <v>4.6995323346260547E-2</v>
      </c>
      <c r="I26" s="307">
        <f>'Samenvatting mixen'!B76</f>
        <v>2.3913087934934071E-2</v>
      </c>
      <c r="J26" s="307"/>
      <c r="K26" s="209"/>
      <c r="L26" s="331"/>
      <c r="M26" s="331"/>
      <c r="N26" s="331"/>
      <c r="O26" s="331"/>
      <c r="P26" s="331"/>
      <c r="Q26" s="331"/>
      <c r="R26" s="331"/>
      <c r="S26" s="209"/>
    </row>
    <row r="27" spans="2:19">
      <c r="B27" s="344" t="s">
        <v>11</v>
      </c>
      <c r="C27" s="318">
        <f>'Samenvatting mixen'!B11</f>
        <v>6.0587092547910261E-2</v>
      </c>
      <c r="D27" s="323">
        <f>'Samenvatting mixen'!B22</f>
        <v>1.1413893023203357E-2</v>
      </c>
      <c r="E27" s="308">
        <f>'Samenvatting mixen'!B33</f>
        <v>3.3388960131358119E-3</v>
      </c>
      <c r="F27" s="308">
        <f>'Samenvatting mixen'!B44</f>
        <v>6.0559495482688255E-2</v>
      </c>
      <c r="G27" s="308">
        <f>'Samenvatting mixen'!B55</f>
        <v>9.0560423832878163E-5</v>
      </c>
      <c r="H27" s="308">
        <f>'Samenvatting mixen'!B66</f>
        <v>4.8545792659740607E-4</v>
      </c>
      <c r="I27" s="309">
        <f>'Samenvatting mixen'!B77</f>
        <v>0.1726368854230492</v>
      </c>
      <c r="J27" s="309"/>
      <c r="K27" s="209"/>
      <c r="L27" s="331"/>
      <c r="M27" s="331"/>
      <c r="N27" s="331"/>
      <c r="O27" s="331"/>
      <c r="P27" s="331"/>
      <c r="Q27" s="331"/>
      <c r="R27" s="331"/>
      <c r="S27" s="20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Control panel</vt:lpstr>
      <vt:lpstr>Scenarios</vt:lpstr>
      <vt:lpstr>Absolute visies</vt:lpstr>
      <vt:lpstr>Restricties</vt:lpstr>
      <vt:lpstr>Optimalisatie</vt:lpstr>
      <vt:lpstr>Samenvatting mixen</vt:lpstr>
      <vt:lpstr>Samenvatting mixen - return</vt:lpstr>
      <vt:lpstr>output IC</vt:lpstr>
      <vt:lpstr>extra analyze</vt:lpstr>
      <vt:lpstr>single aandelen</vt:lpstr>
      <vt:lpstr>aan_uit</vt:lpstr>
      <vt:lpstr>k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bgt</cp:lastModifiedBy>
  <cp:lastPrinted>2012-10-17T06:43:27Z</cp:lastPrinted>
  <dcterms:created xsi:type="dcterms:W3CDTF">2012-01-02T14:02:34Z</dcterms:created>
  <dcterms:modified xsi:type="dcterms:W3CDTF">2013-06-04T14:42:30Z</dcterms:modified>
</cp:coreProperties>
</file>