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990" yWindow="-15" windowWidth="13035" windowHeight="11880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extra analyze" sheetId="13" r:id="rId9"/>
    <sheet name="single aandelen" sheetId="14" r:id="rId10"/>
  </sheets>
  <externalReferences>
    <externalReference r:id="rId11"/>
    <externalReference r:id="rId12"/>
    <externalReference r:id="rId13"/>
    <externalReference r:id="rId14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C70" i="11"/>
  <c r="C69"/>
  <c r="C68"/>
  <c r="C67"/>
  <c r="C66"/>
  <c r="C65"/>
  <c r="C64"/>
  <c r="E63"/>
  <c r="C63"/>
  <c r="F63"/>
  <c r="C10"/>
  <c r="C9"/>
  <c r="C8"/>
  <c r="C7"/>
  <c r="C6"/>
  <c r="C5"/>
  <c r="C4"/>
  <c r="C3"/>
  <c r="D24"/>
  <c r="D50"/>
  <c r="C47"/>
  <c r="C48"/>
  <c r="C49"/>
  <c r="C50"/>
  <c r="C51"/>
  <c r="C52"/>
  <c r="C53"/>
  <c r="C46"/>
  <c r="C21"/>
  <c r="C22"/>
  <c r="C23"/>
  <c r="C24"/>
  <c r="C25"/>
  <c r="C26"/>
  <c r="C27"/>
  <c r="C20"/>
  <c r="I27" i="14"/>
  <c r="H27"/>
  <c r="G27"/>
  <c r="F27"/>
  <c r="E27"/>
  <c r="D27"/>
  <c r="C27"/>
  <c r="I26"/>
  <c r="H26"/>
  <c r="G26"/>
  <c r="F26"/>
  <c r="E26"/>
  <c r="D26"/>
  <c r="C26"/>
  <c r="I25"/>
  <c r="H25"/>
  <c r="G25"/>
  <c r="F25"/>
  <c r="E25"/>
  <c r="D25"/>
  <c r="C25"/>
  <c r="I24"/>
  <c r="H24"/>
  <c r="G24"/>
  <c r="F24"/>
  <c r="E24"/>
  <c r="D24"/>
  <c r="C24"/>
  <c r="I23"/>
  <c r="H23"/>
  <c r="G23"/>
  <c r="F23"/>
  <c r="E23"/>
  <c r="D23"/>
  <c r="C23"/>
  <c r="I22"/>
  <c r="H22"/>
  <c r="G22"/>
  <c r="F22"/>
  <c r="E22"/>
  <c r="D22"/>
  <c r="C22"/>
  <c r="I21"/>
  <c r="H21"/>
  <c r="G21"/>
  <c r="F21"/>
  <c r="E21"/>
  <c r="D21"/>
  <c r="C21"/>
  <c r="I20"/>
  <c r="H20"/>
  <c r="G20"/>
  <c r="F20"/>
  <c r="E20"/>
  <c r="D20"/>
  <c r="C20"/>
  <c r="B35" i="7"/>
  <c r="C14" i="14"/>
  <c r="B33" i="7"/>
  <c r="D33"/>
  <c r="E33"/>
  <c r="F33"/>
  <c r="G33"/>
  <c r="H33"/>
  <c r="C33"/>
  <c r="I33"/>
  <c r="J12" i="14"/>
  <c r="I12"/>
  <c r="H12"/>
  <c r="G12"/>
  <c r="F12"/>
  <c r="E12"/>
  <c r="D12"/>
  <c r="C12"/>
  <c r="I10"/>
  <c r="J10"/>
  <c r="S10"/>
  <c r="H10"/>
  <c r="R10"/>
  <c r="G10"/>
  <c r="Q10"/>
  <c r="F10"/>
  <c r="P10"/>
  <c r="E10"/>
  <c r="O10"/>
  <c r="D10"/>
  <c r="N10"/>
  <c r="B31" i="7"/>
  <c r="C10" i="14"/>
  <c r="M10"/>
  <c r="I9"/>
  <c r="J9"/>
  <c r="S9"/>
  <c r="H9"/>
  <c r="R9"/>
  <c r="G9"/>
  <c r="Q9"/>
  <c r="F9"/>
  <c r="P9"/>
  <c r="E9"/>
  <c r="O9"/>
  <c r="D9"/>
  <c r="N9"/>
  <c r="B30" i="7"/>
  <c r="C9" i="14"/>
  <c r="M9"/>
  <c r="I8"/>
  <c r="J8"/>
  <c r="S8"/>
  <c r="H8"/>
  <c r="R8"/>
  <c r="G8"/>
  <c r="Q8"/>
  <c r="F8"/>
  <c r="P8"/>
  <c r="E8"/>
  <c r="O8"/>
  <c r="D8"/>
  <c r="N8"/>
  <c r="B29" i="7"/>
  <c r="C8" i="14"/>
  <c r="M8"/>
  <c r="I7"/>
  <c r="J7"/>
  <c r="S7"/>
  <c r="H7"/>
  <c r="R7"/>
  <c r="G7"/>
  <c r="Q7"/>
  <c r="F7"/>
  <c r="P7"/>
  <c r="E7"/>
  <c r="O7"/>
  <c r="D7"/>
  <c r="N7"/>
  <c r="B28" i="7"/>
  <c r="C7" i="14"/>
  <c r="M7"/>
  <c r="I6"/>
  <c r="J6"/>
  <c r="S6"/>
  <c r="H6"/>
  <c r="R6"/>
  <c r="G6"/>
  <c r="Q6"/>
  <c r="F6"/>
  <c r="P6"/>
  <c r="E6"/>
  <c r="O6"/>
  <c r="D6"/>
  <c r="N6"/>
  <c r="B27" i="7"/>
  <c r="C6" i="14"/>
  <c r="M6"/>
  <c r="I5"/>
  <c r="J5"/>
  <c r="S5"/>
  <c r="H5"/>
  <c r="R5"/>
  <c r="G5"/>
  <c r="Q5"/>
  <c r="F5"/>
  <c r="P5"/>
  <c r="E5"/>
  <c r="O5"/>
  <c r="D5"/>
  <c r="N5"/>
  <c r="B26" i="7"/>
  <c r="C5" i="14"/>
  <c r="M5"/>
  <c r="I4"/>
  <c r="J4"/>
  <c r="S4"/>
  <c r="H4"/>
  <c r="R4"/>
  <c r="G4"/>
  <c r="Q4"/>
  <c r="F4"/>
  <c r="P4"/>
  <c r="E4"/>
  <c r="O4"/>
  <c r="D4"/>
  <c r="N4"/>
  <c r="B25" i="7"/>
  <c r="C4" i="14"/>
  <c r="M4"/>
  <c r="I3"/>
  <c r="J3"/>
  <c r="S3"/>
  <c r="H3"/>
  <c r="R3"/>
  <c r="G3"/>
  <c r="Q3"/>
  <c r="F3"/>
  <c r="P3"/>
  <c r="E3"/>
  <c r="O3"/>
  <c r="D3"/>
  <c r="N3"/>
  <c r="B24" i="7"/>
  <c r="C3" i="14"/>
  <c r="M3"/>
  <c r="J10" i="11"/>
  <c r="I10"/>
  <c r="S10"/>
  <c r="H10"/>
  <c r="R10"/>
  <c r="G10"/>
  <c r="Q10"/>
  <c r="F10"/>
  <c r="P10"/>
  <c r="E10"/>
  <c r="O10"/>
  <c r="D10"/>
  <c r="N10"/>
  <c r="M10"/>
  <c r="J9"/>
  <c r="I9"/>
  <c r="S9"/>
  <c r="H9"/>
  <c r="R9"/>
  <c r="G9"/>
  <c r="Q9"/>
  <c r="F9"/>
  <c r="P9"/>
  <c r="E9"/>
  <c r="O9"/>
  <c r="D9"/>
  <c r="N9"/>
  <c r="M9"/>
  <c r="J8"/>
  <c r="I8"/>
  <c r="S8"/>
  <c r="H8"/>
  <c r="R8"/>
  <c r="G8"/>
  <c r="Q8"/>
  <c r="F8"/>
  <c r="P8"/>
  <c r="E8"/>
  <c r="O8"/>
  <c r="D8"/>
  <c r="N8"/>
  <c r="M8"/>
  <c r="J7"/>
  <c r="I7"/>
  <c r="S7"/>
  <c r="H7"/>
  <c r="R7"/>
  <c r="G7"/>
  <c r="Q7"/>
  <c r="F7"/>
  <c r="P7"/>
  <c r="E7"/>
  <c r="O7"/>
  <c r="D7"/>
  <c r="N7"/>
  <c r="M7"/>
  <c r="J6"/>
  <c r="I6"/>
  <c r="S6"/>
  <c r="H6"/>
  <c r="R6"/>
  <c r="G6"/>
  <c r="Q6"/>
  <c r="F6"/>
  <c r="P6"/>
  <c r="E6"/>
  <c r="O6"/>
  <c r="D6"/>
  <c r="N6"/>
  <c r="M6"/>
  <c r="J5"/>
  <c r="I5"/>
  <c r="S5"/>
  <c r="H5"/>
  <c r="R5"/>
  <c r="G5"/>
  <c r="Q5"/>
  <c r="F5"/>
  <c r="P5"/>
  <c r="E5"/>
  <c r="O5"/>
  <c r="D5"/>
  <c r="N5"/>
  <c r="M5"/>
  <c r="J4"/>
  <c r="I4"/>
  <c r="S4"/>
  <c r="H4"/>
  <c r="R4"/>
  <c r="G4"/>
  <c r="Q4"/>
  <c r="F4"/>
  <c r="P4"/>
  <c r="E4"/>
  <c r="O4"/>
  <c r="D4"/>
  <c r="N4"/>
  <c r="M4"/>
  <c r="J3"/>
  <c r="I3"/>
  <c r="S3"/>
  <c r="H3"/>
  <c r="R3"/>
  <c r="G3"/>
  <c r="Q3"/>
  <c r="F3"/>
  <c r="P3"/>
  <c r="E3"/>
  <c r="O3"/>
  <c r="D3"/>
  <c r="N3"/>
  <c r="M3"/>
  <c r="F10" i="9"/>
  <c r="G10"/>
  <c r="G82" i="11"/>
  <c r="F82"/>
  <c r="F9" i="9"/>
  <c r="G9"/>
  <c r="G81" i="11"/>
  <c r="F81"/>
  <c r="F8" i="9"/>
  <c r="G8"/>
  <c r="G80" i="11"/>
  <c r="F80"/>
  <c r="F7" i="9"/>
  <c r="G7"/>
  <c r="G79" i="11"/>
  <c r="F79"/>
  <c r="F6" i="9"/>
  <c r="G6"/>
  <c r="G78" i="11"/>
  <c r="F78"/>
  <c r="F5" i="9"/>
  <c r="G5"/>
  <c r="G77" i="11"/>
  <c r="F77"/>
  <c r="F4" i="9"/>
  <c r="G4"/>
  <c r="G76" i="11"/>
  <c r="F76"/>
  <c r="F3" i="9"/>
  <c r="G3"/>
  <c r="G75" i="11"/>
  <c r="F75"/>
  <c r="E82"/>
  <c r="D82"/>
  <c r="C82"/>
  <c r="E81"/>
  <c r="D81"/>
  <c r="C81"/>
  <c r="E80"/>
  <c r="D80"/>
  <c r="C80"/>
  <c r="E79"/>
  <c r="D79"/>
  <c r="C79"/>
  <c r="E78"/>
  <c r="D78"/>
  <c r="C78"/>
  <c r="E77"/>
  <c r="D77"/>
  <c r="C77"/>
  <c r="E76"/>
  <c r="D76"/>
  <c r="C76"/>
  <c r="E75"/>
  <c r="D75"/>
  <c r="C75"/>
  <c r="E64"/>
  <c r="F64"/>
  <c r="E65"/>
  <c r="F65"/>
  <c r="E66"/>
  <c r="F66"/>
  <c r="E67"/>
  <c r="F67"/>
  <c r="E68"/>
  <c r="F68"/>
  <c r="E69"/>
  <c r="F69"/>
  <c r="E70"/>
  <c r="F70"/>
  <c r="I17" i="13"/>
  <c r="I16"/>
  <c r="I15"/>
  <c r="I14"/>
  <c r="I13"/>
  <c r="I12"/>
  <c r="I11"/>
  <c r="I10"/>
  <c r="H11"/>
  <c r="H12"/>
  <c r="H13"/>
  <c r="H14"/>
  <c r="H15"/>
  <c r="H16"/>
  <c r="H17"/>
  <c r="F17"/>
  <c r="F10"/>
  <c r="E11"/>
  <c r="F11"/>
  <c r="E12"/>
  <c r="F12"/>
  <c r="E13"/>
  <c r="F13"/>
  <c r="E14"/>
  <c r="F14"/>
  <c r="E15"/>
  <c r="F15"/>
  <c r="E16"/>
  <c r="F16"/>
  <c r="E17"/>
  <c r="J27" i="11"/>
  <c r="J53"/>
  <c r="I27"/>
  <c r="I53"/>
  <c r="H27"/>
  <c r="H53"/>
  <c r="G27"/>
  <c r="G53"/>
  <c r="F27"/>
  <c r="F53"/>
  <c r="E27"/>
  <c r="E53"/>
  <c r="D27"/>
  <c r="D53"/>
  <c r="J26"/>
  <c r="J52"/>
  <c r="I26"/>
  <c r="I52"/>
  <c r="H26"/>
  <c r="H52"/>
  <c r="G26"/>
  <c r="G52"/>
  <c r="F26"/>
  <c r="F52"/>
  <c r="E26"/>
  <c r="E52"/>
  <c r="D26"/>
  <c r="D52"/>
  <c r="J25"/>
  <c r="J51"/>
  <c r="I25"/>
  <c r="I51"/>
  <c r="H25"/>
  <c r="H51"/>
  <c r="G25"/>
  <c r="G51"/>
  <c r="F25"/>
  <c r="F51"/>
  <c r="E25"/>
  <c r="E51"/>
  <c r="D25"/>
  <c r="D51"/>
  <c r="J24"/>
  <c r="J50"/>
  <c r="I24"/>
  <c r="I50"/>
  <c r="H24"/>
  <c r="H50"/>
  <c r="G24"/>
  <c r="G50"/>
  <c r="F24"/>
  <c r="F50"/>
  <c r="E24"/>
  <c r="E50"/>
  <c r="J23"/>
  <c r="J49"/>
  <c r="I23"/>
  <c r="I49"/>
  <c r="H23"/>
  <c r="H49"/>
  <c r="G23"/>
  <c r="G49"/>
  <c r="F23"/>
  <c r="F49"/>
  <c r="E23"/>
  <c r="E49"/>
  <c r="D23"/>
  <c r="D49"/>
  <c r="J22"/>
  <c r="J48"/>
  <c r="I22"/>
  <c r="I48"/>
  <c r="H22"/>
  <c r="H48"/>
  <c r="G22"/>
  <c r="G48"/>
  <c r="F22"/>
  <c r="F48"/>
  <c r="E22"/>
  <c r="E48"/>
  <c r="D22"/>
  <c r="D48"/>
  <c r="J21"/>
  <c r="J47"/>
  <c r="I21"/>
  <c r="I47"/>
  <c r="H21"/>
  <c r="H47"/>
  <c r="G21"/>
  <c r="G47"/>
  <c r="F21"/>
  <c r="F47"/>
  <c r="E21"/>
  <c r="E47"/>
  <c r="D21"/>
  <c r="D47"/>
  <c r="J20"/>
  <c r="J46"/>
  <c r="I20"/>
  <c r="I46"/>
  <c r="H20"/>
  <c r="H46"/>
  <c r="G20"/>
  <c r="G46"/>
  <c r="F20"/>
  <c r="F46"/>
  <c r="E20"/>
  <c r="E46"/>
  <c r="D20"/>
  <c r="D46"/>
  <c r="C19" i="13"/>
  <c r="B19"/>
  <c r="A4" i="9"/>
  <c r="A11" i="13"/>
  <c r="A5" i="9"/>
  <c r="A12" i="13"/>
  <c r="A6" i="9"/>
  <c r="A13" i="13"/>
  <c r="A7" i="9"/>
  <c r="A14" i="13"/>
  <c r="A8" i="9"/>
  <c r="A15" i="13"/>
  <c r="A9" i="9"/>
  <c r="A16" i="13"/>
  <c r="A10" i="9"/>
  <c r="A17" i="13"/>
  <c r="A3" i="9"/>
  <c r="A10" i="13"/>
  <c r="H70" i="11"/>
  <c r="I70"/>
  <c r="H69"/>
  <c r="I69"/>
  <c r="H68"/>
  <c r="I68"/>
  <c r="H67"/>
  <c r="I67"/>
  <c r="H66"/>
  <c r="I66"/>
  <c r="H65"/>
  <c r="I65"/>
  <c r="H64"/>
  <c r="I64"/>
  <c r="H63"/>
  <c r="I63"/>
  <c r="I31" i="7"/>
  <c r="I30"/>
  <c r="I29"/>
  <c r="I28"/>
  <c r="I27"/>
  <c r="I26"/>
  <c r="I25"/>
  <c r="I24"/>
  <c r="E12" i="11"/>
  <c r="F12"/>
  <c r="G12"/>
  <c r="K196"/>
  <c r="I196"/>
  <c r="L196"/>
  <c r="J198"/>
  <c r="K198"/>
  <c r="J199"/>
  <c r="J200"/>
  <c r="K200"/>
  <c r="J201"/>
  <c r="J202"/>
  <c r="J203"/>
  <c r="J197"/>
  <c r="K197"/>
  <c r="I200"/>
  <c r="I197"/>
  <c r="I198"/>
  <c r="I199"/>
  <c r="I201"/>
  <c r="I202"/>
  <c r="I20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C14" i="11"/>
  <c r="J12"/>
  <c r="H12"/>
  <c r="I12"/>
  <c r="D12"/>
  <c r="C12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W4" i="9"/>
  <c r="W5"/>
  <c r="W6"/>
  <c r="W7"/>
  <c r="W8"/>
  <c r="W9"/>
  <c r="W10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K201" i="11"/>
  <c r="L201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L197" i="11"/>
  <c r="H28" i="1"/>
  <c r="F30"/>
  <c r="D32"/>
  <c r="K33"/>
  <c r="K202" i="11"/>
  <c r="L202"/>
  <c r="L203"/>
  <c r="K203"/>
  <c r="L199"/>
  <c r="K199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L200" i="11"/>
  <c r="L198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I35" i="7"/>
  <c r="J14" i="11"/>
  <c r="J14" i="14"/>
  <c r="D35" i="7"/>
  <c r="E14" i="11"/>
  <c r="E35" i="7"/>
  <c r="F14" i="11"/>
  <c r="F35" i="7"/>
  <c r="G14" i="11"/>
  <c r="G35" i="7"/>
  <c r="H14" i="11"/>
  <c r="C35" i="7"/>
  <c r="D14" i="11"/>
  <c r="H35" i="7"/>
  <c r="I14" i="11"/>
  <c r="D14" i="14"/>
  <c r="E14"/>
  <c r="F14"/>
  <c r="G14"/>
  <c r="H14"/>
  <c r="I14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<sst xmlns="http://schemas.openxmlformats.org/spreadsheetml/2006/main" count="554" uniqueCount="153">
  <si>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</si>
  <si>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</si>
  <si>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</si>
  <si>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</si>
  <si>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</si>
  <si>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</si>
  <si>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</si>
  <si>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</si>
  <si>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</si>
  <si>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</si>
  <si>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</si>
  <si>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</si>
  <si>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</si>
  <si>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</si>
  <si>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</si>
  <si>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</si>
  <si>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</si>
  <si>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</si>
  <si>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</si>
  <si>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</si>
  <si>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</si>
  <si>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</si>
  <si>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</si>
  <si>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</si>
  <si>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</si>
  <si>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</si>
  <si>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</si>
  <si>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</si>
  <si>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</si>
  <si>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</si>
  <si>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</si>
  <si>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</si>
  <si>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</si>
  <si>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</si>
  <si>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</si>
  <si>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</si>
  <si>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</si>
  <si>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</si>
  <si>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</si>
  <si>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</si>
  <si>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</si>
  <si>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</si>
  <si>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</si>
  <si>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</si>
  <si>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</si>
  <si>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</si>
  <si>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</si>
  <si>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</si>
  <si>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</si>
  <si>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</si>
  <si>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</si>
  <si>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</si>
  <si>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</si>
  <si>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</si>
  <si>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</si>
  <si>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</si>
  <si>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</si>
  <si>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</si>
  <si>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</si>
  <si>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</si>
  <si>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</si>
  <si>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</si>
  <si>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</si>
  <si>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</si>
  <si>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</si>
  <si>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</si>
  <si>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</si>
  <si>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</si>
  <si>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</si>
  <si>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</si>
  <si>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</si>
  <si>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</si>
  <si>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</si>
  <si>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</si>
  <si>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</si>
  <si>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</si>
  <si>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</si>
  <si>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</si>
  <si>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</si>
  <si>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</si>
  <si>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</si>
  <si>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</si>
  <si>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</si>
  <si>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</si>
  <si>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</si>
  <si>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</si>
  <si>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</si>
  <si>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</si>
  <si>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</si>
  <si>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</si>
  <si>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</si>
  <si>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</si>
  <si>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</si>
  <si>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</si>
  <si>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</si>
  <si>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</si>
  <si>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</si>
  <si>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</si>
  <si>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</si>
  <si>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</si>
  <si>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</si>
  <si>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</si>
  <si>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</si>
  <si>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</si>
  <si>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</si>
  <si>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</si>
  <si>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</si>
  <si>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</si>
  <si>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</si>
  <si>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</si>
  <si>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</si>
  <si>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</si>
  <si>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</si>
  <si>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</si>
  <si>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</si>
  <si>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</si>
  <si>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</si>
  <si>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</si>
  <si>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</si>
  <si>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</si>
  <si>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</si>
  <si>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</si>
  <si>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</si>
  <si>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</si>
  <si>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</si>
  <si>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</si>
  <si>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</si>
  <si>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</si>
  <si>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</si>
  <si>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</si>
  <si>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</si>
  <si>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</si>
  <si>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</si>
  <si>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</si>
  <si>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</si>
  <si>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</si>
  <si>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</si>
  <si>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</si>
  <si>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</si>
  <si>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</si>
  <si>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</si>
  <si>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</si>
  <si>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</si>
  <si>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t>Iran War</t>
  </si>
  <si>
    <t>Base - down</t>
  </si>
  <si>
    <t>Base - up</t>
  </si>
  <si>
    <t>delta</t>
  </si>
  <si>
    <t>evenwicht</t>
  </si>
  <si>
    <t>vorige allocatie</t>
  </si>
  <si>
    <t>Huidige</t>
  </si>
  <si>
    <t>Nieuw</t>
  </si>
  <si>
    <t>∆</t>
  </si>
  <si>
    <t>IR</t>
  </si>
</sst>
</file>

<file path=xl/styles.xml><?xml version="1.0" encoding="utf-8"?>
<styleSheet xmlns="http://schemas.openxmlformats.org/spreadsheetml/2006/main">
  <numFmts count="46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  <numFmt numFmtId="208" formatCode="_ * #,##0.000000_ ;_ * \-#,##0.000000_ ;_ * &quot;-&quot;??_ ;_ @_ "/>
  </numFmts>
  <fonts count="9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  <font>
      <sz val="11"/>
      <color rgb="FF000000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54" applyNumberFormat="0" applyFill="0" applyAlignment="0" applyProtection="0"/>
    <xf numFmtId="0" fontId="79" fillId="0" borderId="55" applyNumberFormat="0" applyFill="0" applyAlignment="0" applyProtection="0"/>
    <xf numFmtId="0" fontId="80" fillId="0" borderId="56" applyNumberFormat="0" applyFill="0" applyAlignment="0" applyProtection="0"/>
    <xf numFmtId="0" fontId="80" fillId="0" borderId="0" applyNumberFormat="0" applyFill="0" applyBorder="0" applyAlignment="0" applyProtection="0"/>
    <xf numFmtId="0" fontId="81" fillId="34" borderId="0" applyNumberFormat="0" applyBorder="0" applyAlignment="0" applyProtection="0"/>
    <xf numFmtId="0" fontId="82" fillId="35" borderId="0" applyNumberFormat="0" applyBorder="0" applyAlignment="0" applyProtection="0"/>
    <xf numFmtId="0" fontId="83" fillId="36" borderId="0" applyNumberFormat="0" applyBorder="0" applyAlignment="0" applyProtection="0"/>
    <xf numFmtId="0" fontId="84" fillId="37" borderId="57" applyNumberFormat="0" applyAlignment="0" applyProtection="0"/>
    <xf numFmtId="0" fontId="85" fillId="37" borderId="1" applyNumberFormat="0" applyAlignment="0" applyProtection="0"/>
    <xf numFmtId="0" fontId="86" fillId="0" borderId="58" applyNumberFormat="0" applyFill="0" applyAlignment="0" applyProtection="0"/>
    <xf numFmtId="0" fontId="87" fillId="38" borderId="59" applyNumberFormat="0" applyAlignment="0" applyProtection="0"/>
    <xf numFmtId="0" fontId="88" fillId="0" borderId="0" applyNumberFormat="0" applyFill="0" applyBorder="0" applyAlignment="0" applyProtection="0"/>
    <xf numFmtId="0" fontId="1" fillId="39" borderId="60" applyNumberFormat="0" applyFont="0" applyAlignment="0" applyProtection="0"/>
    <xf numFmtId="0" fontId="89" fillId="0" borderId="0" applyNumberFormat="0" applyFill="0" applyBorder="0" applyAlignment="0" applyProtection="0"/>
    <xf numFmtId="0" fontId="12" fillId="0" borderId="61" applyNumberFormat="0" applyFill="0" applyAlignment="0" applyProtection="0"/>
    <xf numFmtId="0" fontId="15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5" fillId="51" borderId="0" applyNumberFormat="0" applyBorder="0" applyAlignment="0" applyProtection="0"/>
    <xf numFmtId="0" fontId="15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5" fillId="55" borderId="0" applyNumberFormat="0" applyBorder="0" applyAlignment="0" applyProtection="0"/>
    <xf numFmtId="0" fontId="15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5" fillId="59" borderId="0" applyNumberFormat="0" applyBorder="0" applyAlignment="0" applyProtection="0"/>
    <xf numFmtId="0" fontId="15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15" fillId="63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0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1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2" fillId="64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406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5" fillId="3" borderId="0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75" fillId="3" borderId="0" xfId="0" applyFont="1" applyFill="1" applyBorder="1"/>
    <xf numFmtId="10" fontId="76" fillId="3" borderId="0" xfId="1" applyNumberFormat="1" applyFont="1" applyFill="1" applyBorder="1" applyAlignment="1">
      <alignment horizontal="center"/>
    </xf>
    <xf numFmtId="0" fontId="0" fillId="3" borderId="22" xfId="0" applyFill="1" applyBorder="1"/>
    <xf numFmtId="0" fontId="0" fillId="3" borderId="25" xfId="0" applyFill="1" applyBorder="1"/>
    <xf numFmtId="10" fontId="0" fillId="3" borderId="22" xfId="1" applyNumberFormat="1" applyFont="1" applyFill="1" applyBorder="1"/>
    <xf numFmtId="10" fontId="0" fillId="3" borderId="25" xfId="1" applyNumberFormat="1" applyFont="1" applyFill="1" applyBorder="1"/>
    <xf numFmtId="10" fontId="0" fillId="3" borderId="0" xfId="0" applyNumberFormat="1" applyFill="1"/>
    <xf numFmtId="10" fontId="0" fillId="3" borderId="36" xfId="0" applyNumberFormat="1" applyFill="1" applyBorder="1"/>
    <xf numFmtId="10" fontId="0" fillId="3" borderId="31" xfId="0" applyNumberFormat="1" applyFill="1" applyBorder="1"/>
    <xf numFmtId="10" fontId="0" fillId="3" borderId="33" xfId="0" applyNumberFormat="1" applyFill="1" applyBorder="1"/>
    <xf numFmtId="0" fontId="0" fillId="3" borderId="24" xfId="0" applyFill="1" applyBorder="1"/>
    <xf numFmtId="10" fontId="0" fillId="3" borderId="22" xfId="0" applyNumberFormat="1" applyFill="1" applyBorder="1"/>
    <xf numFmtId="10" fontId="0" fillId="3" borderId="25" xfId="0" applyNumberFormat="1" applyFill="1" applyBorder="1"/>
    <xf numFmtId="0" fontId="24" fillId="5" borderId="24" xfId="0" applyFont="1" applyFill="1" applyBorder="1" applyAlignment="1">
      <alignment horizontal="center"/>
    </xf>
    <xf numFmtId="164" fontId="7" fillId="3" borderId="0" xfId="0" applyNumberFormat="1" applyFont="1" applyFill="1"/>
    <xf numFmtId="43" fontId="7" fillId="3" borderId="22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25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center" vertical="top" wrapText="1"/>
    </xf>
    <xf numFmtId="0" fontId="25" fillId="5" borderId="24" xfId="0" applyFont="1" applyFill="1" applyBorder="1" applyAlignment="1">
      <alignment horizontal="center" vertical="top" wrapText="1"/>
    </xf>
    <xf numFmtId="0" fontId="25" fillId="5" borderId="35" xfId="0" applyFont="1" applyFill="1" applyBorder="1" applyAlignment="1">
      <alignment horizontal="center" vertical="top" wrapText="1"/>
    </xf>
    <xf numFmtId="0" fontId="25" fillId="5" borderId="36" xfId="0" applyFont="1" applyFill="1" applyBorder="1" applyAlignment="1">
      <alignment horizontal="center" vertical="top" wrapText="1"/>
    </xf>
    <xf numFmtId="208" fontId="0" fillId="3" borderId="0" xfId="3" applyNumberFormat="1" applyFont="1" applyFill="1" applyBorder="1" applyAlignment="1">
      <alignment horizontal="center"/>
    </xf>
    <xf numFmtId="10" fontId="0" fillId="4" borderId="7" xfId="0" applyNumberFormat="1" applyFont="1" applyFill="1" applyBorder="1" applyAlignment="1">
      <alignment horizontal="center"/>
    </xf>
    <xf numFmtId="10" fontId="0" fillId="4" borderId="10" xfId="0" applyNumberFormat="1" applyFont="1" applyFill="1" applyBorder="1" applyAlignment="1">
      <alignment horizontal="center"/>
    </xf>
    <xf numFmtId="43" fontId="0" fillId="3" borderId="0" xfId="3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5021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0.00%</c:formatCode>
                <c:ptCount val="8"/>
                <c:pt idx="0">
                  <c:v>0.55282478375024968</c:v>
                </c:pt>
                <c:pt idx="1">
                  <c:v>9.9075500713263709E-2</c:v>
                </c:pt>
                <c:pt idx="2">
                  <c:v>9.346901390128548E-2</c:v>
                </c:pt>
                <c:pt idx="3">
                  <c:v>0.11036511115690795</c:v>
                </c:pt>
                <c:pt idx="4">
                  <c:v>4.9724653199130588E-2</c:v>
                </c:pt>
                <c:pt idx="5">
                  <c:v>1.9027140584823948E-2</c:v>
                </c:pt>
                <c:pt idx="6">
                  <c:v>3.0988823352997075E-2</c:v>
                </c:pt>
                <c:pt idx="7">
                  <c:v>4.4524973341341555E-2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54"/>
          <c:w val="0.5562682138416909"/>
          <c:h val="0.69258218413304717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8305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98E-4"/>
                  <c:y val="-8.3464566929134246E-2"/>
                </c:manualLayout>
              </c:layout>
              <c:showVal val="1"/>
            </c:dLbl>
            <c:dLbl>
              <c:idx val="5"/>
              <c:layout>
                <c:manualLayout>
                  <c:x val="2.6391177018773623E-2"/>
                  <c:y val="0.11040230140723969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0.57339020469276714</c:v>
                </c:pt>
                <c:pt idx="1">
                  <c:v>8.517733472513811E-2</c:v>
                </c:pt>
                <c:pt idx="2">
                  <c:v>0.10002617308854149</c:v>
                </c:pt>
                <c:pt idx="3">
                  <c:v>8.6256782361480502E-2</c:v>
                </c:pt>
                <c:pt idx="4">
                  <c:v>6.6248653389072085E-2</c:v>
                </c:pt>
                <c:pt idx="5">
                  <c:v>1.7105799751665905E-2</c:v>
                </c:pt>
                <c:pt idx="6">
                  <c:v>2.8385429599375185E-2</c:v>
                </c:pt>
                <c:pt idx="7">
                  <c:v>4.3409622391959328E-2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103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0.5628945263516516</c:v>
                </c:pt>
                <c:pt idx="1">
                  <c:v>6.9302178120674907E-2</c:v>
                </c:pt>
                <c:pt idx="2">
                  <c:v>8.0748518116354959E-2</c:v>
                </c:pt>
                <c:pt idx="3">
                  <c:v>7.9383533336859102E-2</c:v>
                </c:pt>
                <c:pt idx="4">
                  <c:v>5.2861834384196657E-2</c:v>
                </c:pt>
                <c:pt idx="5">
                  <c:v>1.2741629556100465E-2</c:v>
                </c:pt>
                <c:pt idx="6">
                  <c:v>2.3629994978942918E-2</c:v>
                </c:pt>
                <c:pt idx="7">
                  <c:v>3.9006075299665023E-2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1.0495678341115533E-2</c:v>
                </c:pt>
                <c:pt idx="1">
                  <c:v>1.5875156604463203E-2</c:v>
                </c:pt>
                <c:pt idx="2">
                  <c:v>1.9277654972186531E-2</c:v>
                </c:pt>
                <c:pt idx="3">
                  <c:v>6.8732490246214001E-3</c:v>
                </c:pt>
                <c:pt idx="4">
                  <c:v>1.3386819004875428E-2</c:v>
                </c:pt>
                <c:pt idx="5">
                  <c:v>4.3641701955654394E-3</c:v>
                </c:pt>
                <c:pt idx="6">
                  <c:v>4.7554346204322674E-3</c:v>
                </c:pt>
                <c:pt idx="7">
                  <c:v>4.4035470922943049E-3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9.1219791323633448E-3</c:v>
                </c:pt>
                <c:pt idx="1">
                  <c:v>1.5304731105291042E-2</c:v>
                </c:pt>
                <c:pt idx="2">
                  <c:v>1.7278759279569469E-2</c:v>
                </c:pt>
                <c:pt idx="3">
                  <c:v>5.9522228086695966E-3</c:v>
                </c:pt>
                <c:pt idx="4">
                  <c:v>1.3708045364351676E-2</c:v>
                </c:pt>
                <c:pt idx="5">
                  <c:v>3.6629193396434945E-3</c:v>
                </c:pt>
                <c:pt idx="6">
                  <c:v>4.0559344960348909E-3</c:v>
                </c:pt>
                <c:pt idx="7">
                  <c:v>4.0598174442186344E-3</c:v>
                </c:pt>
              </c:numCache>
            </c:numRef>
          </c:val>
        </c:ser>
        <c:overlap val="100"/>
        <c:axId val="6814336"/>
        <c:axId val="682060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0.00%</c:formatCode>
                <c:ptCount val="8"/>
                <c:pt idx="0">
                  <c:v>0.55282478375024968</c:v>
                </c:pt>
                <c:pt idx="1">
                  <c:v>9.9075500713263709E-2</c:v>
                </c:pt>
                <c:pt idx="2">
                  <c:v>9.346901390128548E-2</c:v>
                </c:pt>
                <c:pt idx="3">
                  <c:v>0.11036511115690795</c:v>
                </c:pt>
                <c:pt idx="4">
                  <c:v>4.9724653199130588E-2</c:v>
                </c:pt>
                <c:pt idx="5">
                  <c:v>1.9027140584823948E-2</c:v>
                </c:pt>
                <c:pt idx="6">
                  <c:v>3.0988823352997075E-2</c:v>
                </c:pt>
                <c:pt idx="7">
                  <c:v>4.4524973341341555E-2</c:v>
                </c:pt>
              </c:numCache>
            </c:numRef>
          </c:val>
        </c:ser>
        <c:marker val="1"/>
        <c:axId val="6814336"/>
        <c:axId val="6820608"/>
      </c:lineChart>
      <c:catAx>
        <c:axId val="6814336"/>
        <c:scaling>
          <c:orientation val="minMax"/>
        </c:scaling>
        <c:axPos val="b"/>
        <c:tickLblPos val="nextTo"/>
        <c:crossAx val="6820608"/>
        <c:crosses val="autoZero"/>
        <c:auto val="1"/>
        <c:lblAlgn val="ctr"/>
        <c:lblOffset val="100"/>
      </c:catAx>
      <c:valAx>
        <c:axId val="6820608"/>
        <c:scaling>
          <c:orientation val="minMax"/>
        </c:scaling>
        <c:axPos val="l"/>
        <c:majorGridlines/>
        <c:numFmt formatCode="0%" sourceLinked="0"/>
        <c:tickLblPos val="nextTo"/>
        <c:crossAx val="681433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3.1392347703607063E-2</c:v>
                </c:pt>
                <c:pt idx="3">
                  <c:v>5.5586945104648379E-2</c:v>
                </c:pt>
                <c:pt idx="4">
                  <c:v>5.4126209330308192E-2</c:v>
                </c:pt>
                <c:pt idx="5">
                  <c:v>5.1749106701455286E-2</c:v>
                </c:pt>
                <c:pt idx="6">
                  <c:v>2.8567108921173753E-2</c:v>
                </c:pt>
                <c:pt idx="7">
                  <c:v>3.8735949538907542E-2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2.821524342416672E-2</c:v>
                </c:pt>
                <c:pt idx="2">
                  <c:v>4.9715877116872115E-2</c:v>
                </c:pt>
                <c:pt idx="3">
                  <c:v>-1.8932480826239766E-2</c:v>
                </c:pt>
                <c:pt idx="4">
                  <c:v>7.6891594824893134E-2</c:v>
                </c:pt>
                <c:pt idx="5">
                  <c:v>2.095392217212597E-2</c:v>
                </c:pt>
                <c:pt idx="6">
                  <c:v>1.380587420653143E-2</c:v>
                </c:pt>
                <c:pt idx="7">
                  <c:v>2.0067539862887711E-2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-4.3289757138539151E-2</c:v>
                </c:pt>
                <c:pt idx="2">
                  <c:v>-1.5254735941571146E-2</c:v>
                </c:pt>
                <c:pt idx="3">
                  <c:v>-0.18637839848821813</c:v>
                </c:pt>
                <c:pt idx="4">
                  <c:v>-1.5041633078088965E-2</c:v>
                </c:pt>
                <c:pt idx="5">
                  <c:v>1.7326163923364224E-2</c:v>
                </c:pt>
                <c:pt idx="6">
                  <c:v>-4.2158606606711446E-2</c:v>
                </c:pt>
                <c:pt idx="7">
                  <c:v>-5.1766673344794997E-2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2.8173968116101435E-2</c:v>
                </c:pt>
                <c:pt idx="2">
                  <c:v>4.2527479167274736E-2</c:v>
                </c:pt>
                <c:pt idx="3">
                  <c:v>3.3016877644366754E-2</c:v>
                </c:pt>
                <c:pt idx="4">
                  <c:v>7.4724436355395413E-2</c:v>
                </c:pt>
                <c:pt idx="5">
                  <c:v>-3.9001815740357833E-3</c:v>
                </c:pt>
                <c:pt idx="6">
                  <c:v>1.0491043321084678E-2</c:v>
                </c:pt>
                <c:pt idx="7">
                  <c:v>4.4470055868840348E-2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-5.8987126880164276E-2</c:v>
                </c:pt>
                <c:pt idx="1">
                  <c:v>-0.46709405332985687</c:v>
                </c:pt>
                <c:pt idx="2">
                  <c:v>-0.53388765375707492</c:v>
                </c:pt>
                <c:pt idx="3">
                  <c:v>-0.63662140327632288</c:v>
                </c:pt>
                <c:pt idx="4">
                  <c:v>-0.38154687800334713</c:v>
                </c:pt>
                <c:pt idx="5">
                  <c:v>-0.39528495301413574</c:v>
                </c:pt>
                <c:pt idx="6">
                  <c:v>-0.25764077911990541</c:v>
                </c:pt>
                <c:pt idx="7">
                  <c:v>-0.32705491871314474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-0.46905624232985693</c:v>
                </c:pt>
                <c:pt idx="2">
                  <c:v>-0.40758678794189662</c:v>
                </c:pt>
                <c:pt idx="3">
                  <c:v>-0.50223026172585394</c:v>
                </c:pt>
                <c:pt idx="4">
                  <c:v>-0.22652606438744602</c:v>
                </c:pt>
                <c:pt idx="5">
                  <c:v>-0.36578625545580234</c:v>
                </c:pt>
                <c:pt idx="6">
                  <c:v>-1.27081470544461E-2</c:v>
                </c:pt>
                <c:pt idx="7">
                  <c:v>-0.17140461936280491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0.30101613523680981</c:v>
                </c:pt>
                <c:pt idx="2">
                  <c:v>0.26888806032968465</c:v>
                </c:pt>
                <c:pt idx="3">
                  <c:v>0.34216639060226639</c:v>
                </c:pt>
                <c:pt idx="4">
                  <c:v>0.43818723932566084</c:v>
                </c:pt>
                <c:pt idx="5">
                  <c:v>0.41949577968586427</c:v>
                </c:pt>
                <c:pt idx="6">
                  <c:v>0.26865610006004731</c:v>
                </c:pt>
                <c:pt idx="7">
                  <c:v>0.40834897941312509</c:v>
                </c:pt>
              </c:numCache>
            </c:numRef>
          </c:val>
        </c:ser>
        <c:axId val="388190976"/>
        <c:axId val="388192512"/>
      </c:barChart>
      <c:catAx>
        <c:axId val="388190976"/>
        <c:scaling>
          <c:orientation val="minMax"/>
        </c:scaling>
        <c:axPos val="b"/>
        <c:tickLblPos val="nextTo"/>
        <c:crossAx val="388192512"/>
        <c:crosses val="autoZero"/>
        <c:auto val="1"/>
        <c:lblAlgn val="ctr"/>
        <c:lblOffset val="100"/>
      </c:catAx>
      <c:valAx>
        <c:axId val="388192512"/>
        <c:scaling>
          <c:orientation val="minMax"/>
        </c:scaling>
        <c:axPos val="l"/>
        <c:majorGridlines/>
        <c:numFmt formatCode="0.0%" sourceLinked="1"/>
        <c:tickLblPos val="nextTo"/>
        <c:crossAx val="38819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7393"/>
          <c:y val="0.3099908672026242"/>
          <c:w val="0.27290015295627634"/>
          <c:h val="0.5031398294501791"/>
        </c:manualLayout>
      </c:layout>
    </c:legend>
    <c:plotVisOnly val="1"/>
  </c:chart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5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0.14784493042335947</c:v>
                </c:pt>
                <c:pt idx="1">
                  <c:v>0.17918798719213261</c:v>
                </c:pt>
                <c:pt idx="2">
                  <c:v>0.18295728536537784</c:v>
                </c:pt>
                <c:pt idx="3">
                  <c:v>0.11464312290194553</c:v>
                </c:pt>
                <c:pt idx="4">
                  <c:v>2.7855509100830532E-2</c:v>
                </c:pt>
                <c:pt idx="5">
                  <c:v>5.2787608598382892E-2</c:v>
                </c:pt>
                <c:pt idx="6">
                  <c:v>8.8460353189925192E-2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5.1289067216481049E-2</c:v>
                </c:pt>
                <c:pt idx="1">
                  <c:v>5.4968834831455232E-2</c:v>
                </c:pt>
                <c:pt idx="2">
                  <c:v>1.9331023335366015E-2</c:v>
                </c:pt>
                <c:pt idx="3">
                  <c:v>4.1288260120793702E-2</c:v>
                </c:pt>
                <c:pt idx="4">
                  <c:v>1.2270391047730117E-2</c:v>
                </c:pt>
                <c:pt idx="5">
                  <c:v>1.3756723252850385E-2</c:v>
                </c:pt>
                <c:pt idx="6">
                  <c:v>1.33589034233694E-2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4.9488892835403753E-2</c:v>
                </c:pt>
                <c:pt idx="1">
                  <c:v>5.9895122820978808E-2</c:v>
                </c:pt>
                <c:pt idx="2">
                  <c:v>2.0509932948600679E-2</c:v>
                </c:pt>
                <c:pt idx="3">
                  <c:v>4.3919014470085671E-2</c:v>
                </c:pt>
                <c:pt idx="4">
                  <c:v>1.4290963770483174E-2</c:v>
                </c:pt>
                <c:pt idx="5">
                  <c:v>1.5713975764634736E-2</c:v>
                </c:pt>
                <c:pt idx="6">
                  <c:v>1.4038780656959071E-2</c:v>
                </c:pt>
              </c:numCache>
            </c:numRef>
          </c:val>
        </c:ser>
        <c:overlap val="100"/>
        <c:axId val="390123904"/>
        <c:axId val="390125824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0.22155856834858528</c:v>
                </c:pt>
                <c:pt idx="1">
                  <c:v>0.2090210067659081</c:v>
                </c:pt>
                <c:pt idx="2">
                  <c:v>0.24680507135992147</c:v>
                </c:pt>
                <c:pt idx="3">
                  <c:v>0.11119724750434076</c:v>
                </c:pt>
                <c:pt idx="4">
                  <c:v>4.2549631315428632E-2</c:v>
                </c:pt>
                <c:pt idx="5">
                  <c:v>6.9299062709436046E-2</c:v>
                </c:pt>
                <c:pt idx="6">
                  <c:v>9.9569411996379656E-2</c:v>
                </c:pt>
              </c:numCache>
            </c:numRef>
          </c:val>
        </c:ser>
        <c:marker val="1"/>
        <c:axId val="390123904"/>
        <c:axId val="390125824"/>
      </c:lineChart>
      <c:catAx>
        <c:axId val="390123904"/>
        <c:scaling>
          <c:orientation val="minMax"/>
        </c:scaling>
        <c:axPos val="b"/>
        <c:numFmt formatCode="General" sourceLinked="1"/>
        <c:tickLblPos val="nextTo"/>
        <c:crossAx val="390125824"/>
        <c:crosses val="autoZero"/>
        <c:auto val="1"/>
        <c:lblAlgn val="ctr"/>
        <c:lblOffset val="100"/>
      </c:catAx>
      <c:valAx>
        <c:axId val="390125824"/>
        <c:scaling>
          <c:orientation val="minMax"/>
        </c:scaling>
        <c:axPos val="l"/>
        <c:majorGridlines/>
        <c:numFmt formatCode="0%" sourceLinked="0"/>
        <c:tickLblPos val="nextTo"/>
        <c:crossAx val="39012390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3.1392347703607063E-2</c:v>
                </c:pt>
                <c:pt idx="3">
                  <c:v>5.5586945104648379E-2</c:v>
                </c:pt>
                <c:pt idx="4">
                  <c:v>5.4126209330308192E-2</c:v>
                </c:pt>
                <c:pt idx="5">
                  <c:v>5.1749106701455286E-2</c:v>
                </c:pt>
                <c:pt idx="6">
                  <c:v>2.8567108921173753E-2</c:v>
                </c:pt>
                <c:pt idx="7">
                  <c:v>3.8735949538907542E-2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2.821524342416672E-2</c:v>
                </c:pt>
                <c:pt idx="2">
                  <c:v>4.9715877116872115E-2</c:v>
                </c:pt>
                <c:pt idx="3">
                  <c:v>-1.8932480826239766E-2</c:v>
                </c:pt>
                <c:pt idx="4">
                  <c:v>7.6891594824893134E-2</c:v>
                </c:pt>
                <c:pt idx="5">
                  <c:v>2.095392217212597E-2</c:v>
                </c:pt>
                <c:pt idx="6">
                  <c:v>1.380587420653143E-2</c:v>
                </c:pt>
                <c:pt idx="7">
                  <c:v>2.0067539862887711E-2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-4.3289757138539151E-2</c:v>
                </c:pt>
                <c:pt idx="2">
                  <c:v>-1.5254735941571146E-2</c:v>
                </c:pt>
                <c:pt idx="3">
                  <c:v>-0.18637839848821813</c:v>
                </c:pt>
                <c:pt idx="4">
                  <c:v>-1.5041633078088965E-2</c:v>
                </c:pt>
                <c:pt idx="5">
                  <c:v>1.7326163923364224E-2</c:v>
                </c:pt>
                <c:pt idx="6">
                  <c:v>-4.2158606606711446E-2</c:v>
                </c:pt>
                <c:pt idx="7">
                  <c:v>-5.1766673344794997E-2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2.8173968116101435E-2</c:v>
                </c:pt>
                <c:pt idx="2">
                  <c:v>4.2527479167274736E-2</c:v>
                </c:pt>
                <c:pt idx="3">
                  <c:v>3.3016877644366754E-2</c:v>
                </c:pt>
                <c:pt idx="4">
                  <c:v>7.4724436355395413E-2</c:v>
                </c:pt>
                <c:pt idx="5">
                  <c:v>-3.9001815740357833E-3</c:v>
                </c:pt>
                <c:pt idx="6">
                  <c:v>1.0491043321084678E-2</c:v>
                </c:pt>
                <c:pt idx="7">
                  <c:v>4.4470055868840348E-2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-5.8987126880164276E-2</c:v>
                </c:pt>
                <c:pt idx="1">
                  <c:v>-0.46709405332985687</c:v>
                </c:pt>
                <c:pt idx="2">
                  <c:v>-0.53388765375707492</c:v>
                </c:pt>
                <c:pt idx="3">
                  <c:v>-0.63662140327632288</c:v>
                </c:pt>
                <c:pt idx="4">
                  <c:v>-0.38154687800334713</c:v>
                </c:pt>
                <c:pt idx="5">
                  <c:v>-0.39528495301413574</c:v>
                </c:pt>
                <c:pt idx="6">
                  <c:v>-0.25764077911990541</c:v>
                </c:pt>
                <c:pt idx="7">
                  <c:v>-0.32705491871314474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-0.46905624232985693</c:v>
                </c:pt>
                <c:pt idx="2">
                  <c:v>-0.40758678794189662</c:v>
                </c:pt>
                <c:pt idx="3">
                  <c:v>-0.50223026172585394</c:v>
                </c:pt>
                <c:pt idx="4">
                  <c:v>-0.22652606438744602</c:v>
                </c:pt>
                <c:pt idx="5">
                  <c:v>-0.36578625545580234</c:v>
                </c:pt>
                <c:pt idx="6">
                  <c:v>-1.27081470544461E-2</c:v>
                </c:pt>
                <c:pt idx="7">
                  <c:v>-0.17140461936280491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0.30101613523680981</c:v>
                </c:pt>
                <c:pt idx="2">
                  <c:v>0.26888806032968465</c:v>
                </c:pt>
                <c:pt idx="3">
                  <c:v>0.34216639060226639</c:v>
                </c:pt>
                <c:pt idx="4">
                  <c:v>0.43818723932566084</c:v>
                </c:pt>
                <c:pt idx="5">
                  <c:v>0.41949577968586427</c:v>
                </c:pt>
                <c:pt idx="6">
                  <c:v>0.26865610006004731</c:v>
                </c:pt>
                <c:pt idx="7">
                  <c:v>0.40834897941312509</c:v>
                </c:pt>
              </c:numCache>
            </c:numRef>
          </c:val>
        </c:ser>
        <c:axId val="390232704"/>
        <c:axId val="390250880"/>
      </c:barChart>
      <c:catAx>
        <c:axId val="390232704"/>
        <c:scaling>
          <c:orientation val="minMax"/>
        </c:scaling>
        <c:axPos val="b"/>
        <c:tickLblPos val="nextTo"/>
        <c:crossAx val="390250880"/>
        <c:crosses val="autoZero"/>
        <c:auto val="1"/>
        <c:lblAlgn val="ctr"/>
        <c:lblOffset val="100"/>
      </c:catAx>
      <c:valAx>
        <c:axId val="390250880"/>
        <c:scaling>
          <c:orientation val="minMax"/>
        </c:scaling>
        <c:axPos val="l"/>
        <c:majorGridlines/>
        <c:numFmt formatCode="0.0%" sourceLinked="1"/>
        <c:tickLblPos val="nextTo"/>
        <c:crossAx val="39023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563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0.5613269004086493</c:v>
                </c:pt>
                <c:pt idx="1">
                  <c:v>6.6329408204576085E-2</c:v>
                </c:pt>
                <c:pt idx="2">
                  <c:v>6.6273489045250156E-2</c:v>
                </c:pt>
                <c:pt idx="3">
                  <c:v>0.11232372188766881</c:v>
                </c:pt>
                <c:pt idx="4">
                  <c:v>3.859675673771288E-2</c:v>
                </c:pt>
                <c:pt idx="5">
                  <c:v>1.3095337024510243E-2</c:v>
                </c:pt>
                <c:pt idx="6">
                  <c:v>2.3501449421306057E-2</c:v>
                </c:pt>
                <c:pt idx="7">
                  <c:v>3.8585392355016353E-2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8.2507034856474926E-3</c:v>
                </c:pt>
                <c:pt idx="1">
                  <c:v>1.6020482108940345E-2</c:v>
                </c:pt>
                <c:pt idx="2">
                  <c:v>1.5965734046492028E-2</c:v>
                </c:pt>
                <c:pt idx="3">
                  <c:v>1.2676277985983503E-2</c:v>
                </c:pt>
                <c:pt idx="4">
                  <c:v>1.247787225791349E-2</c:v>
                </c:pt>
                <c:pt idx="5">
                  <c:v>4.630039526061832E-3</c:v>
                </c:pt>
                <c:pt idx="6">
                  <c:v>4.8141114438953574E-3</c:v>
                </c:pt>
                <c:pt idx="7">
                  <c:v>5.132324060376274E-3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7.3901458931784347E-3</c:v>
                </c:pt>
                <c:pt idx="1">
                  <c:v>1.3698403878725979E-2</c:v>
                </c:pt>
                <c:pt idx="2">
                  <c:v>1.3478996675103119E-2</c:v>
                </c:pt>
                <c:pt idx="3">
                  <c:v>1.3311069396882785E-2</c:v>
                </c:pt>
                <c:pt idx="4">
                  <c:v>1.0845514414351679E-2</c:v>
                </c:pt>
                <c:pt idx="5">
                  <c:v>4.0551097065769995E-3</c:v>
                </c:pt>
                <c:pt idx="6">
                  <c:v>4.3330738016778836E-3</c:v>
                </c:pt>
                <c:pt idx="7">
                  <c:v>4.6930455160347287E-3</c:v>
                </c:pt>
              </c:numCache>
            </c:numRef>
          </c:val>
        </c:ser>
        <c:gapWidth val="100"/>
        <c:overlap val="100"/>
        <c:axId val="395381376"/>
        <c:axId val="395624832"/>
      </c:barChart>
      <c:catAx>
        <c:axId val="395381376"/>
        <c:scaling>
          <c:orientation val="minMax"/>
        </c:scaling>
        <c:axPos val="l"/>
        <c:numFmt formatCode="0%" sourceLinked="1"/>
        <c:tickLblPos val="nextTo"/>
        <c:crossAx val="395624832"/>
        <c:crosses val="autoZero"/>
        <c:auto val="1"/>
        <c:lblAlgn val="ctr"/>
        <c:lblOffset val="100"/>
      </c:catAx>
      <c:valAx>
        <c:axId val="395624832"/>
        <c:scaling>
          <c:orientation val="minMax"/>
        </c:scaling>
        <c:axPos val="b"/>
        <c:majorGridlines/>
        <c:numFmt formatCode="0%" sourceLinked="0"/>
        <c:tickLblPos val="nextTo"/>
        <c:crossAx val="395381376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0.5628945263516516</c:v>
                </c:pt>
                <c:pt idx="1">
                  <c:v>6.9302178120674907E-2</c:v>
                </c:pt>
                <c:pt idx="2">
                  <c:v>8.0748518116354959E-2</c:v>
                </c:pt>
                <c:pt idx="3">
                  <c:v>7.9383533336859102E-2</c:v>
                </c:pt>
                <c:pt idx="4">
                  <c:v>5.2861834384196657E-2</c:v>
                </c:pt>
                <c:pt idx="5">
                  <c:v>1.2741629556100465E-2</c:v>
                </c:pt>
                <c:pt idx="6">
                  <c:v>2.3629994978942918E-2</c:v>
                </c:pt>
                <c:pt idx="7">
                  <c:v>3.9006075299665023E-2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1.0495678341115533E-2</c:v>
                </c:pt>
                <c:pt idx="1">
                  <c:v>1.5875156604463203E-2</c:v>
                </c:pt>
                <c:pt idx="2">
                  <c:v>1.9277654972186531E-2</c:v>
                </c:pt>
                <c:pt idx="3">
                  <c:v>6.8732490246214001E-3</c:v>
                </c:pt>
                <c:pt idx="4">
                  <c:v>1.3386819004875428E-2</c:v>
                </c:pt>
                <c:pt idx="5">
                  <c:v>4.3641701955654394E-3</c:v>
                </c:pt>
                <c:pt idx="6">
                  <c:v>4.7554346204322674E-3</c:v>
                </c:pt>
                <c:pt idx="7">
                  <c:v>4.4035470922943049E-3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9.1219791323633448E-3</c:v>
                </c:pt>
                <c:pt idx="1">
                  <c:v>1.5304731105291042E-2</c:v>
                </c:pt>
                <c:pt idx="2">
                  <c:v>1.7278759279569469E-2</c:v>
                </c:pt>
                <c:pt idx="3">
                  <c:v>5.9522228086695966E-3</c:v>
                </c:pt>
                <c:pt idx="4">
                  <c:v>1.3708045364351676E-2</c:v>
                </c:pt>
                <c:pt idx="5">
                  <c:v>3.6629193396434945E-3</c:v>
                </c:pt>
                <c:pt idx="6">
                  <c:v>4.0559344960348909E-3</c:v>
                </c:pt>
                <c:pt idx="7">
                  <c:v>4.0598174442186344E-3</c:v>
                </c:pt>
              </c:numCache>
            </c:numRef>
          </c:val>
        </c:ser>
        <c:gapWidth val="100"/>
        <c:overlap val="100"/>
        <c:axId val="395531392"/>
        <c:axId val="395532928"/>
      </c:barChart>
      <c:catAx>
        <c:axId val="395531392"/>
        <c:scaling>
          <c:orientation val="minMax"/>
        </c:scaling>
        <c:axPos val="l"/>
        <c:numFmt formatCode="0%" sourceLinked="1"/>
        <c:tickLblPos val="nextTo"/>
        <c:crossAx val="395532928"/>
        <c:crosses val="autoZero"/>
        <c:auto val="1"/>
        <c:lblAlgn val="ctr"/>
        <c:lblOffset val="100"/>
      </c:catAx>
      <c:valAx>
        <c:axId val="395532928"/>
        <c:scaling>
          <c:orientation val="minMax"/>
        </c:scaling>
        <c:axPos val="b"/>
        <c:majorGridlines/>
        <c:numFmt formatCode="0%" sourceLinked="0"/>
        <c:tickLblPos val="nextTo"/>
        <c:crossAx val="3955313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0.5628945263516516</c:v>
                </c:pt>
                <c:pt idx="1">
                  <c:v>6.9302178120674907E-2</c:v>
                </c:pt>
                <c:pt idx="2">
                  <c:v>8.0748518116354959E-2</c:v>
                </c:pt>
                <c:pt idx="3">
                  <c:v>7.9383533336859102E-2</c:v>
                </c:pt>
                <c:pt idx="4">
                  <c:v>5.2861834384196657E-2</c:v>
                </c:pt>
                <c:pt idx="5">
                  <c:v>1.2741629556100465E-2</c:v>
                </c:pt>
                <c:pt idx="6">
                  <c:v>2.3629994978942918E-2</c:v>
                </c:pt>
                <c:pt idx="7">
                  <c:v>3.9006075299665023E-2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1.0495678341115533E-2</c:v>
                </c:pt>
                <c:pt idx="1">
                  <c:v>1.5875156604463203E-2</c:v>
                </c:pt>
                <c:pt idx="2">
                  <c:v>1.9277654972186531E-2</c:v>
                </c:pt>
                <c:pt idx="3">
                  <c:v>6.8732490246214001E-3</c:v>
                </c:pt>
                <c:pt idx="4">
                  <c:v>1.3386819004875428E-2</c:v>
                </c:pt>
                <c:pt idx="5">
                  <c:v>4.3641701955654394E-3</c:v>
                </c:pt>
                <c:pt idx="6">
                  <c:v>4.7554346204322674E-3</c:v>
                </c:pt>
                <c:pt idx="7">
                  <c:v>4.4035470922943049E-3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9.1219791323633448E-3</c:v>
                </c:pt>
                <c:pt idx="1">
                  <c:v>1.5304731105291042E-2</c:v>
                </c:pt>
                <c:pt idx="2">
                  <c:v>1.7278759279569469E-2</c:v>
                </c:pt>
                <c:pt idx="3">
                  <c:v>5.9522228086695966E-3</c:v>
                </c:pt>
                <c:pt idx="4">
                  <c:v>1.3708045364351676E-2</c:v>
                </c:pt>
                <c:pt idx="5">
                  <c:v>3.6629193396434945E-3</c:v>
                </c:pt>
                <c:pt idx="6">
                  <c:v>4.0559344960348909E-3</c:v>
                </c:pt>
                <c:pt idx="7">
                  <c:v>4.0598174442186344E-3</c:v>
                </c:pt>
              </c:numCache>
            </c:numRef>
          </c:val>
        </c:ser>
        <c:gapWidth val="100"/>
        <c:overlap val="100"/>
        <c:axId val="395558272"/>
        <c:axId val="395568256"/>
      </c:barChart>
      <c:catAx>
        <c:axId val="395558272"/>
        <c:scaling>
          <c:orientation val="minMax"/>
        </c:scaling>
        <c:axPos val="l"/>
        <c:numFmt formatCode="0%" sourceLinked="1"/>
        <c:tickLblPos val="nextTo"/>
        <c:crossAx val="395568256"/>
        <c:crosses val="autoZero"/>
        <c:auto val="1"/>
        <c:lblAlgn val="ctr"/>
        <c:lblOffset val="100"/>
      </c:catAx>
      <c:valAx>
        <c:axId val="395568256"/>
        <c:scaling>
          <c:orientation val="minMax"/>
        </c:scaling>
        <c:axPos val="b"/>
        <c:majorGridlines/>
        <c:numFmt formatCode="0%" sourceLinked="0"/>
        <c:tickLblPos val="nextTo"/>
        <c:crossAx val="3955582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0.5599358959466556</c:v>
                </c:pt>
                <c:pt idx="1">
                  <c:v>6.658625661436493E-2</c:v>
                </c:pt>
                <c:pt idx="2">
                  <c:v>7.9729298701093798E-2</c:v>
                </c:pt>
                <c:pt idx="3">
                  <c:v>8.640140929651241E-2</c:v>
                </c:pt>
                <c:pt idx="4">
                  <c:v>5.5891679979390575E-2</c:v>
                </c:pt>
                <c:pt idx="5">
                  <c:v>1.1644181488333715E-2</c:v>
                </c:pt>
                <c:pt idx="6">
                  <c:v>2.2440092513021793E-2</c:v>
                </c:pt>
                <c:pt idx="7">
                  <c:v>3.9688004769915679E-2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9.2397328800767342E-3</c:v>
                </c:pt>
                <c:pt idx="1">
                  <c:v>1.6192627228433829E-2</c:v>
                </c:pt>
                <c:pt idx="2">
                  <c:v>1.7551855070544131E-2</c:v>
                </c:pt>
                <c:pt idx="3">
                  <c:v>1.1468555020049162E-2</c:v>
                </c:pt>
                <c:pt idx="4">
                  <c:v>1.0595058927013075E-2</c:v>
                </c:pt>
                <c:pt idx="5">
                  <c:v>3.3929673787959861E-3</c:v>
                </c:pt>
                <c:pt idx="6">
                  <c:v>4.5428984750656189E-3</c:v>
                </c:pt>
                <c:pt idx="7">
                  <c:v>4.6994857107326149E-3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7.624050724958642E-3</c:v>
                </c:pt>
                <c:pt idx="1">
                  <c:v>1.293159597657341E-2</c:v>
                </c:pt>
                <c:pt idx="2">
                  <c:v>1.6521908998805415E-2</c:v>
                </c:pt>
                <c:pt idx="3">
                  <c:v>9.7313884209237617E-3</c:v>
                </c:pt>
                <c:pt idx="4">
                  <c:v>1.0170716111877171E-2</c:v>
                </c:pt>
                <c:pt idx="5">
                  <c:v>2.4234832195831335E-3</c:v>
                </c:pt>
                <c:pt idx="6">
                  <c:v>3.6607960002796279E-3</c:v>
                </c:pt>
                <c:pt idx="7">
                  <c:v>4.6479209840892197E-3</c:v>
                </c:pt>
              </c:numCache>
            </c:numRef>
          </c:val>
        </c:ser>
        <c:gapWidth val="100"/>
        <c:overlap val="100"/>
        <c:axId val="395470720"/>
        <c:axId val="395472256"/>
      </c:barChart>
      <c:catAx>
        <c:axId val="395470720"/>
        <c:scaling>
          <c:orientation val="minMax"/>
        </c:scaling>
        <c:axPos val="l"/>
        <c:tickLblPos val="nextTo"/>
        <c:crossAx val="395472256"/>
        <c:crosses val="autoZero"/>
        <c:auto val="1"/>
        <c:lblAlgn val="ctr"/>
        <c:lblOffset val="100"/>
      </c:catAx>
      <c:valAx>
        <c:axId val="395472256"/>
        <c:scaling>
          <c:orientation val="minMax"/>
        </c:scaling>
        <c:axPos val="b"/>
        <c:majorGridlines/>
        <c:numFmt formatCode="0%" sourceLinked="0"/>
        <c:tickLblPos val="nextTo"/>
        <c:crossAx val="3954707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0.64167848179764575</c:v>
                </c:pt>
                <c:pt idx="1">
                  <c:v>6.7092809135505527E-2</c:v>
                </c:pt>
                <c:pt idx="2">
                  <c:v>6.2977523523390033E-2</c:v>
                </c:pt>
                <c:pt idx="3">
                  <c:v>7.6459688923268695E-2</c:v>
                </c:pt>
                <c:pt idx="4">
                  <c:v>2.605767271228647E-2</c:v>
                </c:pt>
                <c:pt idx="5">
                  <c:v>1.0366029278223814E-2</c:v>
                </c:pt>
                <c:pt idx="6">
                  <c:v>2.3118160336424883E-2</c:v>
                </c:pt>
                <c:pt idx="7">
                  <c:v>3.6743627120520907E-2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3.4438463988336609E-3</c:v>
                </c:pt>
                <c:pt idx="1">
                  <c:v>1.4586198533223071E-2</c:v>
                </c:pt>
                <c:pt idx="2">
                  <c:v>1.4885305046414693E-2</c:v>
                </c:pt>
                <c:pt idx="3">
                  <c:v>5.1545102712485802E-3</c:v>
                </c:pt>
                <c:pt idx="4">
                  <c:v>4.1697720625969159E-3</c:v>
                </c:pt>
                <c:pt idx="5">
                  <c:v>3.1192638716226965E-3</c:v>
                </c:pt>
                <c:pt idx="6">
                  <c:v>5.2089850414004275E-3</c:v>
                </c:pt>
                <c:pt idx="7">
                  <c:v>4.9381259473935193E-3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4.3880639477756889E-3</c:v>
                </c:pt>
                <c:pt idx="1">
                  <c:v>1.1895456895401058E-2</c:v>
                </c:pt>
                <c:pt idx="2">
                  <c:v>1.1969616190387181E-2</c:v>
                </c:pt>
                <c:pt idx="3">
                  <c:v>4.3109430362889972E-3</c:v>
                </c:pt>
                <c:pt idx="4">
                  <c:v>2.9299420491853481E-3</c:v>
                </c:pt>
                <c:pt idx="5">
                  <c:v>2.459622122966269E-3</c:v>
                </c:pt>
                <c:pt idx="6">
                  <c:v>4.730576243518872E-3</c:v>
                </c:pt>
                <c:pt idx="7">
                  <c:v>4.3012613638481745E-3</c:v>
                </c:pt>
              </c:numCache>
            </c:numRef>
          </c:val>
        </c:ser>
        <c:gapWidth val="100"/>
        <c:overlap val="100"/>
        <c:axId val="395493760"/>
        <c:axId val="395495296"/>
      </c:barChart>
      <c:catAx>
        <c:axId val="395493760"/>
        <c:scaling>
          <c:orientation val="minMax"/>
        </c:scaling>
        <c:axPos val="l"/>
        <c:tickLblPos val="nextTo"/>
        <c:crossAx val="395495296"/>
        <c:crosses val="autoZero"/>
        <c:auto val="1"/>
        <c:lblAlgn val="ctr"/>
        <c:lblOffset val="100"/>
      </c:catAx>
      <c:valAx>
        <c:axId val="395495296"/>
        <c:scaling>
          <c:orientation val="minMax"/>
        </c:scaling>
        <c:axPos val="b"/>
        <c:majorGridlines/>
        <c:numFmt formatCode="0%" sourceLinked="0"/>
        <c:tickLblPos val="nextTo"/>
        <c:crossAx val="3954937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0.64308574176698174</c:v>
                </c:pt>
                <c:pt idx="1">
                  <c:v>7.1178242951620008E-2</c:v>
                </c:pt>
                <c:pt idx="2">
                  <c:v>6.3510943138879838E-2</c:v>
                </c:pt>
                <c:pt idx="3">
                  <c:v>7.6078194951983868E-2</c:v>
                </c:pt>
                <c:pt idx="4">
                  <c:v>2.5056509261794178E-2</c:v>
                </c:pt>
                <c:pt idx="5">
                  <c:v>9.9456509479830188E-3</c:v>
                </c:pt>
                <c:pt idx="6">
                  <c:v>2.3154871446308227E-2</c:v>
                </c:pt>
                <c:pt idx="7">
                  <c:v>3.6846829317189071E-2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2.7730296502747054E-3</c:v>
                </c:pt>
                <c:pt idx="1">
                  <c:v>1.4438750261732275E-2</c:v>
                </c:pt>
                <c:pt idx="2">
                  <c:v>1.3067022390761296E-2</c:v>
                </c:pt>
                <c:pt idx="3">
                  <c:v>4.5672529717627336E-3</c:v>
                </c:pt>
                <c:pt idx="4">
                  <c:v>3.2378062810978839E-3</c:v>
                </c:pt>
                <c:pt idx="5">
                  <c:v>3.1847289742244576E-3</c:v>
                </c:pt>
                <c:pt idx="6">
                  <c:v>4.9730240282181946E-3</c:v>
                </c:pt>
                <c:pt idx="7">
                  <c:v>4.9014016591887657E-3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3.7559473619942496E-3</c:v>
                </c:pt>
                <c:pt idx="1">
                  <c:v>1.2944721123746034E-2</c:v>
                </c:pt>
                <c:pt idx="2">
                  <c:v>1.2048897727090446E-2</c:v>
                </c:pt>
                <c:pt idx="3">
                  <c:v>3.8922162895543705E-3</c:v>
                </c:pt>
                <c:pt idx="4">
                  <c:v>2.1859762275574721E-3</c:v>
                </c:pt>
                <c:pt idx="5">
                  <c:v>2.4828925563399138E-3</c:v>
                </c:pt>
                <c:pt idx="6">
                  <c:v>4.6196597378990005E-3</c:v>
                </c:pt>
                <c:pt idx="7">
                  <c:v>4.080123582028472E-3</c:v>
                </c:pt>
              </c:numCache>
            </c:numRef>
          </c:val>
        </c:ser>
        <c:gapWidth val="100"/>
        <c:overlap val="100"/>
        <c:axId val="395664000"/>
        <c:axId val="395678080"/>
      </c:barChart>
      <c:catAx>
        <c:axId val="395664000"/>
        <c:scaling>
          <c:orientation val="minMax"/>
        </c:scaling>
        <c:axPos val="l"/>
        <c:tickLblPos val="nextTo"/>
        <c:crossAx val="395678080"/>
        <c:crosses val="autoZero"/>
        <c:auto val="1"/>
        <c:lblAlgn val="ctr"/>
        <c:lblOffset val="100"/>
      </c:catAx>
      <c:valAx>
        <c:axId val="395678080"/>
        <c:scaling>
          <c:orientation val="minMax"/>
        </c:scaling>
        <c:axPos val="b"/>
        <c:majorGridlines/>
        <c:numFmt formatCode="0%" sourceLinked="0"/>
        <c:tickLblPos val="nextTo"/>
        <c:crossAx val="3956640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0.60592594621679052</c:v>
                </c:pt>
                <c:pt idx="1">
                  <c:v>6.0993004513200437E-2</c:v>
                </c:pt>
                <c:pt idx="2">
                  <c:v>7.1596305362087609E-2</c:v>
                </c:pt>
                <c:pt idx="3">
                  <c:v>7.7200463906894001E-2</c:v>
                </c:pt>
                <c:pt idx="4">
                  <c:v>3.6731291745238259E-2</c:v>
                </c:pt>
                <c:pt idx="5">
                  <c:v>1.4361691282877977E-2</c:v>
                </c:pt>
                <c:pt idx="6">
                  <c:v>2.3261622257269871E-2</c:v>
                </c:pt>
                <c:pt idx="7">
                  <c:v>3.824215068837658E-2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1.2835702153981776E-2</c:v>
                </c:pt>
                <c:pt idx="1">
                  <c:v>1.2710946827325993E-2</c:v>
                </c:pt>
                <c:pt idx="2">
                  <c:v>1.6069840062782142E-2</c:v>
                </c:pt>
                <c:pt idx="3">
                  <c:v>2.8995490345597591E-3</c:v>
                </c:pt>
                <c:pt idx="4">
                  <c:v>1.326774437543931E-2</c:v>
                </c:pt>
                <c:pt idx="5">
                  <c:v>4.9527833368193004E-3</c:v>
                </c:pt>
                <c:pt idx="6">
                  <c:v>4.3357569993975054E-3</c:v>
                </c:pt>
                <c:pt idx="7">
                  <c:v>4.6152012369586118E-3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1.6539989845327119E-2</c:v>
                </c:pt>
                <c:pt idx="1">
                  <c:v>9.5932859825966776E-3</c:v>
                </c:pt>
                <c:pt idx="2">
                  <c:v>1.4275334210130691E-2</c:v>
                </c:pt>
                <c:pt idx="3">
                  <c:v>2.282091707130493E-3</c:v>
                </c:pt>
                <c:pt idx="4">
                  <c:v>1.0918535889013349E-2</c:v>
                </c:pt>
                <c:pt idx="5">
                  <c:v>4.9989786213609777E-3</c:v>
                </c:pt>
                <c:pt idx="6">
                  <c:v>3.5929563997796309E-3</c:v>
                </c:pt>
                <c:pt idx="7">
                  <c:v>3.6984890898677722E-3</c:v>
                </c:pt>
              </c:numCache>
            </c:numRef>
          </c:val>
        </c:ser>
        <c:gapWidth val="100"/>
        <c:overlap val="100"/>
        <c:axId val="395781248"/>
        <c:axId val="395782784"/>
      </c:barChart>
      <c:catAx>
        <c:axId val="395781248"/>
        <c:scaling>
          <c:orientation val="minMax"/>
        </c:scaling>
        <c:axPos val="l"/>
        <c:numFmt formatCode="0%" sourceLinked="1"/>
        <c:tickLblPos val="nextTo"/>
        <c:crossAx val="395782784"/>
        <c:crosses val="autoZero"/>
        <c:auto val="1"/>
        <c:lblAlgn val="ctr"/>
        <c:lblOffset val="100"/>
      </c:catAx>
      <c:valAx>
        <c:axId val="395782784"/>
        <c:scaling>
          <c:orientation val="minMax"/>
        </c:scaling>
        <c:axPos val="b"/>
        <c:majorGridlines/>
        <c:numFmt formatCode="0%" sourceLinked="0"/>
        <c:tickLblPos val="nextTo"/>
        <c:crossAx val="3957812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0.64167848179764575</c:v>
                </c:pt>
                <c:pt idx="1">
                  <c:v>6.7092809135505527E-2</c:v>
                </c:pt>
                <c:pt idx="2">
                  <c:v>6.2977523523390033E-2</c:v>
                </c:pt>
                <c:pt idx="3">
                  <c:v>7.6459688923268695E-2</c:v>
                </c:pt>
                <c:pt idx="4">
                  <c:v>2.605767271228647E-2</c:v>
                </c:pt>
                <c:pt idx="5">
                  <c:v>1.0366029278223814E-2</c:v>
                </c:pt>
                <c:pt idx="6">
                  <c:v>2.3118160336424883E-2</c:v>
                </c:pt>
                <c:pt idx="7">
                  <c:v>3.6743627120520907E-2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3.4438463988336609E-3</c:v>
                </c:pt>
                <c:pt idx="1">
                  <c:v>1.4586198533223071E-2</c:v>
                </c:pt>
                <c:pt idx="2">
                  <c:v>1.4885305046414693E-2</c:v>
                </c:pt>
                <c:pt idx="3">
                  <c:v>5.1545102712485802E-3</c:v>
                </c:pt>
                <c:pt idx="4">
                  <c:v>4.1697720625969159E-3</c:v>
                </c:pt>
                <c:pt idx="5">
                  <c:v>3.1192638716226965E-3</c:v>
                </c:pt>
                <c:pt idx="6">
                  <c:v>5.2089850414004275E-3</c:v>
                </c:pt>
                <c:pt idx="7">
                  <c:v>4.9381259473935193E-3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4.3880639477756889E-3</c:v>
                </c:pt>
                <c:pt idx="1">
                  <c:v>1.1895456895401058E-2</c:v>
                </c:pt>
                <c:pt idx="2">
                  <c:v>1.1969616190387181E-2</c:v>
                </c:pt>
                <c:pt idx="3">
                  <c:v>4.3109430362889972E-3</c:v>
                </c:pt>
                <c:pt idx="4">
                  <c:v>2.9299420491853481E-3</c:v>
                </c:pt>
                <c:pt idx="5">
                  <c:v>2.459622122966269E-3</c:v>
                </c:pt>
                <c:pt idx="6">
                  <c:v>4.730576243518872E-3</c:v>
                </c:pt>
                <c:pt idx="7">
                  <c:v>4.3012613638481745E-3</c:v>
                </c:pt>
              </c:numCache>
            </c:numRef>
          </c:val>
        </c:ser>
        <c:gapWidth val="100"/>
        <c:overlap val="100"/>
        <c:axId val="395804032"/>
        <c:axId val="395809920"/>
      </c:barChart>
      <c:catAx>
        <c:axId val="395804032"/>
        <c:scaling>
          <c:orientation val="minMax"/>
        </c:scaling>
        <c:axPos val="l"/>
        <c:tickLblPos val="nextTo"/>
        <c:crossAx val="395809920"/>
        <c:crosses val="autoZero"/>
        <c:auto val="1"/>
        <c:lblAlgn val="ctr"/>
        <c:lblOffset val="100"/>
      </c:catAx>
      <c:valAx>
        <c:axId val="395809920"/>
        <c:scaling>
          <c:orientation val="minMax"/>
        </c:scaling>
        <c:axPos val="b"/>
        <c:majorGridlines/>
        <c:numFmt formatCode="0%" sourceLinked="0"/>
        <c:tickLblPos val="nextTo"/>
        <c:crossAx val="3958040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0.14474655022261165</c:v>
                </c:pt>
                <c:pt idx="1">
                  <c:v>0.14486309545199635</c:v>
                </c:pt>
                <c:pt idx="2">
                  <c:v>0.23951124065966781</c:v>
                </c:pt>
                <c:pt idx="3">
                  <c:v>7.8395848292724168E-2</c:v>
                </c:pt>
                <c:pt idx="4">
                  <c:v>2.7592714021865937E-2</c:v>
                </c:pt>
                <c:pt idx="5">
                  <c:v>5.2290394387610448E-2</c:v>
                </c:pt>
                <c:pt idx="6">
                  <c:v>8.6992956084612799E-2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4.6051282580116371E-2</c:v>
                </c:pt>
                <c:pt idx="1">
                  <c:v>4.5666738843849863E-2</c:v>
                </c:pt>
                <c:pt idx="2">
                  <c:v>5.1725263136106397E-2</c:v>
                </c:pt>
                <c:pt idx="3">
                  <c:v>4.0423236692609804E-2</c:v>
                </c:pt>
                <c:pt idx="4">
                  <c:v>1.3649414861685465E-2</c:v>
                </c:pt>
                <c:pt idx="5">
                  <c:v>1.3491009618911504E-2</c:v>
                </c:pt>
                <c:pt idx="6">
                  <c:v>1.4600255145631208E-2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4.9862727436008641E-2</c:v>
                </c:pt>
                <c:pt idx="1">
                  <c:v>4.7752835461124771E-2</c:v>
                </c:pt>
                <c:pt idx="2">
                  <c:v>5.0372519555020756E-2</c:v>
                </c:pt>
                <c:pt idx="3">
                  <c:v>4.1911194158624071E-2</c:v>
                </c:pt>
                <c:pt idx="4">
                  <c:v>1.4471627165165278E-2</c:v>
                </c:pt>
                <c:pt idx="5">
                  <c:v>1.4541766594507552E-2</c:v>
                </c:pt>
                <c:pt idx="6">
                  <c:v>1.6318821204362427E-2</c:v>
                </c:pt>
              </c:numCache>
            </c:numRef>
          </c:val>
        </c:ser>
        <c:gapWidth val="101"/>
        <c:overlap val="100"/>
        <c:axId val="396978432"/>
        <c:axId val="396980224"/>
      </c:barChart>
      <c:catAx>
        <c:axId val="396978432"/>
        <c:scaling>
          <c:orientation val="minMax"/>
        </c:scaling>
        <c:axPos val="l"/>
        <c:tickLblPos val="nextTo"/>
        <c:crossAx val="396980224"/>
        <c:crosses val="autoZero"/>
        <c:auto val="1"/>
        <c:lblAlgn val="ctr"/>
        <c:lblOffset val="100"/>
      </c:catAx>
      <c:valAx>
        <c:axId val="396980224"/>
        <c:scaling>
          <c:orientation val="minMax"/>
        </c:scaling>
        <c:axPos val="b"/>
        <c:majorGridlines/>
        <c:numFmt formatCode="0%" sourceLinked="0"/>
        <c:tickLblPos val="nextTo"/>
        <c:crossAx val="3969784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0.14784493042335947</c:v>
                </c:pt>
                <c:pt idx="1">
                  <c:v>0.17918798719213261</c:v>
                </c:pt>
                <c:pt idx="2">
                  <c:v>0.18295728536537784</c:v>
                </c:pt>
                <c:pt idx="3">
                  <c:v>0.11464312290194553</c:v>
                </c:pt>
                <c:pt idx="4">
                  <c:v>2.7855509100830532E-2</c:v>
                </c:pt>
                <c:pt idx="5">
                  <c:v>5.2787608598382892E-2</c:v>
                </c:pt>
                <c:pt idx="6">
                  <c:v>8.8460353189925192E-2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5.1289067216481049E-2</c:v>
                </c:pt>
                <c:pt idx="1">
                  <c:v>5.4968834831455232E-2</c:v>
                </c:pt>
                <c:pt idx="2">
                  <c:v>1.9331023335366015E-2</c:v>
                </c:pt>
                <c:pt idx="3">
                  <c:v>4.1288260120793702E-2</c:v>
                </c:pt>
                <c:pt idx="4">
                  <c:v>1.2270391047730117E-2</c:v>
                </c:pt>
                <c:pt idx="5">
                  <c:v>1.3756723252850385E-2</c:v>
                </c:pt>
                <c:pt idx="6">
                  <c:v>1.33589034233694E-2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4.9488892835403753E-2</c:v>
                </c:pt>
                <c:pt idx="1">
                  <c:v>5.9895122820978808E-2</c:v>
                </c:pt>
                <c:pt idx="2">
                  <c:v>2.0509932948600679E-2</c:v>
                </c:pt>
                <c:pt idx="3">
                  <c:v>4.3919014470085671E-2</c:v>
                </c:pt>
                <c:pt idx="4">
                  <c:v>1.4290963770483174E-2</c:v>
                </c:pt>
                <c:pt idx="5">
                  <c:v>1.5713975764634736E-2</c:v>
                </c:pt>
                <c:pt idx="6">
                  <c:v>1.4038780656959071E-2</c:v>
                </c:pt>
              </c:numCache>
            </c:numRef>
          </c:val>
        </c:ser>
        <c:gapWidth val="101"/>
        <c:overlap val="100"/>
        <c:axId val="397009664"/>
        <c:axId val="397011200"/>
      </c:barChart>
      <c:catAx>
        <c:axId val="397009664"/>
        <c:scaling>
          <c:orientation val="minMax"/>
        </c:scaling>
        <c:axPos val="l"/>
        <c:tickLblPos val="nextTo"/>
        <c:crossAx val="397011200"/>
        <c:crosses val="autoZero"/>
        <c:auto val="1"/>
        <c:lblAlgn val="ctr"/>
        <c:lblOffset val="100"/>
      </c:catAx>
      <c:valAx>
        <c:axId val="397011200"/>
        <c:scaling>
          <c:orientation val="minMax"/>
        </c:scaling>
        <c:axPos val="b"/>
        <c:majorGridlines/>
        <c:numFmt formatCode="0%" sourceLinked="0"/>
        <c:tickLblPos val="nextTo"/>
        <c:crossAx val="3970096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0.1500728412947088</c:v>
                </c:pt>
                <c:pt idx="1">
                  <c:v>0.177570900635481</c:v>
                </c:pt>
                <c:pt idx="2">
                  <c:v>0.19466654997923269</c:v>
                </c:pt>
                <c:pt idx="3">
                  <c:v>8.6286536185302284E-2</c:v>
                </c:pt>
                <c:pt idx="4">
                  <c:v>3.3109062196038853E-2</c:v>
                </c:pt>
                <c:pt idx="5">
                  <c:v>5.8613098456006645E-2</c:v>
                </c:pt>
                <c:pt idx="6">
                  <c:v>9.7010597332783458E-2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4.3524954417307166E-2</c:v>
                </c:pt>
                <c:pt idx="1">
                  <c:v>5.1370957291866526E-2</c:v>
                </c:pt>
                <c:pt idx="2">
                  <c:v>1.6168710298785888E-2</c:v>
                </c:pt>
                <c:pt idx="3">
                  <c:v>4.4404534000545851E-2</c:v>
                </c:pt>
                <c:pt idx="4">
                  <c:v>1.7623851349366448E-2</c:v>
                </c:pt>
                <c:pt idx="5">
                  <c:v>1.3900458273164169E-2</c:v>
                </c:pt>
                <c:pt idx="6">
                  <c:v>1.5676948289410159E-2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4.7183335789938025E-2</c:v>
                </c:pt>
                <c:pt idx="1">
                  <c:v>5.8114234875853238E-2</c:v>
                </c:pt>
                <c:pt idx="2">
                  <c:v>1.6437566447276841E-2</c:v>
                </c:pt>
                <c:pt idx="3">
                  <c:v>4.7987253045890188E-2</c:v>
                </c:pt>
                <c:pt idx="4">
                  <c:v>1.8460386910579878E-2</c:v>
                </c:pt>
                <c:pt idx="5">
                  <c:v>1.5782341529267385E-2</c:v>
                </c:pt>
                <c:pt idx="6">
                  <c:v>1.6065161379758844E-2</c:v>
                </c:pt>
              </c:numCache>
            </c:numRef>
          </c:val>
        </c:ser>
        <c:gapWidth val="101"/>
        <c:overlap val="100"/>
        <c:axId val="395869184"/>
        <c:axId val="395879168"/>
      </c:barChart>
      <c:catAx>
        <c:axId val="395869184"/>
        <c:scaling>
          <c:orientation val="minMax"/>
        </c:scaling>
        <c:axPos val="l"/>
        <c:tickLblPos val="nextTo"/>
        <c:crossAx val="395879168"/>
        <c:crosses val="autoZero"/>
        <c:auto val="1"/>
        <c:lblAlgn val="ctr"/>
        <c:lblOffset val="100"/>
      </c:catAx>
      <c:valAx>
        <c:axId val="395879168"/>
        <c:scaling>
          <c:orientation val="minMax"/>
        </c:scaling>
        <c:axPos val="b"/>
        <c:majorGridlines/>
        <c:numFmt formatCode="0%" sourceLinked="0"/>
        <c:tickLblPos val="nextTo"/>
        <c:crossAx val="3958691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0.14512509122674919</c:v>
                </c:pt>
                <c:pt idx="1">
                  <c:v>0.17099916922711739</c:v>
                </c:pt>
                <c:pt idx="2">
                  <c:v>0.19287793362556949</c:v>
                </c:pt>
                <c:pt idx="3">
                  <c:v>0.11710987822459357</c:v>
                </c:pt>
                <c:pt idx="4">
                  <c:v>2.5755660760153298E-2</c:v>
                </c:pt>
                <c:pt idx="5">
                  <c:v>5.0047073185717654E-2</c:v>
                </c:pt>
                <c:pt idx="6">
                  <c:v>8.8671256598413295E-2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4.6530666033477219E-2</c:v>
                </c:pt>
                <c:pt idx="1">
                  <c:v>5.4351171127415415E-2</c:v>
                </c:pt>
                <c:pt idx="2">
                  <c:v>3.4533816848056953E-2</c:v>
                </c:pt>
                <c:pt idx="3">
                  <c:v>3.7889350208598016E-2</c:v>
                </c:pt>
                <c:pt idx="4">
                  <c:v>9.1302421748641234E-3</c:v>
                </c:pt>
                <c:pt idx="5">
                  <c:v>1.2570078561720467E-2</c:v>
                </c:pt>
                <c:pt idx="6">
                  <c:v>1.4408612197553405E-2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4.7891900053449094E-2</c:v>
                </c:pt>
                <c:pt idx="1">
                  <c:v>5.5349783018263737E-2</c:v>
                </c:pt>
                <c:pt idx="2">
                  <c:v>3.5292407953825544E-2</c:v>
                </c:pt>
                <c:pt idx="3">
                  <c:v>4.0136603202631627E-2</c:v>
                </c:pt>
                <c:pt idx="4">
                  <c:v>1.0238588535363372E-2</c:v>
                </c:pt>
                <c:pt idx="5">
                  <c:v>1.2476021073911367E-2</c:v>
                </c:pt>
                <c:pt idx="6">
                  <c:v>1.5267630335388291E-2</c:v>
                </c:pt>
              </c:numCache>
            </c:numRef>
          </c:val>
        </c:ser>
        <c:gapWidth val="100"/>
        <c:overlap val="100"/>
        <c:axId val="397035008"/>
        <c:axId val="397036544"/>
      </c:barChart>
      <c:catAx>
        <c:axId val="397035008"/>
        <c:scaling>
          <c:orientation val="minMax"/>
        </c:scaling>
        <c:axPos val="l"/>
        <c:tickLblPos val="nextTo"/>
        <c:crossAx val="397036544"/>
        <c:crosses val="autoZero"/>
        <c:auto val="1"/>
        <c:lblAlgn val="ctr"/>
        <c:lblOffset val="100"/>
      </c:catAx>
      <c:valAx>
        <c:axId val="397036544"/>
        <c:scaling>
          <c:orientation val="minMax"/>
        </c:scaling>
        <c:axPos val="b"/>
        <c:majorGridlines/>
        <c:numFmt formatCode="0%" sourceLinked="0"/>
        <c:tickLblPos val="nextTo"/>
        <c:crossAx val="3970350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0.17570165505887014</c:v>
                </c:pt>
                <c:pt idx="1">
                  <c:v>0.16696558839991993</c:v>
                </c:pt>
                <c:pt idx="2">
                  <c:v>0.21212513332700472</c:v>
                </c:pt>
                <c:pt idx="3">
                  <c:v>7.1012584255409697E-2</c:v>
                </c:pt>
                <c:pt idx="4">
                  <c:v>2.7261642248125616E-2</c:v>
                </c:pt>
                <c:pt idx="5">
                  <c:v>6.0390695469962549E-2</c:v>
                </c:pt>
                <c:pt idx="6">
                  <c:v>0.10079258453111234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5.4364396277352234E-2</c:v>
                </c:pt>
                <c:pt idx="1">
                  <c:v>5.2377705152909931E-2</c:v>
                </c:pt>
                <c:pt idx="2">
                  <c:v>1.794360705537637E-2</c:v>
                </c:pt>
                <c:pt idx="3">
                  <c:v>1.4203147031916136E-2</c:v>
                </c:pt>
                <c:pt idx="4">
                  <c:v>1.0752239000999173E-2</c:v>
                </c:pt>
                <c:pt idx="5">
                  <c:v>1.9435977216841566E-2</c:v>
                </c:pt>
                <c:pt idx="6">
                  <c:v>1.6673044974198817E-2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5.2862744290504082E-2</c:v>
                </c:pt>
                <c:pt idx="1">
                  <c:v>5.3802778446408545E-2</c:v>
                </c:pt>
                <c:pt idx="2">
                  <c:v>2.0209441985009707E-2</c:v>
                </c:pt>
                <c:pt idx="3">
                  <c:v>1.3473174181282035E-2</c:v>
                </c:pt>
                <c:pt idx="4">
                  <c:v>1.1901994664533219E-2</c:v>
                </c:pt>
                <c:pt idx="5">
                  <c:v>2.0727703441493786E-2</c:v>
                </c:pt>
                <c:pt idx="6">
                  <c:v>1.8921689369955794E-2</c:v>
                </c:pt>
              </c:numCache>
            </c:numRef>
          </c:val>
        </c:ser>
        <c:gapWidth val="100"/>
        <c:overlap val="100"/>
        <c:axId val="397070336"/>
        <c:axId val="397071872"/>
      </c:barChart>
      <c:catAx>
        <c:axId val="397070336"/>
        <c:scaling>
          <c:orientation val="minMax"/>
        </c:scaling>
        <c:axPos val="l"/>
        <c:tickLblPos val="nextTo"/>
        <c:crossAx val="397071872"/>
        <c:crosses val="autoZero"/>
        <c:auto val="1"/>
        <c:lblAlgn val="ctr"/>
        <c:lblOffset val="100"/>
      </c:catAx>
      <c:valAx>
        <c:axId val="397071872"/>
        <c:scaling>
          <c:orientation val="minMax"/>
        </c:scaling>
        <c:axPos val="b"/>
        <c:majorGridlines/>
        <c:numFmt formatCode="0%" sourceLinked="0"/>
        <c:tickLblPos val="nextTo"/>
        <c:crossAx val="3970703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0.14784493042335947</c:v>
                </c:pt>
                <c:pt idx="1">
                  <c:v>0.17918798719213261</c:v>
                </c:pt>
                <c:pt idx="2">
                  <c:v>0.18295728536537784</c:v>
                </c:pt>
                <c:pt idx="3">
                  <c:v>0.11464312290194553</c:v>
                </c:pt>
                <c:pt idx="4">
                  <c:v>2.7855509100830532E-2</c:v>
                </c:pt>
                <c:pt idx="5">
                  <c:v>5.2787608598382892E-2</c:v>
                </c:pt>
                <c:pt idx="6">
                  <c:v>8.8460353189925192E-2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5.1289067216481049E-2</c:v>
                </c:pt>
                <c:pt idx="1">
                  <c:v>5.4968834831455232E-2</c:v>
                </c:pt>
                <c:pt idx="2">
                  <c:v>1.9331023335366015E-2</c:v>
                </c:pt>
                <c:pt idx="3">
                  <c:v>4.1288260120793702E-2</c:v>
                </c:pt>
                <c:pt idx="4">
                  <c:v>1.2270391047730117E-2</c:v>
                </c:pt>
                <c:pt idx="5">
                  <c:v>1.3756723252850385E-2</c:v>
                </c:pt>
                <c:pt idx="6">
                  <c:v>1.33589034233694E-2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4.9488892835403753E-2</c:v>
                </c:pt>
                <c:pt idx="1">
                  <c:v>5.9895122820978808E-2</c:v>
                </c:pt>
                <c:pt idx="2">
                  <c:v>2.0509932948600679E-2</c:v>
                </c:pt>
                <c:pt idx="3">
                  <c:v>4.3919014470085671E-2</c:v>
                </c:pt>
                <c:pt idx="4">
                  <c:v>1.4290963770483174E-2</c:v>
                </c:pt>
                <c:pt idx="5">
                  <c:v>1.5713975764634736E-2</c:v>
                </c:pt>
                <c:pt idx="6">
                  <c:v>1.4038780656959071E-2</c:v>
                </c:pt>
              </c:numCache>
            </c:numRef>
          </c:val>
        </c:ser>
        <c:gapWidth val="100"/>
        <c:overlap val="100"/>
        <c:axId val="397113600"/>
        <c:axId val="397123584"/>
      </c:barChart>
      <c:catAx>
        <c:axId val="397113600"/>
        <c:scaling>
          <c:orientation val="minMax"/>
        </c:scaling>
        <c:axPos val="l"/>
        <c:tickLblPos val="nextTo"/>
        <c:crossAx val="397123584"/>
        <c:crosses val="autoZero"/>
        <c:auto val="1"/>
        <c:lblAlgn val="ctr"/>
        <c:lblOffset val="100"/>
      </c:catAx>
      <c:valAx>
        <c:axId val="397123584"/>
        <c:scaling>
          <c:orientation val="minMax"/>
        </c:scaling>
        <c:axPos val="b"/>
        <c:majorGridlines/>
        <c:numFmt formatCode="0%" sourceLinked="0"/>
        <c:tickLblPos val="nextTo"/>
        <c:crossAx val="3971136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0.19913399763984052</c:v>
                </c:pt>
                <c:pt idx="1">
                  <c:v>0.23415682202358784</c:v>
                </c:pt>
                <c:pt idx="2">
                  <c:v>0.20228830870074385</c:v>
                </c:pt>
                <c:pt idx="3">
                  <c:v>0.15593138302273923</c:v>
                </c:pt>
                <c:pt idx="4">
                  <c:v>4.0125900148560649E-2</c:v>
                </c:pt>
                <c:pt idx="5">
                  <c:v>6.6544331851233277E-2</c:v>
                </c:pt>
                <c:pt idx="6">
                  <c:v>0.10181925661329459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0.17570165505887014</c:v>
                </c:pt>
                <c:pt idx="1">
                  <c:v>0.16696558839991993</c:v>
                </c:pt>
                <c:pt idx="2">
                  <c:v>0.21212513332700472</c:v>
                </c:pt>
                <c:pt idx="3">
                  <c:v>7.1012584255409697E-2</c:v>
                </c:pt>
                <c:pt idx="4">
                  <c:v>2.7261642248125616E-2</c:v>
                </c:pt>
                <c:pt idx="5">
                  <c:v>6.0390695469962549E-2</c:v>
                </c:pt>
                <c:pt idx="6">
                  <c:v>0.10079258453111234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5.4364396277352234E-2</c:v>
                </c:pt>
                <c:pt idx="1">
                  <c:v>5.2377705152909931E-2</c:v>
                </c:pt>
                <c:pt idx="2">
                  <c:v>1.794360705537637E-2</c:v>
                </c:pt>
                <c:pt idx="3">
                  <c:v>1.4203147031916136E-2</c:v>
                </c:pt>
                <c:pt idx="4">
                  <c:v>1.0752239000999173E-2</c:v>
                </c:pt>
                <c:pt idx="5">
                  <c:v>1.9435977216841566E-2</c:v>
                </c:pt>
                <c:pt idx="6">
                  <c:v>1.6673044974198817E-2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5.2862744290504082E-2</c:v>
                </c:pt>
                <c:pt idx="1">
                  <c:v>5.3802778446408545E-2</c:v>
                </c:pt>
                <c:pt idx="2">
                  <c:v>2.0209441985009707E-2</c:v>
                </c:pt>
                <c:pt idx="3">
                  <c:v>1.3473174181282035E-2</c:v>
                </c:pt>
                <c:pt idx="4">
                  <c:v>1.1901994664533219E-2</c:v>
                </c:pt>
                <c:pt idx="5">
                  <c:v>2.0727703441493786E-2</c:v>
                </c:pt>
                <c:pt idx="6">
                  <c:v>1.8921689369955794E-2</c:v>
                </c:pt>
              </c:numCache>
            </c:numRef>
          </c:val>
        </c:ser>
        <c:gapWidth val="100"/>
        <c:overlap val="100"/>
        <c:axId val="398246656"/>
        <c:axId val="398248192"/>
      </c:barChart>
      <c:catAx>
        <c:axId val="398246656"/>
        <c:scaling>
          <c:orientation val="minMax"/>
        </c:scaling>
        <c:axPos val="l"/>
        <c:tickLblPos val="nextTo"/>
        <c:crossAx val="398248192"/>
        <c:crosses val="autoZero"/>
        <c:auto val="1"/>
        <c:lblAlgn val="ctr"/>
        <c:lblOffset val="100"/>
      </c:catAx>
      <c:valAx>
        <c:axId val="398248192"/>
        <c:scaling>
          <c:orientation val="minMax"/>
        </c:scaling>
        <c:axPos val="b"/>
        <c:majorGridlines/>
        <c:numFmt formatCode="0%" sourceLinked="0"/>
        <c:tickLblPos val="nextTo"/>
        <c:crossAx val="3982466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461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0.18584712996249395</c:v>
                </c:pt>
                <c:pt idx="1">
                  <c:v>0.16338366215490091</c:v>
                </c:pt>
                <c:pt idx="2">
                  <c:v>0.21091466963151134</c:v>
                </c:pt>
                <c:pt idx="3">
                  <c:v>6.7968090827481537E-2</c:v>
                </c:pt>
                <c:pt idx="4">
                  <c:v>2.5414674604038207E-2</c:v>
                </c:pt>
                <c:pt idx="5">
                  <c:v>6.1547438585740723E-2</c:v>
                </c:pt>
                <c:pt idx="6">
                  <c:v>9.9917763206248497E-2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5.5810401957524597E-2</c:v>
                </c:pt>
                <c:pt idx="1">
                  <c:v>5.2842301359656091E-2</c:v>
                </c:pt>
                <c:pt idx="2">
                  <c:v>1.6889695207425309E-2</c:v>
                </c:pt>
                <c:pt idx="3">
                  <c:v>1.195756042899114E-2</c:v>
                </c:pt>
                <c:pt idx="4">
                  <c:v>1.167106294696367E-2</c:v>
                </c:pt>
                <c:pt idx="5">
                  <c:v>1.7868927868221314E-2</c:v>
                </c:pt>
                <c:pt idx="6">
                  <c:v>1.7966621258802551E-2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5.6527906693156049E-2</c:v>
                </c:pt>
                <c:pt idx="1">
                  <c:v>5.1012424000484308E-2</c:v>
                </c:pt>
                <c:pt idx="2">
                  <c:v>1.8490884337511559E-2</c:v>
                </c:pt>
                <c:pt idx="3">
                  <c:v>1.1979260808636663E-2</c:v>
                </c:pt>
                <c:pt idx="4">
                  <c:v>1.2767281455099595E-2</c:v>
                </c:pt>
                <c:pt idx="5">
                  <c:v>2.0053636698841248E-2</c:v>
                </c:pt>
                <c:pt idx="6">
                  <c:v>1.9148693538874453E-2</c:v>
                </c:pt>
              </c:numCache>
            </c:numRef>
          </c:val>
        </c:ser>
        <c:gapWidth val="100"/>
        <c:overlap val="100"/>
        <c:axId val="398285824"/>
        <c:axId val="398287616"/>
      </c:barChart>
      <c:catAx>
        <c:axId val="398285824"/>
        <c:scaling>
          <c:orientation val="minMax"/>
        </c:scaling>
        <c:axPos val="l"/>
        <c:tickLblPos val="nextTo"/>
        <c:crossAx val="398287616"/>
        <c:crosses val="autoZero"/>
        <c:auto val="1"/>
        <c:lblAlgn val="ctr"/>
        <c:lblOffset val="100"/>
      </c:catAx>
      <c:valAx>
        <c:axId val="398287616"/>
        <c:scaling>
          <c:orientation val="minMax"/>
        </c:scaling>
        <c:axPos val="b"/>
        <c:majorGridlines/>
        <c:numFmt formatCode="0%" sourceLinked="0"/>
        <c:tickLblPos val="nextTo"/>
        <c:crossAx val="3982858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731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591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0.5628945263516516</c:v>
                </c:pt>
                <c:pt idx="1">
                  <c:v>6.9302178120674907E-2</c:v>
                </c:pt>
                <c:pt idx="2">
                  <c:v>8.0748518116354959E-2</c:v>
                </c:pt>
                <c:pt idx="3">
                  <c:v>7.9383533336859102E-2</c:v>
                </c:pt>
                <c:pt idx="4">
                  <c:v>5.2861834384196657E-2</c:v>
                </c:pt>
                <c:pt idx="5">
                  <c:v>1.2741629556100465E-2</c:v>
                </c:pt>
                <c:pt idx="6">
                  <c:v>2.3629994978942918E-2</c:v>
                </c:pt>
                <c:pt idx="7">
                  <c:v>3.9006075299665023E-2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1.0495678341115533E-2</c:v>
                </c:pt>
                <c:pt idx="1">
                  <c:v>1.5875156604463203E-2</c:v>
                </c:pt>
                <c:pt idx="2">
                  <c:v>1.9277654972186531E-2</c:v>
                </c:pt>
                <c:pt idx="3">
                  <c:v>6.8732490246214001E-3</c:v>
                </c:pt>
                <c:pt idx="4">
                  <c:v>1.3386819004875428E-2</c:v>
                </c:pt>
                <c:pt idx="5">
                  <c:v>4.3641701955654394E-3</c:v>
                </c:pt>
                <c:pt idx="6">
                  <c:v>4.7554346204322674E-3</c:v>
                </c:pt>
                <c:pt idx="7">
                  <c:v>4.4035470922943049E-3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9.1219791323633448E-3</c:v>
                </c:pt>
                <c:pt idx="1">
                  <c:v>1.5304731105291042E-2</c:v>
                </c:pt>
                <c:pt idx="2">
                  <c:v>1.7278759279569469E-2</c:v>
                </c:pt>
                <c:pt idx="3">
                  <c:v>5.9522228086695966E-3</c:v>
                </c:pt>
                <c:pt idx="4">
                  <c:v>1.3708045364351676E-2</c:v>
                </c:pt>
                <c:pt idx="5">
                  <c:v>3.6629193396434945E-3</c:v>
                </c:pt>
                <c:pt idx="6">
                  <c:v>4.0559344960348909E-3</c:v>
                </c:pt>
                <c:pt idx="7">
                  <c:v>4.0598174442186344E-3</c:v>
                </c:pt>
              </c:numCache>
            </c:numRef>
          </c:val>
        </c:ser>
        <c:overlap val="100"/>
        <c:axId val="398506624"/>
        <c:axId val="39851289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0.00%</c:formatCode>
                <c:ptCount val="8"/>
                <c:pt idx="0">
                  <c:v>0.55282478375024968</c:v>
                </c:pt>
                <c:pt idx="1">
                  <c:v>9.9075500713263709E-2</c:v>
                </c:pt>
                <c:pt idx="2">
                  <c:v>9.346901390128548E-2</c:v>
                </c:pt>
                <c:pt idx="3">
                  <c:v>0.11036511115690795</c:v>
                </c:pt>
                <c:pt idx="4">
                  <c:v>4.9724653199130588E-2</c:v>
                </c:pt>
                <c:pt idx="5">
                  <c:v>1.9027140584823948E-2</c:v>
                </c:pt>
                <c:pt idx="6">
                  <c:v>3.0988823352997075E-2</c:v>
                </c:pt>
                <c:pt idx="7">
                  <c:v>4.4524973341341555E-2</c:v>
                </c:pt>
              </c:numCache>
            </c:numRef>
          </c:val>
        </c:ser>
        <c:marker val="1"/>
        <c:axId val="398506624"/>
        <c:axId val="398512896"/>
      </c:lineChart>
      <c:catAx>
        <c:axId val="398506624"/>
        <c:scaling>
          <c:orientation val="minMax"/>
        </c:scaling>
        <c:axPos val="b"/>
        <c:tickLblPos val="nextTo"/>
        <c:crossAx val="398512896"/>
        <c:crosses val="autoZero"/>
        <c:auto val="1"/>
        <c:lblAlgn val="ctr"/>
        <c:lblOffset val="100"/>
      </c:catAx>
      <c:valAx>
        <c:axId val="398512896"/>
        <c:scaling>
          <c:orientation val="minMax"/>
        </c:scaling>
        <c:axPos val="l"/>
        <c:majorGridlines/>
        <c:numFmt formatCode="0%" sourceLinked="0"/>
        <c:tickLblPos val="nextTo"/>
        <c:crossAx val="39850662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59"/>
          <c:w val="0.5562682138416909"/>
          <c:h val="0.692582184133046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0.57339020469276714</c:v>
                </c:pt>
                <c:pt idx="1">
                  <c:v>8.517733472513811E-2</c:v>
                </c:pt>
                <c:pt idx="2">
                  <c:v>0.10002617308854149</c:v>
                </c:pt>
                <c:pt idx="3">
                  <c:v>8.6256782361480502E-2</c:v>
                </c:pt>
                <c:pt idx="4">
                  <c:v>6.6248653389072085E-2</c:v>
                </c:pt>
                <c:pt idx="5">
                  <c:v>1.7105799751665905E-2</c:v>
                </c:pt>
                <c:pt idx="6">
                  <c:v>2.8385429599375185E-2</c:v>
                </c:pt>
                <c:pt idx="7">
                  <c:v>4.3409622391959328E-2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IC'!$D$195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IC'!$D$196:$D$203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IC'!$E$195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IC'!$E$196:$E$203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98384128"/>
        <c:axId val="398390016"/>
      </c:barChart>
      <c:catAx>
        <c:axId val="398384128"/>
        <c:scaling>
          <c:orientation val="minMax"/>
        </c:scaling>
        <c:axPos val="l"/>
        <c:tickLblPos val="nextTo"/>
        <c:crossAx val="398390016"/>
        <c:crosses val="autoZero"/>
        <c:auto val="1"/>
        <c:lblAlgn val="ctr"/>
        <c:lblOffset val="100"/>
      </c:catAx>
      <c:valAx>
        <c:axId val="398390016"/>
        <c:scaling>
          <c:orientation val="minMax"/>
        </c:scaling>
        <c:axPos val="b"/>
        <c:majorGridlines/>
        <c:numFmt formatCode="0.0%" sourceLinked="1"/>
        <c:tickLblPos val="nextTo"/>
        <c:crossAx val="39838412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46539267229392201"/>
          <c:y val="2.2888685473957213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417"/>
          <c:y val="5.1400554097404488E-2"/>
          <c:w val="0.82164348206474902"/>
          <c:h val="0.8213732137649461"/>
        </c:manualLayout>
      </c:layout>
      <c:scatterChart>
        <c:scatterStyle val="lineMarker"/>
        <c:ser>
          <c:idx val="0"/>
          <c:order val="0"/>
          <c:tx>
            <c:v>evenwicht</c:v>
          </c:tx>
          <c:spPr>
            <a:ln w="28575">
              <a:noFill/>
            </a:ln>
          </c:spPr>
          <c:dLbls>
            <c:dLbl>
              <c:idx val="0"/>
              <c:layout>
                <c:manualLayout>
                  <c:x val="2.2925923573656288E-3"/>
                  <c:y val="-2.093475271092919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2.9267566437338667E-2"/>
                  <c:y val="-5.7823089876890818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7.4067765714299863E-2"/>
                  <c:y val="1.8910961589052824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963300376201249"/>
                  <c:y val="2.1797292668660203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1.1987411018905302E-3"/>
                  <c:y val="-6.8002196299113641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1.3705789892028159E-3"/>
                  <c:y val="4.8181936007252596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1.8733079123236427E-3"/>
                  <c:y val="1.1191455951559761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4.8749721278946914E-3"/>
                  <c:y val="2.8709188524677753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txPr>
              <a:bodyPr/>
              <a:lstStyle/>
              <a:p>
                <a:pPr>
                  <a:defRPr baseline="0">
                    <a:solidFill>
                      <a:schemeClr val="accent1"/>
                    </a:solidFill>
                  </a:defRPr>
                </a:pPr>
                <a:endParaRPr lang="nl-NL"/>
              </a:p>
            </c:tx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IC'!$J$3:$J$10</c:f>
              <c:numCache>
                <c:formatCode>0.0%</c:formatCode>
                <c:ptCount val="8"/>
                <c:pt idx="0">
                  <c:v>3.8327320576542839E-2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3.1392347703607063E-2</c:v>
                </c:pt>
                <c:pt idx="3">
                  <c:v>5.5586945104648379E-2</c:v>
                </c:pt>
                <c:pt idx="4">
                  <c:v>5.4126209330308192E-2</c:v>
                </c:pt>
                <c:pt idx="5">
                  <c:v>5.1749106701455286E-2</c:v>
                </c:pt>
                <c:pt idx="6">
                  <c:v>2.8567108921173753E-2</c:v>
                </c:pt>
                <c:pt idx="7">
                  <c:v>3.8735949538907542E-2</c:v>
                </c:pt>
              </c:numCache>
            </c:numRef>
          </c:yVal>
        </c:ser>
        <c:ser>
          <c:idx val="1"/>
          <c:order val="1"/>
          <c:tx>
            <c:v>base case</c:v>
          </c:tx>
          <c:spPr>
            <a:ln w="28575">
              <a:noFill/>
            </a:ln>
          </c:spPr>
          <c:marker>
            <c:symbol val="diamond"/>
            <c:size val="12"/>
          </c:marker>
          <c:dLbls>
            <c:dLbl>
              <c:idx val="0"/>
              <c:layout>
                <c:manualLayout>
                  <c:x val="-2.6188094026392678E-2"/>
                  <c:y val="4.612318931866831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1.7458729350929081E-3"/>
                  <c:y val="1.153079732966715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200" baseline="0"/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0"/>
                  <c:y val="-3.170969265658448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1200" baseline="0"/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6.9834917403714131E-3"/>
                  <c:y val="-1.153079732966715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edge Funds</a:t>
                    </a:r>
                  </a:p>
                </c:rich>
              </c:tx>
              <c:showVal val="1"/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1200" baseline="0"/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1200" baseline="0"/>
                </a:pPr>
                <a:endParaRPr lang="nl-NL"/>
              </a:p>
            </c:txPr>
            <c:showVal val="1"/>
          </c:dLbls>
          <c:xVal>
            <c:numRef>
              <c:f>'output IC'!$J$3:$J$10</c:f>
              <c:numCache>
                <c:formatCode>0.0%</c:formatCode>
                <c:ptCount val="8"/>
                <c:pt idx="0">
                  <c:v>3.8327320576542839E-2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IC'!$D$3:$D$10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2.821524342416672E-2</c:v>
                </c:pt>
                <c:pt idx="2">
                  <c:v>4.9715877116872115E-2</c:v>
                </c:pt>
                <c:pt idx="3">
                  <c:v>-1.8932480826239766E-2</c:v>
                </c:pt>
                <c:pt idx="4">
                  <c:v>7.6891594824893134E-2</c:v>
                </c:pt>
                <c:pt idx="5">
                  <c:v>2.095392217212597E-2</c:v>
                </c:pt>
                <c:pt idx="6">
                  <c:v>1.380587420653143E-2</c:v>
                </c:pt>
                <c:pt idx="7">
                  <c:v>2.0067539862887711E-2</c:v>
                </c:pt>
              </c:numCache>
            </c:numRef>
          </c:yVal>
        </c:ser>
        <c:axId val="398573568"/>
        <c:axId val="398575488"/>
      </c:scatterChart>
      <c:valAx>
        <c:axId val="39857356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 sz="1300" baseline="0"/>
                </a:pPr>
                <a:r>
                  <a:rPr lang="en-US" sz="1300" baseline="0"/>
                  <a:t>Volatility</a:t>
                </a:r>
              </a:p>
            </c:rich>
          </c:tx>
          <c:layout>
            <c:manualLayout>
              <c:xMode val="edge"/>
              <c:yMode val="edge"/>
              <c:x val="0.65615582551779383"/>
              <c:y val="0.9143162960411767"/>
            </c:manualLayout>
          </c:layout>
        </c:title>
        <c:numFmt formatCode="0%" sourceLinked="0"/>
        <c:tickLblPos val="nextTo"/>
        <c:crossAx val="398575488"/>
        <c:crossesAt val="-4.0000000000000022E-2"/>
        <c:crossBetween val="midCat"/>
      </c:valAx>
      <c:valAx>
        <c:axId val="398575488"/>
        <c:scaling>
          <c:orientation val="minMax"/>
          <c:min val="-4.0000000000000022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300" b="1" i="0" baseline="0"/>
                </a:pPr>
                <a:r>
                  <a:rPr lang="en-US" sz="1300" b="1" i="0" baseline="0"/>
                  <a:t>Overrendement</a:t>
                </a:r>
              </a:p>
            </c:rich>
          </c:tx>
        </c:title>
        <c:numFmt formatCode="0%" sourceLinked="0"/>
        <c:tickLblPos val="nextTo"/>
        <c:crossAx val="398573568"/>
        <c:crosses val="autoZero"/>
        <c:crossBetween val="midCat"/>
      </c:valAx>
    </c:plotArea>
    <c:legend>
      <c:legendPos val="tr"/>
      <c:legendEntry>
        <c:idx val="2"/>
        <c:delete val="1"/>
      </c:legendEntry>
      <c:layout>
        <c:manualLayout>
          <c:xMode val="edge"/>
          <c:yMode val="edge"/>
          <c:x val="0.8568781601100266"/>
          <c:y val="0.53330637154320026"/>
          <c:w val="8.8877338137349812E-2"/>
          <c:h val="8.2778823388200057E-2"/>
        </c:manualLayout>
      </c:layout>
      <c:spPr>
        <a:solidFill>
          <a:sysClr val="window" lastClr="FFFFFF"/>
        </a:solidFill>
        <a:ln>
          <a:solidFill>
            <a:sysClr val="windowText" lastClr="000000">
              <a:shade val="95000"/>
              <a:satMod val="105000"/>
            </a:sysClr>
          </a:solidFill>
        </a:ln>
      </c:spPr>
    </c:legend>
    <c:plotVisOnly val="1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IC'!$H$195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IC'!$H$196:$H$203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IC'!$I$195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IC'!$I$196:$I$203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2.821524342416672E-2</c:v>
                </c:pt>
                <c:pt idx="2">
                  <c:v>4.9715877116872115E-2</c:v>
                </c:pt>
                <c:pt idx="3">
                  <c:v>-1.8932480826239766E-2</c:v>
                </c:pt>
                <c:pt idx="4">
                  <c:v>7.6891594824893134E-2</c:v>
                </c:pt>
                <c:pt idx="5">
                  <c:v>2.095392217212597E-2</c:v>
                </c:pt>
                <c:pt idx="6">
                  <c:v>1.380587420653143E-2</c:v>
                </c:pt>
                <c:pt idx="7">
                  <c:v>2.0067539862887711E-2</c:v>
                </c:pt>
              </c:numCache>
            </c:numRef>
          </c:val>
        </c:ser>
        <c:axId val="398612352"/>
        <c:axId val="398613888"/>
      </c:barChart>
      <c:catAx>
        <c:axId val="398612352"/>
        <c:scaling>
          <c:orientation val="minMax"/>
        </c:scaling>
        <c:axPos val="l"/>
        <c:tickLblPos val="none"/>
        <c:crossAx val="398613888"/>
        <c:crosses val="autoZero"/>
        <c:auto val="1"/>
        <c:lblAlgn val="ctr"/>
        <c:lblOffset val="100"/>
      </c:catAx>
      <c:valAx>
        <c:axId val="398613888"/>
        <c:scaling>
          <c:orientation val="minMax"/>
        </c:scaling>
        <c:axPos val="b"/>
        <c:majorGridlines/>
        <c:numFmt formatCode="0.0%" sourceLinked="1"/>
        <c:tickLblPos val="nextTo"/>
        <c:crossAx val="398612352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IC'!$K$195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IC'!$K$196:$K$203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-0.29522023448510448</c:v>
                </c:pt>
                <c:pt idx="2">
                  <c:v>6.9162591375635629E-2</c:v>
                </c:pt>
                <c:pt idx="3">
                  <c:v>-0.20416543288383174</c:v>
                </c:pt>
                <c:pt idx="4">
                  <c:v>-0.15003557868125147</c:v>
                </c:pt>
                <c:pt idx="5">
                  <c:v>-0.10901166161223171</c:v>
                </c:pt>
                <c:pt idx="6">
                  <c:v>-0.43789862932231632</c:v>
                </c:pt>
                <c:pt idx="7">
                  <c:v>-0.29750670106956317</c:v>
                </c:pt>
              </c:numCache>
            </c:numRef>
          </c:val>
        </c:ser>
        <c:ser>
          <c:idx val="1"/>
          <c:order val="1"/>
          <c:tx>
            <c:strRef>
              <c:f>'output IC'!$L$195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IC'!$L$196:$L$203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0.17925363876292053</c:v>
                </c:pt>
                <c:pt idx="2">
                  <c:v>0.30964886237613504</c:v>
                </c:pt>
                <c:pt idx="3">
                  <c:v>-6.6470051050105589E-2</c:v>
                </c:pt>
                <c:pt idx="4">
                  <c:v>0.26435192034121902</c:v>
                </c:pt>
                <c:pt idx="5">
                  <c:v>6.3956075460608705E-2</c:v>
                </c:pt>
                <c:pt idx="6">
                  <c:v>8.7386366230488149E-2</c:v>
                </c:pt>
                <c:pt idx="7">
                  <c:v>0.10227167572614701</c:v>
                </c:pt>
              </c:numCache>
            </c:numRef>
          </c:val>
        </c:ser>
        <c:axId val="398651392"/>
        <c:axId val="398652928"/>
      </c:barChart>
      <c:catAx>
        <c:axId val="398651392"/>
        <c:scaling>
          <c:orientation val="minMax"/>
        </c:scaling>
        <c:axPos val="l"/>
        <c:tickLblPos val="high"/>
        <c:crossAx val="398652928"/>
        <c:crosses val="autoZero"/>
        <c:auto val="1"/>
        <c:lblAlgn val="ctr"/>
        <c:lblOffset val="100"/>
      </c:catAx>
      <c:valAx>
        <c:axId val="398652928"/>
        <c:scaling>
          <c:orientation val="minMax"/>
        </c:scaling>
        <c:axPos val="b"/>
        <c:majorGridlines/>
        <c:numFmt formatCode="#,##0.00_ ;\-#,##0.00\ " sourceLinked="1"/>
        <c:tickLblPos val="nextTo"/>
        <c:crossAx val="39865139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57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0.14784493042335947</c:v>
                </c:pt>
                <c:pt idx="1">
                  <c:v>0.17918798719213261</c:v>
                </c:pt>
                <c:pt idx="2">
                  <c:v>0.18295728536537784</c:v>
                </c:pt>
                <c:pt idx="3">
                  <c:v>0.11464312290194553</c:v>
                </c:pt>
                <c:pt idx="4">
                  <c:v>2.7855509100830532E-2</c:v>
                </c:pt>
                <c:pt idx="5">
                  <c:v>5.2787608598382892E-2</c:v>
                </c:pt>
                <c:pt idx="6">
                  <c:v>8.8460353189925192E-2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5.1289067216481049E-2</c:v>
                </c:pt>
                <c:pt idx="1">
                  <c:v>5.4968834831455232E-2</c:v>
                </c:pt>
                <c:pt idx="2">
                  <c:v>1.9331023335366015E-2</c:v>
                </c:pt>
                <c:pt idx="3">
                  <c:v>4.1288260120793702E-2</c:v>
                </c:pt>
                <c:pt idx="4">
                  <c:v>1.2270391047730117E-2</c:v>
                </c:pt>
                <c:pt idx="5">
                  <c:v>1.3756723252850385E-2</c:v>
                </c:pt>
                <c:pt idx="6">
                  <c:v>1.33589034233694E-2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4.9488892835403753E-2</c:v>
                </c:pt>
                <c:pt idx="1">
                  <c:v>5.9895122820978808E-2</c:v>
                </c:pt>
                <c:pt idx="2">
                  <c:v>2.0509932948600679E-2</c:v>
                </c:pt>
                <c:pt idx="3">
                  <c:v>4.3919014470085671E-2</c:v>
                </c:pt>
                <c:pt idx="4">
                  <c:v>1.4290963770483174E-2</c:v>
                </c:pt>
                <c:pt idx="5">
                  <c:v>1.5713975764634736E-2</c:v>
                </c:pt>
                <c:pt idx="6">
                  <c:v>1.4038780656959071E-2</c:v>
                </c:pt>
              </c:numCache>
            </c:numRef>
          </c:val>
        </c:ser>
        <c:overlap val="100"/>
        <c:axId val="398683520"/>
        <c:axId val="39870617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0.22155856834858528</c:v>
                </c:pt>
                <c:pt idx="1">
                  <c:v>0.2090210067659081</c:v>
                </c:pt>
                <c:pt idx="2">
                  <c:v>0.24680507135992147</c:v>
                </c:pt>
                <c:pt idx="3">
                  <c:v>0.11119724750434076</c:v>
                </c:pt>
                <c:pt idx="4">
                  <c:v>4.2549631315428632E-2</c:v>
                </c:pt>
                <c:pt idx="5">
                  <c:v>6.9299062709436046E-2</c:v>
                </c:pt>
                <c:pt idx="6">
                  <c:v>9.9569411996379656E-2</c:v>
                </c:pt>
              </c:numCache>
            </c:numRef>
          </c:val>
        </c:ser>
        <c:marker val="1"/>
        <c:axId val="398683520"/>
        <c:axId val="398706176"/>
      </c:lineChart>
      <c:catAx>
        <c:axId val="398683520"/>
        <c:scaling>
          <c:orientation val="minMax"/>
        </c:scaling>
        <c:axPos val="b"/>
        <c:numFmt formatCode="General" sourceLinked="1"/>
        <c:tickLblPos val="nextTo"/>
        <c:crossAx val="398706176"/>
        <c:crosses val="autoZero"/>
        <c:auto val="1"/>
        <c:lblAlgn val="ctr"/>
        <c:lblOffset val="100"/>
      </c:catAx>
      <c:valAx>
        <c:axId val="398706176"/>
        <c:scaling>
          <c:orientation val="minMax"/>
        </c:scaling>
        <c:axPos val="l"/>
        <c:majorGridlines/>
        <c:numFmt formatCode="0%" sourceLinked="0"/>
        <c:tickLblPos val="nextTo"/>
        <c:crossAx val="39868352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76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417"/>
          <c:y val="5.1400554097404488E-2"/>
          <c:w val="0.821643482064749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89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IC'!$J$196:$J$203</c:f>
              <c:numCache>
                <c:formatCode>0.0%</c:formatCode>
                <c:ptCount val="8"/>
                <c:pt idx="0">
                  <c:v>0.1023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IC'!$I$196:$I$203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2.821524342416672E-2</c:v>
                </c:pt>
                <c:pt idx="2">
                  <c:v>4.9715877116872115E-2</c:v>
                </c:pt>
                <c:pt idx="3">
                  <c:v>-1.8932480826239766E-2</c:v>
                </c:pt>
                <c:pt idx="4">
                  <c:v>7.6891594824893134E-2</c:v>
                </c:pt>
                <c:pt idx="5">
                  <c:v>2.095392217212597E-2</c:v>
                </c:pt>
                <c:pt idx="6">
                  <c:v>1.380587420653143E-2</c:v>
                </c:pt>
                <c:pt idx="7">
                  <c:v>2.0067539862887711E-2</c:v>
                </c:pt>
              </c:numCache>
            </c:numRef>
          </c:yVal>
        </c:ser>
        <c:axId val="419465088"/>
        <c:axId val="419454976"/>
      </c:scatterChart>
      <c:valAx>
        <c:axId val="41946508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623"/>
            </c:manualLayout>
          </c:layout>
        </c:title>
        <c:numFmt formatCode="0%" sourceLinked="0"/>
        <c:tickLblPos val="nextTo"/>
        <c:crossAx val="419454976"/>
        <c:crosses val="autoZero"/>
        <c:crossBetween val="midCat"/>
      </c:valAx>
      <c:valAx>
        <c:axId val="4194549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19465088"/>
        <c:crosses val="autoZero"/>
        <c:crossBetween val="midCat"/>
      </c:valAx>
    </c:plotArea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  <a:r>
              <a:rPr lang="nl-NL" sz="1800" b="1" i="0" u="none" strike="noStrike" baseline="0"/>
              <a:t> </a:t>
            </a:r>
            <a:endParaRPr lang="nl-NL"/>
          </a:p>
        </c:rich>
      </c:tx>
      <c:layout>
        <c:manualLayout>
          <c:xMode val="edge"/>
          <c:yMode val="edge"/>
          <c:x val="9.5235958753018667E-4"/>
          <c:y val="4.6296296296296502E-3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analyze'!$B$10:$B$17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66951836148686539"/>
          <c:y val="1.7532808398950193E-2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analyze'!$C$10:$C$17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autoTitleDeleted val="1"/>
    <c:plotArea>
      <c:layout/>
      <c:pieChart>
        <c:varyColors val="1"/>
        <c:ser>
          <c:idx val="0"/>
          <c:order val="0"/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analyze'!$C$10:$C$17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firstSliceAng val="0"/>
      </c:pieChart>
    </c:plotArea>
    <c:legend>
      <c:legendPos val="b"/>
      <c:layout>
        <c:manualLayout>
          <c:xMode val="edge"/>
          <c:yMode val="edge"/>
          <c:x val="8.3125267910103065E-2"/>
          <c:y val="8.2949983364755453E-2"/>
          <c:w val="0.83374946417979834"/>
          <c:h val="0.45695611992162982"/>
        </c:manualLayout>
      </c:layout>
      <c:spPr>
        <a:solidFill>
          <a:schemeClr val="bg1"/>
        </a:solidFill>
      </c:spPr>
      <c:txPr>
        <a:bodyPr/>
        <a:lstStyle/>
        <a:p>
          <a:pPr rtl="0">
            <a:defRPr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0.12586592300962368"/>
          <c:y val="0.16658543698297912"/>
          <c:w val="0.84357852143482071"/>
          <c:h val="0.52385151043111611"/>
        </c:manualLayout>
      </c:layout>
      <c:barChart>
        <c:barDir val="col"/>
        <c:grouping val="stacked"/>
        <c:ser>
          <c:idx val="0"/>
          <c:order val="0"/>
          <c:spPr>
            <a:noFill/>
            <a:ln>
              <a:noFill/>
            </a:ln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analyze'!$E$10:$E$17</c:f>
              <c:numCache>
                <c:formatCode>0.00%</c:formatCode>
                <c:ptCount val="8"/>
                <c:pt idx="0" formatCode="General">
                  <c:v>0</c:v>
                </c:pt>
                <c:pt idx="1">
                  <c:v>1.4756554714979015E-2</c:v>
                </c:pt>
                <c:pt idx="2">
                  <c:v>2.8969409009422228E-2</c:v>
                </c:pt>
                <c:pt idx="3">
                  <c:v>4.3407824388982212E-2</c:v>
                </c:pt>
                <c:pt idx="4">
                  <c:v>6.9586354752018964E-2</c:v>
                </c:pt>
                <c:pt idx="5">
                  <c:v>8.2472295285344041E-2</c:v>
                </c:pt>
                <c:pt idx="6">
                  <c:v>8.7107694541058198E-2</c:v>
                </c:pt>
                <c:pt idx="7">
                  <c:v>9.1425777197242902E-2</c:v>
                </c:pt>
              </c:numCache>
            </c:numRef>
          </c:val>
        </c:ser>
        <c:ser>
          <c:idx val="1"/>
          <c:order val="1"/>
          <c:spPr>
            <a:solidFill>
              <a:srgbClr val="002060"/>
            </a:solidFill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analyze'!$F$10:$F$17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overlap val="100"/>
        <c:axId val="419428992"/>
        <c:axId val="420692352"/>
      </c:barChart>
      <c:catAx>
        <c:axId val="419428992"/>
        <c:scaling>
          <c:orientation val="minMax"/>
        </c:scaling>
        <c:axPos val="b"/>
        <c:tickLblPos val="nextTo"/>
        <c:crossAx val="420692352"/>
        <c:crosses val="autoZero"/>
        <c:auto val="1"/>
        <c:lblAlgn val="ctr"/>
        <c:lblOffset val="100"/>
      </c:catAx>
      <c:valAx>
        <c:axId val="420692352"/>
        <c:scaling>
          <c:orientation val="minMax"/>
        </c:scaling>
        <c:axPos val="l"/>
        <c:majorGridlines/>
        <c:numFmt formatCode="General" sourceLinked="1"/>
        <c:tickLblPos val="nextTo"/>
        <c:crossAx val="4194289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0.12586592300962368"/>
          <c:y val="0.16658543698297923"/>
          <c:w val="0.84357852143482071"/>
          <c:h val="0.52385151043111633"/>
        </c:manualLayout>
      </c:layout>
      <c:barChart>
        <c:barDir val="col"/>
        <c:grouping val="stacked"/>
        <c:ser>
          <c:idx val="0"/>
          <c:order val="0"/>
          <c:spPr>
            <a:noFill/>
            <a:ln>
              <a:noFill/>
            </a:ln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analyze'!$H$10:$H$17</c:f>
              <c:numCache>
                <c:formatCode>0.00%</c:formatCode>
                <c:ptCount val="8"/>
                <c:pt idx="0" formatCode="General">
                  <c:v>0</c:v>
                </c:pt>
                <c:pt idx="1">
                  <c:v>1.5220718103759889E-2</c:v>
                </c:pt>
                <c:pt idx="2">
                  <c:v>2.5751260978829932E-2</c:v>
                </c:pt>
                <c:pt idx="3">
                  <c:v>4.0924854873741444E-2</c:v>
                </c:pt>
                <c:pt idx="4">
                  <c:v>6.0352707790396337E-2</c:v>
                </c:pt>
                <c:pt idx="5">
                  <c:v>8.163025021394632E-2</c:v>
                </c:pt>
                <c:pt idx="6">
                  <c:v>8.6316350130660122E-2</c:v>
                </c:pt>
                <c:pt idx="7">
                  <c:v>9.058095319950521E-2</c:v>
                </c:pt>
              </c:numCache>
            </c:numRef>
          </c:val>
        </c:ser>
        <c:ser>
          <c:idx val="1"/>
          <c:order val="1"/>
          <c:spPr>
            <a:solidFill>
              <a:srgbClr val="002060"/>
            </a:solidFill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analyze'!$I$10:$I$17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overlap val="100"/>
        <c:axId val="419561856"/>
        <c:axId val="419563392"/>
      </c:barChart>
      <c:catAx>
        <c:axId val="419561856"/>
        <c:scaling>
          <c:orientation val="minMax"/>
        </c:scaling>
        <c:axPos val="b"/>
        <c:tickLblPos val="nextTo"/>
        <c:crossAx val="419563392"/>
        <c:crosses val="autoZero"/>
        <c:auto val="1"/>
        <c:lblAlgn val="ctr"/>
        <c:lblOffset val="100"/>
      </c:catAx>
      <c:valAx>
        <c:axId val="419563392"/>
        <c:scaling>
          <c:orientation val="minMax"/>
        </c:scaling>
        <c:axPos val="l"/>
        <c:majorGridlines/>
        <c:numFmt formatCode="General" sourceLinked="1"/>
        <c:tickLblPos val="nextTo"/>
        <c:crossAx val="4195618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chart" Target="../charts/chart30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image" Target="../media/image1.png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616045</xdr:colOff>
      <xdr:row>5</xdr:row>
      <xdr:rowOff>17089</xdr:rowOff>
    </xdr:from>
    <xdr:to>
      <xdr:col>48</xdr:col>
      <xdr:colOff>443473</xdr:colOff>
      <xdr:row>26</xdr:row>
      <xdr:rowOff>62471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201705</xdr:colOff>
      <xdr:row>19</xdr:row>
      <xdr:rowOff>58832</xdr:rowOff>
    </xdr:from>
    <xdr:to>
      <xdr:col>38</xdr:col>
      <xdr:colOff>602315</xdr:colOff>
      <xdr:row>26</xdr:row>
      <xdr:rowOff>108698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321609</xdr:colOff>
      <xdr:row>206</xdr:row>
      <xdr:rowOff>73958</xdr:rowOff>
    </xdr:from>
    <xdr:to>
      <xdr:col>5</xdr:col>
      <xdr:colOff>35859</xdr:colOff>
      <xdr:row>223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31937</xdr:colOff>
      <xdr:row>104</xdr:row>
      <xdr:rowOff>65553</xdr:rowOff>
    </xdr:from>
    <xdr:to>
      <xdr:col>10</xdr:col>
      <xdr:colOff>156883</xdr:colOff>
      <xdr:row>133</xdr:row>
      <xdr:rowOff>89646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1210234</xdr:colOff>
      <xdr:row>206</xdr:row>
      <xdr:rowOff>22412</xdr:rowOff>
    </xdr:from>
    <xdr:to>
      <xdr:col>10</xdr:col>
      <xdr:colOff>930087</xdr:colOff>
      <xdr:row>221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1019735</xdr:colOff>
      <xdr:row>206</xdr:row>
      <xdr:rowOff>56031</xdr:rowOff>
    </xdr:from>
    <xdr:to>
      <xdr:col>13</xdr:col>
      <xdr:colOff>705971</xdr:colOff>
      <xdr:row>222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136</xdr:row>
      <xdr:rowOff>0</xdr:rowOff>
    </xdr:from>
    <xdr:to>
      <xdr:col>5</xdr:col>
      <xdr:colOff>471769</xdr:colOff>
      <xdr:row>154</xdr:row>
      <xdr:rowOff>14567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157</xdr:row>
      <xdr:rowOff>0</xdr:rowOff>
    </xdr:from>
    <xdr:to>
      <xdr:col>5</xdr:col>
      <xdr:colOff>395567</xdr:colOff>
      <xdr:row>169</xdr:row>
      <xdr:rowOff>165847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923925</xdr:colOff>
      <xdr:row>21</xdr:row>
      <xdr:rowOff>28575</xdr:rowOff>
    </xdr:from>
    <xdr:to>
      <xdr:col>5</xdr:col>
      <xdr:colOff>200025</xdr:colOff>
      <xdr:row>35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400050</xdr:colOff>
      <xdr:row>21</xdr:row>
      <xdr:rowOff>9524</xdr:rowOff>
    </xdr:from>
    <xdr:to>
      <xdr:col>11</xdr:col>
      <xdr:colOff>85725</xdr:colOff>
      <xdr:row>35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190501</xdr:colOff>
      <xdr:row>34</xdr:row>
      <xdr:rowOff>95250</xdr:rowOff>
    </xdr:from>
    <xdr:to>
      <xdr:col>10</xdr:col>
      <xdr:colOff>142875</xdr:colOff>
      <xdr:row>40</xdr:row>
      <xdr:rowOff>19049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485775</xdr:colOff>
      <xdr:row>1</xdr:row>
      <xdr:rowOff>38100</xdr:rowOff>
    </xdr:from>
    <xdr:to>
      <xdr:col>18</xdr:col>
      <xdr:colOff>180975</xdr:colOff>
      <xdr:row>19</xdr:row>
      <xdr:rowOff>123825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314325</xdr:colOff>
      <xdr:row>1</xdr:row>
      <xdr:rowOff>38100</xdr:rowOff>
    </xdr:from>
    <xdr:to>
      <xdr:col>26</xdr:col>
      <xdr:colOff>9525</xdr:colOff>
      <xdr:row>19</xdr:row>
      <xdr:rowOff>123825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 refreshError="1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abSelected="1" zoomScale="85" zoomScaleNormal="85" workbookViewId="0">
      <selection activeCell="F18" sqref="F18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82" t="s">
        <v>93</v>
      </c>
      <c r="D1" s="382"/>
      <c r="E1" s="383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379">
        <v>0.55282478375024968</v>
      </c>
      <c r="C3" s="299">
        <v>0.55000000000000004</v>
      </c>
      <c r="D3" s="218">
        <v>0.65</v>
      </c>
      <c r="E3" s="145">
        <v>0.99</v>
      </c>
      <c r="F3" s="144">
        <f>'Samenvatting mixen'!B81</f>
        <v>0.57339020469276714</v>
      </c>
      <c r="G3" s="144">
        <f>+F3-B3</f>
        <v>2.0565420942517454E-2</v>
      </c>
      <c r="H3" s="301"/>
    </row>
    <row r="4" spans="1:24">
      <c r="A4" s="143" t="str">
        <f>Scenarios!A5</f>
        <v>High Yield</v>
      </c>
      <c r="B4" s="379">
        <v>9.9075500713263709E-2</v>
      </c>
      <c r="C4" s="299">
        <v>0.05</v>
      </c>
      <c r="D4" s="346">
        <v>0.15</v>
      </c>
      <c r="E4" s="145">
        <v>0.99</v>
      </c>
      <c r="F4" s="144">
        <f>'Samenvatting mixen'!B82</f>
        <v>8.517733472513811E-2</v>
      </c>
      <c r="G4" s="144">
        <f t="shared" ref="G4:G10" si="0">+F4-B4</f>
        <v>-1.3898165988125599E-2</v>
      </c>
      <c r="H4" s="302"/>
      <c r="W4" s="133" t="str">
        <f>A4</f>
        <v>High Yield</v>
      </c>
      <c r="X4" s="134">
        <f>B4/SUM($B$4:$B$10)</f>
        <v>0.22155856834858528</v>
      </c>
    </row>
    <row r="5" spans="1:24">
      <c r="A5" s="143" t="str">
        <f>Scenarios!A6</f>
        <v>Emerging market debt</v>
      </c>
      <c r="B5" s="379">
        <v>9.346901390128548E-2</v>
      </c>
      <c r="C5" s="299">
        <v>0.05</v>
      </c>
      <c r="D5" s="218">
        <v>0.15</v>
      </c>
      <c r="E5" s="145">
        <v>0.99</v>
      </c>
      <c r="F5" s="144">
        <f>'Samenvatting mixen'!B83</f>
        <v>0.10002617308854149</v>
      </c>
      <c r="G5" s="144">
        <f t="shared" si="0"/>
        <v>6.5571591872560092E-3</v>
      </c>
      <c r="W5" s="133" t="str">
        <f t="shared" ref="W5:W10" si="1">A5</f>
        <v>Emerging market debt</v>
      </c>
      <c r="X5" s="134">
        <f t="shared" ref="X5:X10" si="2">B5/SUM($B$4:$B$10)</f>
        <v>0.2090210067659081</v>
      </c>
    </row>
    <row r="6" spans="1:24">
      <c r="A6" s="143" t="str">
        <f>Scenarios!A7</f>
        <v>Aandelen ontwikkeld</v>
      </c>
      <c r="B6" s="379">
        <v>0.11036511115690795</v>
      </c>
      <c r="C6" s="299">
        <v>7.4999999999999997E-2</v>
      </c>
      <c r="D6" s="346">
        <v>0.3</v>
      </c>
      <c r="E6" s="145">
        <v>0.99</v>
      </c>
      <c r="F6" s="144">
        <f>'Samenvatting mixen'!B84</f>
        <v>8.6256782361480502E-2</v>
      </c>
      <c r="G6" s="144">
        <f t="shared" si="0"/>
        <v>-2.4108328795427444E-2</v>
      </c>
      <c r="H6" s="301"/>
      <c r="W6" s="133" t="str">
        <f t="shared" si="1"/>
        <v>Aandelen ontwikkeld</v>
      </c>
      <c r="X6" s="134">
        <f t="shared" si="2"/>
        <v>0.24680507135992147</v>
      </c>
    </row>
    <row r="7" spans="1:24">
      <c r="A7" s="143" t="str">
        <f>Scenarios!A8</f>
        <v>Aandelen opkomend</v>
      </c>
      <c r="B7" s="379">
        <v>4.9724653199130588E-2</v>
      </c>
      <c r="C7" s="299">
        <v>2.5000000000000001E-2</v>
      </c>
      <c r="D7" s="346">
        <v>0.1</v>
      </c>
      <c r="E7" s="145">
        <v>0.99</v>
      </c>
      <c r="F7" s="144">
        <f>'Samenvatting mixen'!B85</f>
        <v>6.6248653389072085E-2</v>
      </c>
      <c r="G7" s="144">
        <f t="shared" si="0"/>
        <v>1.6524000189941497E-2</v>
      </c>
      <c r="H7" s="301"/>
      <c r="W7" s="133" t="str">
        <f t="shared" si="1"/>
        <v>Aandelen opkomend</v>
      </c>
      <c r="X7" s="134">
        <f t="shared" si="2"/>
        <v>0.11119724750434076</v>
      </c>
    </row>
    <row r="8" spans="1:24">
      <c r="A8" s="143" t="str">
        <f>Scenarios!A9</f>
        <v>Commodities</v>
      </c>
      <c r="B8" s="379">
        <v>1.9027140584823948E-2</v>
      </c>
      <c r="C8" s="299">
        <v>0.01</v>
      </c>
      <c r="D8" s="346">
        <v>0.03</v>
      </c>
      <c r="E8" s="145">
        <v>0.99</v>
      </c>
      <c r="F8" s="144">
        <f>'Samenvatting mixen'!B86</f>
        <v>1.7105799751665905E-2</v>
      </c>
      <c r="G8" s="144">
        <f t="shared" si="0"/>
        <v>-1.9213408331580431E-3</v>
      </c>
      <c r="H8" s="301"/>
      <c r="W8" s="133" t="str">
        <f t="shared" si="1"/>
        <v>Commodities</v>
      </c>
      <c r="X8" s="134">
        <f t="shared" si="2"/>
        <v>4.2549631315428632E-2</v>
      </c>
    </row>
    <row r="9" spans="1:24">
      <c r="A9" s="143" t="str">
        <f>Scenarios!A10</f>
        <v>Hedge funds</v>
      </c>
      <c r="B9" s="379">
        <v>3.0988823352997075E-2</v>
      </c>
      <c r="C9" s="299">
        <v>0.02</v>
      </c>
      <c r="D9" s="346">
        <v>0.04</v>
      </c>
      <c r="E9" s="145">
        <v>0.99</v>
      </c>
      <c r="F9" s="144">
        <f>'Samenvatting mixen'!B87</f>
        <v>2.8385429599375185E-2</v>
      </c>
      <c r="G9" s="144">
        <f t="shared" si="0"/>
        <v>-2.6033937536218896E-3</v>
      </c>
      <c r="W9" s="133" t="str">
        <f t="shared" si="1"/>
        <v>Hedge funds</v>
      </c>
      <c r="X9" s="134">
        <f t="shared" si="2"/>
        <v>6.9299062709436046E-2</v>
      </c>
    </row>
    <row r="10" spans="1:24" ht="15.75" thickBot="1">
      <c r="A10" s="139" t="str">
        <f>Scenarios!A11</f>
        <v>Onroerend goed</v>
      </c>
      <c r="B10" s="380">
        <v>4.4524973341341555E-2</v>
      </c>
      <c r="C10" s="300">
        <v>3.5000000000000003E-2</v>
      </c>
      <c r="D10" s="219">
        <v>5.5E-2</v>
      </c>
      <c r="E10" s="147">
        <v>0.99</v>
      </c>
      <c r="F10" s="146">
        <f>'Samenvatting mixen'!B88</f>
        <v>4.3409622391959328E-2</v>
      </c>
      <c r="G10" s="146">
        <f t="shared" si="0"/>
        <v>-1.1153509493822267E-3</v>
      </c>
      <c r="W10" s="133" t="str">
        <f t="shared" si="1"/>
        <v>Onroerend goed</v>
      </c>
      <c r="X10" s="134">
        <f t="shared" si="2"/>
        <v>9.9569411996379656E-2</v>
      </c>
    </row>
    <row r="11" spans="1:24" ht="15.75" thickBot="1">
      <c r="A11" s="148" t="s">
        <v>89</v>
      </c>
      <c r="B11" s="149">
        <f>Scenarios!C12</f>
        <v>9.5014385241780117E-2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141</v>
      </c>
      <c r="B15" s="330">
        <f t="array" ref="B15">+MMULT(TRANSPOSE(F3:F10),MMULT(k,F3:F10))^(0.5)</f>
        <v>9.1370092209609496E-2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378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381">
        <v>9.3074502522160901E-2</v>
      </c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9.5014385241780117E-2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84" t="s">
        <v>98</v>
      </c>
      <c r="C200" s="382"/>
      <c r="D200" s="382"/>
      <c r="E200" s="383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disablePrompts="1"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C4" sqref="C4:C1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86" t="s">
        <v>117</v>
      </c>
      <c r="F2" s="386"/>
      <c r="G2" s="386"/>
      <c r="H2" s="386"/>
      <c r="I2" s="386"/>
      <c r="J2" s="386"/>
      <c r="K2" s="386"/>
      <c r="L2" s="387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0.55282478375024968</v>
      </c>
      <c r="C4" s="178">
        <v>0</v>
      </c>
      <c r="D4" s="223">
        <v>3.8327320576542839E-2</v>
      </c>
      <c r="E4" s="220">
        <v>1</v>
      </c>
      <c r="F4" s="221">
        <v>0.3418544126049784</v>
      </c>
      <c r="G4" s="221">
        <v>0.32920370115226022</v>
      </c>
      <c r="H4" s="221">
        <v>9.8859848538283293E-2</v>
      </c>
      <c r="I4" s="221">
        <v>0.17199291666801578</v>
      </c>
      <c r="J4" s="221">
        <v>0.11635308708310647</v>
      </c>
      <c r="K4" s="221">
        <v>0.31533261335053236</v>
      </c>
      <c r="L4" s="222">
        <v>0.22382706166473479</v>
      </c>
      <c r="M4" s="3" t="s">
        <v>118</v>
      </c>
      <c r="N4" s="292"/>
      <c r="O4" s="367"/>
      <c r="S4" s="84"/>
      <c r="T4" s="6"/>
      <c r="U4" s="85"/>
    </row>
    <row r="5" spans="1:21">
      <c r="A5" s="102" t="s">
        <v>5</v>
      </c>
      <c r="B5" s="106">
        <f>'Control panel'!B4</f>
        <v>9.9075500713263709E-2</v>
      </c>
      <c r="C5" s="178">
        <v>0.03</v>
      </c>
      <c r="D5" s="223">
        <v>0.15740402046445473</v>
      </c>
      <c r="E5" s="223">
        <v>0.3418544126049784</v>
      </c>
      <c r="F5" s="224">
        <v>0.99999999999999978</v>
      </c>
      <c r="G5" s="224">
        <v>0.94415502841460053</v>
      </c>
      <c r="H5" s="224">
        <v>0.75643025620736359</v>
      </c>
      <c r="I5" s="224">
        <v>0.74460051775263425</v>
      </c>
      <c r="J5" s="224">
        <v>0.63042249533958317</v>
      </c>
      <c r="K5" s="224">
        <v>0.87087144487559465</v>
      </c>
      <c r="L5" s="225">
        <v>0.88503479579271971</v>
      </c>
      <c r="N5" s="292"/>
      <c r="O5" s="367"/>
      <c r="S5" s="84"/>
      <c r="T5" s="6"/>
      <c r="U5" s="85"/>
    </row>
    <row r="6" spans="1:21">
      <c r="A6" s="102" t="s">
        <v>6</v>
      </c>
      <c r="B6" s="106">
        <f>'Control panel'!B5</f>
        <v>9.346901390128548E-2</v>
      </c>
      <c r="C6" s="178">
        <v>3.1392347703607063E-2</v>
      </c>
      <c r="D6" s="223">
        <v>0.16055565886911449</v>
      </c>
      <c r="E6" s="223">
        <v>0.32920370115226077</v>
      </c>
      <c r="F6" s="224">
        <v>0.94415502841460075</v>
      </c>
      <c r="G6" s="224">
        <v>1</v>
      </c>
      <c r="H6" s="224">
        <v>0.79131459925771463</v>
      </c>
      <c r="I6" s="224">
        <v>0.79813028035122646</v>
      </c>
      <c r="J6" s="224">
        <v>0.65620336381946465</v>
      </c>
      <c r="K6" s="224">
        <v>0.87052123629161937</v>
      </c>
      <c r="L6" s="225">
        <v>0.89384087654365485</v>
      </c>
      <c r="N6" s="292"/>
      <c r="O6" s="367"/>
      <c r="S6" s="84"/>
      <c r="T6" s="6"/>
      <c r="U6" s="85"/>
    </row>
    <row r="7" spans="1:21">
      <c r="A7" s="102" t="s">
        <v>7</v>
      </c>
      <c r="B7" s="106">
        <f>'Control panel'!B6</f>
        <v>0.11036511115690795</v>
      </c>
      <c r="C7" s="178">
        <v>5.5586945104648379E-2</v>
      </c>
      <c r="D7" s="223">
        <v>0.28482723462884557</v>
      </c>
      <c r="E7" s="223">
        <v>9.8859848538283279E-2</v>
      </c>
      <c r="F7" s="224">
        <v>0.75643025620736359</v>
      </c>
      <c r="G7" s="224">
        <v>0.79131459925771463</v>
      </c>
      <c r="H7" s="224">
        <v>1.0000000000000002</v>
      </c>
      <c r="I7" s="224">
        <v>0.80404615715542727</v>
      </c>
      <c r="J7" s="224">
        <v>0.71454817175760521</v>
      </c>
      <c r="K7" s="224">
        <v>0.77932838421386064</v>
      </c>
      <c r="L7" s="225">
        <v>0.8858491706713586</v>
      </c>
      <c r="N7" s="292"/>
      <c r="O7" s="367"/>
      <c r="S7" s="84"/>
      <c r="T7" s="6"/>
      <c r="U7" s="85"/>
    </row>
    <row r="8" spans="1:21">
      <c r="A8" s="102" t="s">
        <v>8</v>
      </c>
      <c r="B8" s="106">
        <f>'Control panel'!B7</f>
        <v>4.9724653199130588E-2</v>
      </c>
      <c r="C8" s="178">
        <v>5.4126209330308192E-2</v>
      </c>
      <c r="D8" s="223">
        <v>0.29086830436352928</v>
      </c>
      <c r="E8" s="223">
        <v>0.17199291666801564</v>
      </c>
      <c r="F8" s="224">
        <v>0.74460051775263425</v>
      </c>
      <c r="G8" s="224">
        <v>0.79813028035122635</v>
      </c>
      <c r="H8" s="224">
        <v>0.80404615715542738</v>
      </c>
      <c r="I8" s="224">
        <v>1</v>
      </c>
      <c r="J8" s="224">
        <v>0.63722686856845323</v>
      </c>
      <c r="K8" s="224">
        <v>0.66166173932878602</v>
      </c>
      <c r="L8" s="225">
        <v>0.78445174530045891</v>
      </c>
      <c r="N8" s="292"/>
      <c r="O8" s="367"/>
      <c r="S8" s="84"/>
      <c r="T8" s="6"/>
      <c r="U8" s="85"/>
    </row>
    <row r="9" spans="1:21">
      <c r="A9" s="102" t="s">
        <v>9</v>
      </c>
      <c r="B9" s="106">
        <f>'Control panel'!B8</f>
        <v>1.9027140584823948E-2</v>
      </c>
      <c r="C9" s="178">
        <v>5.1749106701455286E-2</v>
      </c>
      <c r="D9" s="223">
        <v>0.32762989319180058</v>
      </c>
      <c r="E9" s="223">
        <v>0.1163530870831065</v>
      </c>
      <c r="F9" s="224">
        <v>0.63042249533958294</v>
      </c>
      <c r="G9" s="224">
        <v>0.65620336381946465</v>
      </c>
      <c r="H9" s="224">
        <v>0.71454817175760499</v>
      </c>
      <c r="I9" s="224">
        <v>0.63722686856845323</v>
      </c>
      <c r="J9" s="224">
        <v>0.99999999999999978</v>
      </c>
      <c r="K9" s="224">
        <v>0.61123567343454832</v>
      </c>
      <c r="L9" s="225">
        <v>0.68083389626068458</v>
      </c>
      <c r="N9" s="292"/>
      <c r="O9" s="367"/>
      <c r="S9" s="84"/>
      <c r="T9" s="6"/>
      <c r="U9" s="85"/>
    </row>
    <row r="10" spans="1:21">
      <c r="A10" s="102" t="s">
        <v>10</v>
      </c>
      <c r="B10" s="106">
        <f>'Control panel'!B9</f>
        <v>3.0988823352997075E-2</v>
      </c>
      <c r="C10" s="178">
        <v>2.8567108921173753E-2</v>
      </c>
      <c r="D10" s="223">
        <v>0.15798659221184908</v>
      </c>
      <c r="E10" s="223">
        <v>0.31533261335053225</v>
      </c>
      <c r="F10" s="224">
        <v>0.87087144487559476</v>
      </c>
      <c r="G10" s="224">
        <v>0.87052123629161926</v>
      </c>
      <c r="H10" s="224">
        <v>0.77932838421386041</v>
      </c>
      <c r="I10" s="224">
        <v>0.66166173932878602</v>
      </c>
      <c r="J10" s="224">
        <v>0.61123567343454821</v>
      </c>
      <c r="K10" s="224">
        <v>0.99999999999999978</v>
      </c>
      <c r="L10" s="225">
        <v>0.84390932125983842</v>
      </c>
      <c r="N10" s="292"/>
      <c r="O10" s="367"/>
      <c r="S10" s="84"/>
      <c r="T10" s="6"/>
      <c r="U10" s="85"/>
    </row>
    <row r="11" spans="1:21" ht="13.5" thickBot="1">
      <c r="A11" s="103" t="s">
        <v>11</v>
      </c>
      <c r="B11" s="107">
        <f>'Control panel'!B10</f>
        <v>4.4524973341341555E-2</v>
      </c>
      <c r="C11" s="179">
        <v>3.8735949538907542E-2</v>
      </c>
      <c r="D11" s="226">
        <v>0.19621796279766246</v>
      </c>
      <c r="E11" s="226">
        <v>0.22382706166473476</v>
      </c>
      <c r="F11" s="227">
        <v>0.88503479579271971</v>
      </c>
      <c r="G11" s="227">
        <v>0.89384087654365474</v>
      </c>
      <c r="H11" s="227">
        <v>0.8858491706713586</v>
      </c>
      <c r="I11" s="227">
        <v>0.78445174530045891</v>
      </c>
      <c r="J11" s="227">
        <v>0.68083389626068469</v>
      </c>
      <c r="K11" s="227">
        <v>0.84390932125983853</v>
      </c>
      <c r="L11" s="228">
        <v>1.0000000000000002</v>
      </c>
      <c r="N11" s="292"/>
      <c r="O11" s="367"/>
    </row>
    <row r="12" spans="1:21">
      <c r="A12" s="84"/>
      <c r="B12" s="110" t="s">
        <v>89</v>
      </c>
      <c r="C12" s="85">
        <v>9.5014385241780117E-2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5"/>
      <c r="H17" s="385"/>
      <c r="I17" s="385"/>
      <c r="J17" s="385"/>
    </row>
    <row r="18" spans="1:24">
      <c r="D18" s="98"/>
      <c r="E18" s="98"/>
      <c r="S18" s="84"/>
      <c r="T18" s="385"/>
      <c r="U18" s="385"/>
      <c r="V18" s="385"/>
      <c r="W18" s="385"/>
      <c r="X18" s="385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47">
        <v>-3.2445168309994665E-3</v>
      </c>
      <c r="D24" s="347">
        <v>-1.0761362748873404E-3</v>
      </c>
      <c r="E24" s="347">
        <v>-3.4179872754884488E-3</v>
      </c>
      <c r="F24" s="347">
        <v>-5.8987126880164276E-2</v>
      </c>
      <c r="G24" s="347">
        <v>-0.26287574291051119</v>
      </c>
      <c r="H24" s="348">
        <v>-3.2441343963196256E-3</v>
      </c>
      <c r="I24" s="351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47">
        <v>2.821524342416672E-2</v>
      </c>
      <c r="D25" s="347">
        <v>-4.3289757138539151E-2</v>
      </c>
      <c r="E25" s="347">
        <v>2.8173968116101435E-2</v>
      </c>
      <c r="F25" s="347">
        <v>-0.46709405332985687</v>
      </c>
      <c r="G25" s="347">
        <v>-0.46905624232985693</v>
      </c>
      <c r="H25" s="348">
        <v>0.30101613523680981</v>
      </c>
      <c r="I25" s="178">
        <f t="shared" ref="I25:I31" si="1">+SUMPRODUCT(B25:H25,$B$33:$H$33)</f>
        <v>2.821524342416672E-2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3.1392347703607063E-2</v>
      </c>
      <c r="C26" s="347">
        <v>4.9715877116872115E-2</v>
      </c>
      <c r="D26" s="347">
        <v>-1.5254735941571146E-2</v>
      </c>
      <c r="E26" s="347">
        <v>4.2527479167274736E-2</v>
      </c>
      <c r="F26" s="347">
        <v>-0.53388765375707492</v>
      </c>
      <c r="G26" s="347">
        <v>-0.40758678794189662</v>
      </c>
      <c r="H26" s="348">
        <v>0.26888806032968465</v>
      </c>
      <c r="I26" s="178">
        <f t="shared" si="1"/>
        <v>4.9715877116872115E-2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5.5586945104648379E-2</v>
      </c>
      <c r="C27" s="347">
        <v>-1.8932480826239766E-2</v>
      </c>
      <c r="D27" s="347">
        <v>-0.18637839848821813</v>
      </c>
      <c r="E27" s="347">
        <v>3.3016877644366754E-2</v>
      </c>
      <c r="F27" s="347">
        <v>-0.63662140327632288</v>
      </c>
      <c r="G27" s="347">
        <v>-0.50223026172585394</v>
      </c>
      <c r="H27" s="348">
        <v>0.34216639060226639</v>
      </c>
      <c r="I27" s="178">
        <f t="shared" si="1"/>
        <v>-1.8932480826239766E-2</v>
      </c>
      <c r="J27" s="76"/>
    </row>
    <row r="28" spans="1:24">
      <c r="A28" s="18" t="s">
        <v>8</v>
      </c>
      <c r="B28" s="21">
        <f t="shared" si="0"/>
        <v>5.4126209330308192E-2</v>
      </c>
      <c r="C28" s="347">
        <v>7.6891594824893134E-2</v>
      </c>
      <c r="D28" s="347">
        <v>-1.5041633078088965E-2</v>
      </c>
      <c r="E28" s="347">
        <v>7.4724436355395413E-2</v>
      </c>
      <c r="F28" s="347">
        <v>-0.38154687800334713</v>
      </c>
      <c r="G28" s="347">
        <v>-0.22652606438744602</v>
      </c>
      <c r="H28" s="348">
        <v>0.43818723932566084</v>
      </c>
      <c r="I28" s="178">
        <f t="shared" si="1"/>
        <v>7.6891594824893134E-2</v>
      </c>
      <c r="J28" s="94"/>
      <c r="U28" s="95"/>
    </row>
    <row r="29" spans="1:24">
      <c r="A29" s="18" t="s">
        <v>9</v>
      </c>
      <c r="B29" s="21">
        <f t="shared" si="0"/>
        <v>5.1749106701455286E-2</v>
      </c>
      <c r="C29" s="347">
        <v>2.095392217212597E-2</v>
      </c>
      <c r="D29" s="347">
        <v>1.7326163923364224E-2</v>
      </c>
      <c r="E29" s="347">
        <v>-3.9001815740357833E-3</v>
      </c>
      <c r="F29" s="347">
        <v>-0.39528495301413574</v>
      </c>
      <c r="G29" s="347">
        <v>-0.36578625545580234</v>
      </c>
      <c r="H29" s="348">
        <v>0.41949577968586427</v>
      </c>
      <c r="I29" s="178">
        <f t="shared" si="1"/>
        <v>2.095392217212597E-2</v>
      </c>
      <c r="J29" s="96"/>
      <c r="U29" s="95"/>
    </row>
    <row r="30" spans="1:24">
      <c r="A30" s="18" t="s">
        <v>10</v>
      </c>
      <c r="B30" s="21">
        <f t="shared" si="0"/>
        <v>2.8567108921173753E-2</v>
      </c>
      <c r="C30" s="347">
        <v>1.380587420653143E-2</v>
      </c>
      <c r="D30" s="347">
        <v>-4.2158606606711446E-2</v>
      </c>
      <c r="E30" s="347">
        <v>1.0491043321084678E-2</v>
      </c>
      <c r="F30" s="347">
        <v>-0.25764077911990541</v>
      </c>
      <c r="G30" s="347">
        <v>-1.27081470544461E-2</v>
      </c>
      <c r="H30" s="348">
        <v>0.26865610006004731</v>
      </c>
      <c r="I30" s="178">
        <f t="shared" si="1"/>
        <v>1.380587420653143E-2</v>
      </c>
      <c r="J30" s="96"/>
      <c r="U30" s="95"/>
    </row>
    <row r="31" spans="1:24" ht="13.5" thickBot="1">
      <c r="A31" s="22" t="s">
        <v>11</v>
      </c>
      <c r="B31" s="25">
        <f t="shared" si="0"/>
        <v>3.8735949538907542E-2</v>
      </c>
      <c r="C31" s="349">
        <v>2.0067539862887711E-2</v>
      </c>
      <c r="D31" s="349">
        <v>-5.1766673344794997E-2</v>
      </c>
      <c r="E31" s="349">
        <v>4.4470055868840348E-2</v>
      </c>
      <c r="F31" s="349">
        <v>-0.32705491871314474</v>
      </c>
      <c r="G31" s="349">
        <v>-0.17140461936280491</v>
      </c>
      <c r="H31" s="350">
        <v>0.40834897941312509</v>
      </c>
      <c r="I31" s="352">
        <f t="shared" si="1"/>
        <v>2.0067539862887711E-2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1.05981673240912E-2</v>
      </c>
      <c r="D35" s="303">
        <f>SUMPRODUCT(D24:D31,'Control panel'!$F$3:$F$10)</f>
        <v>-2.605059789377169E-2</v>
      </c>
      <c r="E35" s="303">
        <f>SUMPRODUCT(E24:E31,'Control panel'!$F$3:$F$10)</f>
        <v>1.4653632374093999E-2</v>
      </c>
      <c r="F35" s="303">
        <f>SUMPRODUCT(F24:F31,'Control panel'!$F$3:$F$10)</f>
        <v>-0.23547332682230052</v>
      </c>
      <c r="G35" s="303">
        <f>SUMPRODUCT(G24:G31,'Control panel'!$F$3:$F$10)</f>
        <v>-0.30383889875164471</v>
      </c>
      <c r="H35" s="303">
        <f>SUMPRODUCT(H24:H31,'Control panel'!$F$3:$F$10)</f>
        <v>0.1417469319294872</v>
      </c>
      <c r="I35" s="305">
        <f>SUMPRODUCT(I24:I31,'Control panel'!$F$3:$F$10)</f>
        <v>1.05981673240912E-2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142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topLeftCell="A34" workbookViewId="0">
      <selection activeCell="D59" sqref="D59:K66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89" t="s">
        <v>3</v>
      </c>
      <c r="E3" s="389"/>
      <c r="F3" s="389"/>
      <c r="G3" s="389"/>
      <c r="H3" s="389"/>
      <c r="I3" s="389"/>
      <c r="J3" s="389"/>
      <c r="K3" s="390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3.8327320576542839E-2</v>
      </c>
      <c r="D4" s="111">
        <f>Scenarios!E4</f>
        <v>1</v>
      </c>
      <c r="E4" s="112">
        <f>Scenarios!F4</f>
        <v>0.3418544126049784</v>
      </c>
      <c r="F4" s="112">
        <f>Scenarios!G4</f>
        <v>0.32920370115226022</v>
      </c>
      <c r="G4" s="112">
        <f>Scenarios!H4</f>
        <v>9.8859848538283293E-2</v>
      </c>
      <c r="H4" s="112">
        <f>Scenarios!I4</f>
        <v>0.17199291666801578</v>
      </c>
      <c r="I4" s="112">
        <f>Scenarios!J4</f>
        <v>0.11635308708310647</v>
      </c>
      <c r="J4" s="112">
        <f>Scenarios!K4</f>
        <v>0.31533261335053236</v>
      </c>
      <c r="K4" s="113">
        <f>Scenarios!L4</f>
        <v>0.22382706166473479</v>
      </c>
      <c r="L4" s="239" t="s">
        <v>120</v>
      </c>
      <c r="N4" s="36">
        <f t="array" ref="N4:U11">+D4:K11*TRANSPOSE(C4:C11)*C4:C11</f>
        <v>1.4689835025770842E-3</v>
      </c>
      <c r="O4" s="36">
        <v>2.0623647180517748E-3</v>
      </c>
      <c r="P4" s="36">
        <v>2.0258103496887318E-3</v>
      </c>
      <c r="Q4" s="36">
        <v>1.0792198218053869E-3</v>
      </c>
      <c r="R4" s="36">
        <v>1.9174119060451009E-3</v>
      </c>
      <c r="S4" s="36">
        <v>1.461066186458311E-3</v>
      </c>
      <c r="T4" s="36">
        <v>1.9094029127275302E-3</v>
      </c>
      <c r="U4" s="36">
        <v>1.6832933786511406E-3</v>
      </c>
    </row>
    <row r="5" spans="1:21">
      <c r="A5" s="41" t="s">
        <v>5</v>
      </c>
      <c r="B5" s="42">
        <f>Scenarios!B25</f>
        <v>0.03</v>
      </c>
      <c r="C5" s="42">
        <f>Scenarios!D5</f>
        <v>0.15740402046445473</v>
      </c>
      <c r="D5" s="111">
        <f>Scenarios!E5</f>
        <v>0.3418544126049784</v>
      </c>
      <c r="E5" s="112">
        <f>Scenarios!F5</f>
        <v>0.99999999999999978</v>
      </c>
      <c r="F5" s="112">
        <f>Scenarios!G5</f>
        <v>0.94415502841460053</v>
      </c>
      <c r="G5" s="112">
        <f>Scenarios!H5</f>
        <v>0.75643025620736359</v>
      </c>
      <c r="H5" s="112">
        <f>Scenarios!I5</f>
        <v>0.74460051775263425</v>
      </c>
      <c r="I5" s="112">
        <f>Scenarios!J5</f>
        <v>0.63042249533958317</v>
      </c>
      <c r="J5" s="112">
        <f>Scenarios!K5</f>
        <v>0.87087144487559465</v>
      </c>
      <c r="K5" s="113">
        <f>Scenarios!L5</f>
        <v>0.88503479579271971</v>
      </c>
      <c r="N5" s="36">
        <v>2.0623647180517748E-3</v>
      </c>
      <c r="O5" s="36">
        <v>2.477602565837448E-2</v>
      </c>
      <c r="P5" s="36">
        <v>2.3860786160876318E-2</v>
      </c>
      <c r="Q5" s="36">
        <v>3.3913001268310553E-2</v>
      </c>
      <c r="R5" s="36">
        <v>3.4090671365202212E-2</v>
      </c>
      <c r="S5" s="36">
        <v>3.2511053515549913E-2</v>
      </c>
      <c r="T5" s="36">
        <v>2.1656591421791421E-2</v>
      </c>
      <c r="U5" s="36">
        <v>2.7334738850376662E-2</v>
      </c>
    </row>
    <row r="6" spans="1:21">
      <c r="A6" s="41" t="s">
        <v>6</v>
      </c>
      <c r="B6" s="42">
        <f>Scenarios!B26</f>
        <v>3.1392347703607063E-2</v>
      </c>
      <c r="C6" s="42">
        <f>Scenarios!D6</f>
        <v>0.16055565886911449</v>
      </c>
      <c r="D6" s="111">
        <f>Scenarios!E6</f>
        <v>0.32920370115226077</v>
      </c>
      <c r="E6" s="112">
        <f>Scenarios!F6</f>
        <v>0.94415502841460075</v>
      </c>
      <c r="F6" s="112">
        <f>Scenarios!G6</f>
        <v>1</v>
      </c>
      <c r="G6" s="112">
        <f>Scenarios!H6</f>
        <v>0.79131459925771463</v>
      </c>
      <c r="H6" s="112">
        <f>Scenarios!I6</f>
        <v>0.79813028035122646</v>
      </c>
      <c r="I6" s="112">
        <f>Scenarios!J6</f>
        <v>0.65620336381946465</v>
      </c>
      <c r="J6" s="112">
        <f>Scenarios!K6</f>
        <v>0.87052123629161937</v>
      </c>
      <c r="K6" s="113">
        <f>Scenarios!L6</f>
        <v>0.89384087654365485</v>
      </c>
      <c r="N6" s="36">
        <v>2.0258103496887357E-3</v>
      </c>
      <c r="O6" s="36">
        <v>2.3860786160876321E-2</v>
      </c>
      <c r="P6" s="36">
        <v>2.5778119594895465E-2</v>
      </c>
      <c r="Q6" s="36">
        <v>3.6187310657350216E-2</v>
      </c>
      <c r="R6" s="36">
        <v>3.7273124860830162E-2</v>
      </c>
      <c r="S6" s="36">
        <v>3.451815620161551E-2</v>
      </c>
      <c r="T6" s="36">
        <v>2.2081329515262319E-2</v>
      </c>
      <c r="U6" s="36">
        <v>2.8159477433106667E-2</v>
      </c>
    </row>
    <row r="7" spans="1:21">
      <c r="A7" s="41" t="s">
        <v>7</v>
      </c>
      <c r="B7" s="42">
        <f>Scenarios!B27</f>
        <v>5.5586945104648379E-2</v>
      </c>
      <c r="C7" s="42">
        <f>Scenarios!D7</f>
        <v>0.28482723462884557</v>
      </c>
      <c r="D7" s="111">
        <f>Scenarios!E7</f>
        <v>9.8859848538283279E-2</v>
      </c>
      <c r="E7" s="112">
        <f>Scenarios!F7</f>
        <v>0.75643025620736359</v>
      </c>
      <c r="F7" s="112">
        <f>Scenarios!G7</f>
        <v>0.79131459925771463</v>
      </c>
      <c r="G7" s="112">
        <f>Scenarios!H7</f>
        <v>1.0000000000000002</v>
      </c>
      <c r="H7" s="112">
        <f>Scenarios!I7</f>
        <v>0.80404615715542727</v>
      </c>
      <c r="I7" s="112">
        <f>Scenarios!J7</f>
        <v>0.71454817175760521</v>
      </c>
      <c r="J7" s="112">
        <f>Scenarios!K7</f>
        <v>0.77932838421386064</v>
      </c>
      <c r="K7" s="113">
        <f>Scenarios!L7</f>
        <v>0.8858491706713586</v>
      </c>
      <c r="N7" s="36">
        <v>1.0792198218053869E-3</v>
      </c>
      <c r="O7" s="36">
        <v>3.3913001268310553E-2</v>
      </c>
      <c r="P7" s="36">
        <v>3.6187310657350216E-2</v>
      </c>
      <c r="Q7" s="36">
        <v>8.1126553586315459E-2</v>
      </c>
      <c r="R7" s="36">
        <v>6.661298466929752E-2</v>
      </c>
      <c r="S7" s="36">
        <v>6.6680146598410817E-2</v>
      </c>
      <c r="T7" s="36">
        <v>3.5068907690180166E-2</v>
      </c>
      <c r="U7" s="36">
        <v>4.9508533096492648E-2</v>
      </c>
    </row>
    <row r="8" spans="1:21">
      <c r="A8" s="41" t="s">
        <v>8</v>
      </c>
      <c r="B8" s="42">
        <f>Scenarios!B28</f>
        <v>5.4126209330308192E-2</v>
      </c>
      <c r="C8" s="42">
        <f>Scenarios!D8</f>
        <v>0.29086830436352928</v>
      </c>
      <c r="D8" s="111">
        <f>Scenarios!E8</f>
        <v>0.17199291666801564</v>
      </c>
      <c r="E8" s="112">
        <f>Scenarios!F8</f>
        <v>0.74460051775263425</v>
      </c>
      <c r="F8" s="112">
        <f>Scenarios!G8</f>
        <v>0.79813028035122635</v>
      </c>
      <c r="G8" s="112">
        <f>Scenarios!H8</f>
        <v>0.80404615715542738</v>
      </c>
      <c r="H8" s="112">
        <f>Scenarios!I8</f>
        <v>1</v>
      </c>
      <c r="I8" s="112">
        <f>Scenarios!J8</f>
        <v>0.63722686856845323</v>
      </c>
      <c r="J8" s="112">
        <f>Scenarios!K8</f>
        <v>0.66166173932878602</v>
      </c>
      <c r="K8" s="113">
        <f>Scenarios!L8</f>
        <v>0.78445174530045891</v>
      </c>
      <c r="N8" s="36">
        <v>1.9174119060450991E-3</v>
      </c>
      <c r="O8" s="36">
        <v>3.4090671365202212E-2</v>
      </c>
      <c r="P8" s="36">
        <v>3.7273124860830155E-2</v>
      </c>
      <c r="Q8" s="36">
        <v>6.661298466929752E-2</v>
      </c>
      <c r="R8" s="36">
        <v>8.4604370483314706E-2</v>
      </c>
      <c r="S8" s="36">
        <v>6.0725905428424112E-2</v>
      </c>
      <c r="T8" s="36">
        <v>3.0405535237547097E-2</v>
      </c>
      <c r="U8" s="36">
        <v>4.4771474246015901E-2</v>
      </c>
    </row>
    <row r="9" spans="1:21">
      <c r="A9" s="41" t="s">
        <v>9</v>
      </c>
      <c r="B9" s="42">
        <f>Scenarios!B29</f>
        <v>5.1749106701455286E-2</v>
      </c>
      <c r="C9" s="42">
        <f>Scenarios!D9</f>
        <v>0.32762989319180058</v>
      </c>
      <c r="D9" s="111">
        <f>Scenarios!E9</f>
        <v>0.1163530870831065</v>
      </c>
      <c r="E9" s="112">
        <f>Scenarios!F9</f>
        <v>0.63042249533958294</v>
      </c>
      <c r="F9" s="112">
        <f>Scenarios!G9</f>
        <v>0.65620336381946465</v>
      </c>
      <c r="G9" s="112">
        <f>Scenarios!H9</f>
        <v>0.71454817175760499</v>
      </c>
      <c r="H9" s="112">
        <f>Scenarios!I9</f>
        <v>0.63722686856845323</v>
      </c>
      <c r="I9" s="112">
        <f>Scenarios!J9</f>
        <v>0.99999999999999978</v>
      </c>
      <c r="J9" s="112">
        <f>Scenarios!K9</f>
        <v>0.61123567343454832</v>
      </c>
      <c r="K9" s="113">
        <f>Scenarios!L9</f>
        <v>0.68083389626068458</v>
      </c>
      <c r="N9" s="36">
        <v>1.4610661864583113E-3</v>
      </c>
      <c r="O9" s="36">
        <v>3.2511053515549906E-2</v>
      </c>
      <c r="P9" s="36">
        <v>3.451815620161551E-2</v>
      </c>
      <c r="Q9" s="36">
        <v>6.6680146598410803E-2</v>
      </c>
      <c r="R9" s="36">
        <v>6.0725905428424112E-2</v>
      </c>
      <c r="S9" s="36">
        <v>0.10734134691287064</v>
      </c>
      <c r="T9" s="36">
        <v>3.1638249356277424E-2</v>
      </c>
      <c r="U9" s="36">
        <v>4.3768680312389029E-2</v>
      </c>
    </row>
    <row r="10" spans="1:21">
      <c r="A10" s="41" t="s">
        <v>10</v>
      </c>
      <c r="B10" s="42">
        <f>Scenarios!B30</f>
        <v>2.8567108921173753E-2</v>
      </c>
      <c r="C10" s="42">
        <f>Scenarios!D10</f>
        <v>0.15798659221184908</v>
      </c>
      <c r="D10" s="111">
        <f>Scenarios!E10</f>
        <v>0.31533261335053225</v>
      </c>
      <c r="E10" s="112">
        <f>Scenarios!F10</f>
        <v>0.87087144487559476</v>
      </c>
      <c r="F10" s="112">
        <f>Scenarios!G10</f>
        <v>0.87052123629161926</v>
      </c>
      <c r="G10" s="112">
        <f>Scenarios!H10</f>
        <v>0.77932838421386041</v>
      </c>
      <c r="H10" s="112">
        <f>Scenarios!I10</f>
        <v>0.66166173932878602</v>
      </c>
      <c r="I10" s="112">
        <f>Scenarios!J10</f>
        <v>0.61123567343454821</v>
      </c>
      <c r="J10" s="112">
        <f>Scenarios!K10</f>
        <v>0.99999999999999978</v>
      </c>
      <c r="K10" s="113">
        <f>Scenarios!L10</f>
        <v>0.84390932125983842</v>
      </c>
      <c r="N10" s="36">
        <v>1.9094029127275296E-3</v>
      </c>
      <c r="O10" s="36">
        <v>2.1656591421791424E-2</v>
      </c>
      <c r="P10" s="36">
        <v>2.2081329515262316E-2</v>
      </c>
      <c r="Q10" s="36">
        <v>3.5068907690180159E-2</v>
      </c>
      <c r="R10" s="36">
        <v>3.0405535237547094E-2</v>
      </c>
      <c r="S10" s="36">
        <v>3.1638249356277418E-2</v>
      </c>
      <c r="T10" s="36">
        <v>2.4959763318713087E-2</v>
      </c>
      <c r="U10" s="36">
        <v>2.6161026315073256E-2</v>
      </c>
    </row>
    <row r="11" spans="1:21" ht="13.5" thickBot="1">
      <c r="A11" s="43" t="s">
        <v>11</v>
      </c>
      <c r="B11" s="44">
        <f>Scenarios!B31</f>
        <v>3.8735949538907542E-2</v>
      </c>
      <c r="C11" s="44">
        <f>Scenarios!D11</f>
        <v>0.19621796279766246</v>
      </c>
      <c r="D11" s="114">
        <f>Scenarios!E11</f>
        <v>0.22382706166473476</v>
      </c>
      <c r="E11" s="115">
        <f>Scenarios!F11</f>
        <v>0.88503479579271971</v>
      </c>
      <c r="F11" s="115">
        <f>Scenarios!G11</f>
        <v>0.89384087654365474</v>
      </c>
      <c r="G11" s="115">
        <f>Scenarios!H11</f>
        <v>0.8858491706713586</v>
      </c>
      <c r="H11" s="115">
        <f>Scenarios!I11</f>
        <v>0.78445174530045891</v>
      </c>
      <c r="I11" s="115">
        <f>Scenarios!J11</f>
        <v>0.68083389626068469</v>
      </c>
      <c r="J11" s="115">
        <f>Scenarios!K11</f>
        <v>0.84390932125983853</v>
      </c>
      <c r="K11" s="116">
        <f>Scenarios!L11</f>
        <v>1.0000000000000002</v>
      </c>
      <c r="N11" s="36">
        <v>1.6832933786511404E-3</v>
      </c>
      <c r="O11" s="36">
        <v>2.7334738850376659E-2</v>
      </c>
      <c r="P11" s="36">
        <v>2.815947743310666E-2</v>
      </c>
      <c r="Q11" s="36">
        <v>4.9508533096492655E-2</v>
      </c>
      <c r="R11" s="36">
        <v>4.4771474246015901E-2</v>
      </c>
      <c r="S11" s="36">
        <v>4.3768680312389036E-2</v>
      </c>
      <c r="T11" s="36">
        <v>2.6161026315073256E-2</v>
      </c>
      <c r="U11" s="36">
        <v>3.8501488924464859E-2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88" t="s">
        <v>3</v>
      </c>
      <c r="E14" s="389"/>
      <c r="F14" s="389"/>
      <c r="G14" s="389"/>
      <c r="H14" s="389"/>
      <c r="I14" s="389"/>
      <c r="J14" s="389"/>
      <c r="K14" s="390"/>
    </row>
    <row r="15" spans="1:21">
      <c r="A15" s="41" t="s">
        <v>4</v>
      </c>
      <c r="B15" s="46">
        <f>Scenarios!C24</f>
        <v>-3.2445168309994665E-3</v>
      </c>
      <c r="C15" s="42">
        <f>C4</f>
        <v>3.8327320576542839E-2</v>
      </c>
      <c r="D15" s="111">
        <f t="shared" ref="D15:K15" si="0">D4</f>
        <v>1</v>
      </c>
      <c r="E15" s="112">
        <f t="shared" si="0"/>
        <v>0.3418544126049784</v>
      </c>
      <c r="F15" s="112">
        <f t="shared" si="0"/>
        <v>0.32920370115226022</v>
      </c>
      <c r="G15" s="112">
        <f t="shared" si="0"/>
        <v>9.8859848538283293E-2</v>
      </c>
      <c r="H15" s="112">
        <f t="shared" si="0"/>
        <v>0.17199291666801578</v>
      </c>
      <c r="I15" s="112">
        <f t="shared" si="0"/>
        <v>0.11635308708310647</v>
      </c>
      <c r="J15" s="112">
        <f t="shared" si="0"/>
        <v>0.31533261335053236</v>
      </c>
      <c r="K15" s="113">
        <f t="shared" si="0"/>
        <v>0.22382706166473479</v>
      </c>
      <c r="L15" s="239" t="s">
        <v>120</v>
      </c>
    </row>
    <row r="16" spans="1:21">
      <c r="A16" s="41" t="s">
        <v>5</v>
      </c>
      <c r="B16" s="46">
        <f>Scenarios!C25</f>
        <v>2.821524342416672E-2</v>
      </c>
      <c r="C16" s="42">
        <f t="shared" ref="C16:K16" si="1">C5</f>
        <v>0.15740402046445473</v>
      </c>
      <c r="D16" s="111">
        <f t="shared" si="1"/>
        <v>0.3418544126049784</v>
      </c>
      <c r="E16" s="112">
        <f t="shared" si="1"/>
        <v>0.99999999999999978</v>
      </c>
      <c r="F16" s="112">
        <f t="shared" si="1"/>
        <v>0.94415502841460053</v>
      </c>
      <c r="G16" s="112">
        <f t="shared" si="1"/>
        <v>0.75643025620736359</v>
      </c>
      <c r="H16" s="112">
        <f t="shared" si="1"/>
        <v>0.74460051775263425</v>
      </c>
      <c r="I16" s="112">
        <f t="shared" si="1"/>
        <v>0.63042249533958317</v>
      </c>
      <c r="J16" s="112">
        <f t="shared" si="1"/>
        <v>0.87087144487559465</v>
      </c>
      <c r="K16" s="113">
        <f t="shared" si="1"/>
        <v>0.88503479579271971</v>
      </c>
    </row>
    <row r="17" spans="1:12">
      <c r="A17" s="41" t="s">
        <v>6</v>
      </c>
      <c r="B17" s="46">
        <f>Scenarios!C26</f>
        <v>4.9715877116872115E-2</v>
      </c>
      <c r="C17" s="42">
        <f t="shared" ref="C17:K17" si="2">C6</f>
        <v>0.16055565886911449</v>
      </c>
      <c r="D17" s="111">
        <f t="shared" si="2"/>
        <v>0.32920370115226077</v>
      </c>
      <c r="E17" s="112">
        <f t="shared" si="2"/>
        <v>0.94415502841460075</v>
      </c>
      <c r="F17" s="112">
        <f t="shared" si="2"/>
        <v>1</v>
      </c>
      <c r="G17" s="112">
        <f t="shared" si="2"/>
        <v>0.79131459925771463</v>
      </c>
      <c r="H17" s="112">
        <f t="shared" si="2"/>
        <v>0.79813028035122646</v>
      </c>
      <c r="I17" s="112">
        <f t="shared" si="2"/>
        <v>0.65620336381946465</v>
      </c>
      <c r="J17" s="112">
        <f t="shared" si="2"/>
        <v>0.87052123629161937</v>
      </c>
      <c r="K17" s="113">
        <f t="shared" si="2"/>
        <v>0.89384087654365485</v>
      </c>
    </row>
    <row r="18" spans="1:12">
      <c r="A18" s="41" t="s">
        <v>7</v>
      </c>
      <c r="B18" s="46">
        <f>Scenarios!C27</f>
        <v>-1.8932480826239766E-2</v>
      </c>
      <c r="C18" s="42">
        <f t="shared" ref="C18:K18" si="3">C7</f>
        <v>0.28482723462884557</v>
      </c>
      <c r="D18" s="111">
        <f t="shared" si="3"/>
        <v>9.8859848538283279E-2</v>
      </c>
      <c r="E18" s="112">
        <f t="shared" si="3"/>
        <v>0.75643025620736359</v>
      </c>
      <c r="F18" s="112">
        <f t="shared" si="3"/>
        <v>0.79131459925771463</v>
      </c>
      <c r="G18" s="112">
        <f t="shared" si="3"/>
        <v>1.0000000000000002</v>
      </c>
      <c r="H18" s="112">
        <f t="shared" si="3"/>
        <v>0.80404615715542727</v>
      </c>
      <c r="I18" s="112">
        <f t="shared" si="3"/>
        <v>0.71454817175760521</v>
      </c>
      <c r="J18" s="112">
        <f t="shared" si="3"/>
        <v>0.77932838421386064</v>
      </c>
      <c r="K18" s="113">
        <f t="shared" si="3"/>
        <v>0.8858491706713586</v>
      </c>
    </row>
    <row r="19" spans="1:12">
      <c r="A19" s="41" t="s">
        <v>8</v>
      </c>
      <c r="B19" s="46">
        <f>Scenarios!C28</f>
        <v>7.6891594824893134E-2</v>
      </c>
      <c r="C19" s="42">
        <f t="shared" ref="C19:K19" si="4">C8</f>
        <v>0.29086830436352928</v>
      </c>
      <c r="D19" s="111">
        <f t="shared" si="4"/>
        <v>0.17199291666801564</v>
      </c>
      <c r="E19" s="112">
        <f t="shared" si="4"/>
        <v>0.74460051775263425</v>
      </c>
      <c r="F19" s="112">
        <f t="shared" si="4"/>
        <v>0.79813028035122635</v>
      </c>
      <c r="G19" s="112">
        <f t="shared" si="4"/>
        <v>0.80404615715542738</v>
      </c>
      <c r="H19" s="112">
        <f t="shared" si="4"/>
        <v>1</v>
      </c>
      <c r="I19" s="112">
        <f t="shared" si="4"/>
        <v>0.63722686856845323</v>
      </c>
      <c r="J19" s="112">
        <f t="shared" si="4"/>
        <v>0.66166173932878602</v>
      </c>
      <c r="K19" s="113">
        <f t="shared" si="4"/>
        <v>0.78445174530045891</v>
      </c>
    </row>
    <row r="20" spans="1:12">
      <c r="A20" s="41" t="s">
        <v>9</v>
      </c>
      <c r="B20" s="46">
        <f>Scenarios!C29</f>
        <v>2.095392217212597E-2</v>
      </c>
      <c r="C20" s="42">
        <f t="shared" ref="C20:K20" si="5">C9</f>
        <v>0.32762989319180058</v>
      </c>
      <c r="D20" s="111">
        <f t="shared" si="5"/>
        <v>0.1163530870831065</v>
      </c>
      <c r="E20" s="112">
        <f t="shared" si="5"/>
        <v>0.63042249533958294</v>
      </c>
      <c r="F20" s="112">
        <f t="shared" si="5"/>
        <v>0.65620336381946465</v>
      </c>
      <c r="G20" s="112">
        <f t="shared" si="5"/>
        <v>0.71454817175760499</v>
      </c>
      <c r="H20" s="112">
        <f t="shared" si="5"/>
        <v>0.63722686856845323</v>
      </c>
      <c r="I20" s="112">
        <f t="shared" si="5"/>
        <v>0.99999999999999978</v>
      </c>
      <c r="J20" s="112">
        <f t="shared" si="5"/>
        <v>0.61123567343454832</v>
      </c>
      <c r="K20" s="113">
        <f t="shared" si="5"/>
        <v>0.68083389626068458</v>
      </c>
    </row>
    <row r="21" spans="1:12">
      <c r="A21" s="41" t="s">
        <v>10</v>
      </c>
      <c r="B21" s="46">
        <f>Scenarios!C30</f>
        <v>1.380587420653143E-2</v>
      </c>
      <c r="C21" s="42">
        <f t="shared" ref="C21:K21" si="6">C10</f>
        <v>0.15798659221184908</v>
      </c>
      <c r="D21" s="111">
        <f t="shared" si="6"/>
        <v>0.31533261335053225</v>
      </c>
      <c r="E21" s="112">
        <f t="shared" si="6"/>
        <v>0.87087144487559476</v>
      </c>
      <c r="F21" s="112">
        <f t="shared" si="6"/>
        <v>0.87052123629161926</v>
      </c>
      <c r="G21" s="112">
        <f t="shared" si="6"/>
        <v>0.77932838421386041</v>
      </c>
      <c r="H21" s="112">
        <f t="shared" si="6"/>
        <v>0.66166173932878602</v>
      </c>
      <c r="I21" s="112">
        <f t="shared" si="6"/>
        <v>0.61123567343454821</v>
      </c>
      <c r="J21" s="112">
        <f t="shared" si="6"/>
        <v>0.99999999999999978</v>
      </c>
      <c r="K21" s="113">
        <f t="shared" si="6"/>
        <v>0.84390932125983842</v>
      </c>
    </row>
    <row r="22" spans="1:12" ht="13.5" thickBot="1">
      <c r="A22" s="43" t="s">
        <v>11</v>
      </c>
      <c r="B22" s="47">
        <f>Scenarios!C31</f>
        <v>2.0067539862887711E-2</v>
      </c>
      <c r="C22" s="44">
        <f t="shared" ref="C22:K22" si="7">C11</f>
        <v>0.19621796279766246</v>
      </c>
      <c r="D22" s="114">
        <f t="shared" si="7"/>
        <v>0.22382706166473476</v>
      </c>
      <c r="E22" s="115">
        <f t="shared" si="7"/>
        <v>0.88503479579271971</v>
      </c>
      <c r="F22" s="115">
        <f t="shared" si="7"/>
        <v>0.89384087654365474</v>
      </c>
      <c r="G22" s="115">
        <f t="shared" si="7"/>
        <v>0.8858491706713586</v>
      </c>
      <c r="H22" s="115">
        <f t="shared" si="7"/>
        <v>0.78445174530045891</v>
      </c>
      <c r="I22" s="115">
        <f t="shared" si="7"/>
        <v>0.68083389626068469</v>
      </c>
      <c r="J22" s="115">
        <f t="shared" si="7"/>
        <v>0.84390932125983853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88" t="s">
        <v>3</v>
      </c>
      <c r="E25" s="389"/>
      <c r="F25" s="389"/>
      <c r="G25" s="389"/>
      <c r="H25" s="389"/>
      <c r="I25" s="389"/>
      <c r="J25" s="389"/>
      <c r="K25" s="390"/>
    </row>
    <row r="26" spans="1:12">
      <c r="A26" s="41" t="s">
        <v>4</v>
      </c>
      <c r="B26" s="46">
        <f>Scenarios!D24</f>
        <v>-1.0761362748873404E-3</v>
      </c>
      <c r="C26" s="243">
        <f>C4</f>
        <v>3.8327320576542839E-2</v>
      </c>
      <c r="D26" s="249">
        <f t="shared" ref="D26:K26" si="8">D4</f>
        <v>1</v>
      </c>
      <c r="E26" s="250">
        <f t="shared" si="8"/>
        <v>0.3418544126049784</v>
      </c>
      <c r="F26" s="250">
        <f t="shared" si="8"/>
        <v>0.32920370115226022</v>
      </c>
      <c r="G26" s="250">
        <f t="shared" si="8"/>
        <v>9.8859848538283293E-2</v>
      </c>
      <c r="H26" s="250">
        <f t="shared" si="8"/>
        <v>0.17199291666801578</v>
      </c>
      <c r="I26" s="250">
        <f t="shared" si="8"/>
        <v>0.11635308708310647</v>
      </c>
      <c r="J26" s="250">
        <f t="shared" si="8"/>
        <v>0.31533261335053236</v>
      </c>
      <c r="K26" s="251">
        <f t="shared" si="8"/>
        <v>0.22382706166473479</v>
      </c>
      <c r="L26" s="239" t="s">
        <v>120</v>
      </c>
    </row>
    <row r="27" spans="1:12">
      <c r="A27" s="41" t="s">
        <v>5</v>
      </c>
      <c r="B27" s="46">
        <f>Scenarios!D25</f>
        <v>-4.3289757138539151E-2</v>
      </c>
      <c r="C27" s="243">
        <f t="shared" ref="C27:K27" si="9">C5</f>
        <v>0.15740402046445473</v>
      </c>
      <c r="D27" s="249">
        <f t="shared" si="9"/>
        <v>0.3418544126049784</v>
      </c>
      <c r="E27" s="250">
        <f t="shared" si="9"/>
        <v>0.99999999999999978</v>
      </c>
      <c r="F27" s="250">
        <f t="shared" si="9"/>
        <v>0.94415502841460053</v>
      </c>
      <c r="G27" s="250">
        <f t="shared" si="9"/>
        <v>0.75643025620736359</v>
      </c>
      <c r="H27" s="250">
        <f t="shared" si="9"/>
        <v>0.74460051775263425</v>
      </c>
      <c r="I27" s="250">
        <f t="shared" si="9"/>
        <v>0.63042249533958317</v>
      </c>
      <c r="J27" s="250">
        <f t="shared" si="9"/>
        <v>0.87087144487559465</v>
      </c>
      <c r="K27" s="251">
        <f t="shared" si="9"/>
        <v>0.88503479579271971</v>
      </c>
    </row>
    <row r="28" spans="1:12">
      <c r="A28" s="41" t="s">
        <v>6</v>
      </c>
      <c r="B28" s="46">
        <f>Scenarios!D26</f>
        <v>-1.5254735941571146E-2</v>
      </c>
      <c r="C28" s="243">
        <f t="shared" ref="C28:K28" si="10">C6</f>
        <v>0.16055565886911449</v>
      </c>
      <c r="D28" s="249">
        <f t="shared" si="10"/>
        <v>0.32920370115226077</v>
      </c>
      <c r="E28" s="250">
        <f t="shared" si="10"/>
        <v>0.94415502841460075</v>
      </c>
      <c r="F28" s="250">
        <f t="shared" si="10"/>
        <v>1</v>
      </c>
      <c r="G28" s="250">
        <f t="shared" si="10"/>
        <v>0.79131459925771463</v>
      </c>
      <c r="H28" s="250">
        <f t="shared" si="10"/>
        <v>0.79813028035122646</v>
      </c>
      <c r="I28" s="250">
        <f t="shared" si="10"/>
        <v>0.65620336381946465</v>
      </c>
      <c r="J28" s="250">
        <f t="shared" si="10"/>
        <v>0.87052123629161937</v>
      </c>
      <c r="K28" s="251">
        <f t="shared" si="10"/>
        <v>0.89384087654365485</v>
      </c>
    </row>
    <row r="29" spans="1:12">
      <c r="A29" s="41" t="s">
        <v>7</v>
      </c>
      <c r="B29" s="46">
        <f>Scenarios!D27</f>
        <v>-0.18637839848821813</v>
      </c>
      <c r="C29" s="243">
        <f t="shared" ref="C29:K29" si="11">C7</f>
        <v>0.28482723462884557</v>
      </c>
      <c r="D29" s="249">
        <f t="shared" si="11"/>
        <v>9.8859848538283279E-2</v>
      </c>
      <c r="E29" s="250">
        <f t="shared" si="11"/>
        <v>0.75643025620736359</v>
      </c>
      <c r="F29" s="250">
        <f t="shared" si="11"/>
        <v>0.79131459925771463</v>
      </c>
      <c r="G29" s="250">
        <f t="shared" si="11"/>
        <v>1.0000000000000002</v>
      </c>
      <c r="H29" s="250">
        <f t="shared" si="11"/>
        <v>0.80404615715542727</v>
      </c>
      <c r="I29" s="250">
        <f t="shared" si="11"/>
        <v>0.71454817175760521</v>
      </c>
      <c r="J29" s="250">
        <f t="shared" si="11"/>
        <v>0.77932838421386064</v>
      </c>
      <c r="K29" s="251">
        <f t="shared" si="11"/>
        <v>0.8858491706713586</v>
      </c>
    </row>
    <row r="30" spans="1:12">
      <c r="A30" s="41" t="s">
        <v>8</v>
      </c>
      <c r="B30" s="46">
        <f>Scenarios!D28</f>
        <v>-1.5041633078088965E-2</v>
      </c>
      <c r="C30" s="243">
        <f t="shared" ref="C30:K30" si="12">C8</f>
        <v>0.29086830436352928</v>
      </c>
      <c r="D30" s="249">
        <f t="shared" si="12"/>
        <v>0.17199291666801564</v>
      </c>
      <c r="E30" s="250">
        <f t="shared" si="12"/>
        <v>0.74460051775263425</v>
      </c>
      <c r="F30" s="250">
        <f t="shared" si="12"/>
        <v>0.79813028035122635</v>
      </c>
      <c r="G30" s="250">
        <f t="shared" si="12"/>
        <v>0.80404615715542738</v>
      </c>
      <c r="H30" s="250">
        <f t="shared" si="12"/>
        <v>1</v>
      </c>
      <c r="I30" s="250">
        <f t="shared" si="12"/>
        <v>0.63722686856845323</v>
      </c>
      <c r="J30" s="250">
        <f t="shared" si="12"/>
        <v>0.66166173932878602</v>
      </c>
      <c r="K30" s="251">
        <f t="shared" si="12"/>
        <v>0.78445174530045891</v>
      </c>
    </row>
    <row r="31" spans="1:12">
      <c r="A31" s="41" t="s">
        <v>9</v>
      </c>
      <c r="B31" s="46">
        <f>Scenarios!D29</f>
        <v>1.7326163923364224E-2</v>
      </c>
      <c r="C31" s="243">
        <f t="shared" ref="C31:K31" si="13">C9</f>
        <v>0.32762989319180058</v>
      </c>
      <c r="D31" s="249">
        <f t="shared" si="13"/>
        <v>0.1163530870831065</v>
      </c>
      <c r="E31" s="250">
        <f t="shared" si="13"/>
        <v>0.63042249533958294</v>
      </c>
      <c r="F31" s="250">
        <f t="shared" si="13"/>
        <v>0.65620336381946465</v>
      </c>
      <c r="G31" s="250">
        <f t="shared" si="13"/>
        <v>0.71454817175760499</v>
      </c>
      <c r="H31" s="250">
        <f t="shared" si="13"/>
        <v>0.63722686856845323</v>
      </c>
      <c r="I31" s="250">
        <f t="shared" si="13"/>
        <v>0.99999999999999978</v>
      </c>
      <c r="J31" s="250">
        <f t="shared" si="13"/>
        <v>0.61123567343454832</v>
      </c>
      <c r="K31" s="251">
        <f t="shared" si="13"/>
        <v>0.68083389626068458</v>
      </c>
    </row>
    <row r="32" spans="1:12">
      <c r="A32" s="41" t="s">
        <v>10</v>
      </c>
      <c r="B32" s="46">
        <f>Scenarios!D30</f>
        <v>-4.2158606606711446E-2</v>
      </c>
      <c r="C32" s="243">
        <f t="shared" ref="C32:K32" si="14">C10</f>
        <v>0.15798659221184908</v>
      </c>
      <c r="D32" s="249">
        <f t="shared" si="14"/>
        <v>0.31533261335053225</v>
      </c>
      <c r="E32" s="250">
        <f t="shared" si="14"/>
        <v>0.87087144487559476</v>
      </c>
      <c r="F32" s="250">
        <f t="shared" si="14"/>
        <v>0.87052123629161926</v>
      </c>
      <c r="G32" s="250">
        <f t="shared" si="14"/>
        <v>0.77932838421386041</v>
      </c>
      <c r="H32" s="250">
        <f t="shared" si="14"/>
        <v>0.66166173932878602</v>
      </c>
      <c r="I32" s="250">
        <f t="shared" si="14"/>
        <v>0.61123567343454821</v>
      </c>
      <c r="J32" s="250">
        <f t="shared" si="14"/>
        <v>0.99999999999999978</v>
      </c>
      <c r="K32" s="251">
        <f t="shared" si="14"/>
        <v>0.84390932125983842</v>
      </c>
    </row>
    <row r="33" spans="1:12" ht="13.5" thickBot="1">
      <c r="A33" s="43" t="s">
        <v>11</v>
      </c>
      <c r="B33" s="47">
        <f>Scenarios!D31</f>
        <v>-5.1766673344794997E-2</v>
      </c>
      <c r="C33" s="246">
        <f t="shared" ref="C33:K33" si="15">C11</f>
        <v>0.19621796279766246</v>
      </c>
      <c r="D33" s="252">
        <f t="shared" si="15"/>
        <v>0.22382706166473476</v>
      </c>
      <c r="E33" s="253">
        <f t="shared" si="15"/>
        <v>0.88503479579271971</v>
      </c>
      <c r="F33" s="253">
        <f t="shared" si="15"/>
        <v>0.89384087654365474</v>
      </c>
      <c r="G33" s="253">
        <f t="shared" si="15"/>
        <v>0.8858491706713586</v>
      </c>
      <c r="H33" s="253">
        <f t="shared" si="15"/>
        <v>0.78445174530045891</v>
      </c>
      <c r="I33" s="253">
        <f t="shared" si="15"/>
        <v>0.68083389626068469</v>
      </c>
      <c r="J33" s="253">
        <f t="shared" si="15"/>
        <v>0.84390932125983853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88" t="s">
        <v>3</v>
      </c>
      <c r="E36" s="389"/>
      <c r="F36" s="389"/>
      <c r="G36" s="389"/>
      <c r="H36" s="389"/>
      <c r="I36" s="389"/>
      <c r="J36" s="389"/>
      <c r="K36" s="390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3.8327320576542839E-2</v>
      </c>
      <c r="D37" s="249">
        <f t="shared" si="16"/>
        <v>1</v>
      </c>
      <c r="E37" s="250">
        <f t="shared" si="16"/>
        <v>0.3418544126049784</v>
      </c>
      <c r="F37" s="250">
        <f t="shared" si="16"/>
        <v>0.32920370115226022</v>
      </c>
      <c r="G37" s="250">
        <f t="shared" si="16"/>
        <v>9.8859848538283293E-2</v>
      </c>
      <c r="H37" s="250">
        <f t="shared" si="16"/>
        <v>0.17199291666801578</v>
      </c>
      <c r="I37" s="250">
        <f t="shared" si="16"/>
        <v>0.11635308708310647</v>
      </c>
      <c r="J37" s="250">
        <f t="shared" si="16"/>
        <v>0.31533261335053236</v>
      </c>
      <c r="K37" s="251">
        <f t="shared" si="16"/>
        <v>0.22382706166473479</v>
      </c>
      <c r="L37" s="239" t="s">
        <v>120</v>
      </c>
    </row>
    <row r="38" spans="1:12">
      <c r="A38" s="41" t="s">
        <v>5</v>
      </c>
      <c r="B38" s="46">
        <f>Scenarios!E25</f>
        <v>2.8173968116101435E-2</v>
      </c>
      <c r="C38" s="243">
        <f t="shared" ref="C38:K38" si="17">C16</f>
        <v>0.15740402046445473</v>
      </c>
      <c r="D38" s="249">
        <f t="shared" si="17"/>
        <v>0.3418544126049784</v>
      </c>
      <c r="E38" s="250">
        <f t="shared" si="17"/>
        <v>0.99999999999999978</v>
      </c>
      <c r="F38" s="250">
        <f t="shared" si="17"/>
        <v>0.94415502841460053</v>
      </c>
      <c r="G38" s="250">
        <f t="shared" si="17"/>
        <v>0.75643025620736359</v>
      </c>
      <c r="H38" s="250">
        <f t="shared" si="17"/>
        <v>0.74460051775263425</v>
      </c>
      <c r="I38" s="250">
        <f t="shared" si="17"/>
        <v>0.63042249533958317</v>
      </c>
      <c r="J38" s="250">
        <f t="shared" si="17"/>
        <v>0.87087144487559465</v>
      </c>
      <c r="K38" s="251">
        <f t="shared" si="17"/>
        <v>0.88503479579271971</v>
      </c>
    </row>
    <row r="39" spans="1:12">
      <c r="A39" s="41" t="s">
        <v>6</v>
      </c>
      <c r="B39" s="46">
        <f>Scenarios!E26</f>
        <v>4.2527479167274736E-2</v>
      </c>
      <c r="C39" s="243">
        <f t="shared" ref="C39:K39" si="18">C17</f>
        <v>0.16055565886911449</v>
      </c>
      <c r="D39" s="249">
        <f t="shared" si="18"/>
        <v>0.32920370115226077</v>
      </c>
      <c r="E39" s="250">
        <f t="shared" si="18"/>
        <v>0.94415502841460075</v>
      </c>
      <c r="F39" s="250">
        <f t="shared" si="18"/>
        <v>1</v>
      </c>
      <c r="G39" s="250">
        <f t="shared" si="18"/>
        <v>0.79131459925771463</v>
      </c>
      <c r="H39" s="250">
        <f t="shared" si="18"/>
        <v>0.79813028035122646</v>
      </c>
      <c r="I39" s="250">
        <f t="shared" si="18"/>
        <v>0.65620336381946465</v>
      </c>
      <c r="J39" s="250">
        <f t="shared" si="18"/>
        <v>0.87052123629161937</v>
      </c>
      <c r="K39" s="251">
        <f t="shared" si="18"/>
        <v>0.89384087654365485</v>
      </c>
    </row>
    <row r="40" spans="1:12">
      <c r="A40" s="41" t="s">
        <v>7</v>
      </c>
      <c r="B40" s="46">
        <f>Scenarios!E27</f>
        <v>3.3016877644366754E-2</v>
      </c>
      <c r="C40" s="243">
        <f t="shared" ref="C40:K40" si="19">C18</f>
        <v>0.28482723462884557</v>
      </c>
      <c r="D40" s="249">
        <f t="shared" si="19"/>
        <v>9.8859848538283279E-2</v>
      </c>
      <c r="E40" s="250">
        <f t="shared" si="19"/>
        <v>0.75643025620736359</v>
      </c>
      <c r="F40" s="250">
        <f t="shared" si="19"/>
        <v>0.79131459925771463</v>
      </c>
      <c r="G40" s="250">
        <f t="shared" si="19"/>
        <v>1.0000000000000002</v>
      </c>
      <c r="H40" s="250">
        <f t="shared" si="19"/>
        <v>0.80404615715542727</v>
      </c>
      <c r="I40" s="250">
        <f t="shared" si="19"/>
        <v>0.71454817175760521</v>
      </c>
      <c r="J40" s="250">
        <f t="shared" si="19"/>
        <v>0.77932838421386064</v>
      </c>
      <c r="K40" s="251">
        <f t="shared" si="19"/>
        <v>0.8858491706713586</v>
      </c>
    </row>
    <row r="41" spans="1:12">
      <c r="A41" s="41" t="s">
        <v>8</v>
      </c>
      <c r="B41" s="46">
        <f>Scenarios!E28</f>
        <v>7.4724436355395413E-2</v>
      </c>
      <c r="C41" s="243">
        <f t="shared" ref="C41:K41" si="20">C19</f>
        <v>0.29086830436352928</v>
      </c>
      <c r="D41" s="249">
        <f t="shared" si="20"/>
        <v>0.17199291666801564</v>
      </c>
      <c r="E41" s="250">
        <f t="shared" si="20"/>
        <v>0.74460051775263425</v>
      </c>
      <c r="F41" s="250">
        <f t="shared" si="20"/>
        <v>0.79813028035122635</v>
      </c>
      <c r="G41" s="250">
        <f t="shared" si="20"/>
        <v>0.80404615715542738</v>
      </c>
      <c r="H41" s="250">
        <f t="shared" si="20"/>
        <v>1</v>
      </c>
      <c r="I41" s="250">
        <f t="shared" si="20"/>
        <v>0.63722686856845323</v>
      </c>
      <c r="J41" s="250">
        <f t="shared" si="20"/>
        <v>0.66166173932878602</v>
      </c>
      <c r="K41" s="251">
        <f t="shared" si="20"/>
        <v>0.78445174530045891</v>
      </c>
    </row>
    <row r="42" spans="1:12">
      <c r="A42" s="41" t="s">
        <v>9</v>
      </c>
      <c r="B42" s="46">
        <f>Scenarios!E29</f>
        <v>-3.9001815740357833E-3</v>
      </c>
      <c r="C42" s="243">
        <f t="shared" ref="C42:K42" si="21">C20</f>
        <v>0.32762989319180058</v>
      </c>
      <c r="D42" s="249">
        <f t="shared" si="21"/>
        <v>0.1163530870831065</v>
      </c>
      <c r="E42" s="250">
        <f t="shared" si="21"/>
        <v>0.63042249533958294</v>
      </c>
      <c r="F42" s="250">
        <f t="shared" si="21"/>
        <v>0.65620336381946465</v>
      </c>
      <c r="G42" s="250">
        <f t="shared" si="21"/>
        <v>0.71454817175760499</v>
      </c>
      <c r="H42" s="250">
        <f t="shared" si="21"/>
        <v>0.63722686856845323</v>
      </c>
      <c r="I42" s="250">
        <f t="shared" si="21"/>
        <v>0.99999999999999978</v>
      </c>
      <c r="J42" s="250">
        <f t="shared" si="21"/>
        <v>0.61123567343454832</v>
      </c>
      <c r="K42" s="251">
        <f t="shared" si="21"/>
        <v>0.68083389626068458</v>
      </c>
    </row>
    <row r="43" spans="1:12">
      <c r="A43" s="41" t="s">
        <v>10</v>
      </c>
      <c r="B43" s="46">
        <f>Scenarios!E30</f>
        <v>1.0491043321084678E-2</v>
      </c>
      <c r="C43" s="243">
        <f t="shared" ref="C43:K43" si="22">C21</f>
        <v>0.15798659221184908</v>
      </c>
      <c r="D43" s="249">
        <f t="shared" si="22"/>
        <v>0.31533261335053225</v>
      </c>
      <c r="E43" s="250">
        <f t="shared" si="22"/>
        <v>0.87087144487559476</v>
      </c>
      <c r="F43" s="250">
        <f t="shared" si="22"/>
        <v>0.87052123629161926</v>
      </c>
      <c r="G43" s="250">
        <f t="shared" si="22"/>
        <v>0.77932838421386041</v>
      </c>
      <c r="H43" s="250">
        <f t="shared" si="22"/>
        <v>0.66166173932878602</v>
      </c>
      <c r="I43" s="250">
        <f t="shared" si="22"/>
        <v>0.61123567343454821</v>
      </c>
      <c r="J43" s="250">
        <f t="shared" si="22"/>
        <v>0.99999999999999978</v>
      </c>
      <c r="K43" s="251">
        <f t="shared" si="22"/>
        <v>0.84390932125983842</v>
      </c>
    </row>
    <row r="44" spans="1:12" ht="13.5" thickBot="1">
      <c r="A44" s="43" t="s">
        <v>11</v>
      </c>
      <c r="B44" s="47">
        <f>Scenarios!E31</f>
        <v>4.4470055868840348E-2</v>
      </c>
      <c r="C44" s="246">
        <f t="shared" ref="C44:K44" si="23">C22</f>
        <v>0.19621796279766246</v>
      </c>
      <c r="D44" s="252">
        <f t="shared" si="23"/>
        <v>0.22382706166473476</v>
      </c>
      <c r="E44" s="253">
        <f t="shared" si="23"/>
        <v>0.88503479579271971</v>
      </c>
      <c r="F44" s="253">
        <f t="shared" si="23"/>
        <v>0.89384087654365474</v>
      </c>
      <c r="G44" s="253">
        <f t="shared" si="23"/>
        <v>0.8858491706713586</v>
      </c>
      <c r="H44" s="253">
        <f t="shared" si="23"/>
        <v>0.78445174530045891</v>
      </c>
      <c r="I44" s="253">
        <f t="shared" si="23"/>
        <v>0.68083389626068469</v>
      </c>
      <c r="J44" s="253">
        <f t="shared" si="23"/>
        <v>0.84390932125983853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91" t="s">
        <v>3</v>
      </c>
      <c r="E47" s="392"/>
      <c r="F47" s="392"/>
      <c r="G47" s="392"/>
      <c r="H47" s="392"/>
      <c r="I47" s="392"/>
      <c r="J47" s="392"/>
      <c r="K47" s="393"/>
    </row>
    <row r="48" spans="1:12">
      <c r="A48" s="41" t="s">
        <v>4</v>
      </c>
      <c r="B48" s="230">
        <f>Scenarios!F24</f>
        <v>-5.8987126880164276E-2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-0.46709405332985687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-0.53388765375707492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-0.63662140327632288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-0.38154687800334713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-0.39528495301413574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-0.25764077911990541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-0.32705491871314474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88" t="s">
        <v>3</v>
      </c>
      <c r="E58" s="389"/>
      <c r="F58" s="389"/>
      <c r="G58" s="389"/>
      <c r="H58" s="389"/>
      <c r="I58" s="389"/>
      <c r="J58" s="389"/>
      <c r="K58" s="390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-0.46905624232985693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-0.40758678794189662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-0.50223026172585394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-0.22652606438744602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-0.36578625545580234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-1.27081470544461E-2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-0.17140461936280491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88" t="s">
        <v>3</v>
      </c>
      <c r="E69" s="389"/>
      <c r="F69" s="389"/>
      <c r="G69" s="389"/>
      <c r="H69" s="389"/>
      <c r="I69" s="389"/>
      <c r="J69" s="389"/>
      <c r="K69" s="390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0.30101613523680981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0.26888806032968465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0.34216639060226639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0.43818723932566084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0.41949577968586427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0.26865610006004731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0.40834897941312509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B51" sqref="B50:B51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94" t="s">
        <v>16</v>
      </c>
      <c r="D2" s="395"/>
      <c r="E2" s="396" t="s">
        <v>17</v>
      </c>
      <c r="F2" s="397"/>
      <c r="G2" s="398" t="s">
        <v>33</v>
      </c>
      <c r="H2" s="399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0.55000000000000004</v>
      </c>
      <c r="D4" s="16">
        <f>'Control panel'!D3</f>
        <v>0.65</v>
      </c>
      <c r="E4" s="16">
        <v>0</v>
      </c>
      <c r="F4" s="16">
        <v>1</v>
      </c>
      <c r="G4" s="17">
        <f>'Control panel'!B3</f>
        <v>0.55282478375024968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9.9075500713263709E-2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0.15</v>
      </c>
      <c r="E6" s="20">
        <v>0</v>
      </c>
      <c r="F6" s="20">
        <v>1</v>
      </c>
      <c r="G6" s="21">
        <f>'Control panel'!B5</f>
        <v>9.346901390128548E-2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0.11036511115690795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</v>
      </c>
      <c r="E8" s="20">
        <v>0</v>
      </c>
      <c r="F8" s="20">
        <v>1</v>
      </c>
      <c r="G8" s="21">
        <f>'Control panel'!B7</f>
        <v>4.9724653199130588E-2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0.01</v>
      </c>
      <c r="D9" s="20">
        <f>'Control panel'!D8</f>
        <v>0.03</v>
      </c>
      <c r="E9" s="20">
        <v>0</v>
      </c>
      <c r="F9" s="20">
        <v>1</v>
      </c>
      <c r="G9" s="21">
        <f>'Control panel'!B8</f>
        <v>1.9027140584823948E-2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0.02</v>
      </c>
      <c r="D10" s="20">
        <f>'Control panel'!D9</f>
        <v>0.04</v>
      </c>
      <c r="E10" s="20">
        <v>0</v>
      </c>
      <c r="F10" s="20">
        <v>1</v>
      </c>
      <c r="G10" s="21">
        <f>'Control panel'!B9</f>
        <v>3.0988823352997075E-2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3.5000000000000003E-2</v>
      </c>
      <c r="D11" s="24">
        <f>'Control panel'!D10</f>
        <v>5.5E-2</v>
      </c>
      <c r="E11" s="24">
        <v>0</v>
      </c>
      <c r="F11" s="24">
        <v>1</v>
      </c>
      <c r="G11" s="25">
        <f>'Control panel'!B10</f>
        <v>4.4524973341341555E-2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F37" sqref="F37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9.5014385241780117E-2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9.5014385241780117E-2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9.5014385241780117E-2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9.5014385241780117E-2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9.5014385241780117E-2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9.5014385241780117E-2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9.5014385241780117E-2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9.5014385241780117E-2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58" workbookViewId="0">
      <selection activeCell="A28" sqref="A28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400" t="s">
        <v>64</v>
      </c>
      <c r="E2" s="401"/>
      <c r="F2" s="402"/>
      <c r="G2" s="400" t="s">
        <v>65</v>
      </c>
      <c r="H2" s="401"/>
      <c r="I2" s="401"/>
      <c r="J2" s="401"/>
      <c r="K2" s="401"/>
      <c r="L2" s="401"/>
      <c r="M2" s="401"/>
      <c r="N2" s="401"/>
      <c r="O2" s="402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0.38758718432698636</v>
      </c>
      <c r="H3" s="272">
        <v>0.32320731987593354</v>
      </c>
      <c r="I3" s="272">
        <v>0.22077522380500758</v>
      </c>
      <c r="J3" s="272">
        <v>2.6270026913945199E-2</v>
      </c>
      <c r="K3" s="272">
        <v>2.173440156234796E-2</v>
      </c>
      <c r="L3" s="272">
        <v>1.9189343510405354E-2</v>
      </c>
      <c r="M3" s="272">
        <v>1.2365000053752295E-3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0.56957760389429679</v>
      </c>
      <c r="C4" s="54">
        <v>1.0746644032303123E-2</v>
      </c>
      <c r="D4" s="55">
        <v>0.5613269004086493</v>
      </c>
      <c r="E4" s="1">
        <v>0.56892500716826977</v>
      </c>
      <c r="F4" s="56">
        <v>0.57696774978747523</v>
      </c>
      <c r="G4" s="2">
        <v>0.39782602086721647</v>
      </c>
      <c r="H4" s="2">
        <v>-2.4525047840894612E-2</v>
      </c>
      <c r="I4" s="2">
        <v>0.59351781633657952</v>
      </c>
      <c r="J4" s="2">
        <v>-0.29833320717624623</v>
      </c>
      <c r="K4" s="2">
        <v>0.3483574247619291</v>
      </c>
      <c r="L4" s="2">
        <v>0.12196418373202399</v>
      </c>
      <c r="M4" s="2">
        <v>1</v>
      </c>
      <c r="N4" s="2">
        <v>0.99999999999993872</v>
      </c>
      <c r="O4" s="57"/>
      <c r="R4" s="51" t="str">
        <f>A4</f>
        <v>Nominale matching</v>
      </c>
      <c r="S4" s="52">
        <f>D4</f>
        <v>0.5613269004086493</v>
      </c>
      <c r="T4" s="52">
        <f>B4-D4</f>
        <v>8.2507034856474926E-3</v>
      </c>
      <c r="U4" s="52">
        <f>F4-B4</f>
        <v>7.3901458931784347E-3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8.234989031351643E-2</v>
      </c>
      <c r="C5" s="54">
        <v>1.9858380567506925E-2</v>
      </c>
      <c r="D5" s="55">
        <v>6.6329408204576085E-2</v>
      </c>
      <c r="E5" s="1">
        <v>8.0278601920209053E-2</v>
      </c>
      <c r="F5" s="56">
        <v>9.6048294192242409E-2</v>
      </c>
      <c r="G5" s="2">
        <v>-0.3110258897392022</v>
      </c>
      <c r="H5" s="2">
        <v>1</v>
      </c>
      <c r="I5" s="2">
        <v>-0.7805438053895738</v>
      </c>
      <c r="J5" s="2">
        <v>-0.39268372829266773</v>
      </c>
      <c r="K5" s="2">
        <v>3.5649962630240783E-2</v>
      </c>
      <c r="L5" s="2">
        <v>7.2959210242927924E-2</v>
      </c>
      <c r="M5" s="2">
        <v>0.17224473776268617</v>
      </c>
      <c r="N5" s="2">
        <v>0.99999999999997125</v>
      </c>
      <c r="O5" s="57"/>
      <c r="R5" s="51" t="str">
        <f t="shared" ref="R5:R11" si="0">A5</f>
        <v>High Yield</v>
      </c>
      <c r="S5" s="52">
        <f t="shared" ref="S5:S11" si="1">D5</f>
        <v>6.6329408204576085E-2</v>
      </c>
      <c r="T5" s="52">
        <f t="shared" ref="T5:T11" si="2">B5-D5</f>
        <v>1.6020482108940345E-2</v>
      </c>
      <c r="U5" s="52">
        <f t="shared" ref="U5:U11" si="3">F5-B5</f>
        <v>1.3698403878725979E-2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8.2239223091742183E-2</v>
      </c>
      <c r="C6" s="54">
        <v>2.0562768899259513E-2</v>
      </c>
      <c r="D6" s="55">
        <v>6.6273489045250156E-2</v>
      </c>
      <c r="E6" s="1">
        <v>7.8744261734095572E-2</v>
      </c>
      <c r="F6" s="56">
        <v>9.5718219766845303E-2</v>
      </c>
      <c r="G6" s="2">
        <v>-0.53093585124022857</v>
      </c>
      <c r="H6" s="2">
        <v>-0.99883884427304104</v>
      </c>
      <c r="I6" s="2">
        <v>-0.60588782772200633</v>
      </c>
      <c r="J6" s="2">
        <v>-0.41383891656270938</v>
      </c>
      <c r="K6" s="2">
        <v>3.778642045859483E-2</v>
      </c>
      <c r="L6" s="2">
        <v>6.9920191154459244E-2</v>
      </c>
      <c r="M6" s="2">
        <v>0.1318232997187275</v>
      </c>
      <c r="N6" s="2">
        <v>0.99999999999997358</v>
      </c>
      <c r="O6" s="57"/>
      <c r="R6" s="51" t="str">
        <f t="shared" si="0"/>
        <v>Emerging market debt</v>
      </c>
      <c r="S6" s="52">
        <f t="shared" si="1"/>
        <v>6.6273489045250156E-2</v>
      </c>
      <c r="T6" s="52">
        <f t="shared" si="2"/>
        <v>1.5965734046492028E-2</v>
      </c>
      <c r="U6" s="52">
        <f t="shared" si="3"/>
        <v>1.3478996675103119E-2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0.12499999987365232</v>
      </c>
      <c r="C7" s="54">
        <v>1.9411148961014615E-2</v>
      </c>
      <c r="D7" s="55">
        <v>0.11232372188766881</v>
      </c>
      <c r="E7" s="1">
        <v>0.12608709154165026</v>
      </c>
      <c r="F7" s="56">
        <v>0.1383110692705351</v>
      </c>
      <c r="G7" s="2">
        <v>1</v>
      </c>
      <c r="H7" s="2">
        <v>-0.12801218092246044</v>
      </c>
      <c r="I7" s="2">
        <v>-0.27255344778113538</v>
      </c>
      <c r="J7" s="2">
        <v>-0.48731434444268379</v>
      </c>
      <c r="K7" s="2">
        <v>-0.24020476943256264</v>
      </c>
      <c r="L7" s="2">
        <v>7.5624973298063794E-2</v>
      </c>
      <c r="M7" s="2">
        <v>-0.54835216841421452</v>
      </c>
      <c r="N7" s="2">
        <v>1</v>
      </c>
      <c r="O7" s="57"/>
      <c r="R7" s="51" t="str">
        <f t="shared" si="0"/>
        <v>Aandelen ontwikkeld</v>
      </c>
      <c r="S7" s="52">
        <f t="shared" si="1"/>
        <v>0.11232372188766881</v>
      </c>
      <c r="T7" s="52">
        <f t="shared" si="2"/>
        <v>1.2676277985983503E-2</v>
      </c>
      <c r="U7" s="52">
        <f t="shared" si="3"/>
        <v>1.3311069396882785E-2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5.107462899562637E-2</v>
      </c>
      <c r="C8" s="54">
        <v>1.6277166888591411E-2</v>
      </c>
      <c r="D8" s="55">
        <v>3.859675673771288E-2</v>
      </c>
      <c r="E8" s="1">
        <v>4.7919492470487657E-2</v>
      </c>
      <c r="F8" s="56">
        <v>6.1920143409978048E-2</v>
      </c>
      <c r="G8" s="2">
        <v>-0.52742061214906055</v>
      </c>
      <c r="H8" s="2">
        <v>0.15449847571085917</v>
      </c>
      <c r="I8" s="2">
        <v>1</v>
      </c>
      <c r="J8" s="2">
        <v>-0.55122952877036713</v>
      </c>
      <c r="K8" s="2">
        <v>-0.26696253623462118</v>
      </c>
      <c r="L8" s="2">
        <v>7.0723299572314657E-2</v>
      </c>
      <c r="M8" s="2">
        <v>-0.50694504892101955</v>
      </c>
      <c r="N8" s="2">
        <v>0.999999999999999</v>
      </c>
      <c r="O8" s="57"/>
      <c r="R8" s="51" t="str">
        <f t="shared" si="0"/>
        <v>Aandelen opkomend</v>
      </c>
      <c r="S8" s="52">
        <f t="shared" si="1"/>
        <v>3.859675673771288E-2</v>
      </c>
      <c r="T8" s="52">
        <f t="shared" si="2"/>
        <v>1.247787225791349E-2</v>
      </c>
      <c r="U8" s="52">
        <f t="shared" si="3"/>
        <v>1.0845514414351679E-2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1.7725376550572075E-2</v>
      </c>
      <c r="C9" s="54">
        <v>5.3603634483787299E-3</v>
      </c>
      <c r="D9" s="55">
        <v>1.3095337024510243E-2</v>
      </c>
      <c r="E9" s="1">
        <v>1.7062695307316973E-2</v>
      </c>
      <c r="F9" s="56">
        <v>2.1780486257149075E-2</v>
      </c>
      <c r="G9" s="2">
        <v>-8.0161092657618088E-3</v>
      </c>
      <c r="H9" s="2">
        <v>1.2278992356729261E-2</v>
      </c>
      <c r="I9" s="2">
        <v>5.1184741322222095E-2</v>
      </c>
      <c r="J9" s="2">
        <v>0.50910587249917816</v>
      </c>
      <c r="K9" s="2">
        <v>1</v>
      </c>
      <c r="L9" s="2">
        <v>-0.51857840318783077</v>
      </c>
      <c r="M9" s="2">
        <v>-0.44260791530172516</v>
      </c>
      <c r="N9" s="2">
        <v>0.99999999999999578</v>
      </c>
      <c r="O9" s="57"/>
      <c r="R9" s="51" t="str">
        <f t="shared" si="0"/>
        <v>Commodities</v>
      </c>
      <c r="S9" s="52">
        <f t="shared" si="1"/>
        <v>1.3095337024510243E-2</v>
      </c>
      <c r="T9" s="52">
        <f t="shared" si="2"/>
        <v>4.630039526061832E-3</v>
      </c>
      <c r="U9" s="52">
        <f t="shared" si="3"/>
        <v>4.0551097065769995E-3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2.8315560865201414E-2</v>
      </c>
      <c r="C10" s="54">
        <v>5.4825255665165015E-3</v>
      </c>
      <c r="D10" s="55">
        <v>2.3501449421306057E-2</v>
      </c>
      <c r="E10" s="1">
        <v>2.7931056488518891E-2</v>
      </c>
      <c r="F10" s="56">
        <v>3.2648634666879298E-2</v>
      </c>
      <c r="G10" s="2">
        <v>5.6845503234767506E-3</v>
      </c>
      <c r="H10" s="2">
        <v>-1.0775713938531072E-2</v>
      </c>
      <c r="I10" s="2">
        <v>5.7734651581555331E-3</v>
      </c>
      <c r="J10" s="2">
        <v>0.63429385274549777</v>
      </c>
      <c r="K10" s="2">
        <v>-0.75161713377630957</v>
      </c>
      <c r="L10" s="2">
        <v>-0.89261345481195975</v>
      </c>
      <c r="M10" s="2">
        <v>0.25879039869056469</v>
      </c>
      <c r="N10" s="2">
        <v>0.9999999999999678</v>
      </c>
      <c r="O10" s="57"/>
      <c r="R10" s="51" t="str">
        <f t="shared" si="0"/>
        <v>Hedge funds</v>
      </c>
      <c r="S10" s="52">
        <f t="shared" si="1"/>
        <v>2.3501449421306057E-2</v>
      </c>
      <c r="T10" s="52">
        <f t="shared" si="2"/>
        <v>4.8141114438953574E-3</v>
      </c>
      <c r="U10" s="52">
        <f t="shared" si="3"/>
        <v>4.3330738016778836E-3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4.3717716415392627E-2</v>
      </c>
      <c r="C11" s="62">
        <v>5.7199963075233182E-3</v>
      </c>
      <c r="D11" s="63">
        <v>3.8585392355016353E-2</v>
      </c>
      <c r="E11" s="61">
        <v>4.3132404138338708E-2</v>
      </c>
      <c r="F11" s="64">
        <v>4.8410761931427355E-2</v>
      </c>
      <c r="G11" s="65">
        <v>-2.6112108796439853E-2</v>
      </c>
      <c r="H11" s="65">
        <v>-4.6256810926605663E-3</v>
      </c>
      <c r="I11" s="65">
        <v>8.5090580757581236E-3</v>
      </c>
      <c r="J11" s="65">
        <v>1</v>
      </c>
      <c r="K11" s="65">
        <v>-0.16300936840727195</v>
      </c>
      <c r="L11" s="65">
        <v>1</v>
      </c>
      <c r="M11" s="65">
        <v>-6.4953303534945633E-2</v>
      </c>
      <c r="N11" s="65">
        <v>0.99999999999998057</v>
      </c>
      <c r="O11" s="66"/>
      <c r="R11" s="51" t="str">
        <f t="shared" si="0"/>
        <v>Onroerend goed</v>
      </c>
      <c r="S11" s="52">
        <f t="shared" si="1"/>
        <v>3.8585392355016353E-2</v>
      </c>
      <c r="T11" s="52">
        <f t="shared" si="2"/>
        <v>5.132324060376274E-3</v>
      </c>
      <c r="U11" s="52">
        <f t="shared" si="3"/>
        <v>4.6930455160347287E-3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400" t="s">
        <v>64</v>
      </c>
      <c r="E13" s="401"/>
      <c r="F13" s="402"/>
      <c r="G13" s="400" t="s">
        <v>65</v>
      </c>
      <c r="H13" s="401"/>
      <c r="I13" s="401"/>
      <c r="J13" s="401"/>
      <c r="K13" s="401"/>
      <c r="L13" s="401"/>
      <c r="M13" s="401"/>
      <c r="N13" s="401"/>
      <c r="O13" s="402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0.48162990479910139</v>
      </c>
      <c r="H14" s="272">
        <v>0.33302445358438892</v>
      </c>
      <c r="I14" s="272">
        <v>8.1803619704459929E-2</v>
      </c>
      <c r="J14" s="272">
        <v>4.2069214539250943E-2</v>
      </c>
      <c r="K14" s="272">
        <v>2.5334186162580319E-2</v>
      </c>
      <c r="L14" s="272">
        <v>1.8528559229094022E-2</v>
      </c>
      <c r="M14" s="272">
        <v>1.7610061981124803E-2</v>
      </c>
      <c r="N14" s="272">
        <v>-2.2204460492503131E-16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0.57339020469276714</v>
      </c>
      <c r="C15" s="54">
        <v>1.395996731052037E-2</v>
      </c>
      <c r="D15" s="55">
        <v>0.5628945263516516</v>
      </c>
      <c r="E15" s="1">
        <v>0.57158781400978631</v>
      </c>
      <c r="F15" s="56">
        <v>0.58251218382513048</v>
      </c>
      <c r="G15" s="2">
        <v>-0.14827785664462492</v>
      </c>
      <c r="H15" s="2">
        <v>-0.52535195684523661</v>
      </c>
      <c r="I15" s="2">
        <v>1</v>
      </c>
      <c r="J15" s="2">
        <v>0.11618803984113608</v>
      </c>
      <c r="K15" s="2">
        <v>-0.34375715859891542</v>
      </c>
      <c r="L15" s="2">
        <v>-0.13065017837704626</v>
      </c>
      <c r="M15" s="2">
        <v>-2.759776585231917E-3</v>
      </c>
      <c r="N15" s="2">
        <v>0.99999999999999989</v>
      </c>
      <c r="O15" s="57"/>
      <c r="R15" s="51" t="str">
        <f>A15</f>
        <v>Nominale matching</v>
      </c>
      <c r="S15" s="52">
        <f>D15</f>
        <v>0.5628945263516516</v>
      </c>
      <c r="T15" s="52">
        <f>B15-D15</f>
        <v>1.0495678341115533E-2</v>
      </c>
      <c r="U15" s="52">
        <f>F15-B15</f>
        <v>9.1219791323633448E-3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8.517733472513811E-2</v>
      </c>
      <c r="C16" s="54">
        <v>2.1354850363311174E-2</v>
      </c>
      <c r="D16" s="55">
        <v>6.9302178120674907E-2</v>
      </c>
      <c r="E16" s="1">
        <v>8.2658658582073316E-2</v>
      </c>
      <c r="F16" s="56">
        <v>0.10048206583042915</v>
      </c>
      <c r="G16" s="2">
        <v>-0.41990318722764386</v>
      </c>
      <c r="H16" s="2">
        <v>1</v>
      </c>
      <c r="I16" s="2">
        <v>0.20652378849441846</v>
      </c>
      <c r="J16" s="2">
        <v>-0.15420018582851169</v>
      </c>
      <c r="K16" s="2">
        <v>-0.39889627074979561</v>
      </c>
      <c r="L16" s="2">
        <v>-9.3210780466835286E-2</v>
      </c>
      <c r="M16" s="2">
        <v>3.4990559154457548E-3</v>
      </c>
      <c r="N16" s="2">
        <v>0.99999999999999911</v>
      </c>
      <c r="O16" s="57"/>
      <c r="R16" s="51" t="str">
        <f t="shared" ref="R16:R22" si="5">A16</f>
        <v>High Yield</v>
      </c>
      <c r="S16" s="52">
        <f t="shared" ref="S16:S22" si="6">D16</f>
        <v>6.9302178120674907E-2</v>
      </c>
      <c r="T16" s="52">
        <f t="shared" ref="T16:T22" si="7">B16-D16</f>
        <v>1.5875156604463203E-2</v>
      </c>
      <c r="U16" s="52">
        <f t="shared" ref="U16:U22" si="8">F16-B16</f>
        <v>1.5304731105291042E-2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0.10002617308854149</v>
      </c>
      <c r="C17" s="54">
        <v>2.3556724679377174E-2</v>
      </c>
      <c r="D17" s="55">
        <v>8.0748518116354959E-2</v>
      </c>
      <c r="E17" s="1">
        <v>9.8514358971454039E-2</v>
      </c>
      <c r="F17" s="56">
        <v>0.11730493236811096</v>
      </c>
      <c r="G17" s="2">
        <v>1</v>
      </c>
      <c r="H17" s="2">
        <v>9.9578089103808706E-2</v>
      </c>
      <c r="I17" s="2">
        <v>-2.1449756284263693E-2</v>
      </c>
      <c r="J17" s="2">
        <v>-0.45277349187864047</v>
      </c>
      <c r="K17" s="2">
        <v>-0.40451755448746257</v>
      </c>
      <c r="L17" s="2">
        <v>-5.9671426438095143E-2</v>
      </c>
      <c r="M17" s="2">
        <v>3.213407642504619E-2</v>
      </c>
      <c r="N17" s="2">
        <v>0.999999999999999</v>
      </c>
      <c r="O17" s="57"/>
      <c r="R17" s="51" t="str">
        <f t="shared" si="5"/>
        <v>Emerging market debt</v>
      </c>
      <c r="S17" s="52">
        <f t="shared" si="6"/>
        <v>8.0748518116354959E-2</v>
      </c>
      <c r="T17" s="52">
        <f t="shared" si="7"/>
        <v>1.9277654972186531E-2</v>
      </c>
      <c r="U17" s="52">
        <f t="shared" si="8"/>
        <v>1.7278759279569469E-2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8.6256782361480502E-2</v>
      </c>
      <c r="C18" s="54">
        <v>8.2830702169256649E-3</v>
      </c>
      <c r="D18" s="55">
        <v>7.9383533336859102E-2</v>
      </c>
      <c r="E18" s="1">
        <v>8.4685126388086535E-2</v>
      </c>
      <c r="F18" s="56">
        <v>9.2209005170150099E-2</v>
      </c>
      <c r="G18" s="2">
        <v>6.1974882561530241E-2</v>
      </c>
      <c r="H18" s="2">
        <v>-7.8269890764437952E-2</v>
      </c>
      <c r="I18" s="2">
        <v>-0.47506933907621446</v>
      </c>
      <c r="J18" s="2">
        <v>1</v>
      </c>
      <c r="K18" s="2">
        <v>-0.62634852054732382</v>
      </c>
      <c r="L18" s="2">
        <v>-5.6141414098549669E-2</v>
      </c>
      <c r="M18" s="2">
        <v>-0.11441145956369735</v>
      </c>
      <c r="N18" s="2">
        <v>0.99999999999999978</v>
      </c>
      <c r="O18" s="57"/>
      <c r="R18" s="51" t="str">
        <f t="shared" si="5"/>
        <v>Aandelen ontwikkeld</v>
      </c>
      <c r="S18" s="52">
        <f t="shared" si="6"/>
        <v>7.9383533336859102E-2</v>
      </c>
      <c r="T18" s="52">
        <f t="shared" si="7"/>
        <v>6.8732490246214001E-3</v>
      </c>
      <c r="U18" s="52">
        <f t="shared" si="8"/>
        <v>5.9522228086695966E-3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6.6248653389072085E-2</v>
      </c>
      <c r="C19" s="54">
        <v>1.644595053878236E-2</v>
      </c>
      <c r="D19" s="55">
        <v>5.2861834384196657E-2</v>
      </c>
      <c r="E19" s="1">
        <v>6.5441273272801692E-2</v>
      </c>
      <c r="F19" s="56">
        <v>7.9956698753423761E-2</v>
      </c>
      <c r="G19" s="2">
        <v>-0.50066266256575509</v>
      </c>
      <c r="H19" s="2">
        <v>-0.49396999143217318</v>
      </c>
      <c r="I19" s="2">
        <v>-0.57412928301202226</v>
      </c>
      <c r="J19" s="2">
        <v>-0.68411710044402796</v>
      </c>
      <c r="K19" s="2">
        <v>-0.4293849462873815</v>
      </c>
      <c r="L19" s="2">
        <v>-4.7049074340718783E-2</v>
      </c>
      <c r="M19" s="2">
        <v>4.9909277943097803E-2</v>
      </c>
      <c r="N19" s="2">
        <v>0.99999999999999833</v>
      </c>
      <c r="O19" s="57"/>
      <c r="R19" s="51" t="str">
        <f t="shared" si="5"/>
        <v>Aandelen opkomend</v>
      </c>
      <c r="S19" s="52">
        <f t="shared" si="6"/>
        <v>5.2861834384196657E-2</v>
      </c>
      <c r="T19" s="52">
        <f t="shared" si="7"/>
        <v>1.3386819004875428E-2</v>
      </c>
      <c r="U19" s="52">
        <f t="shared" si="8"/>
        <v>1.3708045364351676E-2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1.7105799751665905E-2</v>
      </c>
      <c r="C20" s="54">
        <v>5.2297378254979494E-3</v>
      </c>
      <c r="D20" s="55">
        <v>1.2741629556100465E-2</v>
      </c>
      <c r="E20" s="1">
        <v>1.5891830323863376E-2</v>
      </c>
      <c r="F20" s="56">
        <v>2.0768719091309399E-2</v>
      </c>
      <c r="G20" s="2">
        <v>-7.6031397066398457E-3</v>
      </c>
      <c r="H20" s="2">
        <v>-2.2316144530306584E-3</v>
      </c>
      <c r="I20" s="2">
        <v>1.7488847669782044E-2</v>
      </c>
      <c r="J20" s="2">
        <v>-1.949351968344868E-2</v>
      </c>
      <c r="K20" s="2">
        <v>0.54461313340306983</v>
      </c>
      <c r="L20" s="2">
        <v>1</v>
      </c>
      <c r="M20" s="2">
        <v>-0.60013712849538137</v>
      </c>
      <c r="N20" s="2">
        <v>1</v>
      </c>
      <c r="O20" s="57"/>
      <c r="R20" s="51" t="str">
        <f t="shared" si="5"/>
        <v>Commodities</v>
      </c>
      <c r="S20" s="52">
        <f t="shared" si="6"/>
        <v>1.2741629556100465E-2</v>
      </c>
      <c r="T20" s="52">
        <f t="shared" si="7"/>
        <v>4.3641701955654394E-3</v>
      </c>
      <c r="U20" s="52">
        <f t="shared" si="8"/>
        <v>3.6629193396434945E-3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2.8385429599375185E-2</v>
      </c>
      <c r="C21" s="54">
        <v>5.5813886122547032E-3</v>
      </c>
      <c r="D21" s="55">
        <v>2.3629994978942918E-2</v>
      </c>
      <c r="E21" s="1">
        <v>2.7811814112409142E-2</v>
      </c>
      <c r="F21" s="56">
        <v>3.2441364095410076E-2</v>
      </c>
      <c r="G21" s="2">
        <v>1.3177984256824234E-2</v>
      </c>
      <c r="H21" s="2">
        <v>-4.3598638868868091E-3</v>
      </c>
      <c r="I21" s="2">
        <v>-0.10297022863490797</v>
      </c>
      <c r="J21" s="2">
        <v>3.0791608266134366E-2</v>
      </c>
      <c r="K21" s="2">
        <v>1</v>
      </c>
      <c r="L21" s="2">
        <v>-0.88524495749896104</v>
      </c>
      <c r="M21" s="2">
        <v>-0.36823404563927897</v>
      </c>
      <c r="N21" s="2">
        <v>0.99999999999999856</v>
      </c>
      <c r="O21" s="57"/>
      <c r="R21" s="51" t="str">
        <f t="shared" si="5"/>
        <v>Hedge funds</v>
      </c>
      <c r="S21" s="52">
        <f t="shared" si="6"/>
        <v>2.3629994978942918E-2</v>
      </c>
      <c r="T21" s="52">
        <f t="shared" si="7"/>
        <v>4.7554346204322674E-3</v>
      </c>
      <c r="U21" s="52">
        <f t="shared" si="8"/>
        <v>4.0559344960348909E-3</v>
      </c>
    </row>
    <row r="22" spans="1:30">
      <c r="A22" s="60" t="str">
        <f t="shared" si="4"/>
        <v>Onroerend goed</v>
      </c>
      <c r="B22" s="286">
        <v>4.3409622391959328E-2</v>
      </c>
      <c r="C22" s="62">
        <v>5.288761901999001E-3</v>
      </c>
      <c r="D22" s="63">
        <v>3.9006075299665023E-2</v>
      </c>
      <c r="E22" s="61">
        <v>4.2853176581616456E-2</v>
      </c>
      <c r="F22" s="64">
        <v>4.7469439836177962E-2</v>
      </c>
      <c r="G22" s="65">
        <v>1.2939793263091329E-3</v>
      </c>
      <c r="H22" s="65">
        <v>4.6052282779570786E-3</v>
      </c>
      <c r="I22" s="65">
        <v>-5.0394029156792426E-2</v>
      </c>
      <c r="J22" s="65">
        <v>0.16360464972735686</v>
      </c>
      <c r="K22" s="65">
        <v>0.65829131726780876</v>
      </c>
      <c r="L22" s="65">
        <v>0.27196783122020624</v>
      </c>
      <c r="M22" s="65">
        <v>1</v>
      </c>
      <c r="N22" s="65">
        <v>0.99999999999999833</v>
      </c>
      <c r="O22" s="66"/>
      <c r="R22" s="51" t="str">
        <f t="shared" si="5"/>
        <v>Onroerend goed</v>
      </c>
      <c r="S22" s="52">
        <f t="shared" si="6"/>
        <v>3.9006075299665023E-2</v>
      </c>
      <c r="T22" s="52">
        <f t="shared" si="7"/>
        <v>4.4035470922943049E-3</v>
      </c>
      <c r="U22" s="52">
        <f t="shared" si="8"/>
        <v>4.0598174442186344E-3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400" t="s">
        <v>64</v>
      </c>
      <c r="E24" s="401"/>
      <c r="F24" s="402"/>
      <c r="G24" s="400" t="s">
        <v>65</v>
      </c>
      <c r="H24" s="401"/>
      <c r="I24" s="401"/>
      <c r="J24" s="401"/>
      <c r="K24" s="401"/>
      <c r="L24" s="401"/>
      <c r="M24" s="401"/>
      <c r="N24" s="401"/>
      <c r="O24" s="402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0.45924354762715069</v>
      </c>
      <c r="H25" s="272">
        <v>0.25630539343910386</v>
      </c>
      <c r="I25" s="272">
        <v>0.2044791670371543</v>
      </c>
      <c r="J25" s="272">
        <v>3.4402526667244526E-2</v>
      </c>
      <c r="K25" s="272">
        <v>2.0733235290789853E-2</v>
      </c>
      <c r="L25" s="272">
        <v>1.754190904394759E-2</v>
      </c>
      <c r="M25" s="272">
        <v>7.2942208946091824E-3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0.6187616483707723</v>
      </c>
      <c r="C26" s="54">
        <v>2.0692707448894315E-2</v>
      </c>
      <c r="D26" s="55">
        <v>0.60592594621679052</v>
      </c>
      <c r="E26" s="1">
        <v>0.62180609178184865</v>
      </c>
      <c r="F26" s="56">
        <v>0.63530163821609942</v>
      </c>
      <c r="G26" s="68">
        <v>-0.88625026198817114</v>
      </c>
      <c r="H26" s="68">
        <v>-0.72356894336179622</v>
      </c>
      <c r="I26" s="68">
        <v>-0.29861523037432791</v>
      </c>
      <c r="J26" s="68">
        <v>-0.58700236236922554</v>
      </c>
      <c r="K26" s="68">
        <v>-5.4038843874553495E-2</v>
      </c>
      <c r="L26" s="2">
        <v>-3.1418654245955691E-2</v>
      </c>
      <c r="M26" s="2">
        <v>-0.18817646585200845</v>
      </c>
      <c r="N26" s="2">
        <v>0.99999999999999067</v>
      </c>
      <c r="O26" s="69"/>
      <c r="R26" s="51" t="str">
        <f>A26</f>
        <v>Nominale matching</v>
      </c>
      <c r="S26" s="52">
        <f>D26</f>
        <v>0.60592594621679052</v>
      </c>
      <c r="T26" s="52">
        <f>B26-D26</f>
        <v>1.2835702153981776E-2</v>
      </c>
      <c r="U26" s="52">
        <f>F26-B26</f>
        <v>1.6539989845327119E-2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7.370395134052643E-2</v>
      </c>
      <c r="C27" s="54">
        <v>1.645738596479579E-2</v>
      </c>
      <c r="D27" s="55">
        <v>6.0993004513200437E-2</v>
      </c>
      <c r="E27" s="1">
        <v>7.1111222401823035E-2</v>
      </c>
      <c r="F27" s="56">
        <v>8.3297237323123108E-2</v>
      </c>
      <c r="G27" s="68">
        <v>-0.22014692600152669</v>
      </c>
      <c r="H27" s="68">
        <v>0.42833161023781641</v>
      </c>
      <c r="I27" s="68">
        <v>1</v>
      </c>
      <c r="J27" s="68">
        <v>-0.5294327202458099</v>
      </c>
      <c r="K27" s="68">
        <v>-3.187947016163635E-2</v>
      </c>
      <c r="L27" s="2">
        <v>-2.1620003642183385E-2</v>
      </c>
      <c r="M27" s="2">
        <v>-6.173761556121362E-2</v>
      </c>
      <c r="N27" s="2">
        <v>0.99999999999999079</v>
      </c>
      <c r="O27" s="69"/>
      <c r="R27" s="51" t="str">
        <f t="shared" ref="R27:R33" si="10">A27</f>
        <v>High Yield</v>
      </c>
      <c r="S27" s="52">
        <f t="shared" ref="S27:S33" si="11">D27</f>
        <v>6.0993004513200437E-2</v>
      </c>
      <c r="T27" s="52">
        <f t="shared" ref="T27:T33" si="12">B27-D27</f>
        <v>1.2710946827325993E-2</v>
      </c>
      <c r="U27" s="52">
        <f t="shared" ref="U27:U33" si="13">F27-B27</f>
        <v>9.5932859825966776E-3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8.7666145424869751E-2</v>
      </c>
      <c r="C28" s="54">
        <v>2.1788196857174327E-2</v>
      </c>
      <c r="D28" s="55">
        <v>7.1596305362087609E-2</v>
      </c>
      <c r="E28" s="1">
        <v>8.4323386337352257E-2</v>
      </c>
      <c r="F28" s="56">
        <v>0.10194147963500044</v>
      </c>
      <c r="G28" s="68">
        <v>1</v>
      </c>
      <c r="H28" s="68">
        <v>-0.65462104870122317</v>
      </c>
      <c r="I28" s="68">
        <v>2.1092156390757347E-2</v>
      </c>
      <c r="J28" s="68">
        <v>-0.58923616952652036</v>
      </c>
      <c r="K28" s="68">
        <v>-7.190221488397576E-2</v>
      </c>
      <c r="L28" s="2">
        <v>-4.5922789220645133E-2</v>
      </c>
      <c r="M28" s="2">
        <v>-0.13169103076464295</v>
      </c>
      <c r="N28" s="2">
        <v>0.99999999999999101</v>
      </c>
      <c r="O28" s="69"/>
      <c r="R28" s="51" t="str">
        <f t="shared" si="10"/>
        <v>Emerging market debt</v>
      </c>
      <c r="S28" s="52">
        <f t="shared" si="11"/>
        <v>7.1596305362087609E-2</v>
      </c>
      <c r="T28" s="52">
        <f t="shared" si="12"/>
        <v>1.6069840062782142E-2</v>
      </c>
      <c r="U28" s="52">
        <f t="shared" si="13"/>
        <v>1.4275334210130691E-2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8.010001294145376E-2</v>
      </c>
      <c r="C29" s="54">
        <v>3.5557190330822589E-3</v>
      </c>
      <c r="D29" s="55">
        <v>7.7200463906894001E-2</v>
      </c>
      <c r="E29" s="1">
        <v>7.9540187339729063E-2</v>
      </c>
      <c r="F29" s="56">
        <v>8.2382104648584253E-2</v>
      </c>
      <c r="G29" s="68">
        <v>-3.0210207600861402E-2</v>
      </c>
      <c r="H29" s="68">
        <v>-4.4988175179012775E-2</v>
      </c>
      <c r="I29" s="68">
        <v>-8.1882222634355781E-2</v>
      </c>
      <c r="J29" s="68">
        <v>9.5673202659629683E-2</v>
      </c>
      <c r="K29" s="68">
        <v>-0.21760922161356777</v>
      </c>
      <c r="L29" s="2">
        <v>-4.3935798041361031E-2</v>
      </c>
      <c r="M29" s="2">
        <v>1</v>
      </c>
      <c r="N29" s="2">
        <v>1</v>
      </c>
      <c r="O29" s="69"/>
      <c r="R29" s="51" t="str">
        <f t="shared" si="10"/>
        <v>Aandelen ontwikkeld</v>
      </c>
      <c r="S29" s="52">
        <f t="shared" si="11"/>
        <v>7.7200463906894001E-2</v>
      </c>
      <c r="T29" s="52">
        <f t="shared" si="12"/>
        <v>2.8995490345597591E-3</v>
      </c>
      <c r="U29" s="52">
        <f t="shared" si="13"/>
        <v>2.282091707130493E-3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4.9999036120677569E-2</v>
      </c>
      <c r="C30" s="54">
        <v>1.6834386313430483E-2</v>
      </c>
      <c r="D30" s="55">
        <v>3.6731291745238259E-2</v>
      </c>
      <c r="E30" s="1">
        <v>4.765503337451709E-2</v>
      </c>
      <c r="F30" s="56">
        <v>6.0917572009690918E-2</v>
      </c>
      <c r="G30" s="68">
        <v>0.10645546402603619</v>
      </c>
      <c r="H30" s="68">
        <v>1</v>
      </c>
      <c r="I30" s="68">
        <v>-0.63465618383833755</v>
      </c>
      <c r="J30" s="68">
        <v>-0.57991655490588345</v>
      </c>
      <c r="K30" s="68">
        <v>-5.7832152451587786E-2</v>
      </c>
      <c r="L30" s="2">
        <v>-4.8250898574783679E-2</v>
      </c>
      <c r="M30" s="2">
        <v>-0.14898678862436976</v>
      </c>
      <c r="N30" s="2">
        <v>0.99999999999999067</v>
      </c>
      <c r="O30" s="69"/>
      <c r="R30" s="51" t="str">
        <f t="shared" si="10"/>
        <v>Aandelen opkomend</v>
      </c>
      <c r="S30" s="52">
        <f t="shared" si="11"/>
        <v>3.6731291745238259E-2</v>
      </c>
      <c r="T30" s="52">
        <f t="shared" si="12"/>
        <v>1.326774437543931E-2</v>
      </c>
      <c r="U30" s="52">
        <f t="shared" si="13"/>
        <v>1.0918535889013349E-2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1.9314474619697278E-2</v>
      </c>
      <c r="C31" s="54">
        <v>5.803478753161344E-3</v>
      </c>
      <c r="D31" s="55">
        <v>1.4361691282877977E-2</v>
      </c>
      <c r="E31" s="1">
        <v>1.8656664849823437E-2</v>
      </c>
      <c r="F31" s="56">
        <v>2.4313453241058255E-2</v>
      </c>
      <c r="G31" s="68">
        <v>5.2143788974169821E-4</v>
      </c>
      <c r="H31" s="68">
        <v>1.0591320181624468E-2</v>
      </c>
      <c r="I31" s="68">
        <v>2.1721690552580733E-2</v>
      </c>
      <c r="J31" s="68">
        <v>1</v>
      </c>
      <c r="K31" s="68">
        <v>-0.99719444385580658</v>
      </c>
      <c r="L31" s="2">
        <v>-0.18043070875563785</v>
      </c>
      <c r="M31" s="2">
        <v>-0.30525568427738886</v>
      </c>
      <c r="N31" s="2">
        <v>0.99999999999999034</v>
      </c>
      <c r="O31" s="69"/>
      <c r="R31" s="51" t="str">
        <f t="shared" si="10"/>
        <v>Commodities</v>
      </c>
      <c r="S31" s="52">
        <f t="shared" si="11"/>
        <v>1.4361691282877977E-2</v>
      </c>
      <c r="T31" s="52">
        <f t="shared" si="12"/>
        <v>4.9527833368193004E-3</v>
      </c>
      <c r="U31" s="52">
        <f t="shared" si="13"/>
        <v>4.9989786213609777E-3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2.7597379256667377E-2</v>
      </c>
      <c r="C32" s="54">
        <v>5.1852385880726505E-3</v>
      </c>
      <c r="D32" s="55">
        <v>2.3261622257269871E-2</v>
      </c>
      <c r="E32" s="1">
        <v>2.6807670393902437E-2</v>
      </c>
      <c r="F32" s="56">
        <v>3.1190335656447007E-2</v>
      </c>
      <c r="G32" s="68">
        <v>2.2010396904194953E-2</v>
      </c>
      <c r="H32" s="68">
        <v>-3.2203533272432286E-3</v>
      </c>
      <c r="I32" s="68">
        <v>-2.1171898519352427E-2</v>
      </c>
      <c r="J32" s="68">
        <v>0.52042536097270564</v>
      </c>
      <c r="K32" s="68">
        <v>0.43045634684112699</v>
      </c>
      <c r="L32" s="2">
        <v>1</v>
      </c>
      <c r="M32" s="2">
        <v>-8.2768475003065542E-2</v>
      </c>
      <c r="N32" s="2">
        <v>0.99999999999999389</v>
      </c>
      <c r="O32" s="69"/>
      <c r="R32" s="51" t="str">
        <f t="shared" si="10"/>
        <v>Hedge funds</v>
      </c>
      <c r="S32" s="52">
        <f t="shared" si="11"/>
        <v>2.3261622257269871E-2</v>
      </c>
      <c r="T32" s="52">
        <f t="shared" si="12"/>
        <v>4.3357569993975054E-3</v>
      </c>
      <c r="U32" s="52">
        <f t="shared" si="13"/>
        <v>3.5929563997796309E-3</v>
      </c>
    </row>
    <row r="33" spans="1:30">
      <c r="A33" s="60" t="str">
        <f t="shared" si="9"/>
        <v>Onroerend goed</v>
      </c>
      <c r="B33" s="61">
        <v>4.2857351925335192E-2</v>
      </c>
      <c r="C33" s="62">
        <v>5.4795552786715777E-3</v>
      </c>
      <c r="D33" s="63">
        <v>3.824215068837658E-2</v>
      </c>
      <c r="E33" s="61">
        <v>4.2010926658788583E-2</v>
      </c>
      <c r="F33" s="64">
        <v>4.6555841015202964E-2</v>
      </c>
      <c r="G33" s="70">
        <v>7.6200967705869899E-3</v>
      </c>
      <c r="H33" s="70">
        <v>-1.2524409850165931E-2</v>
      </c>
      <c r="I33" s="70">
        <v>-6.488311576963661E-3</v>
      </c>
      <c r="J33" s="70">
        <v>0.66948924341510119</v>
      </c>
      <c r="K33" s="70">
        <v>1</v>
      </c>
      <c r="L33" s="65">
        <v>-0.62842114751943456</v>
      </c>
      <c r="M33" s="65">
        <v>-8.1383939917320736E-2</v>
      </c>
      <c r="N33" s="65">
        <v>0.99999999999999267</v>
      </c>
      <c r="O33" s="71"/>
      <c r="R33" s="51" t="str">
        <f t="shared" si="10"/>
        <v>Onroerend goed</v>
      </c>
      <c r="S33" s="52">
        <f t="shared" si="11"/>
        <v>3.824215068837658E-2</v>
      </c>
      <c r="T33" s="52">
        <f t="shared" si="12"/>
        <v>4.6152012369586118E-3</v>
      </c>
      <c r="U33" s="52">
        <f t="shared" si="13"/>
        <v>3.6984890898677722E-3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400" t="s">
        <v>64</v>
      </c>
      <c r="E35" s="401"/>
      <c r="F35" s="402"/>
      <c r="G35" s="400" t="s">
        <v>65</v>
      </c>
      <c r="H35" s="401"/>
      <c r="I35" s="401"/>
      <c r="J35" s="401"/>
      <c r="K35" s="401"/>
      <c r="L35" s="401"/>
      <c r="M35" s="401"/>
      <c r="N35" s="401"/>
      <c r="O35" s="402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0.46061121888733991</v>
      </c>
      <c r="H36" s="272">
        <v>0.30276982552857234</v>
      </c>
      <c r="I36" s="272">
        <v>0.15255289404008321</v>
      </c>
      <c r="J36" s="272">
        <v>3.1145766246378881E-2</v>
      </c>
      <c r="K36" s="272">
        <v>2.6748307563704943E-2</v>
      </c>
      <c r="L36" s="272">
        <v>1.5443830476583487E-2</v>
      </c>
      <c r="M36" s="272">
        <v>1.0728157257338333E-2</v>
      </c>
      <c r="N36" s="272">
        <v>0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0.56917562882673234</v>
      </c>
      <c r="C37" s="54">
        <v>1.1922773397670663E-2</v>
      </c>
      <c r="D37" s="55">
        <v>0.5599358959466556</v>
      </c>
      <c r="E37" s="1">
        <v>0.56727062387432681</v>
      </c>
      <c r="F37" s="56">
        <v>0.57679967955169098</v>
      </c>
      <c r="G37" s="2">
        <v>-0.15617157385345443</v>
      </c>
      <c r="H37" s="2">
        <v>-0.59461496540776126</v>
      </c>
      <c r="I37" s="2">
        <v>-1.3439176350442462E-2</v>
      </c>
      <c r="J37" s="2">
        <v>1</v>
      </c>
      <c r="K37" s="2">
        <v>3.9377791382250338E-2</v>
      </c>
      <c r="L37" s="2">
        <v>0.25791261147886235</v>
      </c>
      <c r="M37" s="2">
        <v>7.0102529347374293E-2</v>
      </c>
      <c r="N37" s="2">
        <v>0.99999999999999478</v>
      </c>
      <c r="O37" s="57"/>
      <c r="R37" s="51" t="str">
        <f>A37</f>
        <v>Nominale matching</v>
      </c>
      <c r="S37" s="52">
        <f>D37</f>
        <v>0.5599358959466556</v>
      </c>
      <c r="T37" s="52">
        <f>B37-D37</f>
        <v>9.2397328800767342E-3</v>
      </c>
      <c r="U37" s="52">
        <f>F37-B37</f>
        <v>7.624050724958642E-3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8.2778883842798759E-2</v>
      </c>
      <c r="C38" s="54">
        <v>2.0576062058661131E-2</v>
      </c>
      <c r="D38" s="55">
        <v>6.658625661436493E-2</v>
      </c>
      <c r="E38" s="1">
        <v>8.042637797998306E-2</v>
      </c>
      <c r="F38" s="56">
        <v>9.5710479819372168E-2</v>
      </c>
      <c r="G38" s="2">
        <v>-0.52091574999790125</v>
      </c>
      <c r="H38" s="2">
        <v>1</v>
      </c>
      <c r="I38" s="2">
        <v>-9.4915134664717571E-2</v>
      </c>
      <c r="J38" s="2">
        <v>0.28808010646163129</v>
      </c>
      <c r="K38" s="2">
        <v>-0.24210818951700297</v>
      </c>
      <c r="L38" s="2">
        <v>2.2279088807865312E-2</v>
      </c>
      <c r="M38" s="2">
        <v>-9.2748975504570438E-2</v>
      </c>
      <c r="N38" s="2">
        <v>0.99999999999999412</v>
      </c>
      <c r="O38" s="57"/>
      <c r="R38" s="51" t="str">
        <f t="shared" ref="R38:R44" si="15">A38</f>
        <v>High Yield</v>
      </c>
      <c r="S38" s="52">
        <f t="shared" ref="S38:S44" si="16">D38</f>
        <v>6.658625661436493E-2</v>
      </c>
      <c r="T38" s="52">
        <f t="shared" ref="T38:T44" si="17">B38-D38</f>
        <v>1.6192627228433829E-2</v>
      </c>
      <c r="U38" s="52">
        <f t="shared" ref="U38:U44" si="18">F38-B38</f>
        <v>1.293159597657341E-2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9.7281153771637929E-2</v>
      </c>
      <c r="C39" s="54">
        <v>2.3186210076045478E-2</v>
      </c>
      <c r="D39" s="55">
        <v>7.9729298701093798E-2</v>
      </c>
      <c r="E39" s="1">
        <v>9.7462159913665469E-2</v>
      </c>
      <c r="F39" s="56">
        <v>0.11380306277044334</v>
      </c>
      <c r="G39" s="2">
        <v>1</v>
      </c>
      <c r="H39" s="2">
        <v>0.23729569637255998</v>
      </c>
      <c r="I39" s="2">
        <v>-0.25520448870393853</v>
      </c>
      <c r="J39" s="2">
        <v>0.14594279091425777</v>
      </c>
      <c r="K39" s="2">
        <v>-0.31592468791058204</v>
      </c>
      <c r="L39" s="2">
        <v>-3.9658391716492492E-2</v>
      </c>
      <c r="M39" s="2">
        <v>-0.17639450765760262</v>
      </c>
      <c r="N39" s="2">
        <v>0.99999999999999289</v>
      </c>
      <c r="O39" s="57"/>
      <c r="R39" s="51" t="str">
        <f t="shared" si="15"/>
        <v>Emerging market debt</v>
      </c>
      <c r="S39" s="52">
        <f t="shared" si="16"/>
        <v>7.9729298701093798E-2</v>
      </c>
      <c r="T39" s="52">
        <f t="shared" si="17"/>
        <v>1.7551855070544131E-2</v>
      </c>
      <c r="U39" s="52">
        <f t="shared" si="18"/>
        <v>1.6521908998805415E-2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9.7869964316561572E-2</v>
      </c>
      <c r="C40" s="54">
        <v>1.3616367277365997E-2</v>
      </c>
      <c r="D40" s="55">
        <v>8.640140929651241E-2</v>
      </c>
      <c r="E40" s="1">
        <v>9.6302165736787182E-2</v>
      </c>
      <c r="F40" s="56">
        <v>0.10760135273748533</v>
      </c>
      <c r="G40" s="2">
        <v>8.6227657988760288E-3</v>
      </c>
      <c r="H40" s="2">
        <v>-0.13420014286423262</v>
      </c>
      <c r="I40" s="2">
        <v>1</v>
      </c>
      <c r="J40" s="2">
        <v>-0.20190367555712319</v>
      </c>
      <c r="K40" s="2">
        <v>-0.38494929814805967</v>
      </c>
      <c r="L40" s="2">
        <v>-0.14393269190213151</v>
      </c>
      <c r="M40" s="2">
        <v>-0.12084225916637793</v>
      </c>
      <c r="N40" s="2">
        <v>0.99999999999999378</v>
      </c>
      <c r="O40" s="57"/>
      <c r="R40" s="51" t="str">
        <f t="shared" si="15"/>
        <v>Aandelen ontwikkeld</v>
      </c>
      <c r="S40" s="52">
        <f t="shared" si="16"/>
        <v>8.640140929651241E-2</v>
      </c>
      <c r="T40" s="52">
        <f t="shared" si="17"/>
        <v>1.1468555020049162E-2</v>
      </c>
      <c r="U40" s="52">
        <f t="shared" si="18"/>
        <v>9.7313884209237617E-3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6.648673890640365E-2</v>
      </c>
      <c r="C41" s="54">
        <v>1.4532991889245629E-2</v>
      </c>
      <c r="D41" s="55">
        <v>5.5891679979390575E-2</v>
      </c>
      <c r="E41" s="1">
        <v>6.6242959155333722E-2</v>
      </c>
      <c r="F41" s="56">
        <v>7.6657455018280821E-2</v>
      </c>
      <c r="G41" s="2">
        <v>-0.36685693118129692</v>
      </c>
      <c r="H41" s="2">
        <v>-0.52306108585582789</v>
      </c>
      <c r="I41" s="2">
        <v>-0.53839190004201687</v>
      </c>
      <c r="J41" s="2">
        <v>-0.47049916296663041</v>
      </c>
      <c r="K41" s="2">
        <v>-0.52694271701907125</v>
      </c>
      <c r="L41" s="2">
        <v>-0.24366802333747459</v>
      </c>
      <c r="M41" s="2">
        <v>-0.31413719850961913</v>
      </c>
      <c r="N41" s="2">
        <v>0.99999999999999212</v>
      </c>
      <c r="O41" s="57"/>
      <c r="R41" s="51" t="str">
        <f t="shared" si="15"/>
        <v>Aandelen opkomend</v>
      </c>
      <c r="S41" s="52">
        <f t="shared" si="16"/>
        <v>5.5891679979390575E-2</v>
      </c>
      <c r="T41" s="52">
        <f t="shared" si="17"/>
        <v>1.0595058927013075E-2</v>
      </c>
      <c r="U41" s="52">
        <f t="shared" si="18"/>
        <v>1.0170716111877171E-2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1.5037148867129702E-2</v>
      </c>
      <c r="C42" s="54">
        <v>4.2516362827973182E-3</v>
      </c>
      <c r="D42" s="55">
        <v>1.1644181488333715E-2</v>
      </c>
      <c r="E42" s="1">
        <v>1.3877714056696806E-2</v>
      </c>
      <c r="F42" s="56">
        <v>1.7460632086712835E-2</v>
      </c>
      <c r="G42" s="2">
        <v>2.376622546578774E-2</v>
      </c>
      <c r="H42" s="2">
        <v>1.3145812920813892E-3</v>
      </c>
      <c r="I42" s="2">
        <v>-9.3219205059263607E-2</v>
      </c>
      <c r="J42" s="2">
        <v>-0.18686100414965578</v>
      </c>
      <c r="K42" s="2">
        <v>0.11709143480054991</v>
      </c>
      <c r="L42" s="2">
        <v>-0.38325588524050536</v>
      </c>
      <c r="M42" s="2">
        <v>1</v>
      </c>
      <c r="N42" s="2">
        <v>1</v>
      </c>
      <c r="O42" s="57"/>
      <c r="R42" s="51" t="str">
        <f t="shared" si="15"/>
        <v>Commodities</v>
      </c>
      <c r="S42" s="52">
        <f t="shared" si="16"/>
        <v>1.1644181488333715E-2</v>
      </c>
      <c r="T42" s="52">
        <f t="shared" si="17"/>
        <v>3.3929673787959861E-3</v>
      </c>
      <c r="U42" s="52">
        <f t="shared" si="18"/>
        <v>2.4234832195831335E-3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2.6982990988087412E-2</v>
      </c>
      <c r="C43" s="54">
        <v>5.1223987376953937E-3</v>
      </c>
      <c r="D43" s="55">
        <v>2.2440092513021793E-2</v>
      </c>
      <c r="E43" s="1">
        <v>2.6130896730746415E-2</v>
      </c>
      <c r="F43" s="56">
        <v>3.064378698836704E-2</v>
      </c>
      <c r="G43" s="2">
        <v>1.219868082319378E-2</v>
      </c>
      <c r="H43" s="2">
        <v>3.1016326341365836E-4</v>
      </c>
      <c r="I43" s="2">
        <v>-2.0271011955149298E-2</v>
      </c>
      <c r="J43" s="2">
        <v>-0.50610829862077189</v>
      </c>
      <c r="K43" s="2">
        <v>0.31345566641191314</v>
      </c>
      <c r="L43" s="2">
        <v>1</v>
      </c>
      <c r="M43" s="2">
        <v>6.4242678850494686E-2</v>
      </c>
      <c r="N43" s="2">
        <v>0.99999999999999434</v>
      </c>
      <c r="O43" s="57"/>
      <c r="R43" s="51" t="str">
        <f t="shared" si="15"/>
        <v>Hedge funds</v>
      </c>
      <c r="S43" s="52">
        <f t="shared" si="16"/>
        <v>2.2440092513021793E-2</v>
      </c>
      <c r="T43" s="52">
        <f t="shared" si="17"/>
        <v>4.5428984750656189E-3</v>
      </c>
      <c r="U43" s="52">
        <f t="shared" si="18"/>
        <v>3.6607960002796279E-3</v>
      </c>
    </row>
    <row r="44" spans="1:30">
      <c r="A44" s="60" t="str">
        <f t="shared" si="14"/>
        <v>Onroerend goed</v>
      </c>
      <c r="B44" s="61">
        <v>4.4387490480648294E-2</v>
      </c>
      <c r="C44" s="62">
        <v>5.5589155088343308E-3</v>
      </c>
      <c r="D44" s="63">
        <v>3.9688004769915679E-2</v>
      </c>
      <c r="E44" s="61">
        <v>4.3974745389223614E-2</v>
      </c>
      <c r="F44" s="64">
        <v>4.9035411464737513E-2</v>
      </c>
      <c r="G44" s="65">
        <v>-6.4341705520417735E-4</v>
      </c>
      <c r="H44" s="65">
        <v>1.2955753199766133E-2</v>
      </c>
      <c r="I44" s="65">
        <v>1.5440916775528129E-2</v>
      </c>
      <c r="J44" s="65">
        <v>-6.8650756081707967E-2</v>
      </c>
      <c r="K44" s="65">
        <v>1</v>
      </c>
      <c r="L44" s="65">
        <v>-0.46967670809012269</v>
      </c>
      <c r="M44" s="65">
        <v>-0.43022226735970559</v>
      </c>
      <c r="N44" s="65">
        <v>0.99999999999999434</v>
      </c>
      <c r="O44" s="66"/>
      <c r="R44" s="51" t="str">
        <f t="shared" si="15"/>
        <v>Onroerend goed</v>
      </c>
      <c r="S44" s="52">
        <f t="shared" si="16"/>
        <v>3.9688004769915679E-2</v>
      </c>
      <c r="T44" s="52">
        <f t="shared" si="17"/>
        <v>4.6994857107326149E-3</v>
      </c>
      <c r="U44" s="52">
        <f t="shared" si="18"/>
        <v>4.6479209840892197E-3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400" t="s">
        <v>64</v>
      </c>
      <c r="E46" s="401"/>
      <c r="F46" s="402"/>
      <c r="G46" s="400" t="s">
        <v>65</v>
      </c>
      <c r="H46" s="401"/>
      <c r="I46" s="401"/>
      <c r="J46" s="401"/>
      <c r="K46" s="401"/>
      <c r="L46" s="401"/>
      <c r="M46" s="401"/>
      <c r="N46" s="401"/>
      <c r="O46" s="402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0.66441079375026479</v>
      </c>
      <c r="H47" s="272">
        <v>0.14281744296311749</v>
      </c>
      <c r="I47" s="272">
        <v>5.178405170484357E-2</v>
      </c>
      <c r="J47" s="272">
        <v>4.6013301607072732E-2</v>
      </c>
      <c r="K47" s="272">
        <v>4.3283942954225219E-2</v>
      </c>
      <c r="L47" s="272">
        <v>3.0170792701004645E-2</v>
      </c>
      <c r="M47" s="272">
        <v>2.1519674319468773E-2</v>
      </c>
      <c r="N47" s="272">
        <v>0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0.64512232819647941</v>
      </c>
      <c r="C48" s="54">
        <v>5.4404235467680612E-3</v>
      </c>
      <c r="D48" s="55">
        <v>0.64167848179764575</v>
      </c>
      <c r="E48" s="1">
        <v>0.6463014981801164</v>
      </c>
      <c r="F48" s="56">
        <v>0.6495103921442551</v>
      </c>
      <c r="G48" s="68">
        <v>-1.0192548032818568E-2</v>
      </c>
      <c r="H48" s="68">
        <v>-0.39863872973400744</v>
      </c>
      <c r="I48" s="68">
        <v>0.21003814433681031</v>
      </c>
      <c r="J48" s="68">
        <v>-0.60149324874922772</v>
      </c>
      <c r="K48" s="68">
        <v>-0.12120892793840082</v>
      </c>
      <c r="L48" s="2">
        <v>1</v>
      </c>
      <c r="M48" s="2">
        <v>-0.32204026915401984</v>
      </c>
      <c r="N48" s="2">
        <v>0.999999999999997</v>
      </c>
      <c r="O48" s="69"/>
      <c r="R48" s="51" t="str">
        <f>A48</f>
        <v>Nominale matching</v>
      </c>
      <c r="S48" s="52">
        <f>D48</f>
        <v>0.64167848179764575</v>
      </c>
      <c r="T48" s="52">
        <f>B48-D48</f>
        <v>3.4438463988336609E-3</v>
      </c>
      <c r="U48" s="52">
        <f>F48-B48</f>
        <v>4.3880639477756889E-3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8.1679007668728598E-2</v>
      </c>
      <c r="C49" s="54">
        <v>1.7941116992089851E-2</v>
      </c>
      <c r="D49" s="55">
        <v>6.7092809135505527E-2</v>
      </c>
      <c r="E49" s="1">
        <v>8.1509990825278281E-2</v>
      </c>
      <c r="F49" s="56">
        <v>9.3574464564129656E-2</v>
      </c>
      <c r="G49" s="68">
        <v>1</v>
      </c>
      <c r="H49" s="68">
        <v>0.94252355777519614</v>
      </c>
      <c r="I49" s="68">
        <v>9.509082501632711E-2</v>
      </c>
      <c r="J49" s="68">
        <v>8.2667571724961614E-2</v>
      </c>
      <c r="K49" s="68">
        <v>-1.8734011898801851E-2</v>
      </c>
      <c r="L49" s="2">
        <v>3.25321810879814E-2</v>
      </c>
      <c r="M49" s="2">
        <v>-8.5951614374092572E-2</v>
      </c>
      <c r="N49" s="2">
        <v>0.99999999999999534</v>
      </c>
      <c r="O49" s="69"/>
      <c r="R49" s="51" t="str">
        <f t="shared" ref="R49:R55" si="20">A49</f>
        <v>High Yield</v>
      </c>
      <c r="S49" s="52">
        <f t="shared" ref="S49:S55" si="21">D49</f>
        <v>6.7092809135505527E-2</v>
      </c>
      <c r="T49" s="52">
        <f t="shared" ref="T49:T55" si="22">B49-D49</f>
        <v>1.4586198533223071E-2</v>
      </c>
      <c r="U49" s="52">
        <f t="shared" ref="U49:U55" si="23">F49-B49</f>
        <v>1.1895456895401058E-2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7.7862828569804726E-2</v>
      </c>
      <c r="C50" s="54">
        <v>1.7398975476269705E-2</v>
      </c>
      <c r="D50" s="55">
        <v>6.2977523523390033E-2</v>
      </c>
      <c r="E50" s="1">
        <v>7.6935641017400719E-2</v>
      </c>
      <c r="F50" s="56">
        <v>8.9832444760191907E-2</v>
      </c>
      <c r="G50" s="68">
        <v>-0.95619338025295275</v>
      </c>
      <c r="H50" s="68">
        <v>1</v>
      </c>
      <c r="I50" s="68">
        <v>0.11954926909814458</v>
      </c>
      <c r="J50" s="68">
        <v>8.0219604428386826E-2</v>
      </c>
      <c r="K50" s="68">
        <v>-1.6669369714832624E-2</v>
      </c>
      <c r="L50" s="2">
        <v>2.1645329455946282E-2</v>
      </c>
      <c r="M50" s="2">
        <v>-8.5948635623771613E-2</v>
      </c>
      <c r="N50" s="2">
        <v>0.99999999999999567</v>
      </c>
      <c r="O50" s="69"/>
      <c r="R50" s="51" t="str">
        <f t="shared" si="20"/>
        <v>Emerging market debt</v>
      </c>
      <c r="S50" s="52">
        <f t="shared" si="21"/>
        <v>6.2977523523390033E-2</v>
      </c>
      <c r="T50" s="52">
        <f t="shared" si="22"/>
        <v>1.4885305046414693E-2</v>
      </c>
      <c r="U50" s="52">
        <f t="shared" si="23"/>
        <v>1.1969616190387181E-2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8.1614199194517276E-2</v>
      </c>
      <c r="C51" s="54">
        <v>6.4504968550687797E-3</v>
      </c>
      <c r="D51" s="55">
        <v>7.6459688923268695E-2</v>
      </c>
      <c r="E51" s="1">
        <v>7.9843328498754196E-2</v>
      </c>
      <c r="F51" s="56">
        <v>8.5925142230806273E-2</v>
      </c>
      <c r="G51" s="68">
        <v>5.1067950659409167E-3</v>
      </c>
      <c r="H51" s="68">
        <v>-0.51325288627242505</v>
      </c>
      <c r="I51" s="68">
        <v>1</v>
      </c>
      <c r="J51" s="68">
        <v>0.21619686541957778</v>
      </c>
      <c r="K51" s="68">
        <v>0.38124253754490378</v>
      </c>
      <c r="L51" s="2">
        <v>-0.4824918380685273</v>
      </c>
      <c r="M51" s="2">
        <v>-4.5560413921973242E-2</v>
      </c>
      <c r="N51" s="2">
        <v>0.99999999999999734</v>
      </c>
      <c r="O51" s="69"/>
      <c r="R51" s="51" t="str">
        <f t="shared" si="20"/>
        <v>Aandelen ontwikkeld</v>
      </c>
      <c r="S51" s="52">
        <f t="shared" si="21"/>
        <v>7.6459688923268695E-2</v>
      </c>
      <c r="T51" s="52">
        <f t="shared" si="22"/>
        <v>5.1545102712485802E-3</v>
      </c>
      <c r="U51" s="52">
        <f t="shared" si="23"/>
        <v>4.3109430362889972E-3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3.0227444774883386E-2</v>
      </c>
      <c r="C52" s="54">
        <v>5.4536469010625487E-3</v>
      </c>
      <c r="D52" s="55">
        <v>2.605767271228647E-2</v>
      </c>
      <c r="E52" s="1">
        <v>2.8808992504840741E-2</v>
      </c>
      <c r="F52" s="56">
        <v>3.3157386824068734E-2</v>
      </c>
      <c r="G52" s="68">
        <v>-4.3029978830037719E-3</v>
      </c>
      <c r="H52" s="68">
        <v>-0.2349193207107125</v>
      </c>
      <c r="I52" s="68">
        <v>-0.25077231966744351</v>
      </c>
      <c r="J52" s="68">
        <v>-0.54769005391689629</v>
      </c>
      <c r="K52" s="68">
        <v>-0.83023742469171968</v>
      </c>
      <c r="L52" s="2">
        <v>-0.7947113759293668</v>
      </c>
      <c r="M52" s="2">
        <v>-7.9608809851101761E-2</v>
      </c>
      <c r="N52" s="2">
        <v>1</v>
      </c>
      <c r="O52" s="69"/>
      <c r="R52" s="51" t="str">
        <f t="shared" si="20"/>
        <v>Aandelen opkomend</v>
      </c>
      <c r="S52" s="52">
        <f t="shared" si="21"/>
        <v>2.605767271228647E-2</v>
      </c>
      <c r="T52" s="52">
        <f t="shared" si="22"/>
        <v>4.1697720625969159E-3</v>
      </c>
      <c r="U52" s="52">
        <f t="shared" si="23"/>
        <v>2.9299420491853481E-3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1.3485293149846511E-2</v>
      </c>
      <c r="C53" s="54">
        <v>4.0440576441733798E-3</v>
      </c>
      <c r="D53" s="55">
        <v>1.0366029278223814E-2</v>
      </c>
      <c r="E53" s="1">
        <v>1.2790750680194585E-2</v>
      </c>
      <c r="F53" s="56">
        <v>1.594491527281278E-2</v>
      </c>
      <c r="G53" s="68">
        <v>-4.9886321693697342E-3</v>
      </c>
      <c r="H53" s="68">
        <v>-0.12192708672344808</v>
      </c>
      <c r="I53" s="68">
        <v>-0.10667102166502519</v>
      </c>
      <c r="J53" s="68">
        <v>-9.553846084277158E-2</v>
      </c>
      <c r="K53" s="68">
        <v>7.1564430860512909E-2</v>
      </c>
      <c r="L53" s="2">
        <v>0.22095296356140193</v>
      </c>
      <c r="M53" s="2">
        <v>1</v>
      </c>
      <c r="N53" s="2">
        <v>0.99999999999999656</v>
      </c>
      <c r="O53" s="69"/>
      <c r="R53" s="51" t="str">
        <f t="shared" si="20"/>
        <v>Commodities</v>
      </c>
      <c r="S53" s="52">
        <f t="shared" si="21"/>
        <v>1.0366029278223814E-2</v>
      </c>
      <c r="T53" s="52">
        <f t="shared" si="22"/>
        <v>3.1192638716226965E-3</v>
      </c>
      <c r="U53" s="52">
        <f t="shared" si="23"/>
        <v>2.459622122966269E-3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2.8327145377825311E-2</v>
      </c>
      <c r="C54" s="54">
        <v>6.1948937572591052E-3</v>
      </c>
      <c r="D54" s="55">
        <v>2.3118160336424883E-2</v>
      </c>
      <c r="E54" s="1">
        <v>2.7587924662094535E-2</v>
      </c>
      <c r="F54" s="56">
        <v>3.3057721621344183E-2</v>
      </c>
      <c r="G54" s="68">
        <v>-1.7617329115681347E-2</v>
      </c>
      <c r="H54" s="68">
        <v>-0.45646232129546249</v>
      </c>
      <c r="I54" s="68">
        <v>-0.35107326161026775</v>
      </c>
      <c r="J54" s="68">
        <v>1</v>
      </c>
      <c r="K54" s="68">
        <v>-0.46595723416165952</v>
      </c>
      <c r="L54" s="2">
        <v>0.2534580256147988</v>
      </c>
      <c r="M54" s="2">
        <v>-0.14906580610715889</v>
      </c>
      <c r="N54" s="2">
        <v>0.999999999999998</v>
      </c>
      <c r="O54" s="69"/>
      <c r="R54" s="51" t="str">
        <f t="shared" si="20"/>
        <v>Hedge funds</v>
      </c>
      <c r="S54" s="52">
        <f t="shared" si="21"/>
        <v>2.3118160336424883E-2</v>
      </c>
      <c r="T54" s="52">
        <f t="shared" si="22"/>
        <v>5.2089850414004275E-3</v>
      </c>
      <c r="U54" s="52">
        <f t="shared" si="23"/>
        <v>4.730576243518872E-3</v>
      </c>
    </row>
    <row r="55" spans="1:36">
      <c r="A55" s="60" t="str">
        <f t="shared" si="19"/>
        <v>Onroerend goed</v>
      </c>
      <c r="B55" s="61">
        <v>4.1681753067914426E-2</v>
      </c>
      <c r="C55" s="62">
        <v>5.761361999676572E-3</v>
      </c>
      <c r="D55" s="63">
        <v>3.6743627120520907E-2</v>
      </c>
      <c r="E55" s="61">
        <v>4.0578322359413138E-2</v>
      </c>
      <c r="F55" s="64">
        <v>4.5983014431762601E-2</v>
      </c>
      <c r="G55" s="70">
        <v>-1.1811907612114061E-2</v>
      </c>
      <c r="H55" s="70">
        <v>-0.2173232130391359</v>
      </c>
      <c r="I55" s="70">
        <v>-0.71616163550854339</v>
      </c>
      <c r="J55" s="70">
        <v>-0.13436227806402992</v>
      </c>
      <c r="K55" s="70">
        <v>1</v>
      </c>
      <c r="L55" s="65">
        <v>-0.25138528572223184</v>
      </c>
      <c r="M55" s="65">
        <v>-0.23182445096788165</v>
      </c>
      <c r="N55" s="65">
        <v>0.99999999999999856</v>
      </c>
      <c r="O55" s="71"/>
      <c r="R55" s="51" t="str">
        <f t="shared" si="20"/>
        <v>Onroerend goed</v>
      </c>
      <c r="S55" s="52">
        <f t="shared" si="21"/>
        <v>3.6743627120520907E-2</v>
      </c>
      <c r="T55" s="52">
        <f t="shared" si="22"/>
        <v>4.9381259473935193E-3</v>
      </c>
      <c r="U55" s="52">
        <f t="shared" si="23"/>
        <v>4.3012613638481745E-3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400" t="s">
        <v>64</v>
      </c>
      <c r="E57" s="401"/>
      <c r="F57" s="402"/>
      <c r="G57" s="400" t="s">
        <v>65</v>
      </c>
      <c r="H57" s="401"/>
      <c r="I57" s="401"/>
      <c r="J57" s="401"/>
      <c r="K57" s="401"/>
      <c r="L57" s="401"/>
      <c r="M57" s="401"/>
      <c r="N57" s="401"/>
      <c r="O57" s="402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0.69004790687224105</v>
      </c>
      <c r="H58" s="272">
        <v>0.12673533020049177</v>
      </c>
      <c r="I58" s="272">
        <v>4.932888770121524E-2</v>
      </c>
      <c r="J58" s="272">
        <v>4.5681134345338825E-2</v>
      </c>
      <c r="K58" s="272">
        <v>3.6938871020611774E-2</v>
      </c>
      <c r="L58" s="272">
        <v>2.6742806515771989E-2</v>
      </c>
      <c r="M58" s="272">
        <v>2.4525063344332354E-2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0.64585877141725645</v>
      </c>
      <c r="C59" s="54">
        <v>5.1091651299734813E-3</v>
      </c>
      <c r="D59" s="55">
        <v>0.64308574176698174</v>
      </c>
      <c r="E59" s="1">
        <v>0.64668819784205156</v>
      </c>
      <c r="F59" s="56">
        <v>0.6496147187792507</v>
      </c>
      <c r="G59" s="2">
        <v>-2.523059046357649E-2</v>
      </c>
      <c r="H59" s="2">
        <v>-0.30853140955141001</v>
      </c>
      <c r="I59" s="2">
        <v>-0.40806446885934955</v>
      </c>
      <c r="J59" s="2">
        <v>-0.29776402101299176</v>
      </c>
      <c r="K59" s="2">
        <v>-0.71599915218901766</v>
      </c>
      <c r="L59" s="2">
        <v>-0.10484501724361547</v>
      </c>
      <c r="M59" s="2">
        <v>1</v>
      </c>
      <c r="N59" s="2">
        <v>0.999999999999999</v>
      </c>
      <c r="O59" s="69"/>
      <c r="R59" s="51" t="str">
        <f>A59</f>
        <v>Nominale matching</v>
      </c>
      <c r="S59" s="52">
        <f>D59</f>
        <v>0.64308574176698174</v>
      </c>
      <c r="T59" s="52">
        <f>B59-D59</f>
        <v>2.7730296502747054E-3</v>
      </c>
      <c r="U59" s="52">
        <f>F59-B59</f>
        <v>3.7559473619942496E-3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8.5616993213352283E-2</v>
      </c>
      <c r="C60" s="54">
        <v>1.8671118443281867E-2</v>
      </c>
      <c r="D60" s="55">
        <v>7.1178242951620008E-2</v>
      </c>
      <c r="E60" s="1">
        <v>8.5030413295140966E-2</v>
      </c>
      <c r="F60" s="56">
        <v>9.8561714337098316E-2</v>
      </c>
      <c r="G60" s="2">
        <v>1</v>
      </c>
      <c r="H60" s="2">
        <v>0.83368787012351753</v>
      </c>
      <c r="I60" s="2">
        <v>-3.2248103612543461E-2</v>
      </c>
      <c r="J60" s="2">
        <v>8.1179674028934341E-3</v>
      </c>
      <c r="K60" s="2">
        <v>0.14105772960817947</v>
      </c>
      <c r="L60" s="2">
        <v>-4.8638061645768262E-2</v>
      </c>
      <c r="M60" s="2">
        <v>5.9435933651629254E-2</v>
      </c>
      <c r="N60" s="2">
        <v>0.99999999999999922</v>
      </c>
      <c r="O60" s="69"/>
      <c r="R60" s="51" t="str">
        <f t="shared" ref="R60:R66" si="25">A60</f>
        <v>High Yield</v>
      </c>
      <c r="S60" s="52">
        <f t="shared" ref="S60:S66" si="26">D60</f>
        <v>7.1178242951620008E-2</v>
      </c>
      <c r="T60" s="52">
        <f t="shared" ref="T60:T66" si="27">B60-D60</f>
        <v>1.4438750261732275E-2</v>
      </c>
      <c r="U60" s="52">
        <f t="shared" ref="U60:U66" si="28">F60-B60</f>
        <v>1.2944721123746034E-2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7.6577965529641134E-2</v>
      </c>
      <c r="C61" s="54">
        <v>1.6892579699601021E-2</v>
      </c>
      <c r="D61" s="55">
        <v>6.3510943138879838E-2</v>
      </c>
      <c r="E61" s="1">
        <v>7.5721454086773721E-2</v>
      </c>
      <c r="F61" s="56">
        <v>8.8626863256731581E-2</v>
      </c>
      <c r="G61" s="2">
        <v>-0.87075404682690083</v>
      </c>
      <c r="H61" s="2">
        <v>1</v>
      </c>
      <c r="I61" s="2">
        <v>-7.8911587292902999E-2</v>
      </c>
      <c r="J61" s="2">
        <v>1.3444071455535197E-2</v>
      </c>
      <c r="K61" s="2">
        <v>0.1732046160583206</v>
      </c>
      <c r="L61" s="2">
        <v>-6.2516159606940097E-2</v>
      </c>
      <c r="M61" s="2">
        <v>4.3263475214718114E-2</v>
      </c>
      <c r="N61" s="2">
        <v>0.99999999999999833</v>
      </c>
      <c r="O61" s="69"/>
      <c r="R61" s="51" t="str">
        <f t="shared" si="25"/>
        <v>Emerging market debt</v>
      </c>
      <c r="S61" s="52">
        <f t="shared" si="26"/>
        <v>6.3510943138879838E-2</v>
      </c>
      <c r="T61" s="52">
        <f t="shared" si="27"/>
        <v>1.3067022390761296E-2</v>
      </c>
      <c r="U61" s="52">
        <f t="shared" si="28"/>
        <v>1.2048897727090446E-2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8.0645447923746602E-2</v>
      </c>
      <c r="C62" s="54">
        <v>6.0929213718960151E-3</v>
      </c>
      <c r="D62" s="55">
        <v>7.6078194951983868E-2</v>
      </c>
      <c r="E62" s="1">
        <v>7.9300539759737193E-2</v>
      </c>
      <c r="F62" s="56">
        <v>8.4537664213300973E-2</v>
      </c>
      <c r="G62" s="2">
        <v>-2.793274719793615E-3</v>
      </c>
      <c r="H62" s="2">
        <v>-0.51791302988697629</v>
      </c>
      <c r="I62" s="2">
        <v>-0.67493681420794727</v>
      </c>
      <c r="J62" s="2">
        <v>-0.25747404167266369</v>
      </c>
      <c r="K62" s="2">
        <v>1</v>
      </c>
      <c r="L62" s="2">
        <v>-9.816682404613522E-2</v>
      </c>
      <c r="M62" s="2">
        <v>-0.31958352603636275</v>
      </c>
      <c r="N62" s="2">
        <v>0.99999999999999778</v>
      </c>
      <c r="O62" s="69"/>
      <c r="R62" s="51" t="str">
        <f t="shared" si="25"/>
        <v>Aandelen ontwikkeld</v>
      </c>
      <c r="S62" s="52">
        <f t="shared" si="26"/>
        <v>7.6078194951983868E-2</v>
      </c>
      <c r="T62" s="52">
        <f t="shared" si="27"/>
        <v>4.5672529717627336E-3</v>
      </c>
      <c r="U62" s="52">
        <f t="shared" si="28"/>
        <v>3.8922162895543705E-3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2.8294315542892062E-2</v>
      </c>
      <c r="C63" s="54">
        <v>4.6772522231978229E-3</v>
      </c>
      <c r="D63" s="55">
        <v>2.5056509261794178E-2</v>
      </c>
      <c r="E63" s="1">
        <v>2.7322184207061145E-2</v>
      </c>
      <c r="F63" s="56">
        <v>3.0480291770449534E-2</v>
      </c>
      <c r="G63" s="2">
        <v>-1.2327259984459962E-2</v>
      </c>
      <c r="H63" s="2">
        <v>-0.19338813927382001</v>
      </c>
      <c r="I63" s="2">
        <v>5.9049710087381094E-2</v>
      </c>
      <c r="J63" s="2">
        <v>-3.2051993081938517E-3</v>
      </c>
      <c r="K63" s="2">
        <v>-0.82319445490799548</v>
      </c>
      <c r="L63" s="2">
        <v>-0.57253900921509793</v>
      </c>
      <c r="M63" s="2">
        <v>-0.87621609542307488</v>
      </c>
      <c r="N63" s="2">
        <v>1</v>
      </c>
      <c r="O63" s="69"/>
      <c r="R63" s="51" t="str">
        <f t="shared" si="25"/>
        <v>Aandelen opkomend</v>
      </c>
      <c r="S63" s="52">
        <f t="shared" si="26"/>
        <v>2.5056509261794178E-2</v>
      </c>
      <c r="T63" s="52">
        <f t="shared" si="27"/>
        <v>3.2378062810978839E-3</v>
      </c>
      <c r="U63" s="52">
        <f t="shared" si="28"/>
        <v>2.1859762275574721E-3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1.3130379922207476E-2</v>
      </c>
      <c r="C64" s="54">
        <v>4.4808580888204873E-3</v>
      </c>
      <c r="D64" s="55">
        <v>9.9456509479830188E-3</v>
      </c>
      <c r="E64" s="1">
        <v>1.2090819954886343E-2</v>
      </c>
      <c r="F64" s="56">
        <v>1.561327247854739E-2</v>
      </c>
      <c r="G64" s="2">
        <v>-1.9454562451620538E-2</v>
      </c>
      <c r="H64" s="2">
        <v>-0.13065518727760744</v>
      </c>
      <c r="I64" s="2">
        <v>-2.6944903306073183E-2</v>
      </c>
      <c r="J64" s="2">
        <v>-7.0976848941792245E-3</v>
      </c>
      <c r="K64" s="2">
        <v>-0.39767975851124221</v>
      </c>
      <c r="L64" s="2">
        <v>1</v>
      </c>
      <c r="M64" s="2">
        <v>-0.39364408223460273</v>
      </c>
      <c r="N64" s="2">
        <v>0.99999999999999745</v>
      </c>
      <c r="O64" s="69"/>
      <c r="R64" s="51" t="str">
        <f t="shared" si="25"/>
        <v>Commodities</v>
      </c>
      <c r="S64" s="52">
        <f t="shared" si="26"/>
        <v>9.9456509479830188E-3</v>
      </c>
      <c r="T64" s="52">
        <f t="shared" si="27"/>
        <v>3.1847289742244576E-3</v>
      </c>
      <c r="U64" s="52">
        <f t="shared" si="28"/>
        <v>2.4828925563399138E-3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2.8127895474526422E-2</v>
      </c>
      <c r="C65" s="54">
        <v>5.9925850262735501E-3</v>
      </c>
      <c r="D65" s="55">
        <v>2.3154871446308227E-2</v>
      </c>
      <c r="E65" s="1">
        <v>2.7308293336346622E-2</v>
      </c>
      <c r="F65" s="56">
        <v>3.2747555212425422E-2</v>
      </c>
      <c r="G65" s="2">
        <v>-2.5059571720937205E-2</v>
      </c>
      <c r="H65" s="2">
        <v>-0.38360123630554666</v>
      </c>
      <c r="I65" s="2">
        <v>0.16205616719143573</v>
      </c>
      <c r="J65" s="2">
        <v>1</v>
      </c>
      <c r="K65" s="2">
        <v>0.2192717048019357</v>
      </c>
      <c r="L65" s="2">
        <v>-6.9821421641236253E-2</v>
      </c>
      <c r="M65" s="2">
        <v>0.29586019118991519</v>
      </c>
      <c r="N65" s="2">
        <v>0.999999999999999</v>
      </c>
      <c r="O65" s="69"/>
      <c r="R65" s="51" t="str">
        <f t="shared" si="25"/>
        <v>Hedge funds</v>
      </c>
      <c r="S65" s="52">
        <f t="shared" si="26"/>
        <v>2.3154871446308227E-2</v>
      </c>
      <c r="T65" s="52">
        <f t="shared" si="27"/>
        <v>4.9730240282181946E-3</v>
      </c>
      <c r="U65" s="52">
        <f t="shared" si="28"/>
        <v>4.6196597378990005E-3</v>
      </c>
    </row>
    <row r="66" spans="1:36">
      <c r="A66" s="60" t="str">
        <f t="shared" si="24"/>
        <v>Onroerend goed</v>
      </c>
      <c r="B66" s="61">
        <v>4.1748230976377837E-2</v>
      </c>
      <c r="C66" s="62">
        <v>6.0472149739639273E-3</v>
      </c>
      <c r="D66" s="63">
        <v>3.6846829317189071E-2</v>
      </c>
      <c r="E66" s="61">
        <v>4.0820118904752137E-2</v>
      </c>
      <c r="F66" s="64">
        <v>4.5828354558406309E-2</v>
      </c>
      <c r="G66" s="65">
        <v>-4.4380693832711218E-2</v>
      </c>
      <c r="H66" s="65">
        <v>-0.29959886782815792</v>
      </c>
      <c r="I66" s="65">
        <v>1</v>
      </c>
      <c r="J66" s="65">
        <v>-0.4560210919704008</v>
      </c>
      <c r="K66" s="65">
        <v>0.40333931513982113</v>
      </c>
      <c r="L66" s="65">
        <v>-4.3473506601205067E-2</v>
      </c>
      <c r="M66" s="65">
        <v>0.19088410363777764</v>
      </c>
      <c r="N66" s="65">
        <v>0.99999999999999833</v>
      </c>
      <c r="O66" s="71"/>
      <c r="R66" s="51" t="str">
        <f t="shared" si="25"/>
        <v>Onroerend goed</v>
      </c>
      <c r="S66" s="52">
        <f t="shared" si="26"/>
        <v>3.6846829317189071E-2</v>
      </c>
      <c r="T66" s="52">
        <f t="shared" si="27"/>
        <v>4.9014016591887657E-3</v>
      </c>
      <c r="U66" s="52">
        <f t="shared" si="28"/>
        <v>4.080123582028472E-3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0.66441079375026479</v>
      </c>
      <c r="H69" s="272">
        <v>0.14281744296311749</v>
      </c>
      <c r="I69" s="272">
        <v>5.1784051704843459E-2</v>
      </c>
      <c r="J69" s="272">
        <v>4.6013301607072621E-2</v>
      </c>
      <c r="K69" s="272">
        <v>4.3283942954225441E-2</v>
      </c>
      <c r="L69" s="272">
        <v>3.0170792701004534E-2</v>
      </c>
      <c r="M69" s="272">
        <v>2.1519674319468773E-2</v>
      </c>
      <c r="N69" s="272">
        <v>0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0.64512232819647941</v>
      </c>
      <c r="C70" s="54">
        <v>5.4404235467680612E-3</v>
      </c>
      <c r="D70" s="55">
        <v>0.64167848179764575</v>
      </c>
      <c r="E70" s="1">
        <v>0.6463014981801164</v>
      </c>
      <c r="F70" s="56">
        <v>0.6495103921442551</v>
      </c>
      <c r="G70" s="68">
        <v>-1.0192548032818896E-2</v>
      </c>
      <c r="H70" s="68">
        <v>-0.39863872973400755</v>
      </c>
      <c r="I70" s="68">
        <v>0.21003814433680615</v>
      </c>
      <c r="J70" s="68">
        <v>-0.60149324874922805</v>
      </c>
      <c r="K70" s="68">
        <v>-0.12120892793840096</v>
      </c>
      <c r="L70" s="2">
        <v>1</v>
      </c>
      <c r="M70" s="2">
        <v>-0.32204026915401973</v>
      </c>
      <c r="N70" s="2">
        <v>0.99999999999999767</v>
      </c>
      <c r="O70" s="69"/>
      <c r="R70" s="51" t="str">
        <f>A70</f>
        <v>Nominale matching</v>
      </c>
      <c r="S70" s="52">
        <f>D70</f>
        <v>0.64167848179764575</v>
      </c>
      <c r="T70" s="52">
        <f>B70-D70</f>
        <v>3.4438463988336609E-3</v>
      </c>
      <c r="U70" s="52">
        <f>F70-B70</f>
        <v>4.3880639477756889E-3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8.1679007668728598E-2</v>
      </c>
      <c r="C71" s="54">
        <v>1.7941116992089851E-2</v>
      </c>
      <c r="D71" s="55">
        <v>6.7092809135505527E-2</v>
      </c>
      <c r="E71" s="1">
        <v>8.1509990825278281E-2</v>
      </c>
      <c r="F71" s="56">
        <v>9.3574464564129656E-2</v>
      </c>
      <c r="G71" s="68">
        <v>1</v>
      </c>
      <c r="H71" s="68">
        <v>0.94252355777519625</v>
      </c>
      <c r="I71" s="68">
        <v>9.5090825016327235E-2</v>
      </c>
      <c r="J71" s="68">
        <v>8.2667571724960809E-2</v>
      </c>
      <c r="K71" s="68">
        <v>-1.8734011898802388E-2</v>
      </c>
      <c r="L71" s="2">
        <v>3.2532181087982184E-2</v>
      </c>
      <c r="M71" s="2">
        <v>-8.5951614374092697E-2</v>
      </c>
      <c r="N71" s="2">
        <v>0.99999999999999678</v>
      </c>
      <c r="O71" s="69"/>
      <c r="R71" s="51" t="str">
        <f t="shared" ref="R71:R77" si="30">A71</f>
        <v>High Yield</v>
      </c>
      <c r="S71" s="52">
        <f t="shared" ref="S71:S77" si="31">D71</f>
        <v>6.7092809135505527E-2</v>
      </c>
      <c r="T71" s="52">
        <f t="shared" ref="T71:T77" si="32">B71-D71</f>
        <v>1.4586198533223071E-2</v>
      </c>
      <c r="U71" s="52">
        <f t="shared" ref="U71:U77" si="33">F71-B71</f>
        <v>1.1895456895401058E-2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7.7862828569804726E-2</v>
      </c>
      <c r="C72" s="54">
        <v>1.7398975476269705E-2</v>
      </c>
      <c r="D72" s="55">
        <v>6.2977523523390033E-2</v>
      </c>
      <c r="E72" s="1">
        <v>7.6935641017400719E-2</v>
      </c>
      <c r="F72" s="56">
        <v>8.9832444760191907E-2</v>
      </c>
      <c r="G72" s="68">
        <v>-0.95619338025295297</v>
      </c>
      <c r="H72" s="68">
        <v>1</v>
      </c>
      <c r="I72" s="68">
        <v>0.11954926909814464</v>
      </c>
      <c r="J72" s="68">
        <v>8.0219604428386326E-2</v>
      </c>
      <c r="K72" s="68">
        <v>-1.6669369714833172E-2</v>
      </c>
      <c r="L72" s="2">
        <v>2.1645329455946671E-2</v>
      </c>
      <c r="M72" s="2">
        <v>-8.5948635623771641E-2</v>
      </c>
      <c r="N72" s="2">
        <v>0.99999999999999745</v>
      </c>
      <c r="O72" s="69"/>
      <c r="R72" s="51" t="str">
        <f t="shared" si="30"/>
        <v>Emerging market debt</v>
      </c>
      <c r="S72" s="52">
        <f t="shared" si="31"/>
        <v>6.2977523523390033E-2</v>
      </c>
      <c r="T72" s="52">
        <f t="shared" si="32"/>
        <v>1.4885305046414693E-2</v>
      </c>
      <c r="U72" s="52">
        <f t="shared" si="33"/>
        <v>1.1969616190387181E-2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8.1614199194517276E-2</v>
      </c>
      <c r="C73" s="54">
        <v>6.4504968550687797E-3</v>
      </c>
      <c r="D73" s="55">
        <v>7.6459688923268695E-2</v>
      </c>
      <c r="E73" s="1">
        <v>7.9843328498754196E-2</v>
      </c>
      <c r="F73" s="56">
        <v>8.5925142230806273E-2</v>
      </c>
      <c r="G73" s="68">
        <v>5.1067950659409965E-3</v>
      </c>
      <c r="H73" s="68">
        <v>-0.51325288627242516</v>
      </c>
      <c r="I73" s="68">
        <v>1</v>
      </c>
      <c r="J73" s="68">
        <v>0.21619686541957192</v>
      </c>
      <c r="K73" s="68">
        <v>0.38124253754490239</v>
      </c>
      <c r="L73" s="2">
        <v>-0.48249183806852669</v>
      </c>
      <c r="M73" s="2">
        <v>-4.556041392197336E-2</v>
      </c>
      <c r="N73" s="2">
        <v>0.99999999999999889</v>
      </c>
      <c r="O73" s="69"/>
      <c r="R73" s="51" t="str">
        <f t="shared" si="30"/>
        <v>Aandelen ontwikkeld</v>
      </c>
      <c r="S73" s="52">
        <f t="shared" si="31"/>
        <v>7.6459688923268695E-2</v>
      </c>
      <c r="T73" s="52">
        <f t="shared" si="32"/>
        <v>5.1545102712485802E-3</v>
      </c>
      <c r="U73" s="52">
        <f t="shared" si="33"/>
        <v>4.3109430362889972E-3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3.0227444774883386E-2</v>
      </c>
      <c r="C74" s="54">
        <v>5.4536469010625487E-3</v>
      </c>
      <c r="D74" s="55">
        <v>2.605767271228647E-2</v>
      </c>
      <c r="E74" s="1">
        <v>2.8808992504840741E-2</v>
      </c>
      <c r="F74" s="56">
        <v>3.3157386824068734E-2</v>
      </c>
      <c r="G74" s="68">
        <v>-4.3029978830037554E-3</v>
      </c>
      <c r="H74" s="68">
        <v>-0.23491932071071273</v>
      </c>
      <c r="I74" s="68">
        <v>-0.25077231966744734</v>
      </c>
      <c r="J74" s="68">
        <v>-0.54769005391689385</v>
      </c>
      <c r="K74" s="68">
        <v>-0.83023742469171979</v>
      </c>
      <c r="L74" s="2">
        <v>-0.7947113759293668</v>
      </c>
      <c r="M74" s="2">
        <v>-7.9608809851101775E-2</v>
      </c>
      <c r="N74" s="2">
        <v>1</v>
      </c>
      <c r="O74" s="69"/>
      <c r="R74" s="51" t="str">
        <f t="shared" si="30"/>
        <v>Aandelen opkomend</v>
      </c>
      <c r="S74" s="52">
        <f t="shared" si="31"/>
        <v>2.605767271228647E-2</v>
      </c>
      <c r="T74" s="52">
        <f t="shared" si="32"/>
        <v>4.1697720625969159E-3</v>
      </c>
      <c r="U74" s="52">
        <f t="shared" si="33"/>
        <v>2.9299420491853481E-3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1.3485293149846511E-2</v>
      </c>
      <c r="C75" s="54">
        <v>4.0440576441733798E-3</v>
      </c>
      <c r="D75" s="55">
        <v>1.0366029278223814E-2</v>
      </c>
      <c r="E75" s="1">
        <v>1.2790750680194585E-2</v>
      </c>
      <c r="F75" s="56">
        <v>1.594491527281278E-2</v>
      </c>
      <c r="G75" s="68">
        <v>-4.9886321693697177E-3</v>
      </c>
      <c r="H75" s="68">
        <v>-0.12192708672344819</v>
      </c>
      <c r="I75" s="68">
        <v>-0.10667102166502546</v>
      </c>
      <c r="J75" s="68">
        <v>-9.5538460842770595E-2</v>
      </c>
      <c r="K75" s="68">
        <v>7.1564430860513048E-2</v>
      </c>
      <c r="L75" s="2">
        <v>0.22095296356140157</v>
      </c>
      <c r="M75" s="2">
        <v>1</v>
      </c>
      <c r="N75" s="2">
        <v>0.999999999999998</v>
      </c>
      <c r="O75" s="69"/>
      <c r="R75" s="51" t="str">
        <f t="shared" si="30"/>
        <v>Commodities</v>
      </c>
      <c r="S75" s="52">
        <f t="shared" si="31"/>
        <v>1.0366029278223814E-2</v>
      </c>
      <c r="T75" s="52">
        <f t="shared" si="32"/>
        <v>3.1192638716226965E-3</v>
      </c>
      <c r="U75" s="52">
        <f t="shared" si="33"/>
        <v>2.459622122966269E-3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2.8327145377825311E-2</v>
      </c>
      <c r="C76" s="54">
        <v>6.1948937572591052E-3</v>
      </c>
      <c r="D76" s="55">
        <v>2.3118160336424883E-2</v>
      </c>
      <c r="E76" s="1">
        <v>2.7587924662094535E-2</v>
      </c>
      <c r="F76" s="56">
        <v>3.3057721621344183E-2</v>
      </c>
      <c r="G76" s="68">
        <v>-1.7617329115681205E-2</v>
      </c>
      <c r="H76" s="68">
        <v>-0.45646232129546305</v>
      </c>
      <c r="I76" s="68">
        <v>-0.35107326161026287</v>
      </c>
      <c r="J76" s="68">
        <v>1</v>
      </c>
      <c r="K76" s="68">
        <v>-0.46595723416165963</v>
      </c>
      <c r="L76" s="2">
        <v>0.25345802561479858</v>
      </c>
      <c r="M76" s="2">
        <v>-0.14906580610715883</v>
      </c>
      <c r="N76" s="2">
        <v>0.99999999999999822</v>
      </c>
      <c r="O76" s="69"/>
      <c r="R76" s="51" t="str">
        <f t="shared" si="30"/>
        <v>Hedge funds</v>
      </c>
      <c r="S76" s="52">
        <f t="shared" si="31"/>
        <v>2.3118160336424883E-2</v>
      </c>
      <c r="T76" s="52">
        <f t="shared" si="32"/>
        <v>5.2089850414004275E-3</v>
      </c>
      <c r="U76" s="52">
        <f t="shared" si="33"/>
        <v>4.730576243518872E-3</v>
      </c>
    </row>
    <row r="77" spans="1:36">
      <c r="A77" s="60" t="str">
        <f t="shared" si="29"/>
        <v>Onroerend goed</v>
      </c>
      <c r="B77" s="61">
        <v>4.1681753067914426E-2</v>
      </c>
      <c r="C77" s="62">
        <v>5.761361999676572E-3</v>
      </c>
      <c r="D77" s="63">
        <v>3.6743627120520907E-2</v>
      </c>
      <c r="E77" s="61">
        <v>4.0578322359413138E-2</v>
      </c>
      <c r="F77" s="64">
        <v>4.5983014431762601E-2</v>
      </c>
      <c r="G77" s="70">
        <v>-1.1811907612113984E-2</v>
      </c>
      <c r="H77" s="70">
        <v>-0.21732321303913613</v>
      </c>
      <c r="I77" s="70">
        <v>-0.71616163550854273</v>
      </c>
      <c r="J77" s="70">
        <v>-0.13436227806402579</v>
      </c>
      <c r="K77" s="70">
        <v>1</v>
      </c>
      <c r="L77" s="65">
        <v>-0.2513852857222324</v>
      </c>
      <c r="M77" s="65">
        <v>-0.23182445096788176</v>
      </c>
      <c r="N77" s="65">
        <v>0.99999999999999822</v>
      </c>
      <c r="O77" s="71"/>
      <c r="R77" s="51" t="str">
        <f t="shared" si="30"/>
        <v>Onroerend goed</v>
      </c>
      <c r="S77" s="52">
        <f t="shared" si="31"/>
        <v>3.6743627120520907E-2</v>
      </c>
      <c r="T77" s="52">
        <f t="shared" si="32"/>
        <v>4.9381259473935193E-3</v>
      </c>
      <c r="U77" s="52">
        <f t="shared" si="33"/>
        <v>4.3012613638481745E-3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400" t="s">
        <v>64</v>
      </c>
      <c r="E79" s="401"/>
      <c r="F79" s="402"/>
      <c r="G79" s="400" t="s">
        <v>65</v>
      </c>
      <c r="H79" s="401"/>
      <c r="I79" s="401"/>
      <c r="J79" s="401"/>
      <c r="K79" s="401"/>
      <c r="L79" s="401"/>
      <c r="M79" s="401"/>
      <c r="N79" s="401"/>
      <c r="O79" s="402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0.48162990479910139</v>
      </c>
      <c r="H80" s="272">
        <v>0.33302445358438892</v>
      </c>
      <c r="I80" s="272">
        <v>8.1803619704459929E-2</v>
      </c>
      <c r="J80" s="272">
        <v>4.2069214539250943E-2</v>
      </c>
      <c r="K80" s="272">
        <v>2.5334186162580319E-2</v>
      </c>
      <c r="L80" s="272">
        <v>1.8528559229094022E-2</v>
      </c>
      <c r="M80" s="272">
        <v>1.7610061981124803E-2</v>
      </c>
      <c r="N80" s="272">
        <v>-2.2204460492503131E-16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0.57339020469276714</v>
      </c>
      <c r="C81" s="54">
        <v>1.395996731052037E-2</v>
      </c>
      <c r="D81" s="55">
        <v>0.5628945263516516</v>
      </c>
      <c r="E81" s="1">
        <v>0.57158781400978631</v>
      </c>
      <c r="F81" s="56">
        <v>0.58251218382513048</v>
      </c>
      <c r="G81" s="2">
        <v>-0.14827785664462492</v>
      </c>
      <c r="H81" s="2">
        <v>-0.52535195684523661</v>
      </c>
      <c r="I81" s="2">
        <v>1</v>
      </c>
      <c r="J81" s="2">
        <v>0.11618803984113608</v>
      </c>
      <c r="K81" s="2">
        <v>-0.34375715859891542</v>
      </c>
      <c r="L81" s="2">
        <v>-0.13065017837704626</v>
      </c>
      <c r="M81" s="2">
        <v>-2.759776585231917E-3</v>
      </c>
      <c r="N81" s="2">
        <v>0.99999999999999989</v>
      </c>
      <c r="O81" s="69"/>
      <c r="R81" s="51" t="str">
        <f>A81</f>
        <v>Nominale matching</v>
      </c>
      <c r="S81" s="52">
        <f>D81</f>
        <v>0.5628945263516516</v>
      </c>
      <c r="T81" s="52">
        <f>B81-D81</f>
        <v>1.0495678341115533E-2</v>
      </c>
      <c r="U81" s="52">
        <f>F81-B81</f>
        <v>9.1219791323633448E-3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8.517733472513811E-2</v>
      </c>
      <c r="C82" s="54">
        <v>2.1354850363311174E-2</v>
      </c>
      <c r="D82" s="55">
        <v>6.9302178120674907E-2</v>
      </c>
      <c r="E82" s="1">
        <v>8.2658658582073316E-2</v>
      </c>
      <c r="F82" s="56">
        <v>0.10048206583042915</v>
      </c>
      <c r="G82" s="2">
        <v>-0.41990318722764386</v>
      </c>
      <c r="H82" s="2">
        <v>1</v>
      </c>
      <c r="I82" s="2">
        <v>0.20652378849441846</v>
      </c>
      <c r="J82" s="2">
        <v>-0.15420018582851169</v>
      </c>
      <c r="K82" s="2">
        <v>-0.39889627074979561</v>
      </c>
      <c r="L82" s="2">
        <v>-9.3210780466835286E-2</v>
      </c>
      <c r="M82" s="2">
        <v>3.4990559154457548E-3</v>
      </c>
      <c r="N82" s="2">
        <v>0.99999999999999911</v>
      </c>
      <c r="O82" s="69"/>
      <c r="R82" s="51" t="str">
        <f t="shared" ref="R82:R88" si="35">A82</f>
        <v>High Yield</v>
      </c>
      <c r="S82" s="52">
        <f t="shared" ref="S82:S88" si="36">D82</f>
        <v>6.9302178120674907E-2</v>
      </c>
      <c r="T82" s="52">
        <f t="shared" ref="T82:T88" si="37">B82-D82</f>
        <v>1.5875156604463203E-2</v>
      </c>
      <c r="U82" s="52">
        <f t="shared" ref="U82:U88" si="38">F82-B82</f>
        <v>1.5304731105291042E-2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0.10002617308854149</v>
      </c>
      <c r="C83" s="54">
        <v>2.3556724679377174E-2</v>
      </c>
      <c r="D83" s="55">
        <v>8.0748518116354959E-2</v>
      </c>
      <c r="E83" s="1">
        <v>9.8514358971454039E-2</v>
      </c>
      <c r="F83" s="56">
        <v>0.11730493236811096</v>
      </c>
      <c r="G83" s="2">
        <v>1</v>
      </c>
      <c r="H83" s="2">
        <v>9.9578089103808706E-2</v>
      </c>
      <c r="I83" s="2">
        <v>-2.1449756284263693E-2</v>
      </c>
      <c r="J83" s="2">
        <v>-0.45277349187864047</v>
      </c>
      <c r="K83" s="2">
        <v>-0.40451755448746257</v>
      </c>
      <c r="L83" s="2">
        <v>-5.9671426438095143E-2</v>
      </c>
      <c r="M83" s="2">
        <v>3.213407642504619E-2</v>
      </c>
      <c r="N83" s="2">
        <v>0.999999999999999</v>
      </c>
      <c r="O83" s="69"/>
      <c r="R83" s="51" t="str">
        <f t="shared" si="35"/>
        <v>Emerging market debt</v>
      </c>
      <c r="S83" s="52">
        <f t="shared" si="36"/>
        <v>8.0748518116354959E-2</v>
      </c>
      <c r="T83" s="52">
        <f t="shared" si="37"/>
        <v>1.9277654972186531E-2</v>
      </c>
      <c r="U83" s="52">
        <f t="shared" si="38"/>
        <v>1.7278759279569469E-2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8.6256782361480502E-2</v>
      </c>
      <c r="C84" s="54">
        <v>8.2830702169256649E-3</v>
      </c>
      <c r="D84" s="55">
        <v>7.9383533336859102E-2</v>
      </c>
      <c r="E84" s="1">
        <v>8.4685126388086535E-2</v>
      </c>
      <c r="F84" s="56">
        <v>9.2209005170150099E-2</v>
      </c>
      <c r="G84" s="2">
        <v>6.1974882561530241E-2</v>
      </c>
      <c r="H84" s="2">
        <v>-7.8269890764437952E-2</v>
      </c>
      <c r="I84" s="2">
        <v>-0.47506933907621446</v>
      </c>
      <c r="J84" s="2">
        <v>1</v>
      </c>
      <c r="K84" s="2">
        <v>-0.62634852054732382</v>
      </c>
      <c r="L84" s="2">
        <v>-5.6141414098549669E-2</v>
      </c>
      <c r="M84" s="2">
        <v>-0.11441145956369735</v>
      </c>
      <c r="N84" s="2">
        <v>0.99999999999999978</v>
      </c>
      <c r="O84" s="69"/>
      <c r="R84" s="51" t="str">
        <f t="shared" si="35"/>
        <v>Aandelen ontwikkeld</v>
      </c>
      <c r="S84" s="52">
        <f t="shared" si="36"/>
        <v>7.9383533336859102E-2</v>
      </c>
      <c r="T84" s="52">
        <f t="shared" si="37"/>
        <v>6.8732490246214001E-3</v>
      </c>
      <c r="U84" s="52">
        <f t="shared" si="38"/>
        <v>5.9522228086695966E-3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6.6248653389072085E-2</v>
      </c>
      <c r="C85" s="54">
        <v>1.644595053878236E-2</v>
      </c>
      <c r="D85" s="55">
        <v>5.2861834384196657E-2</v>
      </c>
      <c r="E85" s="1">
        <v>6.5441273272801692E-2</v>
      </c>
      <c r="F85" s="56">
        <v>7.9956698753423761E-2</v>
      </c>
      <c r="G85" s="2">
        <v>-0.50066266256575509</v>
      </c>
      <c r="H85" s="2">
        <v>-0.49396999143217318</v>
      </c>
      <c r="I85" s="2">
        <v>-0.57412928301202226</v>
      </c>
      <c r="J85" s="2">
        <v>-0.68411710044402796</v>
      </c>
      <c r="K85" s="2">
        <v>-0.4293849462873815</v>
      </c>
      <c r="L85" s="2">
        <v>-4.7049074340718783E-2</v>
      </c>
      <c r="M85" s="2">
        <v>4.9909277943097803E-2</v>
      </c>
      <c r="N85" s="2">
        <v>0.99999999999999833</v>
      </c>
      <c r="O85" s="69"/>
      <c r="R85" s="51" t="str">
        <f t="shared" si="35"/>
        <v>Aandelen opkomend</v>
      </c>
      <c r="S85" s="52">
        <f t="shared" si="36"/>
        <v>5.2861834384196657E-2</v>
      </c>
      <c r="T85" s="52">
        <f t="shared" si="37"/>
        <v>1.3386819004875428E-2</v>
      </c>
      <c r="U85" s="52">
        <f t="shared" si="38"/>
        <v>1.3708045364351676E-2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1.7105799751665905E-2</v>
      </c>
      <c r="C86" s="54">
        <v>5.2297378254979494E-3</v>
      </c>
      <c r="D86" s="55">
        <v>1.2741629556100465E-2</v>
      </c>
      <c r="E86" s="1">
        <v>1.5891830323863376E-2</v>
      </c>
      <c r="F86" s="56">
        <v>2.0768719091309399E-2</v>
      </c>
      <c r="G86" s="2">
        <v>-7.6031397066398457E-3</v>
      </c>
      <c r="H86" s="2">
        <v>-2.2316144530306584E-3</v>
      </c>
      <c r="I86" s="2">
        <v>1.7488847669782044E-2</v>
      </c>
      <c r="J86" s="2">
        <v>-1.949351968344868E-2</v>
      </c>
      <c r="K86" s="2">
        <v>0.54461313340306983</v>
      </c>
      <c r="L86" s="2">
        <v>1</v>
      </c>
      <c r="M86" s="2">
        <v>-0.60013712849538137</v>
      </c>
      <c r="N86" s="2">
        <v>1</v>
      </c>
      <c r="O86" s="69"/>
      <c r="R86" s="51" t="str">
        <f t="shared" si="35"/>
        <v>Commodities</v>
      </c>
      <c r="S86" s="52">
        <f t="shared" si="36"/>
        <v>1.2741629556100465E-2</v>
      </c>
      <c r="T86" s="52">
        <f t="shared" si="37"/>
        <v>4.3641701955654394E-3</v>
      </c>
      <c r="U86" s="52">
        <f t="shared" si="38"/>
        <v>3.6629193396434945E-3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2.8385429599375185E-2</v>
      </c>
      <c r="C87" s="54">
        <v>5.5813886122547032E-3</v>
      </c>
      <c r="D87" s="55">
        <v>2.3629994978942918E-2</v>
      </c>
      <c r="E87" s="1">
        <v>2.7811814112409142E-2</v>
      </c>
      <c r="F87" s="56">
        <v>3.2441364095410076E-2</v>
      </c>
      <c r="G87" s="2">
        <v>1.3177984256824234E-2</v>
      </c>
      <c r="H87" s="2">
        <v>-4.3598638868868091E-3</v>
      </c>
      <c r="I87" s="2">
        <v>-0.10297022863490797</v>
      </c>
      <c r="J87" s="2">
        <v>3.0791608266134366E-2</v>
      </c>
      <c r="K87" s="2">
        <v>1</v>
      </c>
      <c r="L87" s="2">
        <v>-0.88524495749896104</v>
      </c>
      <c r="M87" s="2">
        <v>-0.36823404563927897</v>
      </c>
      <c r="N87" s="2">
        <v>0.99999999999999856</v>
      </c>
      <c r="O87" s="69"/>
      <c r="R87" s="51" t="str">
        <f t="shared" si="35"/>
        <v>Hedge funds</v>
      </c>
      <c r="S87" s="52">
        <f t="shared" si="36"/>
        <v>2.3629994978942918E-2</v>
      </c>
      <c r="T87" s="52">
        <f t="shared" si="37"/>
        <v>4.7554346204322674E-3</v>
      </c>
      <c r="U87" s="52">
        <f t="shared" si="38"/>
        <v>4.0559344960348909E-3</v>
      </c>
    </row>
    <row r="88" spans="1:36">
      <c r="A88" s="60" t="str">
        <f t="shared" si="34"/>
        <v>Onroerend goed</v>
      </c>
      <c r="B88" s="286">
        <v>4.3409622391959328E-2</v>
      </c>
      <c r="C88" s="62">
        <v>5.288761901999001E-3</v>
      </c>
      <c r="D88" s="63">
        <v>3.9006075299665023E-2</v>
      </c>
      <c r="E88" s="61">
        <v>4.2853176581616456E-2</v>
      </c>
      <c r="F88" s="64">
        <v>4.7469439836177962E-2</v>
      </c>
      <c r="G88" s="65">
        <v>1.2939793263091329E-3</v>
      </c>
      <c r="H88" s="65">
        <v>4.6052282779570786E-3</v>
      </c>
      <c r="I88" s="65">
        <v>-5.0394029156792426E-2</v>
      </c>
      <c r="J88" s="65">
        <v>0.16360464972735686</v>
      </c>
      <c r="K88" s="65">
        <v>0.65829131726780876</v>
      </c>
      <c r="L88" s="65">
        <v>0.27196783122020624</v>
      </c>
      <c r="M88" s="65">
        <v>1</v>
      </c>
      <c r="N88" s="65">
        <v>0.99999999999999833</v>
      </c>
      <c r="O88" s="71"/>
      <c r="R88" s="51" t="str">
        <f t="shared" si="35"/>
        <v>Onroerend goed</v>
      </c>
      <c r="S88" s="52">
        <f t="shared" si="36"/>
        <v>3.9006075299665023E-2</v>
      </c>
      <c r="T88" s="52">
        <f t="shared" si="37"/>
        <v>4.4035470922943049E-3</v>
      </c>
      <c r="U88" s="52">
        <f t="shared" si="38"/>
        <v>4.0598174442186344E-3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F60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400" t="s">
        <v>64</v>
      </c>
      <c r="E2" s="401"/>
      <c r="F2" s="402"/>
      <c r="G2" s="400" t="s">
        <v>65</v>
      </c>
      <c r="H2" s="401"/>
      <c r="I2" s="401"/>
      <c r="J2" s="401"/>
      <c r="K2" s="401"/>
      <c r="L2" s="401"/>
      <c r="M2" s="401"/>
      <c r="N2" s="402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0.40976016707999663</v>
      </c>
      <c r="H3" s="272">
        <v>0.34068304068307509</v>
      </c>
      <c r="I3" s="272">
        <v>0.1796392045572025</v>
      </c>
      <c r="J3" s="272">
        <v>2.8811373349661107E-2</v>
      </c>
      <c r="K3" s="272">
        <v>2.1026179768050546E-2</v>
      </c>
      <c r="L3" s="272">
        <v>2.0080034562016791E-2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0.19079783280272802</v>
      </c>
      <c r="C4" s="118">
        <v>4.3428340742589742E-2</v>
      </c>
      <c r="D4" s="119">
        <v>0.14474655022261165</v>
      </c>
      <c r="E4" s="117">
        <v>0.18609606202692419</v>
      </c>
      <c r="F4" s="120">
        <v>0.24066056023873666</v>
      </c>
      <c r="G4" s="2">
        <v>-0.1728560169553284</v>
      </c>
      <c r="H4" s="2">
        <v>-0.97191828965764948</v>
      </c>
      <c r="I4" s="2">
        <v>-0.76597615957851706</v>
      </c>
      <c r="J4" s="2">
        <v>-0.45283932044830494</v>
      </c>
      <c r="K4" s="2">
        <v>7.3724315229617962E-2</v>
      </c>
      <c r="L4" s="2">
        <v>-7.2394365344571627E-3</v>
      </c>
      <c r="M4" s="2">
        <v>0.99999999999999956</v>
      </c>
      <c r="N4" s="57"/>
      <c r="O4" s="72"/>
      <c r="Q4" s="72" t="str">
        <f>A4</f>
        <v>High Yield</v>
      </c>
      <c r="R4" s="72">
        <f>D4</f>
        <v>0.14474655022261165</v>
      </c>
      <c r="S4" s="52">
        <f>B4-D4</f>
        <v>4.6051282580116371E-2</v>
      </c>
      <c r="T4" s="52">
        <f>F4-B4</f>
        <v>4.9862727436008641E-2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0.19052983429584622</v>
      </c>
      <c r="C5" s="118">
        <v>4.5028752921110138E-2</v>
      </c>
      <c r="D5" s="119">
        <v>0.14486309545199635</v>
      </c>
      <c r="E5" s="117">
        <v>0.18359510192989481</v>
      </c>
      <c r="F5" s="120">
        <v>0.23828266975697099</v>
      </c>
      <c r="G5" s="2">
        <v>-0.3360078678644462</v>
      </c>
      <c r="H5" s="2">
        <v>1</v>
      </c>
      <c r="I5" s="2">
        <v>-0.62941437529320521</v>
      </c>
      <c r="J5" s="2">
        <v>-0.47878498251890084</v>
      </c>
      <c r="K5" s="2">
        <v>6.0442280564283316E-2</v>
      </c>
      <c r="L5" s="2">
        <v>-2.1923821515944329E-2</v>
      </c>
      <c r="M5" s="2">
        <v>0.99999999999999889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0.14486309545199635</v>
      </c>
      <c r="S5" s="52">
        <f t="shared" ref="S5:S10" si="2">B5-D5</f>
        <v>4.5666738843849863E-2</v>
      </c>
      <c r="T5" s="52">
        <f t="shared" ref="T5:T10" si="3">F5-B5</f>
        <v>4.7752835461124771E-2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0.2912365037957742</v>
      </c>
      <c r="C6" s="118">
        <v>4.9864516698754857E-2</v>
      </c>
      <c r="D6" s="119">
        <v>0.23951124065966781</v>
      </c>
      <c r="E6" s="117">
        <v>0.2924471449449309</v>
      </c>
      <c r="F6" s="120">
        <v>0.34160902335079496</v>
      </c>
      <c r="G6" s="2">
        <v>1</v>
      </c>
      <c r="H6" s="2">
        <v>9.8225792835945111E-2</v>
      </c>
      <c r="I6" s="2">
        <v>0.17561291863072703</v>
      </c>
      <c r="J6" s="2">
        <v>-0.62924014806927864</v>
      </c>
      <c r="K6" s="2">
        <v>7.7178126741343889E-2</v>
      </c>
      <c r="L6" s="2">
        <v>-4.8266770946652673E-2</v>
      </c>
      <c r="M6" s="2">
        <v>1</v>
      </c>
      <c r="N6" s="57"/>
      <c r="O6" s="72"/>
      <c r="Q6" s="72" t="str">
        <f t="shared" si="0"/>
        <v>Aandelen ontwikkeld</v>
      </c>
      <c r="R6" s="72">
        <f t="shared" si="1"/>
        <v>0.23951124065966781</v>
      </c>
      <c r="S6" s="52">
        <f t="shared" si="2"/>
        <v>5.1725263136106397E-2</v>
      </c>
      <c r="T6" s="52">
        <f t="shared" si="3"/>
        <v>5.0372519555020756E-2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0.11881908498533397</v>
      </c>
      <c r="C7" s="118">
        <v>3.8248487198931765E-2</v>
      </c>
      <c r="D7" s="119">
        <v>7.8395848292724168E-2</v>
      </c>
      <c r="E7" s="117">
        <v>0.11275125087202947</v>
      </c>
      <c r="F7" s="120">
        <v>0.16073027914395804</v>
      </c>
      <c r="G7" s="2">
        <v>-0.52192992335339616</v>
      </c>
      <c r="H7" s="2">
        <v>-0.1330429356486495</v>
      </c>
      <c r="I7" s="2">
        <v>1</v>
      </c>
      <c r="J7" s="2">
        <v>-0.70677411305596405</v>
      </c>
      <c r="K7" s="2">
        <v>8.2375691781563218E-2</v>
      </c>
      <c r="L7" s="2">
        <v>-2.7851483394228244E-2</v>
      </c>
      <c r="M7" s="2">
        <v>1</v>
      </c>
      <c r="N7" s="57"/>
      <c r="O7" s="72"/>
      <c r="Q7" s="72" t="str">
        <f t="shared" si="0"/>
        <v>Aandelen opkomend</v>
      </c>
      <c r="R7" s="72">
        <f t="shared" si="1"/>
        <v>7.8395848292724168E-2</v>
      </c>
      <c r="S7" s="52">
        <f t="shared" si="2"/>
        <v>4.0423236692609804E-2</v>
      </c>
      <c r="T7" s="52">
        <f t="shared" si="3"/>
        <v>4.1911194158624071E-2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4.1242128883551402E-2</v>
      </c>
      <c r="C8" s="118">
        <v>1.2646607120620086E-2</v>
      </c>
      <c r="D8" s="119">
        <v>2.7592714021865937E-2</v>
      </c>
      <c r="E8" s="117">
        <v>3.9410154404569575E-2</v>
      </c>
      <c r="F8" s="120">
        <v>5.571375604871668E-2</v>
      </c>
      <c r="G8" s="2">
        <v>-1.0977441189818206E-3</v>
      </c>
      <c r="H8" s="2">
        <v>-1.1228843183699017E-2</v>
      </c>
      <c r="I8" s="2">
        <v>6.0504960128982203E-2</v>
      </c>
      <c r="J8" s="2">
        <v>0.64985022258245995</v>
      </c>
      <c r="K8" s="2">
        <v>-0.98702578750388814</v>
      </c>
      <c r="L8" s="2">
        <v>-0.60859370546482605</v>
      </c>
      <c r="M8" s="2">
        <v>0.99999999999999722</v>
      </c>
      <c r="N8" s="57"/>
      <c r="O8" s="72"/>
      <c r="Q8" s="72" t="str">
        <f t="shared" si="0"/>
        <v>Commodities</v>
      </c>
      <c r="R8" s="72">
        <f t="shared" si="1"/>
        <v>2.7592714021865937E-2</v>
      </c>
      <c r="S8" s="52">
        <f t="shared" si="2"/>
        <v>1.3649414861685465E-2</v>
      </c>
      <c r="T8" s="52">
        <f t="shared" si="3"/>
        <v>1.4471627165165278E-2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6.5781404006521951E-2</v>
      </c>
      <c r="C9" s="118">
        <v>1.2599082368433556E-2</v>
      </c>
      <c r="D9" s="119">
        <v>5.2290394387610448E-2</v>
      </c>
      <c r="E9" s="117">
        <v>6.4896336043697947E-2</v>
      </c>
      <c r="F9" s="120">
        <v>8.0323170601029503E-2</v>
      </c>
      <c r="G9" s="2">
        <v>2.6101024895038408E-2</v>
      </c>
      <c r="H9" s="2">
        <v>1.1063856980608132E-2</v>
      </c>
      <c r="I9" s="2">
        <v>7.7269438386177974E-2</v>
      </c>
      <c r="J9" s="2">
        <v>0.61778834150999407</v>
      </c>
      <c r="K9" s="2">
        <v>-0.30669462681292187</v>
      </c>
      <c r="L9" s="2">
        <v>1</v>
      </c>
      <c r="M9" s="2">
        <v>0.99999999999999634</v>
      </c>
      <c r="N9" s="57"/>
      <c r="O9" s="72"/>
      <c r="Q9" s="72" t="str">
        <f t="shared" si="0"/>
        <v>Hedge funds</v>
      </c>
      <c r="R9" s="72">
        <f t="shared" si="1"/>
        <v>5.2290394387610448E-2</v>
      </c>
      <c r="S9" s="52">
        <f t="shared" si="2"/>
        <v>1.3491009618911504E-2</v>
      </c>
      <c r="T9" s="52">
        <f t="shared" si="3"/>
        <v>1.4541766594507552E-2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0.10159321123024401</v>
      </c>
      <c r="C10" s="122">
        <v>1.3246357083588163E-2</v>
      </c>
      <c r="D10" s="123">
        <v>8.6992956084612799E-2</v>
      </c>
      <c r="E10" s="121">
        <v>0.100189963444497</v>
      </c>
      <c r="F10" s="124">
        <v>0.11791203243460643</v>
      </c>
      <c r="G10" s="65">
        <v>5.7905273971134734E-3</v>
      </c>
      <c r="H10" s="65">
        <v>6.9004186734452468E-3</v>
      </c>
      <c r="I10" s="65">
        <v>8.2003217725833827E-2</v>
      </c>
      <c r="J10" s="65">
        <v>1</v>
      </c>
      <c r="K10" s="65">
        <v>1</v>
      </c>
      <c r="L10" s="65">
        <v>-0.28612478214389014</v>
      </c>
      <c r="M10" s="65">
        <v>0.99999999999999833</v>
      </c>
      <c r="N10" s="66"/>
      <c r="O10" s="72"/>
      <c r="Q10" s="72" t="str">
        <f t="shared" si="0"/>
        <v>Onroerend goed</v>
      </c>
      <c r="R10" s="72">
        <f t="shared" si="1"/>
        <v>8.6992956084612799E-2</v>
      </c>
      <c r="S10" s="52">
        <f t="shared" si="2"/>
        <v>1.4600255145631208E-2</v>
      </c>
      <c r="T10" s="52">
        <f t="shared" si="3"/>
        <v>1.6318821204362427E-2</v>
      </c>
      <c r="U10" s="52"/>
      <c r="V10" s="52"/>
      <c r="W10" s="52"/>
    </row>
    <row r="12" spans="1:23">
      <c r="A12" s="48" t="s">
        <v>68</v>
      </c>
      <c r="D12" s="400" t="s">
        <v>64</v>
      </c>
      <c r="E12" s="401"/>
      <c r="F12" s="402"/>
      <c r="G12" s="400" t="s">
        <v>65</v>
      </c>
      <c r="H12" s="401"/>
      <c r="I12" s="401"/>
      <c r="J12" s="401"/>
      <c r="K12" s="401"/>
      <c r="L12" s="401"/>
      <c r="M12" s="401"/>
      <c r="N12" s="402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0.5548578246784257</v>
      </c>
      <c r="H13" s="272">
        <v>0.32158635462348162</v>
      </c>
      <c r="I13" s="272">
        <v>4.9434681075970044E-2</v>
      </c>
      <c r="J13" s="272">
        <v>3.0920235988472045E-2</v>
      </c>
      <c r="K13" s="272">
        <v>2.2195326649201763E-2</v>
      </c>
      <c r="L13" s="272">
        <v>2.1005576984448271E-2</v>
      </c>
      <c r="M13" s="272">
        <v>1.1102230246251565E-16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0.19913399763984052</v>
      </c>
      <c r="C14" s="118">
        <v>4.7276108655511268E-2</v>
      </c>
      <c r="D14" s="119">
        <v>0.14784493042335947</v>
      </c>
      <c r="E14" s="117">
        <v>0.1940401447478233</v>
      </c>
      <c r="F14" s="120">
        <v>0.24862289047524427</v>
      </c>
      <c r="G14" s="2">
        <v>-0.53166450660314446</v>
      </c>
      <c r="H14" s="2">
        <v>1</v>
      </c>
      <c r="I14" s="2">
        <v>-0.15165408216449855</v>
      </c>
      <c r="J14" s="2">
        <v>-0.48205316525092096</v>
      </c>
      <c r="K14" s="2">
        <v>7.9532537218473962E-2</v>
      </c>
      <c r="L14" s="2">
        <v>2.0633067138178085E-2</v>
      </c>
      <c r="M14" s="2">
        <v>0.99999999999999456</v>
      </c>
      <c r="N14" s="57"/>
      <c r="Q14" s="51" t="str">
        <f t="shared" ref="Q14:Q20" si="4">A14</f>
        <v>High Yield</v>
      </c>
      <c r="R14" s="72">
        <f>D14</f>
        <v>0.14784493042335947</v>
      </c>
      <c r="S14" s="52">
        <f>B14-D14</f>
        <v>5.1289067216481049E-2</v>
      </c>
      <c r="T14" s="52">
        <f>F14-B14</f>
        <v>4.9488892835403753E-2</v>
      </c>
      <c r="U14" s="52"/>
    </row>
    <row r="15" spans="1:23">
      <c r="A15" s="59" t="str">
        <f t="shared" ref="A15:A20" si="5">A5</f>
        <v>Emerging market debt</v>
      </c>
      <c r="B15" s="117">
        <v>0.23415682202358784</v>
      </c>
      <c r="C15" s="118">
        <v>5.3367672195963001E-2</v>
      </c>
      <c r="D15" s="119">
        <v>0.17918798719213261</v>
      </c>
      <c r="E15" s="117">
        <v>0.23134860991234352</v>
      </c>
      <c r="F15" s="120">
        <v>0.29405194484456665</v>
      </c>
      <c r="G15" s="2">
        <v>1</v>
      </c>
      <c r="H15" s="2">
        <v>0.14936054330777859</v>
      </c>
      <c r="I15" s="2">
        <v>-0.41026588938609804</v>
      </c>
      <c r="J15" s="2">
        <v>-0.52041923596563433</v>
      </c>
      <c r="K15" s="2">
        <v>6.0199786129148038E-2</v>
      </c>
      <c r="L15" s="2">
        <v>3.9442955454423619E-2</v>
      </c>
      <c r="M15" s="2">
        <v>0.99999999999999323</v>
      </c>
      <c r="N15" s="57"/>
      <c r="Q15" s="51" t="str">
        <f t="shared" si="4"/>
        <v>Emerging market debt</v>
      </c>
      <c r="R15" s="72">
        <f t="shared" ref="R15:R20" si="6">D15</f>
        <v>0.17918798719213261</v>
      </c>
      <c r="S15" s="52">
        <f t="shared" ref="S15:S20" si="7">B15-D15</f>
        <v>5.4968834831455232E-2</v>
      </c>
      <c r="T15" s="52">
        <f t="shared" ref="T15:T20" si="8">F15-B15</f>
        <v>5.9895122820978808E-2</v>
      </c>
      <c r="U15" s="52"/>
    </row>
    <row r="16" spans="1:23">
      <c r="A16" s="59" t="str">
        <f t="shared" si="5"/>
        <v>Aandelen ontwikkeld</v>
      </c>
      <c r="B16" s="117">
        <v>0.20228830870074385</v>
      </c>
      <c r="C16" s="118">
        <v>1.9201972994273942E-2</v>
      </c>
      <c r="D16" s="119">
        <v>0.18295728536537784</v>
      </c>
      <c r="E16" s="117">
        <v>0.19916630250224238</v>
      </c>
      <c r="F16" s="120">
        <v>0.22279824164934453</v>
      </c>
      <c r="G16" s="2">
        <v>4.2901778486108863E-2</v>
      </c>
      <c r="H16" s="2">
        <v>-0.23550704722651608</v>
      </c>
      <c r="I16" s="2">
        <v>1</v>
      </c>
      <c r="J16" s="2">
        <v>-0.75870496850494096</v>
      </c>
      <c r="K16" s="2">
        <v>5.1723663127632165E-2</v>
      </c>
      <c r="L16" s="2">
        <v>-0.10237616441797438</v>
      </c>
      <c r="M16" s="2">
        <v>0.99999999999999867</v>
      </c>
      <c r="N16" s="57"/>
      <c r="Q16" s="51" t="str">
        <f t="shared" si="4"/>
        <v>Aandelen ontwikkeld</v>
      </c>
      <c r="R16" s="72">
        <f t="shared" si="6"/>
        <v>0.18295728536537784</v>
      </c>
      <c r="S16" s="52">
        <f t="shared" si="7"/>
        <v>1.9331023335366015E-2</v>
      </c>
      <c r="T16" s="52">
        <f t="shared" si="8"/>
        <v>2.0509932948600679E-2</v>
      </c>
      <c r="U16" s="52"/>
    </row>
    <row r="17" spans="1:24">
      <c r="A17" s="59" t="str">
        <f t="shared" si="5"/>
        <v>Aandelen opkomend</v>
      </c>
      <c r="B17" s="117">
        <v>0.15593138302273923</v>
      </c>
      <c r="C17" s="118">
        <v>4.0998870786057712E-2</v>
      </c>
      <c r="D17" s="119">
        <v>0.11464312290194553</v>
      </c>
      <c r="E17" s="117">
        <v>0.15257200683124875</v>
      </c>
      <c r="F17" s="120">
        <v>0.1998503974928249</v>
      </c>
      <c r="G17" s="2">
        <v>-0.49671224563088184</v>
      </c>
      <c r="H17" s="2">
        <v>-0.78914217146208043</v>
      </c>
      <c r="I17" s="2">
        <v>-0.57856196995815112</v>
      </c>
      <c r="J17" s="2">
        <v>-0.61326300217146001</v>
      </c>
      <c r="K17" s="2">
        <v>8.0961291561685494E-2</v>
      </c>
      <c r="L17" s="2">
        <v>4.0231464967009911E-2</v>
      </c>
      <c r="M17" s="2">
        <v>0.99999999999999267</v>
      </c>
      <c r="N17" s="57"/>
      <c r="Q17" s="51" t="str">
        <f t="shared" si="4"/>
        <v>Aandelen opkomend</v>
      </c>
      <c r="R17" s="72">
        <f t="shared" si="6"/>
        <v>0.11464312290194553</v>
      </c>
      <c r="S17" s="52">
        <f t="shared" si="7"/>
        <v>4.1288260120793702E-2</v>
      </c>
      <c r="T17" s="52">
        <f t="shared" si="8"/>
        <v>4.3919014470085671E-2</v>
      </c>
      <c r="U17" s="52"/>
    </row>
    <row r="18" spans="1:24">
      <c r="A18" s="59" t="str">
        <f t="shared" si="5"/>
        <v>Commodities</v>
      </c>
      <c r="B18" s="117">
        <v>4.0125900148560649E-2</v>
      </c>
      <c r="C18" s="118">
        <v>1.2302407656893638E-2</v>
      </c>
      <c r="D18" s="119">
        <v>2.7855509100830532E-2</v>
      </c>
      <c r="E18" s="117">
        <v>3.6998084054172251E-2</v>
      </c>
      <c r="F18" s="120">
        <v>5.4416863919043823E-2</v>
      </c>
      <c r="G18" s="2">
        <v>-1.1321644017380299E-2</v>
      </c>
      <c r="H18" s="2">
        <v>-2.3132419616630488E-2</v>
      </c>
      <c r="I18" s="2">
        <v>-3.4508076700489609E-2</v>
      </c>
      <c r="J18" s="2">
        <v>0.63778692404443815</v>
      </c>
      <c r="K18" s="2">
        <v>-0.96991554081739562</v>
      </c>
      <c r="L18" s="2">
        <v>-0.659142818394716</v>
      </c>
      <c r="M18" s="2">
        <v>0.99999999999999933</v>
      </c>
      <c r="N18" s="57"/>
      <c r="Q18" s="51" t="str">
        <f t="shared" si="4"/>
        <v>Commodities</v>
      </c>
      <c r="R18" s="72">
        <f t="shared" si="6"/>
        <v>2.7855509100830532E-2</v>
      </c>
      <c r="S18" s="52">
        <f t="shared" si="7"/>
        <v>1.2270391047730117E-2</v>
      </c>
      <c r="T18" s="52">
        <f t="shared" si="8"/>
        <v>1.4290963770483174E-2</v>
      </c>
      <c r="U18" s="52"/>
    </row>
    <row r="19" spans="1:24">
      <c r="A19" s="59" t="str">
        <f t="shared" si="5"/>
        <v>Hedge funds</v>
      </c>
      <c r="B19" s="117">
        <v>6.6544331851233277E-2</v>
      </c>
      <c r="C19" s="118">
        <v>1.2932572654746585E-2</v>
      </c>
      <c r="D19" s="119">
        <v>5.2787608598382892E-2</v>
      </c>
      <c r="E19" s="117">
        <v>6.4952403441441653E-2</v>
      </c>
      <c r="F19" s="120">
        <v>8.2258307615868012E-2</v>
      </c>
      <c r="G19" s="2">
        <v>6.241989111752202E-3</v>
      </c>
      <c r="H19" s="2">
        <v>-5.0377700094686728E-2</v>
      </c>
      <c r="I19" s="2">
        <v>3.9417742872504588E-2</v>
      </c>
      <c r="J19" s="2">
        <v>1</v>
      </c>
      <c r="K19" s="2">
        <v>1</v>
      </c>
      <c r="L19" s="2">
        <v>-0.33878850474691996</v>
      </c>
      <c r="M19" s="2">
        <v>1</v>
      </c>
      <c r="N19" s="57"/>
      <c r="Q19" s="51" t="str">
        <f t="shared" si="4"/>
        <v>Hedge funds</v>
      </c>
      <c r="R19" s="72">
        <f t="shared" si="6"/>
        <v>5.2787608598382892E-2</v>
      </c>
      <c r="S19" s="52">
        <f t="shared" si="7"/>
        <v>1.3756723252850385E-2</v>
      </c>
      <c r="T19" s="52">
        <f t="shared" si="8"/>
        <v>1.5713975764634736E-2</v>
      </c>
      <c r="U19" s="52"/>
    </row>
    <row r="20" spans="1:24">
      <c r="A20" s="60" t="str">
        <f t="shared" si="5"/>
        <v>Onroerend goed</v>
      </c>
      <c r="B20" s="121">
        <v>0.10181925661329459</v>
      </c>
      <c r="C20" s="122">
        <v>1.247832153766822E-2</v>
      </c>
      <c r="D20" s="123">
        <v>8.8460353189925192E-2</v>
      </c>
      <c r="E20" s="121">
        <v>0.10101773874368976</v>
      </c>
      <c r="F20" s="124">
        <v>0.11585803727025366</v>
      </c>
      <c r="G20" s="65">
        <v>-9.4453713464542101E-3</v>
      </c>
      <c r="H20" s="65">
        <v>-5.1201204907864672E-2</v>
      </c>
      <c r="I20" s="65">
        <v>0.13557227533672675</v>
      </c>
      <c r="J20" s="65">
        <v>0.73665344784850728</v>
      </c>
      <c r="K20" s="65">
        <v>-0.30250173721954288</v>
      </c>
      <c r="L20" s="65">
        <v>1</v>
      </c>
      <c r="M20" s="65">
        <v>0.99999999999999956</v>
      </c>
      <c r="N20" s="66"/>
      <c r="Q20" s="51" t="str">
        <f t="shared" si="4"/>
        <v>Onroerend goed</v>
      </c>
      <c r="R20" s="72">
        <f t="shared" si="6"/>
        <v>8.8460353189925192E-2</v>
      </c>
      <c r="S20" s="52">
        <f t="shared" si="7"/>
        <v>1.33589034233694E-2</v>
      </c>
      <c r="T20" s="52">
        <f t="shared" si="8"/>
        <v>1.4038780656959071E-2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400" t="s">
        <v>64</v>
      </c>
      <c r="E22" s="401"/>
      <c r="F22" s="402"/>
      <c r="G22" s="400" t="s">
        <v>65</v>
      </c>
      <c r="H22" s="401"/>
      <c r="I22" s="401"/>
      <c r="J22" s="401"/>
      <c r="K22" s="401"/>
      <c r="L22" s="401"/>
      <c r="M22" s="401"/>
      <c r="N22" s="402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0.49286137955956266</v>
      </c>
      <c r="H23" s="272">
        <v>0.32464861721013683</v>
      </c>
      <c r="I23" s="272">
        <v>9.6205117703698773E-2</v>
      </c>
      <c r="J23" s="272">
        <v>3.2613516505150875E-2</v>
      </c>
      <c r="K23" s="272">
        <v>2.7525141340386861E-2</v>
      </c>
      <c r="L23" s="272">
        <v>2.6146227681065448E-2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0.19359779571201596</v>
      </c>
      <c r="C24" s="118">
        <v>4.2811082084603727E-2</v>
      </c>
      <c r="D24" s="119">
        <v>0.1500728412947088</v>
      </c>
      <c r="E24" s="117">
        <v>0.18776373665767523</v>
      </c>
      <c r="F24" s="120">
        <v>0.24078113150195399</v>
      </c>
      <c r="G24" s="2">
        <v>-0.5642702933502497</v>
      </c>
      <c r="H24" s="2">
        <v>-0.80354671387513066</v>
      </c>
      <c r="I24" s="2">
        <v>1</v>
      </c>
      <c r="J24" s="2">
        <v>-3.9087160758114303E-2</v>
      </c>
      <c r="K24" s="2">
        <v>-7.3980676360441311E-2</v>
      </c>
      <c r="L24" s="2">
        <v>-3.372151607451665E-2</v>
      </c>
      <c r="M24" s="2">
        <v>0.99999999999999944</v>
      </c>
      <c r="N24" s="57"/>
      <c r="O24" s="67"/>
      <c r="Q24" s="51" t="str">
        <f t="shared" ref="Q24:Q30" si="9">A24</f>
        <v>High Yield</v>
      </c>
      <c r="R24" s="72">
        <f>D24</f>
        <v>0.1500728412947088</v>
      </c>
      <c r="S24" s="52">
        <f>B24-D24</f>
        <v>4.3524954417307166E-2</v>
      </c>
      <c r="T24" s="52">
        <f>F24-B24</f>
        <v>4.7183335789938025E-2</v>
      </c>
      <c r="U24" s="52"/>
    </row>
    <row r="25" spans="1:24">
      <c r="A25" s="59" t="str">
        <f t="shared" ref="A25:A30" si="10">A5</f>
        <v>Emerging market debt</v>
      </c>
      <c r="B25" s="117">
        <v>0.22894185792734753</v>
      </c>
      <c r="C25" s="118">
        <v>5.0652401436056337E-2</v>
      </c>
      <c r="D25" s="119">
        <v>0.177570900635481</v>
      </c>
      <c r="E25" s="117">
        <v>0.22227210309234408</v>
      </c>
      <c r="F25" s="120">
        <v>0.28705609280320077</v>
      </c>
      <c r="G25" s="2">
        <v>1</v>
      </c>
      <c r="H25" s="2">
        <v>-0.13704799588007435</v>
      </c>
      <c r="I25" s="2">
        <v>0.75206620954889292</v>
      </c>
      <c r="J25" s="2">
        <v>-2.5203950210662358E-2</v>
      </c>
      <c r="K25" s="2">
        <v>-0.10369525951881906</v>
      </c>
      <c r="L25" s="2">
        <v>-2.2785374102231849E-2</v>
      </c>
      <c r="M25" s="2">
        <v>0.99999999999999944</v>
      </c>
      <c r="N25" s="57"/>
      <c r="O25" s="67"/>
      <c r="Q25" s="51" t="str">
        <f t="shared" si="9"/>
        <v>Emerging market debt</v>
      </c>
      <c r="R25" s="72">
        <f t="shared" ref="R25:R30" si="11">D25</f>
        <v>0.177570900635481</v>
      </c>
      <c r="S25" s="52">
        <f t="shared" ref="S25:S30" si="12">B25-D25</f>
        <v>5.1370957291866526E-2</v>
      </c>
      <c r="T25" s="52">
        <f t="shared" ref="T25:T30" si="13">F25-B25</f>
        <v>5.8114234875853238E-2</v>
      </c>
      <c r="U25" s="52"/>
      <c r="X25" s="51"/>
    </row>
    <row r="26" spans="1:24">
      <c r="A26" s="59" t="str">
        <f t="shared" si="10"/>
        <v>Aandelen ontwikkeld</v>
      </c>
      <c r="B26" s="117">
        <v>0.21083526027801858</v>
      </c>
      <c r="C26" s="118">
        <v>1.6347692358460026E-2</v>
      </c>
      <c r="D26" s="119">
        <v>0.19466654997923269</v>
      </c>
      <c r="E26" s="117">
        <v>0.20967964934284344</v>
      </c>
      <c r="F26" s="120">
        <v>0.22727282672529542</v>
      </c>
      <c r="G26" s="2">
        <v>-5.6347800254096185E-2</v>
      </c>
      <c r="H26" s="2">
        <v>-1.1532042519310029E-3</v>
      </c>
      <c r="I26" s="2">
        <v>-0.90281772365964563</v>
      </c>
      <c r="J26" s="2">
        <v>-0.15595807912136353</v>
      </c>
      <c r="K26" s="2">
        <v>-0.74424954459496184</v>
      </c>
      <c r="L26" s="2">
        <v>-0.77435555362569264</v>
      </c>
      <c r="M26" s="2">
        <v>0.99999999999999922</v>
      </c>
      <c r="N26" s="57"/>
      <c r="O26" s="67"/>
      <c r="P26" s="72"/>
      <c r="Q26" s="51" t="str">
        <f t="shared" si="9"/>
        <v>Aandelen ontwikkeld</v>
      </c>
      <c r="R26" s="72">
        <f t="shared" si="11"/>
        <v>0.19466654997923269</v>
      </c>
      <c r="S26" s="52">
        <f t="shared" si="12"/>
        <v>1.6168710298785888E-2</v>
      </c>
      <c r="T26" s="52">
        <f t="shared" si="13"/>
        <v>1.6437566447276841E-2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0.13069107018584813</v>
      </c>
      <c r="C27" s="118">
        <v>4.1823335693693314E-2</v>
      </c>
      <c r="D27" s="119">
        <v>8.6286536185302284E-2</v>
      </c>
      <c r="E27" s="117">
        <v>0.12537314402968586</v>
      </c>
      <c r="F27" s="120">
        <v>0.17867832323173832</v>
      </c>
      <c r="G27" s="2">
        <v>-0.31813692282059891</v>
      </c>
      <c r="H27" s="2">
        <v>1</v>
      </c>
      <c r="I27" s="2">
        <v>0.86907935095647759</v>
      </c>
      <c r="J27" s="2">
        <v>-1.7222615827226256E-2</v>
      </c>
      <c r="K27" s="2">
        <v>-7.6045754195433607E-2</v>
      </c>
      <c r="L27" s="2">
        <v>9.1621504261384414E-3</v>
      </c>
      <c r="M27" s="2">
        <v>0.99999999999999944</v>
      </c>
      <c r="N27" s="57"/>
      <c r="O27" s="67"/>
      <c r="P27" s="72"/>
      <c r="Q27" s="51" t="str">
        <f t="shared" si="9"/>
        <v>Aandelen opkomend</v>
      </c>
      <c r="R27" s="72">
        <f t="shared" si="11"/>
        <v>8.6286536185302284E-2</v>
      </c>
      <c r="S27" s="52">
        <f t="shared" si="12"/>
        <v>4.4404534000545851E-2</v>
      </c>
      <c r="T27" s="52">
        <f t="shared" si="13"/>
        <v>4.7987253045890188E-2</v>
      </c>
      <c r="U27" s="52"/>
      <c r="V27" s="52"/>
      <c r="W27" s="52"/>
    </row>
    <row r="28" spans="1:24">
      <c r="A28" s="59" t="str">
        <f t="shared" si="10"/>
        <v>Commodities</v>
      </c>
      <c r="B28" s="117">
        <v>5.0732913545405302E-2</v>
      </c>
      <c r="C28" s="118">
        <v>1.5221434328548973E-2</v>
      </c>
      <c r="D28" s="119">
        <v>3.3109062196038853E-2</v>
      </c>
      <c r="E28" s="117">
        <v>4.9723983920834262E-2</v>
      </c>
      <c r="F28" s="120">
        <v>6.9193300455985179E-2</v>
      </c>
      <c r="G28" s="2">
        <v>-2.8754066849810647E-2</v>
      </c>
      <c r="H28" s="2">
        <v>-3.3423533701830835E-2</v>
      </c>
      <c r="I28" s="2">
        <v>-0.56127976221482567</v>
      </c>
      <c r="J28" s="2">
        <v>1</v>
      </c>
      <c r="K28" s="2">
        <v>2.4307029314781372E-2</v>
      </c>
      <c r="L28" s="2">
        <v>0.38520211928592579</v>
      </c>
      <c r="M28" s="2">
        <v>0.99999999999999922</v>
      </c>
      <c r="N28" s="57"/>
      <c r="O28" s="67"/>
      <c r="P28" s="72"/>
      <c r="Q28" s="51" t="str">
        <f t="shared" si="9"/>
        <v>Commodities</v>
      </c>
      <c r="R28" s="72">
        <f t="shared" si="11"/>
        <v>3.3109062196038853E-2</v>
      </c>
      <c r="S28" s="52">
        <f t="shared" si="12"/>
        <v>1.7623851349366448E-2</v>
      </c>
      <c r="T28" s="52">
        <f t="shared" si="13"/>
        <v>1.8460386910579878E-2</v>
      </c>
      <c r="U28" s="52"/>
      <c r="V28" s="52"/>
      <c r="W28" s="52"/>
    </row>
    <row r="29" spans="1:24">
      <c r="A29" s="59" t="str">
        <f t="shared" si="10"/>
        <v>Hedge funds</v>
      </c>
      <c r="B29" s="117">
        <v>7.2513556729170814E-2</v>
      </c>
      <c r="C29" s="118">
        <v>1.3805471588607898E-2</v>
      </c>
      <c r="D29" s="119">
        <v>5.8613098456006645E-2</v>
      </c>
      <c r="E29" s="117">
        <v>7.0903739318717851E-2</v>
      </c>
      <c r="F29" s="120">
        <v>8.8295898258438199E-2</v>
      </c>
      <c r="G29" s="2">
        <v>-4.2251020885933719E-3</v>
      </c>
      <c r="H29" s="2">
        <v>1.6445618918550136E-3</v>
      </c>
      <c r="I29" s="2">
        <v>-0.45861622206079083</v>
      </c>
      <c r="J29" s="2">
        <v>-0.16298318448765206</v>
      </c>
      <c r="K29" s="2">
        <v>1</v>
      </c>
      <c r="L29" s="2">
        <v>-0.56350182590962383</v>
      </c>
      <c r="M29" s="2">
        <v>0.99999999999999845</v>
      </c>
      <c r="N29" s="57"/>
      <c r="O29" s="67"/>
      <c r="P29" s="72"/>
      <c r="Q29" s="51" t="str">
        <f t="shared" si="9"/>
        <v>Hedge funds</v>
      </c>
      <c r="R29" s="72">
        <f t="shared" si="11"/>
        <v>5.8613098456006645E-2</v>
      </c>
      <c r="S29" s="52">
        <f t="shared" si="12"/>
        <v>1.3900458273164169E-2</v>
      </c>
      <c r="T29" s="52">
        <f t="shared" si="13"/>
        <v>1.5782341529267385E-2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0.11268754562219362</v>
      </c>
      <c r="C30" s="122">
        <v>1.5198542456307402E-2</v>
      </c>
      <c r="D30" s="123">
        <v>9.7010597332783458E-2</v>
      </c>
      <c r="E30" s="121">
        <v>0.11089677940820422</v>
      </c>
      <c r="F30" s="124">
        <v>0.12875270700195246</v>
      </c>
      <c r="G30" s="65">
        <v>-2.8265814636651017E-2</v>
      </c>
      <c r="H30" s="65">
        <v>-2.6473114182888242E-2</v>
      </c>
      <c r="I30" s="65">
        <v>-0.69843185257010854</v>
      </c>
      <c r="J30" s="65">
        <v>-0.59954500959498114</v>
      </c>
      <c r="K30" s="65">
        <v>-2.6335794645124415E-2</v>
      </c>
      <c r="L30" s="65">
        <v>1</v>
      </c>
      <c r="M30" s="65">
        <v>1</v>
      </c>
      <c r="N30" s="66"/>
      <c r="O30" s="67"/>
      <c r="P30" s="72"/>
      <c r="Q30" s="51" t="str">
        <f t="shared" si="9"/>
        <v>Onroerend goed</v>
      </c>
      <c r="R30" s="72">
        <f t="shared" si="11"/>
        <v>9.7010597332783458E-2</v>
      </c>
      <c r="S30" s="52">
        <f t="shared" si="12"/>
        <v>1.5676948289410159E-2</v>
      </c>
      <c r="T30" s="52">
        <f t="shared" si="13"/>
        <v>1.6065161379758844E-2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400" t="s">
        <v>64</v>
      </c>
      <c r="E32" s="401"/>
      <c r="F32" s="402"/>
      <c r="G32" s="400" t="s">
        <v>65</v>
      </c>
      <c r="H32" s="401"/>
      <c r="I32" s="401"/>
      <c r="J32" s="401"/>
      <c r="K32" s="401"/>
      <c r="L32" s="401"/>
      <c r="M32" s="401"/>
      <c r="N32" s="402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0.50765239817670638</v>
      </c>
      <c r="H33" s="272">
        <v>0.25821509498762785</v>
      </c>
      <c r="I33" s="272">
        <v>0.17142386106866547</v>
      </c>
      <c r="J33" s="272">
        <v>3.0811436105189327E-2</v>
      </c>
      <c r="K33" s="272">
        <v>1.9047751258757128E-2</v>
      </c>
      <c r="L33" s="272">
        <v>1.2849458403053848E-2</v>
      </c>
      <c r="M33" s="272">
        <v>-2.2204460492503131E-16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0.19165575726022641</v>
      </c>
      <c r="C34" s="118">
        <v>4.5163831759841087E-2</v>
      </c>
      <c r="D34" s="119">
        <v>0.14512509122674919</v>
      </c>
      <c r="E34" s="117">
        <v>0.18679702852417712</v>
      </c>
      <c r="F34" s="120">
        <v>0.2395476573136755</v>
      </c>
      <c r="G34" s="2">
        <v>-0.64344174356885586</v>
      </c>
      <c r="H34" s="2">
        <v>1</v>
      </c>
      <c r="I34" s="2">
        <v>-8.2969524638080855E-3</v>
      </c>
      <c r="J34" s="2">
        <v>-0.33583852364564759</v>
      </c>
      <c r="K34" s="2">
        <v>-5.7139502872702974E-2</v>
      </c>
      <c r="L34" s="2">
        <v>-0.12541902764469509</v>
      </c>
      <c r="M34" s="2">
        <v>0.99999999999999933</v>
      </c>
      <c r="N34" s="57"/>
      <c r="O34" s="67"/>
      <c r="Q34" s="51" t="str">
        <f t="shared" ref="Q34:Q40" si="15">A34</f>
        <v>High Yield</v>
      </c>
      <c r="R34" s="72">
        <f>D34</f>
        <v>0.14512509122674919</v>
      </c>
      <c r="S34" s="52">
        <f>B34-D34</f>
        <v>4.6530666033477219E-2</v>
      </c>
      <c r="T34" s="52">
        <f>F34-B34</f>
        <v>4.7891900053449094E-2</v>
      </c>
      <c r="U34" s="52"/>
    </row>
    <row r="35" spans="1:24">
      <c r="A35" s="59" t="str">
        <f t="shared" si="14"/>
        <v>Emerging market debt</v>
      </c>
      <c r="B35" s="117">
        <v>0.2253503403545328</v>
      </c>
      <c r="C35" s="118">
        <v>5.1705951448027608E-2</v>
      </c>
      <c r="D35" s="119">
        <v>0.17099916922711739</v>
      </c>
      <c r="E35" s="117">
        <v>0.22472177246118463</v>
      </c>
      <c r="F35" s="120">
        <v>0.28070012337279654</v>
      </c>
      <c r="G35" s="2">
        <v>1</v>
      </c>
      <c r="H35" s="2">
        <v>0.35846813747889372</v>
      </c>
      <c r="I35" s="2">
        <v>-0.21597270332527491</v>
      </c>
      <c r="J35" s="2">
        <v>-0.38734928428234983</v>
      </c>
      <c r="K35" s="2">
        <v>-8.3836514701846193E-2</v>
      </c>
      <c r="L35" s="2">
        <v>-0.17363500665337223</v>
      </c>
      <c r="M35" s="2">
        <v>0.99999999999999978</v>
      </c>
      <c r="N35" s="57"/>
      <c r="O35" s="67"/>
      <c r="Q35" s="51" t="str">
        <f t="shared" si="15"/>
        <v>Emerging market debt</v>
      </c>
      <c r="R35" s="72">
        <f t="shared" ref="R35:R40" si="16">D35</f>
        <v>0.17099916922711739</v>
      </c>
      <c r="S35" s="52">
        <f t="shared" ref="S35:S40" si="17">B35-D35</f>
        <v>5.4351171127415415E-2</v>
      </c>
      <c r="T35" s="52">
        <f t="shared" ref="T35:T40" si="18">F35-B35</f>
        <v>5.5349783018263737E-2</v>
      </c>
      <c r="U35" s="52"/>
    </row>
    <row r="36" spans="1:24">
      <c r="A36" s="59" t="str">
        <f t="shared" si="14"/>
        <v>Aandelen ontwikkeld</v>
      </c>
      <c r="B36" s="117">
        <v>0.22741175047362644</v>
      </c>
      <c r="C36" s="118">
        <v>3.2823261672896613E-2</v>
      </c>
      <c r="D36" s="119">
        <v>0.19287793362556949</v>
      </c>
      <c r="E36" s="117">
        <v>0.22343862113097279</v>
      </c>
      <c r="F36" s="120">
        <v>0.26270415842745198</v>
      </c>
      <c r="G36" s="2">
        <v>-1.5262471462463097E-2</v>
      </c>
      <c r="H36" s="2">
        <v>-0.43248588509124331</v>
      </c>
      <c r="I36" s="2">
        <v>1</v>
      </c>
      <c r="J36" s="2">
        <v>-0.38614410496731105</v>
      </c>
      <c r="K36" s="2">
        <v>-6.3430833850345425E-2</v>
      </c>
      <c r="L36" s="2">
        <v>-6.4243640003855199E-2</v>
      </c>
      <c r="M36" s="2">
        <v>0.99999999999999889</v>
      </c>
      <c r="N36" s="57"/>
      <c r="O36" s="67"/>
      <c r="Q36" s="51" t="str">
        <f t="shared" si="15"/>
        <v>Aandelen ontwikkeld</v>
      </c>
      <c r="R36" s="72">
        <f t="shared" si="16"/>
        <v>0.19287793362556949</v>
      </c>
      <c r="S36" s="52">
        <f t="shared" si="17"/>
        <v>3.4533816848056953E-2</v>
      </c>
      <c r="T36" s="52">
        <f t="shared" si="18"/>
        <v>3.5292407953825544E-2</v>
      </c>
      <c r="U36" s="52"/>
    </row>
    <row r="37" spans="1:24">
      <c r="A37" s="59" t="str">
        <f t="shared" si="14"/>
        <v>Aandelen opkomend</v>
      </c>
      <c r="B37" s="117">
        <v>0.15499922843319158</v>
      </c>
      <c r="C37" s="118">
        <v>3.6522894346020615E-2</v>
      </c>
      <c r="D37" s="119">
        <v>0.11710987822459357</v>
      </c>
      <c r="E37" s="117">
        <v>0.15357181349718599</v>
      </c>
      <c r="F37" s="120">
        <v>0.19513583163582321</v>
      </c>
      <c r="G37" s="2">
        <v>-0.35104468242609266</v>
      </c>
      <c r="H37" s="2">
        <v>-0.79233875546943644</v>
      </c>
      <c r="I37" s="2">
        <v>-0.64984981350776794</v>
      </c>
      <c r="J37" s="2">
        <v>-0.4976477289442448</v>
      </c>
      <c r="K37" s="2">
        <v>-0.10385348224037036</v>
      </c>
      <c r="L37" s="2">
        <v>-0.19241684441095536</v>
      </c>
      <c r="M37" s="2">
        <v>1</v>
      </c>
      <c r="N37" s="57"/>
      <c r="O37" s="67"/>
      <c r="Q37" s="51" t="str">
        <f t="shared" si="15"/>
        <v>Aandelen opkomend</v>
      </c>
      <c r="R37" s="72">
        <f t="shared" si="16"/>
        <v>0.11710987822459357</v>
      </c>
      <c r="S37" s="52">
        <f t="shared" si="17"/>
        <v>3.7889350208598016E-2</v>
      </c>
      <c r="T37" s="52">
        <f t="shared" si="18"/>
        <v>4.0136603202631627E-2</v>
      </c>
      <c r="U37" s="52"/>
      <c r="X37" s="51"/>
    </row>
    <row r="38" spans="1:24">
      <c r="A38" s="59" t="str">
        <f t="shared" si="14"/>
        <v>Commodities</v>
      </c>
      <c r="B38" s="117">
        <v>3.4885902935017421E-2</v>
      </c>
      <c r="C38" s="118">
        <v>9.7330404040273967E-3</v>
      </c>
      <c r="D38" s="119">
        <v>2.5755660760153298E-2</v>
      </c>
      <c r="E38" s="117">
        <v>3.1816185114533629E-2</v>
      </c>
      <c r="F38" s="120">
        <v>4.5124491470380793E-2</v>
      </c>
      <c r="G38" s="2">
        <v>1.9815429456425452E-2</v>
      </c>
      <c r="H38" s="2">
        <v>-1.8319906154847757E-2</v>
      </c>
      <c r="I38" s="2">
        <v>-0.10010873641409784</v>
      </c>
      <c r="J38" s="2">
        <v>0.16038817053098378</v>
      </c>
      <c r="K38" s="2">
        <v>-0.13971771062695015</v>
      </c>
      <c r="L38" s="2">
        <v>1</v>
      </c>
      <c r="M38" s="2">
        <v>0.99999999999999567</v>
      </c>
      <c r="N38" s="57"/>
      <c r="O38" s="67"/>
      <c r="P38" s="72"/>
      <c r="Q38" s="51" t="str">
        <f t="shared" si="15"/>
        <v>Commodities</v>
      </c>
      <c r="R38" s="72">
        <f t="shared" si="16"/>
        <v>2.5755660760153298E-2</v>
      </c>
      <c r="S38" s="52">
        <f t="shared" si="17"/>
        <v>9.1302421748641234E-3</v>
      </c>
      <c r="T38" s="52">
        <f t="shared" si="18"/>
        <v>1.0238588535363372E-2</v>
      </c>
      <c r="U38" s="52"/>
      <c r="V38" s="52"/>
      <c r="W38" s="52"/>
    </row>
    <row r="39" spans="1:24">
      <c r="A39" s="59" t="str">
        <f t="shared" si="14"/>
        <v>Hedge funds</v>
      </c>
      <c r="B39" s="117">
        <v>6.2617151747438121E-2</v>
      </c>
      <c r="C39" s="118">
        <v>1.1650599435551827E-2</v>
      </c>
      <c r="D39" s="119">
        <v>5.0047073185717654E-2</v>
      </c>
      <c r="E39" s="117">
        <v>6.0774112784995116E-2</v>
      </c>
      <c r="F39" s="120">
        <v>7.5093172821349488E-2</v>
      </c>
      <c r="G39" s="2">
        <v>4.4180232731984397E-3</v>
      </c>
      <c r="H39" s="2">
        <v>-5.7182584416190993E-2</v>
      </c>
      <c r="I39" s="2">
        <v>-3.2765241649074024E-2</v>
      </c>
      <c r="J39" s="2">
        <v>0.44659147130857191</v>
      </c>
      <c r="K39" s="2">
        <v>1</v>
      </c>
      <c r="L39" s="2">
        <v>-9.7498073887740039E-2</v>
      </c>
      <c r="M39" s="2">
        <v>0.99999999999999667</v>
      </c>
      <c r="N39" s="57"/>
      <c r="O39" s="67"/>
      <c r="P39" s="72"/>
      <c r="Q39" s="51" t="str">
        <f t="shared" si="15"/>
        <v>Hedge funds</v>
      </c>
      <c r="R39" s="72">
        <f t="shared" si="16"/>
        <v>5.0047073185717654E-2</v>
      </c>
      <c r="S39" s="52">
        <f t="shared" si="17"/>
        <v>1.2570078561720467E-2</v>
      </c>
      <c r="T39" s="52">
        <f t="shared" si="18"/>
        <v>1.2476021073911367E-2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0.1030798687959667</v>
      </c>
      <c r="C40" s="122">
        <v>1.2994193294337956E-2</v>
      </c>
      <c r="D40" s="123">
        <v>8.8671256598413295E-2</v>
      </c>
      <c r="E40" s="121">
        <v>0.1023131826912104</v>
      </c>
      <c r="F40" s="124">
        <v>0.11834749913135499</v>
      </c>
      <c r="G40" s="65">
        <v>-1.4484555272211862E-2</v>
      </c>
      <c r="H40" s="65">
        <v>-5.8141006347175082E-2</v>
      </c>
      <c r="I40" s="65">
        <v>6.9934473600230642E-3</v>
      </c>
      <c r="J40" s="65">
        <v>1</v>
      </c>
      <c r="K40" s="65">
        <v>-0.55202195570778312</v>
      </c>
      <c r="L40" s="65">
        <v>-0.34678740739937886</v>
      </c>
      <c r="M40" s="65">
        <v>0.99999999999999911</v>
      </c>
      <c r="N40" s="66"/>
      <c r="O40" s="67"/>
      <c r="P40" s="72"/>
      <c r="Q40" s="51" t="str">
        <f t="shared" si="15"/>
        <v>Onroerend goed</v>
      </c>
      <c r="R40" s="72">
        <f t="shared" si="16"/>
        <v>8.8671256598413295E-2</v>
      </c>
      <c r="S40" s="52">
        <f t="shared" si="17"/>
        <v>1.4408612197553405E-2</v>
      </c>
      <c r="T40" s="52">
        <f t="shared" si="18"/>
        <v>1.5267630335388291E-2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400" t="s">
        <v>64</v>
      </c>
      <c r="E42" s="401"/>
      <c r="F42" s="402"/>
      <c r="G42" s="400" t="s">
        <v>65</v>
      </c>
      <c r="H42" s="401"/>
      <c r="I42" s="401"/>
      <c r="J42" s="401"/>
      <c r="K42" s="401"/>
      <c r="L42" s="401"/>
      <c r="M42" s="401"/>
      <c r="N42" s="402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0.69530034816941821</v>
      </c>
      <c r="H43" s="272">
        <v>0.13697269199187956</v>
      </c>
      <c r="I43" s="272">
        <v>5.5291254596340877E-2</v>
      </c>
      <c r="J43" s="272">
        <v>4.5894835554368685E-2</v>
      </c>
      <c r="K43" s="272">
        <v>4.3075379676114967E-2</v>
      </c>
      <c r="L43" s="272">
        <v>2.3465490011878365E-2</v>
      </c>
      <c r="M43" s="272">
        <v>3.3306690738754696E-16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0.23006605133622238</v>
      </c>
      <c r="C44" s="118">
        <v>4.9905893982621539E-2</v>
      </c>
      <c r="D44" s="119">
        <v>0.17570165505887014</v>
      </c>
      <c r="E44" s="117">
        <v>0.2277987453784277</v>
      </c>
      <c r="F44" s="120">
        <v>0.28292879562672646</v>
      </c>
      <c r="G44" s="2">
        <v>1</v>
      </c>
      <c r="H44" s="2">
        <v>0.94943768767510373</v>
      </c>
      <c r="I44" s="2">
        <v>0.10671298212655721</v>
      </c>
      <c r="J44" s="2">
        <v>-5.6074398700247538E-2</v>
      </c>
      <c r="K44" s="2">
        <v>-9.5163184815556148E-2</v>
      </c>
      <c r="L44" s="2">
        <v>-9.6491280173773855E-2</v>
      </c>
      <c r="M44" s="2">
        <v>0.99999999999999978</v>
      </c>
      <c r="N44" s="57"/>
      <c r="O44" s="67"/>
      <c r="Q44" s="51" t="str">
        <f t="shared" ref="Q44:Q50" si="19">A44</f>
        <v>High Yield</v>
      </c>
      <c r="R44" s="72">
        <f>D44</f>
        <v>0.17570165505887014</v>
      </c>
      <c r="S44" s="52">
        <f>B44-D44</f>
        <v>5.4364396277352234E-2</v>
      </c>
      <c r="T44" s="52">
        <f>F44-B44</f>
        <v>5.2862744290504082E-2</v>
      </c>
      <c r="U44" s="52"/>
    </row>
    <row r="45" spans="1:24">
      <c r="A45" s="59" t="str">
        <f t="shared" ref="A45:A50" si="20">A5</f>
        <v>Emerging market debt</v>
      </c>
      <c r="B45" s="117">
        <v>0.21934329355282986</v>
      </c>
      <c r="C45" s="118">
        <v>4.8586831589087047E-2</v>
      </c>
      <c r="D45" s="119">
        <v>0.16696558839991993</v>
      </c>
      <c r="E45" s="117">
        <v>0.21782699906237996</v>
      </c>
      <c r="F45" s="120">
        <v>0.2731460719992384</v>
      </c>
      <c r="G45" s="2">
        <v>-0.96326344559838428</v>
      </c>
      <c r="H45" s="2">
        <v>1</v>
      </c>
      <c r="I45" s="2">
        <v>0.12958564869448669</v>
      </c>
      <c r="J45" s="2">
        <v>-5.2355806371554639E-2</v>
      </c>
      <c r="K45" s="2">
        <v>-8.8756644865068512E-2</v>
      </c>
      <c r="L45" s="2">
        <v>-9.8385391646459347E-2</v>
      </c>
      <c r="M45" s="2">
        <v>1</v>
      </c>
      <c r="N45" s="57"/>
      <c r="O45" s="67"/>
      <c r="Q45" s="51" t="str">
        <f t="shared" si="19"/>
        <v>Emerging market debt</v>
      </c>
      <c r="R45" s="72">
        <f t="shared" ref="R45:R50" si="21">D45</f>
        <v>0.16696558839991993</v>
      </c>
      <c r="S45" s="52">
        <f t="shared" ref="S45:S50" si="22">B45-D45</f>
        <v>5.2377705152909931E-2</v>
      </c>
      <c r="T45" s="52">
        <f t="shared" ref="T45:T50" si="23">F45-B45</f>
        <v>5.3802778446408545E-2</v>
      </c>
      <c r="U45" s="52"/>
    </row>
    <row r="46" spans="1:24">
      <c r="A46" s="59" t="str">
        <f t="shared" si="20"/>
        <v>Aandelen ontwikkeld</v>
      </c>
      <c r="B46" s="117">
        <v>0.23006874038238109</v>
      </c>
      <c r="C46" s="118">
        <v>1.900218774851747E-2</v>
      </c>
      <c r="D46" s="119">
        <v>0.21212513332700472</v>
      </c>
      <c r="E46" s="117">
        <v>0.22513923491937171</v>
      </c>
      <c r="F46" s="120">
        <v>0.2502781823673908</v>
      </c>
      <c r="G46" s="2">
        <v>3.9878786069328523E-3</v>
      </c>
      <c r="H46" s="2">
        <v>-0.65390958787995013</v>
      </c>
      <c r="I46" s="2">
        <v>1</v>
      </c>
      <c r="J46" s="2">
        <v>0.28129204346326248</v>
      </c>
      <c r="K46" s="2">
        <v>1.0408601649498694E-2</v>
      </c>
      <c r="L46" s="2">
        <v>-0.14844775781962025</v>
      </c>
      <c r="M46" s="2">
        <v>0.999999999999999</v>
      </c>
      <c r="N46" s="57"/>
      <c r="O46" s="67"/>
      <c r="Q46" s="51" t="str">
        <f t="shared" si="19"/>
        <v>Aandelen ontwikkeld</v>
      </c>
      <c r="R46" s="72">
        <f t="shared" si="21"/>
        <v>0.21212513332700472</v>
      </c>
      <c r="S46" s="52">
        <f t="shared" si="22"/>
        <v>1.794360705537637E-2</v>
      </c>
      <c r="T46" s="52">
        <f t="shared" si="23"/>
        <v>2.0209441985009707E-2</v>
      </c>
      <c r="U46" s="52"/>
    </row>
    <row r="47" spans="1:24">
      <c r="A47" s="59" t="str">
        <f t="shared" si="20"/>
        <v>Aandelen opkomend</v>
      </c>
      <c r="B47" s="117">
        <v>8.5215731287325833E-2</v>
      </c>
      <c r="C47" s="118">
        <v>1.5581900809219267E-2</v>
      </c>
      <c r="D47" s="119">
        <v>7.1012584255409697E-2</v>
      </c>
      <c r="E47" s="117">
        <v>8.065697061385671E-2</v>
      </c>
      <c r="F47" s="120">
        <v>9.8688905468607868E-2</v>
      </c>
      <c r="G47" s="2">
        <v>-5.000412013234209E-3</v>
      </c>
      <c r="H47" s="2">
        <v>-0.26881488626297168</v>
      </c>
      <c r="I47" s="2">
        <v>-0.26724309862956847</v>
      </c>
      <c r="J47" s="2">
        <v>-0.4498268084743437</v>
      </c>
      <c r="K47" s="2">
        <v>1</v>
      </c>
      <c r="L47" s="2">
        <v>-0.20721493825461365</v>
      </c>
      <c r="M47" s="2">
        <v>0.999999999999998</v>
      </c>
      <c r="N47" s="57"/>
      <c r="O47" s="67"/>
      <c r="Q47" s="51" t="str">
        <f t="shared" si="19"/>
        <v>Aandelen opkomend</v>
      </c>
      <c r="R47" s="72">
        <f t="shared" si="21"/>
        <v>7.1012584255409697E-2</v>
      </c>
      <c r="S47" s="52">
        <f t="shared" si="22"/>
        <v>1.4203147031916136E-2</v>
      </c>
      <c r="T47" s="52">
        <f t="shared" si="23"/>
        <v>1.3473174181282035E-2</v>
      </c>
      <c r="U47" s="52"/>
    </row>
    <row r="48" spans="1:24">
      <c r="A48" s="59" t="str">
        <f t="shared" si="20"/>
        <v>Commodities</v>
      </c>
      <c r="B48" s="117">
        <v>3.801388124912479E-2</v>
      </c>
      <c r="C48" s="118">
        <v>1.1445248182543196E-2</v>
      </c>
      <c r="D48" s="119">
        <v>2.7261642248125616E-2</v>
      </c>
      <c r="E48" s="117">
        <v>3.5934310868842356E-2</v>
      </c>
      <c r="F48" s="120">
        <v>4.9915875913658009E-2</v>
      </c>
      <c r="G48" s="2">
        <v>-5.1607426073577911E-3</v>
      </c>
      <c r="H48" s="2">
        <v>-0.14112470761914955</v>
      </c>
      <c r="I48" s="2">
        <v>-0.10296167151990358</v>
      </c>
      <c r="J48" s="2">
        <v>0.11007167522609368</v>
      </c>
      <c r="K48" s="2">
        <v>3.7192454858315752E-2</v>
      </c>
      <c r="L48" s="2">
        <v>1</v>
      </c>
      <c r="M48" s="2">
        <v>0.99999999999999645</v>
      </c>
      <c r="N48" s="57"/>
      <c r="O48" s="67"/>
      <c r="Q48" s="51" t="str">
        <f t="shared" si="19"/>
        <v>Commodities</v>
      </c>
      <c r="R48" s="72">
        <f t="shared" si="21"/>
        <v>2.7261642248125616E-2</v>
      </c>
      <c r="S48" s="52">
        <f t="shared" si="22"/>
        <v>1.0752239000999173E-2</v>
      </c>
      <c r="T48" s="52">
        <f t="shared" si="23"/>
        <v>1.1901994664533219E-2</v>
      </c>
      <c r="U48" s="52"/>
    </row>
    <row r="49" spans="1:27">
      <c r="A49" s="59" t="str">
        <f t="shared" si="20"/>
        <v>Hedge funds</v>
      </c>
      <c r="B49" s="117">
        <v>7.9826672686804115E-2</v>
      </c>
      <c r="C49" s="118">
        <v>1.7437138981908587E-2</v>
      </c>
      <c r="D49" s="119">
        <v>6.0390695469962549E-2</v>
      </c>
      <c r="E49" s="117">
        <v>7.7434133731821148E-2</v>
      </c>
      <c r="F49" s="120">
        <v>0.1005543761282979</v>
      </c>
      <c r="G49" s="2">
        <v>-1.8221643200990758E-2</v>
      </c>
      <c r="H49" s="2">
        <v>-0.58356489099257847</v>
      </c>
      <c r="I49" s="2">
        <v>-0.26659129924076685</v>
      </c>
      <c r="J49" s="2">
        <v>-0.8331067051432105</v>
      </c>
      <c r="K49" s="2">
        <v>-0.70727099243301228</v>
      </c>
      <c r="L49" s="2">
        <v>-0.15131337301431844</v>
      </c>
      <c r="M49" s="2">
        <v>0.999999999999998</v>
      </c>
      <c r="N49" s="57"/>
      <c r="O49" s="67"/>
      <c r="Q49" s="51" t="str">
        <f t="shared" si="19"/>
        <v>Hedge funds</v>
      </c>
      <c r="R49" s="72">
        <f t="shared" si="21"/>
        <v>6.0390695469962549E-2</v>
      </c>
      <c r="S49" s="52">
        <f t="shared" si="22"/>
        <v>1.9435977216841566E-2</v>
      </c>
      <c r="T49" s="52">
        <f t="shared" si="23"/>
        <v>2.0727703441493786E-2</v>
      </c>
      <c r="U49" s="52"/>
      <c r="X49" s="51"/>
    </row>
    <row r="50" spans="1:27">
      <c r="A50" s="60" t="str">
        <f t="shared" si="20"/>
        <v>Onroerend goed</v>
      </c>
      <c r="B50" s="121">
        <v>0.11746562950531116</v>
      </c>
      <c r="C50" s="122">
        <v>1.6225137544598513E-2</v>
      </c>
      <c r="D50" s="123">
        <v>0.10079258453111234</v>
      </c>
      <c r="E50" s="121">
        <v>0.11444249080401228</v>
      </c>
      <c r="F50" s="124">
        <v>0.13638731887526695</v>
      </c>
      <c r="G50" s="65">
        <v>-1.2341635186965547E-2</v>
      </c>
      <c r="H50" s="65">
        <v>-0.3020236149204571</v>
      </c>
      <c r="I50" s="65">
        <v>-0.59950256143080616</v>
      </c>
      <c r="J50" s="65">
        <v>1</v>
      </c>
      <c r="K50" s="65">
        <v>-0.15641023439417667</v>
      </c>
      <c r="L50" s="65">
        <v>-0.29814725909121226</v>
      </c>
      <c r="M50" s="65">
        <v>0.99999999999999845</v>
      </c>
      <c r="N50" s="66"/>
      <c r="O50" s="67"/>
      <c r="P50" s="72"/>
      <c r="Q50" s="51" t="str">
        <f t="shared" si="19"/>
        <v>Onroerend goed</v>
      </c>
      <c r="R50" s="72">
        <f t="shared" si="21"/>
        <v>0.10079258453111234</v>
      </c>
      <c r="S50" s="52">
        <f t="shared" si="22"/>
        <v>1.6673044974198817E-2</v>
      </c>
      <c r="T50" s="52">
        <f t="shared" si="23"/>
        <v>1.8921689369955794E-2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400" t="s">
        <v>64</v>
      </c>
      <c r="E52" s="401"/>
      <c r="F52" s="402"/>
      <c r="G52" s="400" t="s">
        <v>65</v>
      </c>
      <c r="H52" s="401"/>
      <c r="I52" s="401"/>
      <c r="J52" s="401"/>
      <c r="K52" s="401"/>
      <c r="L52" s="401"/>
      <c r="M52" s="401"/>
      <c r="N52" s="402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0.71687384650650121</v>
      </c>
      <c r="H53" s="272">
        <v>0.1239126013675339</v>
      </c>
      <c r="I53" s="272">
        <v>5.0753693523022836E-2</v>
      </c>
      <c r="J53" s="272">
        <v>4.7097449612622078E-2</v>
      </c>
      <c r="K53" s="272">
        <v>3.3234210560075028E-2</v>
      </c>
      <c r="L53" s="272">
        <v>2.8128198430245721E-2</v>
      </c>
      <c r="M53" s="272">
        <v>3.3306690738754696E-16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0.24165753192001854</v>
      </c>
      <c r="C54" s="118">
        <v>5.2014413754082466E-2</v>
      </c>
      <c r="D54" s="119">
        <v>0.18584712996249395</v>
      </c>
      <c r="E54" s="117">
        <v>0.24108526723336265</v>
      </c>
      <c r="F54" s="120">
        <v>0.29818543861317459</v>
      </c>
      <c r="G54" s="2">
        <v>1</v>
      </c>
      <c r="H54" s="2">
        <v>0.84524088627512128</v>
      </c>
      <c r="I54" s="2">
        <v>-5.3051750243476123E-2</v>
      </c>
      <c r="J54" s="2">
        <v>-2.3588526393470189E-2</v>
      </c>
      <c r="K54" s="2">
        <v>-0.15845468683026911</v>
      </c>
      <c r="L54" s="2">
        <v>-5.1393618812812666E-2</v>
      </c>
      <c r="M54" s="2">
        <v>0.99999999999999667</v>
      </c>
      <c r="N54" s="57"/>
      <c r="O54" s="67"/>
      <c r="P54" s="72"/>
      <c r="Q54" s="51" t="str">
        <f t="shared" ref="Q54:Q60" si="25">A54</f>
        <v>High Yield</v>
      </c>
      <c r="R54" s="72">
        <f>D54</f>
        <v>0.18584712996249395</v>
      </c>
      <c r="S54" s="52">
        <f>B54-D54</f>
        <v>5.5810401957524597E-2</v>
      </c>
      <c r="T54" s="52">
        <f>F54-B54</f>
        <v>5.6527906693156049E-2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0.216225963514557</v>
      </c>
      <c r="C55" s="118">
        <v>4.7541803241031411E-2</v>
      </c>
      <c r="D55" s="119">
        <v>0.16338366215490091</v>
      </c>
      <c r="E55" s="117">
        <v>0.21296165641245751</v>
      </c>
      <c r="F55" s="120">
        <v>0.26723838751504131</v>
      </c>
      <c r="G55" s="2">
        <v>-0.88614180132598819</v>
      </c>
      <c r="H55" s="2">
        <v>1</v>
      </c>
      <c r="I55" s="2">
        <v>-0.1059535469688999</v>
      </c>
      <c r="J55" s="2">
        <v>-3.2375915410492014E-2</v>
      </c>
      <c r="K55" s="2">
        <v>-0.1666070899134863</v>
      </c>
      <c r="L55" s="2">
        <v>-6.5329204808239741E-2</v>
      </c>
      <c r="M55" s="2">
        <v>0.99999999999999711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0.16338366215490091</v>
      </c>
      <c r="S55" s="52">
        <f t="shared" ref="S55:S60" si="27">B55-D55</f>
        <v>5.2842301359656091E-2</v>
      </c>
      <c r="T55" s="52">
        <f t="shared" ref="T55:T60" si="28">F55-B55</f>
        <v>5.1012424000484308E-2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0.22780436483893665</v>
      </c>
      <c r="C56" s="118">
        <v>1.8012674974996652E-2</v>
      </c>
      <c r="D56" s="119">
        <v>0.21091466963151134</v>
      </c>
      <c r="E56" s="117">
        <v>0.22404517860289552</v>
      </c>
      <c r="F56" s="120">
        <v>0.24629524917644821</v>
      </c>
      <c r="G56" s="2">
        <v>-5.6100658044699629E-3</v>
      </c>
      <c r="H56" s="2">
        <v>-0.60936645654185773</v>
      </c>
      <c r="I56" s="2">
        <v>-0.84411242212914439</v>
      </c>
      <c r="J56" s="2">
        <v>-0.63243205113855638</v>
      </c>
      <c r="K56" s="2">
        <v>-0.29946213020536488</v>
      </c>
      <c r="L56" s="2">
        <v>-0.10761532204586889</v>
      </c>
      <c r="M56" s="2">
        <v>0.99999999999999745</v>
      </c>
      <c r="N56" s="57"/>
      <c r="O56" s="67"/>
      <c r="Q56" s="51" t="str">
        <f t="shared" si="25"/>
        <v>Aandelen ontwikkeld</v>
      </c>
      <c r="R56" s="72">
        <f t="shared" si="26"/>
        <v>0.21091466963151134</v>
      </c>
      <c r="S56" s="52">
        <f t="shared" si="27"/>
        <v>1.6889695207425309E-2</v>
      </c>
      <c r="T56" s="52">
        <f t="shared" si="28"/>
        <v>1.8490884337511559E-2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7.9925651256472677E-2</v>
      </c>
      <c r="C57" s="118">
        <v>1.3373746458356817E-2</v>
      </c>
      <c r="D57" s="119">
        <v>6.7968090827481537E-2</v>
      </c>
      <c r="E57" s="117">
        <v>7.6921718300158592E-2</v>
      </c>
      <c r="F57" s="120">
        <v>9.190491206510934E-2</v>
      </c>
      <c r="G57" s="2">
        <v>-1.4134979843913731E-2</v>
      </c>
      <c r="H57" s="2">
        <v>-0.21560135302868125</v>
      </c>
      <c r="I57" s="2">
        <v>0.11396188509966253</v>
      </c>
      <c r="J57" s="2">
        <v>8.6156471396254777E-2</v>
      </c>
      <c r="K57" s="2">
        <v>1</v>
      </c>
      <c r="L57" s="2">
        <v>-0.67749819705156133</v>
      </c>
      <c r="M57" s="2">
        <v>0.99999999999999933</v>
      </c>
      <c r="N57" s="57"/>
      <c r="O57" s="67"/>
      <c r="Q57" s="51" t="str">
        <f t="shared" si="25"/>
        <v>Aandelen opkomend</v>
      </c>
      <c r="R57" s="72">
        <f t="shared" si="26"/>
        <v>6.7968090827481537E-2</v>
      </c>
      <c r="S57" s="52">
        <f t="shared" si="27"/>
        <v>1.195756042899114E-2</v>
      </c>
      <c r="T57" s="52">
        <f t="shared" si="28"/>
        <v>1.1979260808636663E-2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3.7085737551001877E-2</v>
      </c>
      <c r="C58" s="118">
        <v>1.2694102134625632E-2</v>
      </c>
      <c r="D58" s="119">
        <v>2.5414674604038207E-2</v>
      </c>
      <c r="E58" s="117">
        <v>3.4124578130845684E-2</v>
      </c>
      <c r="F58" s="120">
        <v>4.9853019006101472E-2</v>
      </c>
      <c r="G58" s="2">
        <v>-2.0010256971140932E-2</v>
      </c>
      <c r="H58" s="2">
        <v>-0.14706346396219236</v>
      </c>
      <c r="I58" s="2">
        <v>3.153089866369575E-3</v>
      </c>
      <c r="J58" s="2">
        <v>3.6702552465466443E-2</v>
      </c>
      <c r="K58" s="2">
        <v>0.57864272090043678</v>
      </c>
      <c r="L58" s="2">
        <v>1</v>
      </c>
      <c r="M58" s="2">
        <v>1</v>
      </c>
      <c r="N58" s="57"/>
      <c r="O58" s="67"/>
      <c r="Q58" s="51" t="str">
        <f t="shared" si="25"/>
        <v>Commodities</v>
      </c>
      <c r="R58" s="72">
        <f t="shared" si="26"/>
        <v>2.5414674604038207E-2</v>
      </c>
      <c r="S58" s="52">
        <f t="shared" si="27"/>
        <v>1.167106294696367E-2</v>
      </c>
      <c r="T58" s="52">
        <f t="shared" si="28"/>
        <v>1.2767281455099595E-2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7.9416366453962037E-2</v>
      </c>
      <c r="C59" s="118">
        <v>1.6850679013954678E-2</v>
      </c>
      <c r="D59" s="119">
        <v>6.1547438585740723E-2</v>
      </c>
      <c r="E59" s="117">
        <v>7.6820540559690981E-2</v>
      </c>
      <c r="F59" s="120">
        <v>9.9470003152803285E-2</v>
      </c>
      <c r="G59" s="2">
        <v>-2.7112451157659579E-2</v>
      </c>
      <c r="H59" s="2">
        <v>-0.47995173304902949</v>
      </c>
      <c r="I59" s="2">
        <v>-0.11399725562451198</v>
      </c>
      <c r="J59" s="2">
        <v>1</v>
      </c>
      <c r="K59" s="2">
        <v>-0.50223983844354192</v>
      </c>
      <c r="L59" s="2">
        <v>-6.4391295571685617E-2</v>
      </c>
      <c r="M59" s="2">
        <v>0.99999999999999833</v>
      </c>
      <c r="N59" s="57"/>
      <c r="O59" s="67"/>
      <c r="Q59" s="51" t="str">
        <f t="shared" si="25"/>
        <v>Hedge funds</v>
      </c>
      <c r="R59" s="72">
        <f t="shared" si="26"/>
        <v>6.1547438585740723E-2</v>
      </c>
      <c r="S59" s="52">
        <f t="shared" si="27"/>
        <v>1.7868927868221314E-2</v>
      </c>
      <c r="T59" s="52">
        <f t="shared" si="28"/>
        <v>2.0053636698841248E-2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0.11788438446505105</v>
      </c>
      <c r="C60" s="122">
        <v>1.6979597045889958E-2</v>
      </c>
      <c r="D60" s="123">
        <v>9.9917763206248497E-2</v>
      </c>
      <c r="E60" s="121">
        <v>0.11586775219557309</v>
      </c>
      <c r="F60" s="124">
        <v>0.1370330780039255</v>
      </c>
      <c r="G60" s="65">
        <v>-4.6990444896827091E-2</v>
      </c>
      <c r="H60" s="65">
        <v>-0.39325787969335835</v>
      </c>
      <c r="I60" s="65">
        <v>1</v>
      </c>
      <c r="J60" s="65">
        <v>-0.43446253091920389</v>
      </c>
      <c r="K60" s="65">
        <v>-0.45187897550777673</v>
      </c>
      <c r="L60" s="65">
        <v>-3.3772361709832895E-2</v>
      </c>
      <c r="M60" s="65">
        <v>0.99999999999999767</v>
      </c>
      <c r="N60" s="66"/>
      <c r="O60" s="67"/>
      <c r="Q60" s="51" t="str">
        <f t="shared" si="25"/>
        <v>Onroerend goed</v>
      </c>
      <c r="R60" s="72">
        <f t="shared" si="26"/>
        <v>9.9917763206248497E-2</v>
      </c>
      <c r="S60" s="52">
        <f t="shared" si="27"/>
        <v>1.7966621258802551E-2</v>
      </c>
      <c r="T60" s="52">
        <f t="shared" si="28"/>
        <v>1.9148693538874453E-2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400" t="s">
        <v>64</v>
      </c>
      <c r="E62" s="401"/>
      <c r="F62" s="402"/>
      <c r="G62" s="400" t="s">
        <v>65</v>
      </c>
      <c r="H62" s="401"/>
      <c r="I62" s="401"/>
      <c r="J62" s="401"/>
      <c r="K62" s="401"/>
      <c r="L62" s="401"/>
      <c r="M62" s="401"/>
      <c r="N62" s="402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0.69530034816941821</v>
      </c>
      <c r="H63" s="272">
        <v>0.13697269199187956</v>
      </c>
      <c r="I63" s="272">
        <v>5.5291254596340766E-2</v>
      </c>
      <c r="J63" s="272">
        <v>4.5894835554368685E-2</v>
      </c>
      <c r="K63" s="272">
        <v>4.3075379676114856E-2</v>
      </c>
      <c r="L63" s="272">
        <v>2.3465490011878476E-2</v>
      </c>
      <c r="M63" s="272">
        <v>3.3306690738754696E-16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0.23006605133622238</v>
      </c>
      <c r="C64" s="118">
        <v>4.9905893982621539E-2</v>
      </c>
      <c r="D64" s="119">
        <v>0.17570165505887014</v>
      </c>
      <c r="E64" s="117">
        <v>0.2277987453784277</v>
      </c>
      <c r="F64" s="120">
        <v>0.28292879562672646</v>
      </c>
      <c r="G64" s="2">
        <v>1</v>
      </c>
      <c r="H64" s="2">
        <v>0.94943768767510406</v>
      </c>
      <c r="I64" s="2">
        <v>0.10671298212655683</v>
      </c>
      <c r="J64" s="2">
        <v>-5.6074398700247809E-2</v>
      </c>
      <c r="K64" s="2">
        <v>-9.5163184815555968E-2</v>
      </c>
      <c r="L64" s="2">
        <v>-9.64912801737738E-2</v>
      </c>
      <c r="M64" s="2">
        <v>1</v>
      </c>
      <c r="N64" s="57"/>
      <c r="O64" s="67"/>
      <c r="Q64" s="51" t="str">
        <f t="shared" ref="Q64:Q70" si="32">A64</f>
        <v>High Yield</v>
      </c>
      <c r="R64" s="72">
        <f>D64</f>
        <v>0.17570165505887014</v>
      </c>
      <c r="S64" s="52">
        <f>B64-D64</f>
        <v>5.4364396277352234E-2</v>
      </c>
      <c r="T64" s="52">
        <f>F64-B64</f>
        <v>5.2862744290504082E-2</v>
      </c>
      <c r="U64" s="52"/>
    </row>
    <row r="65" spans="1:24">
      <c r="A65" s="59" t="str">
        <f t="shared" si="31"/>
        <v>Emerging market debt</v>
      </c>
      <c r="B65" s="117">
        <v>0.21934329355282986</v>
      </c>
      <c r="C65" s="118">
        <v>4.8586831589087047E-2</v>
      </c>
      <c r="D65" s="119">
        <v>0.16696558839991993</v>
      </c>
      <c r="E65" s="117">
        <v>0.21782699906237996</v>
      </c>
      <c r="F65" s="120">
        <v>0.2731460719992384</v>
      </c>
      <c r="G65" s="2">
        <v>-0.9632634455983845</v>
      </c>
      <c r="H65" s="2">
        <v>1</v>
      </c>
      <c r="I65" s="2">
        <v>0.1295856486944863</v>
      </c>
      <c r="J65" s="2">
        <v>-5.2355806371554944E-2</v>
      </c>
      <c r="K65" s="2">
        <v>-8.8756644865068401E-2</v>
      </c>
      <c r="L65" s="2">
        <v>-9.8385391646459278E-2</v>
      </c>
      <c r="M65" s="2">
        <v>1</v>
      </c>
      <c r="N65" s="57"/>
      <c r="O65" s="67"/>
      <c r="Q65" s="51" t="str">
        <f t="shared" si="32"/>
        <v>Emerging market debt</v>
      </c>
      <c r="R65" s="72">
        <f t="shared" ref="R65:R70" si="33">D65</f>
        <v>0.16696558839991993</v>
      </c>
      <c r="S65" s="52">
        <f t="shared" ref="S65:S70" si="34">B65-D65</f>
        <v>5.2377705152909931E-2</v>
      </c>
      <c r="T65" s="52">
        <f t="shared" ref="T65:T70" si="35">F65-B65</f>
        <v>5.3802778446408545E-2</v>
      </c>
      <c r="U65" s="52"/>
    </row>
    <row r="66" spans="1:24">
      <c r="A66" s="59" t="str">
        <f t="shared" si="31"/>
        <v>Aandelen ontwikkeld</v>
      </c>
      <c r="B66" s="117">
        <v>0.23006874038238109</v>
      </c>
      <c r="C66" s="118">
        <v>1.900218774851747E-2</v>
      </c>
      <c r="D66" s="119">
        <v>0.21212513332700472</v>
      </c>
      <c r="E66" s="117">
        <v>0.22513923491937171</v>
      </c>
      <c r="F66" s="120">
        <v>0.2502781823673908</v>
      </c>
      <c r="G66" s="2">
        <v>3.9878786069328627E-3</v>
      </c>
      <c r="H66" s="2">
        <v>-0.65390958787995079</v>
      </c>
      <c r="I66" s="2">
        <v>1</v>
      </c>
      <c r="J66" s="2">
        <v>0.28129204346326037</v>
      </c>
      <c r="K66" s="2">
        <v>1.0408601649496491E-2</v>
      </c>
      <c r="L66" s="2">
        <v>-0.14844775781961991</v>
      </c>
      <c r="M66" s="2">
        <v>0.99999999999999811</v>
      </c>
      <c r="N66" s="57"/>
      <c r="O66" s="67"/>
      <c r="Q66" s="51" t="str">
        <f t="shared" si="32"/>
        <v>Aandelen ontwikkeld</v>
      </c>
      <c r="R66" s="72">
        <f t="shared" si="33"/>
        <v>0.21212513332700472</v>
      </c>
      <c r="S66" s="52">
        <f t="shared" si="34"/>
        <v>1.794360705537637E-2</v>
      </c>
      <c r="T66" s="52">
        <f t="shared" si="35"/>
        <v>2.0209441985009707E-2</v>
      </c>
      <c r="U66" s="52"/>
    </row>
    <row r="67" spans="1:24">
      <c r="A67" s="59" t="str">
        <f t="shared" si="31"/>
        <v>Aandelen opkomend</v>
      </c>
      <c r="B67" s="117">
        <v>8.5215731287325833E-2</v>
      </c>
      <c r="C67" s="118">
        <v>1.5581900809219267E-2</v>
      </c>
      <c r="D67" s="119">
        <v>7.1012584255409697E-2</v>
      </c>
      <c r="E67" s="117">
        <v>8.065697061385671E-2</v>
      </c>
      <c r="F67" s="120">
        <v>9.8688905468607868E-2</v>
      </c>
      <c r="G67" s="2">
        <v>-5.0004120132342037E-3</v>
      </c>
      <c r="H67" s="2">
        <v>-0.26881488626297195</v>
      </c>
      <c r="I67" s="2">
        <v>-0.26724309862956752</v>
      </c>
      <c r="J67" s="2">
        <v>-0.44982680847433942</v>
      </c>
      <c r="K67" s="2">
        <v>1</v>
      </c>
      <c r="L67" s="2">
        <v>-0.20721493825461354</v>
      </c>
      <c r="M67" s="2">
        <v>0.99999999999999756</v>
      </c>
      <c r="N67" s="57"/>
      <c r="O67" s="67"/>
      <c r="Q67" s="51" t="str">
        <f t="shared" si="32"/>
        <v>Aandelen opkomend</v>
      </c>
      <c r="R67" s="72">
        <f t="shared" si="33"/>
        <v>7.1012584255409697E-2</v>
      </c>
      <c r="S67" s="52">
        <f t="shared" si="34"/>
        <v>1.4203147031916136E-2</v>
      </c>
      <c r="T67" s="52">
        <f t="shared" si="35"/>
        <v>1.3473174181282035E-2</v>
      </c>
      <c r="U67" s="52"/>
    </row>
    <row r="68" spans="1:24">
      <c r="A68" s="59" t="str">
        <f t="shared" si="31"/>
        <v>Commodities</v>
      </c>
      <c r="B68" s="117">
        <v>3.801388124912479E-2</v>
      </c>
      <c r="C68" s="118">
        <v>1.1445248182543196E-2</v>
      </c>
      <c r="D68" s="119">
        <v>2.7261642248125616E-2</v>
      </c>
      <c r="E68" s="117">
        <v>3.5934310868842356E-2</v>
      </c>
      <c r="F68" s="120">
        <v>4.9915875913658009E-2</v>
      </c>
      <c r="G68" s="2">
        <v>-5.1607426073577859E-3</v>
      </c>
      <c r="H68" s="2">
        <v>-0.14112470761914966</v>
      </c>
      <c r="I68" s="2">
        <v>-0.10296167151990315</v>
      </c>
      <c r="J68" s="2">
        <v>0.11007167522609274</v>
      </c>
      <c r="K68" s="2">
        <v>3.719245485831494E-2</v>
      </c>
      <c r="L68" s="2">
        <v>1</v>
      </c>
      <c r="M68" s="2">
        <v>0.99999999999999523</v>
      </c>
      <c r="N68" s="57"/>
      <c r="O68" s="67"/>
      <c r="Q68" s="51" t="str">
        <f t="shared" si="32"/>
        <v>Commodities</v>
      </c>
      <c r="R68" s="72">
        <f t="shared" si="33"/>
        <v>2.7261642248125616E-2</v>
      </c>
      <c r="S68" s="52">
        <f t="shared" si="34"/>
        <v>1.0752239000999173E-2</v>
      </c>
      <c r="T68" s="52">
        <f t="shared" si="35"/>
        <v>1.1901994664533219E-2</v>
      </c>
      <c r="U68" s="52"/>
    </row>
    <row r="69" spans="1:24">
      <c r="A69" s="59" t="str">
        <f t="shared" si="31"/>
        <v>Hedge funds</v>
      </c>
      <c r="B69" s="117">
        <v>7.9826672686804115E-2</v>
      </c>
      <c r="C69" s="118">
        <v>1.7437138981908587E-2</v>
      </c>
      <c r="D69" s="119">
        <v>6.0390695469962549E-2</v>
      </c>
      <c r="E69" s="117">
        <v>7.7434133731821148E-2</v>
      </c>
      <c r="F69" s="120">
        <v>0.1005543761282979</v>
      </c>
      <c r="G69" s="2">
        <v>-1.8221643200990741E-2</v>
      </c>
      <c r="H69" s="2">
        <v>-0.5835648909925788</v>
      </c>
      <c r="I69" s="2">
        <v>-0.2665912992407698</v>
      </c>
      <c r="J69" s="2">
        <v>-0.83310670514321072</v>
      </c>
      <c r="K69" s="2">
        <v>-0.70727099243300828</v>
      </c>
      <c r="L69" s="2">
        <v>-0.15131337301431896</v>
      </c>
      <c r="M69" s="2">
        <v>0.99999999999999778</v>
      </c>
      <c r="N69" s="57"/>
      <c r="O69" s="67"/>
      <c r="Q69" s="51" t="str">
        <f t="shared" si="32"/>
        <v>Hedge funds</v>
      </c>
      <c r="R69" s="72">
        <f t="shared" si="33"/>
        <v>6.0390695469962549E-2</v>
      </c>
      <c r="S69" s="52">
        <f t="shared" si="34"/>
        <v>1.9435977216841566E-2</v>
      </c>
      <c r="T69" s="52">
        <f t="shared" si="35"/>
        <v>2.0727703441493786E-2</v>
      </c>
      <c r="U69" s="52"/>
      <c r="X69" s="51"/>
    </row>
    <row r="70" spans="1:24">
      <c r="A70" s="60" t="str">
        <f t="shared" si="31"/>
        <v>Onroerend goed</v>
      </c>
      <c r="B70" s="121">
        <v>0.11746562950531116</v>
      </c>
      <c r="C70" s="122">
        <v>1.6225137544598516E-2</v>
      </c>
      <c r="D70" s="123">
        <v>0.10079258453111234</v>
      </c>
      <c r="E70" s="121">
        <v>0.11444249080401228</v>
      </c>
      <c r="F70" s="124">
        <v>0.13638731887526695</v>
      </c>
      <c r="G70" s="65">
        <v>-1.2341635186965556E-2</v>
      </c>
      <c r="H70" s="65">
        <v>-0.30202361492045737</v>
      </c>
      <c r="I70" s="65">
        <v>-0.59950256143080471</v>
      </c>
      <c r="J70" s="65">
        <v>1</v>
      </c>
      <c r="K70" s="65">
        <v>-0.156410234394178</v>
      </c>
      <c r="L70" s="65">
        <v>-0.29814725909121126</v>
      </c>
      <c r="M70" s="65">
        <v>0.99999999999999778</v>
      </c>
      <c r="N70" s="66"/>
      <c r="O70" s="67"/>
      <c r="P70" s="72"/>
      <c r="Q70" s="51" t="str">
        <f t="shared" si="32"/>
        <v>Onroerend goed</v>
      </c>
      <c r="R70" s="72">
        <f t="shared" si="33"/>
        <v>0.10079258453111234</v>
      </c>
      <c r="S70" s="52">
        <f t="shared" si="34"/>
        <v>1.6673044974198817E-2</v>
      </c>
      <c r="T70" s="52">
        <f t="shared" si="35"/>
        <v>1.8921689369955794E-2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400" t="s">
        <v>64</v>
      </c>
      <c r="E72" s="401"/>
      <c r="F72" s="402"/>
      <c r="G72" s="400" t="s">
        <v>65</v>
      </c>
      <c r="H72" s="401"/>
      <c r="I72" s="401"/>
      <c r="J72" s="401"/>
      <c r="K72" s="401"/>
      <c r="L72" s="401"/>
      <c r="M72" s="401"/>
      <c r="N72" s="402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0.5548578246784257</v>
      </c>
      <c r="H73" s="272">
        <v>0.32158635462348162</v>
      </c>
      <c r="I73" s="272">
        <v>4.9434681075970044E-2</v>
      </c>
      <c r="J73" s="272">
        <v>3.0920235988472045E-2</v>
      </c>
      <c r="K73" s="272">
        <v>2.2195326649201763E-2</v>
      </c>
      <c r="L73" s="272">
        <v>2.1005576984448271E-2</v>
      </c>
      <c r="M73" s="272">
        <v>1.1102230246251565E-16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0.19913399763984052</v>
      </c>
      <c r="C74" s="118">
        <v>4.7276108655511268E-2</v>
      </c>
      <c r="D74" s="119">
        <v>0.14784493042335947</v>
      </c>
      <c r="E74" s="117">
        <v>0.1940401447478233</v>
      </c>
      <c r="F74" s="120">
        <v>0.24862289047524427</v>
      </c>
      <c r="G74" s="2">
        <v>-0.53166450660314446</v>
      </c>
      <c r="H74" s="2">
        <v>1</v>
      </c>
      <c r="I74" s="2">
        <v>-0.15165408216449855</v>
      </c>
      <c r="J74" s="2">
        <v>-0.48205316525092096</v>
      </c>
      <c r="K74" s="2">
        <v>7.9532537218473962E-2</v>
      </c>
      <c r="L74" s="2">
        <v>2.0633067138178085E-2</v>
      </c>
      <c r="M74" s="2">
        <v>0.99999999999999456</v>
      </c>
      <c r="N74" s="57"/>
      <c r="O74" s="67"/>
      <c r="P74" s="72"/>
      <c r="Q74" s="51" t="str">
        <f t="shared" ref="Q74:Q80" si="37">A74</f>
        <v>High Yield</v>
      </c>
      <c r="R74" s="72">
        <f>D74</f>
        <v>0.14784493042335947</v>
      </c>
      <c r="S74" s="52">
        <f>B74-D74</f>
        <v>5.1289067216481049E-2</v>
      </c>
      <c r="T74" s="52">
        <f>F74-B74</f>
        <v>4.9488892835403753E-2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0.23415682202358784</v>
      </c>
      <c r="C75" s="118">
        <v>5.3367672195963001E-2</v>
      </c>
      <c r="D75" s="119">
        <v>0.17918798719213261</v>
      </c>
      <c r="E75" s="117">
        <v>0.23134860991234352</v>
      </c>
      <c r="F75" s="120">
        <v>0.29405194484456665</v>
      </c>
      <c r="G75" s="2">
        <v>1</v>
      </c>
      <c r="H75" s="2">
        <v>0.14936054330777859</v>
      </c>
      <c r="I75" s="2">
        <v>-0.41026588938609804</v>
      </c>
      <c r="J75" s="2">
        <v>-0.52041923596563433</v>
      </c>
      <c r="K75" s="2">
        <v>6.0199786129148038E-2</v>
      </c>
      <c r="L75" s="2">
        <v>3.9442955454423619E-2</v>
      </c>
      <c r="M75" s="2">
        <v>0.99999999999999323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0.17918798719213261</v>
      </c>
      <c r="S75" s="52">
        <f t="shared" ref="S75:S80" si="39">B75-D75</f>
        <v>5.4968834831455232E-2</v>
      </c>
      <c r="T75" s="52">
        <f t="shared" ref="T75:T80" si="40">F75-B75</f>
        <v>5.9895122820978808E-2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0.20228830870074385</v>
      </c>
      <c r="C76" s="118">
        <v>1.9201972994273942E-2</v>
      </c>
      <c r="D76" s="119">
        <v>0.18295728536537784</v>
      </c>
      <c r="E76" s="117">
        <v>0.19916630250224238</v>
      </c>
      <c r="F76" s="120">
        <v>0.22279824164934453</v>
      </c>
      <c r="G76" s="2">
        <v>4.2901778486108863E-2</v>
      </c>
      <c r="H76" s="2">
        <v>-0.23550704722651608</v>
      </c>
      <c r="I76" s="2">
        <v>1</v>
      </c>
      <c r="J76" s="2">
        <v>-0.75870496850494096</v>
      </c>
      <c r="K76" s="2">
        <v>5.1723663127632165E-2</v>
      </c>
      <c r="L76" s="2">
        <v>-0.10237616441797438</v>
      </c>
      <c r="M76" s="2">
        <v>0.99999999999999867</v>
      </c>
      <c r="N76" s="57"/>
      <c r="O76" s="67"/>
      <c r="Q76" s="51" t="str">
        <f t="shared" si="37"/>
        <v>Aandelen ontwikkeld</v>
      </c>
      <c r="R76" s="72">
        <f t="shared" si="38"/>
        <v>0.18295728536537784</v>
      </c>
      <c r="S76" s="52">
        <f t="shared" si="39"/>
        <v>1.9331023335366015E-2</v>
      </c>
      <c r="T76" s="52">
        <f t="shared" si="40"/>
        <v>2.0509932948600679E-2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0.15593138302273923</v>
      </c>
      <c r="C77" s="118">
        <v>4.0998870786057712E-2</v>
      </c>
      <c r="D77" s="119">
        <v>0.11464312290194553</v>
      </c>
      <c r="E77" s="117">
        <v>0.15257200683124875</v>
      </c>
      <c r="F77" s="120">
        <v>0.1998503974928249</v>
      </c>
      <c r="G77" s="2">
        <v>-0.49671224563088184</v>
      </c>
      <c r="H77" s="2">
        <v>-0.78914217146208043</v>
      </c>
      <c r="I77" s="2">
        <v>-0.57856196995815112</v>
      </c>
      <c r="J77" s="2">
        <v>-0.61326300217146001</v>
      </c>
      <c r="K77" s="2">
        <v>8.0961291561685494E-2</v>
      </c>
      <c r="L77" s="2">
        <v>4.0231464967009911E-2</v>
      </c>
      <c r="M77" s="2">
        <v>0.99999999999999267</v>
      </c>
      <c r="N77" s="57"/>
      <c r="O77" s="67"/>
      <c r="Q77" s="51" t="str">
        <f t="shared" si="37"/>
        <v>Aandelen opkomend</v>
      </c>
      <c r="R77" s="72">
        <f t="shared" si="38"/>
        <v>0.11464312290194553</v>
      </c>
      <c r="S77" s="52">
        <f t="shared" si="39"/>
        <v>4.1288260120793702E-2</v>
      </c>
      <c r="T77" s="52">
        <f t="shared" si="40"/>
        <v>4.3919014470085671E-2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4.0125900148560649E-2</v>
      </c>
      <c r="C78" s="118">
        <v>1.2302407656893638E-2</v>
      </c>
      <c r="D78" s="119">
        <v>2.7855509100830532E-2</v>
      </c>
      <c r="E78" s="117">
        <v>3.6998084054172251E-2</v>
      </c>
      <c r="F78" s="120">
        <v>5.4416863919043823E-2</v>
      </c>
      <c r="G78" s="2">
        <v>-1.1321644017380299E-2</v>
      </c>
      <c r="H78" s="2">
        <v>-2.3132419616630488E-2</v>
      </c>
      <c r="I78" s="2">
        <v>-3.4508076700489609E-2</v>
      </c>
      <c r="J78" s="2">
        <v>0.63778692404443815</v>
      </c>
      <c r="K78" s="2">
        <v>-0.96991554081739562</v>
      </c>
      <c r="L78" s="2">
        <v>-0.659142818394716</v>
      </c>
      <c r="M78" s="2">
        <v>0.99999999999999933</v>
      </c>
      <c r="N78" s="57"/>
      <c r="O78" s="67"/>
      <c r="Q78" s="51" t="str">
        <f t="shared" si="37"/>
        <v>Commodities</v>
      </c>
      <c r="R78" s="72">
        <f t="shared" si="38"/>
        <v>2.7855509100830532E-2</v>
      </c>
      <c r="S78" s="52">
        <f t="shared" si="39"/>
        <v>1.2270391047730117E-2</v>
      </c>
      <c r="T78" s="52">
        <f t="shared" si="40"/>
        <v>1.4290963770483174E-2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6.6544331851233277E-2</v>
      </c>
      <c r="C79" s="118">
        <v>1.2932572654746585E-2</v>
      </c>
      <c r="D79" s="119">
        <v>5.2787608598382892E-2</v>
      </c>
      <c r="E79" s="117">
        <v>6.4952403441441653E-2</v>
      </c>
      <c r="F79" s="120">
        <v>8.2258307615868012E-2</v>
      </c>
      <c r="G79" s="2">
        <v>6.241989111752202E-3</v>
      </c>
      <c r="H79" s="2">
        <v>-5.0377700094686728E-2</v>
      </c>
      <c r="I79" s="2">
        <v>3.9417742872504588E-2</v>
      </c>
      <c r="J79" s="2">
        <v>1</v>
      </c>
      <c r="K79" s="2">
        <v>1</v>
      </c>
      <c r="L79" s="2">
        <v>-0.33878850474691996</v>
      </c>
      <c r="M79" s="2">
        <v>1</v>
      </c>
      <c r="N79" s="57"/>
      <c r="O79" s="67"/>
      <c r="Q79" s="51" t="str">
        <f t="shared" si="37"/>
        <v>Hedge funds</v>
      </c>
      <c r="R79" s="72">
        <f t="shared" si="38"/>
        <v>5.2787608598382892E-2</v>
      </c>
      <c r="S79" s="52">
        <f t="shared" si="39"/>
        <v>1.3756723252850385E-2</v>
      </c>
      <c r="T79" s="52">
        <f t="shared" si="40"/>
        <v>1.5713975764634736E-2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0.10181925661329459</v>
      </c>
      <c r="C80" s="122">
        <v>1.247832153766822E-2</v>
      </c>
      <c r="D80" s="123">
        <v>8.8460353189925192E-2</v>
      </c>
      <c r="E80" s="121">
        <v>0.10101773874368976</v>
      </c>
      <c r="F80" s="124">
        <v>0.11585803727025366</v>
      </c>
      <c r="G80" s="65">
        <v>-9.4453713464542101E-3</v>
      </c>
      <c r="H80" s="65">
        <v>-5.1201204907864672E-2</v>
      </c>
      <c r="I80" s="65">
        <v>0.13557227533672675</v>
      </c>
      <c r="J80" s="65">
        <v>0.73665344784850728</v>
      </c>
      <c r="K80" s="65">
        <v>-0.30250173721954288</v>
      </c>
      <c r="L80" s="65">
        <v>1</v>
      </c>
      <c r="M80" s="65">
        <v>0.99999999999999956</v>
      </c>
      <c r="N80" s="66"/>
      <c r="O80" s="67"/>
      <c r="Q80" s="51" t="str">
        <f t="shared" si="37"/>
        <v>Onroerend goed</v>
      </c>
      <c r="R80" s="72">
        <f t="shared" si="38"/>
        <v>8.8460353189925192E-2</v>
      </c>
      <c r="S80" s="52">
        <f t="shared" si="39"/>
        <v>1.33589034233694E-2</v>
      </c>
      <c r="T80" s="52">
        <f t="shared" si="40"/>
        <v>1.4038780656959071E-2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6"/>
  <sheetViews>
    <sheetView zoomScale="85" zoomScaleNormal="85" workbookViewId="0">
      <selection activeCell="P13" sqref="P13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12" style="332" customWidth="1"/>
    <col min="14" max="14" width="9.42578125" style="332" customWidth="1"/>
    <col min="15" max="17" width="9.140625" style="332"/>
    <col min="18" max="18" width="10.85546875" style="332" customWidth="1"/>
    <col min="19" max="21" width="9.140625" style="210"/>
    <col min="22" max="22" width="18.85546875" style="210" bestFit="1" customWidth="1"/>
    <col min="23" max="37" width="9.140625" style="210"/>
    <col min="38" max="16384" width="9.140625" style="332"/>
  </cols>
  <sheetData>
    <row r="1" spans="1:19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9" ht="25.5">
      <c r="A2" s="210"/>
      <c r="B2" s="343" t="s">
        <v>115</v>
      </c>
      <c r="C2" s="317" t="s">
        <v>70</v>
      </c>
      <c r="D2" s="306" t="s">
        <v>112</v>
      </c>
      <c r="E2" s="306" t="s">
        <v>144</v>
      </c>
      <c r="F2" s="306" t="s">
        <v>145</v>
      </c>
      <c r="G2" s="306" t="s">
        <v>113</v>
      </c>
      <c r="H2" s="306" t="s">
        <v>114</v>
      </c>
      <c r="I2" s="306" t="s">
        <v>128</v>
      </c>
      <c r="J2" s="317" t="s">
        <v>130</v>
      </c>
      <c r="L2" s="374" t="s">
        <v>152</v>
      </c>
      <c r="M2" s="375" t="s">
        <v>70</v>
      </c>
      <c r="N2" s="376" t="s">
        <v>112</v>
      </c>
      <c r="O2" s="376" t="s">
        <v>144</v>
      </c>
      <c r="P2" s="376" t="s">
        <v>145</v>
      </c>
      <c r="Q2" s="376" t="s">
        <v>113</v>
      </c>
      <c r="R2" s="376" t="s">
        <v>114</v>
      </c>
      <c r="S2" s="377" t="s">
        <v>128</v>
      </c>
    </row>
    <row r="3" spans="1:19">
      <c r="A3" s="210"/>
      <c r="B3" s="344" t="s">
        <v>4</v>
      </c>
      <c r="C3" s="318">
        <f>Scenarios!C4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-5.8987126880164276E-2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3.8327320576542839E-2</v>
      </c>
      <c r="L3" s="344" t="s">
        <v>4</v>
      </c>
      <c r="M3" s="368">
        <f>C3/$J3</f>
        <v>0</v>
      </c>
      <c r="N3" s="369">
        <f t="shared" ref="N3:N10" si="0">D3/$J3</f>
        <v>-8.4652847686545088E-2</v>
      </c>
      <c r="O3" s="369">
        <f t="shared" ref="O3:O10" si="1">E3/$J3</f>
        <v>-2.8077524301188938E-2</v>
      </c>
      <c r="P3" s="369">
        <f t="shared" ref="P3:P10" si="2">F3/$J3</f>
        <v>-8.9178873557373903E-2</v>
      </c>
      <c r="Q3" s="369">
        <f t="shared" ref="Q3:Q10" si="3">G3/$J3</f>
        <v>-1.5390360190288306</v>
      </c>
      <c r="R3" s="369">
        <f t="shared" ref="R3:R10" si="4">H3/$J3</f>
        <v>-6.8587038946676824</v>
      </c>
      <c r="S3" s="372">
        <f t="shared" ref="S3:S10" si="5">I3/$J3</f>
        <v>-8.4642869564566098E-2</v>
      </c>
    </row>
    <row r="4" spans="1:19">
      <c r="A4" s="210"/>
      <c r="B4" s="344" t="s">
        <v>5</v>
      </c>
      <c r="C4" s="318">
        <f>Scenarios!C5</f>
        <v>0.03</v>
      </c>
      <c r="D4" s="85">
        <f>+Scenarios!C25</f>
        <v>2.821524342416672E-2</v>
      </c>
      <c r="E4" s="85">
        <f>+Scenarios!D25</f>
        <v>-4.3289757138539151E-2</v>
      </c>
      <c r="F4" s="85">
        <f>+Scenarios!E25</f>
        <v>2.8173968116101435E-2</v>
      </c>
      <c r="G4" s="85">
        <f>+Scenarios!F25</f>
        <v>-0.46709405332985687</v>
      </c>
      <c r="H4" s="85">
        <f>+Scenarios!G25</f>
        <v>-0.46905624232985693</v>
      </c>
      <c r="I4" s="85">
        <f>+Scenarios!H25</f>
        <v>0.30101613523680981</v>
      </c>
      <c r="J4" s="318">
        <f>Scenarios!D5</f>
        <v>0.15740402046445473</v>
      </c>
      <c r="L4" s="344" t="s">
        <v>5</v>
      </c>
      <c r="M4" s="368">
        <f t="shared" ref="M4:M10" si="6">C4/$J4</f>
        <v>0.19059233627882241</v>
      </c>
      <c r="N4" s="369">
        <f t="shared" si="0"/>
        <v>0.17925363876292053</v>
      </c>
      <c r="O4" s="369">
        <f t="shared" si="1"/>
        <v>-0.27502319833256689</v>
      </c>
      <c r="P4" s="369">
        <f t="shared" si="2"/>
        <v>0.1789914135164275</v>
      </c>
      <c r="Q4" s="369">
        <f t="shared" si="3"/>
        <v>-2.9674848962027429</v>
      </c>
      <c r="R4" s="369">
        <f t="shared" si="4"/>
        <v>-2.979950835727097</v>
      </c>
      <c r="S4" s="372">
        <f t="shared" si="5"/>
        <v>1.9123789490801846</v>
      </c>
    </row>
    <row r="5" spans="1:19">
      <c r="A5" s="210"/>
      <c r="B5" s="344" t="s">
        <v>6</v>
      </c>
      <c r="C5" s="318">
        <f>Scenarios!C6</f>
        <v>3.1392347703607063E-2</v>
      </c>
      <c r="D5" s="85">
        <f>+Scenarios!C26</f>
        <v>4.9715877116872115E-2</v>
      </c>
      <c r="E5" s="85">
        <f>+Scenarios!D26</f>
        <v>-1.5254735941571146E-2</v>
      </c>
      <c r="F5" s="85">
        <f>+Scenarios!E26</f>
        <v>4.2527479167274736E-2</v>
      </c>
      <c r="G5" s="85">
        <f>+Scenarios!F26</f>
        <v>-0.53388765375707492</v>
      </c>
      <c r="H5" s="85">
        <f>+Scenarios!G26</f>
        <v>-0.40758678794189662</v>
      </c>
      <c r="I5" s="85">
        <f>+Scenarios!H26</f>
        <v>0.26888806032968465</v>
      </c>
      <c r="J5" s="318">
        <f>Scenarios!D6</f>
        <v>0.16055565886911449</v>
      </c>
      <c r="L5" s="344" t="s">
        <v>6</v>
      </c>
      <c r="M5" s="368">
        <f t="shared" si="6"/>
        <v>0.19552314708009269</v>
      </c>
      <c r="N5" s="369">
        <f t="shared" si="0"/>
        <v>0.30964886237613504</v>
      </c>
      <c r="O5" s="369">
        <f t="shared" si="1"/>
        <v>-9.5012135037898959E-2</v>
      </c>
      <c r="P5" s="369">
        <f t="shared" si="2"/>
        <v>0.26487686243400038</v>
      </c>
      <c r="Q5" s="369">
        <f t="shared" si="3"/>
        <v>-3.3252496829918772</v>
      </c>
      <c r="R5" s="369">
        <f t="shared" si="4"/>
        <v>-2.5386011979444634</v>
      </c>
      <c r="S5" s="372">
        <f t="shared" si="5"/>
        <v>1.6747342462023285</v>
      </c>
    </row>
    <row r="6" spans="1:19">
      <c r="A6" s="210"/>
      <c r="B6" s="344" t="s">
        <v>7</v>
      </c>
      <c r="C6" s="318">
        <f>Scenarios!C7</f>
        <v>5.5586945104648379E-2</v>
      </c>
      <c r="D6" s="85">
        <f>+Scenarios!C27</f>
        <v>-1.8932480826239766E-2</v>
      </c>
      <c r="E6" s="85">
        <f>+Scenarios!D27</f>
        <v>-0.18637839848821813</v>
      </c>
      <c r="F6" s="85">
        <f>+Scenarios!E27</f>
        <v>3.3016877644366754E-2</v>
      </c>
      <c r="G6" s="85">
        <f>+Scenarios!F27</f>
        <v>-0.63662140327632288</v>
      </c>
      <c r="H6" s="85">
        <f>+Scenarios!G27</f>
        <v>-0.50223026172585394</v>
      </c>
      <c r="I6" s="85">
        <f>+Scenarios!H27</f>
        <v>0.34216639060226639</v>
      </c>
      <c r="J6" s="318">
        <f>Scenarios!D7</f>
        <v>0.28482723462884557</v>
      </c>
      <c r="L6" s="344" t="s">
        <v>7</v>
      </c>
      <c r="M6" s="368">
        <f t="shared" si="6"/>
        <v>0.19516021765644342</v>
      </c>
      <c r="N6" s="369">
        <f t="shared" si="0"/>
        <v>-6.6470051050105589E-2</v>
      </c>
      <c r="O6" s="369">
        <f t="shared" si="1"/>
        <v>-0.65435595978413108</v>
      </c>
      <c r="P6" s="369">
        <f t="shared" si="2"/>
        <v>0.11591896290181165</v>
      </c>
      <c r="Q6" s="369">
        <f t="shared" si="3"/>
        <v>-2.2351142232093619</v>
      </c>
      <c r="R6" s="369">
        <f t="shared" si="4"/>
        <v>-1.7632803351136812</v>
      </c>
      <c r="S6" s="372">
        <f t="shared" si="5"/>
        <v>1.2013120551766712</v>
      </c>
    </row>
    <row r="7" spans="1:19">
      <c r="A7" s="210"/>
      <c r="B7" s="344" t="s">
        <v>8</v>
      </c>
      <c r="C7" s="318">
        <f>Scenarios!C8</f>
        <v>5.4126209330308192E-2</v>
      </c>
      <c r="D7" s="85">
        <f>+Scenarios!C28</f>
        <v>7.6891594824893134E-2</v>
      </c>
      <c r="E7" s="85">
        <f>+Scenarios!D28</f>
        <v>-1.5041633078088965E-2</v>
      </c>
      <c r="F7" s="85">
        <f>+Scenarios!E28</f>
        <v>7.4724436355395413E-2</v>
      </c>
      <c r="G7" s="85">
        <f>+Scenarios!F28</f>
        <v>-0.38154687800334713</v>
      </c>
      <c r="H7" s="85">
        <f>+Scenarios!G28</f>
        <v>-0.22652606438744602</v>
      </c>
      <c r="I7" s="85">
        <f>+Scenarios!H28</f>
        <v>0.43818723932566084</v>
      </c>
      <c r="J7" s="318">
        <f>Scenarios!D8</f>
        <v>0.29086830436352928</v>
      </c>
      <c r="L7" s="344" t="s">
        <v>8</v>
      </c>
      <c r="M7" s="368">
        <f t="shared" si="6"/>
        <v>0.18608493437862128</v>
      </c>
      <c r="N7" s="369">
        <f t="shared" si="0"/>
        <v>0.26435192034121902</v>
      </c>
      <c r="O7" s="369">
        <f t="shared" si="1"/>
        <v>-5.171286404341198E-2</v>
      </c>
      <c r="P7" s="369">
        <f t="shared" si="2"/>
        <v>0.25690126849298878</v>
      </c>
      <c r="Q7" s="369">
        <f t="shared" si="3"/>
        <v>-1.3117513055890997</v>
      </c>
      <c r="R7" s="369">
        <f t="shared" si="4"/>
        <v>-0.77879253596614684</v>
      </c>
      <c r="S7" s="372">
        <f t="shared" si="5"/>
        <v>1.5064798493066858</v>
      </c>
    </row>
    <row r="8" spans="1:19">
      <c r="A8" s="210"/>
      <c r="B8" s="344" t="s">
        <v>9</v>
      </c>
      <c r="C8" s="318">
        <f>Scenarios!C9</f>
        <v>5.1749106701455286E-2</v>
      </c>
      <c r="D8" s="85">
        <f>+Scenarios!C29</f>
        <v>2.095392217212597E-2</v>
      </c>
      <c r="E8" s="85">
        <f>+Scenarios!D29</f>
        <v>1.7326163923364224E-2</v>
      </c>
      <c r="F8" s="85">
        <f>+Scenarios!E29</f>
        <v>-3.9001815740357833E-3</v>
      </c>
      <c r="G8" s="85">
        <f>+Scenarios!F29</f>
        <v>-0.39528495301413574</v>
      </c>
      <c r="H8" s="85">
        <f>+Scenarios!G29</f>
        <v>-0.36578625545580234</v>
      </c>
      <c r="I8" s="85">
        <f>+Scenarios!H29</f>
        <v>0.41949577968586427</v>
      </c>
      <c r="J8" s="318">
        <f>Scenarios!D9</f>
        <v>0.32762989319180058</v>
      </c>
      <c r="L8" s="344" t="s">
        <v>9</v>
      </c>
      <c r="M8" s="368">
        <f t="shared" si="6"/>
        <v>0.15794989339132251</v>
      </c>
      <c r="N8" s="369">
        <f t="shared" si="0"/>
        <v>6.3956075460608705E-2</v>
      </c>
      <c r="O8" s="369">
        <f t="shared" si="1"/>
        <v>5.2883342708966941E-2</v>
      </c>
      <c r="P8" s="369">
        <f t="shared" si="2"/>
        <v>-1.1904229910280333E-2</v>
      </c>
      <c r="Q8" s="369">
        <f t="shared" si="3"/>
        <v>-1.2064984338371365</v>
      </c>
      <c r="R8" s="369">
        <f t="shared" si="4"/>
        <v>-1.1164617852549381</v>
      </c>
      <c r="S8" s="372">
        <f t="shared" si="5"/>
        <v>1.280395313135495</v>
      </c>
    </row>
    <row r="9" spans="1:19">
      <c r="A9" s="210"/>
      <c r="B9" s="344" t="s">
        <v>10</v>
      </c>
      <c r="C9" s="318">
        <f>Scenarios!C10</f>
        <v>2.8567108921173753E-2</v>
      </c>
      <c r="D9" s="85">
        <f>+Scenarios!C30</f>
        <v>1.380587420653143E-2</v>
      </c>
      <c r="E9" s="85">
        <f>+Scenarios!D30</f>
        <v>-4.2158606606711446E-2</v>
      </c>
      <c r="F9" s="85">
        <f>+Scenarios!E30</f>
        <v>1.0491043321084678E-2</v>
      </c>
      <c r="G9" s="85">
        <f>+Scenarios!F30</f>
        <v>-0.25764077911990541</v>
      </c>
      <c r="H9" s="85">
        <f>+Scenarios!G30</f>
        <v>-1.27081470544461E-2</v>
      </c>
      <c r="I9" s="85">
        <f>+Scenarios!H30</f>
        <v>0.26865610006004731</v>
      </c>
      <c r="J9" s="318">
        <f>Scenarios!D10</f>
        <v>0.15798659221184908</v>
      </c>
      <c r="L9" s="344" t="s">
        <v>10</v>
      </c>
      <c r="M9" s="368">
        <f t="shared" si="6"/>
        <v>0.18081983110862496</v>
      </c>
      <c r="N9" s="369">
        <f t="shared" si="0"/>
        <v>8.7386366230488149E-2</v>
      </c>
      <c r="O9" s="369">
        <f t="shared" si="1"/>
        <v>-0.26684926876693227</v>
      </c>
      <c r="P9" s="369">
        <f t="shared" si="2"/>
        <v>6.6404643420733545E-2</v>
      </c>
      <c r="Q9" s="369">
        <f t="shared" si="3"/>
        <v>-1.6307762292538532</v>
      </c>
      <c r="R9" s="369">
        <f t="shared" si="4"/>
        <v>-8.0438136404672594E-2</v>
      </c>
      <c r="S9" s="372">
        <f t="shared" si="5"/>
        <v>1.7004993670589343</v>
      </c>
    </row>
    <row r="10" spans="1:19">
      <c r="A10" s="210"/>
      <c r="B10" s="345" t="s">
        <v>11</v>
      </c>
      <c r="C10" s="319">
        <f>Scenarios!C11</f>
        <v>3.8735949538907542E-2</v>
      </c>
      <c r="D10" s="309">
        <f>+Scenarios!C31</f>
        <v>2.0067539862887711E-2</v>
      </c>
      <c r="E10" s="309">
        <f>+Scenarios!D31</f>
        <v>-5.1766673344794997E-2</v>
      </c>
      <c r="F10" s="309">
        <f>+Scenarios!E31</f>
        <v>4.4470055868840348E-2</v>
      </c>
      <c r="G10" s="309">
        <f>+Scenarios!F31</f>
        <v>-0.32705491871314474</v>
      </c>
      <c r="H10" s="309">
        <f>+Scenarios!G31</f>
        <v>-0.17140461936280491</v>
      </c>
      <c r="I10" s="309">
        <f>+Scenarios!H31</f>
        <v>0.40834897941312509</v>
      </c>
      <c r="J10" s="319">
        <f>Scenarios!D11</f>
        <v>0.19621796279766246</v>
      </c>
      <c r="L10" s="345" t="s">
        <v>11</v>
      </c>
      <c r="M10" s="370">
        <f t="shared" si="6"/>
        <v>0.19741286162904248</v>
      </c>
      <c r="N10" s="371">
        <f t="shared" si="0"/>
        <v>0.10227167572614701</v>
      </c>
      <c r="O10" s="371">
        <f t="shared" si="1"/>
        <v>-0.26382229540409691</v>
      </c>
      <c r="P10" s="371">
        <f t="shared" si="2"/>
        <v>0.22663600842037751</v>
      </c>
      <c r="Q10" s="371">
        <f t="shared" si="3"/>
        <v>-1.6667939777277156</v>
      </c>
      <c r="R10" s="371">
        <f t="shared" si="4"/>
        <v>-0.87354193733809804</v>
      </c>
      <c r="S10" s="373">
        <f t="shared" si="5"/>
        <v>2.0810988636866519</v>
      </c>
    </row>
    <row r="11" spans="1:19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53"/>
      <c r="N11" s="338"/>
      <c r="O11" s="338"/>
      <c r="P11" s="338"/>
      <c r="Q11" s="338"/>
      <c r="R11" s="354"/>
    </row>
    <row r="12" spans="1:19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53"/>
      <c r="N12" s="338"/>
      <c r="O12" s="338"/>
      <c r="P12" s="338"/>
      <c r="Q12" s="338"/>
      <c r="R12" s="338"/>
    </row>
    <row r="13" spans="1:19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3"/>
      <c r="N13" s="338"/>
      <c r="O13" s="338"/>
      <c r="P13" s="338"/>
      <c r="Q13" s="338"/>
      <c r="R13" s="338"/>
    </row>
    <row r="14" spans="1:19" ht="15.75">
      <c r="A14" s="210"/>
      <c r="B14" s="320" t="s">
        <v>129</v>
      </c>
      <c r="C14" s="325">
        <f>+Scenarios!B35</f>
        <v>0</v>
      </c>
      <c r="D14" s="312">
        <f>+Scenarios!C35</f>
        <v>1.05981673240912E-2</v>
      </c>
      <c r="E14" s="312">
        <f>+Scenarios!D35</f>
        <v>-2.605059789377169E-2</v>
      </c>
      <c r="F14" s="312">
        <f>+Scenarios!E35</f>
        <v>1.4653632374093999E-2</v>
      </c>
      <c r="G14" s="312">
        <f>+Scenarios!F35</f>
        <v>-0.23547332682230052</v>
      </c>
      <c r="H14" s="312">
        <f>+Scenarios!G35</f>
        <v>-0.30383889875164471</v>
      </c>
      <c r="I14" s="313">
        <f>+Scenarios!H35</f>
        <v>0.1417469319294872</v>
      </c>
      <c r="J14" s="321">
        <f>+Scenarios!I35</f>
        <v>1.05981673240912E-2</v>
      </c>
      <c r="L14" s="210"/>
      <c r="M14" s="353"/>
      <c r="N14" s="338"/>
      <c r="O14" s="338"/>
      <c r="P14" s="338"/>
      <c r="Q14" s="338"/>
      <c r="R14" s="338"/>
    </row>
    <row r="15" spans="1:19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9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</row>
    <row r="19" spans="1:18">
      <c r="A19" s="210"/>
      <c r="B19" s="343" t="s">
        <v>101</v>
      </c>
      <c r="C19" s="317" t="s">
        <v>70</v>
      </c>
      <c r="D19" s="322" t="s">
        <v>112</v>
      </c>
      <c r="E19" s="306" t="s">
        <v>144</v>
      </c>
      <c r="F19" s="306" t="s">
        <v>145</v>
      </c>
      <c r="G19" s="306" t="s">
        <v>113</v>
      </c>
      <c r="H19" s="306" t="s">
        <v>114</v>
      </c>
      <c r="I19" s="307" t="s">
        <v>128</v>
      </c>
      <c r="J19" s="307" t="s">
        <v>143</v>
      </c>
    </row>
    <row r="20" spans="1:18">
      <c r="A20" s="210"/>
      <c r="B20" s="344" t="s">
        <v>4</v>
      </c>
      <c r="C20" s="318">
        <f>'Control panel'!B3</f>
        <v>0.55282478375024968</v>
      </c>
      <c r="D20" s="323">
        <f>'Samenvatting mixen'!B15</f>
        <v>0.57339020469276714</v>
      </c>
      <c r="E20" s="85">
        <f>'Samenvatting mixen'!B26</f>
        <v>0.6187616483707723</v>
      </c>
      <c r="F20" s="85">
        <f>'Samenvatting mixen'!B37</f>
        <v>0.56917562882673234</v>
      </c>
      <c r="G20" s="85">
        <f>'Samenvatting mixen'!B48</f>
        <v>0.64512232819647941</v>
      </c>
      <c r="H20" s="85">
        <f>'Samenvatting mixen'!B59</f>
        <v>0.64585877141725645</v>
      </c>
      <c r="I20" s="308">
        <f>'Samenvatting mixen'!B70</f>
        <v>0.64512232819647941</v>
      </c>
      <c r="J20" s="308">
        <f>'[4]Control panel'!F3</f>
        <v>0.99933044801477622</v>
      </c>
    </row>
    <row r="21" spans="1:18">
      <c r="A21" s="210"/>
      <c r="B21" s="344" t="s">
        <v>5</v>
      </c>
      <c r="C21" s="318">
        <f>'Control panel'!B4</f>
        <v>9.9075500713263709E-2</v>
      </c>
      <c r="D21" s="323">
        <f>'Samenvatting mixen'!B16</f>
        <v>8.517733472513811E-2</v>
      </c>
      <c r="E21" s="85">
        <f>'Samenvatting mixen'!B27</f>
        <v>7.370395134052643E-2</v>
      </c>
      <c r="F21" s="85">
        <f>'Samenvatting mixen'!B38</f>
        <v>8.2778883842798759E-2</v>
      </c>
      <c r="G21" s="85">
        <f>'Samenvatting mixen'!B49</f>
        <v>8.1679007668728598E-2</v>
      </c>
      <c r="H21" s="85">
        <f>'Samenvatting mixen'!B60</f>
        <v>8.5616993213352283E-2</v>
      </c>
      <c r="I21" s="308">
        <f>'Samenvatting mixen'!B71</f>
        <v>8.1679007668728598E-2</v>
      </c>
      <c r="J21" s="308">
        <f>'[4]Control panel'!F4</f>
        <v>5.9498856944343162E-5</v>
      </c>
    </row>
    <row r="22" spans="1:18">
      <c r="A22" s="210"/>
      <c r="B22" s="344" t="s">
        <v>6</v>
      </c>
      <c r="C22" s="318">
        <f>'Control panel'!B5</f>
        <v>9.346901390128548E-2</v>
      </c>
      <c r="D22" s="323">
        <f>'Samenvatting mixen'!B17</f>
        <v>0.10002617308854149</v>
      </c>
      <c r="E22" s="85">
        <f>'Samenvatting mixen'!B28</f>
        <v>8.7666145424869751E-2</v>
      </c>
      <c r="F22" s="85">
        <f>'Samenvatting mixen'!B39</f>
        <v>9.7281153771637929E-2</v>
      </c>
      <c r="G22" s="85">
        <f>'Samenvatting mixen'!B50</f>
        <v>7.7862828569804726E-2</v>
      </c>
      <c r="H22" s="85">
        <f>'Samenvatting mixen'!B61</f>
        <v>7.6577965529641134E-2</v>
      </c>
      <c r="I22" s="308">
        <f>'Samenvatting mixen'!B72</f>
        <v>7.7862828569804726E-2</v>
      </c>
      <c r="J22" s="308">
        <f>'[4]Control panel'!F5</f>
        <v>8.6775571303158883E-5</v>
      </c>
    </row>
    <row r="23" spans="1:18">
      <c r="A23" s="210"/>
      <c r="B23" s="344" t="s">
        <v>7</v>
      </c>
      <c r="C23" s="318">
        <f>'Control panel'!B6</f>
        <v>0.11036511115690795</v>
      </c>
      <c r="D23" s="323">
        <f>'Samenvatting mixen'!B18</f>
        <v>8.6256782361480502E-2</v>
      </c>
      <c r="E23" s="85">
        <f>'Samenvatting mixen'!B29</f>
        <v>8.010001294145376E-2</v>
      </c>
      <c r="F23" s="85">
        <f>'Samenvatting mixen'!B40</f>
        <v>9.7869964316561572E-2</v>
      </c>
      <c r="G23" s="85">
        <f>'Samenvatting mixen'!B51</f>
        <v>8.1614199194517276E-2</v>
      </c>
      <c r="H23" s="85">
        <f>'Samenvatting mixen'!B62</f>
        <v>8.0645447923746602E-2</v>
      </c>
      <c r="I23" s="308">
        <f>'Samenvatting mixen'!B73</f>
        <v>8.1614199194517276E-2</v>
      </c>
      <c r="J23" s="308">
        <f>'[4]Control panel'!F6</f>
        <v>3.3196657987390124E-5</v>
      </c>
    </row>
    <row r="24" spans="1:18">
      <c r="A24" s="210"/>
      <c r="B24" s="344" t="s">
        <v>8</v>
      </c>
      <c r="C24" s="318">
        <f>'Control panel'!B7</f>
        <v>4.9724653199130588E-2</v>
      </c>
      <c r="D24" s="323">
        <f>'Samenvatting mixen'!B19</f>
        <v>6.6248653389072085E-2</v>
      </c>
      <c r="E24" s="85">
        <f>'Samenvatting mixen'!B30</f>
        <v>4.9999036120677569E-2</v>
      </c>
      <c r="F24" s="85">
        <f>'Samenvatting mixen'!B41</f>
        <v>6.648673890640365E-2</v>
      </c>
      <c r="G24" s="85">
        <f>'Samenvatting mixen'!B52</f>
        <v>3.0227444774883386E-2</v>
      </c>
      <c r="H24" s="85">
        <f>'Samenvatting mixen'!B63</f>
        <v>2.8294315542892062E-2</v>
      </c>
      <c r="I24" s="308">
        <f>'Samenvatting mixen'!B74</f>
        <v>3.0227444774883386E-2</v>
      </c>
      <c r="J24" s="308">
        <f>'[4]Control panel'!F7</f>
        <v>4.8644439396432552E-5</v>
      </c>
    </row>
    <row r="25" spans="1:18">
      <c r="A25" s="210"/>
      <c r="B25" s="344" t="s">
        <v>9</v>
      </c>
      <c r="C25" s="318">
        <f>'Control panel'!B8</f>
        <v>1.9027140584823948E-2</v>
      </c>
      <c r="D25" s="323">
        <f>'Samenvatting mixen'!B20</f>
        <v>1.7105799751665905E-2</v>
      </c>
      <c r="E25" s="85">
        <f>'Samenvatting mixen'!B31</f>
        <v>1.9314474619697278E-2</v>
      </c>
      <c r="F25" s="85">
        <f>'Samenvatting mixen'!B42</f>
        <v>1.5037148867129702E-2</v>
      </c>
      <c r="G25" s="85">
        <f>'Samenvatting mixen'!B53</f>
        <v>1.3485293149846511E-2</v>
      </c>
      <c r="H25" s="85">
        <f>'Samenvatting mixen'!B64</f>
        <v>1.3130379922207476E-2</v>
      </c>
      <c r="I25" s="308">
        <f>'Samenvatting mixen'!B75</f>
        <v>1.3485293149846511E-2</v>
      </c>
      <c r="J25" s="308">
        <f>'[4]Control panel'!F8</f>
        <v>2.3467442398853234E-4</v>
      </c>
    </row>
    <row r="26" spans="1:18">
      <c r="A26" s="210"/>
      <c r="B26" s="344" t="s">
        <v>10</v>
      </c>
      <c r="C26" s="318">
        <f>'Control panel'!B9</f>
        <v>3.0988823352997075E-2</v>
      </c>
      <c r="D26" s="323">
        <f>'Samenvatting mixen'!B21</f>
        <v>2.8385429599375185E-2</v>
      </c>
      <c r="E26" s="85">
        <f>'Samenvatting mixen'!B32</f>
        <v>2.7597379256667377E-2</v>
      </c>
      <c r="F26" s="85">
        <f>'Samenvatting mixen'!B43</f>
        <v>2.6982990988087412E-2</v>
      </c>
      <c r="G26" s="85">
        <f>'Samenvatting mixen'!B54</f>
        <v>2.8327145377825311E-2</v>
      </c>
      <c r="H26" s="85">
        <f>'Samenvatting mixen'!B65</f>
        <v>2.8127895474526422E-2</v>
      </c>
      <c r="I26" s="308">
        <f>'Samenvatting mixen'!B76</f>
        <v>2.8327145377825311E-2</v>
      </c>
      <c r="J26" s="308">
        <f>'[4]Control panel'!F9</f>
        <v>1.5994064696340217E-4</v>
      </c>
    </row>
    <row r="27" spans="1:18">
      <c r="A27" s="210"/>
      <c r="B27" s="345" t="s">
        <v>11</v>
      </c>
      <c r="C27" s="319">
        <f>'Control panel'!B10</f>
        <v>4.4524973341341555E-2</v>
      </c>
      <c r="D27" s="324">
        <f>'Samenvatting mixen'!B22</f>
        <v>4.3409622391959328E-2</v>
      </c>
      <c r="E27" s="309">
        <f>'Samenvatting mixen'!B33</f>
        <v>4.2857351925335192E-2</v>
      </c>
      <c r="F27" s="309">
        <f>'Samenvatting mixen'!B44</f>
        <v>4.4387490480648294E-2</v>
      </c>
      <c r="G27" s="309">
        <f>'Samenvatting mixen'!B55</f>
        <v>4.1681753067914426E-2</v>
      </c>
      <c r="H27" s="309">
        <f>'Samenvatting mixen'!B66</f>
        <v>4.1748230976377837E-2</v>
      </c>
      <c r="I27" s="310">
        <f>'Samenvatting mixen'!B77</f>
        <v>4.1681753067914426E-2</v>
      </c>
      <c r="J27" s="310">
        <f>'[4]Control panel'!F10</f>
        <v>4.6821388640572115E-5</v>
      </c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 t="s">
        <v>148</v>
      </c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343" t="s">
        <v>101</v>
      </c>
      <c r="C33" s="317" t="s">
        <v>70</v>
      </c>
      <c r="D33" s="322" t="s">
        <v>112</v>
      </c>
      <c r="E33" s="306" t="s">
        <v>144</v>
      </c>
      <c r="F33" s="306" t="s">
        <v>145</v>
      </c>
      <c r="G33" s="306" t="s">
        <v>113</v>
      </c>
      <c r="H33" s="306" t="s">
        <v>114</v>
      </c>
      <c r="I33" s="307" t="s">
        <v>128</v>
      </c>
      <c r="J33" s="307" t="s">
        <v>143</v>
      </c>
      <c r="L33" s="210"/>
      <c r="M33" s="210"/>
      <c r="N33" s="210"/>
      <c r="O33" s="210"/>
      <c r="P33" s="210"/>
      <c r="Q33" s="210"/>
      <c r="R33" s="210"/>
    </row>
    <row r="34" spans="1:18">
      <c r="A34" s="210"/>
      <c r="B34" s="344" t="s">
        <v>4</v>
      </c>
      <c r="C34" s="318">
        <v>0.55779999999999996</v>
      </c>
      <c r="D34" s="323">
        <v>0.56946385134450428</v>
      </c>
      <c r="E34" s="85">
        <v>0.64174428248915993</v>
      </c>
      <c r="F34" s="85">
        <v>0.56511590199812245</v>
      </c>
      <c r="G34" s="85">
        <v>0.64798739085364554</v>
      </c>
      <c r="H34" s="85">
        <v>0.64786206627590559</v>
      </c>
      <c r="I34" s="308">
        <v>0.64798739085364554</v>
      </c>
      <c r="J34" s="308">
        <v>0.99933044801477622</v>
      </c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44" t="s">
        <v>5</v>
      </c>
      <c r="C35" s="318">
        <v>9.6799999999999997E-2</v>
      </c>
      <c r="D35" s="323">
        <v>7.2554279577182065E-2</v>
      </c>
      <c r="E35" s="85">
        <v>5.8539302607585372E-2</v>
      </c>
      <c r="F35" s="85">
        <v>7.4170258385967677E-2</v>
      </c>
      <c r="G35" s="85">
        <v>7.7541409885007434E-2</v>
      </c>
      <c r="H35" s="85">
        <v>8.1579920234732303E-2</v>
      </c>
      <c r="I35" s="308">
        <v>7.7541409885007434E-2</v>
      </c>
      <c r="J35" s="308">
        <v>5.9498856944343162E-5</v>
      </c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44" t="s">
        <v>6</v>
      </c>
      <c r="C36" s="318">
        <v>9.3899999999999997E-2</v>
      </c>
      <c r="D36" s="323">
        <v>0.10001253130681856</v>
      </c>
      <c r="E36" s="85">
        <v>6.7645072291634592E-2</v>
      </c>
      <c r="F36" s="85">
        <v>0.1052495412268097</v>
      </c>
      <c r="G36" s="85">
        <v>7.176070583906223E-2</v>
      </c>
      <c r="H36" s="85">
        <v>6.8703264264969505E-2</v>
      </c>
      <c r="I36" s="308">
        <v>7.176070583906223E-2</v>
      </c>
      <c r="J36" s="308">
        <v>8.6775571303158883E-5</v>
      </c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44" t="s">
        <v>7</v>
      </c>
      <c r="C37" s="318">
        <v>0.105</v>
      </c>
      <c r="D37" s="323">
        <v>7.7901114063665067E-2</v>
      </c>
      <c r="E37" s="85">
        <v>7.692137205281982E-2</v>
      </c>
      <c r="F37" s="85">
        <v>7.9294936900000335E-2</v>
      </c>
      <c r="G37" s="85">
        <v>7.7773493877471414E-2</v>
      </c>
      <c r="H37" s="85">
        <v>7.7834344589231386E-2</v>
      </c>
      <c r="I37" s="308">
        <v>7.7773493877471414E-2</v>
      </c>
      <c r="J37" s="308">
        <v>3.3196657987390124E-5</v>
      </c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44" t="s">
        <v>8</v>
      </c>
      <c r="C38" s="318">
        <v>5.0299999999999997E-2</v>
      </c>
      <c r="D38" s="323">
        <v>8.2880748401822385E-2</v>
      </c>
      <c r="E38" s="85">
        <v>5.7962495252792262E-2</v>
      </c>
      <c r="F38" s="85">
        <v>7.898188618309146E-2</v>
      </c>
      <c r="G38" s="85">
        <v>2.7749524238805254E-2</v>
      </c>
      <c r="H38" s="85">
        <v>2.6832929329152298E-2</v>
      </c>
      <c r="I38" s="308">
        <v>2.7749524238805254E-2</v>
      </c>
      <c r="J38" s="308">
        <v>4.8644439396432552E-5</v>
      </c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44" t="s">
        <v>9</v>
      </c>
      <c r="C39" s="318">
        <v>1.9699999999999999E-2</v>
      </c>
      <c r="D39" s="323">
        <v>1.9999999999999751E-2</v>
      </c>
      <c r="E39" s="85">
        <v>1.9999999999999751E-2</v>
      </c>
      <c r="F39" s="85">
        <v>1.9999999999999751E-2</v>
      </c>
      <c r="G39" s="85">
        <v>1.9999999999999751E-2</v>
      </c>
      <c r="H39" s="85">
        <v>1.9999999999999751E-2</v>
      </c>
      <c r="I39" s="308">
        <v>1.9999999999999751E-2</v>
      </c>
      <c r="J39" s="308">
        <v>2.3467442398853234E-4</v>
      </c>
      <c r="L39" s="210"/>
      <c r="M39" s="210"/>
      <c r="N39" s="210"/>
      <c r="O39" s="210"/>
      <c r="P39" s="210"/>
      <c r="Q39" s="210"/>
      <c r="R39" s="210"/>
    </row>
    <row r="40" spans="1:18">
      <c r="A40" s="210"/>
      <c r="B40" s="344" t="s">
        <v>10</v>
      </c>
      <c r="C40" s="318">
        <v>3.09E-2</v>
      </c>
      <c r="D40" s="323">
        <v>3.1019975297702843E-2</v>
      </c>
      <c r="E40" s="85">
        <v>3.1019975297702843E-2</v>
      </c>
      <c r="F40" s="85">
        <v>3.1019975297702843E-2</v>
      </c>
      <c r="G40" s="85">
        <v>3.1019975297702843E-2</v>
      </c>
      <c r="H40" s="85">
        <v>3.1019975297702843E-2</v>
      </c>
      <c r="I40" s="308">
        <v>3.1019975297702843E-2</v>
      </c>
      <c r="J40" s="308">
        <v>1.5994064696340217E-4</v>
      </c>
      <c r="L40" s="210"/>
      <c r="M40" s="210"/>
      <c r="N40" s="210"/>
      <c r="O40" s="210"/>
      <c r="P40" s="210"/>
      <c r="Q40" s="210"/>
      <c r="R40" s="210"/>
    </row>
    <row r="41" spans="1:18">
      <c r="A41" s="210"/>
      <c r="B41" s="345" t="s">
        <v>11</v>
      </c>
      <c r="C41" s="319">
        <v>4.5699999999999998E-2</v>
      </c>
      <c r="D41" s="324">
        <v>4.6167500008305204E-2</v>
      </c>
      <c r="E41" s="309">
        <v>4.6167500008305204E-2</v>
      </c>
      <c r="F41" s="309">
        <v>4.6167500008305204E-2</v>
      </c>
      <c r="G41" s="309">
        <v>4.6167500008305204E-2</v>
      </c>
      <c r="H41" s="309">
        <v>4.6167500008305204E-2</v>
      </c>
      <c r="I41" s="310">
        <v>4.6167500008305204E-2</v>
      </c>
      <c r="J41" s="310">
        <v>4.6821388640572115E-5</v>
      </c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343" t="s">
        <v>101</v>
      </c>
      <c r="C45" s="317" t="s">
        <v>70</v>
      </c>
      <c r="D45" s="322" t="s">
        <v>112</v>
      </c>
      <c r="E45" s="306" t="s">
        <v>144</v>
      </c>
      <c r="F45" s="306" t="s">
        <v>145</v>
      </c>
      <c r="G45" s="306" t="s">
        <v>113</v>
      </c>
      <c r="H45" s="306" t="s">
        <v>114</v>
      </c>
      <c r="I45" s="307" t="s">
        <v>128</v>
      </c>
      <c r="J45" s="307" t="s">
        <v>143</v>
      </c>
      <c r="L45" s="210"/>
      <c r="M45" s="210"/>
      <c r="N45" s="210"/>
      <c r="O45" s="210"/>
      <c r="P45" s="210"/>
      <c r="Q45" s="210"/>
      <c r="R45" s="210"/>
    </row>
    <row r="46" spans="1:18">
      <c r="A46" s="210"/>
      <c r="B46" s="344" t="s">
        <v>4</v>
      </c>
      <c r="C46" s="318">
        <f>'Control panel'!B3</f>
        <v>0.55282478375024968</v>
      </c>
      <c r="D46" s="323">
        <f t="shared" ref="D46:J53" si="7">D20-D34</f>
        <v>3.9263533482628565E-3</v>
      </c>
      <c r="E46" s="85">
        <f t="shared" si="7"/>
        <v>-2.2982634118387635E-2</v>
      </c>
      <c r="F46" s="85">
        <f t="shared" si="7"/>
        <v>4.0597268286098886E-3</v>
      </c>
      <c r="G46" s="85">
        <f t="shared" si="7"/>
        <v>-2.8650626571661286E-3</v>
      </c>
      <c r="H46" s="85">
        <f t="shared" si="7"/>
        <v>-2.0032948586491406E-3</v>
      </c>
      <c r="I46" s="308">
        <f t="shared" si="7"/>
        <v>-2.8650626571661286E-3</v>
      </c>
      <c r="J46" s="308">
        <f t="shared" si="7"/>
        <v>0</v>
      </c>
      <c r="L46" s="210"/>
      <c r="M46" s="210"/>
      <c r="N46" s="210"/>
      <c r="O46" s="210"/>
      <c r="P46" s="210"/>
      <c r="Q46" s="210"/>
      <c r="R46" s="210"/>
    </row>
    <row r="47" spans="1:18">
      <c r="A47" s="210"/>
      <c r="B47" s="344" t="s">
        <v>5</v>
      </c>
      <c r="C47" s="318">
        <f>'Control panel'!B4</f>
        <v>9.9075500713263709E-2</v>
      </c>
      <c r="D47" s="323">
        <f t="shared" si="7"/>
        <v>1.2623055147956044E-2</v>
      </c>
      <c r="E47" s="85">
        <f t="shared" si="7"/>
        <v>1.5164648732941058E-2</v>
      </c>
      <c r="F47" s="85">
        <f t="shared" si="7"/>
        <v>8.6086254568310816E-3</v>
      </c>
      <c r="G47" s="85">
        <f t="shared" si="7"/>
        <v>4.1375977837211642E-3</v>
      </c>
      <c r="H47" s="85">
        <f t="shared" si="7"/>
        <v>4.0370729786199794E-3</v>
      </c>
      <c r="I47" s="308">
        <f t="shared" si="7"/>
        <v>4.1375977837211642E-3</v>
      </c>
      <c r="J47" s="308">
        <f t="shared" si="7"/>
        <v>0</v>
      </c>
      <c r="L47" s="210"/>
      <c r="M47" s="210"/>
      <c r="N47" s="210"/>
      <c r="O47" s="210"/>
      <c r="P47" s="210"/>
      <c r="Q47" s="210"/>
      <c r="R47" s="210"/>
    </row>
    <row r="48" spans="1:18">
      <c r="A48" s="210"/>
      <c r="B48" s="344" t="s">
        <v>6</v>
      </c>
      <c r="C48" s="318">
        <f>'Control panel'!B5</f>
        <v>9.346901390128548E-2</v>
      </c>
      <c r="D48" s="323">
        <f t="shared" si="7"/>
        <v>1.3641781722931179E-5</v>
      </c>
      <c r="E48" s="85">
        <f t="shared" si="7"/>
        <v>2.0021073133235159E-2</v>
      </c>
      <c r="F48" s="85">
        <f t="shared" si="7"/>
        <v>-7.9683874551717687E-3</v>
      </c>
      <c r="G48" s="85">
        <f t="shared" si="7"/>
        <v>6.1021227307424958E-3</v>
      </c>
      <c r="H48" s="85">
        <f t="shared" si="7"/>
        <v>7.8747012646716297E-3</v>
      </c>
      <c r="I48" s="308">
        <f t="shared" si="7"/>
        <v>6.1021227307424958E-3</v>
      </c>
      <c r="J48" s="308">
        <f t="shared" si="7"/>
        <v>0</v>
      </c>
      <c r="L48" s="210"/>
      <c r="M48" s="210"/>
      <c r="N48" s="210"/>
      <c r="O48" s="210"/>
      <c r="P48" s="210"/>
      <c r="Q48" s="210"/>
      <c r="R48" s="210"/>
    </row>
    <row r="49" spans="1:18">
      <c r="A49" s="210"/>
      <c r="B49" s="344" t="s">
        <v>7</v>
      </c>
      <c r="C49" s="318">
        <f>'Control panel'!B6</f>
        <v>0.11036511115690795</v>
      </c>
      <c r="D49" s="323">
        <f t="shared" si="7"/>
        <v>8.3556682978154356E-3</v>
      </c>
      <c r="E49" s="85">
        <f t="shared" si="7"/>
        <v>3.1786408886339407E-3</v>
      </c>
      <c r="F49" s="85">
        <f t="shared" si="7"/>
        <v>1.8575027416561238E-2</v>
      </c>
      <c r="G49" s="85">
        <f t="shared" si="7"/>
        <v>3.8407053170458616E-3</v>
      </c>
      <c r="H49" s="85">
        <f t="shared" si="7"/>
        <v>2.8111033345152164E-3</v>
      </c>
      <c r="I49" s="308">
        <f t="shared" si="7"/>
        <v>3.8407053170458616E-3</v>
      </c>
      <c r="J49" s="308">
        <f t="shared" si="7"/>
        <v>0</v>
      </c>
      <c r="L49" s="210"/>
      <c r="M49" s="210"/>
      <c r="N49" s="210"/>
      <c r="O49" s="210"/>
      <c r="P49" s="210"/>
      <c r="Q49" s="210"/>
      <c r="R49" s="210"/>
    </row>
    <row r="50" spans="1:18">
      <c r="A50" s="210"/>
      <c r="B50" s="344" t="s">
        <v>8</v>
      </c>
      <c r="C50" s="318">
        <f>'Control panel'!B7</f>
        <v>4.9724653199130588E-2</v>
      </c>
      <c r="D50" s="323">
        <f>D24-D38</f>
        <v>-1.66320950127503E-2</v>
      </c>
      <c r="E50" s="85">
        <f t="shared" si="7"/>
        <v>-7.9634591321146933E-3</v>
      </c>
      <c r="F50" s="85">
        <f t="shared" si="7"/>
        <v>-1.249514727668781E-2</v>
      </c>
      <c r="G50" s="85">
        <f t="shared" si="7"/>
        <v>2.4779205360781313E-3</v>
      </c>
      <c r="H50" s="85">
        <f t="shared" si="7"/>
        <v>1.461386213739764E-3</v>
      </c>
      <c r="I50" s="308">
        <f t="shared" si="7"/>
        <v>2.4779205360781313E-3</v>
      </c>
      <c r="J50" s="308">
        <f t="shared" si="7"/>
        <v>0</v>
      </c>
      <c r="L50" s="210"/>
      <c r="M50" s="210"/>
      <c r="N50" s="210"/>
      <c r="O50" s="210"/>
      <c r="P50" s="210"/>
      <c r="Q50" s="210"/>
      <c r="R50" s="210"/>
    </row>
    <row r="51" spans="1:18">
      <c r="A51" s="210"/>
      <c r="B51" s="344" t="s">
        <v>9</v>
      </c>
      <c r="C51" s="318">
        <f>'Control panel'!B8</f>
        <v>1.9027140584823948E-2</v>
      </c>
      <c r="D51" s="323">
        <f t="shared" si="7"/>
        <v>-2.8942002483338461E-3</v>
      </c>
      <c r="E51" s="85">
        <f t="shared" si="7"/>
        <v>-6.8552538030247287E-4</v>
      </c>
      <c r="F51" s="85">
        <f t="shared" si="7"/>
        <v>-4.9628511328700491E-3</v>
      </c>
      <c r="G51" s="85">
        <f t="shared" si="7"/>
        <v>-6.5147068501532398E-3</v>
      </c>
      <c r="H51" s="85">
        <f t="shared" si="7"/>
        <v>-6.8696200777922743E-3</v>
      </c>
      <c r="I51" s="308">
        <f t="shared" si="7"/>
        <v>-6.5147068501532398E-3</v>
      </c>
      <c r="J51" s="308">
        <f t="shared" si="7"/>
        <v>0</v>
      </c>
      <c r="L51" s="210"/>
      <c r="M51" s="210"/>
      <c r="N51" s="210"/>
      <c r="O51" s="210"/>
      <c r="P51" s="210"/>
      <c r="Q51" s="210"/>
      <c r="R51" s="210"/>
    </row>
    <row r="52" spans="1:18">
      <c r="A52" s="210"/>
      <c r="B52" s="344" t="s">
        <v>10</v>
      </c>
      <c r="C52" s="318">
        <f>'Control panel'!B9</f>
        <v>3.0988823352997075E-2</v>
      </c>
      <c r="D52" s="323">
        <f t="shared" si="7"/>
        <v>-2.6345456983276581E-3</v>
      </c>
      <c r="E52" s="85">
        <f t="shared" si="7"/>
        <v>-3.4225960410354667E-3</v>
      </c>
      <c r="F52" s="85">
        <f t="shared" si="7"/>
        <v>-4.0369843096154309E-3</v>
      </c>
      <c r="G52" s="85">
        <f t="shared" si="7"/>
        <v>-2.6928299198775325E-3</v>
      </c>
      <c r="H52" s="85">
        <f t="shared" si="7"/>
        <v>-2.8920798231764216E-3</v>
      </c>
      <c r="I52" s="308">
        <f t="shared" si="7"/>
        <v>-2.6928299198775325E-3</v>
      </c>
      <c r="J52" s="308">
        <f t="shared" si="7"/>
        <v>0</v>
      </c>
      <c r="L52" s="210"/>
      <c r="M52" s="210"/>
      <c r="N52" s="210"/>
      <c r="O52" s="210"/>
      <c r="P52" s="210"/>
      <c r="Q52" s="210"/>
      <c r="R52" s="210"/>
    </row>
    <row r="53" spans="1:18">
      <c r="A53" s="210"/>
      <c r="B53" s="345" t="s">
        <v>11</v>
      </c>
      <c r="C53" s="319">
        <f>'Control panel'!B10</f>
        <v>4.4524973341341555E-2</v>
      </c>
      <c r="D53" s="324">
        <f t="shared" si="7"/>
        <v>-2.757877616345876E-3</v>
      </c>
      <c r="E53" s="309">
        <f t="shared" si="7"/>
        <v>-3.3101480829700117E-3</v>
      </c>
      <c r="F53" s="309">
        <f t="shared" si="7"/>
        <v>-1.7800095276569103E-3</v>
      </c>
      <c r="G53" s="309">
        <f t="shared" si="7"/>
        <v>-4.4857469403907779E-3</v>
      </c>
      <c r="H53" s="309">
        <f t="shared" si="7"/>
        <v>-4.419269031927367E-3</v>
      </c>
      <c r="I53" s="310">
        <f t="shared" si="7"/>
        <v>-4.4857469403907779E-3</v>
      </c>
      <c r="J53" s="310">
        <f t="shared" si="7"/>
        <v>0</v>
      </c>
      <c r="L53" s="210"/>
      <c r="M53" s="210"/>
      <c r="N53" s="210"/>
      <c r="O53" s="210"/>
      <c r="P53" s="210"/>
      <c r="Q53" s="210"/>
      <c r="R53" s="210"/>
    </row>
    <row r="54" spans="1:18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  <c r="N54" s="210"/>
      <c r="O54" s="210"/>
      <c r="P54" s="210"/>
      <c r="Q54" s="210"/>
      <c r="R54" s="210"/>
    </row>
    <row r="55" spans="1:18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L55" s="210"/>
      <c r="M55" s="210"/>
      <c r="N55" s="210"/>
      <c r="O55" s="210"/>
      <c r="P55" s="210"/>
      <c r="Q55" s="210"/>
      <c r="R55" s="210"/>
    </row>
    <row r="56" spans="1:18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L56" s="210"/>
      <c r="M56" s="210"/>
      <c r="N56" s="210"/>
      <c r="O56" s="210"/>
      <c r="P56" s="210"/>
      <c r="Q56" s="210"/>
      <c r="R56" s="210"/>
    </row>
    <row r="57" spans="1:18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L57" s="210"/>
      <c r="M57" s="210"/>
      <c r="N57" s="210"/>
      <c r="O57" s="210"/>
      <c r="P57" s="210"/>
      <c r="Q57" s="210"/>
      <c r="R57" s="210"/>
    </row>
    <row r="58" spans="1:18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L58" s="210"/>
      <c r="M58" s="210"/>
      <c r="N58" s="210"/>
      <c r="O58" s="210"/>
      <c r="P58" s="210"/>
      <c r="Q58" s="210"/>
      <c r="R58" s="210"/>
    </row>
    <row r="59" spans="1:18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A62" s="210"/>
      <c r="B62" s="343" t="s">
        <v>101</v>
      </c>
      <c r="C62" s="317" t="s">
        <v>70</v>
      </c>
      <c r="D62" s="210"/>
      <c r="E62" s="322" t="s">
        <v>112</v>
      </c>
      <c r="F62" s="317" t="s">
        <v>146</v>
      </c>
      <c r="G62" s="210"/>
      <c r="H62" s="322" t="s">
        <v>145</v>
      </c>
      <c r="I62" s="317" t="s">
        <v>146</v>
      </c>
      <c r="J62" s="210"/>
      <c r="L62" s="210"/>
      <c r="M62" s="210"/>
      <c r="N62" s="210"/>
      <c r="O62" s="210"/>
      <c r="P62" s="210"/>
      <c r="Q62" s="210"/>
      <c r="R62" s="210"/>
    </row>
    <row r="63" spans="1:18">
      <c r="A63" s="210"/>
      <c r="B63" s="344" t="s">
        <v>4</v>
      </c>
      <c r="C63" s="318">
        <f>'Control panel'!B3</f>
        <v>0.55282478375024968</v>
      </c>
      <c r="D63" s="210"/>
      <c r="E63" s="323">
        <f>'Samenvatting mixen'!B15</f>
        <v>0.57339020469276714</v>
      </c>
      <c r="F63" s="318">
        <f>E63-C63</f>
        <v>2.0565420942517454E-2</v>
      </c>
      <c r="G63" s="210"/>
      <c r="H63" s="323">
        <f>'Samenvatting mixen'!B37</f>
        <v>0.56917562882673234</v>
      </c>
      <c r="I63" s="318">
        <f>H63-C63</f>
        <v>1.6350845076482656E-2</v>
      </c>
      <c r="J63" s="210"/>
      <c r="L63" s="210"/>
      <c r="M63" s="210"/>
      <c r="N63" s="210"/>
      <c r="O63" s="210"/>
      <c r="P63" s="210"/>
      <c r="Q63" s="210"/>
      <c r="R63" s="210"/>
    </row>
    <row r="64" spans="1:18">
      <c r="A64" s="210"/>
      <c r="B64" s="344" t="s">
        <v>5</v>
      </c>
      <c r="C64" s="318">
        <f>'Control panel'!B4</f>
        <v>9.9075500713263709E-2</v>
      </c>
      <c r="D64" s="210"/>
      <c r="E64" s="323">
        <f>'Samenvatting mixen'!B16</f>
        <v>8.517733472513811E-2</v>
      </c>
      <c r="F64" s="318">
        <f t="shared" ref="F64:F70" si="8">E64-C64</f>
        <v>-1.3898165988125599E-2</v>
      </c>
      <c r="G64" s="210"/>
      <c r="H64" s="323">
        <f>'Samenvatting mixen'!B38</f>
        <v>8.2778883842798759E-2</v>
      </c>
      <c r="I64" s="318">
        <f t="shared" ref="I64:I70" si="9">H64-C64</f>
        <v>-1.629661687046495E-2</v>
      </c>
      <c r="J64" s="210"/>
      <c r="L64" s="210"/>
      <c r="M64" s="210"/>
      <c r="N64" s="210"/>
      <c r="O64" s="210"/>
      <c r="P64" s="210"/>
      <c r="Q64" s="210"/>
      <c r="R64" s="210"/>
    </row>
    <row r="65" spans="1:18">
      <c r="A65" s="210"/>
      <c r="B65" s="344" t="s">
        <v>6</v>
      </c>
      <c r="C65" s="318">
        <f>'Control panel'!B5</f>
        <v>9.346901390128548E-2</v>
      </c>
      <c r="D65" s="210"/>
      <c r="E65" s="323">
        <f>'Samenvatting mixen'!B17</f>
        <v>0.10002617308854149</v>
      </c>
      <c r="F65" s="318">
        <f t="shared" si="8"/>
        <v>6.5571591872560092E-3</v>
      </c>
      <c r="G65" s="210"/>
      <c r="H65" s="323">
        <f>'Samenvatting mixen'!B39</f>
        <v>9.7281153771637929E-2</v>
      </c>
      <c r="I65" s="318">
        <f t="shared" si="9"/>
        <v>3.8121398703524489E-3</v>
      </c>
      <c r="J65" s="210"/>
      <c r="L65" s="210"/>
      <c r="M65" s="210"/>
      <c r="N65" s="210"/>
      <c r="O65" s="210"/>
      <c r="P65" s="210"/>
      <c r="Q65" s="210"/>
      <c r="R65" s="210"/>
    </row>
    <row r="66" spans="1:18">
      <c r="A66" s="210"/>
      <c r="B66" s="344" t="s">
        <v>7</v>
      </c>
      <c r="C66" s="318">
        <f>'Control panel'!B6</f>
        <v>0.11036511115690795</v>
      </c>
      <c r="D66" s="210"/>
      <c r="E66" s="323">
        <f>'Samenvatting mixen'!B18</f>
        <v>8.6256782361480502E-2</v>
      </c>
      <c r="F66" s="318">
        <f t="shared" si="8"/>
        <v>-2.4108328795427444E-2</v>
      </c>
      <c r="G66" s="210"/>
      <c r="H66" s="323">
        <f>'Samenvatting mixen'!B40</f>
        <v>9.7869964316561572E-2</v>
      </c>
      <c r="I66" s="318">
        <f t="shared" si="9"/>
        <v>-1.2495146840346374E-2</v>
      </c>
      <c r="J66" s="210"/>
      <c r="L66" s="210"/>
      <c r="M66" s="210"/>
      <c r="N66" s="210"/>
      <c r="O66" s="210"/>
      <c r="P66" s="210"/>
      <c r="Q66" s="210"/>
      <c r="R66" s="210"/>
    </row>
    <row r="67" spans="1:18">
      <c r="A67" s="210"/>
      <c r="B67" s="344" t="s">
        <v>8</v>
      </c>
      <c r="C67" s="318">
        <f>'Control panel'!B7</f>
        <v>4.9724653199130588E-2</v>
      </c>
      <c r="D67" s="210"/>
      <c r="E67" s="323">
        <f>'Samenvatting mixen'!B19</f>
        <v>6.6248653389072085E-2</v>
      </c>
      <c r="F67" s="318">
        <f t="shared" si="8"/>
        <v>1.6524000189941497E-2</v>
      </c>
      <c r="G67" s="210"/>
      <c r="H67" s="323">
        <f>'Samenvatting mixen'!B41</f>
        <v>6.648673890640365E-2</v>
      </c>
      <c r="I67" s="318">
        <f t="shared" si="9"/>
        <v>1.6762085707273063E-2</v>
      </c>
      <c r="J67" s="210"/>
      <c r="L67" s="210"/>
      <c r="M67" s="210"/>
      <c r="N67" s="210"/>
      <c r="O67" s="210"/>
      <c r="P67" s="210"/>
      <c r="Q67" s="210"/>
      <c r="R67" s="210"/>
    </row>
    <row r="68" spans="1:18">
      <c r="A68" s="210"/>
      <c r="B68" s="344" t="s">
        <v>9</v>
      </c>
      <c r="C68" s="318">
        <f>'Control panel'!B8</f>
        <v>1.9027140584823948E-2</v>
      </c>
      <c r="D68" s="210"/>
      <c r="E68" s="323">
        <f>'Samenvatting mixen'!B20</f>
        <v>1.7105799751665905E-2</v>
      </c>
      <c r="F68" s="318">
        <f t="shared" si="8"/>
        <v>-1.9213408331580431E-3</v>
      </c>
      <c r="G68" s="210"/>
      <c r="H68" s="323">
        <f>'Samenvatting mixen'!B42</f>
        <v>1.5037148867129702E-2</v>
      </c>
      <c r="I68" s="318">
        <f t="shared" si="9"/>
        <v>-3.9899917176942461E-3</v>
      </c>
      <c r="J68" s="210"/>
      <c r="L68" s="210"/>
      <c r="M68" s="210"/>
      <c r="N68" s="210"/>
      <c r="O68" s="210"/>
      <c r="P68" s="210"/>
      <c r="Q68" s="210"/>
      <c r="R68" s="210"/>
    </row>
    <row r="69" spans="1:18">
      <c r="A69" s="210"/>
      <c r="B69" s="344" t="s">
        <v>10</v>
      </c>
      <c r="C69" s="318">
        <f>'Control panel'!B9</f>
        <v>3.0988823352997075E-2</v>
      </c>
      <c r="D69" s="210"/>
      <c r="E69" s="323">
        <f>'Samenvatting mixen'!B21</f>
        <v>2.8385429599375185E-2</v>
      </c>
      <c r="F69" s="318">
        <f t="shared" si="8"/>
        <v>-2.6033937536218896E-3</v>
      </c>
      <c r="G69" s="210"/>
      <c r="H69" s="323">
        <f>'Samenvatting mixen'!B43</f>
        <v>2.6982990988087412E-2</v>
      </c>
      <c r="I69" s="318">
        <f t="shared" si="9"/>
        <v>-4.0058323649096624E-3</v>
      </c>
      <c r="J69" s="210"/>
      <c r="L69" s="210"/>
      <c r="M69" s="210"/>
      <c r="N69" s="210"/>
      <c r="O69" s="210"/>
      <c r="P69" s="210"/>
      <c r="Q69" s="210"/>
      <c r="R69" s="210"/>
    </row>
    <row r="70" spans="1:18">
      <c r="A70" s="210"/>
      <c r="B70" s="345" t="s">
        <v>11</v>
      </c>
      <c r="C70" s="319">
        <f>'Control panel'!B10</f>
        <v>4.4524973341341555E-2</v>
      </c>
      <c r="D70" s="210"/>
      <c r="E70" s="324">
        <f>'Samenvatting mixen'!B22</f>
        <v>4.3409622391959328E-2</v>
      </c>
      <c r="F70" s="319">
        <f t="shared" si="8"/>
        <v>-1.1153509493822267E-3</v>
      </c>
      <c r="G70" s="210"/>
      <c r="H70" s="324">
        <f>'Samenvatting mixen'!B44</f>
        <v>4.4387490480648294E-2</v>
      </c>
      <c r="I70" s="319">
        <f t="shared" si="9"/>
        <v>-1.3748286069326099E-4</v>
      </c>
      <c r="J70" s="210"/>
      <c r="L70" s="210"/>
      <c r="M70" s="210"/>
      <c r="N70" s="210"/>
      <c r="O70" s="210"/>
      <c r="P70" s="210"/>
      <c r="Q70" s="210"/>
      <c r="R70" s="210"/>
    </row>
    <row r="71" spans="1:18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  <c r="N71" s="210"/>
      <c r="O71" s="210"/>
      <c r="P71" s="210"/>
      <c r="Q71" s="210"/>
      <c r="R71" s="210"/>
    </row>
    <row r="72" spans="1:18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  <c r="N72" s="210"/>
      <c r="O72" s="210"/>
      <c r="P72" s="210"/>
      <c r="Q72" s="210"/>
      <c r="R72" s="210"/>
    </row>
    <row r="73" spans="1:18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  <c r="N73" s="210"/>
      <c r="O73" s="210"/>
      <c r="P73" s="210"/>
      <c r="Q73" s="210"/>
      <c r="R73" s="210"/>
    </row>
    <row r="74" spans="1:18">
      <c r="A74" s="210"/>
      <c r="B74" s="343" t="s">
        <v>149</v>
      </c>
      <c r="C74" s="366" t="s">
        <v>70</v>
      </c>
      <c r="D74" s="366" t="s">
        <v>91</v>
      </c>
      <c r="E74" s="366" t="s">
        <v>92</v>
      </c>
      <c r="F74" s="366" t="s">
        <v>150</v>
      </c>
      <c r="G74" s="366" t="s">
        <v>151</v>
      </c>
      <c r="H74" s="210"/>
      <c r="I74" s="210"/>
      <c r="J74" s="210"/>
      <c r="L74" s="210"/>
      <c r="M74" s="210"/>
      <c r="N74" s="210"/>
      <c r="O74" s="210"/>
      <c r="P74" s="210"/>
      <c r="Q74" s="210"/>
      <c r="R74" s="210"/>
    </row>
    <row r="75" spans="1:18">
      <c r="A75" s="210"/>
      <c r="B75" s="344" t="s">
        <v>4</v>
      </c>
      <c r="C75" s="318">
        <f>'Control panel'!B3</f>
        <v>0.55282478375024968</v>
      </c>
      <c r="D75" s="318">
        <f>'Control panel'!C3</f>
        <v>0.55000000000000004</v>
      </c>
      <c r="E75" s="318">
        <f>'Control panel'!D3</f>
        <v>0.65</v>
      </c>
      <c r="F75" s="318">
        <f>'Control panel'!F3</f>
        <v>0.57339020469276714</v>
      </c>
      <c r="G75" s="318">
        <f>'Control panel'!G3</f>
        <v>2.0565420942517454E-2</v>
      </c>
      <c r="H75" s="210"/>
      <c r="I75" s="210"/>
      <c r="J75" s="210"/>
      <c r="L75" s="210"/>
      <c r="M75" s="210"/>
      <c r="N75" s="210"/>
      <c r="O75" s="210"/>
      <c r="P75" s="210"/>
      <c r="Q75" s="210"/>
      <c r="R75" s="210"/>
    </row>
    <row r="76" spans="1:18">
      <c r="A76" s="210"/>
      <c r="B76" s="344" t="s">
        <v>5</v>
      </c>
      <c r="C76" s="318">
        <f>'Control panel'!B4</f>
        <v>9.9075500713263709E-2</v>
      </c>
      <c r="D76" s="318">
        <f>'Control panel'!C4</f>
        <v>0.05</v>
      </c>
      <c r="E76" s="318">
        <f>'Control panel'!D4</f>
        <v>0.15</v>
      </c>
      <c r="F76" s="318">
        <f>'Control panel'!F4</f>
        <v>8.517733472513811E-2</v>
      </c>
      <c r="G76" s="318">
        <f>'Control panel'!G4</f>
        <v>-1.3898165988125599E-2</v>
      </c>
      <c r="H76" s="210"/>
      <c r="I76" s="210"/>
      <c r="J76" s="210"/>
      <c r="L76" s="210"/>
      <c r="M76" s="210"/>
      <c r="N76" s="210"/>
      <c r="O76" s="210"/>
      <c r="P76" s="210"/>
      <c r="Q76" s="210"/>
      <c r="R76" s="210"/>
    </row>
    <row r="77" spans="1:18">
      <c r="A77" s="210"/>
      <c r="B77" s="344" t="s">
        <v>6</v>
      </c>
      <c r="C77" s="318">
        <f>'Control panel'!B5</f>
        <v>9.346901390128548E-2</v>
      </c>
      <c r="D77" s="318">
        <f>'Control panel'!C5</f>
        <v>0.05</v>
      </c>
      <c r="E77" s="318">
        <f>'Control panel'!D5</f>
        <v>0.15</v>
      </c>
      <c r="F77" s="318">
        <f>'Control panel'!F5</f>
        <v>0.10002617308854149</v>
      </c>
      <c r="G77" s="318">
        <f>'Control panel'!G5</f>
        <v>6.5571591872560092E-3</v>
      </c>
      <c r="H77" s="210"/>
      <c r="I77" s="210"/>
      <c r="J77" s="210"/>
      <c r="L77" s="210"/>
      <c r="M77" s="210"/>
      <c r="N77" s="210"/>
      <c r="O77" s="210"/>
      <c r="P77" s="210"/>
      <c r="Q77" s="210"/>
      <c r="R77" s="210"/>
    </row>
    <row r="78" spans="1:18">
      <c r="A78" s="210"/>
      <c r="B78" s="344" t="s">
        <v>7</v>
      </c>
      <c r="C78" s="318">
        <f>'Control panel'!B6</f>
        <v>0.11036511115690795</v>
      </c>
      <c r="D78" s="318">
        <f>'Control panel'!C6</f>
        <v>7.4999999999999997E-2</v>
      </c>
      <c r="E78" s="318">
        <f>'Control panel'!D6</f>
        <v>0.3</v>
      </c>
      <c r="F78" s="318">
        <f>'Control panel'!F6</f>
        <v>8.6256782361480502E-2</v>
      </c>
      <c r="G78" s="318">
        <f>'Control panel'!G6</f>
        <v>-2.4108328795427444E-2</v>
      </c>
      <c r="H78" s="210"/>
      <c r="I78" s="210"/>
      <c r="J78" s="210"/>
      <c r="L78" s="210"/>
      <c r="M78" s="210"/>
      <c r="N78" s="210"/>
      <c r="O78" s="210"/>
      <c r="P78" s="210"/>
      <c r="Q78" s="210"/>
      <c r="R78" s="210"/>
    </row>
    <row r="79" spans="1:18">
      <c r="A79" s="210"/>
      <c r="B79" s="344" t="s">
        <v>8</v>
      </c>
      <c r="C79" s="318">
        <f>'Control panel'!B7</f>
        <v>4.9724653199130588E-2</v>
      </c>
      <c r="D79" s="318">
        <f>'Control panel'!C7</f>
        <v>2.5000000000000001E-2</v>
      </c>
      <c r="E79" s="318">
        <f>'Control panel'!D7</f>
        <v>0.1</v>
      </c>
      <c r="F79" s="318">
        <f>'Control panel'!F7</f>
        <v>6.6248653389072085E-2</v>
      </c>
      <c r="G79" s="318">
        <f>'Control panel'!G7</f>
        <v>1.6524000189941497E-2</v>
      </c>
      <c r="H79" s="210"/>
      <c r="I79" s="210"/>
      <c r="J79" s="210"/>
      <c r="L79" s="210"/>
      <c r="M79" s="210"/>
      <c r="N79" s="210"/>
      <c r="O79" s="210"/>
      <c r="P79" s="210"/>
      <c r="Q79" s="210"/>
      <c r="R79" s="210"/>
    </row>
    <row r="80" spans="1:18">
      <c r="A80" s="210"/>
      <c r="B80" s="344" t="s">
        <v>9</v>
      </c>
      <c r="C80" s="318">
        <f>'Control panel'!B8</f>
        <v>1.9027140584823948E-2</v>
      </c>
      <c r="D80" s="318">
        <f>'Control panel'!C8</f>
        <v>0.01</v>
      </c>
      <c r="E80" s="318">
        <f>'Control panel'!D8</f>
        <v>0.03</v>
      </c>
      <c r="F80" s="318">
        <f>'Control panel'!F8</f>
        <v>1.7105799751665905E-2</v>
      </c>
      <c r="G80" s="318">
        <f>'Control panel'!G8</f>
        <v>-1.9213408331580431E-3</v>
      </c>
      <c r="H80" s="210"/>
      <c r="I80" s="210"/>
      <c r="J80" s="210"/>
      <c r="L80" s="210"/>
      <c r="M80" s="210"/>
      <c r="N80" s="210"/>
      <c r="O80" s="210"/>
      <c r="P80" s="210"/>
      <c r="Q80" s="210"/>
      <c r="R80" s="210"/>
    </row>
    <row r="81" spans="1:18">
      <c r="A81" s="210"/>
      <c r="B81" s="344" t="s">
        <v>10</v>
      </c>
      <c r="C81" s="318">
        <f>'Control panel'!B9</f>
        <v>3.0988823352997075E-2</v>
      </c>
      <c r="D81" s="318">
        <f>'Control panel'!C9</f>
        <v>0.02</v>
      </c>
      <c r="E81" s="318">
        <f>'Control panel'!D9</f>
        <v>0.04</v>
      </c>
      <c r="F81" s="318">
        <f>'Control panel'!F9</f>
        <v>2.8385429599375185E-2</v>
      </c>
      <c r="G81" s="318">
        <f>'Control panel'!G9</f>
        <v>-2.6033937536218896E-3</v>
      </c>
      <c r="H81" s="210"/>
      <c r="I81" s="210"/>
      <c r="J81" s="210"/>
      <c r="L81" s="210"/>
      <c r="M81" s="210"/>
      <c r="N81" s="210"/>
      <c r="O81" s="210"/>
      <c r="P81" s="210"/>
      <c r="Q81" s="210"/>
      <c r="R81" s="210"/>
    </row>
    <row r="82" spans="1:18">
      <c r="A82" s="210"/>
      <c r="B82" s="345" t="s">
        <v>11</v>
      </c>
      <c r="C82" s="319">
        <f>'Control panel'!B10</f>
        <v>4.4524973341341555E-2</v>
      </c>
      <c r="D82" s="319">
        <f>'Control panel'!C10</f>
        <v>3.5000000000000003E-2</v>
      </c>
      <c r="E82" s="319">
        <f>'Control panel'!D10</f>
        <v>5.5E-2</v>
      </c>
      <c r="F82" s="319">
        <f>'Control panel'!F10</f>
        <v>4.3409622391959328E-2</v>
      </c>
      <c r="G82" s="319">
        <f>'Control panel'!G10</f>
        <v>-1.1153509493822267E-3</v>
      </c>
      <c r="H82" s="210"/>
      <c r="I82" s="210"/>
      <c r="J82" s="210"/>
      <c r="L82" s="210"/>
      <c r="M82" s="210"/>
      <c r="N82" s="210"/>
      <c r="O82" s="210"/>
      <c r="P82" s="210"/>
      <c r="Q82" s="210"/>
      <c r="R82" s="210"/>
    </row>
    <row r="83" spans="1:18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L83" s="210"/>
      <c r="M83" s="210"/>
      <c r="N83" s="210"/>
      <c r="O83" s="210"/>
      <c r="P83" s="210"/>
      <c r="Q83" s="210"/>
      <c r="R83" s="210"/>
    </row>
    <row r="84" spans="1:18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L84" s="210"/>
      <c r="M84" s="210"/>
      <c r="N84" s="210"/>
      <c r="O84" s="210"/>
      <c r="P84" s="210"/>
      <c r="Q84" s="210"/>
      <c r="R84" s="210"/>
    </row>
    <row r="85" spans="1:18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L85" s="210"/>
      <c r="M85" s="210"/>
      <c r="N85" s="210"/>
      <c r="O85" s="210"/>
      <c r="P85" s="210"/>
      <c r="Q85" s="210"/>
      <c r="R85" s="210"/>
    </row>
    <row r="86" spans="1:18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L86" s="210"/>
      <c r="M86" s="210"/>
      <c r="N86" s="210"/>
      <c r="O86" s="210"/>
      <c r="P86" s="210"/>
      <c r="Q86" s="210"/>
      <c r="R86" s="210"/>
    </row>
    <row r="87" spans="1:18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L87" s="210"/>
      <c r="M87" s="210"/>
      <c r="N87" s="210"/>
      <c r="O87" s="210"/>
      <c r="P87" s="210"/>
      <c r="Q87" s="210"/>
      <c r="R87" s="210"/>
    </row>
    <row r="88" spans="1:18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L88" s="210"/>
      <c r="M88" s="210"/>
      <c r="N88" s="210"/>
      <c r="O88" s="210"/>
      <c r="P88" s="210"/>
      <c r="Q88" s="210"/>
      <c r="R88" s="210"/>
    </row>
    <row r="89" spans="1:18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L89" s="210"/>
      <c r="M89" s="210"/>
      <c r="N89" s="210"/>
      <c r="O89" s="210"/>
      <c r="P89" s="210"/>
      <c r="Q89" s="210"/>
      <c r="R89" s="210"/>
    </row>
    <row r="90" spans="1:18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L90" s="210"/>
      <c r="M90" s="210"/>
      <c r="N90" s="210"/>
      <c r="O90" s="210"/>
      <c r="P90" s="210"/>
      <c r="Q90" s="210"/>
      <c r="R90" s="210"/>
    </row>
    <row r="91" spans="1:18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L91" s="210"/>
      <c r="M91" s="210"/>
      <c r="N91" s="210"/>
      <c r="O91" s="210"/>
      <c r="P91" s="210"/>
      <c r="Q91" s="210"/>
      <c r="R91" s="210"/>
    </row>
    <row r="92" spans="1:18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L92" s="210"/>
      <c r="M92" s="210"/>
      <c r="N92" s="210"/>
      <c r="O92" s="210"/>
      <c r="P92" s="210"/>
      <c r="Q92" s="210"/>
      <c r="R92" s="210"/>
    </row>
    <row r="93" spans="1:18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L93" s="210"/>
      <c r="M93" s="210"/>
      <c r="N93" s="210"/>
      <c r="O93" s="210"/>
      <c r="P93" s="210"/>
      <c r="Q93" s="210"/>
      <c r="R93" s="210"/>
    </row>
    <row r="94" spans="1:18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L94" s="210"/>
      <c r="M94" s="210"/>
      <c r="N94" s="210"/>
      <c r="O94" s="210"/>
      <c r="P94" s="210"/>
      <c r="Q94" s="210"/>
      <c r="R94" s="210"/>
    </row>
    <row r="95" spans="1:18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L95" s="210"/>
      <c r="M95" s="210"/>
      <c r="N95" s="210"/>
      <c r="O95" s="210"/>
      <c r="P95" s="210"/>
      <c r="Q95" s="210"/>
      <c r="R95" s="210"/>
    </row>
    <row r="96" spans="1:18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L96" s="210"/>
      <c r="M96" s="210"/>
      <c r="N96" s="210"/>
      <c r="O96" s="210"/>
      <c r="P96" s="210"/>
      <c r="Q96" s="210"/>
      <c r="R96" s="210"/>
    </row>
    <row r="97" spans="1:18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L97" s="210"/>
      <c r="M97" s="210"/>
      <c r="N97" s="210"/>
      <c r="O97" s="210"/>
      <c r="P97" s="210"/>
      <c r="Q97" s="210"/>
      <c r="R97" s="210"/>
    </row>
    <row r="98" spans="1:18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L98" s="210"/>
      <c r="M98" s="210"/>
      <c r="N98" s="210"/>
      <c r="O98" s="210"/>
      <c r="P98" s="210"/>
      <c r="Q98" s="210"/>
      <c r="R98" s="210"/>
    </row>
    <row r="99" spans="1:18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L99" s="210"/>
      <c r="M99" s="210"/>
      <c r="N99" s="210"/>
      <c r="O99" s="210"/>
      <c r="P99" s="210"/>
      <c r="Q99" s="210"/>
      <c r="R99" s="210"/>
    </row>
    <row r="100" spans="1:18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L100" s="210"/>
      <c r="M100" s="210"/>
      <c r="N100" s="210"/>
      <c r="O100" s="210"/>
      <c r="P100" s="210"/>
      <c r="Q100" s="210"/>
      <c r="R100" s="210"/>
    </row>
    <row r="101" spans="1:18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L101" s="210"/>
      <c r="M101" s="210"/>
      <c r="N101" s="210"/>
      <c r="O101" s="210"/>
      <c r="P101" s="210"/>
      <c r="Q101" s="210"/>
      <c r="R101" s="210"/>
    </row>
    <row r="102" spans="1:18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L102" s="210"/>
      <c r="M102" s="210"/>
      <c r="N102" s="210"/>
      <c r="O102" s="210"/>
      <c r="P102" s="210"/>
      <c r="Q102" s="210"/>
      <c r="R102" s="210"/>
    </row>
    <row r="103" spans="1:18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L103" s="210"/>
      <c r="M103" s="210"/>
      <c r="N103" s="210"/>
      <c r="O103" s="210"/>
      <c r="P103" s="210"/>
      <c r="Q103" s="210"/>
      <c r="R103" s="210"/>
    </row>
    <row r="104" spans="1:18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L104" s="210"/>
      <c r="M104" s="210"/>
      <c r="N104" s="210"/>
      <c r="O104" s="210"/>
      <c r="P104" s="210"/>
      <c r="Q104" s="210"/>
      <c r="R104" s="210"/>
    </row>
    <row r="105" spans="1:18">
      <c r="O105" s="210"/>
      <c r="P105" s="210"/>
      <c r="Q105" s="210"/>
      <c r="R105" s="210"/>
    </row>
    <row r="106" spans="1:18">
      <c r="O106" s="210"/>
      <c r="P106" s="210"/>
      <c r="Q106" s="210"/>
      <c r="R106" s="210"/>
    </row>
    <row r="107" spans="1:18">
      <c r="O107" s="210"/>
      <c r="P107" s="210"/>
      <c r="Q107" s="210"/>
      <c r="R107" s="210"/>
    </row>
    <row r="108" spans="1:18">
      <c r="O108" s="210"/>
      <c r="P108" s="210"/>
      <c r="Q108" s="210"/>
      <c r="R108" s="210"/>
    </row>
    <row r="109" spans="1:18">
      <c r="O109" s="210"/>
      <c r="P109" s="210"/>
      <c r="Q109" s="210"/>
      <c r="R109" s="210"/>
    </row>
    <row r="110" spans="1:18">
      <c r="O110" s="210"/>
      <c r="P110" s="210"/>
      <c r="Q110" s="210"/>
      <c r="R110" s="210"/>
    </row>
    <row r="111" spans="1:18">
      <c r="O111" s="210"/>
      <c r="P111" s="210"/>
      <c r="Q111" s="210"/>
      <c r="R111" s="210"/>
    </row>
    <row r="112" spans="1:18">
      <c r="O112" s="210"/>
      <c r="P112" s="210"/>
      <c r="Q112" s="210"/>
      <c r="R112" s="210"/>
    </row>
    <row r="113" spans="15:18">
      <c r="O113" s="210"/>
      <c r="P113" s="210"/>
      <c r="Q113" s="210"/>
      <c r="R113" s="210"/>
    </row>
    <row r="114" spans="15:18">
      <c r="O114" s="210"/>
      <c r="P114" s="210"/>
      <c r="Q114" s="210"/>
      <c r="R114" s="210"/>
    </row>
    <row r="115" spans="15:18">
      <c r="O115" s="210"/>
      <c r="P115" s="210"/>
      <c r="Q115" s="210"/>
      <c r="R115" s="210"/>
    </row>
    <row r="116" spans="15:18">
      <c r="O116" s="210"/>
      <c r="P116" s="210"/>
      <c r="Q116" s="210"/>
      <c r="R116" s="210"/>
    </row>
    <row r="117" spans="15:18">
      <c r="O117" s="210"/>
      <c r="P117" s="210"/>
      <c r="Q117" s="210"/>
      <c r="R117" s="210"/>
    </row>
    <row r="118" spans="15:18">
      <c r="O118" s="210"/>
      <c r="P118" s="210"/>
      <c r="Q118" s="210"/>
      <c r="R118" s="210"/>
    </row>
    <row r="119" spans="15:18">
      <c r="O119" s="210"/>
      <c r="P119" s="210"/>
      <c r="Q119" s="210"/>
      <c r="R119" s="210"/>
    </row>
    <row r="120" spans="15:18">
      <c r="O120" s="210"/>
      <c r="P120" s="210"/>
      <c r="Q120" s="210"/>
      <c r="R120" s="210"/>
    </row>
    <row r="121" spans="15:18">
      <c r="O121" s="210"/>
      <c r="P121" s="210"/>
      <c r="Q121" s="210"/>
      <c r="R121" s="210"/>
    </row>
    <row r="122" spans="15:18">
      <c r="O122" s="210"/>
      <c r="P122" s="210"/>
      <c r="Q122" s="210"/>
      <c r="R122" s="210"/>
    </row>
    <row r="123" spans="15:18">
      <c r="O123" s="210"/>
      <c r="P123" s="210"/>
      <c r="Q123" s="210"/>
      <c r="R123" s="210"/>
    </row>
    <row r="124" spans="15:18">
      <c r="O124" s="210"/>
      <c r="P124" s="210"/>
      <c r="Q124" s="210"/>
      <c r="R124" s="210"/>
    </row>
    <row r="125" spans="15:18">
      <c r="O125" s="210"/>
      <c r="P125" s="210"/>
      <c r="Q125" s="210"/>
      <c r="R125" s="210"/>
    </row>
    <row r="190" spans="2:15">
      <c r="B190" s="210"/>
      <c r="C190" s="210"/>
      <c r="D190" s="210"/>
      <c r="E190" s="210"/>
      <c r="F190" s="210"/>
      <c r="G190" s="210"/>
      <c r="H190" s="210"/>
      <c r="I190" s="210"/>
      <c r="J190" s="210"/>
      <c r="L190" s="210"/>
      <c r="M190" s="210"/>
      <c r="N190" s="210"/>
      <c r="O190" s="210"/>
    </row>
    <row r="191" spans="2:15">
      <c r="B191" s="210"/>
      <c r="C191" s="210"/>
      <c r="D191" s="210"/>
      <c r="E191" s="210"/>
      <c r="F191" s="210"/>
      <c r="G191" s="210"/>
      <c r="H191" s="210"/>
      <c r="I191" s="210"/>
      <c r="J191" s="210"/>
      <c r="L191" s="210"/>
      <c r="M191" s="210"/>
      <c r="N191" s="210"/>
      <c r="O191" s="210"/>
    </row>
    <row r="192" spans="2:15">
      <c r="B192" s="210"/>
      <c r="C192" s="210"/>
      <c r="D192" s="210"/>
      <c r="E192" s="210"/>
      <c r="F192" s="210"/>
      <c r="G192" s="210"/>
      <c r="H192" s="210"/>
      <c r="I192" s="210"/>
      <c r="J192" s="210"/>
      <c r="L192" s="210"/>
      <c r="M192" s="210"/>
      <c r="N192" s="210"/>
      <c r="O192" s="210"/>
    </row>
    <row r="193" spans="2:15">
      <c r="B193" s="210"/>
      <c r="C193" s="210"/>
      <c r="D193" s="210"/>
      <c r="E193" s="210"/>
      <c r="F193" s="210"/>
      <c r="G193" s="210"/>
      <c r="H193" s="210"/>
      <c r="I193" s="210"/>
      <c r="J193" s="210"/>
      <c r="L193" s="210"/>
      <c r="M193" s="210"/>
      <c r="N193" s="210"/>
      <c r="O193" s="210"/>
    </row>
    <row r="194" spans="2:15">
      <c r="B194" s="210"/>
      <c r="C194" s="210"/>
      <c r="D194" s="403" t="s">
        <v>133</v>
      </c>
      <c r="E194" s="404"/>
      <c r="F194" s="403" t="s">
        <v>132</v>
      </c>
      <c r="G194" s="404"/>
      <c r="H194" s="404"/>
      <c r="I194" s="405"/>
      <c r="J194" s="210"/>
      <c r="L194" s="210"/>
      <c r="M194" s="210"/>
      <c r="N194" s="210"/>
      <c r="O194" s="210"/>
    </row>
    <row r="195" spans="2:15" ht="51.75">
      <c r="B195" s="210"/>
      <c r="C195" s="314"/>
      <c r="D195" s="328" t="s">
        <v>134</v>
      </c>
      <c r="E195" s="329" t="s">
        <v>135</v>
      </c>
      <c r="F195" s="329"/>
      <c r="G195" s="329"/>
      <c r="H195" s="328" t="s">
        <v>137</v>
      </c>
      <c r="I195" s="329" t="s">
        <v>136</v>
      </c>
      <c r="J195" s="307" t="s">
        <v>138</v>
      </c>
      <c r="K195" s="336" t="s">
        <v>139</v>
      </c>
      <c r="L195" s="336" t="s">
        <v>140</v>
      </c>
      <c r="M195" s="210"/>
      <c r="N195" s="210"/>
      <c r="O195" s="210"/>
    </row>
    <row r="196" spans="2:15">
      <c r="B196" s="210"/>
      <c r="C196" s="315" t="s">
        <v>4</v>
      </c>
      <c r="D196" s="337">
        <v>4.4499999999999998E-2</v>
      </c>
      <c r="E196" s="337">
        <v>9.3000000000000096E-3</v>
      </c>
      <c r="F196" s="85"/>
      <c r="G196" s="85"/>
      <c r="H196" s="337">
        <v>-8.7300000000000003E-2</v>
      </c>
      <c r="I196" s="337">
        <f>+Scenarios!C24</f>
        <v>-3.2445168309994665E-3</v>
      </c>
      <c r="J196" s="339">
        <v>0.1023</v>
      </c>
      <c r="K196" s="340">
        <f t="shared" ref="K196:K203" si="10">+H196/J196</f>
        <v>-0.85337243401759533</v>
      </c>
      <c r="L196" s="331">
        <f t="shared" ref="L196:L203" si="11">+I196/J196</f>
        <v>-3.1715707047893123E-2</v>
      </c>
      <c r="M196" s="210"/>
      <c r="N196" s="210"/>
      <c r="O196" s="210"/>
    </row>
    <row r="197" spans="2:15">
      <c r="B197" s="210"/>
      <c r="C197" s="315" t="s">
        <v>5</v>
      </c>
      <c r="D197" s="318">
        <v>8.5371817899603325E-2</v>
      </c>
      <c r="E197" s="318">
        <v>5.6265360838678849E-2</v>
      </c>
      <c r="F197" s="85"/>
      <c r="G197" s="85"/>
      <c r="H197" s="318">
        <v>-4.6468851830414513E-2</v>
      </c>
      <c r="I197" s="318">
        <f>+Scenarios!C25</f>
        <v>2.821524342416672E-2</v>
      </c>
      <c r="J197" s="318">
        <f t="shared" ref="J197:J203" si="12">+J4</f>
        <v>0.15740402046445473</v>
      </c>
      <c r="K197" s="341">
        <f t="shared" si="10"/>
        <v>-0.29522023448510448</v>
      </c>
      <c r="L197" s="331">
        <f t="shared" si="11"/>
        <v>0.17925363876292053</v>
      </c>
      <c r="M197" s="210"/>
      <c r="N197" s="210"/>
      <c r="O197" s="210"/>
    </row>
    <row r="198" spans="2:15">
      <c r="B198" s="210"/>
      <c r="C198" s="315" t="s">
        <v>6</v>
      </c>
      <c r="D198" s="318">
        <v>0.14294511515742836</v>
      </c>
      <c r="E198" s="318">
        <v>4.8236186870114238E-2</v>
      </c>
      <c r="F198" s="85"/>
      <c r="G198" s="85"/>
      <c r="H198" s="318">
        <v>1.1104445427410514E-2</v>
      </c>
      <c r="I198" s="318">
        <f>+Scenarios!C26</f>
        <v>4.9715877116872115E-2</v>
      </c>
      <c r="J198" s="318">
        <f t="shared" si="12"/>
        <v>0.16055565886911449</v>
      </c>
      <c r="K198" s="341">
        <f t="shared" si="10"/>
        <v>6.9162591375635629E-2</v>
      </c>
      <c r="L198" s="331">
        <f>+I198/J198</f>
        <v>0.30964886237613504</v>
      </c>
      <c r="M198" s="210"/>
      <c r="N198" s="210"/>
      <c r="O198" s="210"/>
    </row>
    <row r="199" spans="2:15">
      <c r="B199" s="210"/>
      <c r="C199" s="315" t="s">
        <v>7</v>
      </c>
      <c r="D199" s="318">
        <v>7.3688794074914882E-2</v>
      </c>
      <c r="E199" s="318">
        <v>4.4755655663184818E-2</v>
      </c>
      <c r="F199" s="85"/>
      <c r="G199" s="85"/>
      <c r="H199" s="318">
        <v>-5.8151875655102964E-2</v>
      </c>
      <c r="I199" s="318">
        <f>+Scenarios!C27</f>
        <v>-1.8932480826239766E-2</v>
      </c>
      <c r="J199" s="318">
        <f t="shared" si="12"/>
        <v>0.28482723462884557</v>
      </c>
      <c r="K199" s="341">
        <f t="shared" si="10"/>
        <v>-0.20416543288383174</v>
      </c>
      <c r="L199" s="331">
        <f>+I199/J199</f>
        <v>-6.6470051050105589E-2</v>
      </c>
      <c r="M199" s="210"/>
      <c r="N199" s="210"/>
      <c r="O199" s="210"/>
    </row>
    <row r="200" spans="2:15">
      <c r="B200" s="210"/>
      <c r="C200" s="315" t="s">
        <v>8</v>
      </c>
      <c r="D200" s="318">
        <v>8.8200075364801303E-2</v>
      </c>
      <c r="E200" s="318">
        <v>0.11547766137672615</v>
      </c>
      <c r="F200" s="85"/>
      <c r="G200" s="85"/>
      <c r="H200" s="318">
        <v>-4.3640594365216501E-2</v>
      </c>
      <c r="I200" s="318">
        <f>+Scenarios!C28</f>
        <v>7.6891594824893134E-2</v>
      </c>
      <c r="J200" s="318">
        <f t="shared" si="12"/>
        <v>0.29086830436352928</v>
      </c>
      <c r="K200" s="341">
        <f t="shared" si="10"/>
        <v>-0.15003557868125147</v>
      </c>
      <c r="L200" s="331">
        <f t="shared" si="11"/>
        <v>0.26435192034121902</v>
      </c>
      <c r="M200" s="210"/>
      <c r="N200" s="210"/>
      <c r="O200" s="210"/>
    </row>
    <row r="201" spans="2:15">
      <c r="C201" s="315" t="s">
        <v>9</v>
      </c>
      <c r="D201" s="318">
        <v>9.6125190679341666E-2</v>
      </c>
      <c r="E201" s="318">
        <v>8.8245130245983364E-2</v>
      </c>
      <c r="F201" s="85"/>
      <c r="G201" s="85"/>
      <c r="H201" s="318">
        <v>-3.571547905067618E-2</v>
      </c>
      <c r="I201" s="318">
        <f>+Scenarios!C29</f>
        <v>2.095392217212597E-2</v>
      </c>
      <c r="J201" s="318">
        <f t="shared" si="12"/>
        <v>0.32762989319180058</v>
      </c>
      <c r="K201" s="341">
        <f t="shared" si="10"/>
        <v>-0.10901166161223171</v>
      </c>
      <c r="L201" s="331">
        <f t="shared" si="11"/>
        <v>6.3956075460608705E-2</v>
      </c>
      <c r="M201" s="210"/>
      <c r="N201" s="210"/>
      <c r="O201" s="210"/>
    </row>
    <row r="202" spans="2:15">
      <c r="C202" s="315" t="s">
        <v>10</v>
      </c>
      <c r="D202" s="318">
        <v>6.2658557549145399E-2</v>
      </c>
      <c r="E202" s="318">
        <v>3.2952299000522406E-2</v>
      </c>
      <c r="F202" s="85"/>
      <c r="G202" s="85"/>
      <c r="H202" s="318">
        <v>-6.9182112180872446E-2</v>
      </c>
      <c r="I202" s="318">
        <f>+Scenarios!C30</f>
        <v>1.380587420653143E-2</v>
      </c>
      <c r="J202" s="318">
        <f t="shared" si="12"/>
        <v>0.15798659221184908</v>
      </c>
      <c r="K202" s="341">
        <f t="shared" si="10"/>
        <v>-0.43789862932231632</v>
      </c>
      <c r="L202" s="331">
        <f t="shared" si="11"/>
        <v>8.7386366230488149E-2</v>
      </c>
      <c r="M202" s="210"/>
      <c r="N202" s="210"/>
      <c r="O202" s="210"/>
    </row>
    <row r="203" spans="2:15">
      <c r="C203" s="316" t="s">
        <v>11</v>
      </c>
      <c r="D203" s="319">
        <v>7.3464510927495008E-2</v>
      </c>
      <c r="E203" s="319">
        <v>3.9406691481015818E-2</v>
      </c>
      <c r="F203" s="309"/>
      <c r="G203" s="309"/>
      <c r="H203" s="319">
        <v>-5.8376158802522837E-2</v>
      </c>
      <c r="I203" s="319">
        <f>+Scenarios!C31</f>
        <v>2.0067539862887711E-2</v>
      </c>
      <c r="J203" s="319">
        <f t="shared" si="12"/>
        <v>0.19621796279766246</v>
      </c>
      <c r="K203" s="342">
        <f t="shared" si="10"/>
        <v>-0.29750670106956317</v>
      </c>
      <c r="L203" s="334">
        <f t="shared" si="11"/>
        <v>0.10227167572614701</v>
      </c>
      <c r="M203" s="210"/>
      <c r="N203" s="210"/>
      <c r="O203" s="210"/>
    </row>
    <row r="204" spans="2:15">
      <c r="C204" s="84"/>
      <c r="D204" s="84"/>
      <c r="E204" s="84"/>
      <c r="F204" s="98"/>
      <c r="G204" s="98"/>
      <c r="H204" s="84"/>
      <c r="I204" s="84"/>
      <c r="J204" s="84"/>
      <c r="K204" s="84"/>
      <c r="L204" s="210"/>
      <c r="M204" s="210"/>
      <c r="N204" s="210"/>
      <c r="O204" s="210"/>
    </row>
    <row r="205" spans="2:15">
      <c r="C205" s="210"/>
      <c r="D205" s="210"/>
      <c r="E205" s="210"/>
      <c r="F205" s="210"/>
      <c r="G205" s="210"/>
      <c r="H205" s="210"/>
      <c r="I205" s="210"/>
      <c r="J205" s="210"/>
      <c r="L205" s="210"/>
      <c r="M205" s="210"/>
      <c r="N205" s="210"/>
      <c r="O205" s="210"/>
    </row>
    <row r="206" spans="2:15">
      <c r="C206" s="210"/>
      <c r="D206" s="210"/>
      <c r="E206" s="210"/>
      <c r="F206" s="210"/>
      <c r="G206" s="210"/>
      <c r="H206" s="210"/>
      <c r="I206" s="210"/>
      <c r="J206" s="210"/>
      <c r="L206" s="210"/>
      <c r="M206" s="210"/>
      <c r="N206" s="210"/>
      <c r="O206" s="210"/>
    </row>
    <row r="207" spans="2:15">
      <c r="C207" s="210"/>
      <c r="D207" s="210"/>
      <c r="E207" s="210"/>
      <c r="F207" s="210"/>
      <c r="G207" s="210"/>
      <c r="H207" s="210"/>
      <c r="I207" s="210"/>
      <c r="J207" s="210"/>
      <c r="L207" s="210"/>
      <c r="M207" s="210"/>
      <c r="N207" s="210"/>
      <c r="O207" s="210"/>
    </row>
    <row r="208" spans="2:15">
      <c r="C208" s="210"/>
      <c r="D208" s="210"/>
      <c r="E208" s="210"/>
      <c r="F208" s="210"/>
      <c r="G208" s="210"/>
      <c r="H208" s="210"/>
      <c r="I208" s="210"/>
      <c r="J208" s="210"/>
      <c r="L208" s="210"/>
      <c r="M208" s="210"/>
      <c r="N208" s="210"/>
      <c r="O208" s="210"/>
    </row>
    <row r="209" spans="3:15">
      <c r="C209" s="210"/>
      <c r="D209" s="210"/>
      <c r="E209" s="210"/>
      <c r="F209" s="210"/>
      <c r="G209" s="210"/>
      <c r="H209" s="210"/>
      <c r="I209" s="210"/>
      <c r="J209" s="210"/>
      <c r="L209" s="210"/>
      <c r="M209" s="210"/>
      <c r="N209" s="210"/>
      <c r="O209" s="210"/>
    </row>
    <row r="210" spans="3:15">
      <c r="C210" s="210"/>
      <c r="D210" s="210"/>
      <c r="E210" s="210"/>
      <c r="F210" s="210"/>
      <c r="G210" s="210"/>
      <c r="H210" s="210"/>
      <c r="I210" s="210"/>
      <c r="J210" s="210"/>
      <c r="L210" s="210"/>
      <c r="M210" s="210"/>
      <c r="N210" s="210"/>
      <c r="O210" s="210"/>
    </row>
    <row r="211" spans="3:15">
      <c r="C211" s="210"/>
      <c r="D211" s="210"/>
      <c r="E211" s="210"/>
      <c r="F211" s="210"/>
      <c r="G211" s="210"/>
      <c r="H211" s="210"/>
      <c r="I211" s="210"/>
      <c r="J211" s="210"/>
      <c r="L211" s="210"/>
      <c r="M211" s="210"/>
      <c r="N211" s="210"/>
    </row>
    <row r="212" spans="3:15">
      <c r="C212" s="210"/>
      <c r="D212" s="210"/>
      <c r="E212" s="210"/>
      <c r="F212" s="210"/>
      <c r="G212" s="210"/>
      <c r="H212" s="210"/>
      <c r="I212" s="210"/>
      <c r="J212" s="210"/>
      <c r="L212" s="210"/>
      <c r="M212" s="210"/>
      <c r="N212" s="210"/>
    </row>
    <row r="213" spans="3:15">
      <c r="C213" s="210"/>
      <c r="D213" s="210"/>
      <c r="E213" s="210"/>
      <c r="F213" s="210"/>
      <c r="G213" s="210"/>
      <c r="H213" s="210"/>
      <c r="I213" s="210"/>
      <c r="J213" s="210"/>
      <c r="L213" s="210"/>
      <c r="M213" s="210"/>
      <c r="N213" s="210"/>
    </row>
    <row r="214" spans="3:15">
      <c r="C214" s="210"/>
      <c r="D214" s="210"/>
      <c r="E214" s="210"/>
      <c r="F214" s="210"/>
      <c r="G214" s="210"/>
      <c r="H214" s="210"/>
      <c r="I214" s="210"/>
      <c r="J214" s="210"/>
      <c r="L214" s="210"/>
      <c r="M214" s="210"/>
      <c r="N214" s="210"/>
    </row>
    <row r="215" spans="3:15">
      <c r="C215" s="210"/>
      <c r="D215" s="210"/>
      <c r="E215" s="210"/>
      <c r="F215" s="210"/>
      <c r="G215" s="210"/>
      <c r="H215" s="210"/>
      <c r="I215" s="210"/>
      <c r="J215" s="210"/>
      <c r="L215" s="210"/>
      <c r="M215" s="210"/>
      <c r="N215" s="210"/>
    </row>
    <row r="216" spans="3:15">
      <c r="C216" s="210"/>
      <c r="D216" s="210"/>
      <c r="E216" s="210"/>
      <c r="F216" s="210"/>
      <c r="G216" s="210"/>
      <c r="H216" s="210"/>
      <c r="I216" s="210"/>
      <c r="J216" s="210"/>
      <c r="L216" s="210"/>
      <c r="M216" s="210"/>
      <c r="N216" s="210"/>
    </row>
    <row r="217" spans="3:15">
      <c r="C217" s="210"/>
      <c r="D217" s="210"/>
      <c r="E217" s="210"/>
      <c r="F217" s="210"/>
      <c r="G217" s="210"/>
      <c r="H217" s="210"/>
      <c r="I217" s="210"/>
      <c r="J217" s="210"/>
      <c r="L217" s="210"/>
      <c r="M217" s="210"/>
      <c r="N217" s="210"/>
    </row>
    <row r="218" spans="3:15">
      <c r="C218" s="210"/>
      <c r="D218" s="210"/>
      <c r="E218" s="210"/>
      <c r="F218" s="210"/>
      <c r="G218" s="210"/>
      <c r="H218" s="210"/>
      <c r="I218" s="210"/>
      <c r="J218" s="210"/>
      <c r="L218" s="210"/>
      <c r="M218" s="210"/>
      <c r="N218" s="210"/>
    </row>
    <row r="219" spans="3:15">
      <c r="C219" s="210"/>
      <c r="D219" s="210"/>
      <c r="E219" s="210"/>
      <c r="F219" s="210"/>
      <c r="G219" s="210"/>
      <c r="H219" s="210"/>
      <c r="I219" s="210"/>
      <c r="J219" s="210"/>
      <c r="L219" s="210"/>
      <c r="M219" s="210"/>
      <c r="N219" s="210"/>
    </row>
    <row r="220" spans="3:15">
      <c r="C220" s="210"/>
      <c r="D220" s="210"/>
      <c r="E220" s="210"/>
      <c r="F220" s="210"/>
      <c r="G220" s="210"/>
      <c r="H220" s="210"/>
      <c r="I220" s="210"/>
      <c r="J220" s="210"/>
      <c r="L220" s="210"/>
      <c r="M220" s="210"/>
      <c r="N220" s="210"/>
    </row>
    <row r="221" spans="3:15">
      <c r="C221" s="210"/>
      <c r="D221" s="210"/>
      <c r="E221" s="210"/>
      <c r="F221" s="210"/>
      <c r="G221" s="210"/>
      <c r="H221" s="210"/>
      <c r="I221" s="210"/>
      <c r="J221" s="210"/>
      <c r="L221" s="210"/>
      <c r="M221" s="210"/>
      <c r="N221" s="210"/>
    </row>
    <row r="222" spans="3:15">
      <c r="C222" s="210"/>
      <c r="D222" s="210"/>
      <c r="E222" s="210"/>
      <c r="F222" s="210"/>
      <c r="G222" s="210"/>
      <c r="H222" s="210"/>
      <c r="I222" s="210"/>
      <c r="J222" s="210"/>
      <c r="L222" s="210"/>
      <c r="M222" s="210"/>
      <c r="N222" s="210"/>
    </row>
    <row r="223" spans="3:15">
      <c r="C223" s="210"/>
      <c r="D223" s="210"/>
      <c r="E223" s="210"/>
      <c r="F223" s="210"/>
      <c r="G223" s="210"/>
      <c r="H223" s="210"/>
      <c r="I223" s="210"/>
      <c r="J223" s="210"/>
      <c r="L223" s="210"/>
      <c r="M223" s="210"/>
      <c r="N223" s="210"/>
    </row>
    <row r="224" spans="3:15">
      <c r="C224" s="210"/>
      <c r="D224" s="210"/>
      <c r="E224" s="210"/>
      <c r="F224" s="210"/>
      <c r="G224" s="210"/>
      <c r="H224" s="210"/>
      <c r="I224" s="210"/>
      <c r="J224" s="210"/>
      <c r="L224" s="210"/>
      <c r="M224" s="210"/>
      <c r="N224" s="210"/>
    </row>
    <row r="225" spans="11:14">
      <c r="K225" s="332"/>
      <c r="L225" s="210"/>
      <c r="N225" s="210"/>
    </row>
    <row r="226" spans="11:14">
      <c r="K226" s="332"/>
      <c r="L226" s="210"/>
    </row>
  </sheetData>
  <mergeCells count="2">
    <mergeCell ref="D194:E194"/>
    <mergeCell ref="F194:I194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9:I19"/>
  <sheetViews>
    <sheetView workbookViewId="0">
      <selection activeCell="H19" sqref="H19:H20"/>
    </sheetView>
  </sheetViews>
  <sheetFormatPr defaultRowHeight="15"/>
  <cols>
    <col min="1" max="1" width="20.85546875" style="75" bestFit="1" customWidth="1"/>
    <col min="2" max="2" width="9.85546875" style="75" customWidth="1"/>
    <col min="3" max="3" width="12" style="75" customWidth="1"/>
    <col min="4" max="16384" width="9.140625" style="75"/>
  </cols>
  <sheetData>
    <row r="9" spans="1:9">
      <c r="A9" s="314" t="s">
        <v>131</v>
      </c>
      <c r="B9" s="317" t="s">
        <v>70</v>
      </c>
      <c r="C9" s="317" t="s">
        <v>112</v>
      </c>
      <c r="E9" s="317" t="s">
        <v>147</v>
      </c>
      <c r="F9" s="317"/>
      <c r="H9" s="317" t="s">
        <v>112</v>
      </c>
      <c r="I9" s="317"/>
    </row>
    <row r="10" spans="1:9">
      <c r="A10" s="355" t="str">
        <f>'Control panel'!A3</f>
        <v>Nominale matching</v>
      </c>
      <c r="B10" s="357">
        <v>1.4756554714979015E-2</v>
      </c>
      <c r="C10" s="357">
        <v>1.5220718103759889E-2</v>
      </c>
      <c r="E10" s="363">
        <v>0</v>
      </c>
      <c r="F10" s="360">
        <f>B10</f>
        <v>1.4756554714979015E-2</v>
      </c>
      <c r="H10" s="363">
        <v>0</v>
      </c>
      <c r="I10" s="360">
        <f>C10</f>
        <v>1.5220718103759889E-2</v>
      </c>
    </row>
    <row r="11" spans="1:9">
      <c r="A11" s="355" t="str">
        <f>'Control panel'!A4</f>
        <v>High Yield</v>
      </c>
      <c r="B11" s="357">
        <v>1.4212854294443212E-2</v>
      </c>
      <c r="C11" s="357">
        <v>1.0530542875070045E-2</v>
      </c>
      <c r="E11" s="364">
        <f>E10+F10</f>
        <v>1.4756554714979015E-2</v>
      </c>
      <c r="F11" s="361">
        <f t="shared" ref="F11:F17" si="0">B11</f>
        <v>1.4212854294443212E-2</v>
      </c>
      <c r="H11" s="364">
        <f>H10+I10</f>
        <v>1.5220718103759889E-2</v>
      </c>
      <c r="I11" s="361">
        <f t="shared" ref="I11:I17" si="1">C11</f>
        <v>1.0530542875070045E-2</v>
      </c>
    </row>
    <row r="12" spans="1:9">
      <c r="A12" s="355" t="str">
        <f>'Control panel'!A5</f>
        <v>Emerging market debt</v>
      </c>
      <c r="B12" s="357">
        <v>1.4438415379559985E-2</v>
      </c>
      <c r="C12" s="357">
        <v>1.5173593894911512E-2</v>
      </c>
      <c r="E12" s="364">
        <f t="shared" ref="E12:E17" si="2">E11+F11</f>
        <v>2.8969409009422228E-2</v>
      </c>
      <c r="F12" s="361">
        <f t="shared" si="0"/>
        <v>1.4438415379559985E-2</v>
      </c>
      <c r="H12" s="364">
        <f t="shared" ref="H12:H17" si="3">H11+I11</f>
        <v>2.5751260978829932E-2</v>
      </c>
      <c r="I12" s="361">
        <f t="shared" si="1"/>
        <v>1.5173593894911512E-2</v>
      </c>
    </row>
    <row r="13" spans="1:9">
      <c r="A13" s="355" t="str">
        <f>'Control panel'!A6</f>
        <v>Aandelen ontwikkeld</v>
      </c>
      <c r="B13" s="357">
        <v>2.6178530363036752E-2</v>
      </c>
      <c r="C13" s="357">
        <v>1.942785291665489E-2</v>
      </c>
      <c r="E13" s="364">
        <f t="shared" si="2"/>
        <v>4.3407824388982212E-2</v>
      </c>
      <c r="F13" s="361">
        <f t="shared" si="0"/>
        <v>2.6178530363036752E-2</v>
      </c>
      <c r="H13" s="364">
        <f t="shared" si="3"/>
        <v>4.0924854873741444E-2</v>
      </c>
      <c r="I13" s="361">
        <f t="shared" si="1"/>
        <v>1.942785291665489E-2</v>
      </c>
    </row>
    <row r="14" spans="1:9">
      <c r="A14" s="355" t="str">
        <f>'Control panel'!A7</f>
        <v>Aandelen opkomend</v>
      </c>
      <c r="B14" s="357">
        <v>1.2885940533325082E-2</v>
      </c>
      <c r="C14" s="357">
        <v>2.1277542423549976E-2</v>
      </c>
      <c r="E14" s="364">
        <f t="shared" si="2"/>
        <v>6.9586354752018964E-2</v>
      </c>
      <c r="F14" s="361">
        <f t="shared" si="0"/>
        <v>1.2885940533325082E-2</v>
      </c>
      <c r="H14" s="364">
        <f t="shared" si="3"/>
        <v>6.0352707790396337E-2</v>
      </c>
      <c r="I14" s="361">
        <f t="shared" si="1"/>
        <v>2.1277542423549976E-2</v>
      </c>
    </row>
    <row r="15" spans="1:9">
      <c r="A15" s="355" t="str">
        <f>'Control panel'!A8</f>
        <v>Commodities</v>
      </c>
      <c r="B15" s="357">
        <v>4.6353992557141592E-3</v>
      </c>
      <c r="C15" s="357">
        <v>4.686099916713796E-3</v>
      </c>
      <c r="E15" s="364">
        <f t="shared" si="2"/>
        <v>8.2472295285344041E-2</v>
      </c>
      <c r="F15" s="361">
        <f t="shared" si="0"/>
        <v>4.6353992557141592E-3</v>
      </c>
      <c r="H15" s="364">
        <f t="shared" si="3"/>
        <v>8.163025021394632E-2</v>
      </c>
      <c r="I15" s="361">
        <f t="shared" si="1"/>
        <v>4.686099916713796E-3</v>
      </c>
    </row>
    <row r="16" spans="1:9">
      <c r="A16" s="355" t="str">
        <f>'Control panel'!A9</f>
        <v>Hedge funds</v>
      </c>
      <c r="B16" s="357">
        <v>4.3180826561846995E-3</v>
      </c>
      <c r="C16" s="357">
        <v>4.264603068845089E-3</v>
      </c>
      <c r="E16" s="364">
        <f t="shared" si="2"/>
        <v>8.7107694541058198E-2</v>
      </c>
      <c r="F16" s="361">
        <f t="shared" si="0"/>
        <v>4.3180826561846995E-3</v>
      </c>
      <c r="H16" s="364">
        <f t="shared" si="3"/>
        <v>8.6316350130660122E-2</v>
      </c>
      <c r="I16" s="361">
        <f t="shared" si="1"/>
        <v>4.264603068845089E-3</v>
      </c>
    </row>
    <row r="17" spans="1:9">
      <c r="A17" s="356" t="str">
        <f>'Control panel'!A10</f>
        <v>Onroerend goed</v>
      </c>
      <c r="B17" s="358">
        <v>8.4910307979983776E-3</v>
      </c>
      <c r="C17" s="358">
        <v>8.4188379833086361E-3</v>
      </c>
      <c r="E17" s="365">
        <f t="shared" si="2"/>
        <v>9.1425777197242902E-2</v>
      </c>
      <c r="F17" s="362">
        <f t="shared" si="0"/>
        <v>8.4910307979983776E-3</v>
      </c>
      <c r="H17" s="365">
        <f t="shared" si="3"/>
        <v>9.058095319950521E-2</v>
      </c>
      <c r="I17" s="362">
        <f t="shared" si="1"/>
        <v>8.4188379833086361E-3</v>
      </c>
    </row>
    <row r="19" spans="1:9">
      <c r="B19" s="359">
        <f>SUM(B10:B17)</f>
        <v>9.9916807995241275E-2</v>
      </c>
      <c r="C19" s="359">
        <f>SUM(C10:C17)</f>
        <v>9.8999791182813851E-2</v>
      </c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B2:S27"/>
  <sheetViews>
    <sheetView workbookViewId="0">
      <selection activeCell="C8" sqref="C8"/>
    </sheetView>
  </sheetViews>
  <sheetFormatPr defaultRowHeight="15"/>
  <sheetData>
    <row r="2" spans="2:19" ht="25.5">
      <c r="B2" s="343" t="s">
        <v>115</v>
      </c>
      <c r="C2" s="317" t="s">
        <v>70</v>
      </c>
      <c r="D2" s="306" t="s">
        <v>112</v>
      </c>
      <c r="E2" s="306" t="s">
        <v>144</v>
      </c>
      <c r="F2" s="306" t="s">
        <v>145</v>
      </c>
      <c r="G2" s="306" t="s">
        <v>113</v>
      </c>
      <c r="H2" s="306" t="s">
        <v>114</v>
      </c>
      <c r="I2" s="306" t="s">
        <v>128</v>
      </c>
      <c r="J2" s="317" t="s">
        <v>130</v>
      </c>
      <c r="K2" s="210"/>
      <c r="L2" s="374" t="s">
        <v>152</v>
      </c>
      <c r="M2" s="375" t="s">
        <v>70</v>
      </c>
      <c r="N2" s="376" t="s">
        <v>112</v>
      </c>
      <c r="O2" s="376" t="s">
        <v>144</v>
      </c>
      <c r="P2" s="376" t="s">
        <v>145</v>
      </c>
      <c r="Q2" s="376" t="s">
        <v>113</v>
      </c>
      <c r="R2" s="376" t="s">
        <v>114</v>
      </c>
      <c r="S2" s="377" t="s">
        <v>128</v>
      </c>
    </row>
    <row r="3" spans="2:19">
      <c r="B3" s="344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-5.8987126880164276E-2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3.8327320576542839E-2</v>
      </c>
      <c r="K3" s="210"/>
      <c r="L3" s="344" t="s">
        <v>4</v>
      </c>
      <c r="M3" s="368">
        <f>C3/$J3</f>
        <v>0</v>
      </c>
      <c r="N3" s="369">
        <f t="shared" ref="N3:S10" si="0">D3/$J3</f>
        <v>-8.4652847686545088E-2</v>
      </c>
      <c r="O3" s="369">
        <f t="shared" si="0"/>
        <v>-2.8077524301188938E-2</v>
      </c>
      <c r="P3" s="369">
        <f t="shared" si="0"/>
        <v>-8.9178873557373903E-2</v>
      </c>
      <c r="Q3" s="369">
        <f t="shared" si="0"/>
        <v>-1.5390360190288306</v>
      </c>
      <c r="R3" s="369">
        <f t="shared" si="0"/>
        <v>-6.8587038946676824</v>
      </c>
      <c r="S3" s="372">
        <f t="shared" si="0"/>
        <v>-8.4642869564566098E-2</v>
      </c>
    </row>
    <row r="4" spans="2:19">
      <c r="B4" s="344" t="s">
        <v>5</v>
      </c>
      <c r="C4" s="318">
        <f>+Scenarios!B25</f>
        <v>0.03</v>
      </c>
      <c r="D4" s="85">
        <f>+Scenarios!C25</f>
        <v>2.821524342416672E-2</v>
      </c>
      <c r="E4" s="85">
        <f>+Scenarios!D25</f>
        <v>-4.3289757138539151E-2</v>
      </c>
      <c r="F4" s="85">
        <f>+Scenarios!E25</f>
        <v>2.8173968116101435E-2</v>
      </c>
      <c r="G4" s="85">
        <f>+Scenarios!F25</f>
        <v>-0.46709405332985687</v>
      </c>
      <c r="H4" s="85">
        <f>+Scenarios!G25</f>
        <v>-0.46905624232985693</v>
      </c>
      <c r="I4" s="85">
        <f>+Scenarios!H25</f>
        <v>0.30101613523680981</v>
      </c>
      <c r="J4" s="318">
        <f>Scenarios!D5</f>
        <v>0.15740402046445473</v>
      </c>
      <c r="K4" s="210"/>
      <c r="L4" s="344" t="s">
        <v>5</v>
      </c>
      <c r="M4" s="368">
        <f t="shared" ref="M4:M10" si="1">C4/$J4</f>
        <v>0.19059233627882241</v>
      </c>
      <c r="N4" s="369">
        <f t="shared" si="0"/>
        <v>0.17925363876292053</v>
      </c>
      <c r="O4" s="369">
        <f t="shared" si="0"/>
        <v>-0.27502319833256689</v>
      </c>
      <c r="P4" s="369">
        <f t="shared" si="0"/>
        <v>0.1789914135164275</v>
      </c>
      <c r="Q4" s="369">
        <f t="shared" si="0"/>
        <v>-2.9674848962027429</v>
      </c>
      <c r="R4" s="369">
        <f t="shared" si="0"/>
        <v>-2.979950835727097</v>
      </c>
      <c r="S4" s="372">
        <f t="shared" si="0"/>
        <v>1.9123789490801846</v>
      </c>
    </row>
    <row r="5" spans="2:19">
      <c r="B5" s="344" t="s">
        <v>6</v>
      </c>
      <c r="C5" s="318">
        <f>+Scenarios!B26</f>
        <v>3.1392347703607063E-2</v>
      </c>
      <c r="D5" s="85">
        <f>+Scenarios!C26</f>
        <v>4.9715877116872115E-2</v>
      </c>
      <c r="E5" s="85">
        <f>+Scenarios!D26</f>
        <v>-1.5254735941571146E-2</v>
      </c>
      <c r="F5" s="85">
        <f>+Scenarios!E26</f>
        <v>4.2527479167274736E-2</v>
      </c>
      <c r="G5" s="85">
        <f>+Scenarios!F26</f>
        <v>-0.53388765375707492</v>
      </c>
      <c r="H5" s="85">
        <f>+Scenarios!G26</f>
        <v>-0.40758678794189662</v>
      </c>
      <c r="I5" s="85">
        <f>+Scenarios!H26</f>
        <v>0.26888806032968465</v>
      </c>
      <c r="J5" s="318">
        <f>Scenarios!D6</f>
        <v>0.16055565886911449</v>
      </c>
      <c r="K5" s="210"/>
      <c r="L5" s="344" t="s">
        <v>6</v>
      </c>
      <c r="M5" s="368">
        <f t="shared" si="1"/>
        <v>0.19552314708009269</v>
      </c>
      <c r="N5" s="369">
        <f t="shared" si="0"/>
        <v>0.30964886237613504</v>
      </c>
      <c r="O5" s="369">
        <f t="shared" si="0"/>
        <v>-9.5012135037898959E-2</v>
      </c>
      <c r="P5" s="369">
        <f t="shared" si="0"/>
        <v>0.26487686243400038</v>
      </c>
      <c r="Q5" s="369">
        <f t="shared" si="0"/>
        <v>-3.3252496829918772</v>
      </c>
      <c r="R5" s="369">
        <f t="shared" si="0"/>
        <v>-2.5386011979444634</v>
      </c>
      <c r="S5" s="372">
        <f t="shared" si="0"/>
        <v>1.6747342462023285</v>
      </c>
    </row>
    <row r="6" spans="2:19">
      <c r="B6" s="344" t="s">
        <v>7</v>
      </c>
      <c r="C6" s="318">
        <f>+Scenarios!B27</f>
        <v>5.5586945104648379E-2</v>
      </c>
      <c r="D6" s="85">
        <f>+Scenarios!C27</f>
        <v>-1.8932480826239766E-2</v>
      </c>
      <c r="E6" s="85">
        <f>+Scenarios!D27</f>
        <v>-0.18637839848821813</v>
      </c>
      <c r="F6" s="85">
        <f>+Scenarios!E27</f>
        <v>3.3016877644366754E-2</v>
      </c>
      <c r="G6" s="85">
        <f>+Scenarios!F27</f>
        <v>-0.63662140327632288</v>
      </c>
      <c r="H6" s="85">
        <f>+Scenarios!G27</f>
        <v>-0.50223026172585394</v>
      </c>
      <c r="I6" s="85">
        <f>+Scenarios!H27</f>
        <v>0.34216639060226639</v>
      </c>
      <c r="J6" s="318">
        <f>Scenarios!D7</f>
        <v>0.28482723462884557</v>
      </c>
      <c r="K6" s="210"/>
      <c r="L6" s="344" t="s">
        <v>7</v>
      </c>
      <c r="M6" s="368">
        <f t="shared" si="1"/>
        <v>0.19516021765644342</v>
      </c>
      <c r="N6" s="369">
        <f t="shared" si="0"/>
        <v>-6.6470051050105589E-2</v>
      </c>
      <c r="O6" s="369">
        <f t="shared" si="0"/>
        <v>-0.65435595978413108</v>
      </c>
      <c r="P6" s="369">
        <f t="shared" si="0"/>
        <v>0.11591896290181165</v>
      </c>
      <c r="Q6" s="369">
        <f t="shared" si="0"/>
        <v>-2.2351142232093619</v>
      </c>
      <c r="R6" s="369">
        <f t="shared" si="0"/>
        <v>-1.7632803351136812</v>
      </c>
      <c r="S6" s="372">
        <f t="shared" si="0"/>
        <v>1.2013120551766712</v>
      </c>
    </row>
    <row r="7" spans="2:19">
      <c r="B7" s="344" t="s">
        <v>8</v>
      </c>
      <c r="C7" s="318">
        <f>+Scenarios!B28</f>
        <v>5.4126209330308192E-2</v>
      </c>
      <c r="D7" s="85">
        <f>+Scenarios!C28</f>
        <v>7.6891594824893134E-2</v>
      </c>
      <c r="E7" s="85">
        <f>+Scenarios!D28</f>
        <v>-1.5041633078088965E-2</v>
      </c>
      <c r="F7" s="85">
        <f>+Scenarios!E28</f>
        <v>7.4724436355395413E-2</v>
      </c>
      <c r="G7" s="85">
        <f>+Scenarios!F28</f>
        <v>-0.38154687800334713</v>
      </c>
      <c r="H7" s="85">
        <f>+Scenarios!G28</f>
        <v>-0.22652606438744602</v>
      </c>
      <c r="I7" s="85">
        <f>+Scenarios!H28</f>
        <v>0.43818723932566084</v>
      </c>
      <c r="J7" s="318">
        <f>Scenarios!D8</f>
        <v>0.29086830436352928</v>
      </c>
      <c r="K7" s="210"/>
      <c r="L7" s="344" t="s">
        <v>8</v>
      </c>
      <c r="M7" s="368">
        <f t="shared" si="1"/>
        <v>0.18608493437862128</v>
      </c>
      <c r="N7" s="369">
        <f t="shared" si="0"/>
        <v>0.26435192034121902</v>
      </c>
      <c r="O7" s="369">
        <f t="shared" si="0"/>
        <v>-5.171286404341198E-2</v>
      </c>
      <c r="P7" s="369">
        <f t="shared" si="0"/>
        <v>0.25690126849298878</v>
      </c>
      <c r="Q7" s="369">
        <f t="shared" si="0"/>
        <v>-1.3117513055890997</v>
      </c>
      <c r="R7" s="369">
        <f t="shared" si="0"/>
        <v>-0.77879253596614684</v>
      </c>
      <c r="S7" s="372">
        <f t="shared" si="0"/>
        <v>1.5064798493066858</v>
      </c>
    </row>
    <row r="8" spans="2:19">
      <c r="B8" s="344" t="s">
        <v>9</v>
      </c>
      <c r="C8" s="318">
        <f>+Scenarios!B29</f>
        <v>5.1749106701455286E-2</v>
      </c>
      <c r="D8" s="85">
        <f>+Scenarios!C29</f>
        <v>2.095392217212597E-2</v>
      </c>
      <c r="E8" s="85">
        <f>+Scenarios!D29</f>
        <v>1.7326163923364224E-2</v>
      </c>
      <c r="F8" s="85">
        <f>+Scenarios!E29</f>
        <v>-3.9001815740357833E-3</v>
      </c>
      <c r="G8" s="85">
        <f>+Scenarios!F29</f>
        <v>-0.39528495301413574</v>
      </c>
      <c r="H8" s="85">
        <f>+Scenarios!G29</f>
        <v>-0.36578625545580234</v>
      </c>
      <c r="I8" s="85">
        <f>+Scenarios!H29</f>
        <v>0.41949577968586427</v>
      </c>
      <c r="J8" s="318">
        <f>Scenarios!D9</f>
        <v>0.32762989319180058</v>
      </c>
      <c r="K8" s="210"/>
      <c r="L8" s="344" t="s">
        <v>9</v>
      </c>
      <c r="M8" s="368">
        <f t="shared" si="1"/>
        <v>0.15794989339132251</v>
      </c>
      <c r="N8" s="369">
        <f t="shared" si="0"/>
        <v>6.3956075460608705E-2</v>
      </c>
      <c r="O8" s="369">
        <f t="shared" si="0"/>
        <v>5.2883342708966941E-2</v>
      </c>
      <c r="P8" s="369">
        <f t="shared" si="0"/>
        <v>-1.1904229910280333E-2</v>
      </c>
      <c r="Q8" s="369">
        <f t="shared" si="0"/>
        <v>-1.2064984338371365</v>
      </c>
      <c r="R8" s="369">
        <f t="shared" si="0"/>
        <v>-1.1164617852549381</v>
      </c>
      <c r="S8" s="372">
        <f t="shared" si="0"/>
        <v>1.280395313135495</v>
      </c>
    </row>
    <row r="9" spans="2:19">
      <c r="B9" s="344" t="s">
        <v>10</v>
      </c>
      <c r="C9" s="318">
        <f>+Scenarios!B30</f>
        <v>2.8567108921173753E-2</v>
      </c>
      <c r="D9" s="85">
        <f>+Scenarios!C30</f>
        <v>1.380587420653143E-2</v>
      </c>
      <c r="E9" s="85">
        <f>+Scenarios!D30</f>
        <v>-4.2158606606711446E-2</v>
      </c>
      <c r="F9" s="85">
        <f>+Scenarios!E30</f>
        <v>1.0491043321084678E-2</v>
      </c>
      <c r="G9" s="85">
        <f>+Scenarios!F30</f>
        <v>-0.25764077911990541</v>
      </c>
      <c r="H9" s="85">
        <f>+Scenarios!G30</f>
        <v>-1.27081470544461E-2</v>
      </c>
      <c r="I9" s="85">
        <f>+Scenarios!H30</f>
        <v>0.26865610006004731</v>
      </c>
      <c r="J9" s="318">
        <f>Scenarios!D10</f>
        <v>0.15798659221184908</v>
      </c>
      <c r="K9" s="210"/>
      <c r="L9" s="344" t="s">
        <v>10</v>
      </c>
      <c r="M9" s="368">
        <f t="shared" si="1"/>
        <v>0.18081983110862496</v>
      </c>
      <c r="N9" s="369">
        <f t="shared" si="0"/>
        <v>8.7386366230488149E-2</v>
      </c>
      <c r="O9" s="369">
        <f t="shared" si="0"/>
        <v>-0.26684926876693227</v>
      </c>
      <c r="P9" s="369">
        <f t="shared" si="0"/>
        <v>6.6404643420733545E-2</v>
      </c>
      <c r="Q9" s="369">
        <f t="shared" si="0"/>
        <v>-1.6307762292538532</v>
      </c>
      <c r="R9" s="369">
        <f t="shared" si="0"/>
        <v>-8.0438136404672594E-2</v>
      </c>
      <c r="S9" s="372">
        <f t="shared" si="0"/>
        <v>1.7004993670589343</v>
      </c>
    </row>
    <row r="10" spans="2:19">
      <c r="B10" s="345" t="s">
        <v>11</v>
      </c>
      <c r="C10" s="319">
        <f>+Scenarios!B31</f>
        <v>3.8735949538907542E-2</v>
      </c>
      <c r="D10" s="309">
        <f>+Scenarios!C31</f>
        <v>2.0067539862887711E-2</v>
      </c>
      <c r="E10" s="309">
        <f>+Scenarios!D31</f>
        <v>-5.1766673344794997E-2</v>
      </c>
      <c r="F10" s="309">
        <f>+Scenarios!E31</f>
        <v>4.4470055868840348E-2</v>
      </c>
      <c r="G10" s="309">
        <f>+Scenarios!F31</f>
        <v>-0.32705491871314474</v>
      </c>
      <c r="H10" s="309">
        <f>+Scenarios!G31</f>
        <v>-0.17140461936280491</v>
      </c>
      <c r="I10" s="309">
        <f>+Scenarios!H31</f>
        <v>0.40834897941312509</v>
      </c>
      <c r="J10" s="319">
        <f>Scenarios!D11</f>
        <v>0.19621796279766246</v>
      </c>
      <c r="K10" s="210"/>
      <c r="L10" s="345" t="s">
        <v>11</v>
      </c>
      <c r="M10" s="370">
        <f t="shared" si="1"/>
        <v>0.19741286162904248</v>
      </c>
      <c r="N10" s="371">
        <f t="shared" si="0"/>
        <v>0.10227167572614701</v>
      </c>
      <c r="O10" s="371">
        <f t="shared" si="0"/>
        <v>-0.26382229540409691</v>
      </c>
      <c r="P10" s="371">
        <f t="shared" si="0"/>
        <v>0.22663600842037751</v>
      </c>
      <c r="Q10" s="371">
        <f t="shared" si="0"/>
        <v>-1.6667939777277156</v>
      </c>
      <c r="R10" s="371">
        <f t="shared" si="0"/>
        <v>-0.87354193733809804</v>
      </c>
      <c r="S10" s="373">
        <f t="shared" si="0"/>
        <v>2.0810988636866519</v>
      </c>
    </row>
    <row r="11" spans="2:19" ht="15.75">
      <c r="B11" s="84"/>
      <c r="C11" s="84"/>
      <c r="D11" s="84"/>
      <c r="E11" s="84"/>
      <c r="F11" s="84"/>
      <c r="G11" s="84"/>
      <c r="H11" s="84"/>
      <c r="I11" s="84"/>
      <c r="J11" s="84"/>
      <c r="K11" s="210"/>
      <c r="L11" s="210"/>
      <c r="M11" s="353"/>
      <c r="N11" s="338"/>
      <c r="O11" s="338"/>
      <c r="P11" s="338"/>
      <c r="Q11" s="338"/>
      <c r="R11" s="354"/>
      <c r="S11" s="210"/>
    </row>
    <row r="12" spans="2:19" ht="15.75"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K12" s="210"/>
      <c r="L12" s="210"/>
      <c r="M12" s="353"/>
      <c r="N12" s="338"/>
      <c r="O12" s="338"/>
      <c r="P12" s="338"/>
      <c r="Q12" s="338"/>
      <c r="R12" s="338"/>
      <c r="S12" s="210"/>
    </row>
    <row r="13" spans="2:19" ht="15.75">
      <c r="B13" s="84"/>
      <c r="C13" s="84"/>
      <c r="D13" s="84"/>
      <c r="E13" s="84"/>
      <c r="F13" s="84"/>
      <c r="G13" s="84"/>
      <c r="H13" s="84"/>
      <c r="I13" s="84"/>
      <c r="J13" s="84"/>
      <c r="K13" s="210"/>
      <c r="L13" s="210"/>
      <c r="M13" s="353"/>
      <c r="N13" s="338"/>
      <c r="O13" s="338"/>
      <c r="P13" s="338"/>
      <c r="Q13" s="338"/>
      <c r="R13" s="338"/>
      <c r="S13" s="210"/>
    </row>
    <row r="14" spans="2:19" ht="15.75">
      <c r="B14" s="320" t="s">
        <v>129</v>
      </c>
      <c r="C14" s="325">
        <f>+Scenarios!B35</f>
        <v>0</v>
      </c>
      <c r="D14" s="312">
        <f>+Scenarios!C35</f>
        <v>1.05981673240912E-2</v>
      </c>
      <c r="E14" s="312">
        <f>+Scenarios!D35</f>
        <v>-2.605059789377169E-2</v>
      </c>
      <c r="F14" s="312">
        <f>+Scenarios!E35</f>
        <v>1.4653632374093999E-2</v>
      </c>
      <c r="G14" s="312">
        <f>+Scenarios!F35</f>
        <v>-0.23547332682230052</v>
      </c>
      <c r="H14" s="312">
        <f>+Scenarios!G35</f>
        <v>-0.30383889875164471</v>
      </c>
      <c r="I14" s="313">
        <f>+Scenarios!H35</f>
        <v>0.1417469319294872</v>
      </c>
      <c r="J14" s="321">
        <f>+Scenarios!I35</f>
        <v>1.05981673240912E-2</v>
      </c>
      <c r="K14" s="210"/>
      <c r="L14" s="210"/>
      <c r="M14" s="353"/>
      <c r="N14" s="338"/>
      <c r="O14" s="338"/>
      <c r="P14" s="338"/>
      <c r="Q14" s="338"/>
      <c r="R14" s="338"/>
      <c r="S14" s="210"/>
    </row>
    <row r="15" spans="2:19">
      <c r="B15" s="210"/>
      <c r="C15" s="210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</row>
    <row r="16" spans="2:19">
      <c r="B16" s="210"/>
      <c r="C16" s="210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0"/>
    </row>
    <row r="17" spans="2:19">
      <c r="B17" s="210"/>
      <c r="C17" s="210"/>
      <c r="D17" s="210"/>
      <c r="E17" s="210"/>
      <c r="F17" s="210"/>
      <c r="G17" s="210"/>
      <c r="H17" s="210"/>
      <c r="I17" s="210"/>
      <c r="J17" s="210"/>
      <c r="K17" s="210"/>
      <c r="L17" s="332"/>
      <c r="M17" s="332"/>
      <c r="N17" s="332"/>
      <c r="O17" s="332"/>
      <c r="P17" s="332"/>
      <c r="Q17" s="332"/>
      <c r="R17" s="332"/>
      <c r="S17" s="210"/>
    </row>
    <row r="18" spans="2:19">
      <c r="B18" s="210"/>
      <c r="C18" s="210"/>
      <c r="D18" s="210"/>
      <c r="E18" s="210"/>
      <c r="F18" s="210"/>
      <c r="G18" s="210"/>
      <c r="H18" s="210"/>
      <c r="I18" s="210"/>
      <c r="J18" s="210"/>
      <c r="K18" s="210"/>
      <c r="L18" s="332"/>
      <c r="M18" s="332"/>
      <c r="N18" s="332"/>
      <c r="O18" s="332"/>
      <c r="P18" s="332"/>
      <c r="Q18" s="332"/>
      <c r="R18" s="332"/>
      <c r="S18" s="210"/>
    </row>
    <row r="19" spans="2:19">
      <c r="B19" s="343" t="s">
        <v>101</v>
      </c>
      <c r="C19" s="317" t="s">
        <v>70</v>
      </c>
      <c r="D19" s="322" t="s">
        <v>112</v>
      </c>
      <c r="E19" s="306" t="s">
        <v>144</v>
      </c>
      <c r="F19" s="306" t="s">
        <v>145</v>
      </c>
      <c r="G19" s="306" t="s">
        <v>113</v>
      </c>
      <c r="H19" s="306" t="s">
        <v>114</v>
      </c>
      <c r="I19" s="307" t="s">
        <v>128</v>
      </c>
      <c r="J19" s="307"/>
      <c r="K19" s="210"/>
      <c r="L19" s="332"/>
      <c r="M19" s="332"/>
      <c r="N19" s="332"/>
      <c r="O19" s="332"/>
      <c r="P19" s="332"/>
      <c r="Q19" s="332"/>
      <c r="R19" s="332"/>
      <c r="S19" s="210"/>
    </row>
    <row r="20" spans="2:19">
      <c r="B20" s="344" t="s">
        <v>4</v>
      </c>
      <c r="C20" s="318">
        <f>'Samenvatting mixen'!B4</f>
        <v>0.56957760389429679</v>
      </c>
      <c r="D20" s="323">
        <f>'Samenvatting mixen'!B15</f>
        <v>0.57339020469276714</v>
      </c>
      <c r="E20" s="85">
        <f>'Samenvatting mixen'!B26</f>
        <v>0.6187616483707723</v>
      </c>
      <c r="F20" s="85">
        <f>'Samenvatting mixen'!B37</f>
        <v>0.56917562882673234</v>
      </c>
      <c r="G20" s="85">
        <f>'Samenvatting mixen'!B48</f>
        <v>0.64512232819647941</v>
      </c>
      <c r="H20" s="85">
        <f>'Samenvatting mixen'!B59</f>
        <v>0.64585877141725645</v>
      </c>
      <c r="I20" s="308">
        <f>'Samenvatting mixen'!B70</f>
        <v>0.64512232819647941</v>
      </c>
      <c r="J20" s="308"/>
      <c r="K20" s="210"/>
      <c r="L20" s="332"/>
      <c r="M20" s="332"/>
      <c r="N20" s="332"/>
      <c r="O20" s="332"/>
      <c r="P20" s="332"/>
      <c r="Q20" s="332"/>
      <c r="R20" s="332"/>
      <c r="S20" s="210"/>
    </row>
    <row r="21" spans="2:19">
      <c r="B21" s="344" t="s">
        <v>5</v>
      </c>
      <c r="C21" s="318">
        <f>'Samenvatting mixen'!B5</f>
        <v>8.234989031351643E-2</v>
      </c>
      <c r="D21" s="323">
        <f>'Samenvatting mixen'!B16</f>
        <v>8.517733472513811E-2</v>
      </c>
      <c r="E21" s="85">
        <f>'Samenvatting mixen'!B27</f>
        <v>7.370395134052643E-2</v>
      </c>
      <c r="F21" s="85">
        <f>'Samenvatting mixen'!B38</f>
        <v>8.2778883842798759E-2</v>
      </c>
      <c r="G21" s="85">
        <f>'Samenvatting mixen'!B49</f>
        <v>8.1679007668728598E-2</v>
      </c>
      <c r="H21" s="85">
        <f>'Samenvatting mixen'!B60</f>
        <v>8.5616993213352283E-2</v>
      </c>
      <c r="I21" s="308">
        <f>'Samenvatting mixen'!B71</f>
        <v>8.1679007668728598E-2</v>
      </c>
      <c r="J21" s="308"/>
      <c r="K21" s="210"/>
      <c r="L21" s="332"/>
      <c r="M21" s="332"/>
      <c r="N21" s="332"/>
      <c r="O21" s="332"/>
      <c r="P21" s="332"/>
      <c r="Q21" s="332"/>
      <c r="R21" s="332"/>
      <c r="S21" s="210"/>
    </row>
    <row r="22" spans="2:19">
      <c r="B22" s="344" t="s">
        <v>6</v>
      </c>
      <c r="C22" s="318">
        <f>'Samenvatting mixen'!B6</f>
        <v>8.2239223091742183E-2</v>
      </c>
      <c r="D22" s="323">
        <f>'Samenvatting mixen'!B17</f>
        <v>0.10002617308854149</v>
      </c>
      <c r="E22" s="85">
        <f>'Samenvatting mixen'!B28</f>
        <v>8.7666145424869751E-2</v>
      </c>
      <c r="F22" s="85">
        <f>'Samenvatting mixen'!B39</f>
        <v>9.7281153771637929E-2</v>
      </c>
      <c r="G22" s="85">
        <f>'Samenvatting mixen'!B50</f>
        <v>7.7862828569804726E-2</v>
      </c>
      <c r="H22" s="85">
        <f>'Samenvatting mixen'!B61</f>
        <v>7.6577965529641134E-2</v>
      </c>
      <c r="I22" s="308">
        <f>'Samenvatting mixen'!B72</f>
        <v>7.7862828569804726E-2</v>
      </c>
      <c r="J22" s="308"/>
      <c r="K22" s="210"/>
      <c r="L22" s="332"/>
      <c r="M22" s="332"/>
      <c r="N22" s="332"/>
      <c r="O22" s="332"/>
      <c r="P22" s="332"/>
      <c r="Q22" s="332"/>
      <c r="R22" s="332"/>
      <c r="S22" s="210"/>
    </row>
    <row r="23" spans="2:19">
      <c r="B23" s="344" t="s">
        <v>7</v>
      </c>
      <c r="C23" s="318">
        <f>'Samenvatting mixen'!B7</f>
        <v>0.12499999987365232</v>
      </c>
      <c r="D23" s="323">
        <f>'Samenvatting mixen'!B18</f>
        <v>8.6256782361480502E-2</v>
      </c>
      <c r="E23" s="85">
        <f>'Samenvatting mixen'!B29</f>
        <v>8.010001294145376E-2</v>
      </c>
      <c r="F23" s="85">
        <f>'Samenvatting mixen'!B40</f>
        <v>9.7869964316561572E-2</v>
      </c>
      <c r="G23" s="85">
        <f>'Samenvatting mixen'!B51</f>
        <v>8.1614199194517276E-2</v>
      </c>
      <c r="H23" s="85">
        <f>'Samenvatting mixen'!B62</f>
        <v>8.0645447923746602E-2</v>
      </c>
      <c r="I23" s="308">
        <f>'Samenvatting mixen'!B73</f>
        <v>8.1614199194517276E-2</v>
      </c>
      <c r="J23" s="308"/>
      <c r="K23" s="210"/>
      <c r="L23" s="332"/>
      <c r="M23" s="332"/>
      <c r="N23" s="332"/>
      <c r="O23" s="332"/>
      <c r="P23" s="332"/>
      <c r="Q23" s="332"/>
      <c r="R23" s="332"/>
      <c r="S23" s="210"/>
    </row>
    <row r="24" spans="2:19">
      <c r="B24" s="344" t="s">
        <v>8</v>
      </c>
      <c r="C24" s="318">
        <f>'Samenvatting mixen'!B8</f>
        <v>5.107462899562637E-2</v>
      </c>
      <c r="D24" s="323">
        <f>'Samenvatting mixen'!B19</f>
        <v>6.6248653389072085E-2</v>
      </c>
      <c r="E24" s="85">
        <f>'Samenvatting mixen'!B30</f>
        <v>4.9999036120677569E-2</v>
      </c>
      <c r="F24" s="85">
        <f>'Samenvatting mixen'!B41</f>
        <v>6.648673890640365E-2</v>
      </c>
      <c r="G24" s="85">
        <f>'Samenvatting mixen'!B52</f>
        <v>3.0227444774883386E-2</v>
      </c>
      <c r="H24" s="85">
        <f>'Samenvatting mixen'!B63</f>
        <v>2.8294315542892062E-2</v>
      </c>
      <c r="I24" s="308">
        <f>'Samenvatting mixen'!B74</f>
        <v>3.0227444774883386E-2</v>
      </c>
      <c r="J24" s="308"/>
      <c r="K24" s="210"/>
      <c r="L24" s="332"/>
      <c r="M24" s="332"/>
      <c r="N24" s="332"/>
      <c r="O24" s="332"/>
      <c r="P24" s="332"/>
      <c r="Q24" s="332"/>
      <c r="R24" s="332"/>
      <c r="S24" s="210"/>
    </row>
    <row r="25" spans="2:19">
      <c r="B25" s="344" t="s">
        <v>9</v>
      </c>
      <c r="C25" s="318">
        <f>'Samenvatting mixen'!B9</f>
        <v>1.7725376550572075E-2</v>
      </c>
      <c r="D25" s="323">
        <f>'Samenvatting mixen'!B20</f>
        <v>1.7105799751665905E-2</v>
      </c>
      <c r="E25" s="85">
        <f>'Samenvatting mixen'!B31</f>
        <v>1.9314474619697278E-2</v>
      </c>
      <c r="F25" s="85">
        <f>'Samenvatting mixen'!B42</f>
        <v>1.5037148867129702E-2</v>
      </c>
      <c r="G25" s="85">
        <f>'Samenvatting mixen'!B53</f>
        <v>1.3485293149846511E-2</v>
      </c>
      <c r="H25" s="85">
        <f>'Samenvatting mixen'!B64</f>
        <v>1.3130379922207476E-2</v>
      </c>
      <c r="I25" s="308">
        <f>'Samenvatting mixen'!B75</f>
        <v>1.3485293149846511E-2</v>
      </c>
      <c r="J25" s="308"/>
      <c r="K25" s="210"/>
      <c r="L25" s="332"/>
      <c r="M25" s="332"/>
      <c r="N25" s="332"/>
      <c r="O25" s="332"/>
      <c r="P25" s="332"/>
      <c r="Q25" s="332"/>
      <c r="R25" s="332"/>
      <c r="S25" s="210"/>
    </row>
    <row r="26" spans="2:19">
      <c r="B26" s="344" t="s">
        <v>10</v>
      </c>
      <c r="C26" s="318">
        <f>'Samenvatting mixen'!B10</f>
        <v>2.8315560865201414E-2</v>
      </c>
      <c r="D26" s="323">
        <f>'Samenvatting mixen'!B21</f>
        <v>2.8385429599375185E-2</v>
      </c>
      <c r="E26" s="85">
        <f>'Samenvatting mixen'!B32</f>
        <v>2.7597379256667377E-2</v>
      </c>
      <c r="F26" s="85">
        <f>'Samenvatting mixen'!B43</f>
        <v>2.6982990988087412E-2</v>
      </c>
      <c r="G26" s="85">
        <f>'Samenvatting mixen'!B54</f>
        <v>2.8327145377825311E-2</v>
      </c>
      <c r="H26" s="85">
        <f>'Samenvatting mixen'!B65</f>
        <v>2.8127895474526422E-2</v>
      </c>
      <c r="I26" s="308">
        <f>'Samenvatting mixen'!B76</f>
        <v>2.8327145377825311E-2</v>
      </c>
      <c r="J26" s="308"/>
      <c r="K26" s="210"/>
      <c r="L26" s="332"/>
      <c r="M26" s="332"/>
      <c r="N26" s="332"/>
      <c r="O26" s="332"/>
      <c r="P26" s="332"/>
      <c r="Q26" s="332"/>
      <c r="R26" s="332"/>
      <c r="S26" s="210"/>
    </row>
    <row r="27" spans="2:19">
      <c r="B27" s="345" t="s">
        <v>11</v>
      </c>
      <c r="C27" s="319">
        <f>'Samenvatting mixen'!B11</f>
        <v>4.3717716415392627E-2</v>
      </c>
      <c r="D27" s="324">
        <f>'Samenvatting mixen'!B22</f>
        <v>4.3409622391959328E-2</v>
      </c>
      <c r="E27" s="309">
        <f>'Samenvatting mixen'!B33</f>
        <v>4.2857351925335192E-2</v>
      </c>
      <c r="F27" s="309">
        <f>'Samenvatting mixen'!B44</f>
        <v>4.4387490480648294E-2</v>
      </c>
      <c r="G27" s="309">
        <f>'Samenvatting mixen'!B55</f>
        <v>4.1681753067914426E-2</v>
      </c>
      <c r="H27" s="309">
        <f>'Samenvatting mixen'!B66</f>
        <v>4.1748230976377837E-2</v>
      </c>
      <c r="I27" s="310">
        <f>'Samenvatting mixen'!B77</f>
        <v>4.1681753067914426E-2</v>
      </c>
      <c r="J27" s="310"/>
      <c r="K27" s="210"/>
      <c r="L27" s="332"/>
      <c r="M27" s="332"/>
      <c r="N27" s="332"/>
      <c r="O27" s="332"/>
      <c r="P27" s="332"/>
      <c r="Q27" s="332"/>
      <c r="R27" s="332"/>
      <c r="S27" s="2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extra analyze</vt:lpstr>
      <vt:lpstr>single aandelen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2013-06-04T14:42:36Z</dcterms:modified>
</cp:coreProperties>
</file>