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14415" windowHeight="1216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10" i="11"/>
  <c r="J10"/>
  <c r="C9"/>
  <c r="J9"/>
  <c r="C8"/>
  <c r="J8"/>
  <c r="C7"/>
  <c r="J7"/>
  <c r="C6"/>
  <c r="J6"/>
  <c r="C5"/>
  <c r="J5"/>
  <c r="C4"/>
  <c r="J4"/>
  <c r="C3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I31"/>
  <c r="I30"/>
  <c r="I29"/>
  <c r="I28"/>
  <c r="I27"/>
  <c r="I26"/>
  <c r="I25"/>
  <c r="I24"/>
  <c r="J35" i="11"/>
  <c r="I35"/>
  <c r="H35"/>
  <c r="K35"/>
  <c r="I38"/>
  <c r="H38"/>
  <c r="K38"/>
  <c r="B6" i="9"/>
  <c r="B7"/>
  <c r="I37" i="11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D33" i="7"/>
  <c r="F33"/>
  <c r="B33"/>
  <c r="G33"/>
  <c r="H33"/>
  <c r="I33"/>
  <c r="J12" i="11"/>
  <c r="I12"/>
  <c r="H12"/>
  <c r="E12"/>
  <c r="D12"/>
  <c r="C12"/>
  <c r="E35" i="7"/>
  <c r="F35"/>
  <c r="B31"/>
  <c r="B30"/>
  <c r="B29"/>
  <c r="B28"/>
  <c r="B27"/>
  <c r="B26"/>
  <c r="B25"/>
  <c r="B24"/>
  <c r="G7" i="9"/>
  <c r="G6"/>
  <c r="G3"/>
  <c r="G4"/>
  <c r="G5"/>
  <c r="G8"/>
  <c r="G9"/>
  <c r="G10"/>
  <c r="D10"/>
  <c r="D9"/>
  <c r="C10"/>
  <c r="C9"/>
  <c r="A21" i="5"/>
  <c r="A22"/>
  <c r="A23"/>
  <c r="A24"/>
  <c r="A25"/>
  <c r="A26"/>
  <c r="G5"/>
  <c r="H5"/>
  <c r="B11" i="9"/>
  <c r="B27"/>
  <c r="D27" i="5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<sst xmlns="http://schemas.openxmlformats.org/spreadsheetml/2006/main" count="585" uniqueCount="150">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</sst>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88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4"/>
          <c:w val="0.5562682138416909"/>
          <c:h val="0.692582184133051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7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0.58412241952216271</c:v>
                </c:pt>
                <c:pt idx="1">
                  <c:v>0.12549640516374622</c:v>
                </c:pt>
                <c:pt idx="2">
                  <c:v>6.3082949298087901E-2</c:v>
                </c:pt>
                <c:pt idx="3">
                  <c:v>8.4012308431003019E-2</c:v>
                </c:pt>
                <c:pt idx="4">
                  <c:v>5.9441103986355118E-2</c:v>
                </c:pt>
                <c:pt idx="5">
                  <c:v>3.1056360435763103E-3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0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293638144"/>
        <c:axId val="29364044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293638144"/>
        <c:axId val="293640448"/>
      </c:lineChart>
      <c:catAx>
        <c:axId val="293638144"/>
        <c:scaling>
          <c:orientation val="minMax"/>
        </c:scaling>
        <c:axPos val="b"/>
        <c:tickLblPos val="nextTo"/>
        <c:crossAx val="293640448"/>
        <c:crosses val="autoZero"/>
        <c:auto val="1"/>
        <c:lblAlgn val="ctr"/>
        <c:lblOffset val="100"/>
      </c:catAx>
      <c:valAx>
        <c:axId val="293640448"/>
        <c:scaling>
          <c:orientation val="minMax"/>
        </c:scaling>
        <c:axPos val="l"/>
        <c:majorGridlines/>
        <c:numFmt formatCode="0%" sourceLinked="0"/>
        <c:tickLblPos val="nextTo"/>
        <c:crossAx val="2936381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-7.1450317109812783E-2</c:v>
                </c:pt>
                <c:pt idx="2">
                  <c:v>-5.2630677807847914E-2</c:v>
                </c:pt>
                <c:pt idx="3">
                  <c:v>-0.19512687848593468</c:v>
                </c:pt>
                <c:pt idx="4">
                  <c:v>-7.9881478458451574E-2</c:v>
                </c:pt>
                <c:pt idx="5">
                  <c:v>-3.284707730570241E-2</c:v>
                </c:pt>
                <c:pt idx="6">
                  <c:v>-6.6050814940221969E-2</c:v>
                </c:pt>
                <c:pt idx="7">
                  <c:v>-0.14420836692556077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9.9922050236853827E-2</c:v>
                </c:pt>
                <c:pt idx="2">
                  <c:v>4.5771750914075364E-2</c:v>
                </c:pt>
                <c:pt idx="3">
                  <c:v>8.918969122838788E-2</c:v>
                </c:pt>
                <c:pt idx="4">
                  <c:v>0.15365069945175694</c:v>
                </c:pt>
                <c:pt idx="5">
                  <c:v>0.10991050604096422</c:v>
                </c:pt>
                <c:pt idx="6">
                  <c:v>5.2412836889020015E-2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0.31144182690352051</c:v>
                </c:pt>
                <c:pt idx="2">
                  <c:v>0.2801756404130179</c:v>
                </c:pt>
                <c:pt idx="3">
                  <c:v>0.45156602820227343</c:v>
                </c:pt>
                <c:pt idx="4">
                  <c:v>0.41480121988631424</c:v>
                </c:pt>
                <c:pt idx="5">
                  <c:v>0.65436153607763092</c:v>
                </c:pt>
                <c:pt idx="6">
                  <c:v>0.30889090504194383</c:v>
                </c:pt>
                <c:pt idx="7">
                  <c:v>0.43571794524441654</c:v>
                </c:pt>
              </c:numCache>
            </c:numRef>
          </c:val>
        </c:ser>
        <c:axId val="86845696"/>
        <c:axId val="86851584"/>
      </c:barChart>
      <c:catAx>
        <c:axId val="86845696"/>
        <c:scaling>
          <c:orientation val="minMax"/>
        </c:scaling>
        <c:axPos val="b"/>
        <c:tickLblPos val="nextTo"/>
        <c:crossAx val="86851584"/>
        <c:crosses val="autoZero"/>
        <c:auto val="1"/>
        <c:lblAlgn val="ctr"/>
        <c:lblOffset val="100"/>
      </c:catAx>
      <c:valAx>
        <c:axId val="86851584"/>
        <c:scaling>
          <c:orientation val="minMax"/>
        </c:scaling>
        <c:axPos val="l"/>
        <c:majorGridlines/>
        <c:numFmt formatCode="0.0%" sourceLinked="1"/>
        <c:tickLblPos val="nextTo"/>
        <c:crossAx val="86845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93"/>
          <c:y val="0.30999086720261992"/>
          <c:w val="0.27290015295627634"/>
          <c:h val="0.50313982945017577"/>
        </c:manualLayout>
      </c:layout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overlap val="100"/>
        <c:axId val="86878080"/>
        <c:axId val="8688435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86878080"/>
        <c:axId val="86884352"/>
      </c:lineChart>
      <c:catAx>
        <c:axId val="86878080"/>
        <c:scaling>
          <c:orientation val="minMax"/>
        </c:scaling>
        <c:axPos val="b"/>
        <c:numFmt formatCode="General" sourceLinked="1"/>
        <c:tickLblPos val="nextTo"/>
        <c:crossAx val="86884352"/>
        <c:crosses val="autoZero"/>
        <c:auto val="1"/>
        <c:lblAlgn val="ctr"/>
        <c:lblOffset val="100"/>
      </c:catAx>
      <c:valAx>
        <c:axId val="86884352"/>
        <c:scaling>
          <c:orientation val="minMax"/>
        </c:scaling>
        <c:axPos val="l"/>
        <c:majorGridlines/>
        <c:numFmt formatCode="0%" sourceLinked="0"/>
        <c:tickLblPos val="nextTo"/>
        <c:crossAx val="868780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-7.1450317109812783E-2</c:v>
                </c:pt>
                <c:pt idx="2">
                  <c:v>-5.2630677807847914E-2</c:v>
                </c:pt>
                <c:pt idx="3">
                  <c:v>-0.19512687848593468</c:v>
                </c:pt>
                <c:pt idx="4">
                  <c:v>-7.9881478458451574E-2</c:v>
                </c:pt>
                <c:pt idx="5">
                  <c:v>-3.284707730570241E-2</c:v>
                </c:pt>
                <c:pt idx="6">
                  <c:v>-6.6050814940221969E-2</c:v>
                </c:pt>
                <c:pt idx="7">
                  <c:v>-0.14420836692556077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9.9922050236853827E-2</c:v>
                </c:pt>
                <c:pt idx="2">
                  <c:v>4.5771750914075364E-2</c:v>
                </c:pt>
                <c:pt idx="3">
                  <c:v>8.918969122838788E-2</c:v>
                </c:pt>
                <c:pt idx="4">
                  <c:v>0.15365069945175694</c:v>
                </c:pt>
                <c:pt idx="5">
                  <c:v>0.10991050604096422</c:v>
                </c:pt>
                <c:pt idx="6">
                  <c:v>5.2412836889020015E-2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-0.40234371147647946</c:v>
                </c:pt>
                <c:pt idx="2">
                  <c:v>-0.39719411345955147</c:v>
                </c:pt>
                <c:pt idx="3">
                  <c:v>-0.5628013453934434</c:v>
                </c:pt>
                <c:pt idx="4">
                  <c:v>-0.39124920785250294</c:v>
                </c:pt>
                <c:pt idx="5">
                  <c:v>-0.527954509512369</c:v>
                </c:pt>
                <c:pt idx="6">
                  <c:v>-0.23066484290463032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-0.41624465647647951</c:v>
                </c:pt>
                <c:pt idx="2">
                  <c:v>-0.17860398021235152</c:v>
                </c:pt>
                <c:pt idx="3">
                  <c:v>-0.46447856989823566</c:v>
                </c:pt>
                <c:pt idx="4">
                  <c:v>-0.25955043219214274</c:v>
                </c:pt>
                <c:pt idx="5">
                  <c:v>-0.56384711463070247</c:v>
                </c:pt>
                <c:pt idx="6">
                  <c:v>-9.3346284848618948E-3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0.31144182690352051</c:v>
                </c:pt>
                <c:pt idx="2">
                  <c:v>0.2801756404130179</c:v>
                </c:pt>
                <c:pt idx="3">
                  <c:v>0.45156602820227343</c:v>
                </c:pt>
                <c:pt idx="4">
                  <c:v>0.41480121988631424</c:v>
                </c:pt>
                <c:pt idx="5">
                  <c:v>0.65436153607763092</c:v>
                </c:pt>
                <c:pt idx="6">
                  <c:v>0.30889090504194383</c:v>
                </c:pt>
                <c:pt idx="7">
                  <c:v>0.43571794524441654</c:v>
                </c:pt>
              </c:numCache>
            </c:numRef>
          </c:val>
        </c:ser>
        <c:axId val="87007616"/>
        <c:axId val="87009152"/>
      </c:barChart>
      <c:catAx>
        <c:axId val="87007616"/>
        <c:scaling>
          <c:orientation val="minMax"/>
        </c:scaling>
        <c:axPos val="b"/>
        <c:tickLblPos val="nextTo"/>
        <c:crossAx val="87009152"/>
        <c:crosses val="autoZero"/>
        <c:auto val="1"/>
        <c:lblAlgn val="ctr"/>
        <c:lblOffset val="100"/>
      </c:catAx>
      <c:valAx>
        <c:axId val="87009152"/>
        <c:scaling>
          <c:orientation val="minMax"/>
        </c:scaling>
        <c:axPos val="l"/>
        <c:majorGridlines/>
        <c:numFmt formatCode="0.0%" sourceLinked="1"/>
        <c:tickLblPos val="nextTo"/>
        <c:crossAx val="87007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9600218722659682"/>
          <c:y val="0.21878129039840419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0.58124654345623461</c:v>
                </c:pt>
                <c:pt idx="1">
                  <c:v>7.8241841099571413E-2</c:v>
                </c:pt>
                <c:pt idx="2">
                  <c:v>6.5230540723158675E-2</c:v>
                </c:pt>
                <c:pt idx="3">
                  <c:v>0.10176771845428198</c:v>
                </c:pt>
                <c:pt idx="4">
                  <c:v>3.3895417289285454E-2</c:v>
                </c:pt>
                <c:pt idx="5">
                  <c:v>7.3962316174081634E-5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7.4531385724114774E-3</c:v>
                </c:pt>
                <c:pt idx="1">
                  <c:v>1.5682960987225103E-2</c:v>
                </c:pt>
                <c:pt idx="2">
                  <c:v>1.5832812451389955E-2</c:v>
                </c:pt>
                <c:pt idx="3">
                  <c:v>9.494251889479069E-3</c:v>
                </c:pt>
                <c:pt idx="4">
                  <c:v>9.369890542756526E-3</c:v>
                </c:pt>
                <c:pt idx="5">
                  <c:v>9.7174466296295263E-4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8.4498509283492673E-3</c:v>
                </c:pt>
                <c:pt idx="1">
                  <c:v>1.3507103800199025E-2</c:v>
                </c:pt>
                <c:pt idx="2">
                  <c:v>1.2189416728764613E-2</c:v>
                </c:pt>
                <c:pt idx="3">
                  <c:v>9.8884750876806066E-3</c:v>
                </c:pt>
                <c:pt idx="4">
                  <c:v>7.5238263931674543E-3</c:v>
                </c:pt>
                <c:pt idx="5">
                  <c:v>6.3128982319550107E-4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339008"/>
        <c:axId val="87340544"/>
      </c:barChart>
      <c:catAx>
        <c:axId val="87339008"/>
        <c:scaling>
          <c:orientation val="minMax"/>
        </c:scaling>
        <c:axPos val="l"/>
        <c:numFmt formatCode="0%" sourceLinked="1"/>
        <c:tickLblPos val="nextTo"/>
        <c:crossAx val="87340544"/>
        <c:crosses val="autoZero"/>
        <c:auto val="1"/>
        <c:lblAlgn val="ctr"/>
        <c:lblOffset val="100"/>
      </c:catAx>
      <c:valAx>
        <c:axId val="87340544"/>
        <c:scaling>
          <c:orientation val="minMax"/>
        </c:scaling>
        <c:axPos val="b"/>
        <c:majorGridlines/>
        <c:numFmt formatCode="0%" sourceLinked="0"/>
        <c:tickLblPos val="nextTo"/>
        <c:crossAx val="8733900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427328"/>
        <c:axId val="87437312"/>
      </c:barChart>
      <c:catAx>
        <c:axId val="87427328"/>
        <c:scaling>
          <c:orientation val="minMax"/>
        </c:scaling>
        <c:axPos val="l"/>
        <c:numFmt formatCode="0%" sourceLinked="1"/>
        <c:tickLblPos val="nextTo"/>
        <c:crossAx val="87437312"/>
        <c:crosses val="autoZero"/>
        <c:auto val="1"/>
        <c:lblAlgn val="ctr"/>
        <c:lblOffset val="100"/>
      </c:catAx>
      <c:valAx>
        <c:axId val="87437312"/>
        <c:scaling>
          <c:orientation val="minMax"/>
        </c:scaling>
        <c:axPos val="b"/>
        <c:majorGridlines/>
        <c:numFmt formatCode="0%" sourceLinked="0"/>
        <c:tickLblPos val="nextTo"/>
        <c:crossAx val="874273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0.6022646885908407</c:v>
                </c:pt>
                <c:pt idx="1">
                  <c:v>5.7385622481716692E-2</c:v>
                </c:pt>
                <c:pt idx="2">
                  <c:v>6.0245746922432092E-2</c:v>
                </c:pt>
                <c:pt idx="3">
                  <c:v>7.6265049988185285E-2</c:v>
                </c:pt>
                <c:pt idx="4">
                  <c:v>7.6161040351638468E-2</c:v>
                </c:pt>
                <c:pt idx="5">
                  <c:v>6.546477689879978E-4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6.960872730857548E-3</c:v>
                </c:pt>
                <c:pt idx="1">
                  <c:v>1.059691251317986E-2</c:v>
                </c:pt>
                <c:pt idx="2">
                  <c:v>1.2980773081343974E-2</c:v>
                </c:pt>
                <c:pt idx="3">
                  <c:v>2.824989030653563E-3</c:v>
                </c:pt>
                <c:pt idx="4">
                  <c:v>6.6285624004458477E-3</c:v>
                </c:pt>
                <c:pt idx="5">
                  <c:v>6.2919165846488621E-3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7.0766536797640667E-3</c:v>
                </c:pt>
                <c:pt idx="1">
                  <c:v>7.80058169103931E-3</c:v>
                </c:pt>
                <c:pt idx="2">
                  <c:v>1.1601352470504381E-2</c:v>
                </c:pt>
                <c:pt idx="3">
                  <c:v>1.7874908826896185E-3</c:v>
                </c:pt>
                <c:pt idx="4">
                  <c:v>6.9293165991906186E-3</c:v>
                </c:pt>
                <c:pt idx="5">
                  <c:v>3.7006966273010495E-3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463040"/>
        <c:axId val="87464576"/>
      </c:barChart>
      <c:catAx>
        <c:axId val="87463040"/>
        <c:scaling>
          <c:orientation val="minMax"/>
        </c:scaling>
        <c:axPos val="l"/>
        <c:numFmt formatCode="0%" sourceLinked="1"/>
        <c:tickLblPos val="nextTo"/>
        <c:crossAx val="87464576"/>
        <c:crosses val="autoZero"/>
        <c:auto val="1"/>
        <c:lblAlgn val="ctr"/>
        <c:lblOffset val="100"/>
      </c:catAx>
      <c:valAx>
        <c:axId val="87464576"/>
        <c:scaling>
          <c:orientation val="minMax"/>
        </c:scaling>
        <c:axPos val="b"/>
        <c:majorGridlines/>
        <c:numFmt formatCode="0%" sourceLinked="0"/>
        <c:tickLblPos val="nextTo"/>
        <c:crossAx val="874630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485824"/>
        <c:axId val="87573632"/>
      </c:barChart>
      <c:catAx>
        <c:axId val="87485824"/>
        <c:scaling>
          <c:orientation val="minMax"/>
        </c:scaling>
        <c:axPos val="l"/>
        <c:tickLblPos val="nextTo"/>
        <c:crossAx val="87573632"/>
        <c:crosses val="autoZero"/>
        <c:auto val="1"/>
        <c:lblAlgn val="ctr"/>
        <c:lblOffset val="100"/>
      </c:catAx>
      <c:valAx>
        <c:axId val="87573632"/>
        <c:scaling>
          <c:orientation val="minMax"/>
        </c:scaling>
        <c:axPos val="b"/>
        <c:majorGridlines/>
        <c:numFmt formatCode="0%" sourceLinked="0"/>
        <c:tickLblPos val="nextTo"/>
        <c:crossAx val="87485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611264"/>
        <c:axId val="87612800"/>
      </c:barChart>
      <c:catAx>
        <c:axId val="87611264"/>
        <c:scaling>
          <c:orientation val="minMax"/>
        </c:scaling>
        <c:axPos val="l"/>
        <c:tickLblPos val="nextTo"/>
        <c:crossAx val="87612800"/>
        <c:crosses val="autoZero"/>
        <c:auto val="1"/>
        <c:lblAlgn val="ctr"/>
        <c:lblOffset val="100"/>
      </c:catAx>
      <c:valAx>
        <c:axId val="87612800"/>
        <c:scaling>
          <c:orientation val="minMax"/>
        </c:scaling>
        <c:axPos val="b"/>
        <c:majorGridlines/>
        <c:numFmt formatCode="0%" sourceLinked="0"/>
        <c:tickLblPos val="nextTo"/>
        <c:crossAx val="876112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0.64653478143230725</c:v>
                </c:pt>
                <c:pt idx="1">
                  <c:v>7.9284281816252855E-2</c:v>
                </c:pt>
                <c:pt idx="2">
                  <c:v>6.146671202516199E-2</c:v>
                </c:pt>
                <c:pt idx="3">
                  <c:v>7.5492867517471793E-2</c:v>
                </c:pt>
                <c:pt idx="4">
                  <c:v>2.50513810662947E-2</c:v>
                </c:pt>
                <c:pt idx="5">
                  <c:v>1.1461764960437912E-4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1.4925550522845166E-3</c:v>
                </c:pt>
                <c:pt idx="1">
                  <c:v>1.107171377700257E-2</c:v>
                </c:pt>
                <c:pt idx="2">
                  <c:v>1.2321481590119948E-2</c:v>
                </c:pt>
                <c:pt idx="3">
                  <c:v>2.5140007473852116E-3</c:v>
                </c:pt>
                <c:pt idx="4">
                  <c:v>1.9810224858183845E-3</c:v>
                </c:pt>
                <c:pt idx="5">
                  <c:v>1.935407285227879E-3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1.9135111599561938E-3</c:v>
                </c:pt>
                <c:pt idx="1">
                  <c:v>1.2276104226401255E-2</c:v>
                </c:pt>
                <c:pt idx="2">
                  <c:v>1.1658930931913752E-2</c:v>
                </c:pt>
                <c:pt idx="3">
                  <c:v>1.7008249089034838E-3</c:v>
                </c:pt>
                <c:pt idx="4">
                  <c:v>1.6565124309841535E-3</c:v>
                </c:pt>
                <c:pt idx="5">
                  <c:v>1.0856837702770046E-3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638400"/>
        <c:axId val="87639936"/>
      </c:barChart>
      <c:catAx>
        <c:axId val="87638400"/>
        <c:scaling>
          <c:orientation val="minMax"/>
        </c:scaling>
        <c:axPos val="l"/>
        <c:tickLblPos val="nextTo"/>
        <c:crossAx val="87639936"/>
        <c:crosses val="autoZero"/>
        <c:auto val="1"/>
        <c:lblAlgn val="ctr"/>
        <c:lblOffset val="100"/>
      </c:catAx>
      <c:valAx>
        <c:axId val="87639936"/>
        <c:scaling>
          <c:orientation val="minMax"/>
        </c:scaling>
        <c:axPos val="b"/>
        <c:majorGridlines/>
        <c:numFmt formatCode="0%" sourceLinked="0"/>
        <c:tickLblPos val="nextTo"/>
        <c:crossAx val="876384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0.63916610841259169</c:v>
                </c:pt>
                <c:pt idx="1">
                  <c:v>5.6103807526378918E-2</c:v>
                </c:pt>
                <c:pt idx="2">
                  <c:v>6.831873134764968E-2</c:v>
                </c:pt>
                <c:pt idx="3">
                  <c:v>7.5614355155099247E-2</c:v>
                </c:pt>
                <c:pt idx="4">
                  <c:v>2.7745695828844043E-2</c:v>
                </c:pt>
                <c:pt idx="5">
                  <c:v>6.7185733438806993E-3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3.4463299398065361E-3</c:v>
                </c:pt>
                <c:pt idx="1">
                  <c:v>7.576598206840035E-3</c:v>
                </c:pt>
                <c:pt idx="2">
                  <c:v>1.3467914055778324E-2</c:v>
                </c:pt>
                <c:pt idx="3">
                  <c:v>1.3123041070630254E-3</c:v>
                </c:pt>
                <c:pt idx="4">
                  <c:v>6.0287884823344434E-3</c:v>
                </c:pt>
                <c:pt idx="5">
                  <c:v>1.3761616038664971E-2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4.6744257183554128E-3</c:v>
                </c:pt>
                <c:pt idx="1">
                  <c:v>6.3088197119671729E-3</c:v>
                </c:pt>
                <c:pt idx="2">
                  <c:v>1.1506927728624633E-2</c:v>
                </c:pt>
                <c:pt idx="3">
                  <c:v>8.1915565253659617E-4</c:v>
                </c:pt>
                <c:pt idx="4">
                  <c:v>4.2844058626146583E-3</c:v>
                </c:pt>
                <c:pt idx="5">
                  <c:v>1.0623946037037472E-2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87665280"/>
        <c:axId val="87675264"/>
      </c:barChart>
      <c:catAx>
        <c:axId val="87665280"/>
        <c:scaling>
          <c:orientation val="minMax"/>
        </c:scaling>
        <c:axPos val="l"/>
        <c:numFmt formatCode="0%" sourceLinked="1"/>
        <c:tickLblPos val="nextTo"/>
        <c:crossAx val="87675264"/>
        <c:crosses val="autoZero"/>
        <c:auto val="1"/>
        <c:lblAlgn val="ctr"/>
        <c:lblOffset val="100"/>
      </c:catAx>
      <c:valAx>
        <c:axId val="87675264"/>
        <c:scaling>
          <c:orientation val="minMax"/>
        </c:scaling>
        <c:axPos val="b"/>
        <c:majorGridlines/>
        <c:numFmt formatCode="0%" sourceLinked="0"/>
        <c:tickLblPos val="nextTo"/>
        <c:crossAx val="876652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133448832"/>
        <c:axId val="133450368"/>
      </c:barChart>
      <c:catAx>
        <c:axId val="133448832"/>
        <c:scaling>
          <c:orientation val="minMax"/>
        </c:scaling>
        <c:axPos val="l"/>
        <c:tickLblPos val="nextTo"/>
        <c:crossAx val="133450368"/>
        <c:crosses val="autoZero"/>
        <c:auto val="1"/>
        <c:lblAlgn val="ctr"/>
        <c:lblOffset val="100"/>
      </c:catAx>
      <c:valAx>
        <c:axId val="133450368"/>
        <c:scaling>
          <c:orientation val="minMax"/>
        </c:scaling>
        <c:axPos val="b"/>
        <c:majorGridlines/>
        <c:numFmt formatCode="0%" sourceLinked="0"/>
        <c:tickLblPos val="nextTo"/>
        <c:crossAx val="133448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0.17931875226053665</c:v>
                </c:pt>
                <c:pt idx="1">
                  <c:v>0.14950353377783079</c:v>
                </c:pt>
                <c:pt idx="2">
                  <c:v>0.23383164932612815</c:v>
                </c:pt>
                <c:pt idx="3">
                  <c:v>7.4774577957042745E-2</c:v>
                </c:pt>
                <c:pt idx="4">
                  <c:v>5.0815875857100815E-5</c:v>
                </c:pt>
                <c:pt idx="5">
                  <c:v>7.6172302858184951E-2</c:v>
                </c:pt>
                <c:pt idx="6">
                  <c:v>0.11484170803191623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4.8196806803966957E-2</c:v>
                </c:pt>
                <c:pt idx="1">
                  <c:v>4.7094608034736946E-2</c:v>
                </c:pt>
                <c:pt idx="2">
                  <c:v>3.7500004265181353E-2</c:v>
                </c:pt>
                <c:pt idx="3">
                  <c:v>3.0781412093554103E-2</c:v>
                </c:pt>
                <c:pt idx="4">
                  <c:v>2.495021203511865E-3</c:v>
                </c:pt>
                <c:pt idx="5">
                  <c:v>2.1688801309745626E-3</c:v>
                </c:pt>
                <c:pt idx="6">
                  <c:v>3.2699273805775614E-3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5.0249767845523929E-2</c:v>
                </c:pt>
                <c:pt idx="1">
                  <c:v>5.0202955361703161E-2</c:v>
                </c:pt>
                <c:pt idx="2">
                  <c:v>4.1761640786914467E-2</c:v>
                </c:pt>
                <c:pt idx="3">
                  <c:v>3.5547725314730383E-2</c:v>
                </c:pt>
                <c:pt idx="4">
                  <c:v>2.7974332607930133E-3</c:v>
                </c:pt>
                <c:pt idx="5">
                  <c:v>2.3423570218795292E-3</c:v>
                </c:pt>
                <c:pt idx="6">
                  <c:v>3.5314710350032724E-3</c:v>
                </c:pt>
              </c:numCache>
            </c:numRef>
          </c:val>
        </c:ser>
        <c:gapWidth val="101"/>
        <c:overlap val="100"/>
        <c:axId val="133849088"/>
        <c:axId val="133850624"/>
      </c:barChart>
      <c:catAx>
        <c:axId val="133849088"/>
        <c:scaling>
          <c:orientation val="minMax"/>
        </c:scaling>
        <c:axPos val="l"/>
        <c:tickLblPos val="nextTo"/>
        <c:crossAx val="133850624"/>
        <c:crosses val="autoZero"/>
        <c:auto val="1"/>
        <c:lblAlgn val="ctr"/>
        <c:lblOffset val="100"/>
      </c:catAx>
      <c:valAx>
        <c:axId val="133850624"/>
        <c:scaling>
          <c:orientation val="minMax"/>
        </c:scaling>
        <c:axPos val="b"/>
        <c:majorGridlines/>
        <c:numFmt formatCode="0%" sourceLinked="0"/>
        <c:tickLblPos val="nextTo"/>
        <c:crossAx val="1338490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0.14351942919141281</c:v>
                </c:pt>
                <c:pt idx="1">
                  <c:v>0.1467252785365597</c:v>
                </c:pt>
                <c:pt idx="2">
                  <c:v>0.1914057578247734</c:v>
                </c:pt>
                <c:pt idx="3">
                  <c:v>0.18359384918552354</c:v>
                </c:pt>
                <c:pt idx="4">
                  <c:v>3.383959623945993E-4</c:v>
                </c:pt>
                <c:pt idx="5">
                  <c:v>8.0136877439622126E-2</c:v>
                </c:pt>
                <c:pt idx="6">
                  <c:v>0.12081892677768297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3.0080403390797372E-2</c:v>
                </c:pt>
                <c:pt idx="1">
                  <c:v>4.0081909082674699E-2</c:v>
                </c:pt>
                <c:pt idx="2">
                  <c:v>1.1177465942544706E-2</c:v>
                </c:pt>
                <c:pt idx="3">
                  <c:v>2.8711110453919997E-2</c:v>
                </c:pt>
                <c:pt idx="4">
                  <c:v>1.7604097711509593E-2</c:v>
                </c:pt>
                <c:pt idx="5">
                  <c:v>2.31550743461717E-3</c:v>
                </c:pt>
                <c:pt idx="6">
                  <c:v>3.4909910659668975E-3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3.1945321571741681E-2</c:v>
                </c:pt>
                <c:pt idx="1">
                  <c:v>4.2735548687545144E-2</c:v>
                </c:pt>
                <c:pt idx="2">
                  <c:v>1.0739794362516292E-2</c:v>
                </c:pt>
                <c:pt idx="3">
                  <c:v>2.8279140718241835E-2</c:v>
                </c:pt>
                <c:pt idx="4">
                  <c:v>2.0915282200379824E-2</c:v>
                </c:pt>
                <c:pt idx="5">
                  <c:v>2.3295108391027802E-3</c:v>
                </c:pt>
                <c:pt idx="6">
                  <c:v>3.5121033972083382E-3</c:v>
                </c:pt>
              </c:numCache>
            </c:numRef>
          </c:val>
        </c:ser>
        <c:gapWidth val="101"/>
        <c:overlap val="100"/>
        <c:axId val="133871872"/>
        <c:axId val="133877760"/>
      </c:barChart>
      <c:catAx>
        <c:axId val="133871872"/>
        <c:scaling>
          <c:orientation val="minMax"/>
        </c:scaling>
        <c:axPos val="l"/>
        <c:tickLblPos val="nextTo"/>
        <c:crossAx val="133877760"/>
        <c:crosses val="autoZero"/>
        <c:auto val="1"/>
        <c:lblAlgn val="ctr"/>
        <c:lblOffset val="100"/>
      </c:catAx>
      <c:valAx>
        <c:axId val="133877760"/>
        <c:scaling>
          <c:orientation val="minMax"/>
        </c:scaling>
        <c:axPos val="b"/>
        <c:majorGridlines/>
        <c:numFmt formatCode="0%" sourceLinked="0"/>
        <c:tickLblPos val="nextTo"/>
        <c:crossAx val="133871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0.15061453371834102</c:v>
                </c:pt>
                <c:pt idx="1">
                  <c:v>0.17774084008381466</c:v>
                </c:pt>
                <c:pt idx="2">
                  <c:v>0.20929680735890993</c:v>
                </c:pt>
                <c:pt idx="3">
                  <c:v>7.4767777694842788E-2</c:v>
                </c:pt>
                <c:pt idx="4">
                  <c:v>8.8424418153499884E-3</c:v>
                </c:pt>
                <c:pt idx="5">
                  <c:v>8.86738006419939E-2</c:v>
                </c:pt>
                <c:pt idx="6">
                  <c:v>0.13368967907360524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2.7668787910444553E-2</c:v>
                </c:pt>
                <c:pt idx="1">
                  <c:v>5.1077345081946307E-2</c:v>
                </c:pt>
                <c:pt idx="2">
                  <c:v>6.0184643142929539E-3</c:v>
                </c:pt>
                <c:pt idx="3">
                  <c:v>1.9803168890953307E-2</c:v>
                </c:pt>
                <c:pt idx="4">
                  <c:v>4.8196789250469212E-2</c:v>
                </c:pt>
                <c:pt idx="5">
                  <c:v>1.4394170013178886E-3</c:v>
                </c:pt>
                <c:pt idx="6">
                  <c:v>2.1701471637178282E-3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2.7613685206121563E-2</c:v>
                </c:pt>
                <c:pt idx="1">
                  <c:v>4.9035537182982869E-2</c:v>
                </c:pt>
                <c:pt idx="2">
                  <c:v>5.8499405652193415E-3</c:v>
                </c:pt>
                <c:pt idx="3">
                  <c:v>1.9976026115353832E-2</c:v>
                </c:pt>
                <c:pt idx="4">
                  <c:v>4.486143752437708E-2</c:v>
                </c:pt>
                <c:pt idx="5">
                  <c:v>1.4281191444003305E-3</c:v>
                </c:pt>
                <c:pt idx="6">
                  <c:v>2.153113870291351E-3</c:v>
                </c:pt>
              </c:numCache>
            </c:numRef>
          </c:val>
        </c:ser>
        <c:gapWidth val="101"/>
        <c:overlap val="100"/>
        <c:axId val="133894912"/>
        <c:axId val="133896448"/>
      </c:barChart>
      <c:catAx>
        <c:axId val="133894912"/>
        <c:scaling>
          <c:orientation val="minMax"/>
        </c:scaling>
        <c:axPos val="l"/>
        <c:tickLblPos val="nextTo"/>
        <c:crossAx val="133896448"/>
        <c:crosses val="autoZero"/>
        <c:auto val="1"/>
        <c:lblAlgn val="ctr"/>
        <c:lblOffset val="100"/>
      </c:catAx>
      <c:valAx>
        <c:axId val="133896448"/>
        <c:scaling>
          <c:orientation val="minMax"/>
        </c:scaling>
        <c:axPos val="b"/>
        <c:majorGridlines/>
        <c:numFmt formatCode="0%" sourceLinked="0"/>
        <c:tickLblPos val="nextTo"/>
        <c:crossAx val="1338949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gapWidth val="100"/>
        <c:overlap val="100"/>
        <c:axId val="133929984"/>
        <c:axId val="133944064"/>
      </c:barChart>
      <c:catAx>
        <c:axId val="133929984"/>
        <c:scaling>
          <c:orientation val="minMax"/>
        </c:scaling>
        <c:axPos val="l"/>
        <c:tickLblPos val="nextTo"/>
        <c:crossAx val="133944064"/>
        <c:crosses val="autoZero"/>
        <c:auto val="1"/>
        <c:lblAlgn val="ctr"/>
        <c:lblOffset val="100"/>
      </c:catAx>
      <c:valAx>
        <c:axId val="133944064"/>
        <c:scaling>
          <c:orientation val="minMax"/>
        </c:scaling>
        <c:axPos val="b"/>
        <c:majorGridlines/>
        <c:numFmt formatCode="0%" sourceLinked="0"/>
        <c:tickLblPos val="nextTo"/>
        <c:crossAx val="133929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133953024"/>
        <c:axId val="133954560"/>
      </c:barChart>
      <c:catAx>
        <c:axId val="133953024"/>
        <c:scaling>
          <c:orientation val="minMax"/>
        </c:scaling>
        <c:axPos val="l"/>
        <c:tickLblPos val="nextTo"/>
        <c:crossAx val="133954560"/>
        <c:crosses val="autoZero"/>
        <c:auto val="1"/>
        <c:lblAlgn val="ctr"/>
        <c:lblOffset val="100"/>
      </c:catAx>
      <c:valAx>
        <c:axId val="133954560"/>
        <c:scaling>
          <c:orientation val="minMax"/>
        </c:scaling>
        <c:axPos val="b"/>
        <c:majorGridlines/>
        <c:numFmt formatCode="0%" sourceLinked="0"/>
        <c:tickLblPos val="nextTo"/>
        <c:crossAx val="1339530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gapWidth val="100"/>
        <c:overlap val="100"/>
        <c:axId val="134012928"/>
        <c:axId val="134014464"/>
      </c:barChart>
      <c:catAx>
        <c:axId val="134012928"/>
        <c:scaling>
          <c:orientation val="minMax"/>
        </c:scaling>
        <c:axPos val="l"/>
        <c:tickLblPos val="nextTo"/>
        <c:crossAx val="134014464"/>
        <c:crosses val="autoZero"/>
        <c:auto val="1"/>
        <c:lblAlgn val="ctr"/>
        <c:lblOffset val="100"/>
      </c:catAx>
      <c:valAx>
        <c:axId val="134014464"/>
        <c:scaling>
          <c:orientation val="minMax"/>
        </c:scaling>
        <c:axPos val="b"/>
        <c:majorGridlines/>
        <c:numFmt formatCode="0%" sourceLinked="0"/>
        <c:tickLblPos val="nextTo"/>
        <c:crossAx val="1340129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0.30103210198205133</c:v>
                </c:pt>
                <c:pt idx="1">
                  <c:v>0.15145242673906539</c:v>
                </c:pt>
                <c:pt idx="2">
                  <c:v>0.20209965391761972</c:v>
                </c:pt>
                <c:pt idx="3">
                  <c:v>0.14366576009784721</c:v>
                </c:pt>
                <c:pt idx="4">
                  <c:v>7.4915183881585582E-3</c:v>
                </c:pt>
                <c:pt idx="5">
                  <c:v>7.7466151236979253E-2</c:v>
                </c:pt>
                <c:pt idx="6">
                  <c:v>0.11679238763827793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134125824"/>
        <c:axId val="134144000"/>
      </c:barChart>
      <c:catAx>
        <c:axId val="134125824"/>
        <c:scaling>
          <c:orientation val="minMax"/>
        </c:scaling>
        <c:axPos val="l"/>
        <c:tickLblPos val="nextTo"/>
        <c:crossAx val="134144000"/>
        <c:crosses val="autoZero"/>
        <c:auto val="1"/>
        <c:lblAlgn val="ctr"/>
        <c:lblOffset val="100"/>
      </c:catAx>
      <c:valAx>
        <c:axId val="134144000"/>
        <c:scaling>
          <c:orientation val="minMax"/>
        </c:scaling>
        <c:axPos val="b"/>
        <c:majorGridlines/>
        <c:numFmt formatCode="0%" sourceLinked="0"/>
        <c:tickLblPos val="nextTo"/>
        <c:crossAx val="134125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6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0.20949723281385896</c:v>
                </c:pt>
                <c:pt idx="1">
                  <c:v>0.15968935194608702</c:v>
                </c:pt>
                <c:pt idx="2">
                  <c:v>0.21276853393409331</c:v>
                </c:pt>
                <c:pt idx="3">
                  <c:v>6.9766047595129166E-2</c:v>
                </c:pt>
                <c:pt idx="4">
                  <c:v>6.3609621127734106E-5</c:v>
                </c:pt>
                <c:pt idx="5">
                  <c:v>9.0818563076099479E-2</c:v>
                </c:pt>
                <c:pt idx="6">
                  <c:v>0.13692324523890739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4.7163894269099449E-2</c:v>
                </c:pt>
                <c:pt idx="1">
                  <c:v>4.9966135333287143E-2</c:v>
                </c:pt>
                <c:pt idx="2">
                  <c:v>8.8720428126195516E-3</c:v>
                </c:pt>
                <c:pt idx="3">
                  <c:v>7.046312755084827E-3</c:v>
                </c:pt>
                <c:pt idx="4">
                  <c:v>5.7645619473709235E-3</c:v>
                </c:pt>
                <c:pt idx="5">
                  <c:v>6.6215939268547686E-4</c:v>
                </c:pt>
                <c:pt idx="6">
                  <c:v>9.9830926454932967E-4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4.699650775069919E-2</c:v>
                </c:pt>
                <c:pt idx="1">
                  <c:v>4.5479243025724869E-2</c:v>
                </c:pt>
                <c:pt idx="2">
                  <c:v>9.3385386325545994E-3</c:v>
                </c:pt>
                <c:pt idx="3">
                  <c:v>8.4885069318584166E-3</c:v>
                </c:pt>
                <c:pt idx="4">
                  <c:v>6.7650637226834408E-3</c:v>
                </c:pt>
                <c:pt idx="5">
                  <c:v>6.1750690341073888E-4</c:v>
                </c:pt>
                <c:pt idx="6">
                  <c:v>9.3098862510707092E-4</c:v>
                </c:pt>
              </c:numCache>
            </c:numRef>
          </c:val>
        </c:ser>
        <c:gapWidth val="100"/>
        <c:overlap val="100"/>
        <c:axId val="134238976"/>
        <c:axId val="134240512"/>
      </c:barChart>
      <c:catAx>
        <c:axId val="134238976"/>
        <c:scaling>
          <c:orientation val="minMax"/>
        </c:scaling>
        <c:axPos val="l"/>
        <c:tickLblPos val="nextTo"/>
        <c:crossAx val="134240512"/>
        <c:crosses val="autoZero"/>
        <c:auto val="1"/>
        <c:lblAlgn val="ctr"/>
        <c:lblOffset val="100"/>
      </c:catAx>
      <c:valAx>
        <c:axId val="134240512"/>
        <c:scaling>
          <c:orientation val="minMax"/>
        </c:scaling>
        <c:axPos val="b"/>
        <c:majorGridlines/>
        <c:numFmt formatCode="0%" sourceLinked="0"/>
        <c:tickLblPos val="nextTo"/>
        <c:crossAx val="1342389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64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76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0.57680683225124008</c:v>
                </c:pt>
                <c:pt idx="1">
                  <c:v>0.11524782740166802</c:v>
                </c:pt>
                <c:pt idx="2">
                  <c:v>5.5307696759269463E-2</c:v>
                </c:pt>
                <c:pt idx="3">
                  <c:v>7.8725834768394995E-2</c:v>
                </c:pt>
                <c:pt idx="4">
                  <c:v>4.9358698217946785E-2</c:v>
                </c:pt>
                <c:pt idx="5">
                  <c:v>2.3340631324253734E-4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7.3155872709226299E-3</c:v>
                </c:pt>
                <c:pt idx="1">
                  <c:v>1.0248577762078201E-2</c:v>
                </c:pt>
                <c:pt idx="2">
                  <c:v>7.7752525388184376E-3</c:v>
                </c:pt>
                <c:pt idx="3">
                  <c:v>5.2864736626080239E-3</c:v>
                </c:pt>
                <c:pt idx="4">
                  <c:v>1.0082405768408333E-2</c:v>
                </c:pt>
                <c:pt idx="5">
                  <c:v>2.8722297303337731E-3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6.4621786078772336E-3</c:v>
                </c:pt>
                <c:pt idx="1">
                  <c:v>1.4366276965904978E-2</c:v>
                </c:pt>
                <c:pt idx="2">
                  <c:v>5.6632731126784602E-3</c:v>
                </c:pt>
                <c:pt idx="3">
                  <c:v>4.0810975056413956E-3</c:v>
                </c:pt>
                <c:pt idx="4">
                  <c:v>8.4548524456983382E-3</c:v>
                </c:pt>
                <c:pt idx="5">
                  <c:v>1.7187820198478797E-3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overlap val="100"/>
        <c:axId val="134345088"/>
        <c:axId val="13434700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134345088"/>
        <c:axId val="134347008"/>
      </c:lineChart>
      <c:catAx>
        <c:axId val="134345088"/>
        <c:scaling>
          <c:orientation val="minMax"/>
        </c:scaling>
        <c:axPos val="b"/>
        <c:tickLblPos val="nextTo"/>
        <c:crossAx val="134347008"/>
        <c:crosses val="autoZero"/>
        <c:auto val="1"/>
        <c:lblAlgn val="ctr"/>
        <c:lblOffset val="100"/>
      </c:catAx>
      <c:valAx>
        <c:axId val="134347008"/>
        <c:scaling>
          <c:orientation val="minMax"/>
        </c:scaling>
        <c:axPos val="l"/>
        <c:majorGridlines/>
        <c:numFmt formatCode="0%" sourceLinked="0"/>
        <c:tickLblPos val="nextTo"/>
        <c:crossAx val="13434508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5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0.26114696864125692</c:v>
                </c:pt>
                <c:pt idx="1">
                  <c:v>0.13053278591258036</c:v>
                </c:pt>
                <c:pt idx="2">
                  <c:v>0.18606453435714926</c:v>
                </c:pt>
                <c:pt idx="3">
                  <c:v>0.10951180224236122</c:v>
                </c:pt>
                <c:pt idx="4">
                  <c:v>1.0122561860540942E-4</c:v>
                </c:pt>
                <c:pt idx="5">
                  <c:v>7.564529505922428E-2</c:v>
                </c:pt>
                <c:pt idx="6">
                  <c:v>0.11404716101800406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3.988513334079441E-2</c:v>
                </c:pt>
                <c:pt idx="1">
                  <c:v>2.0919640826485036E-2</c:v>
                </c:pt>
                <c:pt idx="2">
                  <c:v>1.6035119560470462E-2</c:v>
                </c:pt>
                <c:pt idx="3">
                  <c:v>3.4153957855485986E-2</c:v>
                </c:pt>
                <c:pt idx="4">
                  <c:v>7.3902927695531492E-3</c:v>
                </c:pt>
                <c:pt idx="5">
                  <c:v>1.8208561777549731E-3</c:v>
                </c:pt>
                <c:pt idx="6">
                  <c:v>2.7452266202738634E-3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3.7148965241551646E-2</c:v>
                </c:pt>
                <c:pt idx="1">
                  <c:v>2.3651331261789477E-2</c:v>
                </c:pt>
                <c:pt idx="2">
                  <c:v>1.5183779753910082E-2</c:v>
                </c:pt>
                <c:pt idx="3">
                  <c:v>3.5510977398509919E-2</c:v>
                </c:pt>
                <c:pt idx="4">
                  <c:v>8.8936843858987372E-3</c:v>
                </c:pt>
                <c:pt idx="5">
                  <c:v>1.9266451396860174E-3</c:v>
                </c:pt>
                <c:pt idx="6">
                  <c:v>2.9047200926150402E-3</c:v>
                </c:pt>
              </c:numCache>
            </c:numRef>
          </c:val>
        </c:ser>
        <c:overlap val="100"/>
        <c:axId val="134373376"/>
        <c:axId val="13437529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134373376"/>
        <c:axId val="134375296"/>
      </c:lineChart>
      <c:catAx>
        <c:axId val="134373376"/>
        <c:scaling>
          <c:orientation val="minMax"/>
        </c:scaling>
        <c:axPos val="b"/>
        <c:numFmt formatCode="General" sourceLinked="1"/>
        <c:tickLblPos val="nextTo"/>
        <c:crossAx val="134375296"/>
        <c:crosses val="autoZero"/>
        <c:auto val="1"/>
        <c:lblAlgn val="ctr"/>
        <c:lblOffset val="100"/>
      </c:catAx>
      <c:valAx>
        <c:axId val="134375296"/>
        <c:scaling>
          <c:orientation val="minMax"/>
        </c:scaling>
        <c:axPos val="l"/>
        <c:majorGridlines/>
        <c:numFmt formatCode="0%" sourceLinked="0"/>
        <c:tickLblPos val="nextTo"/>
        <c:crossAx val="13437337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9"/>
          <c:w val="0.5562682138416909"/>
          <c:h val="0.692582184133051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0.58412241952216271</c:v>
                </c:pt>
                <c:pt idx="1">
                  <c:v>0.12549640516374622</c:v>
                </c:pt>
                <c:pt idx="2">
                  <c:v>6.3082949298087901E-2</c:v>
                </c:pt>
                <c:pt idx="3">
                  <c:v>8.4012308431003019E-2</c:v>
                </c:pt>
                <c:pt idx="4">
                  <c:v>5.9441103986355118E-2</c:v>
                </c:pt>
                <c:pt idx="5">
                  <c:v>3.1056360435763103E-3</c:v>
                </c:pt>
                <c:pt idx="6">
                  <c:v>3.2197057464982567E-2</c:v>
                </c:pt>
                <c:pt idx="7">
                  <c:v>4.8542120090085746E-2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134463872"/>
        <c:axId val="134465408"/>
      </c:barChart>
      <c:catAx>
        <c:axId val="134463872"/>
        <c:scaling>
          <c:orientation val="minMax"/>
        </c:scaling>
        <c:axPos val="l"/>
        <c:tickLblPos val="nextTo"/>
        <c:crossAx val="134465408"/>
        <c:crosses val="autoZero"/>
        <c:auto val="1"/>
        <c:lblAlgn val="ctr"/>
        <c:lblOffset val="100"/>
      </c:catAx>
      <c:valAx>
        <c:axId val="134465408"/>
        <c:scaling>
          <c:orientation val="minMax"/>
        </c:scaling>
        <c:axPos val="b"/>
        <c:majorGridlines/>
        <c:numFmt formatCode="0.0%" sourceLinked="1"/>
        <c:tickLblPos val="nextTo"/>
        <c:crossAx val="13446387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"/>
          <c:y val="5.1400554097404488E-2"/>
          <c:w val="0.821643482064744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4.3214826708651545E-2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yVal>
        </c:ser>
        <c:axId val="148572800"/>
        <c:axId val="149123840"/>
      </c:scatterChart>
      <c:valAx>
        <c:axId val="14857280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23"/>
            </c:manualLayout>
          </c:layout>
        </c:title>
        <c:numFmt formatCode="0%" sourceLinked="0"/>
        <c:tickLblPos val="nextTo"/>
        <c:crossAx val="149123840"/>
        <c:crosses val="autoZero"/>
        <c:crossBetween val="midCat"/>
      </c:valAx>
      <c:valAx>
        <c:axId val="1491238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148572800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3"/>
          <c:y val="5.1400554097404488E-2"/>
          <c:w val="0.821643482064745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75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82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58E-2"/>
                  <c:y val="-6.73369912559800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4.3214826708651545E-2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0.33576372020209261</c:v>
                </c:pt>
                <c:pt idx="6">
                  <c:v>0.1465180543940868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3.1705382280009728E-2</c:v>
                </c:pt>
                <c:pt idx="3">
                  <c:v>5.7210243741557129E-2</c:v>
                </c:pt>
                <c:pt idx="4">
                  <c:v>5.5668448282861861E-2</c:v>
                </c:pt>
                <c:pt idx="5">
                  <c:v>5.4683067728185694E-2</c:v>
                </c:pt>
                <c:pt idx="6">
                  <c:v>2.9030049193200475E-2</c:v>
                </c:pt>
                <c:pt idx="7">
                  <c:v>3.8983857987503749E-2</c:v>
                </c:pt>
              </c:numCache>
            </c:numRef>
          </c:yVal>
        </c:ser>
        <c:axId val="149427712"/>
        <c:axId val="149429632"/>
      </c:scatterChart>
      <c:valAx>
        <c:axId val="14942771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46"/>
            </c:manualLayout>
          </c:layout>
        </c:title>
        <c:numFmt formatCode="0%" sourceLinked="0"/>
        <c:tickLblPos val="nextTo"/>
        <c:crossAx val="149429632"/>
        <c:crosses val="autoZero"/>
        <c:crossBetween val="midCat"/>
      </c:valAx>
      <c:valAx>
        <c:axId val="149429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149427712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1.7755802056853877E-2</c:v>
                </c:pt>
                <c:pt idx="2">
                  <c:v>2.4095859002887784E-2</c:v>
                </c:pt>
                <c:pt idx="3">
                  <c:v>-2.6391451656497394E-3</c:v>
                </c:pt>
                <c:pt idx="4">
                  <c:v>7.5254893945081197E-2</c:v>
                </c:pt>
                <c:pt idx="5">
                  <c:v>6.2036265615280854E-2</c:v>
                </c:pt>
                <c:pt idx="6">
                  <c:v>1.4591619612606042E-2</c:v>
                </c:pt>
                <c:pt idx="7">
                  <c:v>1.0171029512307597E-3</c:v>
                </c:pt>
              </c:numCache>
            </c:numRef>
          </c:val>
        </c:ser>
        <c:axId val="149557248"/>
        <c:axId val="149558784"/>
      </c:barChart>
      <c:catAx>
        <c:axId val="149557248"/>
        <c:scaling>
          <c:orientation val="minMax"/>
        </c:scaling>
        <c:axPos val="l"/>
        <c:tickLblPos val="none"/>
        <c:crossAx val="149558784"/>
        <c:crosses val="autoZero"/>
        <c:auto val="1"/>
        <c:lblAlgn val="ctr"/>
        <c:lblOffset val="100"/>
      </c:catAx>
      <c:valAx>
        <c:axId val="149558784"/>
        <c:scaling>
          <c:orientation val="minMax"/>
        </c:scaling>
        <c:axPos val="b"/>
        <c:majorGridlines/>
        <c:numFmt formatCode="0.0%" sourceLinked="1"/>
        <c:tickLblPos val="nextTo"/>
        <c:crossAx val="149557248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-0.10637087005463072</c:v>
                </c:pt>
                <c:pt idx="6">
                  <c:v>-0.47217465770323874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-4.2296829665797307E-2</c:v>
                </c:pt>
                <c:pt idx="1">
                  <c:v>0.11220882888871779</c:v>
                </c:pt>
                <c:pt idx="2">
                  <c:v>0.14330125390064163</c:v>
                </c:pt>
                <c:pt idx="3">
                  <c:v>-9.0998956808667642E-3</c:v>
                </c:pt>
                <c:pt idx="4">
                  <c:v>0.25274958911689821</c:v>
                </c:pt>
                <c:pt idx="5">
                  <c:v>0.18476166983717565</c:v>
                </c:pt>
                <c:pt idx="6">
                  <c:v>9.9589225866726583E-2</c:v>
                </c:pt>
                <c:pt idx="7">
                  <c:v>5.1069748580229489E-3</c:v>
                </c:pt>
              </c:numCache>
            </c:numRef>
          </c:val>
        </c:ser>
        <c:axId val="149579648"/>
        <c:axId val="149581184"/>
      </c:barChart>
      <c:catAx>
        <c:axId val="149579648"/>
        <c:scaling>
          <c:orientation val="minMax"/>
        </c:scaling>
        <c:axPos val="l"/>
        <c:tickLblPos val="high"/>
        <c:crossAx val="149581184"/>
        <c:crosses val="autoZero"/>
        <c:auto val="1"/>
        <c:lblAlgn val="ctr"/>
        <c:lblOffset val="100"/>
      </c:catAx>
      <c:valAx>
        <c:axId val="149581184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14957964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61</xdr:row>
      <xdr:rowOff>9525</xdr:rowOff>
    </xdr:from>
    <xdr:to>
      <xdr:col>21</xdr:col>
      <xdr:colOff>561975</xdr:colOff>
      <xdr:row>73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/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2" t="s">
        <v>93</v>
      </c>
      <c r="D1" s="382"/>
      <c r="E1" s="383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0.59460926292655603</v>
      </c>
      <c r="C3" s="303">
        <v>0.55000000000000004</v>
      </c>
      <c r="D3" s="218">
        <v>0.65</v>
      </c>
      <c r="E3" s="145">
        <v>0.99</v>
      </c>
      <c r="F3" s="144">
        <f>'Samenvatting mixen'!B81</f>
        <v>0.58412241952216271</v>
      </c>
      <c r="G3" s="144">
        <f>+F3-B3</f>
        <v>-1.048684340439332E-2</v>
      </c>
      <c r="H3" s="305"/>
    </row>
    <row r="4" spans="1:24">
      <c r="A4" s="143" t="str">
        <f>Scenarios!A5</f>
        <v>High Yield</v>
      </c>
      <c r="B4" s="218">
        <v>7.3502607897390396E-2</v>
      </c>
      <c r="C4" s="303">
        <v>0.05</v>
      </c>
      <c r="D4" s="218">
        <v>0.15</v>
      </c>
      <c r="E4" s="145">
        <v>0.99</v>
      </c>
      <c r="F4" s="144">
        <f>'Samenvatting mixen'!B82</f>
        <v>0.12549640516374622</v>
      </c>
      <c r="G4" s="144">
        <f t="shared" ref="G4:G10" si="0">+F4-B4</f>
        <v>5.1993797266355821E-2</v>
      </c>
      <c r="H4" s="306"/>
      <c r="W4" s="133" t="str">
        <f>A4</f>
        <v>High Yield</v>
      </c>
      <c r="X4" s="134">
        <f>B4/SUM($B$4:$B$10)</f>
        <v>0.18131299305951845</v>
      </c>
    </row>
    <row r="5" spans="1:24">
      <c r="A5" s="143" t="str">
        <f>Scenarios!A6</f>
        <v>Emerging market debt</v>
      </c>
      <c r="B5" s="218">
        <v>8.232448256002324E-2</v>
      </c>
      <c r="C5" s="303">
        <v>0.05</v>
      </c>
      <c r="D5" s="218">
        <v>0.2</v>
      </c>
      <c r="E5" s="145">
        <v>0.99</v>
      </c>
      <c r="F5" s="144">
        <f>'Samenvatting mixen'!B83</f>
        <v>6.3082949298087901E-2</v>
      </c>
      <c r="G5" s="144">
        <f t="shared" si="0"/>
        <v>-1.924153326193534E-2</v>
      </c>
      <c r="W5" s="133" t="str">
        <f t="shared" ref="W5:W10" si="1">A5</f>
        <v>Emerging market debt</v>
      </c>
      <c r="X5" s="134">
        <f t="shared" ref="X5:X10" si="2">B5/SUM($B$4:$B$10)</f>
        <v>0.20307440459624679</v>
      </c>
    </row>
    <row r="6" spans="1:24">
      <c r="A6" s="143" t="str">
        <f>Scenarios!A7</f>
        <v>Aandelen ontwikkeld</v>
      </c>
      <c r="B6" s="303">
        <f>10.1683683628086%-0.5%</f>
        <v>9.6683683628085992E-2</v>
      </c>
      <c r="C6" s="303">
        <v>7.4999999999999997E-2</v>
      </c>
      <c r="D6" s="218">
        <v>0.3</v>
      </c>
      <c r="E6" s="145">
        <v>0.99</v>
      </c>
      <c r="F6" s="144">
        <f>'Samenvatting mixen'!B84</f>
        <v>8.4012308431003019E-2</v>
      </c>
      <c r="G6" s="144">
        <f t="shared" si="0"/>
        <v>-1.2671375197082974E-2</v>
      </c>
      <c r="H6" s="305"/>
      <c r="W6" s="133" t="str">
        <f t="shared" si="1"/>
        <v>Aandelen ontwikkeld</v>
      </c>
      <c r="X6" s="134">
        <f t="shared" si="2"/>
        <v>0.23849504881649528</v>
      </c>
    </row>
    <row r="7" spans="1:24">
      <c r="A7" s="143" t="str">
        <f>Scenarios!A8</f>
        <v>Aandelen opkomend</v>
      </c>
      <c r="B7" s="303">
        <f>4.65005580154938%+0.5%</f>
        <v>5.1500558015493796E-2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5.9441103986355118E-2</v>
      </c>
      <c r="G7" s="144">
        <f t="shared" si="0"/>
        <v>7.9405459708613221E-3</v>
      </c>
      <c r="H7" s="305"/>
      <c r="W7" s="133" t="str">
        <f t="shared" si="1"/>
        <v>Aandelen opkomend</v>
      </c>
      <c r="X7" s="134">
        <f t="shared" si="2"/>
        <v>0.12703930629318633</v>
      </c>
    </row>
    <row r="8" spans="1:24">
      <c r="A8" s="143" t="str">
        <f>Scenarios!A9</f>
        <v>Commodities</v>
      </c>
      <c r="B8" s="218">
        <v>2.0640227417381859E-2</v>
      </c>
      <c r="C8" s="303">
        <v>0</v>
      </c>
      <c r="D8" s="218">
        <v>0.2</v>
      </c>
      <c r="E8" s="145">
        <v>0.99</v>
      </c>
      <c r="F8" s="144">
        <f>'Samenvatting mixen'!B86</f>
        <v>3.1056360435763103E-3</v>
      </c>
      <c r="G8" s="144">
        <f t="shared" si="0"/>
        <v>-1.7534591373805548E-2</v>
      </c>
      <c r="H8" s="305"/>
      <c r="W8" s="133" t="str">
        <f t="shared" si="1"/>
        <v>Commodities</v>
      </c>
      <c r="X8" s="134">
        <f t="shared" si="2"/>
        <v>5.0914403141980299E-2</v>
      </c>
    </row>
    <row r="9" spans="1:24">
      <c r="A9" s="143" t="str">
        <f>Scenarios!A10</f>
        <v>Hedge funds</v>
      </c>
      <c r="B9" s="218">
        <v>3.219705746498288E-2</v>
      </c>
      <c r="C9" s="303">
        <f>B9</f>
        <v>3.219705746498288E-2</v>
      </c>
      <c r="D9" s="218">
        <f>C9</f>
        <v>3.219705746498288E-2</v>
      </c>
      <c r="E9" s="145">
        <v>0.99</v>
      </c>
      <c r="F9" s="144">
        <f>'Samenvatting mixen'!B87</f>
        <v>3.2197057464982567E-2</v>
      </c>
      <c r="G9" s="144">
        <f t="shared" si="0"/>
        <v>-3.1225022567582528E-16</v>
      </c>
      <c r="W9" s="133" t="str">
        <f t="shared" si="1"/>
        <v>Hedge funds</v>
      </c>
      <c r="X9" s="134">
        <f t="shared" si="2"/>
        <v>7.9422282061540547E-2</v>
      </c>
    </row>
    <row r="10" spans="1:24" ht="15.75" thickBot="1">
      <c r="A10" s="139" t="str">
        <f>Scenarios!A11</f>
        <v>Onroerend goed</v>
      </c>
      <c r="B10" s="219">
        <v>4.8542120090085711E-2</v>
      </c>
      <c r="C10" s="304">
        <f>B10</f>
        <v>4.8542120090085711E-2</v>
      </c>
      <c r="D10" s="219">
        <f>C10</f>
        <v>4.8542120090085711E-2</v>
      </c>
      <c r="E10" s="147">
        <v>0.99</v>
      </c>
      <c r="F10" s="146">
        <f>'Samenvatting mixen'!B88</f>
        <v>4.8542120090085746E-2</v>
      </c>
      <c r="G10" s="146">
        <f t="shared" si="0"/>
        <v>0</v>
      </c>
      <c r="W10" s="133" t="str">
        <f t="shared" si="1"/>
        <v>Onroerend goed</v>
      </c>
      <c r="X10" s="134">
        <f t="shared" si="2"/>
        <v>0.11974156203103237</v>
      </c>
    </row>
    <row r="11" spans="1:24" ht="15.75" thickBot="1">
      <c r="A11" s="148" t="s">
        <v>89</v>
      </c>
      <c r="B11" s="149">
        <f>Scenarios!C12</f>
        <v>9.3079489831111251E-2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9.2382133438509526E-2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9.3079489831111251E-2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4" t="s">
        <v>98</v>
      </c>
      <c r="C200" s="382"/>
      <c r="D200" s="382"/>
      <c r="E200" s="383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I31" sqref="I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86" t="s">
        <v>117</v>
      </c>
      <c r="F2" s="386"/>
      <c r="G2" s="386"/>
      <c r="H2" s="386"/>
      <c r="I2" s="386"/>
      <c r="J2" s="386"/>
      <c r="K2" s="386"/>
      <c r="L2" s="387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0.59460926292655603</v>
      </c>
      <c r="C4" s="178">
        <v>0</v>
      </c>
      <c r="D4" s="223">
        <v>4.3214826708651545E-2</v>
      </c>
      <c r="E4" s="220">
        <v>1.0000000000000002</v>
      </c>
      <c r="F4" s="221">
        <v>0.48758203889173096</v>
      </c>
      <c r="G4" s="221">
        <v>0.43351903366758959</v>
      </c>
      <c r="H4" s="221">
        <v>0.22240504783264323</v>
      </c>
      <c r="I4" s="221">
        <v>0.2729543601339276</v>
      </c>
      <c r="J4" s="221">
        <v>0.51795492979549662</v>
      </c>
      <c r="K4" s="221">
        <v>0.22026085078406454</v>
      </c>
      <c r="L4" s="222">
        <v>0.36266106503892548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7.3502607897390396E-2</v>
      </c>
      <c r="C5" s="178">
        <v>0.03</v>
      </c>
      <c r="D5" s="223">
        <v>0.15823890359343337</v>
      </c>
      <c r="E5" s="223">
        <v>0.48758203889173107</v>
      </c>
      <c r="F5" s="224">
        <v>0.99999999999999978</v>
      </c>
      <c r="G5" s="224">
        <v>0.90991930291292189</v>
      </c>
      <c r="H5" s="224">
        <v>0.74890714708117023</v>
      </c>
      <c r="I5" s="224">
        <v>0.74060441066122751</v>
      </c>
      <c r="J5" s="224">
        <v>0.88671991368989134</v>
      </c>
      <c r="K5" s="224">
        <v>0.61760661631655178</v>
      </c>
      <c r="L5" s="225">
        <v>0.8752768910119606</v>
      </c>
      <c r="S5" s="84"/>
      <c r="T5" s="6"/>
      <c r="U5" s="85"/>
    </row>
    <row r="6" spans="1:21">
      <c r="A6" s="102" t="s">
        <v>6</v>
      </c>
      <c r="B6" s="106">
        <f>'Control panel'!B5</f>
        <v>8.232448256002324E-2</v>
      </c>
      <c r="C6" s="178">
        <v>3.1705382280009728E-2</v>
      </c>
      <c r="D6" s="223">
        <v>0.168148277471422</v>
      </c>
      <c r="E6" s="223">
        <v>0.43351903366758976</v>
      </c>
      <c r="F6" s="224">
        <v>0.90991930291292189</v>
      </c>
      <c r="G6" s="224">
        <v>1</v>
      </c>
      <c r="H6" s="224">
        <v>0.78689057691118713</v>
      </c>
      <c r="I6" s="224">
        <v>0.81542413678900194</v>
      </c>
      <c r="J6" s="224">
        <v>0.84996791272671834</v>
      </c>
      <c r="K6" s="224">
        <v>0.63150622997795747</v>
      </c>
      <c r="L6" s="225">
        <v>0.87979060194508074</v>
      </c>
      <c r="S6" s="84"/>
      <c r="T6" s="6"/>
      <c r="U6" s="85"/>
    </row>
    <row r="7" spans="1:21">
      <c r="A7" s="102" t="s">
        <v>7</v>
      </c>
      <c r="B7" s="106">
        <f>'Control panel'!B6</f>
        <v>9.6683683628085992E-2</v>
      </c>
      <c r="C7" s="178">
        <v>5.7210243741557129E-2</v>
      </c>
      <c r="D7" s="223">
        <v>0.29001927694608043</v>
      </c>
      <c r="E7" s="223">
        <v>0.22240504783264309</v>
      </c>
      <c r="F7" s="224">
        <v>0.74890714708117023</v>
      </c>
      <c r="G7" s="224">
        <v>0.78689057691118725</v>
      </c>
      <c r="H7" s="224">
        <v>1.0000000000000002</v>
      </c>
      <c r="I7" s="224">
        <v>0.80043789752068695</v>
      </c>
      <c r="J7" s="224">
        <v>0.6816417645711762</v>
      </c>
      <c r="K7" s="224">
        <v>0.69656976952020244</v>
      </c>
      <c r="L7" s="225">
        <v>0.8825588907922528</v>
      </c>
      <c r="S7" s="84"/>
      <c r="T7" s="6"/>
      <c r="U7" s="85"/>
    </row>
    <row r="8" spans="1:21">
      <c r="A8" s="102" t="s">
        <v>8</v>
      </c>
      <c r="B8" s="106">
        <f>'Control panel'!B7</f>
        <v>5.1500558015493796E-2</v>
      </c>
      <c r="C8" s="178">
        <v>5.5668448282861861E-2</v>
      </c>
      <c r="D8" s="223">
        <v>0.29774487154665702</v>
      </c>
      <c r="E8" s="223">
        <v>0.2729543601339276</v>
      </c>
      <c r="F8" s="224">
        <v>0.7406044106612274</v>
      </c>
      <c r="G8" s="224">
        <v>0.81542413678900183</v>
      </c>
      <c r="H8" s="224">
        <v>0.80043789752068695</v>
      </c>
      <c r="I8" s="224">
        <v>1</v>
      </c>
      <c r="J8" s="224">
        <v>0.70370520831484562</v>
      </c>
      <c r="K8" s="224">
        <v>0.62140003003210531</v>
      </c>
      <c r="L8" s="225">
        <v>0.77427405839831998</v>
      </c>
      <c r="S8" s="84"/>
      <c r="T8" s="6"/>
      <c r="U8" s="85"/>
    </row>
    <row r="9" spans="1:21">
      <c r="A9" s="102" t="s">
        <v>9</v>
      </c>
      <c r="B9" s="106">
        <f>'Control panel'!B8</f>
        <v>2.0640227417381859E-2</v>
      </c>
      <c r="C9" s="178">
        <v>5.4683067728185694E-2</v>
      </c>
      <c r="D9" s="223">
        <v>0.33576372020209261</v>
      </c>
      <c r="E9" s="223">
        <v>0.51795492979549662</v>
      </c>
      <c r="F9" s="224">
        <v>0.88671991368989134</v>
      </c>
      <c r="G9" s="224">
        <v>0.84996791272671812</v>
      </c>
      <c r="H9" s="224">
        <v>0.6816417645711762</v>
      </c>
      <c r="I9" s="224">
        <v>0.70370520831484562</v>
      </c>
      <c r="J9" s="224">
        <v>1.0000000000000002</v>
      </c>
      <c r="K9" s="224">
        <v>0.64202094504860974</v>
      </c>
      <c r="L9" s="225">
        <v>0.82000870971282414</v>
      </c>
      <c r="S9" s="84"/>
      <c r="T9" s="6"/>
      <c r="U9" s="85"/>
    </row>
    <row r="10" spans="1:21">
      <c r="A10" s="102" t="s">
        <v>10</v>
      </c>
      <c r="B10" s="106">
        <f>'Control panel'!B9</f>
        <v>3.219705746498288E-2</v>
      </c>
      <c r="C10" s="178">
        <v>2.9030049193200475E-2</v>
      </c>
      <c r="D10" s="223">
        <v>0.1465180543940868</v>
      </c>
      <c r="E10" s="223">
        <v>0.2202608507840644</v>
      </c>
      <c r="F10" s="224">
        <v>0.61760661631655156</v>
      </c>
      <c r="G10" s="224">
        <v>0.63150622997795758</v>
      </c>
      <c r="H10" s="224">
        <v>0.69656976952020244</v>
      </c>
      <c r="I10" s="224">
        <v>0.62140003003210531</v>
      </c>
      <c r="J10" s="224">
        <v>0.64202094504860974</v>
      </c>
      <c r="K10" s="224">
        <v>1.0000000000000002</v>
      </c>
      <c r="L10" s="225">
        <v>0.66415983265504108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4.8542120090085711E-2</v>
      </c>
      <c r="C11" s="179">
        <v>3.8983857987503749E-2</v>
      </c>
      <c r="D11" s="226">
        <v>0.19915957675666104</v>
      </c>
      <c r="E11" s="226">
        <v>0.36266106503892553</v>
      </c>
      <c r="F11" s="227">
        <v>0.8752768910119606</v>
      </c>
      <c r="G11" s="227">
        <v>0.87979060194508063</v>
      </c>
      <c r="H11" s="227">
        <v>0.88255889079225258</v>
      </c>
      <c r="I11" s="227">
        <v>0.77427405839831998</v>
      </c>
      <c r="J11" s="227">
        <v>0.82000870971282414</v>
      </c>
      <c r="K11" s="227">
        <v>0.66415983265504108</v>
      </c>
      <c r="L11" s="228">
        <v>1.0000000000000002</v>
      </c>
    </row>
    <row r="12" spans="1:21">
      <c r="A12" s="84"/>
      <c r="B12" s="110" t="s">
        <v>89</v>
      </c>
      <c r="C12" s="85">
        <v>9.3079489831111251E-2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5"/>
      <c r="H17" s="385"/>
      <c r="I17" s="385"/>
      <c r="J17" s="385"/>
    </row>
    <row r="18" spans="1:24">
      <c r="D18" s="98"/>
      <c r="E18" s="98"/>
      <c r="S18" s="84"/>
      <c r="T18" s="385"/>
      <c r="U18" s="385"/>
      <c r="V18" s="385"/>
      <c r="W18" s="385"/>
      <c r="X18" s="385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-1.8278501643327824E-3</v>
      </c>
      <c r="D24" s="293">
        <v>-8.3588621306752015E-3</v>
      </c>
      <c r="E24" s="293">
        <v>1.4376558188383924E-3</v>
      </c>
      <c r="F24" s="293">
        <v>-2.0604509567567153E-2</v>
      </c>
      <c r="G24" s="293">
        <v>-0.27327160808286638</v>
      </c>
      <c r="H24" s="294">
        <v>1.8717143647405954E-3</v>
      </c>
      <c r="I24" s="368">
        <f>+SUMPRODUCT(B24:H24,$B$33:$H$33)</f>
        <v>1.4376558188383924E-3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1.7755802056853877E-2</v>
      </c>
      <c r="D25" s="293">
        <v>-7.1450317109812783E-2</v>
      </c>
      <c r="E25" s="293">
        <v>9.9922050236853827E-2</v>
      </c>
      <c r="F25" s="293">
        <v>-0.40234371147647946</v>
      </c>
      <c r="G25" s="293">
        <v>-0.41624465647647951</v>
      </c>
      <c r="H25" s="294">
        <v>0.31144182690352051</v>
      </c>
      <c r="I25" s="178">
        <f t="shared" ref="I25:I31" si="1">+SUMPRODUCT(B25:H25,$B$33:$H$33)</f>
        <v>9.9922050236853827E-2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3.1705382280009728E-2</v>
      </c>
      <c r="C26" s="293">
        <v>2.4095859002887784E-2</v>
      </c>
      <c r="D26" s="293">
        <v>-5.2630677807847914E-2</v>
      </c>
      <c r="E26" s="293">
        <v>4.5771750914075364E-2</v>
      </c>
      <c r="F26" s="293">
        <v>-0.39719411345955147</v>
      </c>
      <c r="G26" s="293">
        <v>-0.17860398021235152</v>
      </c>
      <c r="H26" s="294">
        <v>0.2801756404130179</v>
      </c>
      <c r="I26" s="178">
        <f t="shared" si="1"/>
        <v>4.5771750914075364E-2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5.7210243741557129E-2</v>
      </c>
      <c r="C27" s="293">
        <v>-2.6391451656497394E-3</v>
      </c>
      <c r="D27" s="293">
        <v>-0.19512687848593468</v>
      </c>
      <c r="E27" s="293">
        <v>8.918969122838788E-2</v>
      </c>
      <c r="F27" s="293">
        <v>-0.5628013453934434</v>
      </c>
      <c r="G27" s="293">
        <v>-0.46447856989823566</v>
      </c>
      <c r="H27" s="294">
        <v>0.45156602820227343</v>
      </c>
      <c r="I27" s="178">
        <f t="shared" si="1"/>
        <v>8.918969122838788E-2</v>
      </c>
      <c r="J27" s="76"/>
    </row>
    <row r="28" spans="1:24">
      <c r="A28" s="18" t="s">
        <v>8</v>
      </c>
      <c r="B28" s="21">
        <f t="shared" si="0"/>
        <v>5.5668448282861861E-2</v>
      </c>
      <c r="C28" s="293">
        <v>7.5254893945081197E-2</v>
      </c>
      <c r="D28" s="293">
        <v>-7.9881478458451574E-2</v>
      </c>
      <c r="E28" s="293">
        <v>0.15365069945175694</v>
      </c>
      <c r="F28" s="293">
        <v>-0.39124920785250294</v>
      </c>
      <c r="G28" s="293">
        <v>-0.25955043219214274</v>
      </c>
      <c r="H28" s="294">
        <v>0.41480121988631424</v>
      </c>
      <c r="I28" s="178">
        <f t="shared" si="1"/>
        <v>0.15365069945175694</v>
      </c>
      <c r="J28" s="94"/>
      <c r="U28" s="95"/>
    </row>
    <row r="29" spans="1:24">
      <c r="A29" s="18" t="s">
        <v>9</v>
      </c>
      <c r="B29" s="21">
        <f t="shared" si="0"/>
        <v>5.4683067728185694E-2</v>
      </c>
      <c r="C29" s="293">
        <v>6.2036265615280854E-2</v>
      </c>
      <c r="D29" s="293">
        <v>-3.284707730570241E-2</v>
      </c>
      <c r="E29" s="293">
        <v>0.10991050604096422</v>
      </c>
      <c r="F29" s="293">
        <v>-0.527954509512369</v>
      </c>
      <c r="G29" s="293">
        <v>-0.56384711463070247</v>
      </c>
      <c r="H29" s="294">
        <v>0.65436153607763092</v>
      </c>
      <c r="I29" s="178">
        <f t="shared" si="1"/>
        <v>0.10991050604096422</v>
      </c>
      <c r="J29" s="96"/>
      <c r="U29" s="95"/>
    </row>
    <row r="30" spans="1:24">
      <c r="A30" s="18" t="s">
        <v>10</v>
      </c>
      <c r="B30" s="21">
        <f t="shared" si="0"/>
        <v>2.9030049193200475E-2</v>
      </c>
      <c r="C30" s="293">
        <v>1.4591619612606042E-2</v>
      </c>
      <c r="D30" s="293">
        <v>-6.6050814940221969E-2</v>
      </c>
      <c r="E30" s="293">
        <v>5.2412836889020015E-2</v>
      </c>
      <c r="F30" s="293">
        <v>-0.23066484290463032</v>
      </c>
      <c r="G30" s="293">
        <v>-9.3346284848618948E-3</v>
      </c>
      <c r="H30" s="294">
        <v>0.30889090504194383</v>
      </c>
      <c r="I30" s="178">
        <f t="shared" si="1"/>
        <v>5.2412836889020015E-2</v>
      </c>
      <c r="J30" s="96"/>
      <c r="U30" s="95"/>
    </row>
    <row r="31" spans="1:24" ht="13.5" thickBot="1">
      <c r="A31" s="22" t="s">
        <v>11</v>
      </c>
      <c r="B31" s="25">
        <f t="shared" si="0"/>
        <v>3.8983857987503749E-2</v>
      </c>
      <c r="C31" s="295">
        <v>1.0171029512307597E-3</v>
      </c>
      <c r="D31" s="295">
        <v>-0.14420836692556077</v>
      </c>
      <c r="E31" s="295">
        <v>6.7667954145598314E-2</v>
      </c>
      <c r="F31" s="295">
        <v>-0.42122995880386094</v>
      </c>
      <c r="G31" s="295">
        <v>-0.47665217132586252</v>
      </c>
      <c r="H31" s="296">
        <v>0.43571794524441654</v>
      </c>
      <c r="I31" s="369">
        <f t="shared" si="1"/>
        <v>6.7667954145598314E-2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0</v>
      </c>
      <c r="D33" s="290">
        <f>Optimalisatie!D13</f>
        <v>0</v>
      </c>
      <c r="E33" s="290">
        <f>Optimalisatie!E13</f>
        <v>1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7.6439938302947088E-3</v>
      </c>
      <c r="D35" s="307">
        <f>SUMPRODUCT(D24:D31,'Control panel'!$F$3:$F$10)</f>
        <v>-4.7539590679903369E-2</v>
      </c>
      <c r="E35" s="307">
        <f>SUMPRODUCT(E24:E31,'Control panel'!$F$3:$F$10)</f>
        <v>3.820686829762017E-2</v>
      </c>
      <c r="F35" s="307">
        <f>SUMPRODUCT(F24:F31,'Control panel'!$F$3:$F$10)</f>
        <v>-0.18763670559825824</v>
      </c>
      <c r="G35" s="307">
        <f>SUMPRODUCT(G24:G31,'Control panel'!$F$3:$F$10)</f>
        <v>-0.30276738632188865</v>
      </c>
      <c r="H35" s="307">
        <f>SUMPRODUCT(H24:H31,'Control panel'!$F$3:$F$10)</f>
        <v>0.15357405243484212</v>
      </c>
      <c r="I35" s="309">
        <f>SUMPRODUCT(I24:I31,'Control panel'!$F$3:$F$10)</f>
        <v>3.820686829762017E-2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-1.8278501643327824E-3</v>
      </c>
      <c r="D46" s="363">
        <v>-8.3588621306752015E-3</v>
      </c>
      <c r="E46" s="363">
        <v>1.4376558188383924E-3</v>
      </c>
      <c r="F46" s="363">
        <v>-2.0604509567567153E-2</v>
      </c>
      <c r="G46" s="363">
        <v>-0.27327160808286638</v>
      </c>
      <c r="H46" s="364">
        <v>1.8717143647405954E-3</v>
      </c>
      <c r="I46" s="292"/>
    </row>
    <row r="47" spans="1:21">
      <c r="A47" s="292"/>
      <c r="B47" s="292"/>
      <c r="C47" s="363">
        <v>2.2858562017300008E-2</v>
      </c>
      <c r="D47" s="363">
        <v>-0.11499037271336665</v>
      </c>
      <c r="E47" s="363">
        <v>0.11551300949463331</v>
      </c>
      <c r="F47" s="363">
        <v>-0.38295246775336667</v>
      </c>
      <c r="G47" s="363">
        <v>-0.30559149395336677</v>
      </c>
      <c r="H47" s="364">
        <v>0.33907962485463328</v>
      </c>
      <c r="I47" s="292"/>
    </row>
    <row r="48" spans="1:21">
      <c r="A48" s="292"/>
      <c r="B48" s="292"/>
      <c r="C48" s="363">
        <v>1.969557072360073E-2</v>
      </c>
      <c r="D48" s="363">
        <v>-5.2376796385311453E-2</v>
      </c>
      <c r="E48" s="363">
        <v>4.0241164278631184E-2</v>
      </c>
      <c r="F48" s="363">
        <v>-0.39829027497479152</v>
      </c>
      <c r="G48" s="363">
        <v>-0.17958808739362325</v>
      </c>
      <c r="H48" s="364">
        <v>0.29097179291301789</v>
      </c>
      <c r="I48" s="292"/>
    </row>
    <row r="49" spans="1:9">
      <c r="A49" s="292"/>
      <c r="B49" s="292"/>
      <c r="C49" s="363">
        <v>1.5342489100108013E-2</v>
      </c>
      <c r="D49" s="363">
        <v>-0.17392510433387029</v>
      </c>
      <c r="E49" s="363">
        <v>0.10543931584949295</v>
      </c>
      <c r="F49" s="363">
        <v>-0.54196526383339005</v>
      </c>
      <c r="G49" s="363">
        <v>-0.44602715761849837</v>
      </c>
      <c r="H49" s="364">
        <v>0.49356749913690923</v>
      </c>
      <c r="I49" s="292"/>
    </row>
    <row r="50" spans="1:9">
      <c r="A50" s="292"/>
      <c r="B50" s="292"/>
      <c r="C50" s="363">
        <v>8.9680832159551499E-2</v>
      </c>
      <c r="D50" s="363">
        <v>-3.7808219094456759E-2</v>
      </c>
      <c r="E50" s="363">
        <v>0.15418580946951296</v>
      </c>
      <c r="F50" s="363">
        <v>-0.35751975156032917</v>
      </c>
      <c r="G50" s="363">
        <v>-0.22994700662162446</v>
      </c>
      <c r="H50" s="364">
        <v>0.45979708922708296</v>
      </c>
      <c r="I50" s="292"/>
    </row>
    <row r="51" spans="1:9">
      <c r="A51" s="292"/>
      <c r="B51" s="292"/>
      <c r="C51" s="363">
        <v>6.2036265615280854E-2</v>
      </c>
      <c r="D51" s="363">
        <v>-3.284707730570241E-2</v>
      </c>
      <c r="E51" s="363">
        <v>0.10991050604096422</v>
      </c>
      <c r="F51" s="363">
        <v>-0.527954509512369</v>
      </c>
      <c r="G51" s="363">
        <v>-0.56384711463070247</v>
      </c>
      <c r="H51" s="364">
        <v>0.65436153607763092</v>
      </c>
      <c r="I51" s="292"/>
    </row>
    <row r="52" spans="1:9">
      <c r="A52" s="292"/>
      <c r="B52" s="292"/>
      <c r="C52" s="363">
        <v>1.488056303571629E-2</v>
      </c>
      <c r="D52" s="363">
        <v>-6.8340905073244612E-2</v>
      </c>
      <c r="E52" s="363">
        <v>5.3991297090196705E-2</v>
      </c>
      <c r="F52" s="363">
        <v>-0.22728232022069594</v>
      </c>
      <c r="G52" s="363">
        <v>-3.8464301156549618E-3</v>
      </c>
      <c r="H52" s="364">
        <v>0.31176062949530947</v>
      </c>
      <c r="I52" s="292"/>
    </row>
    <row r="53" spans="1:9" ht="13.5" thickBot="1">
      <c r="A53" s="292"/>
      <c r="B53" s="292"/>
      <c r="C53" s="365">
        <v>1.0171029512307597E-3</v>
      </c>
      <c r="D53" s="365">
        <v>-0.14436089700803501</v>
      </c>
      <c r="E53" s="365">
        <v>6.7667954145598314E-2</v>
      </c>
      <c r="F53" s="365">
        <v>-0.42122995880386094</v>
      </c>
      <c r="G53" s="365">
        <v>-0.47665217132586252</v>
      </c>
      <c r="H53" s="366">
        <v>0.43571794524441654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9" t="s">
        <v>3</v>
      </c>
      <c r="E3" s="389"/>
      <c r="F3" s="389"/>
      <c r="G3" s="389"/>
      <c r="H3" s="389"/>
      <c r="I3" s="389"/>
      <c r="J3" s="389"/>
      <c r="K3" s="390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4.3214826708651545E-2</v>
      </c>
      <c r="D4" s="111">
        <f>Scenarios!E4</f>
        <v>1.0000000000000002</v>
      </c>
      <c r="E4" s="112">
        <f>Scenarios!F4</f>
        <v>0.48758203889173096</v>
      </c>
      <c r="F4" s="112">
        <f>Scenarios!G4</f>
        <v>0.43351903366758959</v>
      </c>
      <c r="G4" s="112">
        <f>Scenarios!H4</f>
        <v>0.22240504783264323</v>
      </c>
      <c r="H4" s="112">
        <f>Scenarios!I4</f>
        <v>0.2729543601339276</v>
      </c>
      <c r="I4" s="112">
        <f>Scenarios!J4</f>
        <v>0.51795492979549662</v>
      </c>
      <c r="J4" s="112">
        <f>Scenarios!K4</f>
        <v>0.22026085078406454</v>
      </c>
      <c r="K4" s="113">
        <f>Scenarios!L4</f>
        <v>0.36266106503892548</v>
      </c>
      <c r="L4" s="239" t="s">
        <v>120</v>
      </c>
      <c r="N4" s="36">
        <f t="array" ref="N4:U11">+D4:K11*TRANSPOSE(C4:C11)*C4:C11</f>
        <v>1.8675212474587833E-3</v>
      </c>
      <c r="O4" s="36">
        <v>3.3342160675410709E-3</v>
      </c>
      <c r="P4" s="36">
        <v>3.1501654825561447E-3</v>
      </c>
      <c r="Q4" s="36">
        <v>2.7874319988523133E-3</v>
      </c>
      <c r="R4" s="36">
        <v>3.51210184860851E-3</v>
      </c>
      <c r="S4" s="36">
        <v>7.5155110021377708E-3</v>
      </c>
      <c r="T4" s="36">
        <v>1.3946371552323023E-3</v>
      </c>
      <c r="U4" s="36">
        <v>3.1212956212481151E-3</v>
      </c>
    </row>
    <row r="5" spans="1:21">
      <c r="A5" s="41" t="s">
        <v>5</v>
      </c>
      <c r="B5" s="42">
        <f>Scenarios!B25</f>
        <v>0.03</v>
      </c>
      <c r="C5" s="42">
        <f>Scenarios!D5</f>
        <v>0.15823890359343337</v>
      </c>
      <c r="D5" s="111">
        <f>Scenarios!E5</f>
        <v>0.48758203889173107</v>
      </c>
      <c r="E5" s="112">
        <f>Scenarios!F5</f>
        <v>0.99999999999999978</v>
      </c>
      <c r="F5" s="112">
        <f>Scenarios!G5</f>
        <v>0.90991930291292189</v>
      </c>
      <c r="G5" s="112">
        <f>Scenarios!H5</f>
        <v>0.74890714708117023</v>
      </c>
      <c r="H5" s="112">
        <f>Scenarios!I5</f>
        <v>0.74060441066122751</v>
      </c>
      <c r="I5" s="112">
        <f>Scenarios!J5</f>
        <v>0.88671991368989134</v>
      </c>
      <c r="J5" s="112">
        <f>Scenarios!K5</f>
        <v>0.61760661631655178</v>
      </c>
      <c r="K5" s="113">
        <f>Scenarios!L5</f>
        <v>0.8752768910119606</v>
      </c>
      <c r="N5" s="36">
        <v>3.3342160675410718E-3</v>
      </c>
      <c r="O5" s="36">
        <v>2.5039550610451898E-2</v>
      </c>
      <c r="P5" s="36">
        <v>2.4210767996325083E-2</v>
      </c>
      <c r="Q5" s="36">
        <v>3.4369095734260446E-2</v>
      </c>
      <c r="R5" s="36">
        <v>3.48934449985751E-2</v>
      </c>
      <c r="S5" s="36">
        <v>4.7112211944783683E-2</v>
      </c>
      <c r="T5" s="36">
        <v>1.4319120639324133E-2</v>
      </c>
      <c r="U5" s="36">
        <v>2.75841700957868E-2</v>
      </c>
    </row>
    <row r="6" spans="1:21">
      <c r="A6" s="41" t="s">
        <v>6</v>
      </c>
      <c r="B6" s="42">
        <f>Scenarios!B26</f>
        <v>3.1705382280009728E-2</v>
      </c>
      <c r="C6" s="42">
        <f>Scenarios!D6</f>
        <v>0.168148277471422</v>
      </c>
      <c r="D6" s="111">
        <f>Scenarios!E6</f>
        <v>0.43351903366758976</v>
      </c>
      <c r="E6" s="112">
        <f>Scenarios!F6</f>
        <v>0.90991930291292189</v>
      </c>
      <c r="F6" s="112">
        <f>Scenarios!G6</f>
        <v>1</v>
      </c>
      <c r="G6" s="112">
        <f>Scenarios!H6</f>
        <v>0.78689057691118713</v>
      </c>
      <c r="H6" s="112">
        <f>Scenarios!I6</f>
        <v>0.81542413678900194</v>
      </c>
      <c r="I6" s="112">
        <f>Scenarios!J6</f>
        <v>0.84996791272671834</v>
      </c>
      <c r="J6" s="112">
        <f>Scenarios!K6</f>
        <v>0.63150622997795747</v>
      </c>
      <c r="K6" s="113">
        <f>Scenarios!L6</f>
        <v>0.87979060194508074</v>
      </c>
      <c r="N6" s="36">
        <v>3.150165482556146E-3</v>
      </c>
      <c r="O6" s="36">
        <v>2.4210767996325083E-2</v>
      </c>
      <c r="P6" s="36">
        <v>2.8273843216606323E-2</v>
      </c>
      <c r="Q6" s="36">
        <v>3.8373696184703453E-2</v>
      </c>
      <c r="R6" s="36">
        <v>4.0824443660549874E-2</v>
      </c>
      <c r="S6" s="36">
        <v>4.7987565924770659E-2</v>
      </c>
      <c r="T6" s="36">
        <v>1.5558266457002203E-2</v>
      </c>
      <c r="U6" s="36">
        <v>2.9462726607530545E-2</v>
      </c>
    </row>
    <row r="7" spans="1:21">
      <c r="A7" s="41" t="s">
        <v>7</v>
      </c>
      <c r="B7" s="42">
        <f>Scenarios!B27</f>
        <v>5.7210243741557129E-2</v>
      </c>
      <c r="C7" s="42">
        <f>Scenarios!D7</f>
        <v>0.29001927694608043</v>
      </c>
      <c r="D7" s="111">
        <f>Scenarios!E7</f>
        <v>0.22240504783264309</v>
      </c>
      <c r="E7" s="112">
        <f>Scenarios!F7</f>
        <v>0.74890714708117023</v>
      </c>
      <c r="F7" s="112">
        <f>Scenarios!G7</f>
        <v>0.78689057691118725</v>
      </c>
      <c r="G7" s="112">
        <f>Scenarios!H7</f>
        <v>1.0000000000000002</v>
      </c>
      <c r="H7" s="112">
        <f>Scenarios!I7</f>
        <v>0.80043789752068695</v>
      </c>
      <c r="I7" s="112">
        <f>Scenarios!J7</f>
        <v>0.6816417645711762</v>
      </c>
      <c r="J7" s="112">
        <f>Scenarios!K7</f>
        <v>0.69656976952020244</v>
      </c>
      <c r="K7" s="113">
        <f>Scenarios!L7</f>
        <v>0.8825588907922528</v>
      </c>
      <c r="N7" s="36">
        <v>2.7874319988523116E-3</v>
      </c>
      <c r="O7" s="36">
        <v>3.4369095734260446E-2</v>
      </c>
      <c r="P7" s="36">
        <v>3.8373696184703453E-2</v>
      </c>
      <c r="Q7" s="36">
        <v>8.4111181000327315E-2</v>
      </c>
      <c r="R7" s="36">
        <v>6.9119215106557635E-2</v>
      </c>
      <c r="S7" s="36">
        <v>6.6376878593813984E-2</v>
      </c>
      <c r="T7" s="36">
        <v>2.9599381146183188E-2</v>
      </c>
      <c r="U7" s="36">
        <v>5.0976704304249595E-2</v>
      </c>
    </row>
    <row r="8" spans="1:21">
      <c r="A8" s="41" t="s">
        <v>8</v>
      </c>
      <c r="B8" s="42">
        <f>Scenarios!B28</f>
        <v>5.5668448282861861E-2</v>
      </c>
      <c r="C8" s="42">
        <f>Scenarios!D8</f>
        <v>0.29774487154665702</v>
      </c>
      <c r="D8" s="111">
        <f>Scenarios!E8</f>
        <v>0.2729543601339276</v>
      </c>
      <c r="E8" s="112">
        <f>Scenarios!F8</f>
        <v>0.7406044106612274</v>
      </c>
      <c r="F8" s="112">
        <f>Scenarios!G8</f>
        <v>0.81542413678900183</v>
      </c>
      <c r="G8" s="112">
        <f>Scenarios!H8</f>
        <v>0.80043789752068695</v>
      </c>
      <c r="H8" s="112">
        <f>Scenarios!I8</f>
        <v>1</v>
      </c>
      <c r="I8" s="112">
        <f>Scenarios!J8</f>
        <v>0.70370520831484562</v>
      </c>
      <c r="J8" s="112">
        <f>Scenarios!K8</f>
        <v>0.62140003003210531</v>
      </c>
      <c r="K8" s="113">
        <f>Scenarios!L8</f>
        <v>0.77427405839831998</v>
      </c>
      <c r="N8" s="36">
        <v>3.5121018486085104E-3</v>
      </c>
      <c r="O8" s="36">
        <v>3.4893444998575093E-2</v>
      </c>
      <c r="P8" s="36">
        <v>4.0824443660549867E-2</v>
      </c>
      <c r="Q8" s="36">
        <v>6.9119215106557635E-2</v>
      </c>
      <c r="R8" s="36">
        <v>8.8652008532335291E-2</v>
      </c>
      <c r="S8" s="36">
        <v>7.0350764829628737E-2</v>
      </c>
      <c r="T8" s="36">
        <v>2.7108575865746099E-2</v>
      </c>
      <c r="U8" s="36">
        <v>4.5913478089811721E-2</v>
      </c>
    </row>
    <row r="9" spans="1:21">
      <c r="A9" s="41" t="s">
        <v>9</v>
      </c>
      <c r="B9" s="42">
        <f>Scenarios!B29</f>
        <v>5.4683067728185694E-2</v>
      </c>
      <c r="C9" s="42">
        <f>Scenarios!D9</f>
        <v>0.33576372020209261</v>
      </c>
      <c r="D9" s="111">
        <f>Scenarios!E9</f>
        <v>0.51795492979549662</v>
      </c>
      <c r="E9" s="112">
        <f>Scenarios!F9</f>
        <v>0.88671991368989134</v>
      </c>
      <c r="F9" s="112">
        <f>Scenarios!G9</f>
        <v>0.84996791272671812</v>
      </c>
      <c r="G9" s="112">
        <f>Scenarios!H9</f>
        <v>0.6816417645711762</v>
      </c>
      <c r="H9" s="112">
        <f>Scenarios!I9</f>
        <v>0.70370520831484562</v>
      </c>
      <c r="I9" s="112">
        <f>Scenarios!J9</f>
        <v>1.0000000000000002</v>
      </c>
      <c r="J9" s="112">
        <f>Scenarios!K9</f>
        <v>0.64202094504860974</v>
      </c>
      <c r="K9" s="113">
        <f>Scenarios!L9</f>
        <v>0.82000870971282414</v>
      </c>
      <c r="N9" s="36">
        <v>7.5155110021377699E-3</v>
      </c>
      <c r="O9" s="36">
        <v>4.711221194478369E-2</v>
      </c>
      <c r="P9" s="36">
        <v>4.7987565924770645E-2</v>
      </c>
      <c r="Q9" s="36">
        <v>6.6376878593813984E-2</v>
      </c>
      <c r="R9" s="36">
        <v>7.0350764829628737E-2</v>
      </c>
      <c r="S9" s="36">
        <v>0.11273727580394916</v>
      </c>
      <c r="T9" s="36">
        <v>3.158450738795341E-2</v>
      </c>
      <c r="U9" s="36">
        <v>5.4834441956043922E-2</v>
      </c>
    </row>
    <row r="10" spans="1:21">
      <c r="A10" s="41" t="s">
        <v>10</v>
      </c>
      <c r="B10" s="42">
        <f>Scenarios!B30</f>
        <v>2.9030049193200475E-2</v>
      </c>
      <c r="C10" s="42">
        <f>Scenarios!D10</f>
        <v>0.1465180543940868</v>
      </c>
      <c r="D10" s="111">
        <f>Scenarios!E10</f>
        <v>0.2202608507840644</v>
      </c>
      <c r="E10" s="112">
        <f>Scenarios!F10</f>
        <v>0.61760661631655156</v>
      </c>
      <c r="F10" s="112">
        <f>Scenarios!G10</f>
        <v>0.63150622997795758</v>
      </c>
      <c r="G10" s="112">
        <f>Scenarios!H10</f>
        <v>0.69656976952020244</v>
      </c>
      <c r="H10" s="112">
        <f>Scenarios!I10</f>
        <v>0.62140003003210531</v>
      </c>
      <c r="I10" s="112">
        <f>Scenarios!J10</f>
        <v>0.64202094504860974</v>
      </c>
      <c r="J10" s="112">
        <f>Scenarios!K10</f>
        <v>1.0000000000000002</v>
      </c>
      <c r="K10" s="113">
        <f>Scenarios!L10</f>
        <v>0.66415983265504108</v>
      </c>
      <c r="N10" s="36">
        <v>1.3946371552323014E-3</v>
      </c>
      <c r="O10" s="36">
        <v>1.431912063932413E-2</v>
      </c>
      <c r="P10" s="36">
        <v>1.5558266457002206E-2</v>
      </c>
      <c r="Q10" s="36">
        <v>2.9599381146183192E-2</v>
      </c>
      <c r="R10" s="36">
        <v>2.7108575865746099E-2</v>
      </c>
      <c r="S10" s="36">
        <v>3.158450738795341E-2</v>
      </c>
      <c r="T10" s="36">
        <v>2.1467540263428581E-2</v>
      </c>
      <c r="U10" s="36">
        <v>1.9380498529609831E-2</v>
      </c>
    </row>
    <row r="11" spans="1:21" ht="13.5" thickBot="1">
      <c r="A11" s="43" t="s">
        <v>11</v>
      </c>
      <c r="B11" s="44">
        <f>Scenarios!B31</f>
        <v>3.8983857987503749E-2</v>
      </c>
      <c r="C11" s="44">
        <f>Scenarios!D11</f>
        <v>0.19915957675666104</v>
      </c>
      <c r="D11" s="114">
        <f>Scenarios!E11</f>
        <v>0.36266106503892553</v>
      </c>
      <c r="E11" s="115">
        <f>Scenarios!F11</f>
        <v>0.8752768910119606</v>
      </c>
      <c r="F11" s="115">
        <f>Scenarios!G11</f>
        <v>0.87979060194508063</v>
      </c>
      <c r="G11" s="115">
        <f>Scenarios!H11</f>
        <v>0.88255889079225258</v>
      </c>
      <c r="H11" s="115">
        <f>Scenarios!I11</f>
        <v>0.77427405839831998</v>
      </c>
      <c r="I11" s="115">
        <f>Scenarios!J11</f>
        <v>0.82000870971282414</v>
      </c>
      <c r="J11" s="115">
        <f>Scenarios!K11</f>
        <v>0.66415983265504108</v>
      </c>
      <c r="K11" s="116">
        <f>Scenarios!L11</f>
        <v>1.0000000000000002</v>
      </c>
      <c r="N11" s="36">
        <v>3.1212956212481155E-3</v>
      </c>
      <c r="O11" s="36">
        <v>2.75841700957868E-2</v>
      </c>
      <c r="P11" s="36">
        <v>2.9462726607530541E-2</v>
      </c>
      <c r="Q11" s="36">
        <v>5.0976704304249582E-2</v>
      </c>
      <c r="R11" s="36">
        <v>4.5913478089811721E-2</v>
      </c>
      <c r="S11" s="36">
        <v>5.4834441956043915E-2</v>
      </c>
      <c r="T11" s="36">
        <v>1.9380498529609831E-2</v>
      </c>
      <c r="U11" s="36">
        <v>3.9664537013892373E-2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8" t="s">
        <v>3</v>
      </c>
      <c r="E14" s="389"/>
      <c r="F14" s="389"/>
      <c r="G14" s="389"/>
      <c r="H14" s="389"/>
      <c r="I14" s="389"/>
      <c r="J14" s="389"/>
      <c r="K14" s="390"/>
    </row>
    <row r="15" spans="1:21">
      <c r="A15" s="41" t="s">
        <v>4</v>
      </c>
      <c r="B15" s="46">
        <f>Scenarios!C24</f>
        <v>-1.8278501643327824E-3</v>
      </c>
      <c r="C15" s="42">
        <f>C4</f>
        <v>4.3214826708651545E-2</v>
      </c>
      <c r="D15" s="111">
        <f t="shared" ref="D15:K15" si="0">D4</f>
        <v>1.0000000000000002</v>
      </c>
      <c r="E15" s="112">
        <f t="shared" si="0"/>
        <v>0.48758203889173096</v>
      </c>
      <c r="F15" s="112">
        <f t="shared" si="0"/>
        <v>0.43351903366758959</v>
      </c>
      <c r="G15" s="112">
        <f t="shared" si="0"/>
        <v>0.22240504783264323</v>
      </c>
      <c r="H15" s="112">
        <f t="shared" si="0"/>
        <v>0.2729543601339276</v>
      </c>
      <c r="I15" s="112">
        <f t="shared" si="0"/>
        <v>0.51795492979549662</v>
      </c>
      <c r="J15" s="112">
        <f t="shared" si="0"/>
        <v>0.22026085078406454</v>
      </c>
      <c r="K15" s="113">
        <f t="shared" si="0"/>
        <v>0.36266106503892548</v>
      </c>
      <c r="L15" s="239" t="s">
        <v>120</v>
      </c>
    </row>
    <row r="16" spans="1:21">
      <c r="A16" s="41" t="s">
        <v>5</v>
      </c>
      <c r="B16" s="46">
        <f>Scenarios!C25</f>
        <v>1.7755802056853877E-2</v>
      </c>
      <c r="C16" s="42">
        <f t="shared" ref="C16:K16" si="1">C5</f>
        <v>0.15823890359343337</v>
      </c>
      <c r="D16" s="111">
        <f t="shared" si="1"/>
        <v>0.48758203889173107</v>
      </c>
      <c r="E16" s="112">
        <f t="shared" si="1"/>
        <v>0.99999999999999978</v>
      </c>
      <c r="F16" s="112">
        <f t="shared" si="1"/>
        <v>0.90991930291292189</v>
      </c>
      <c r="G16" s="112">
        <f t="shared" si="1"/>
        <v>0.74890714708117023</v>
      </c>
      <c r="H16" s="112">
        <f t="shared" si="1"/>
        <v>0.74060441066122751</v>
      </c>
      <c r="I16" s="112">
        <f t="shared" si="1"/>
        <v>0.88671991368989134</v>
      </c>
      <c r="J16" s="112">
        <f t="shared" si="1"/>
        <v>0.61760661631655178</v>
      </c>
      <c r="K16" s="113">
        <f t="shared" si="1"/>
        <v>0.8752768910119606</v>
      </c>
    </row>
    <row r="17" spans="1:12">
      <c r="A17" s="41" t="s">
        <v>6</v>
      </c>
      <c r="B17" s="46">
        <f>Scenarios!C26</f>
        <v>2.4095859002887784E-2</v>
      </c>
      <c r="C17" s="42">
        <f t="shared" ref="C17:K17" si="2">C6</f>
        <v>0.168148277471422</v>
      </c>
      <c r="D17" s="111">
        <f t="shared" si="2"/>
        <v>0.43351903366758976</v>
      </c>
      <c r="E17" s="112">
        <f t="shared" si="2"/>
        <v>0.90991930291292189</v>
      </c>
      <c r="F17" s="112">
        <f t="shared" si="2"/>
        <v>1</v>
      </c>
      <c r="G17" s="112">
        <f t="shared" si="2"/>
        <v>0.78689057691118713</v>
      </c>
      <c r="H17" s="112">
        <f t="shared" si="2"/>
        <v>0.81542413678900194</v>
      </c>
      <c r="I17" s="112">
        <f t="shared" si="2"/>
        <v>0.84996791272671834</v>
      </c>
      <c r="J17" s="112">
        <f t="shared" si="2"/>
        <v>0.63150622997795747</v>
      </c>
      <c r="K17" s="113">
        <f t="shared" si="2"/>
        <v>0.87979060194508074</v>
      </c>
    </row>
    <row r="18" spans="1:12">
      <c r="A18" s="41" t="s">
        <v>7</v>
      </c>
      <c r="B18" s="46">
        <f>Scenarios!C27</f>
        <v>-2.6391451656497394E-3</v>
      </c>
      <c r="C18" s="42">
        <f t="shared" ref="C18:K18" si="3">C7</f>
        <v>0.29001927694608043</v>
      </c>
      <c r="D18" s="111">
        <f t="shared" si="3"/>
        <v>0.22240504783264309</v>
      </c>
      <c r="E18" s="112">
        <f t="shared" si="3"/>
        <v>0.74890714708117023</v>
      </c>
      <c r="F18" s="112">
        <f t="shared" si="3"/>
        <v>0.78689057691118725</v>
      </c>
      <c r="G18" s="112">
        <f t="shared" si="3"/>
        <v>1.0000000000000002</v>
      </c>
      <c r="H18" s="112">
        <f t="shared" si="3"/>
        <v>0.80043789752068695</v>
      </c>
      <c r="I18" s="112">
        <f t="shared" si="3"/>
        <v>0.6816417645711762</v>
      </c>
      <c r="J18" s="112">
        <f t="shared" si="3"/>
        <v>0.69656976952020244</v>
      </c>
      <c r="K18" s="113">
        <f t="shared" si="3"/>
        <v>0.8825588907922528</v>
      </c>
    </row>
    <row r="19" spans="1:12">
      <c r="A19" s="41" t="s">
        <v>8</v>
      </c>
      <c r="B19" s="46">
        <f>Scenarios!C28</f>
        <v>7.5254893945081197E-2</v>
      </c>
      <c r="C19" s="42">
        <f t="shared" ref="C19:K19" si="4">C8</f>
        <v>0.29774487154665702</v>
      </c>
      <c r="D19" s="111">
        <f t="shared" si="4"/>
        <v>0.2729543601339276</v>
      </c>
      <c r="E19" s="112">
        <f t="shared" si="4"/>
        <v>0.7406044106612274</v>
      </c>
      <c r="F19" s="112">
        <f t="shared" si="4"/>
        <v>0.81542413678900183</v>
      </c>
      <c r="G19" s="112">
        <f t="shared" si="4"/>
        <v>0.80043789752068695</v>
      </c>
      <c r="H19" s="112">
        <f t="shared" si="4"/>
        <v>1</v>
      </c>
      <c r="I19" s="112">
        <f t="shared" si="4"/>
        <v>0.70370520831484562</v>
      </c>
      <c r="J19" s="112">
        <f t="shared" si="4"/>
        <v>0.62140003003210531</v>
      </c>
      <c r="K19" s="113">
        <f t="shared" si="4"/>
        <v>0.77427405839831998</v>
      </c>
    </row>
    <row r="20" spans="1:12">
      <c r="A20" s="41" t="s">
        <v>9</v>
      </c>
      <c r="B20" s="46">
        <f>Scenarios!C29</f>
        <v>6.2036265615280854E-2</v>
      </c>
      <c r="C20" s="42">
        <f t="shared" ref="C20:K20" si="5">C9</f>
        <v>0.33576372020209261</v>
      </c>
      <c r="D20" s="111">
        <f t="shared" si="5"/>
        <v>0.51795492979549662</v>
      </c>
      <c r="E20" s="112">
        <f t="shared" si="5"/>
        <v>0.88671991368989134</v>
      </c>
      <c r="F20" s="112">
        <f t="shared" si="5"/>
        <v>0.84996791272671812</v>
      </c>
      <c r="G20" s="112">
        <f t="shared" si="5"/>
        <v>0.6816417645711762</v>
      </c>
      <c r="H20" s="112">
        <f t="shared" si="5"/>
        <v>0.70370520831484562</v>
      </c>
      <c r="I20" s="112">
        <f t="shared" si="5"/>
        <v>1.0000000000000002</v>
      </c>
      <c r="J20" s="112">
        <f t="shared" si="5"/>
        <v>0.64202094504860974</v>
      </c>
      <c r="K20" s="113">
        <f t="shared" si="5"/>
        <v>0.82000870971282414</v>
      </c>
    </row>
    <row r="21" spans="1:12">
      <c r="A21" s="41" t="s">
        <v>10</v>
      </c>
      <c r="B21" s="46">
        <f>Scenarios!C30</f>
        <v>1.4591619612606042E-2</v>
      </c>
      <c r="C21" s="42">
        <f t="shared" ref="C21:K21" si="6">C10</f>
        <v>0.1465180543940868</v>
      </c>
      <c r="D21" s="111">
        <f t="shared" si="6"/>
        <v>0.2202608507840644</v>
      </c>
      <c r="E21" s="112">
        <f t="shared" si="6"/>
        <v>0.61760661631655156</v>
      </c>
      <c r="F21" s="112">
        <f t="shared" si="6"/>
        <v>0.63150622997795758</v>
      </c>
      <c r="G21" s="112">
        <f t="shared" si="6"/>
        <v>0.69656976952020244</v>
      </c>
      <c r="H21" s="112">
        <f t="shared" si="6"/>
        <v>0.62140003003210531</v>
      </c>
      <c r="I21" s="112">
        <f t="shared" si="6"/>
        <v>0.64202094504860974</v>
      </c>
      <c r="J21" s="112">
        <f t="shared" si="6"/>
        <v>1.0000000000000002</v>
      </c>
      <c r="K21" s="113">
        <f t="shared" si="6"/>
        <v>0.66415983265504108</v>
      </c>
    </row>
    <row r="22" spans="1:12" ht="13.5" thickBot="1">
      <c r="A22" s="43" t="s">
        <v>11</v>
      </c>
      <c r="B22" s="47">
        <f>Scenarios!C31</f>
        <v>1.0171029512307597E-3</v>
      </c>
      <c r="C22" s="44">
        <f t="shared" ref="C22:K22" si="7">C11</f>
        <v>0.19915957675666104</v>
      </c>
      <c r="D22" s="114">
        <f t="shared" si="7"/>
        <v>0.36266106503892553</v>
      </c>
      <c r="E22" s="115">
        <f t="shared" si="7"/>
        <v>0.8752768910119606</v>
      </c>
      <c r="F22" s="115">
        <f t="shared" si="7"/>
        <v>0.87979060194508063</v>
      </c>
      <c r="G22" s="115">
        <f t="shared" si="7"/>
        <v>0.88255889079225258</v>
      </c>
      <c r="H22" s="115">
        <f t="shared" si="7"/>
        <v>0.77427405839831998</v>
      </c>
      <c r="I22" s="115">
        <f t="shared" si="7"/>
        <v>0.82000870971282414</v>
      </c>
      <c r="J22" s="115">
        <f t="shared" si="7"/>
        <v>0.66415983265504108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8" t="s">
        <v>3</v>
      </c>
      <c r="E25" s="389"/>
      <c r="F25" s="389"/>
      <c r="G25" s="389"/>
      <c r="H25" s="389"/>
      <c r="I25" s="389"/>
      <c r="J25" s="389"/>
      <c r="K25" s="390"/>
    </row>
    <row r="26" spans="1:12">
      <c r="A26" s="41" t="s">
        <v>4</v>
      </c>
      <c r="B26" s="46">
        <f>Scenarios!D24</f>
        <v>-8.3588621306752015E-3</v>
      </c>
      <c r="C26" s="243">
        <f>C4</f>
        <v>4.3214826708651545E-2</v>
      </c>
      <c r="D26" s="249">
        <f t="shared" ref="D26:K26" si="8">D4</f>
        <v>1.0000000000000002</v>
      </c>
      <c r="E26" s="250">
        <f t="shared" si="8"/>
        <v>0.48758203889173096</v>
      </c>
      <c r="F26" s="250">
        <f t="shared" si="8"/>
        <v>0.43351903366758959</v>
      </c>
      <c r="G26" s="250">
        <f t="shared" si="8"/>
        <v>0.22240504783264323</v>
      </c>
      <c r="H26" s="250">
        <f t="shared" si="8"/>
        <v>0.2729543601339276</v>
      </c>
      <c r="I26" s="250">
        <f t="shared" si="8"/>
        <v>0.51795492979549662</v>
      </c>
      <c r="J26" s="250">
        <f t="shared" si="8"/>
        <v>0.22026085078406454</v>
      </c>
      <c r="K26" s="251">
        <f t="shared" si="8"/>
        <v>0.36266106503892548</v>
      </c>
      <c r="L26" s="239" t="s">
        <v>120</v>
      </c>
    </row>
    <row r="27" spans="1:12">
      <c r="A27" s="41" t="s">
        <v>5</v>
      </c>
      <c r="B27" s="46">
        <f>Scenarios!D25</f>
        <v>-7.1450317109812783E-2</v>
      </c>
      <c r="C27" s="243">
        <f t="shared" ref="C27:K27" si="9">C5</f>
        <v>0.15823890359343337</v>
      </c>
      <c r="D27" s="249">
        <f t="shared" si="9"/>
        <v>0.48758203889173107</v>
      </c>
      <c r="E27" s="250">
        <f t="shared" si="9"/>
        <v>0.99999999999999978</v>
      </c>
      <c r="F27" s="250">
        <f t="shared" si="9"/>
        <v>0.90991930291292189</v>
      </c>
      <c r="G27" s="250">
        <f t="shared" si="9"/>
        <v>0.74890714708117023</v>
      </c>
      <c r="H27" s="250">
        <f t="shared" si="9"/>
        <v>0.74060441066122751</v>
      </c>
      <c r="I27" s="250">
        <f t="shared" si="9"/>
        <v>0.88671991368989134</v>
      </c>
      <c r="J27" s="250">
        <f t="shared" si="9"/>
        <v>0.61760661631655178</v>
      </c>
      <c r="K27" s="251">
        <f t="shared" si="9"/>
        <v>0.8752768910119606</v>
      </c>
    </row>
    <row r="28" spans="1:12">
      <c r="A28" s="41" t="s">
        <v>6</v>
      </c>
      <c r="B28" s="46">
        <f>Scenarios!D26</f>
        <v>-5.2630677807847914E-2</v>
      </c>
      <c r="C28" s="243">
        <f t="shared" ref="C28:K28" si="10">C6</f>
        <v>0.168148277471422</v>
      </c>
      <c r="D28" s="249">
        <f t="shared" si="10"/>
        <v>0.43351903366758976</v>
      </c>
      <c r="E28" s="250">
        <f t="shared" si="10"/>
        <v>0.90991930291292189</v>
      </c>
      <c r="F28" s="250">
        <f t="shared" si="10"/>
        <v>1</v>
      </c>
      <c r="G28" s="250">
        <f t="shared" si="10"/>
        <v>0.78689057691118713</v>
      </c>
      <c r="H28" s="250">
        <f t="shared" si="10"/>
        <v>0.81542413678900194</v>
      </c>
      <c r="I28" s="250">
        <f t="shared" si="10"/>
        <v>0.84996791272671834</v>
      </c>
      <c r="J28" s="250">
        <f t="shared" si="10"/>
        <v>0.63150622997795747</v>
      </c>
      <c r="K28" s="251">
        <f t="shared" si="10"/>
        <v>0.87979060194508074</v>
      </c>
    </row>
    <row r="29" spans="1:12">
      <c r="A29" s="41" t="s">
        <v>7</v>
      </c>
      <c r="B29" s="46">
        <f>Scenarios!D27</f>
        <v>-0.19512687848593468</v>
      </c>
      <c r="C29" s="243">
        <f t="shared" ref="C29:K29" si="11">C7</f>
        <v>0.29001927694608043</v>
      </c>
      <c r="D29" s="249">
        <f t="shared" si="11"/>
        <v>0.22240504783264309</v>
      </c>
      <c r="E29" s="250">
        <f t="shared" si="11"/>
        <v>0.74890714708117023</v>
      </c>
      <c r="F29" s="250">
        <f t="shared" si="11"/>
        <v>0.78689057691118725</v>
      </c>
      <c r="G29" s="250">
        <f t="shared" si="11"/>
        <v>1.0000000000000002</v>
      </c>
      <c r="H29" s="250">
        <f t="shared" si="11"/>
        <v>0.80043789752068695</v>
      </c>
      <c r="I29" s="250">
        <f t="shared" si="11"/>
        <v>0.6816417645711762</v>
      </c>
      <c r="J29" s="250">
        <f t="shared" si="11"/>
        <v>0.69656976952020244</v>
      </c>
      <c r="K29" s="251">
        <f t="shared" si="11"/>
        <v>0.8825588907922528</v>
      </c>
    </row>
    <row r="30" spans="1:12">
      <c r="A30" s="41" t="s">
        <v>8</v>
      </c>
      <c r="B30" s="46">
        <f>Scenarios!D28</f>
        <v>-7.9881478458451574E-2</v>
      </c>
      <c r="C30" s="243">
        <f t="shared" ref="C30:K30" si="12">C8</f>
        <v>0.29774487154665702</v>
      </c>
      <c r="D30" s="249">
        <f t="shared" si="12"/>
        <v>0.2729543601339276</v>
      </c>
      <c r="E30" s="250">
        <f t="shared" si="12"/>
        <v>0.7406044106612274</v>
      </c>
      <c r="F30" s="250">
        <f t="shared" si="12"/>
        <v>0.81542413678900183</v>
      </c>
      <c r="G30" s="250">
        <f t="shared" si="12"/>
        <v>0.80043789752068695</v>
      </c>
      <c r="H30" s="250">
        <f t="shared" si="12"/>
        <v>1</v>
      </c>
      <c r="I30" s="250">
        <f t="shared" si="12"/>
        <v>0.70370520831484562</v>
      </c>
      <c r="J30" s="250">
        <f t="shared" si="12"/>
        <v>0.62140003003210531</v>
      </c>
      <c r="K30" s="251">
        <f t="shared" si="12"/>
        <v>0.77427405839831998</v>
      </c>
    </row>
    <row r="31" spans="1:12">
      <c r="A31" s="41" t="s">
        <v>9</v>
      </c>
      <c r="B31" s="46">
        <f>Scenarios!D29</f>
        <v>-3.284707730570241E-2</v>
      </c>
      <c r="C31" s="243">
        <f t="shared" ref="C31:K31" si="13">C9</f>
        <v>0.33576372020209261</v>
      </c>
      <c r="D31" s="249">
        <f t="shared" si="13"/>
        <v>0.51795492979549662</v>
      </c>
      <c r="E31" s="250">
        <f t="shared" si="13"/>
        <v>0.88671991368989134</v>
      </c>
      <c r="F31" s="250">
        <f t="shared" si="13"/>
        <v>0.84996791272671812</v>
      </c>
      <c r="G31" s="250">
        <f t="shared" si="13"/>
        <v>0.6816417645711762</v>
      </c>
      <c r="H31" s="250">
        <f t="shared" si="13"/>
        <v>0.70370520831484562</v>
      </c>
      <c r="I31" s="250">
        <f t="shared" si="13"/>
        <v>1.0000000000000002</v>
      </c>
      <c r="J31" s="250">
        <f t="shared" si="13"/>
        <v>0.64202094504860974</v>
      </c>
      <c r="K31" s="251">
        <f t="shared" si="13"/>
        <v>0.82000870971282414</v>
      </c>
    </row>
    <row r="32" spans="1:12">
      <c r="A32" s="41" t="s">
        <v>10</v>
      </c>
      <c r="B32" s="46">
        <f>Scenarios!D30</f>
        <v>-6.6050814940221969E-2</v>
      </c>
      <c r="C32" s="243">
        <f t="shared" ref="C32:K32" si="14">C10</f>
        <v>0.1465180543940868</v>
      </c>
      <c r="D32" s="249">
        <f t="shared" si="14"/>
        <v>0.2202608507840644</v>
      </c>
      <c r="E32" s="250">
        <f t="shared" si="14"/>
        <v>0.61760661631655156</v>
      </c>
      <c r="F32" s="250">
        <f t="shared" si="14"/>
        <v>0.63150622997795758</v>
      </c>
      <c r="G32" s="250">
        <f t="shared" si="14"/>
        <v>0.69656976952020244</v>
      </c>
      <c r="H32" s="250">
        <f t="shared" si="14"/>
        <v>0.62140003003210531</v>
      </c>
      <c r="I32" s="250">
        <f t="shared" si="14"/>
        <v>0.64202094504860974</v>
      </c>
      <c r="J32" s="250">
        <f t="shared" si="14"/>
        <v>1.0000000000000002</v>
      </c>
      <c r="K32" s="251">
        <f t="shared" si="14"/>
        <v>0.66415983265504108</v>
      </c>
    </row>
    <row r="33" spans="1:12" ht="13.5" thickBot="1">
      <c r="A33" s="43" t="s">
        <v>11</v>
      </c>
      <c r="B33" s="47">
        <f>Scenarios!D31</f>
        <v>-0.14420836692556077</v>
      </c>
      <c r="C33" s="246">
        <f t="shared" ref="C33:K33" si="15">C11</f>
        <v>0.19915957675666104</v>
      </c>
      <c r="D33" s="252">
        <f t="shared" si="15"/>
        <v>0.36266106503892553</v>
      </c>
      <c r="E33" s="253">
        <f t="shared" si="15"/>
        <v>0.8752768910119606</v>
      </c>
      <c r="F33" s="253">
        <f t="shared" si="15"/>
        <v>0.87979060194508063</v>
      </c>
      <c r="G33" s="253">
        <f t="shared" si="15"/>
        <v>0.88255889079225258</v>
      </c>
      <c r="H33" s="253">
        <f t="shared" si="15"/>
        <v>0.77427405839831998</v>
      </c>
      <c r="I33" s="253">
        <f t="shared" si="15"/>
        <v>0.82000870971282414</v>
      </c>
      <c r="J33" s="253">
        <f t="shared" si="15"/>
        <v>0.66415983265504108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8" t="s">
        <v>3</v>
      </c>
      <c r="E36" s="389"/>
      <c r="F36" s="389"/>
      <c r="G36" s="389"/>
      <c r="H36" s="389"/>
      <c r="I36" s="389"/>
      <c r="J36" s="389"/>
      <c r="K36" s="390"/>
    </row>
    <row r="37" spans="1:12">
      <c r="A37" s="41" t="s">
        <v>4</v>
      </c>
      <c r="B37" s="46">
        <f>Scenarios!E24</f>
        <v>1.4376558188383924E-3</v>
      </c>
      <c r="C37" s="243">
        <f t="shared" ref="C37:K37" si="16">C15</f>
        <v>4.3214826708651545E-2</v>
      </c>
      <c r="D37" s="249">
        <f t="shared" si="16"/>
        <v>1.0000000000000002</v>
      </c>
      <c r="E37" s="250">
        <f t="shared" si="16"/>
        <v>0.48758203889173096</v>
      </c>
      <c r="F37" s="250">
        <f t="shared" si="16"/>
        <v>0.43351903366758959</v>
      </c>
      <c r="G37" s="250">
        <f t="shared" si="16"/>
        <v>0.22240504783264323</v>
      </c>
      <c r="H37" s="250">
        <f t="shared" si="16"/>
        <v>0.2729543601339276</v>
      </c>
      <c r="I37" s="250">
        <f t="shared" si="16"/>
        <v>0.51795492979549662</v>
      </c>
      <c r="J37" s="250">
        <f t="shared" si="16"/>
        <v>0.22026085078406454</v>
      </c>
      <c r="K37" s="251">
        <f t="shared" si="16"/>
        <v>0.36266106503892548</v>
      </c>
      <c r="L37" s="239" t="s">
        <v>120</v>
      </c>
    </row>
    <row r="38" spans="1:12">
      <c r="A38" s="41" t="s">
        <v>5</v>
      </c>
      <c r="B38" s="46">
        <f>Scenarios!E25</f>
        <v>9.9922050236853827E-2</v>
      </c>
      <c r="C38" s="243">
        <f t="shared" ref="C38:K38" si="17">C16</f>
        <v>0.15823890359343337</v>
      </c>
      <c r="D38" s="249">
        <f t="shared" si="17"/>
        <v>0.48758203889173107</v>
      </c>
      <c r="E38" s="250">
        <f t="shared" si="17"/>
        <v>0.99999999999999978</v>
      </c>
      <c r="F38" s="250">
        <f t="shared" si="17"/>
        <v>0.90991930291292189</v>
      </c>
      <c r="G38" s="250">
        <f t="shared" si="17"/>
        <v>0.74890714708117023</v>
      </c>
      <c r="H38" s="250">
        <f t="shared" si="17"/>
        <v>0.74060441066122751</v>
      </c>
      <c r="I38" s="250">
        <f t="shared" si="17"/>
        <v>0.88671991368989134</v>
      </c>
      <c r="J38" s="250">
        <f t="shared" si="17"/>
        <v>0.61760661631655178</v>
      </c>
      <c r="K38" s="251">
        <f t="shared" si="17"/>
        <v>0.8752768910119606</v>
      </c>
    </row>
    <row r="39" spans="1:12">
      <c r="A39" s="41" t="s">
        <v>6</v>
      </c>
      <c r="B39" s="46">
        <f>Scenarios!E26</f>
        <v>4.5771750914075364E-2</v>
      </c>
      <c r="C39" s="243">
        <f t="shared" ref="C39:K39" si="18">C17</f>
        <v>0.168148277471422</v>
      </c>
      <c r="D39" s="249">
        <f t="shared" si="18"/>
        <v>0.43351903366758976</v>
      </c>
      <c r="E39" s="250">
        <f t="shared" si="18"/>
        <v>0.90991930291292189</v>
      </c>
      <c r="F39" s="250">
        <f t="shared" si="18"/>
        <v>1</v>
      </c>
      <c r="G39" s="250">
        <f t="shared" si="18"/>
        <v>0.78689057691118713</v>
      </c>
      <c r="H39" s="250">
        <f t="shared" si="18"/>
        <v>0.81542413678900194</v>
      </c>
      <c r="I39" s="250">
        <f t="shared" si="18"/>
        <v>0.84996791272671834</v>
      </c>
      <c r="J39" s="250">
        <f t="shared" si="18"/>
        <v>0.63150622997795747</v>
      </c>
      <c r="K39" s="251">
        <f t="shared" si="18"/>
        <v>0.87979060194508074</v>
      </c>
    </row>
    <row r="40" spans="1:12">
      <c r="A40" s="41" t="s">
        <v>7</v>
      </c>
      <c r="B40" s="46">
        <f>Scenarios!E27</f>
        <v>8.918969122838788E-2</v>
      </c>
      <c r="C40" s="243">
        <f t="shared" ref="C40:K40" si="19">C18</f>
        <v>0.29001927694608043</v>
      </c>
      <c r="D40" s="249">
        <f t="shared" si="19"/>
        <v>0.22240504783264309</v>
      </c>
      <c r="E40" s="250">
        <f t="shared" si="19"/>
        <v>0.74890714708117023</v>
      </c>
      <c r="F40" s="250">
        <f t="shared" si="19"/>
        <v>0.78689057691118725</v>
      </c>
      <c r="G40" s="250">
        <f t="shared" si="19"/>
        <v>1.0000000000000002</v>
      </c>
      <c r="H40" s="250">
        <f t="shared" si="19"/>
        <v>0.80043789752068695</v>
      </c>
      <c r="I40" s="250">
        <f t="shared" si="19"/>
        <v>0.6816417645711762</v>
      </c>
      <c r="J40" s="250">
        <f t="shared" si="19"/>
        <v>0.69656976952020244</v>
      </c>
      <c r="K40" s="251">
        <f t="shared" si="19"/>
        <v>0.8825588907922528</v>
      </c>
    </row>
    <row r="41" spans="1:12">
      <c r="A41" s="41" t="s">
        <v>8</v>
      </c>
      <c r="B41" s="46">
        <f>Scenarios!E28</f>
        <v>0.15365069945175694</v>
      </c>
      <c r="C41" s="243">
        <f t="shared" ref="C41:K41" si="20">C19</f>
        <v>0.29774487154665702</v>
      </c>
      <c r="D41" s="249">
        <f t="shared" si="20"/>
        <v>0.2729543601339276</v>
      </c>
      <c r="E41" s="250">
        <f t="shared" si="20"/>
        <v>0.7406044106612274</v>
      </c>
      <c r="F41" s="250">
        <f t="shared" si="20"/>
        <v>0.81542413678900183</v>
      </c>
      <c r="G41" s="250">
        <f t="shared" si="20"/>
        <v>0.80043789752068695</v>
      </c>
      <c r="H41" s="250">
        <f t="shared" si="20"/>
        <v>1</v>
      </c>
      <c r="I41" s="250">
        <f t="shared" si="20"/>
        <v>0.70370520831484562</v>
      </c>
      <c r="J41" s="250">
        <f t="shared" si="20"/>
        <v>0.62140003003210531</v>
      </c>
      <c r="K41" s="251">
        <f t="shared" si="20"/>
        <v>0.77427405839831998</v>
      </c>
    </row>
    <row r="42" spans="1:12">
      <c r="A42" s="41" t="s">
        <v>9</v>
      </c>
      <c r="B42" s="46">
        <f>Scenarios!E29</f>
        <v>0.10991050604096422</v>
      </c>
      <c r="C42" s="243">
        <f t="shared" ref="C42:K42" si="21">C20</f>
        <v>0.33576372020209261</v>
      </c>
      <c r="D42" s="249">
        <f t="shared" si="21"/>
        <v>0.51795492979549662</v>
      </c>
      <c r="E42" s="250">
        <f t="shared" si="21"/>
        <v>0.88671991368989134</v>
      </c>
      <c r="F42" s="250">
        <f t="shared" si="21"/>
        <v>0.84996791272671812</v>
      </c>
      <c r="G42" s="250">
        <f t="shared" si="21"/>
        <v>0.6816417645711762</v>
      </c>
      <c r="H42" s="250">
        <f t="shared" si="21"/>
        <v>0.70370520831484562</v>
      </c>
      <c r="I42" s="250">
        <f t="shared" si="21"/>
        <v>1.0000000000000002</v>
      </c>
      <c r="J42" s="250">
        <f t="shared" si="21"/>
        <v>0.64202094504860974</v>
      </c>
      <c r="K42" s="251">
        <f t="shared" si="21"/>
        <v>0.82000870971282414</v>
      </c>
    </row>
    <row r="43" spans="1:12">
      <c r="A43" s="41" t="s">
        <v>10</v>
      </c>
      <c r="B43" s="46">
        <f>Scenarios!E30</f>
        <v>5.2412836889020015E-2</v>
      </c>
      <c r="C43" s="243">
        <f t="shared" ref="C43:K43" si="22">C21</f>
        <v>0.1465180543940868</v>
      </c>
      <c r="D43" s="249">
        <f t="shared" si="22"/>
        <v>0.2202608507840644</v>
      </c>
      <c r="E43" s="250">
        <f t="shared" si="22"/>
        <v>0.61760661631655156</v>
      </c>
      <c r="F43" s="250">
        <f t="shared" si="22"/>
        <v>0.63150622997795758</v>
      </c>
      <c r="G43" s="250">
        <f t="shared" si="22"/>
        <v>0.69656976952020244</v>
      </c>
      <c r="H43" s="250">
        <f t="shared" si="22"/>
        <v>0.62140003003210531</v>
      </c>
      <c r="I43" s="250">
        <f t="shared" si="22"/>
        <v>0.64202094504860974</v>
      </c>
      <c r="J43" s="250">
        <f t="shared" si="22"/>
        <v>1.0000000000000002</v>
      </c>
      <c r="K43" s="251">
        <f t="shared" si="22"/>
        <v>0.66415983265504108</v>
      </c>
    </row>
    <row r="44" spans="1:12" ht="13.5" thickBot="1">
      <c r="A44" s="43" t="s">
        <v>11</v>
      </c>
      <c r="B44" s="47">
        <f>Scenarios!E31</f>
        <v>6.7667954145598314E-2</v>
      </c>
      <c r="C44" s="246">
        <f t="shared" ref="C44:K44" si="23">C22</f>
        <v>0.19915957675666104</v>
      </c>
      <c r="D44" s="252">
        <f t="shared" si="23"/>
        <v>0.36266106503892553</v>
      </c>
      <c r="E44" s="253">
        <f t="shared" si="23"/>
        <v>0.8752768910119606</v>
      </c>
      <c r="F44" s="253">
        <f t="shared" si="23"/>
        <v>0.87979060194508063</v>
      </c>
      <c r="G44" s="253">
        <f t="shared" si="23"/>
        <v>0.88255889079225258</v>
      </c>
      <c r="H44" s="253">
        <f t="shared" si="23"/>
        <v>0.77427405839831998</v>
      </c>
      <c r="I44" s="253">
        <f t="shared" si="23"/>
        <v>0.82000870971282414</v>
      </c>
      <c r="J44" s="253">
        <f t="shared" si="23"/>
        <v>0.66415983265504108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1" t="s">
        <v>3</v>
      </c>
      <c r="E47" s="392"/>
      <c r="F47" s="392"/>
      <c r="G47" s="392"/>
      <c r="H47" s="392"/>
      <c r="I47" s="392"/>
      <c r="J47" s="392"/>
      <c r="K47" s="393"/>
    </row>
    <row r="48" spans="1:12">
      <c r="A48" s="41" t="s">
        <v>4</v>
      </c>
      <c r="B48" s="230">
        <f>Scenarios!F24</f>
        <v>-2.0604509567567153E-2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-0.40234371147647946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-0.39719411345955147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-0.5628013453934434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-0.39124920785250294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-0.527954509512369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-0.23066484290463032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-0.42122995880386094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8" t="s">
        <v>3</v>
      </c>
      <c r="E58" s="389"/>
      <c r="F58" s="389"/>
      <c r="G58" s="389"/>
      <c r="H58" s="389"/>
      <c r="I58" s="389"/>
      <c r="J58" s="389"/>
      <c r="K58" s="390"/>
      <c r="M58" s="78"/>
    </row>
    <row r="59" spans="1:13">
      <c r="A59" s="41" t="s">
        <v>4</v>
      </c>
      <c r="B59" s="46">
        <f>Scenarios!G24</f>
        <v>-0.27327160808286638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-0.41624465647647951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-0.17860398021235152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-0.46447856989823566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-0.25955043219214274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-0.56384711463070247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-9.3346284848618948E-3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-0.47665217132586252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8" t="s">
        <v>3</v>
      </c>
      <c r="E69" s="389"/>
      <c r="F69" s="389"/>
      <c r="G69" s="389"/>
      <c r="H69" s="389"/>
      <c r="I69" s="389"/>
      <c r="J69" s="389"/>
      <c r="K69" s="390"/>
      <c r="M69" s="78"/>
    </row>
    <row r="70" spans="1:13">
      <c r="A70" s="41" t="s">
        <v>4</v>
      </c>
      <c r="B70" s="46">
        <f>+Scenarios!H24</f>
        <v>1.8717143647405954E-3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0.31144182690352051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0.2801756404130179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0.45156602820227343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0.41480121988631424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0.65436153607763092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0.30889090504194383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0.43571794524441654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4" t="s">
        <v>16</v>
      </c>
      <c r="D2" s="395"/>
      <c r="E2" s="396" t="s">
        <v>17</v>
      </c>
      <c r="F2" s="397"/>
      <c r="G2" s="398" t="s">
        <v>33</v>
      </c>
      <c r="H2" s="399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0.2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3.219705746498288E-2</v>
      </c>
      <c r="D10" s="20">
        <f>'Control panel'!D9</f>
        <v>3.219705746498288E-2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4.8542120090085711E-2</v>
      </c>
      <c r="D11" s="24">
        <f>'Control panel'!D10</f>
        <v>4.8542120090085711E-2</v>
      </c>
      <c r="E11" s="24">
        <v>0</v>
      </c>
      <c r="F11" s="24">
        <v>1</v>
      </c>
      <c r="G11" s="25">
        <f>'Control panel'!B10</f>
        <v>4.8542120090085711E-2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E40" sqref="E4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0</v>
      </c>
      <c r="D13" s="262">
        <v>0</v>
      </c>
      <c r="E13" s="262">
        <v>1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9.3079489831111251E-2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9.3079489831111251E-2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9.3079489831111251E-2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9.3079489831111251E-2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9.3079489831111251E-2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9.3079489831111251E-2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9.3079489831111251E-2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9.3079489831111251E-2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1"/>
      <c r="O2" s="402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0.4646985944140728</v>
      </c>
      <c r="H3" s="272">
        <v>0.35541667073986005</v>
      </c>
      <c r="I3" s="272">
        <v>0.17786872678824162</v>
      </c>
      <c r="J3" s="272">
        <v>1.9298330746966297E-3</v>
      </c>
      <c r="K3" s="272">
        <v>8.6174983130349325E-5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0.58869968202864609</v>
      </c>
      <c r="C4" s="54">
        <v>1.1399848442167593E-2</v>
      </c>
      <c r="D4" s="55">
        <v>0.58124654345623461</v>
      </c>
      <c r="E4" s="1">
        <v>0.58826591528196392</v>
      </c>
      <c r="F4" s="56">
        <v>0.59714953295699535</v>
      </c>
      <c r="G4" s="2">
        <v>-0.41721778814478888</v>
      </c>
      <c r="H4" s="2">
        <v>-0.36473766984652711</v>
      </c>
      <c r="I4" s="2">
        <v>0.12713841896771011</v>
      </c>
      <c r="J4" s="2">
        <v>0.24069064349483679</v>
      </c>
      <c r="K4" s="2">
        <v>1</v>
      </c>
      <c r="L4" s="2">
        <v>1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0.58124654345623461</v>
      </c>
      <c r="T4" s="52">
        <f>B4-D4</f>
        <v>7.4531385724114774E-3</v>
      </c>
      <c r="U4" s="52">
        <f>F4-B4</f>
        <v>8.4498509283492673E-3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9.3924802086796516E-2</v>
      </c>
      <c r="C5" s="54">
        <v>2.166392103913722E-2</v>
      </c>
      <c r="D5" s="55">
        <v>7.8241841099571413E-2</v>
      </c>
      <c r="E5" s="1">
        <v>9.1667198293103158E-2</v>
      </c>
      <c r="F5" s="56">
        <v>0.10743190588699554</v>
      </c>
      <c r="G5" s="2">
        <v>1</v>
      </c>
      <c r="H5" s="2">
        <v>-0.15127512814272129</v>
      </c>
      <c r="I5" s="2">
        <v>-0.22081238694687363</v>
      </c>
      <c r="J5" s="2">
        <v>-0.13909939469886673</v>
      </c>
      <c r="K5" s="2">
        <v>0.24797224817747957</v>
      </c>
      <c r="L5" s="2">
        <v>0.99999999999920619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7.8241841099571413E-2</v>
      </c>
      <c r="T5" s="52">
        <f t="shared" ref="T5:T11" si="2">B5-D5</f>
        <v>1.5682960987225103E-2</v>
      </c>
      <c r="U5" s="52">
        <f t="shared" ref="U5:U11" si="3">F5-B5</f>
        <v>1.3507103800199025E-2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8.106335317454863E-2</v>
      </c>
      <c r="C6" s="54">
        <v>1.9354697377518909E-2</v>
      </c>
      <c r="D6" s="55">
        <v>6.5230540723158675E-2</v>
      </c>
      <c r="E6" s="1">
        <v>7.8402528376559671E-2</v>
      </c>
      <c r="F6" s="56">
        <v>9.3252769903313243E-2</v>
      </c>
      <c r="G6" s="2">
        <v>-0.13786615154939644</v>
      </c>
      <c r="H6" s="2">
        <v>1</v>
      </c>
      <c r="I6" s="2">
        <v>-9.6583750856826467E-2</v>
      </c>
      <c r="J6" s="2">
        <v>-0.15877253591587695</v>
      </c>
      <c r="K6" s="2">
        <v>0.19141051203322271</v>
      </c>
      <c r="L6" s="2">
        <v>0.99999999999914668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6.5230540723158675E-2</v>
      </c>
      <c r="T6" s="52">
        <f t="shared" si="2"/>
        <v>1.5832812451389955E-2</v>
      </c>
      <c r="U6" s="52">
        <f t="shared" si="3"/>
        <v>1.2189416728764613E-2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0.11126197034376105</v>
      </c>
      <c r="C7" s="54">
        <v>1.4051189681484999E-2</v>
      </c>
      <c r="D7" s="55">
        <v>0.10176771845428198</v>
      </c>
      <c r="E7" s="1">
        <v>0.11088741312520137</v>
      </c>
      <c r="F7" s="56">
        <v>0.12115044543144166</v>
      </c>
      <c r="G7" s="2">
        <v>-0.39285620593167703</v>
      </c>
      <c r="H7" s="2">
        <v>-0.32760442068358664</v>
      </c>
      <c r="I7" s="2">
        <v>-0.80097179646372674</v>
      </c>
      <c r="J7" s="2">
        <v>-0.48581463352506543</v>
      </c>
      <c r="K7" s="2">
        <v>-0.44391235697914178</v>
      </c>
      <c r="L7" s="2">
        <v>0.99999999999847566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0.10176771845428198</v>
      </c>
      <c r="T7" s="52">
        <f t="shared" si="2"/>
        <v>9.494251889479069E-3</v>
      </c>
      <c r="U7" s="52">
        <f t="shared" si="3"/>
        <v>9.8884750876806066E-3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4.326530783204198E-2</v>
      </c>
      <c r="C8" s="54">
        <v>1.2126169524901042E-2</v>
      </c>
      <c r="D8" s="55">
        <v>3.3895417289285454E-2</v>
      </c>
      <c r="E8" s="1">
        <v>4.1172984777483532E-2</v>
      </c>
      <c r="F8" s="56">
        <v>5.0789134225209434E-2</v>
      </c>
      <c r="G8" s="2">
        <v>-5.410761430589698E-2</v>
      </c>
      <c r="H8" s="2">
        <v>-0.15288012197644474</v>
      </c>
      <c r="I8" s="2">
        <v>1</v>
      </c>
      <c r="J8" s="2">
        <v>-0.45700407935503834</v>
      </c>
      <c r="K8" s="2">
        <v>-0.41455214250532485</v>
      </c>
      <c r="L8" s="2">
        <v>0.99999999999850575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3.3895417289285454E-2</v>
      </c>
      <c r="T8" s="52">
        <f t="shared" si="2"/>
        <v>9.369890542756526E-3</v>
      </c>
      <c r="U8" s="52">
        <f t="shared" si="3"/>
        <v>7.5238263931674543E-3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1.0457069791370342E-3</v>
      </c>
      <c r="C9" s="54">
        <v>1.2978899401344913E-3</v>
      </c>
      <c r="D9" s="55">
        <v>7.3962316174081634E-5</v>
      </c>
      <c r="E9" s="1">
        <v>5.0467940006468446E-4</v>
      </c>
      <c r="F9" s="56">
        <v>1.6769968023325353E-3</v>
      </c>
      <c r="G9" s="2">
        <v>2.0477599317589479E-3</v>
      </c>
      <c r="H9" s="2">
        <v>-3.5026593507202783E-3</v>
      </c>
      <c r="I9" s="2">
        <v>-8.7704847002822977E-3</v>
      </c>
      <c r="J9" s="2">
        <v>1</v>
      </c>
      <c r="K9" s="2">
        <v>-0.58091826072813535</v>
      </c>
      <c r="L9" s="2">
        <v>0.99999999999834133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7.3962316174081634E-5</v>
      </c>
      <c r="T9" s="52">
        <f t="shared" si="2"/>
        <v>9.7174466296295263E-4</v>
      </c>
      <c r="U9" s="52">
        <f t="shared" si="3"/>
        <v>6.3128982319550107E-4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3.2197057464982567E-2</v>
      </c>
      <c r="C10" s="54">
        <v>3.1256294505883375E-16</v>
      </c>
      <c r="D10" s="55">
        <v>3.219705746498288E-2</v>
      </c>
      <c r="E10" s="1">
        <v>3.219705746498288E-2</v>
      </c>
      <c r="F10" s="56">
        <v>3.219705746498288E-2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3.219705746498288E-2</v>
      </c>
      <c r="T10" s="52">
        <f t="shared" si="2"/>
        <v>-3.1225022567582528E-16</v>
      </c>
      <c r="U10" s="52">
        <f t="shared" si="3"/>
        <v>3.1225022567582528E-16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4.8542120090085746E-2</v>
      </c>
      <c r="C11" s="62">
        <v>3.4729216117648195E-17</v>
      </c>
      <c r="D11" s="63">
        <v>4.8542120090085711E-2</v>
      </c>
      <c r="E11" s="61">
        <v>4.8542120090085711E-2</v>
      </c>
      <c r="F11" s="64">
        <v>4.8542120090085711E-2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4.8542120090085711E-2</v>
      </c>
      <c r="T11" s="52">
        <f t="shared" si="2"/>
        <v>0</v>
      </c>
      <c r="U11" s="52">
        <f t="shared" si="3"/>
        <v>0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0" t="s">
        <v>64</v>
      </c>
      <c r="E13" s="401"/>
      <c r="F13" s="402"/>
      <c r="G13" s="400" t="s">
        <v>65</v>
      </c>
      <c r="H13" s="401"/>
      <c r="I13" s="401"/>
      <c r="J13" s="401"/>
      <c r="K13" s="401"/>
      <c r="L13" s="401"/>
      <c r="M13" s="401"/>
      <c r="N13" s="401"/>
      <c r="O13" s="402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0.49063949224137759</v>
      </c>
      <c r="H14" s="272">
        <v>0.31428910442294222</v>
      </c>
      <c r="I14" s="272">
        <v>0.16524674195541689</v>
      </c>
      <c r="J14" s="272">
        <v>1.7109869855783333E-2</v>
      </c>
      <c r="K14" s="272">
        <v>1.2714791524477742E-2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0.60922556132169825</v>
      </c>
      <c r="C15" s="54">
        <v>1.051324652892812E-2</v>
      </c>
      <c r="D15" s="55">
        <v>0.6022646885908407</v>
      </c>
      <c r="E15" s="1">
        <v>0.60953328751385305</v>
      </c>
      <c r="F15" s="56">
        <v>0.61630221500146232</v>
      </c>
      <c r="G15" s="2">
        <v>-0.53375281398141006</v>
      </c>
      <c r="H15" s="2">
        <v>-0.4308833738309053</v>
      </c>
      <c r="I15" s="2">
        <v>0.22347984997047377</v>
      </c>
      <c r="J15" s="2">
        <v>-0.40323525656053893</v>
      </c>
      <c r="K15" s="2">
        <v>1</v>
      </c>
      <c r="L15" s="2">
        <v>0.99999999999999623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0.6022646885908407</v>
      </c>
      <c r="T15" s="52">
        <f>B15-D15</f>
        <v>6.960872730857548E-3</v>
      </c>
      <c r="U15" s="52">
        <f>F15-B15</f>
        <v>7.0766536797640667E-3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6.7982534994896551E-2</v>
      </c>
      <c r="C16" s="54">
        <v>1.3187184265074802E-2</v>
      </c>
      <c r="D16" s="55">
        <v>5.7385622481716692E-2</v>
      </c>
      <c r="E16" s="1">
        <v>6.5968508538826964E-2</v>
      </c>
      <c r="F16" s="56">
        <v>7.5783116685935861E-2</v>
      </c>
      <c r="G16" s="2">
        <v>2.1613334524500902E-2</v>
      </c>
      <c r="H16" s="2">
        <v>1</v>
      </c>
      <c r="I16" s="2">
        <v>-3.1649376510329418E-2</v>
      </c>
      <c r="J16" s="2">
        <v>-0.22887801749365355</v>
      </c>
      <c r="K16" s="2">
        <v>0.29639093289198015</v>
      </c>
      <c r="L16" s="2">
        <v>0.99999999999999689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5.7385622481716692E-2</v>
      </c>
      <c r="T16" s="52">
        <f t="shared" ref="T16:T22" si="7">B16-D16</f>
        <v>1.059691251317986E-2</v>
      </c>
      <c r="U16" s="52">
        <f t="shared" ref="U16:U22" si="8">F16-B16</f>
        <v>7.80058169103931E-3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7.3226520003776066E-2</v>
      </c>
      <c r="C17" s="54">
        <v>1.6359649350731458E-2</v>
      </c>
      <c r="D17" s="55">
        <v>6.0245746922432092E-2</v>
      </c>
      <c r="E17" s="1">
        <v>7.047811863459548E-2</v>
      </c>
      <c r="F17" s="56">
        <v>8.4827872474280447E-2</v>
      </c>
      <c r="G17" s="2">
        <v>1</v>
      </c>
      <c r="H17" s="2">
        <v>-0.31334074559160829</v>
      </c>
      <c r="I17" s="2">
        <v>-0.17722628339790986</v>
      </c>
      <c r="J17" s="2">
        <v>-0.20086395714068733</v>
      </c>
      <c r="K17" s="2">
        <v>0.17847990494022184</v>
      </c>
      <c r="L17" s="2">
        <v>0.99999999999999778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6.0245746922432092E-2</v>
      </c>
      <c r="T17" s="52">
        <f t="shared" si="7"/>
        <v>1.2980773081343974E-2</v>
      </c>
      <c r="U17" s="52">
        <f t="shared" si="8"/>
        <v>1.1601352470504381E-2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7.9090039018838848E-2</v>
      </c>
      <c r="C18" s="54">
        <v>3.3829963207430342E-3</v>
      </c>
      <c r="D18" s="55">
        <v>7.6265049988185285E-2</v>
      </c>
      <c r="E18" s="1">
        <v>7.8241622477129208E-2</v>
      </c>
      <c r="F18" s="56">
        <v>8.0877529901528467E-2</v>
      </c>
      <c r="G18" s="2">
        <v>-6.2487483685399019E-2</v>
      </c>
      <c r="H18" s="2">
        <v>-3.096161964687583E-2</v>
      </c>
      <c r="I18" s="2">
        <v>-5.9618431654318946E-2</v>
      </c>
      <c r="J18" s="2">
        <v>1</v>
      </c>
      <c r="K18" s="2">
        <v>0.3605711347402506</v>
      </c>
      <c r="L18" s="2">
        <v>0.99999999999999578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7.6265049988185285E-2</v>
      </c>
      <c r="T18" s="52">
        <f t="shared" si="7"/>
        <v>2.824989030653563E-3</v>
      </c>
      <c r="U18" s="52">
        <f t="shared" si="8"/>
        <v>1.7874908826896185E-3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8.2789602752084315E-2</v>
      </c>
      <c r="C19" s="54">
        <v>9.7211414700984315E-3</v>
      </c>
      <c r="D19" s="55">
        <v>7.6161040351638468E-2</v>
      </c>
      <c r="E19" s="1">
        <v>8.2994109685975842E-2</v>
      </c>
      <c r="F19" s="56">
        <v>8.9718919351274934E-2</v>
      </c>
      <c r="G19" s="2">
        <v>-0.36769626517256593</v>
      </c>
      <c r="H19" s="2">
        <v>-0.15109025164297615</v>
      </c>
      <c r="I19" s="2">
        <v>-0.95498575840791489</v>
      </c>
      <c r="J19" s="2">
        <v>-0.14011045081894874</v>
      </c>
      <c r="K19" s="2">
        <v>-0.85651300496519189</v>
      </c>
      <c r="L19" s="2">
        <v>1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7.6161040351638468E-2</v>
      </c>
      <c r="T19" s="52">
        <f t="shared" si="7"/>
        <v>6.6285624004458477E-3</v>
      </c>
      <c r="U19" s="52">
        <f t="shared" si="8"/>
        <v>6.9293165991906186E-3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6.9465643536368599E-3</v>
      </c>
      <c r="C20" s="54">
        <v>8.0328788314823797E-3</v>
      </c>
      <c r="D20" s="55">
        <v>6.546477689879978E-4</v>
      </c>
      <c r="E20" s="1">
        <v>3.6325805736965311E-3</v>
      </c>
      <c r="F20" s="56">
        <v>1.0647260980937909E-2</v>
      </c>
      <c r="G20" s="2">
        <v>-5.7676771685125916E-2</v>
      </c>
      <c r="H20" s="2">
        <v>-7.3724009287633951E-2</v>
      </c>
      <c r="I20" s="2">
        <v>1</v>
      </c>
      <c r="J20" s="2">
        <v>-2.6912317986170671E-2</v>
      </c>
      <c r="K20" s="2">
        <v>-0.97892896760725356</v>
      </c>
      <c r="L20" s="2">
        <v>0.99999999999999989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6.546477689879978E-4</v>
      </c>
      <c r="T20" s="52">
        <f t="shared" si="7"/>
        <v>6.2919165846488621E-3</v>
      </c>
      <c r="U20" s="52">
        <f t="shared" si="8"/>
        <v>3.7006966273010495E-3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3.2197057464982567E-2</v>
      </c>
      <c r="C21" s="54">
        <v>3.1256294505883375E-16</v>
      </c>
      <c r="D21" s="55">
        <v>3.219705746498288E-2</v>
      </c>
      <c r="E21" s="1">
        <v>3.219705746498288E-2</v>
      </c>
      <c r="F21" s="56">
        <v>3.219705746498288E-2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3.219705746498288E-2</v>
      </c>
      <c r="T21" s="52">
        <f t="shared" si="7"/>
        <v>-3.1225022567582528E-16</v>
      </c>
      <c r="U21" s="52">
        <f t="shared" si="8"/>
        <v>3.1225022567582528E-16</v>
      </c>
    </row>
    <row r="22" spans="1:30">
      <c r="A22" s="60" t="str">
        <f t="shared" si="4"/>
        <v>Onroerend goed</v>
      </c>
      <c r="B22" s="286">
        <v>4.8542120090085746E-2</v>
      </c>
      <c r="C22" s="62">
        <v>3.4729216117648195E-17</v>
      </c>
      <c r="D22" s="63">
        <v>4.8542120090085711E-2</v>
      </c>
      <c r="E22" s="61">
        <v>4.8542120090085711E-2</v>
      </c>
      <c r="F22" s="64">
        <v>4.8542120090085711E-2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4.8542120090085711E-2</v>
      </c>
      <c r="T22" s="52">
        <f t="shared" si="7"/>
        <v>0</v>
      </c>
      <c r="U22" s="52">
        <f t="shared" si="8"/>
        <v>0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0" t="s">
        <v>64</v>
      </c>
      <c r="E24" s="401"/>
      <c r="F24" s="402"/>
      <c r="G24" s="400" t="s">
        <v>65</v>
      </c>
      <c r="H24" s="401"/>
      <c r="I24" s="401"/>
      <c r="J24" s="401"/>
      <c r="K24" s="401"/>
      <c r="L24" s="401"/>
      <c r="M24" s="401"/>
      <c r="N24" s="401"/>
      <c r="O24" s="402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0.63104258372694144</v>
      </c>
      <c r="H25" s="272">
        <v>0.20795556421775341</v>
      </c>
      <c r="I25" s="272">
        <v>0.11673708442734299</v>
      </c>
      <c r="J25" s="272">
        <v>4.1020335326791613E-2</v>
      </c>
      <c r="K25" s="272">
        <v>3.2444323011722176E-3</v>
      </c>
      <c r="L25" s="272">
        <v>1.1102230246251565E-16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0.64261243835239823</v>
      </c>
      <c r="C26" s="54">
        <v>5.7869218762532301E-3</v>
      </c>
      <c r="D26" s="55">
        <v>0.63916610841259169</v>
      </c>
      <c r="E26" s="1">
        <v>0.64377553561097012</v>
      </c>
      <c r="F26" s="56">
        <v>0.64728686407075364</v>
      </c>
      <c r="G26" s="68">
        <v>4.3998397098714268E-2</v>
      </c>
      <c r="H26" s="68">
        <v>0.40989413268419772</v>
      </c>
      <c r="I26" s="68">
        <v>0.3270731991890351</v>
      </c>
      <c r="J26" s="68">
        <v>1</v>
      </c>
      <c r="K26" s="68">
        <v>-0.34929557035913683</v>
      </c>
      <c r="L26" s="68">
        <v>0.99999999999999278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0.63916610841259169</v>
      </c>
      <c r="T26" s="52">
        <f>B26-D26</f>
        <v>3.4463299398065361E-3</v>
      </c>
      <c r="U26" s="52">
        <f>F26-B26</f>
        <v>4.6744257183554128E-3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6.3680405733218953E-2</v>
      </c>
      <c r="C27" s="54">
        <v>9.6506118603614521E-3</v>
      </c>
      <c r="D27" s="55">
        <v>5.6103807526378918E-2</v>
      </c>
      <c r="E27" s="1">
        <v>6.2330721071398185E-2</v>
      </c>
      <c r="F27" s="56">
        <v>6.9989225445186126E-2</v>
      </c>
      <c r="G27" s="68">
        <v>-0.13756785952349776</v>
      </c>
      <c r="H27" s="68">
        <v>1</v>
      </c>
      <c r="I27" s="68">
        <v>-0.68976300380852817</v>
      </c>
      <c r="J27" s="68">
        <v>-0.41951704965024061</v>
      </c>
      <c r="K27" s="68">
        <v>-0.12852591934524504</v>
      </c>
      <c r="L27" s="68">
        <v>0.99999999999999389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5.6103807526378918E-2</v>
      </c>
      <c r="T27" s="52">
        <f t="shared" ref="T27:T33" si="12">B27-D27</f>
        <v>7.576598206840035E-3</v>
      </c>
      <c r="U27" s="52">
        <f t="shared" ref="U27:U33" si="13">F27-B27</f>
        <v>6.3088197119671729E-3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8.1786645403428004E-2</v>
      </c>
      <c r="C28" s="54">
        <v>1.6864504959881819E-2</v>
      </c>
      <c r="D28" s="55">
        <v>6.831873134764968E-2</v>
      </c>
      <c r="E28" s="1">
        <v>8.174333305967843E-2</v>
      </c>
      <c r="F28" s="56">
        <v>9.3293573132052637E-2</v>
      </c>
      <c r="G28" s="68">
        <v>1</v>
      </c>
      <c r="H28" s="68">
        <v>-0.60082735634192141</v>
      </c>
      <c r="I28" s="68">
        <v>-0.32298443224126216</v>
      </c>
      <c r="J28" s="68">
        <v>-0.12712399989019771</v>
      </c>
      <c r="K28" s="68">
        <v>-0.18023976953288331</v>
      </c>
      <c r="L28" s="68">
        <v>0.99999999999999378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6.831873134764968E-2</v>
      </c>
      <c r="T28" s="52">
        <f t="shared" si="12"/>
        <v>1.3467914055778324E-2</v>
      </c>
      <c r="U28" s="52">
        <f t="shared" si="13"/>
        <v>1.1506927728624633E-2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7.6926659262162272E-2</v>
      </c>
      <c r="C29" s="54">
        <v>1.6725659346713167E-3</v>
      </c>
      <c r="D29" s="55">
        <v>7.5614355155099247E-2</v>
      </c>
      <c r="E29" s="1">
        <v>7.6478649106540744E-2</v>
      </c>
      <c r="F29" s="56">
        <v>7.7745814914698869E-2</v>
      </c>
      <c r="G29" s="68">
        <v>-2.5999241569609213E-2</v>
      </c>
      <c r="H29" s="68">
        <v>-3.4026283991393354E-2</v>
      </c>
      <c r="I29" s="68">
        <v>-3.5232083428461411E-3</v>
      </c>
      <c r="J29" s="68">
        <v>0.20442673194488201</v>
      </c>
      <c r="K29" s="68">
        <v>1</v>
      </c>
      <c r="L29" s="68">
        <v>1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7.5614355155099247E-2</v>
      </c>
      <c r="T29" s="52">
        <f t="shared" si="12"/>
        <v>1.3123041070630254E-3</v>
      </c>
      <c r="U29" s="52">
        <f t="shared" si="13"/>
        <v>8.1915565253659617E-4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3.3774484311178486E-2</v>
      </c>
      <c r="C30" s="54">
        <v>7.3667566210636254E-3</v>
      </c>
      <c r="D30" s="55">
        <v>2.7745695828844043E-2</v>
      </c>
      <c r="E30" s="1">
        <v>3.2232562099728156E-2</v>
      </c>
      <c r="F30" s="56">
        <v>3.8058890173793145E-2</v>
      </c>
      <c r="G30" s="68">
        <v>-4.5794373008998406E-2</v>
      </c>
      <c r="H30" s="68">
        <v>9.2031624989751967E-2</v>
      </c>
      <c r="I30" s="68">
        <v>1</v>
      </c>
      <c r="J30" s="68">
        <v>-0.65701797872946965</v>
      </c>
      <c r="K30" s="68">
        <v>-0.10327571420997543</v>
      </c>
      <c r="L30" s="68">
        <v>0.99999999999999523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2.7745695828844043E-2</v>
      </c>
      <c r="T30" s="52">
        <f t="shared" si="12"/>
        <v>6.0287884823344434E-3</v>
      </c>
      <c r="U30" s="52">
        <f t="shared" si="13"/>
        <v>4.2844058626146583E-3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2.0480189382545672E-2</v>
      </c>
      <c r="C31" s="54">
        <v>1.5193449338323093E-2</v>
      </c>
      <c r="D31" s="55">
        <v>6.7185733438806993E-3</v>
      </c>
      <c r="E31" s="1">
        <v>1.9286400172836001E-2</v>
      </c>
      <c r="F31" s="56">
        <v>3.1104135419583144E-2</v>
      </c>
      <c r="G31" s="68">
        <v>-0.83463692299660952</v>
      </c>
      <c r="H31" s="68">
        <v>-0.86707211734063516</v>
      </c>
      <c r="I31" s="68">
        <v>-0.31080255479639918</v>
      </c>
      <c r="J31" s="68">
        <v>-7.6770367497265828E-4</v>
      </c>
      <c r="K31" s="68">
        <v>-0.23866302655276561</v>
      </c>
      <c r="L31" s="68">
        <v>0.99999999999999356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6.7185733438806993E-3</v>
      </c>
      <c r="T31" s="52">
        <f t="shared" si="12"/>
        <v>1.3761616038664971E-2</v>
      </c>
      <c r="U31" s="52">
        <f t="shared" si="13"/>
        <v>1.0623946037037472E-2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3.2197057464982567E-2</v>
      </c>
      <c r="C32" s="54">
        <v>3.1256294505883375E-16</v>
      </c>
      <c r="D32" s="55">
        <v>3.219705746498288E-2</v>
      </c>
      <c r="E32" s="1">
        <v>3.219705746498288E-2</v>
      </c>
      <c r="F32" s="56">
        <v>3.219705746498288E-2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3.219705746498288E-2</v>
      </c>
      <c r="T32" s="52">
        <f t="shared" si="12"/>
        <v>-3.1225022567582528E-16</v>
      </c>
      <c r="U32" s="52">
        <f t="shared" si="13"/>
        <v>3.1225022567582528E-16</v>
      </c>
    </row>
    <row r="33" spans="1:30">
      <c r="A33" s="60" t="str">
        <f t="shared" si="9"/>
        <v>Onroerend goed</v>
      </c>
      <c r="B33" s="61">
        <v>4.8542120090085746E-2</v>
      </c>
      <c r="C33" s="62">
        <v>3.4729216117648195E-17</v>
      </c>
      <c r="D33" s="63">
        <v>4.8542120090085711E-2</v>
      </c>
      <c r="E33" s="61">
        <v>4.8542120090085711E-2</v>
      </c>
      <c r="F33" s="64">
        <v>4.8542120090085711E-2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4.8542120090085711E-2</v>
      </c>
      <c r="T33" s="52">
        <f t="shared" si="12"/>
        <v>0</v>
      </c>
      <c r="U33" s="52">
        <f t="shared" si="13"/>
        <v>0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0" t="s">
        <v>64</v>
      </c>
      <c r="E35" s="401"/>
      <c r="F35" s="402"/>
      <c r="G35" s="400" t="s">
        <v>65</v>
      </c>
      <c r="H35" s="401"/>
      <c r="I35" s="401"/>
      <c r="J35" s="401"/>
      <c r="K35" s="401"/>
      <c r="L35" s="401"/>
      <c r="M35" s="401"/>
      <c r="N35" s="401"/>
      <c r="O35" s="402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0.7526083677705746</v>
      </c>
      <c r="H36" s="272">
        <v>0.14177983894161728</v>
      </c>
      <c r="I36" s="272">
        <v>6.8595853289859732E-2</v>
      </c>
      <c r="J36" s="272">
        <v>3.0258528192741441E-2</v>
      </c>
      <c r="K36" s="272">
        <v>6.7574118052031729E-3</v>
      </c>
      <c r="L36" s="272">
        <v>0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0.58412241952216271</v>
      </c>
      <c r="C37" s="54">
        <v>1.0149420399343955E-2</v>
      </c>
      <c r="D37" s="55">
        <v>0.57680683225124008</v>
      </c>
      <c r="E37" s="1">
        <v>0.58303193487898253</v>
      </c>
      <c r="F37" s="56">
        <v>0.59058459813003994</v>
      </c>
      <c r="G37" s="2">
        <v>-0.53814969662551404</v>
      </c>
      <c r="H37" s="2">
        <v>-0.38165342865007762</v>
      </c>
      <c r="I37" s="2">
        <v>-1.7772163312002646E-2</v>
      </c>
      <c r="J37" s="2">
        <v>0.35816065507099692</v>
      </c>
      <c r="K37" s="2">
        <v>1</v>
      </c>
      <c r="L37" s="2">
        <v>0.99999999999999134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0.57680683225124008</v>
      </c>
      <c r="T37" s="52">
        <f>B37-D37</f>
        <v>7.3155872709226299E-3</v>
      </c>
      <c r="U37" s="52">
        <f>F37-B37</f>
        <v>6.4621786078772336E-3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0.12549640516374622</v>
      </c>
      <c r="C38" s="54">
        <v>1.7872241599909248E-2</v>
      </c>
      <c r="D38" s="55">
        <v>0.11524782740166802</v>
      </c>
      <c r="E38" s="1">
        <v>0.12904274797755194</v>
      </c>
      <c r="F38" s="56">
        <v>0.13986268212965119</v>
      </c>
      <c r="G38" s="2">
        <v>1</v>
      </c>
      <c r="H38" s="2">
        <v>-0.27660175320436253</v>
      </c>
      <c r="I38" s="2">
        <v>-0.60528970952412442</v>
      </c>
      <c r="J38" s="2">
        <v>-0.21318883346060002</v>
      </c>
      <c r="K38" s="2">
        <v>0.16670412606258408</v>
      </c>
      <c r="L38" s="2">
        <v>0.99999999999999689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0.11524782740166802</v>
      </c>
      <c r="T38" s="52">
        <f t="shared" ref="T38:T44" si="17">B38-D38</f>
        <v>1.0248577762078201E-2</v>
      </c>
      <c r="U38" s="52">
        <f t="shared" ref="U38:U44" si="18">F38-B38</f>
        <v>1.4366276965904978E-2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6.3082949298087901E-2</v>
      </c>
      <c r="C39" s="54">
        <v>9.3730820364795603E-3</v>
      </c>
      <c r="D39" s="55">
        <v>5.5307696759269463E-2</v>
      </c>
      <c r="E39" s="1">
        <v>6.106253311975475E-2</v>
      </c>
      <c r="F39" s="56">
        <v>6.8746222410766361E-2</v>
      </c>
      <c r="G39" s="2">
        <v>0.17133186853043672</v>
      </c>
      <c r="H39" s="2">
        <v>1</v>
      </c>
      <c r="I39" s="2">
        <v>0.24849533207707264</v>
      </c>
      <c r="J39" s="2">
        <v>2.8181873251745333E-2</v>
      </c>
      <c r="K39" s="2">
        <v>0.31979675068417868</v>
      </c>
      <c r="L39" s="2">
        <v>0.999999999999994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5.5307696759269463E-2</v>
      </c>
      <c r="T39" s="52">
        <f t="shared" si="17"/>
        <v>7.7752525388184376E-3</v>
      </c>
      <c r="U39" s="52">
        <f t="shared" si="18"/>
        <v>5.6632731126784602E-3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8.4012308431003019E-2</v>
      </c>
      <c r="C40" s="54">
        <v>6.5250729150178209E-3</v>
      </c>
      <c r="D40" s="55">
        <v>7.8725834768394995E-2</v>
      </c>
      <c r="E40" s="1">
        <v>8.2498335475386958E-2</v>
      </c>
      <c r="F40" s="56">
        <v>8.8093405936644414E-2</v>
      </c>
      <c r="G40" s="2">
        <v>7.6198449202146662E-2</v>
      </c>
      <c r="H40" s="2">
        <v>-0.35256930975430406</v>
      </c>
      <c r="I40" s="2">
        <v>1</v>
      </c>
      <c r="J40" s="2">
        <v>-0.56822844870286227</v>
      </c>
      <c r="K40" s="2">
        <v>-0.24837860873404136</v>
      </c>
      <c r="L40" s="2">
        <v>0.99999999999999634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7.8725834768394995E-2</v>
      </c>
      <c r="T40" s="52">
        <f t="shared" si="17"/>
        <v>5.2864736626080239E-3</v>
      </c>
      <c r="U40" s="52">
        <f t="shared" si="18"/>
        <v>4.0810975056413956E-3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5.9441103986355118E-2</v>
      </c>
      <c r="C41" s="54">
        <v>1.3201430305150211E-2</v>
      </c>
      <c r="D41" s="55">
        <v>4.9358698217946785E-2</v>
      </c>
      <c r="E41" s="1">
        <v>5.8148316884845744E-2</v>
      </c>
      <c r="F41" s="56">
        <v>6.7895956432053456E-2</v>
      </c>
      <c r="G41" s="2">
        <v>-0.71890150571138078</v>
      </c>
      <c r="H41" s="2">
        <v>0.10070340676151844</v>
      </c>
      <c r="I41" s="2">
        <v>-0.66294871310203518</v>
      </c>
      <c r="J41" s="2">
        <v>-0.60492524615927601</v>
      </c>
      <c r="K41" s="2">
        <v>-0.47687754299809348</v>
      </c>
      <c r="L41" s="2">
        <v>1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4.9358698217946785E-2</v>
      </c>
      <c r="T41" s="52">
        <f t="shared" si="17"/>
        <v>1.0082405768408333E-2</v>
      </c>
      <c r="U41" s="52">
        <f t="shared" si="18"/>
        <v>8.4548524456983382E-3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3.1056360435763103E-3</v>
      </c>
      <c r="C42" s="54">
        <v>3.7654264610087053E-3</v>
      </c>
      <c r="D42" s="55">
        <v>2.3340631324253734E-4</v>
      </c>
      <c r="E42" s="1">
        <v>1.6256678443616846E-3</v>
      </c>
      <c r="F42" s="56">
        <v>4.82441806342419E-3</v>
      </c>
      <c r="G42" s="2">
        <v>9.5208846043113478E-3</v>
      </c>
      <c r="H42" s="2">
        <v>-8.9878915152774255E-2</v>
      </c>
      <c r="I42" s="2">
        <v>3.7515253861093611E-2</v>
      </c>
      <c r="J42" s="2">
        <v>1</v>
      </c>
      <c r="K42" s="2">
        <v>-0.76124472501461915</v>
      </c>
      <c r="L42" s="2">
        <v>0.99999999999999745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2.3340631324253734E-4</v>
      </c>
      <c r="T42" s="52">
        <f t="shared" si="17"/>
        <v>2.8722297303337731E-3</v>
      </c>
      <c r="U42" s="52">
        <f t="shared" si="18"/>
        <v>1.7187820198478797E-3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3.2197057464982567E-2</v>
      </c>
      <c r="C43" s="54">
        <v>3.1256294505883375E-16</v>
      </c>
      <c r="D43" s="55">
        <v>3.219705746498288E-2</v>
      </c>
      <c r="E43" s="1">
        <v>3.219705746498288E-2</v>
      </c>
      <c r="F43" s="56">
        <v>3.219705746498288E-2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3.219705746498288E-2</v>
      </c>
      <c r="T43" s="52">
        <f t="shared" si="17"/>
        <v>-3.1225022567582528E-16</v>
      </c>
      <c r="U43" s="52">
        <f t="shared" si="18"/>
        <v>3.1225022567582528E-16</v>
      </c>
    </row>
    <row r="44" spans="1:30">
      <c r="A44" s="60" t="str">
        <f t="shared" si="14"/>
        <v>Onroerend goed</v>
      </c>
      <c r="B44" s="61">
        <v>4.8542120090085746E-2</v>
      </c>
      <c r="C44" s="62">
        <v>3.4729216117648195E-17</v>
      </c>
      <c r="D44" s="63">
        <v>4.8542120090085711E-2</v>
      </c>
      <c r="E44" s="61">
        <v>4.8542120090085711E-2</v>
      </c>
      <c r="F44" s="64">
        <v>4.8542120090085711E-2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4.8542120090085711E-2</v>
      </c>
      <c r="T44" s="52">
        <f t="shared" si="17"/>
        <v>0</v>
      </c>
      <c r="U44" s="52">
        <f t="shared" si="18"/>
        <v>0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0" t="s">
        <v>64</v>
      </c>
      <c r="E46" s="401"/>
      <c r="F46" s="402"/>
      <c r="G46" s="400" t="s">
        <v>65</v>
      </c>
      <c r="H46" s="401"/>
      <c r="I46" s="401"/>
      <c r="J46" s="401"/>
      <c r="K46" s="401"/>
      <c r="L46" s="401"/>
      <c r="M46" s="401"/>
      <c r="N46" s="401"/>
      <c r="O46" s="402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0.92305592957443661</v>
      </c>
      <c r="H47" s="272">
        <v>3.7064077084081326E-2</v>
      </c>
      <c r="I47" s="272">
        <v>1.85566636555341E-2</v>
      </c>
      <c r="J47" s="272">
        <v>1.2844168012279944E-2</v>
      </c>
      <c r="K47" s="272">
        <v>8.4791616736694664E-3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0.64766517686265979</v>
      </c>
      <c r="C48" s="54">
        <v>2.5495195171585518E-3</v>
      </c>
      <c r="D48" s="55">
        <v>0.64595771324157536</v>
      </c>
      <c r="E48" s="1">
        <v>0.64826144771266647</v>
      </c>
      <c r="F48" s="56">
        <v>0.64970065829171808</v>
      </c>
      <c r="G48" s="68">
        <v>-1.6483341620526955E-2</v>
      </c>
      <c r="H48" s="68">
        <v>-0.57970079247163475</v>
      </c>
      <c r="I48" s="68">
        <v>7.1517703773399305E-2</v>
      </c>
      <c r="J48" s="68">
        <v>0.26957048691200708</v>
      </c>
      <c r="K48" s="68">
        <v>1</v>
      </c>
      <c r="L48" s="68">
        <v>0.99999999999999711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0.64595771324157536</v>
      </c>
      <c r="T48" s="52">
        <f>B48-D48</f>
        <v>1.7074636210844263E-3</v>
      </c>
      <c r="U48" s="52">
        <f>F48-B48</f>
        <v>2.0354814290582945E-3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8.4241886801590157E-2</v>
      </c>
      <c r="C49" s="54">
        <v>1.7132271236015094E-2</v>
      </c>
      <c r="D49" s="55">
        <v>7.1103052121758742E-2</v>
      </c>
      <c r="E49" s="1">
        <v>8.4383358509610346E-2</v>
      </c>
      <c r="F49" s="56">
        <v>9.7622623597682437E-2</v>
      </c>
      <c r="G49" s="68">
        <v>1</v>
      </c>
      <c r="H49" s="68">
        <v>0.99005231363440993</v>
      </c>
      <c r="I49" s="68">
        <v>-5.5308831310676536E-2</v>
      </c>
      <c r="J49" s="68">
        <v>-0.1009529243729157</v>
      </c>
      <c r="K49" s="68">
        <v>6.9758257852044162E-2</v>
      </c>
      <c r="L49" s="68">
        <v>0.99999999999999967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7.1103052121758742E-2</v>
      </c>
      <c r="T49" s="52">
        <f t="shared" ref="T49:T55" si="22">B49-D49</f>
        <v>1.3138834679831415E-2</v>
      </c>
      <c r="U49" s="52">
        <f t="shared" ref="U49:U55" si="23">F49-B49</f>
        <v>1.338073679609228E-2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7.9334547678456518E-2</v>
      </c>
      <c r="C50" s="54">
        <v>1.7043974511421849E-2</v>
      </c>
      <c r="D50" s="55">
        <v>6.5985570622912437E-2</v>
      </c>
      <c r="E50" s="1">
        <v>7.8219485328115679E-2</v>
      </c>
      <c r="F50" s="56">
        <v>9.1925196513761798E-2</v>
      </c>
      <c r="G50" s="68">
        <v>-0.99445543543233261</v>
      </c>
      <c r="H50" s="68">
        <v>1</v>
      </c>
      <c r="I50" s="68">
        <v>-6.2309033791841981E-2</v>
      </c>
      <c r="J50" s="68">
        <v>-0.10355169828838409</v>
      </c>
      <c r="K50" s="68">
        <v>4.9151001833410111E-2</v>
      </c>
      <c r="L50" s="68">
        <v>1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6.5985570622912437E-2</v>
      </c>
      <c r="T50" s="52">
        <f t="shared" si="22"/>
        <v>1.3348977055544081E-2</v>
      </c>
      <c r="U50" s="52">
        <f t="shared" si="23"/>
        <v>1.2590648835305279E-2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7.7910827116559708E-2</v>
      </c>
      <c r="C51" s="54">
        <v>3.0676907571575204E-3</v>
      </c>
      <c r="D51" s="55">
        <v>7.5407437891429313E-2</v>
      </c>
      <c r="E51" s="1">
        <v>7.7268054510879841E-2</v>
      </c>
      <c r="F51" s="56">
        <v>7.9657754924356089E-2</v>
      </c>
      <c r="G51" s="68">
        <v>-1.4059489006950935E-4</v>
      </c>
      <c r="H51" s="68">
        <v>-0.47269102793258294</v>
      </c>
      <c r="I51" s="68">
        <v>1</v>
      </c>
      <c r="J51" s="68">
        <v>-0.50524266751987734</v>
      </c>
      <c r="K51" s="68">
        <v>-0.31409637155062159</v>
      </c>
      <c r="L51" s="68">
        <v>0.99999999999999234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7.5407437891429313E-2</v>
      </c>
      <c r="T51" s="52">
        <f t="shared" si="22"/>
        <v>2.5033892251303952E-3</v>
      </c>
      <c r="U51" s="52">
        <f t="shared" si="23"/>
        <v>1.7469278077963807E-3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2.8116666145894708E-2</v>
      </c>
      <c r="C52" s="54">
        <v>3.2144263889301197E-3</v>
      </c>
      <c r="D52" s="55">
        <v>2.5589274678429148E-2</v>
      </c>
      <c r="E52" s="1">
        <v>2.728872820479368E-2</v>
      </c>
      <c r="F52" s="56">
        <v>3.0282425234615572E-2</v>
      </c>
      <c r="G52" s="68">
        <v>5.5978196183787618E-3</v>
      </c>
      <c r="H52" s="68">
        <v>-0.67867141552025501</v>
      </c>
      <c r="I52" s="68">
        <v>-0.91537787899420175</v>
      </c>
      <c r="J52" s="68">
        <v>-0.55982319673082592</v>
      </c>
      <c r="K52" s="68">
        <v>-0.24918175550834859</v>
      </c>
      <c r="L52" s="68">
        <v>0.99999999999999167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2.5589274678429148E-2</v>
      </c>
      <c r="T52" s="52">
        <f t="shared" si="22"/>
        <v>2.5273914674655597E-3</v>
      </c>
      <c r="U52" s="52">
        <f t="shared" si="23"/>
        <v>2.1657590887208637E-3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1.9917178397705921E-3</v>
      </c>
      <c r="C53" s="54">
        <v>2.5249307810921041E-3</v>
      </c>
      <c r="D53" s="55">
        <v>8.9271252252749768E-5</v>
      </c>
      <c r="E53" s="1">
        <v>8.1666478839083746E-4</v>
      </c>
      <c r="F53" s="56">
        <v>3.0894775315710252E-3</v>
      </c>
      <c r="G53" s="68">
        <v>5.4815523245502146E-3</v>
      </c>
      <c r="H53" s="68">
        <v>-0.25898907770995144</v>
      </c>
      <c r="I53" s="68">
        <v>-3.8521959676678943E-2</v>
      </c>
      <c r="J53" s="68">
        <v>1</v>
      </c>
      <c r="K53" s="68">
        <v>-0.55563113262649189</v>
      </c>
      <c r="L53" s="68">
        <v>0.99999999999998834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8.9271252252749768E-5</v>
      </c>
      <c r="T53" s="52">
        <f t="shared" si="22"/>
        <v>1.9024465875178422E-3</v>
      </c>
      <c r="U53" s="52">
        <f t="shared" si="23"/>
        <v>1.0977596918004331E-3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3.2197057464982567E-2</v>
      </c>
      <c r="C54" s="54">
        <v>3.1256294505883375E-16</v>
      </c>
      <c r="D54" s="55">
        <v>3.219705746498288E-2</v>
      </c>
      <c r="E54" s="1">
        <v>3.219705746498288E-2</v>
      </c>
      <c r="F54" s="56">
        <v>3.219705746498288E-2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3.219705746498288E-2</v>
      </c>
      <c r="T54" s="52">
        <f t="shared" si="22"/>
        <v>-3.1225022567582528E-16</v>
      </c>
      <c r="U54" s="52">
        <f t="shared" si="23"/>
        <v>3.1225022567582528E-16</v>
      </c>
    </row>
    <row r="55" spans="1:36">
      <c r="A55" s="60" t="str">
        <f t="shared" si="19"/>
        <v>Onroerend goed</v>
      </c>
      <c r="B55" s="61">
        <v>4.8542120090085746E-2</v>
      </c>
      <c r="C55" s="62">
        <v>3.4729216117648195E-17</v>
      </c>
      <c r="D55" s="63">
        <v>4.8542120090085711E-2</v>
      </c>
      <c r="E55" s="61">
        <v>4.8542120090085711E-2</v>
      </c>
      <c r="F55" s="64">
        <v>4.8542120090085711E-2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4.8542120090085711E-2</v>
      </c>
      <c r="T55" s="52">
        <f t="shared" si="22"/>
        <v>0</v>
      </c>
      <c r="U55" s="52">
        <f t="shared" si="23"/>
        <v>0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0" t="s">
        <v>64</v>
      </c>
      <c r="E57" s="401"/>
      <c r="F57" s="402"/>
      <c r="G57" s="400" t="s">
        <v>65</v>
      </c>
      <c r="H57" s="401"/>
      <c r="I57" s="401"/>
      <c r="J57" s="401"/>
      <c r="K57" s="401"/>
      <c r="L57" s="401"/>
      <c r="M57" s="401"/>
      <c r="N57" s="401"/>
      <c r="O57" s="402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0.91153916211330455</v>
      </c>
      <c r="H58" s="272">
        <v>4.3777300920336382E-2</v>
      </c>
      <c r="I58" s="272">
        <v>1.9748444003926724E-2</v>
      </c>
      <c r="J58" s="272">
        <v>1.4513039311287113E-2</v>
      </c>
      <c r="K58" s="272">
        <v>1.0422053651150232E-2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0.64802733648459176</v>
      </c>
      <c r="C59" s="54">
        <v>2.5340682429086121E-3</v>
      </c>
      <c r="D59" s="55">
        <v>0.64653478143230725</v>
      </c>
      <c r="E59" s="1">
        <v>0.648539105011534</v>
      </c>
      <c r="F59" s="56">
        <v>0.64994084764454796</v>
      </c>
      <c r="G59" s="2">
        <v>-1.7945404000881186E-2</v>
      </c>
      <c r="H59" s="2">
        <v>-0.49295176691275866</v>
      </c>
      <c r="I59" s="2">
        <v>-0.31828168589825795</v>
      </c>
      <c r="J59" s="2">
        <v>-8.5482608349261538E-2</v>
      </c>
      <c r="K59" s="2">
        <v>1</v>
      </c>
      <c r="L59" s="2">
        <v>0.99999999999999378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0.64653478143230725</v>
      </c>
      <c r="T59" s="52">
        <f>B59-D59</f>
        <v>1.4925550522845166E-3</v>
      </c>
      <c r="U59" s="52">
        <f>F59-B59</f>
        <v>1.9135111599561938E-3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9.0355995593255425E-2</v>
      </c>
      <c r="C60" s="54">
        <v>1.5876618885837843E-2</v>
      </c>
      <c r="D60" s="55">
        <v>7.9284281816252855E-2</v>
      </c>
      <c r="E60" s="1">
        <v>9.0210980658044754E-2</v>
      </c>
      <c r="F60" s="56">
        <v>0.10263209981965668</v>
      </c>
      <c r="G60" s="2">
        <v>1</v>
      </c>
      <c r="H60" s="2">
        <v>0.99202694654568002</v>
      </c>
      <c r="I60" s="2">
        <v>0.12193533052886898</v>
      </c>
      <c r="J60" s="2">
        <v>-1.3301338553623003E-2</v>
      </c>
      <c r="K60" s="2">
        <v>3.5826698061321875E-2</v>
      </c>
      <c r="L60" s="2">
        <v>0.99999999999999811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7.9284281816252855E-2</v>
      </c>
      <c r="T60" s="52">
        <f t="shared" ref="T60:T66" si="27">B60-D60</f>
        <v>1.107171377700257E-2</v>
      </c>
      <c r="U60" s="52">
        <f t="shared" ref="U60:U66" si="28">F60-B60</f>
        <v>1.2276104226401255E-2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7.3788193615281938E-2</v>
      </c>
      <c r="C61" s="54">
        <v>1.574935489918456E-2</v>
      </c>
      <c r="D61" s="55">
        <v>6.146671202516199E-2</v>
      </c>
      <c r="E61" s="1">
        <v>7.1822507512057002E-2</v>
      </c>
      <c r="F61" s="56">
        <v>8.5447124547195691E-2</v>
      </c>
      <c r="G61" s="2">
        <v>-0.99140679934939302</v>
      </c>
      <c r="H61" s="2">
        <v>1</v>
      </c>
      <c r="I61" s="2">
        <v>0.14672753016510079</v>
      </c>
      <c r="J61" s="2">
        <v>-5.6681077209310114E-3</v>
      </c>
      <c r="K61" s="2">
        <v>1.9196533619396904E-2</v>
      </c>
      <c r="L61" s="2">
        <v>0.999999999999999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6.146671202516199E-2</v>
      </c>
      <c r="T61" s="52">
        <f t="shared" si="27"/>
        <v>1.2321481590119948E-2</v>
      </c>
      <c r="U61" s="52">
        <f t="shared" si="28"/>
        <v>1.1658930931913752E-2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7.8006868264857004E-2</v>
      </c>
      <c r="C62" s="54">
        <v>3.3488118688255251E-3</v>
      </c>
      <c r="D62" s="55">
        <v>7.5492867517471793E-2</v>
      </c>
      <c r="E62" s="1">
        <v>7.7334090001091968E-2</v>
      </c>
      <c r="F62" s="56">
        <v>7.9707693173760488E-2</v>
      </c>
      <c r="G62" s="2">
        <v>1.5036655251504929E-2</v>
      </c>
      <c r="H62" s="2">
        <v>-0.77083564179013386</v>
      </c>
      <c r="I62" s="2">
        <v>1</v>
      </c>
      <c r="J62" s="2">
        <v>1.330797365365305E-3</v>
      </c>
      <c r="K62" s="2">
        <v>-0.13011653439401993</v>
      </c>
      <c r="L62" s="2">
        <v>0.99999999999999789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7.5492867517471793E-2</v>
      </c>
      <c r="T62" s="52">
        <f t="shared" si="27"/>
        <v>2.5140007473852116E-3</v>
      </c>
      <c r="U62" s="52">
        <f t="shared" si="28"/>
        <v>1.7008249089034838E-3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2.7032403552113084E-2</v>
      </c>
      <c r="C63" s="54">
        <v>2.6711149546946394E-3</v>
      </c>
      <c r="D63" s="55">
        <v>2.50513810662947E-2</v>
      </c>
      <c r="E63" s="1">
        <v>2.6529147057132801E-2</v>
      </c>
      <c r="F63" s="56">
        <v>2.8688915983097238E-2</v>
      </c>
      <c r="G63" s="2">
        <v>-6.2272611167204246E-3</v>
      </c>
      <c r="H63" s="2">
        <v>-0.37218507390136202</v>
      </c>
      <c r="I63" s="2">
        <v>-0.48727226388424666</v>
      </c>
      <c r="J63" s="2">
        <v>-0.89687874274154844</v>
      </c>
      <c r="K63" s="2">
        <v>-0.53305875207199926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2.50513810662947E-2</v>
      </c>
      <c r="T63" s="52">
        <f t="shared" si="27"/>
        <v>1.9810224858183845E-3</v>
      </c>
      <c r="U63" s="52">
        <f t="shared" si="28"/>
        <v>1.6565124309841535E-3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2.0500249348322582E-3</v>
      </c>
      <c r="C64" s="54">
        <v>2.6872506429015978E-3</v>
      </c>
      <c r="D64" s="55">
        <v>1.1461764960437912E-4</v>
      </c>
      <c r="E64" s="1">
        <v>9.4028289256007985E-4</v>
      </c>
      <c r="F64" s="56">
        <v>3.1357087051092627E-3</v>
      </c>
      <c r="G64" s="2">
        <v>5.4280921549039007E-4</v>
      </c>
      <c r="H64" s="2">
        <v>-0.35605446394142776</v>
      </c>
      <c r="I64" s="2">
        <v>-0.46310891091146544</v>
      </c>
      <c r="J64" s="2">
        <v>1</v>
      </c>
      <c r="K64" s="2">
        <v>-0.39184794521469479</v>
      </c>
      <c r="L64" s="2">
        <v>0.99999999999999734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1.1461764960437912E-4</v>
      </c>
      <c r="T64" s="52">
        <f t="shared" si="27"/>
        <v>1.935407285227879E-3</v>
      </c>
      <c r="U64" s="52">
        <f t="shared" si="28"/>
        <v>1.0856837702770046E-3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3.2197057464982567E-2</v>
      </c>
      <c r="C65" s="54">
        <v>3.1256294505883375E-16</v>
      </c>
      <c r="D65" s="55">
        <v>3.219705746498288E-2</v>
      </c>
      <c r="E65" s="1">
        <v>3.219705746498288E-2</v>
      </c>
      <c r="F65" s="56">
        <v>3.219705746498288E-2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3.219705746498288E-2</v>
      </c>
      <c r="T65" s="52">
        <f t="shared" si="27"/>
        <v>-3.1225022567582528E-16</v>
      </c>
      <c r="U65" s="52">
        <f t="shared" si="28"/>
        <v>3.1225022567582528E-16</v>
      </c>
    </row>
    <row r="66" spans="1:36">
      <c r="A66" s="60" t="str">
        <f t="shared" si="24"/>
        <v>Onroerend goed</v>
      </c>
      <c r="B66" s="61">
        <v>4.8542120090085746E-2</v>
      </c>
      <c r="C66" s="62">
        <v>3.4729216117648195E-17</v>
      </c>
      <c r="D66" s="63">
        <v>4.8542120090085711E-2</v>
      </c>
      <c r="E66" s="61">
        <v>4.8542120090085711E-2</v>
      </c>
      <c r="F66" s="64">
        <v>4.8542120090085711E-2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4.8542120090085711E-2</v>
      </c>
      <c r="T66" s="52">
        <f t="shared" si="27"/>
        <v>0</v>
      </c>
      <c r="U66" s="52">
        <f t="shared" si="28"/>
        <v>0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0.92305592957443661</v>
      </c>
      <c r="H69" s="272">
        <v>3.7064077084081326E-2</v>
      </c>
      <c r="I69" s="272">
        <v>1.85566636555341E-2</v>
      </c>
      <c r="J69" s="272">
        <v>1.2844168012279944E-2</v>
      </c>
      <c r="K69" s="272">
        <v>8.4791616736694664E-3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0.64766517686265979</v>
      </c>
      <c r="C70" s="54">
        <v>2.5495195171585518E-3</v>
      </c>
      <c r="D70" s="55">
        <v>0.64595771324157536</v>
      </c>
      <c r="E70" s="1">
        <v>0.64826144771266647</v>
      </c>
      <c r="F70" s="56">
        <v>0.64970065829171808</v>
      </c>
      <c r="G70" s="68">
        <v>-1.6483341620526955E-2</v>
      </c>
      <c r="H70" s="68">
        <v>-0.57970079247163475</v>
      </c>
      <c r="I70" s="68">
        <v>7.1517703773399305E-2</v>
      </c>
      <c r="J70" s="68">
        <v>0.26957048691200708</v>
      </c>
      <c r="K70" s="68">
        <v>1</v>
      </c>
      <c r="L70" s="68">
        <v>0.99999999999999711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0.64595771324157536</v>
      </c>
      <c r="T70" s="52">
        <f>B70-D70</f>
        <v>1.7074636210844263E-3</v>
      </c>
      <c r="U70" s="52">
        <f>F70-B70</f>
        <v>2.0354814290582945E-3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8.4241886801590157E-2</v>
      </c>
      <c r="C71" s="54">
        <v>1.7132271236015094E-2</v>
      </c>
      <c r="D71" s="55">
        <v>7.1103052121758742E-2</v>
      </c>
      <c r="E71" s="1">
        <v>8.4383358509610346E-2</v>
      </c>
      <c r="F71" s="56">
        <v>9.7622623597682437E-2</v>
      </c>
      <c r="G71" s="68">
        <v>1</v>
      </c>
      <c r="H71" s="68">
        <v>0.99005231363440993</v>
      </c>
      <c r="I71" s="68">
        <v>-5.5308831310676536E-2</v>
      </c>
      <c r="J71" s="68">
        <v>-0.1009529243729157</v>
      </c>
      <c r="K71" s="68">
        <v>6.9758257852044162E-2</v>
      </c>
      <c r="L71" s="68">
        <v>0.99999999999999967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7.1103052121758742E-2</v>
      </c>
      <c r="T71" s="52">
        <f t="shared" ref="T71:T77" si="32">B71-D71</f>
        <v>1.3138834679831415E-2</v>
      </c>
      <c r="U71" s="52">
        <f t="shared" ref="U71:U77" si="33">F71-B71</f>
        <v>1.338073679609228E-2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7.9334547678456518E-2</v>
      </c>
      <c r="C72" s="54">
        <v>1.7043974511421849E-2</v>
      </c>
      <c r="D72" s="55">
        <v>6.5985570622912437E-2</v>
      </c>
      <c r="E72" s="1">
        <v>7.8219485328115679E-2</v>
      </c>
      <c r="F72" s="56">
        <v>9.1925196513761798E-2</v>
      </c>
      <c r="G72" s="68">
        <v>-0.99445543543233261</v>
      </c>
      <c r="H72" s="68">
        <v>1</v>
      </c>
      <c r="I72" s="68">
        <v>-6.2309033791841981E-2</v>
      </c>
      <c r="J72" s="68">
        <v>-0.10355169828838409</v>
      </c>
      <c r="K72" s="68">
        <v>4.9151001833410111E-2</v>
      </c>
      <c r="L72" s="68">
        <v>1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6.5985570622912437E-2</v>
      </c>
      <c r="T72" s="52">
        <f t="shared" si="32"/>
        <v>1.3348977055544081E-2</v>
      </c>
      <c r="U72" s="52">
        <f t="shared" si="33"/>
        <v>1.2590648835305279E-2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7.7910827116559708E-2</v>
      </c>
      <c r="C73" s="54">
        <v>3.0676907571575204E-3</v>
      </c>
      <c r="D73" s="55">
        <v>7.5407437891429313E-2</v>
      </c>
      <c r="E73" s="1">
        <v>7.7268054510879841E-2</v>
      </c>
      <c r="F73" s="56">
        <v>7.9657754924356089E-2</v>
      </c>
      <c r="G73" s="68">
        <v>-1.4059489006950935E-4</v>
      </c>
      <c r="H73" s="68">
        <v>-0.47269102793258294</v>
      </c>
      <c r="I73" s="68">
        <v>1</v>
      </c>
      <c r="J73" s="68">
        <v>-0.50524266751987734</v>
      </c>
      <c r="K73" s="68">
        <v>-0.31409637155062159</v>
      </c>
      <c r="L73" s="68">
        <v>0.99999999999999234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7.5407437891429313E-2</v>
      </c>
      <c r="T73" s="52">
        <f t="shared" si="32"/>
        <v>2.5033892251303952E-3</v>
      </c>
      <c r="U73" s="52">
        <f t="shared" si="33"/>
        <v>1.7469278077963807E-3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2.8116666145894708E-2</v>
      </c>
      <c r="C74" s="54">
        <v>3.2144263889301197E-3</v>
      </c>
      <c r="D74" s="55">
        <v>2.5589274678429148E-2</v>
      </c>
      <c r="E74" s="1">
        <v>2.728872820479368E-2</v>
      </c>
      <c r="F74" s="56">
        <v>3.0282425234615572E-2</v>
      </c>
      <c r="G74" s="68">
        <v>5.5978196183787618E-3</v>
      </c>
      <c r="H74" s="68">
        <v>-0.67867141552025501</v>
      </c>
      <c r="I74" s="68">
        <v>-0.91537787899420175</v>
      </c>
      <c r="J74" s="68">
        <v>-0.55982319673082592</v>
      </c>
      <c r="K74" s="68">
        <v>-0.24918175550834859</v>
      </c>
      <c r="L74" s="68">
        <v>0.99999999999999167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2.5589274678429148E-2</v>
      </c>
      <c r="T74" s="52">
        <f t="shared" si="32"/>
        <v>2.5273914674655597E-3</v>
      </c>
      <c r="U74" s="52">
        <f t="shared" si="33"/>
        <v>2.1657590887208637E-3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1.9917178397705921E-3</v>
      </c>
      <c r="C75" s="54">
        <v>2.5249307810921041E-3</v>
      </c>
      <c r="D75" s="55">
        <v>8.9271252252749768E-5</v>
      </c>
      <c r="E75" s="1">
        <v>8.1666478839083746E-4</v>
      </c>
      <c r="F75" s="56">
        <v>3.0894775315710252E-3</v>
      </c>
      <c r="G75" s="68">
        <v>5.4815523245502146E-3</v>
      </c>
      <c r="H75" s="68">
        <v>-0.25898907770995144</v>
      </c>
      <c r="I75" s="68">
        <v>-3.8521959676678943E-2</v>
      </c>
      <c r="J75" s="68">
        <v>1</v>
      </c>
      <c r="K75" s="68">
        <v>-0.55563113262649189</v>
      </c>
      <c r="L75" s="68">
        <v>0.99999999999998834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8.9271252252749768E-5</v>
      </c>
      <c r="T75" s="52">
        <f t="shared" si="32"/>
        <v>1.9024465875178422E-3</v>
      </c>
      <c r="U75" s="52">
        <f t="shared" si="33"/>
        <v>1.0977596918004331E-3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3.2197057464982567E-2</v>
      </c>
      <c r="C76" s="54">
        <v>3.1256294505883375E-16</v>
      </c>
      <c r="D76" s="55">
        <v>3.219705746498288E-2</v>
      </c>
      <c r="E76" s="1">
        <v>3.219705746498288E-2</v>
      </c>
      <c r="F76" s="56">
        <v>3.219705746498288E-2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3.219705746498288E-2</v>
      </c>
      <c r="T76" s="52">
        <f t="shared" si="32"/>
        <v>-3.1225022567582528E-16</v>
      </c>
      <c r="U76" s="52">
        <f t="shared" si="33"/>
        <v>3.1225022567582528E-16</v>
      </c>
    </row>
    <row r="77" spans="1:36">
      <c r="A77" s="60" t="str">
        <f t="shared" si="29"/>
        <v>Onroerend goed</v>
      </c>
      <c r="B77" s="61">
        <v>4.8542120090085746E-2</v>
      </c>
      <c r="C77" s="62">
        <v>3.4729216117648195E-17</v>
      </c>
      <c r="D77" s="63">
        <v>4.8542120090085711E-2</v>
      </c>
      <c r="E77" s="61">
        <v>4.8542120090085711E-2</v>
      </c>
      <c r="F77" s="64">
        <v>4.8542120090085711E-2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4.8542120090085711E-2</v>
      </c>
      <c r="T77" s="52">
        <f t="shared" si="32"/>
        <v>0</v>
      </c>
      <c r="U77" s="52">
        <f t="shared" si="33"/>
        <v>0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0" t="s">
        <v>64</v>
      </c>
      <c r="E79" s="401"/>
      <c r="F79" s="402"/>
      <c r="G79" s="400" t="s">
        <v>65</v>
      </c>
      <c r="H79" s="401"/>
      <c r="I79" s="401"/>
      <c r="J79" s="401"/>
      <c r="K79" s="401"/>
      <c r="L79" s="401"/>
      <c r="M79" s="401"/>
      <c r="N79" s="401"/>
      <c r="O79" s="402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0.7526083677705746</v>
      </c>
      <c r="H80" s="272">
        <v>0.14177983894161728</v>
      </c>
      <c r="I80" s="272">
        <v>6.8595853289859732E-2</v>
      </c>
      <c r="J80" s="272">
        <v>3.0258528192741441E-2</v>
      </c>
      <c r="K80" s="272">
        <v>6.7574118052031729E-3</v>
      </c>
      <c r="L80" s="272">
        <v>0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0.58412241952216271</v>
      </c>
      <c r="C81" s="54">
        <v>1.0149420399343955E-2</v>
      </c>
      <c r="D81" s="55">
        <v>0.57680683225124008</v>
      </c>
      <c r="E81" s="1">
        <v>0.58303193487898253</v>
      </c>
      <c r="F81" s="56">
        <v>0.59058459813003994</v>
      </c>
      <c r="G81" s="2">
        <v>-0.53814969662551404</v>
      </c>
      <c r="H81" s="2">
        <v>-0.38165342865007762</v>
      </c>
      <c r="I81" s="2">
        <v>-1.7772163312002646E-2</v>
      </c>
      <c r="J81" s="2">
        <v>0.35816065507099692</v>
      </c>
      <c r="K81" s="2">
        <v>1</v>
      </c>
      <c r="L81" s="2">
        <v>0.99999999999999134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0.57680683225124008</v>
      </c>
      <c r="T81" s="52">
        <f>B81-D81</f>
        <v>7.3155872709226299E-3</v>
      </c>
      <c r="U81" s="52">
        <f>F81-B81</f>
        <v>6.4621786078772336E-3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0.12549640516374622</v>
      </c>
      <c r="C82" s="54">
        <v>1.7872241599909248E-2</v>
      </c>
      <c r="D82" s="55">
        <v>0.11524782740166802</v>
      </c>
      <c r="E82" s="1">
        <v>0.12904274797755194</v>
      </c>
      <c r="F82" s="56">
        <v>0.13986268212965119</v>
      </c>
      <c r="G82" s="2">
        <v>1</v>
      </c>
      <c r="H82" s="2">
        <v>-0.27660175320436253</v>
      </c>
      <c r="I82" s="2">
        <v>-0.60528970952412442</v>
      </c>
      <c r="J82" s="2">
        <v>-0.21318883346060002</v>
      </c>
      <c r="K82" s="2">
        <v>0.16670412606258408</v>
      </c>
      <c r="L82" s="2">
        <v>0.99999999999999689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0.11524782740166802</v>
      </c>
      <c r="T82" s="52">
        <f t="shared" ref="T82:T88" si="37">B82-D82</f>
        <v>1.0248577762078201E-2</v>
      </c>
      <c r="U82" s="52">
        <f t="shared" ref="U82:U88" si="38">F82-B82</f>
        <v>1.4366276965904978E-2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6.3082949298087901E-2</v>
      </c>
      <c r="C83" s="54">
        <v>9.3730820364795603E-3</v>
      </c>
      <c r="D83" s="55">
        <v>5.5307696759269463E-2</v>
      </c>
      <c r="E83" s="1">
        <v>6.106253311975475E-2</v>
      </c>
      <c r="F83" s="56">
        <v>6.8746222410766361E-2</v>
      </c>
      <c r="G83" s="2">
        <v>0.17133186853043672</v>
      </c>
      <c r="H83" s="2">
        <v>1</v>
      </c>
      <c r="I83" s="2">
        <v>0.24849533207707264</v>
      </c>
      <c r="J83" s="2">
        <v>2.8181873251745333E-2</v>
      </c>
      <c r="K83" s="2">
        <v>0.31979675068417868</v>
      </c>
      <c r="L83" s="2">
        <v>0.999999999999994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5.5307696759269463E-2</v>
      </c>
      <c r="T83" s="52">
        <f t="shared" si="37"/>
        <v>7.7752525388184376E-3</v>
      </c>
      <c r="U83" s="52">
        <f t="shared" si="38"/>
        <v>5.6632731126784602E-3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8.4012308431003019E-2</v>
      </c>
      <c r="C84" s="54">
        <v>6.5250729150178209E-3</v>
      </c>
      <c r="D84" s="55">
        <v>7.8725834768394995E-2</v>
      </c>
      <c r="E84" s="1">
        <v>8.2498335475386958E-2</v>
      </c>
      <c r="F84" s="56">
        <v>8.8093405936644414E-2</v>
      </c>
      <c r="G84" s="2">
        <v>7.6198449202146662E-2</v>
      </c>
      <c r="H84" s="2">
        <v>-0.35256930975430406</v>
      </c>
      <c r="I84" s="2">
        <v>1</v>
      </c>
      <c r="J84" s="2">
        <v>-0.56822844870286227</v>
      </c>
      <c r="K84" s="2">
        <v>-0.24837860873404136</v>
      </c>
      <c r="L84" s="2">
        <v>0.99999999999999634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7.8725834768394995E-2</v>
      </c>
      <c r="T84" s="52">
        <f t="shared" si="37"/>
        <v>5.2864736626080239E-3</v>
      </c>
      <c r="U84" s="52">
        <f t="shared" si="38"/>
        <v>4.0810975056413956E-3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5.9441103986355118E-2</v>
      </c>
      <c r="C85" s="54">
        <v>1.3201430305150211E-2</v>
      </c>
      <c r="D85" s="55">
        <v>4.9358698217946785E-2</v>
      </c>
      <c r="E85" s="1">
        <v>5.8148316884845744E-2</v>
      </c>
      <c r="F85" s="56">
        <v>6.7895956432053456E-2</v>
      </c>
      <c r="G85" s="2">
        <v>-0.71890150571138078</v>
      </c>
      <c r="H85" s="2">
        <v>0.10070340676151844</v>
      </c>
      <c r="I85" s="2">
        <v>-0.66294871310203518</v>
      </c>
      <c r="J85" s="2">
        <v>-0.60492524615927601</v>
      </c>
      <c r="K85" s="2">
        <v>-0.47687754299809348</v>
      </c>
      <c r="L85" s="2">
        <v>1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4.9358698217946785E-2</v>
      </c>
      <c r="T85" s="52">
        <f t="shared" si="37"/>
        <v>1.0082405768408333E-2</v>
      </c>
      <c r="U85" s="52">
        <f t="shared" si="38"/>
        <v>8.4548524456983382E-3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3.1056360435763103E-3</v>
      </c>
      <c r="C86" s="54">
        <v>3.7654264610087053E-3</v>
      </c>
      <c r="D86" s="55">
        <v>2.3340631324253734E-4</v>
      </c>
      <c r="E86" s="1">
        <v>1.6256678443616846E-3</v>
      </c>
      <c r="F86" s="56">
        <v>4.82441806342419E-3</v>
      </c>
      <c r="G86" s="2">
        <v>9.5208846043113478E-3</v>
      </c>
      <c r="H86" s="2">
        <v>-8.9878915152774255E-2</v>
      </c>
      <c r="I86" s="2">
        <v>3.7515253861093611E-2</v>
      </c>
      <c r="J86" s="2">
        <v>1</v>
      </c>
      <c r="K86" s="2">
        <v>-0.76124472501461915</v>
      </c>
      <c r="L86" s="2">
        <v>0.99999999999999745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2.3340631324253734E-4</v>
      </c>
      <c r="T86" s="52">
        <f t="shared" si="37"/>
        <v>2.8722297303337731E-3</v>
      </c>
      <c r="U86" s="52">
        <f t="shared" si="38"/>
        <v>1.7187820198478797E-3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3.2197057464982567E-2</v>
      </c>
      <c r="C87" s="54">
        <v>3.1256294505883375E-16</v>
      </c>
      <c r="D87" s="55">
        <v>3.219705746498288E-2</v>
      </c>
      <c r="E87" s="1">
        <v>3.219705746498288E-2</v>
      </c>
      <c r="F87" s="56">
        <v>3.219705746498288E-2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3.219705746498288E-2</v>
      </c>
      <c r="T87" s="52">
        <f t="shared" si="37"/>
        <v>-3.1225022567582528E-16</v>
      </c>
      <c r="U87" s="52">
        <f t="shared" si="38"/>
        <v>3.1225022567582528E-16</v>
      </c>
    </row>
    <row r="88" spans="1:36">
      <c r="A88" s="60" t="str">
        <f t="shared" si="34"/>
        <v>Onroerend goed</v>
      </c>
      <c r="B88" s="286">
        <v>4.8542120090085746E-2</v>
      </c>
      <c r="C88" s="62">
        <v>3.4729216117648195E-17</v>
      </c>
      <c r="D88" s="63">
        <v>4.8542120090085711E-2</v>
      </c>
      <c r="E88" s="61">
        <v>4.8542120090085711E-2</v>
      </c>
      <c r="F88" s="64">
        <v>4.8542120090085711E-2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4.8542120090085711E-2</v>
      </c>
      <c r="T88" s="52">
        <f t="shared" si="37"/>
        <v>0</v>
      </c>
      <c r="U88" s="52">
        <f t="shared" si="38"/>
        <v>0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0" t="s">
        <v>64</v>
      </c>
      <c r="E2" s="401"/>
      <c r="F2" s="402"/>
      <c r="G2" s="400" t="s">
        <v>65</v>
      </c>
      <c r="H2" s="401"/>
      <c r="I2" s="401"/>
      <c r="J2" s="401"/>
      <c r="K2" s="401"/>
      <c r="L2" s="401"/>
      <c r="M2" s="401"/>
      <c r="N2" s="402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0.4726587069824989</v>
      </c>
      <c r="H3" s="272">
        <v>0.33379983751082942</v>
      </c>
      <c r="I3" s="272">
        <v>0.19165215595900209</v>
      </c>
      <c r="J3" s="272">
        <v>1.8853867729202722E-3</v>
      </c>
      <c r="K3" s="272">
        <v>3.912774749981196E-6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0.2275155590645036</v>
      </c>
      <c r="C4" s="118">
        <v>4.8057672539001686E-2</v>
      </c>
      <c r="D4" s="119">
        <v>0.17931875226053665</v>
      </c>
      <c r="E4" s="117">
        <v>0.22342976532172332</v>
      </c>
      <c r="F4" s="120">
        <v>0.27776532691002753</v>
      </c>
      <c r="G4" s="2">
        <v>1</v>
      </c>
      <c r="H4" s="2">
        <v>-0.265712297896949</v>
      </c>
      <c r="I4" s="2">
        <v>-0.34327758109423451</v>
      </c>
      <c r="J4" s="2">
        <v>-0.25382515336863665</v>
      </c>
      <c r="K4" s="2">
        <v>-0.23909487132820637</v>
      </c>
      <c r="L4" s="2">
        <v>0.94870762539872222</v>
      </c>
      <c r="M4" s="2">
        <v>-3.2480313958378838E-2</v>
      </c>
      <c r="N4" s="57"/>
      <c r="O4" s="72"/>
      <c r="Q4" s="72" t="str">
        <f>A4</f>
        <v>High Yield</v>
      </c>
      <c r="R4" s="72">
        <f>D4</f>
        <v>0.17931875226053665</v>
      </c>
      <c r="S4" s="52">
        <f>B4-D4</f>
        <v>4.8196806803966957E-2</v>
      </c>
      <c r="T4" s="52">
        <f>F4-B4</f>
        <v>5.0249767845523929E-2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0.19659814181256774</v>
      </c>
      <c r="C5" s="118">
        <v>4.4331568951806323E-2</v>
      </c>
      <c r="D5" s="119">
        <v>0.14950353377783079</v>
      </c>
      <c r="E5" s="117">
        <v>0.19067159933466493</v>
      </c>
      <c r="F5" s="120">
        <v>0.2468010971742709</v>
      </c>
      <c r="G5" s="2">
        <v>-0.62777600179618631</v>
      </c>
      <c r="H5" s="2">
        <v>-0.98264310649364606</v>
      </c>
      <c r="I5" s="2">
        <v>-0.25653476023062155</v>
      </c>
      <c r="J5" s="2">
        <v>-0.24973824969141536</v>
      </c>
      <c r="K5" s="2">
        <v>-0.25105456521673497</v>
      </c>
      <c r="L5" s="2">
        <v>0.94870762539883124</v>
      </c>
      <c r="M5" s="2">
        <v>-3.2480313958378998E-2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0.14950353377783079</v>
      </c>
      <c r="S5" s="52">
        <f t="shared" ref="S5:S10" si="2">B5-D5</f>
        <v>4.7094608034736946E-2</v>
      </c>
      <c r="T5" s="52">
        <f t="shared" ref="T5:T10" si="3">F5-B5</f>
        <v>5.0202955361703161E-2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0.27133165359130951</v>
      </c>
      <c r="C6" s="118">
        <v>3.9500843114937921E-2</v>
      </c>
      <c r="D6" s="119">
        <v>0.23383164932612815</v>
      </c>
      <c r="E6" s="117">
        <v>0.26962922941152051</v>
      </c>
      <c r="F6" s="120">
        <v>0.31309329437822397</v>
      </c>
      <c r="G6" s="2">
        <v>-0.35027556776010421</v>
      </c>
      <c r="H6" s="2">
        <v>1</v>
      </c>
      <c r="I6" s="2">
        <v>-0.45481561505118395</v>
      </c>
      <c r="J6" s="2">
        <v>-0.29295991938642096</v>
      </c>
      <c r="K6" s="2">
        <v>-0.38598606905151284</v>
      </c>
      <c r="L6" s="2">
        <v>0.94870762540006048</v>
      </c>
      <c r="M6" s="2">
        <v>-3.2480313958380698E-2</v>
      </c>
      <c r="N6" s="57"/>
      <c r="O6" s="72"/>
      <c r="Q6" s="72" t="str">
        <f t="shared" si="0"/>
        <v>Aandelen ontwikkeld</v>
      </c>
      <c r="R6" s="72">
        <f t="shared" si="1"/>
        <v>0.23383164932612815</v>
      </c>
      <c r="S6" s="52">
        <f t="shared" si="2"/>
        <v>3.7500004265181353E-2</v>
      </c>
      <c r="T6" s="52">
        <f t="shared" si="3"/>
        <v>4.1761640786914467E-2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0.10555599005059685</v>
      </c>
      <c r="C7" s="118">
        <v>3.0859881106416246E-2</v>
      </c>
      <c r="D7" s="119">
        <v>7.4774577957042745E-2</v>
      </c>
      <c r="E7" s="117">
        <v>0.10000520463110077</v>
      </c>
      <c r="F7" s="120">
        <v>0.14110371536532723</v>
      </c>
      <c r="G7" s="2">
        <v>2.4569980506773156E-2</v>
      </c>
      <c r="H7" s="2">
        <v>0.10709857324114475</v>
      </c>
      <c r="I7" s="2">
        <v>1</v>
      </c>
      <c r="J7" s="2">
        <v>-0.27883143634462615</v>
      </c>
      <c r="K7" s="2">
        <v>-0.37959987951228302</v>
      </c>
      <c r="L7" s="2">
        <v>0.94870762540000142</v>
      </c>
      <c r="M7" s="2">
        <v>-3.2480313958380594E-2</v>
      </c>
      <c r="N7" s="57"/>
      <c r="O7" s="72"/>
      <c r="Q7" s="72" t="str">
        <f t="shared" si="0"/>
        <v>Aandelen opkomend</v>
      </c>
      <c r="R7" s="72">
        <f t="shared" si="1"/>
        <v>7.4774577957042745E-2</v>
      </c>
      <c r="S7" s="52">
        <f t="shared" si="2"/>
        <v>3.0781412093554103E-2</v>
      </c>
      <c r="T7" s="52">
        <f t="shared" si="3"/>
        <v>3.5547725314730383E-2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2.5458370793689658E-3</v>
      </c>
      <c r="C8" s="118">
        <v>3.1687122926497336E-3</v>
      </c>
      <c r="D8" s="119">
        <v>5.0815875857100815E-5</v>
      </c>
      <c r="E8" s="117">
        <v>1.233015748245705E-3</v>
      </c>
      <c r="F8" s="120">
        <v>5.3432703401619791E-3</v>
      </c>
      <c r="G8" s="2">
        <v>3.2308975555057542E-3</v>
      </c>
      <c r="H8" s="2">
        <v>4.6150360276118714E-3</v>
      </c>
      <c r="I8" s="2">
        <v>-8.0694223847114117E-3</v>
      </c>
      <c r="J8" s="2">
        <v>1</v>
      </c>
      <c r="K8" s="2">
        <v>-0.40754543996268899</v>
      </c>
      <c r="L8" s="2">
        <v>0.94870762540022602</v>
      </c>
      <c r="M8" s="2">
        <v>-3.2480313958381073E-2</v>
      </c>
      <c r="N8" s="57"/>
      <c r="O8" s="72"/>
      <c r="Q8" s="72" t="str">
        <f t="shared" si="0"/>
        <v>Commodities</v>
      </c>
      <c r="R8" s="72">
        <f t="shared" si="1"/>
        <v>5.0815875857100815E-5</v>
      </c>
      <c r="S8" s="52">
        <f t="shared" si="2"/>
        <v>2.495021203511865E-3</v>
      </c>
      <c r="T8" s="52">
        <f t="shared" si="3"/>
        <v>2.7974332607930133E-3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7.8341182989159514E-2</v>
      </c>
      <c r="C9" s="118">
        <v>2.171956952095197E-3</v>
      </c>
      <c r="D9" s="119">
        <v>7.6172302858184951E-2</v>
      </c>
      <c r="E9" s="117">
        <v>7.8198669282889044E-2</v>
      </c>
      <c r="F9" s="120">
        <v>8.0683540011039043E-2</v>
      </c>
      <c r="G9" s="2">
        <v>-1.983896038225014E-2</v>
      </c>
      <c r="H9" s="2">
        <v>5.4489825916985396E-2</v>
      </c>
      <c r="I9" s="2">
        <v>2.5002373915524158E-2</v>
      </c>
      <c r="J9" s="2">
        <v>3.0049866403497272E-2</v>
      </c>
      <c r="K9" s="2">
        <v>0.66328082509085373</v>
      </c>
      <c r="L9" s="2">
        <v>0.87137631612856359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7.6172302858184951E-2</v>
      </c>
      <c r="S9" s="52">
        <f t="shared" si="2"/>
        <v>2.1688801309745626E-3</v>
      </c>
      <c r="T9" s="52">
        <f t="shared" si="3"/>
        <v>2.3423570218795292E-3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0.1181116354124938</v>
      </c>
      <c r="C10" s="122">
        <v>3.2745661715753833E-3</v>
      </c>
      <c r="D10" s="123">
        <v>0.11484170803191623</v>
      </c>
      <c r="E10" s="121">
        <v>0.11789677362110815</v>
      </c>
      <c r="F10" s="124">
        <v>0.12164310644749707</v>
      </c>
      <c r="G10" s="65">
        <v>-2.9910348123738103E-2</v>
      </c>
      <c r="H10" s="65">
        <v>8.2151969204853403E-2</v>
      </c>
      <c r="I10" s="65">
        <v>3.7695004845227573E-2</v>
      </c>
      <c r="J10" s="65">
        <v>4.530489238763475E-2</v>
      </c>
      <c r="K10" s="65">
        <v>1</v>
      </c>
      <c r="L10" s="65">
        <v>1</v>
      </c>
      <c r="M10" s="65">
        <v>-0.71730470849012717</v>
      </c>
      <c r="N10" s="66"/>
      <c r="O10" s="72"/>
      <c r="Q10" s="72" t="str">
        <f t="shared" si="0"/>
        <v>Onroerend goed</v>
      </c>
      <c r="R10" s="72">
        <f t="shared" si="1"/>
        <v>0.11484170803191623</v>
      </c>
      <c r="S10" s="52">
        <f t="shared" si="2"/>
        <v>3.2699273805775614E-3</v>
      </c>
      <c r="T10" s="52">
        <f t="shared" si="3"/>
        <v>3.5314710350032724E-3</v>
      </c>
      <c r="U10" s="52"/>
      <c r="V10" s="52"/>
      <c r="W10" s="52"/>
    </row>
    <row r="12" spans="1:23">
      <c r="A12" s="48" t="s">
        <v>68</v>
      </c>
      <c r="D12" s="400" t="s">
        <v>64</v>
      </c>
      <c r="E12" s="401"/>
      <c r="F12" s="402"/>
      <c r="G12" s="400" t="s">
        <v>65</v>
      </c>
      <c r="H12" s="401"/>
      <c r="I12" s="401"/>
      <c r="J12" s="401"/>
      <c r="K12" s="401"/>
      <c r="L12" s="401"/>
      <c r="M12" s="401"/>
      <c r="N12" s="402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0.50756538450140032</v>
      </c>
      <c r="H13" s="272">
        <v>0.3012805875605058</v>
      </c>
      <c r="I13" s="272">
        <v>0.170497906866245</v>
      </c>
      <c r="J13" s="272">
        <v>1.9790408900681178E-2</v>
      </c>
      <c r="K13" s="272">
        <v>8.6571217117059618E-4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0.17359983258221018</v>
      </c>
      <c r="C14" s="118">
        <v>3.1037454865699362E-2</v>
      </c>
      <c r="D14" s="119">
        <v>0.14351942919141281</v>
      </c>
      <c r="E14" s="117">
        <v>0.16776593193219186</v>
      </c>
      <c r="F14" s="120">
        <v>0.20554515415395186</v>
      </c>
      <c r="G14" s="2">
        <v>-0.40415009234032379</v>
      </c>
      <c r="H14" s="2">
        <v>1</v>
      </c>
      <c r="I14" s="2">
        <v>-0.50584549166338166</v>
      </c>
      <c r="J14" s="2">
        <v>-5.2279009259272424E-2</v>
      </c>
      <c r="K14" s="2">
        <v>-0.21978910036155463</v>
      </c>
      <c r="L14" s="2">
        <v>0.84280262085165769</v>
      </c>
      <c r="M14" s="2">
        <v>9.7796603303840143E-3</v>
      </c>
      <c r="N14" s="57"/>
      <c r="Q14" s="51" t="str">
        <f t="shared" ref="Q14:Q20" si="4">A14</f>
        <v>High Yield</v>
      </c>
      <c r="R14" s="72">
        <f>D14</f>
        <v>0.14351942919141281</v>
      </c>
      <c r="S14" s="52">
        <f>B14-D14</f>
        <v>3.0080403390797372E-2</v>
      </c>
      <c r="T14" s="52">
        <f>F14-B14</f>
        <v>3.1945321571741681E-2</v>
      </c>
      <c r="U14" s="52"/>
    </row>
    <row r="15" spans="1:23">
      <c r="A15" s="59" t="str">
        <f t="shared" ref="A15:A20" si="5">A5</f>
        <v>Emerging market debt</v>
      </c>
      <c r="B15" s="117">
        <v>0.1868071876192344</v>
      </c>
      <c r="C15" s="118">
        <v>3.8356529241930816E-2</v>
      </c>
      <c r="D15" s="119">
        <v>0.1467252785365597</v>
      </c>
      <c r="E15" s="117">
        <v>0.18114846246875699</v>
      </c>
      <c r="F15" s="120">
        <v>0.22954273630677954</v>
      </c>
      <c r="G15" s="2">
        <v>1</v>
      </c>
      <c r="H15" s="2">
        <v>8.2860396377947652E-3</v>
      </c>
      <c r="I15" s="2">
        <v>-0.37794104584119831</v>
      </c>
      <c r="J15" s="2">
        <v>-7.7357814823918181E-2</v>
      </c>
      <c r="K15" s="2">
        <v>-0.23919286514592222</v>
      </c>
      <c r="L15" s="2">
        <v>0.84280262085165802</v>
      </c>
      <c r="M15" s="2">
        <v>9.7796603303840421E-3</v>
      </c>
      <c r="N15" s="57"/>
      <c r="Q15" s="51" t="str">
        <f t="shared" si="4"/>
        <v>Emerging market debt</v>
      </c>
      <c r="R15" s="72">
        <f t="shared" ref="R15:R20" si="6">D15</f>
        <v>0.1467252785365597</v>
      </c>
      <c r="S15" s="52">
        <f t="shared" ref="S15:S20" si="7">B15-D15</f>
        <v>4.0081909082674699E-2</v>
      </c>
      <c r="T15" s="52">
        <f t="shared" ref="T15:T20" si="8">F15-B15</f>
        <v>4.2735548687545144E-2</v>
      </c>
      <c r="U15" s="52"/>
    </row>
    <row r="16" spans="1:23">
      <c r="A16" s="59" t="str">
        <f t="shared" si="5"/>
        <v>Aandelen ontwikkeld</v>
      </c>
      <c r="B16" s="117">
        <v>0.2025832237673181</v>
      </c>
      <c r="C16" s="118">
        <v>1.1072982105845999E-2</v>
      </c>
      <c r="D16" s="119">
        <v>0.1914057578247734</v>
      </c>
      <c r="E16" s="117">
        <v>0.20180083352364905</v>
      </c>
      <c r="F16" s="120">
        <v>0.2133230181298344</v>
      </c>
      <c r="G16" s="2">
        <v>-0.1232393476197627</v>
      </c>
      <c r="H16" s="2">
        <v>-0.23614318323922603</v>
      </c>
      <c r="I16" s="2">
        <v>0.16378588592431112</v>
      </c>
      <c r="J16" s="2">
        <v>1</v>
      </c>
      <c r="K16" s="2">
        <v>-0.35918917350410834</v>
      </c>
      <c r="L16" s="2">
        <v>0.84280262085165758</v>
      </c>
      <c r="M16" s="2">
        <v>9.7796603303841115E-3</v>
      </c>
      <c r="N16" s="57"/>
      <c r="Q16" s="51" t="str">
        <f t="shared" si="4"/>
        <v>Aandelen ontwikkeld</v>
      </c>
      <c r="R16" s="72">
        <f t="shared" si="6"/>
        <v>0.1914057578247734</v>
      </c>
      <c r="S16" s="52">
        <f t="shared" si="7"/>
        <v>1.1177465942544706E-2</v>
      </c>
      <c r="T16" s="52">
        <f t="shared" si="8"/>
        <v>1.0739794362516292E-2</v>
      </c>
      <c r="U16" s="52"/>
    </row>
    <row r="17" spans="1:24">
      <c r="A17" s="59" t="str">
        <f t="shared" si="5"/>
        <v>Aandelen opkomend</v>
      </c>
      <c r="B17" s="117">
        <v>0.21230495963944354</v>
      </c>
      <c r="C17" s="118">
        <v>2.7945429894419574E-2</v>
      </c>
      <c r="D17" s="119">
        <v>0.18359384918552354</v>
      </c>
      <c r="E17" s="117">
        <v>0.21264247640011105</v>
      </c>
      <c r="F17" s="120">
        <v>0.24058410035768538</v>
      </c>
      <c r="G17" s="2">
        <v>-0.42502006312388663</v>
      </c>
      <c r="H17" s="2">
        <v>-0.8407475324114615</v>
      </c>
      <c r="I17" s="2">
        <v>-0.41675783084489765</v>
      </c>
      <c r="J17" s="2">
        <v>-0.43999987579781769</v>
      </c>
      <c r="K17" s="2">
        <v>-0.41218380330526738</v>
      </c>
      <c r="L17" s="2">
        <v>0.84280262085165902</v>
      </c>
      <c r="M17" s="2">
        <v>9.7796603303842867E-3</v>
      </c>
      <c r="N17" s="57"/>
      <c r="Q17" s="51" t="str">
        <f t="shared" si="4"/>
        <v>Aandelen opkomend</v>
      </c>
      <c r="R17" s="72">
        <f t="shared" si="6"/>
        <v>0.18359384918552354</v>
      </c>
      <c r="S17" s="52">
        <f t="shared" si="7"/>
        <v>2.8711110453919997E-2</v>
      </c>
      <c r="T17" s="52">
        <f t="shared" si="8"/>
        <v>2.8279140718241835E-2</v>
      </c>
      <c r="U17" s="52"/>
    </row>
    <row r="18" spans="1:24">
      <c r="A18" s="59" t="str">
        <f t="shared" si="5"/>
        <v>Commodities</v>
      </c>
      <c r="B18" s="117">
        <v>1.7942493673904193E-2</v>
      </c>
      <c r="C18" s="118">
        <v>2.094564133323857E-2</v>
      </c>
      <c r="D18" s="119">
        <v>3.383959623945993E-4</v>
      </c>
      <c r="E18" s="117">
        <v>9.1377879773857189E-3</v>
      </c>
      <c r="F18" s="120">
        <v>3.8857775874284017E-2</v>
      </c>
      <c r="G18" s="2">
        <v>2.1474100653184152E-2</v>
      </c>
      <c r="H18" s="2">
        <v>0.20712611061120365</v>
      </c>
      <c r="I18" s="2">
        <v>1</v>
      </c>
      <c r="J18" s="2">
        <v>-0.40073186002846606</v>
      </c>
      <c r="K18" s="2">
        <v>-0.43292588277340854</v>
      </c>
      <c r="L18" s="2">
        <v>0.8428026208516588</v>
      </c>
      <c r="M18" s="2">
        <v>9.7796603303842902E-3</v>
      </c>
      <c r="N18" s="57"/>
      <c r="Q18" s="51" t="str">
        <f t="shared" si="4"/>
        <v>Commodities</v>
      </c>
      <c r="R18" s="72">
        <f t="shared" si="6"/>
        <v>3.383959623945993E-4</v>
      </c>
      <c r="S18" s="52">
        <f t="shared" si="7"/>
        <v>1.7604097711509593E-2</v>
      </c>
      <c r="T18" s="52">
        <f t="shared" si="8"/>
        <v>2.0915282200379824E-2</v>
      </c>
      <c r="U18" s="52"/>
    </row>
    <row r="19" spans="1:24">
      <c r="A19" s="59" t="str">
        <f t="shared" si="5"/>
        <v>Hedge funds</v>
      </c>
      <c r="B19" s="117">
        <v>8.2452384874239296E-2</v>
      </c>
      <c r="C19" s="118">
        <v>2.2151032157655859E-3</v>
      </c>
      <c r="D19" s="119">
        <v>8.0136877439622126E-2</v>
      </c>
      <c r="E19" s="117">
        <v>8.245788037687718E-2</v>
      </c>
      <c r="F19" s="120">
        <v>8.4781895713342076E-2</v>
      </c>
      <c r="G19" s="2">
        <v>-2.7541484618358095E-2</v>
      </c>
      <c r="H19" s="2">
        <v>-5.5239385945586375E-2</v>
      </c>
      <c r="I19" s="2">
        <v>5.453635831828587E-2</v>
      </c>
      <c r="J19" s="2">
        <v>-1.1816384662998647E-2</v>
      </c>
      <c r="K19" s="2">
        <v>0.66328082509026953</v>
      </c>
      <c r="L19" s="2">
        <v>0.60580288679941185</v>
      </c>
      <c r="M19" s="2">
        <v>1</v>
      </c>
      <c r="N19" s="57"/>
      <c r="Q19" s="51" t="str">
        <f t="shared" si="4"/>
        <v>Hedge funds</v>
      </c>
      <c r="R19" s="72">
        <f t="shared" si="6"/>
        <v>8.0136877439622126E-2</v>
      </c>
      <c r="S19" s="52">
        <f t="shared" si="7"/>
        <v>2.31550743461717E-3</v>
      </c>
      <c r="T19" s="52">
        <f t="shared" si="8"/>
        <v>2.3295108391027802E-3</v>
      </c>
      <c r="U19" s="52"/>
    </row>
    <row r="20" spans="1:24">
      <c r="A20" s="60" t="str">
        <f t="shared" si="5"/>
        <v>Onroerend goed</v>
      </c>
      <c r="B20" s="121">
        <v>0.12430991784364986</v>
      </c>
      <c r="C20" s="122">
        <v>3.3396159393935913E-3</v>
      </c>
      <c r="D20" s="123">
        <v>0.12081892677768297</v>
      </c>
      <c r="E20" s="121">
        <v>0.12431820317684494</v>
      </c>
      <c r="F20" s="124">
        <v>0.1278220212408582</v>
      </c>
      <c r="G20" s="65">
        <v>-4.1523112950852981E-2</v>
      </c>
      <c r="H20" s="65">
        <v>-8.3282048652723775E-2</v>
      </c>
      <c r="I20" s="65">
        <v>8.2222124106880262E-2</v>
      </c>
      <c r="J20" s="65">
        <v>-1.7815055427526656E-2</v>
      </c>
      <c r="K20" s="65">
        <v>1</v>
      </c>
      <c r="L20" s="65">
        <v>1</v>
      </c>
      <c r="M20" s="65">
        <v>-0.64701450358684542</v>
      </c>
      <c r="N20" s="66"/>
      <c r="Q20" s="51" t="str">
        <f t="shared" si="4"/>
        <v>Onroerend goed</v>
      </c>
      <c r="R20" s="72">
        <f t="shared" si="6"/>
        <v>0.12081892677768297</v>
      </c>
      <c r="S20" s="52">
        <f t="shared" si="7"/>
        <v>3.4909910659668975E-3</v>
      </c>
      <c r="T20" s="52">
        <f t="shared" si="8"/>
        <v>3.5121033972083382E-3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0" t="s">
        <v>64</v>
      </c>
      <c r="E22" s="401"/>
      <c r="F22" s="402"/>
      <c r="G22" s="400" t="s">
        <v>65</v>
      </c>
      <c r="H22" s="401"/>
      <c r="I22" s="401"/>
      <c r="J22" s="401"/>
      <c r="K22" s="401"/>
      <c r="L22" s="401"/>
      <c r="M22" s="401"/>
      <c r="N22" s="402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0.66547658847688085</v>
      </c>
      <c r="H23" s="272">
        <v>0.20876130113862135</v>
      </c>
      <c r="I23" s="272">
        <v>0.11378294834388769</v>
      </c>
      <c r="J23" s="272">
        <v>1.15441104417775E-2</v>
      </c>
      <c r="K23" s="272">
        <v>4.3505159883294731E-4</v>
      </c>
      <c r="L23" s="272">
        <v>-4.4408920985006262E-16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0.17828332162878557</v>
      </c>
      <c r="C24" s="118">
        <v>2.7598652397752502E-2</v>
      </c>
      <c r="D24" s="119">
        <v>0.15061453371834102</v>
      </c>
      <c r="E24" s="117">
        <v>0.17453227377794261</v>
      </c>
      <c r="F24" s="120">
        <v>0.20589700683490714</v>
      </c>
      <c r="G24" s="2">
        <v>-0.12382146217219897</v>
      </c>
      <c r="H24" s="2">
        <v>1</v>
      </c>
      <c r="I24" s="2">
        <v>-0.4153688464527272</v>
      </c>
      <c r="J24" s="2">
        <v>-0.37778962920099157</v>
      </c>
      <c r="K24" s="2">
        <v>-0.26290955468956195</v>
      </c>
      <c r="L24" s="2">
        <v>0.85044165719526876</v>
      </c>
      <c r="M24" s="2">
        <v>6.4782225726934435E-3</v>
      </c>
      <c r="N24" s="57"/>
      <c r="O24" s="67"/>
      <c r="Q24" s="51" t="str">
        <f t="shared" ref="Q24:Q30" si="9">A24</f>
        <v>High Yield</v>
      </c>
      <c r="R24" s="72">
        <f>D24</f>
        <v>0.15061453371834102</v>
      </c>
      <c r="S24" s="52">
        <f>B24-D24</f>
        <v>2.7668787910444553E-2</v>
      </c>
      <c r="T24" s="52">
        <f>F24-B24</f>
        <v>2.7613685206121563E-2</v>
      </c>
      <c r="U24" s="52"/>
    </row>
    <row r="25" spans="1:24">
      <c r="A25" s="59" t="str">
        <f t="shared" ref="A25:A30" si="10">A5</f>
        <v>Emerging market debt</v>
      </c>
      <c r="B25" s="117">
        <v>0.22881818516576097</v>
      </c>
      <c r="C25" s="118">
        <v>4.6805486516116206E-2</v>
      </c>
      <c r="D25" s="119">
        <v>0.17774084008381466</v>
      </c>
      <c r="E25" s="117">
        <v>0.2295169430124081</v>
      </c>
      <c r="F25" s="120">
        <v>0.27785372234874384</v>
      </c>
      <c r="G25" s="2">
        <v>1</v>
      </c>
      <c r="H25" s="2">
        <v>-0.44356764857576098</v>
      </c>
      <c r="I25" s="2">
        <v>-0.30366701601108859</v>
      </c>
      <c r="J25" s="2">
        <v>-0.31672082170247456</v>
      </c>
      <c r="K25" s="2">
        <v>-0.22863550387712564</v>
      </c>
      <c r="L25" s="2">
        <v>0.85044165719526732</v>
      </c>
      <c r="M25" s="2">
        <v>6.4782225726934244E-3</v>
      </c>
      <c r="N25" s="57"/>
      <c r="O25" s="67"/>
      <c r="Q25" s="51" t="str">
        <f t="shared" si="9"/>
        <v>Emerging market debt</v>
      </c>
      <c r="R25" s="72">
        <f t="shared" ref="R25:R30" si="11">D25</f>
        <v>0.17774084008381466</v>
      </c>
      <c r="S25" s="52">
        <f t="shared" ref="S25:S30" si="12">B25-D25</f>
        <v>5.1077345081946307E-2</v>
      </c>
      <c r="T25" s="52">
        <f t="shared" ref="T25:T30" si="13">F25-B25</f>
        <v>4.9035537182982869E-2</v>
      </c>
      <c r="U25" s="52"/>
      <c r="X25" s="51"/>
    </row>
    <row r="26" spans="1:24">
      <c r="A26" s="59" t="str">
        <f t="shared" si="10"/>
        <v>Aandelen ontwikkeld</v>
      </c>
      <c r="B26" s="117">
        <v>0.21531527167320288</v>
      </c>
      <c r="C26" s="118">
        <v>6.2642430810686293E-3</v>
      </c>
      <c r="D26" s="119">
        <v>0.20929680735890993</v>
      </c>
      <c r="E26" s="117">
        <v>0.21463361149648708</v>
      </c>
      <c r="F26" s="120">
        <v>0.22116521223842223</v>
      </c>
      <c r="G26" s="2">
        <v>-1.4455619290652307E-2</v>
      </c>
      <c r="H26" s="2">
        <v>2.2484907562493245E-2</v>
      </c>
      <c r="I26" s="2">
        <v>1.900901501835299E-2</v>
      </c>
      <c r="J26" s="2">
        <v>1</v>
      </c>
      <c r="K26" s="2">
        <v>-0.69710895974075227</v>
      </c>
      <c r="L26" s="2">
        <v>0.85044165719528442</v>
      </c>
      <c r="M26" s="2">
        <v>6.4782225726936499E-3</v>
      </c>
      <c r="N26" s="57"/>
      <c r="O26" s="67"/>
      <c r="P26" s="72"/>
      <c r="Q26" s="51" t="str">
        <f t="shared" si="9"/>
        <v>Aandelen ontwikkeld</v>
      </c>
      <c r="R26" s="72">
        <f t="shared" si="11"/>
        <v>0.20929680735890993</v>
      </c>
      <c r="S26" s="52">
        <f t="shared" si="12"/>
        <v>6.0184643142929539E-3</v>
      </c>
      <c r="T26" s="52">
        <f t="shared" si="13"/>
        <v>5.8499405652193415E-3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9.4570946585796095E-2</v>
      </c>
      <c r="C27" s="118">
        <v>2.0889633518643914E-2</v>
      </c>
      <c r="D27" s="119">
        <v>7.4767777694842788E-2</v>
      </c>
      <c r="E27" s="117">
        <v>9.0460647622342266E-2</v>
      </c>
      <c r="F27" s="120">
        <v>0.11454697270114993</v>
      </c>
      <c r="G27" s="2">
        <v>-3.8694548346292851E-2</v>
      </c>
      <c r="H27" s="2">
        <v>4.1043702036779726E-2</v>
      </c>
      <c r="I27" s="2">
        <v>1</v>
      </c>
      <c r="J27" s="2">
        <v>-0.39383375612893495</v>
      </c>
      <c r="K27" s="2">
        <v>-0.27652332071601698</v>
      </c>
      <c r="L27" s="2">
        <v>0.85044165719526843</v>
      </c>
      <c r="M27" s="2">
        <v>6.4782225726934305E-3</v>
      </c>
      <c r="N27" s="57"/>
      <c r="O27" s="67"/>
      <c r="P27" s="72"/>
      <c r="Q27" s="51" t="str">
        <f t="shared" si="9"/>
        <v>Aandelen opkomend</v>
      </c>
      <c r="R27" s="72">
        <f t="shared" si="11"/>
        <v>7.4767777694842788E-2</v>
      </c>
      <c r="S27" s="52">
        <f t="shared" si="12"/>
        <v>1.9803168890953307E-2</v>
      </c>
      <c r="T27" s="52">
        <f t="shared" si="13"/>
        <v>1.9976026115353832E-2</v>
      </c>
      <c r="U27" s="52"/>
      <c r="V27" s="52"/>
      <c r="W27" s="52"/>
    </row>
    <row r="28" spans="1:24">
      <c r="A28" s="59" t="str">
        <f t="shared" si="10"/>
        <v>Commodities</v>
      </c>
      <c r="B28" s="117">
        <v>5.70392310658192E-2</v>
      </c>
      <c r="C28" s="118">
        <v>4.2012219772981647E-2</v>
      </c>
      <c r="D28" s="119">
        <v>8.8424418153499884E-3</v>
      </c>
      <c r="E28" s="117">
        <v>5.3679539820596832E-2</v>
      </c>
      <c r="F28" s="120">
        <v>0.10190066859019628</v>
      </c>
      <c r="G28" s="2">
        <v>-0.83455259497948009</v>
      </c>
      <c r="H28" s="2">
        <v>-0.68172079663300711</v>
      </c>
      <c r="I28" s="2">
        <v>-0.34858579785808841</v>
      </c>
      <c r="J28" s="2">
        <v>-0.31958666590886725</v>
      </c>
      <c r="K28" s="2">
        <v>-0.19810348606667749</v>
      </c>
      <c r="L28" s="2">
        <v>0.85044165719526588</v>
      </c>
      <c r="M28" s="2">
        <v>6.4782225726934062E-3</v>
      </c>
      <c r="N28" s="57"/>
      <c r="O28" s="67"/>
      <c r="P28" s="72"/>
      <c r="Q28" s="51" t="str">
        <f t="shared" si="9"/>
        <v>Commodities</v>
      </c>
      <c r="R28" s="72">
        <f t="shared" si="11"/>
        <v>8.8424418153499884E-3</v>
      </c>
      <c r="S28" s="52">
        <f t="shared" si="12"/>
        <v>4.8196789250469212E-2</v>
      </c>
      <c r="T28" s="52">
        <f t="shared" si="13"/>
        <v>4.486143752437708E-2</v>
      </c>
      <c r="U28" s="52"/>
      <c r="V28" s="52"/>
      <c r="W28" s="52"/>
    </row>
    <row r="29" spans="1:24">
      <c r="A29" s="59" t="str">
        <f t="shared" si="10"/>
        <v>Hedge funds</v>
      </c>
      <c r="B29" s="117">
        <v>9.0113217643311788E-2</v>
      </c>
      <c r="C29" s="118">
        <v>1.4350195519938413E-3</v>
      </c>
      <c r="D29" s="119">
        <v>8.86738006419939E-2</v>
      </c>
      <c r="E29" s="117">
        <v>9.0384183815410191E-2</v>
      </c>
      <c r="F29" s="120">
        <v>9.1541336787712119E-2</v>
      </c>
      <c r="G29" s="2">
        <v>4.5956144091962529E-3</v>
      </c>
      <c r="H29" s="2">
        <v>2.4628501755428325E-2</v>
      </c>
      <c r="I29" s="2">
        <v>1.9385683403769761E-2</v>
      </c>
      <c r="J29" s="2">
        <v>0.16267410884725311</v>
      </c>
      <c r="K29" s="2">
        <v>0.66328082509026687</v>
      </c>
      <c r="L29" s="2">
        <v>0.62495897000243383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8.86738006419939E-2</v>
      </c>
      <c r="S29" s="52">
        <f t="shared" si="12"/>
        <v>1.4394170013178886E-3</v>
      </c>
      <c r="T29" s="52">
        <f t="shared" si="13"/>
        <v>1.4281191444003305E-3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0.13585982623732307</v>
      </c>
      <c r="C30" s="122">
        <v>2.1635173183222156E-3</v>
      </c>
      <c r="D30" s="123">
        <v>0.13368967907360524</v>
      </c>
      <c r="E30" s="121">
        <v>0.13626835029206469</v>
      </c>
      <c r="F30" s="124">
        <v>0.13801294010761442</v>
      </c>
      <c r="G30" s="65">
        <v>6.9286103794283975E-3</v>
      </c>
      <c r="H30" s="65">
        <v>3.7131333854067944E-2</v>
      </c>
      <c r="I30" s="65">
        <v>2.9226961899782855E-2</v>
      </c>
      <c r="J30" s="65">
        <v>0.24525676409402417</v>
      </c>
      <c r="K30" s="65">
        <v>1</v>
      </c>
      <c r="L30" s="65">
        <v>1</v>
      </c>
      <c r="M30" s="65">
        <v>-0.65250572170443966</v>
      </c>
      <c r="N30" s="66"/>
      <c r="O30" s="67"/>
      <c r="P30" s="72"/>
      <c r="Q30" s="51" t="str">
        <f t="shared" si="9"/>
        <v>Onroerend goed</v>
      </c>
      <c r="R30" s="72">
        <f t="shared" si="11"/>
        <v>0.13368967907360524</v>
      </c>
      <c r="S30" s="52">
        <f t="shared" si="12"/>
        <v>2.1701471637178282E-3</v>
      </c>
      <c r="T30" s="52">
        <f t="shared" si="13"/>
        <v>2.153113870291351E-3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0" t="s">
        <v>64</v>
      </c>
      <c r="E32" s="401"/>
      <c r="F32" s="402"/>
      <c r="G32" s="400" t="s">
        <v>65</v>
      </c>
      <c r="H32" s="401"/>
      <c r="I32" s="401"/>
      <c r="J32" s="401"/>
      <c r="K32" s="401"/>
      <c r="L32" s="401"/>
      <c r="M32" s="401"/>
      <c r="N32" s="402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0.73070869691160212</v>
      </c>
      <c r="H33" s="272">
        <v>0.15215391559746183</v>
      </c>
      <c r="I33" s="272">
        <v>8.5915320285596009E-2</v>
      </c>
      <c r="J33" s="272">
        <v>3.0855794689323646E-2</v>
      </c>
      <c r="K33" s="272">
        <v>3.662725160143987E-4</v>
      </c>
      <c r="L33" s="272">
        <v>1.1102230246251565E-16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0.30103210198205133</v>
      </c>
      <c r="C34" s="118">
        <v>3.7599035034668854E-2</v>
      </c>
      <c r="D34" s="119">
        <v>0.26114696864125692</v>
      </c>
      <c r="E34" s="117">
        <v>0.30906195434650086</v>
      </c>
      <c r="F34" s="120">
        <v>0.33818106722360297</v>
      </c>
      <c r="G34" s="2">
        <v>1</v>
      </c>
      <c r="H34" s="2">
        <v>-0.2073487531575581</v>
      </c>
      <c r="I34" s="2">
        <v>-0.60960178248750818</v>
      </c>
      <c r="J34" s="2">
        <v>-0.26984593091082548</v>
      </c>
      <c r="K34" s="2">
        <v>-0.26365222374511593</v>
      </c>
      <c r="L34" s="2">
        <v>0.882093575903245</v>
      </c>
      <c r="M34" s="2">
        <v>-6.7586433727505326E-3</v>
      </c>
      <c r="N34" s="57"/>
      <c r="O34" s="67"/>
      <c r="Q34" s="51" t="str">
        <f t="shared" ref="Q34:Q40" si="15">A34</f>
        <v>High Yield</v>
      </c>
      <c r="R34" s="72">
        <f>D34</f>
        <v>0.26114696864125692</v>
      </c>
      <c r="S34" s="52">
        <f>B34-D34</f>
        <v>3.988513334079441E-2</v>
      </c>
      <c r="T34" s="52">
        <f>F34-B34</f>
        <v>3.7148965241551646E-2</v>
      </c>
      <c r="U34" s="52"/>
    </row>
    <row r="35" spans="1:24">
      <c r="A35" s="59" t="str">
        <f t="shared" si="14"/>
        <v>Emerging market debt</v>
      </c>
      <c r="B35" s="117">
        <v>0.15145242673906539</v>
      </c>
      <c r="C35" s="118">
        <v>2.0326006745823855E-2</v>
      </c>
      <c r="D35" s="119">
        <v>0.13053278591258036</v>
      </c>
      <c r="E35" s="117">
        <v>0.14762192774644523</v>
      </c>
      <c r="F35" s="120">
        <v>0.17510375800085487</v>
      </c>
      <c r="G35" s="2">
        <v>3.7307772633889576E-2</v>
      </c>
      <c r="H35" s="2">
        <v>1</v>
      </c>
      <c r="I35" s="2">
        <v>0.23698283289500005</v>
      </c>
      <c r="J35" s="2">
        <v>-0.20279768689145175</v>
      </c>
      <c r="K35" s="2">
        <v>-0.23066848218252153</v>
      </c>
      <c r="L35" s="2">
        <v>0.88209357590324544</v>
      </c>
      <c r="M35" s="2">
        <v>-6.7586433727505118E-3</v>
      </c>
      <c r="N35" s="57"/>
      <c r="O35" s="67"/>
      <c r="Q35" s="51" t="str">
        <f t="shared" si="15"/>
        <v>Emerging market debt</v>
      </c>
      <c r="R35" s="72">
        <f t="shared" ref="R35:R40" si="16">D35</f>
        <v>0.13053278591258036</v>
      </c>
      <c r="S35" s="52">
        <f t="shared" ref="S35:S40" si="17">B35-D35</f>
        <v>2.0919640826485036E-2</v>
      </c>
      <c r="T35" s="52">
        <f t="shared" ref="T35:T40" si="18">F35-B35</f>
        <v>2.3651331261789477E-2</v>
      </c>
      <c r="U35" s="52"/>
    </row>
    <row r="36" spans="1:24">
      <c r="A36" s="59" t="str">
        <f t="shared" si="14"/>
        <v>Aandelen ontwikkeld</v>
      </c>
      <c r="B36" s="117">
        <v>0.20209965391761972</v>
      </c>
      <c r="C36" s="118">
        <v>1.6020548683364624E-2</v>
      </c>
      <c r="D36" s="119">
        <v>0.18606453435714926</v>
      </c>
      <c r="E36" s="117">
        <v>0.19914958075493766</v>
      </c>
      <c r="F36" s="120">
        <v>0.2172834336715298</v>
      </c>
      <c r="G36" s="2">
        <v>-1.4679945960211492E-2</v>
      </c>
      <c r="H36" s="2">
        <v>-0.47399936212206945</v>
      </c>
      <c r="I36" s="2">
        <v>1</v>
      </c>
      <c r="J36" s="2">
        <v>-0.33273638304676628</v>
      </c>
      <c r="K36" s="2">
        <v>-0.35302134210387048</v>
      </c>
      <c r="L36" s="2">
        <v>0.882093575903242</v>
      </c>
      <c r="M36" s="2">
        <v>-6.7586433727506263E-3</v>
      </c>
      <c r="N36" s="57"/>
      <c r="O36" s="67"/>
      <c r="Q36" s="51" t="str">
        <f t="shared" si="15"/>
        <v>Aandelen ontwikkeld</v>
      </c>
      <c r="R36" s="72">
        <f t="shared" si="16"/>
        <v>0.18606453435714926</v>
      </c>
      <c r="S36" s="52">
        <f t="shared" si="17"/>
        <v>1.6035119560470462E-2</v>
      </c>
      <c r="T36" s="52">
        <f t="shared" si="18"/>
        <v>1.5183779753910082E-2</v>
      </c>
      <c r="U36" s="52"/>
    </row>
    <row r="37" spans="1:24">
      <c r="A37" s="59" t="str">
        <f t="shared" si="14"/>
        <v>Aandelen opkomend</v>
      </c>
      <c r="B37" s="117">
        <v>0.14366576009784721</v>
      </c>
      <c r="C37" s="118">
        <v>3.524345857283101E-2</v>
      </c>
      <c r="D37" s="119">
        <v>0.10951180224236122</v>
      </c>
      <c r="E37" s="117">
        <v>0.13874961718474879</v>
      </c>
      <c r="F37" s="120">
        <v>0.17917673749635712</v>
      </c>
      <c r="G37" s="2">
        <v>-0.93150869682271353</v>
      </c>
      <c r="H37" s="2">
        <v>-0.17035190208549944</v>
      </c>
      <c r="I37" s="2">
        <v>-0.65955291500657276</v>
      </c>
      <c r="J37" s="2">
        <v>-0.27325683090891245</v>
      </c>
      <c r="K37" s="2">
        <v>-0.40249024796654304</v>
      </c>
      <c r="L37" s="2">
        <v>0.88209357590324178</v>
      </c>
      <c r="M37" s="2">
        <v>-6.7586433727506862E-3</v>
      </c>
      <c r="N37" s="57"/>
      <c r="O37" s="67"/>
      <c r="Q37" s="51" t="str">
        <f t="shared" si="15"/>
        <v>Aandelen opkomend</v>
      </c>
      <c r="R37" s="72">
        <f t="shared" si="16"/>
        <v>0.10951180224236122</v>
      </c>
      <c r="S37" s="52">
        <f t="shared" si="17"/>
        <v>3.4153957855485986E-2</v>
      </c>
      <c r="T37" s="52">
        <f t="shared" si="18"/>
        <v>3.5510977398509919E-2</v>
      </c>
      <c r="U37" s="52"/>
      <c r="X37" s="51"/>
    </row>
    <row r="38" spans="1:24">
      <c r="A38" s="59" t="str">
        <f t="shared" si="14"/>
        <v>Commodities</v>
      </c>
      <c r="B38" s="117">
        <v>7.4915183881585582E-3</v>
      </c>
      <c r="C38" s="118">
        <v>9.1199704730616209E-3</v>
      </c>
      <c r="D38" s="119">
        <v>1.0122561860540942E-4</v>
      </c>
      <c r="E38" s="117">
        <v>3.9323306626008175E-3</v>
      </c>
      <c r="F38" s="120">
        <v>1.6385202774057295E-2</v>
      </c>
      <c r="G38" s="2">
        <v>2.2642432956999636E-2</v>
      </c>
      <c r="H38" s="2">
        <v>-5.3542791241385453E-2</v>
      </c>
      <c r="I38" s="2">
        <v>3.6236414787625626E-2</v>
      </c>
      <c r="J38" s="2">
        <v>1</v>
      </c>
      <c r="K38" s="2">
        <v>-0.41344852909226254</v>
      </c>
      <c r="L38" s="2">
        <v>0.88209357590324111</v>
      </c>
      <c r="M38" s="2">
        <v>-6.7586433727507131E-3</v>
      </c>
      <c r="N38" s="57"/>
      <c r="O38" s="67"/>
      <c r="P38" s="72"/>
      <c r="Q38" s="51" t="str">
        <f t="shared" si="15"/>
        <v>Commodities</v>
      </c>
      <c r="R38" s="72">
        <f t="shared" si="16"/>
        <v>1.0122561860540942E-4</v>
      </c>
      <c r="S38" s="52">
        <f t="shared" si="17"/>
        <v>7.3902927695531492E-3</v>
      </c>
      <c r="T38" s="52">
        <f t="shared" si="18"/>
        <v>8.8936843858987372E-3</v>
      </c>
      <c r="U38" s="52"/>
      <c r="V38" s="52"/>
      <c r="W38" s="52"/>
    </row>
    <row r="39" spans="1:24">
      <c r="A39" s="59" t="str">
        <f t="shared" si="14"/>
        <v>Hedge funds</v>
      </c>
      <c r="B39" s="117">
        <v>7.7466151236979253E-2</v>
      </c>
      <c r="C39" s="118">
        <v>1.9141792879011862E-3</v>
      </c>
      <c r="D39" s="119">
        <v>7.564529505922428E-2</v>
      </c>
      <c r="E39" s="117">
        <v>7.7217082475490598E-2</v>
      </c>
      <c r="F39" s="120">
        <v>7.939279637666527E-2</v>
      </c>
      <c r="G39" s="2">
        <v>-4.5365678546032552E-2</v>
      </c>
      <c r="H39" s="2">
        <v>-3.7787141619514387E-2</v>
      </c>
      <c r="I39" s="2">
        <v>-1.6208556979738346E-3</v>
      </c>
      <c r="J39" s="2">
        <v>3.1358686918110452E-2</v>
      </c>
      <c r="K39" s="2">
        <v>0.66328082509026476</v>
      </c>
      <c r="L39" s="2">
        <v>0.7043311265204063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7.564529505922428E-2</v>
      </c>
      <c r="S39" s="52">
        <f t="shared" si="17"/>
        <v>1.8208561777549731E-3</v>
      </c>
      <c r="T39" s="52">
        <f t="shared" si="18"/>
        <v>1.9266451396860174E-3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0.11679238763827793</v>
      </c>
      <c r="C40" s="122">
        <v>2.8859258635144198E-3</v>
      </c>
      <c r="D40" s="123">
        <v>0.11404716101800406</v>
      </c>
      <c r="E40" s="121">
        <v>0.11641687736861983</v>
      </c>
      <c r="F40" s="124">
        <v>0.11969710773089297</v>
      </c>
      <c r="G40" s="65">
        <v>-6.8395884261931827E-2</v>
      </c>
      <c r="H40" s="65">
        <v>-5.6970049773973012E-2</v>
      </c>
      <c r="I40" s="65">
        <v>-2.4436944905700466E-3</v>
      </c>
      <c r="J40" s="65">
        <v>4.7278144839846339E-2</v>
      </c>
      <c r="K40" s="65">
        <v>1</v>
      </c>
      <c r="L40" s="65">
        <v>1</v>
      </c>
      <c r="M40" s="65">
        <v>-0.6745223470157844</v>
      </c>
      <c r="N40" s="66"/>
      <c r="O40" s="67"/>
      <c r="P40" s="72"/>
      <c r="Q40" s="51" t="str">
        <f t="shared" si="15"/>
        <v>Onroerend goed</v>
      </c>
      <c r="R40" s="72">
        <f t="shared" si="16"/>
        <v>0.11404716101800406</v>
      </c>
      <c r="S40" s="52">
        <f t="shared" si="17"/>
        <v>2.7452266202738634E-3</v>
      </c>
      <c r="T40" s="52">
        <f t="shared" si="18"/>
        <v>2.9047200926150402E-3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0" t="s">
        <v>64</v>
      </c>
      <c r="E42" s="401"/>
      <c r="F42" s="402"/>
      <c r="G42" s="400" t="s">
        <v>65</v>
      </c>
      <c r="H42" s="401"/>
      <c r="I42" s="401"/>
      <c r="J42" s="401"/>
      <c r="K42" s="401"/>
      <c r="L42" s="401"/>
      <c r="M42" s="401"/>
      <c r="N42" s="402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0.93604060378739984</v>
      </c>
      <c r="H43" s="272">
        <v>3.1935924849421427E-2</v>
      </c>
      <c r="I43" s="272">
        <v>1.9062739708928023E-2</v>
      </c>
      <c r="J43" s="272">
        <v>1.263371757573295E-2</v>
      </c>
      <c r="K43" s="272">
        <v>3.2701407851476461E-4</v>
      </c>
      <c r="L43" s="272">
        <v>-2.2204460492503131E-16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0.23903752199518952</v>
      </c>
      <c r="C44" s="118">
        <v>4.8261385816334594E-2</v>
      </c>
      <c r="D44" s="119">
        <v>0.18667738370713693</v>
      </c>
      <c r="E44" s="117">
        <v>0.23920126875990719</v>
      </c>
      <c r="F44" s="120">
        <v>0.29267100925565337</v>
      </c>
      <c r="G44" s="2">
        <v>-0.99744405517594859</v>
      </c>
      <c r="H44" s="2">
        <v>1</v>
      </c>
      <c r="I44" s="2">
        <v>-3.2714255859532283E-2</v>
      </c>
      <c r="J44" s="2">
        <v>-0.1531061648766858</v>
      </c>
      <c r="K44" s="2">
        <v>-0.29544263203855187</v>
      </c>
      <c r="L44" s="2">
        <v>0.87335655323569994</v>
      </c>
      <c r="M44" s="2">
        <v>-3.1742360277584231E-3</v>
      </c>
      <c r="N44" s="57"/>
      <c r="O44" s="67"/>
      <c r="Q44" s="51" t="str">
        <f t="shared" ref="Q44:Q50" si="19">A44</f>
        <v>High Yield</v>
      </c>
      <c r="R44" s="72">
        <f>D44</f>
        <v>0.18667738370713693</v>
      </c>
      <c r="S44" s="52">
        <f>B44-D44</f>
        <v>5.2360138288052582E-2</v>
      </c>
      <c r="T44" s="52">
        <f>F44-B44</f>
        <v>5.3633487260463852E-2</v>
      </c>
      <c r="U44" s="52"/>
    </row>
    <row r="45" spans="1:24">
      <c r="A45" s="59" t="str">
        <f t="shared" ref="A45:A50" si="20">A5</f>
        <v>Emerging market debt</v>
      </c>
      <c r="B45" s="117">
        <v>0.22518284625998192</v>
      </c>
      <c r="C45" s="118">
        <v>4.8377245592678801E-2</v>
      </c>
      <c r="D45" s="119">
        <v>0.17075513077932775</v>
      </c>
      <c r="E45" s="117">
        <v>0.22193318445574159</v>
      </c>
      <c r="F45" s="120">
        <v>0.2797392177700736</v>
      </c>
      <c r="G45" s="2">
        <v>1</v>
      </c>
      <c r="H45" s="2">
        <v>0.99484514724730044</v>
      </c>
      <c r="I45" s="2">
        <v>-4.0778783831232034E-2</v>
      </c>
      <c r="J45" s="2">
        <v>-0.147979139322202</v>
      </c>
      <c r="K45" s="2">
        <v>-0.29990882512013689</v>
      </c>
      <c r="L45" s="2">
        <v>0.87335655323569983</v>
      </c>
      <c r="M45" s="2">
        <v>-3.1742360277584244E-3</v>
      </c>
      <c r="N45" s="57"/>
      <c r="O45" s="67"/>
      <c r="Q45" s="51" t="str">
        <f t="shared" si="19"/>
        <v>Emerging market debt</v>
      </c>
      <c r="R45" s="72">
        <f t="shared" ref="R45:R50" si="21">D45</f>
        <v>0.17075513077932775</v>
      </c>
      <c r="S45" s="52">
        <f t="shared" ref="S45:S50" si="22">B45-D45</f>
        <v>5.4427715480654171E-2</v>
      </c>
      <c r="T45" s="52">
        <f t="shared" ref="T45:T50" si="23">F45-B45</f>
        <v>5.4556371510091684E-2</v>
      </c>
      <c r="U45" s="52"/>
    </row>
    <row r="46" spans="1:24">
      <c r="A46" s="59" t="str">
        <f t="shared" si="20"/>
        <v>Aandelen ontwikkeld</v>
      </c>
      <c r="B46" s="117">
        <v>0.2211444720497463</v>
      </c>
      <c r="C46" s="118">
        <v>9.0036992269772863E-3</v>
      </c>
      <c r="D46" s="119">
        <v>0.21263980419544706</v>
      </c>
      <c r="E46" s="117">
        <v>0.21960088105210507</v>
      </c>
      <c r="F46" s="120">
        <v>0.23008720968495083</v>
      </c>
      <c r="G46" s="2">
        <v>3.7454907469183034E-3</v>
      </c>
      <c r="H46" s="2">
        <v>-0.73228587702080572</v>
      </c>
      <c r="I46" s="2">
        <v>1</v>
      </c>
      <c r="J46" s="2">
        <v>-0.30534480663230384</v>
      </c>
      <c r="K46" s="2">
        <v>-0.37248465343561349</v>
      </c>
      <c r="L46" s="2">
        <v>0.87335655323569661</v>
      </c>
      <c r="M46" s="2">
        <v>-3.1742360277584635E-3</v>
      </c>
      <c r="N46" s="57"/>
      <c r="O46" s="67"/>
      <c r="Q46" s="51" t="str">
        <f t="shared" si="19"/>
        <v>Aandelen ontwikkeld</v>
      </c>
      <c r="R46" s="72">
        <f t="shared" si="21"/>
        <v>0.21263980419544706</v>
      </c>
      <c r="S46" s="52">
        <f t="shared" si="22"/>
        <v>8.504667854299236E-3</v>
      </c>
      <c r="T46" s="52">
        <f t="shared" si="23"/>
        <v>8.942737635204534E-3</v>
      </c>
      <c r="U46" s="52"/>
    </row>
    <row r="47" spans="1:24">
      <c r="A47" s="59" t="str">
        <f t="shared" si="20"/>
        <v>Aandelen opkomend</v>
      </c>
      <c r="B47" s="117">
        <v>7.9812238420134879E-2</v>
      </c>
      <c r="C47" s="118">
        <v>9.2166643901170405E-3</v>
      </c>
      <c r="D47" s="119">
        <v>7.1281953324095648E-2</v>
      </c>
      <c r="E47" s="117">
        <v>7.7503081909245847E-2</v>
      </c>
      <c r="F47" s="120">
        <v>8.9183553767527679E-2</v>
      </c>
      <c r="G47" s="2">
        <v>-4.5546438440945769E-3</v>
      </c>
      <c r="H47" s="2">
        <v>-0.88880066935557622</v>
      </c>
      <c r="I47" s="2">
        <v>-0.88978877750678964</v>
      </c>
      <c r="J47" s="2">
        <v>-0.39538783595395499</v>
      </c>
      <c r="K47" s="2">
        <v>-0.35152971081433976</v>
      </c>
      <c r="L47" s="2">
        <v>0.87335655323569816</v>
      </c>
      <c r="M47" s="2">
        <v>-3.1742360277584344E-3</v>
      </c>
      <c r="N47" s="57"/>
      <c r="O47" s="67"/>
      <c r="Q47" s="51" t="str">
        <f t="shared" si="19"/>
        <v>Aandelen opkomend</v>
      </c>
      <c r="R47" s="72">
        <f t="shared" si="21"/>
        <v>7.1281953324095648E-2</v>
      </c>
      <c r="S47" s="52">
        <f t="shared" si="22"/>
        <v>8.5302850960392307E-3</v>
      </c>
      <c r="T47" s="52">
        <f t="shared" si="23"/>
        <v>9.3713153473928001E-3</v>
      </c>
      <c r="U47" s="52"/>
    </row>
    <row r="48" spans="1:24">
      <c r="A48" s="59" t="str">
        <f t="shared" si="20"/>
        <v>Commodities</v>
      </c>
      <c r="B48" s="117">
        <v>5.6563231547459231E-3</v>
      </c>
      <c r="C48" s="118">
        <v>7.1758575129133185E-3</v>
      </c>
      <c r="D48" s="119">
        <v>4.8630023340398279E-5</v>
      </c>
      <c r="E48" s="117">
        <v>2.3242815082483289E-3</v>
      </c>
      <c r="F48" s="120">
        <v>1.2777245118062438E-2</v>
      </c>
      <c r="G48" s="2">
        <v>-5.3963325601545419E-3</v>
      </c>
      <c r="H48" s="2">
        <v>-0.27460434691934904</v>
      </c>
      <c r="I48" s="2">
        <v>-5.752970855265397E-2</v>
      </c>
      <c r="J48" s="2">
        <v>1</v>
      </c>
      <c r="K48" s="2">
        <v>-0.34391500368177291</v>
      </c>
      <c r="L48" s="2">
        <v>0.87335655323569938</v>
      </c>
      <c r="M48" s="2">
        <v>-3.1742360277584249E-3</v>
      </c>
      <c r="N48" s="57"/>
      <c r="O48" s="67"/>
      <c r="Q48" s="51" t="str">
        <f t="shared" si="19"/>
        <v>Commodities</v>
      </c>
      <c r="R48" s="72">
        <f t="shared" si="21"/>
        <v>4.8630023340398279E-5</v>
      </c>
      <c r="S48" s="52">
        <f t="shared" si="22"/>
        <v>5.6076931314055249E-3</v>
      </c>
      <c r="T48" s="52">
        <f t="shared" si="23"/>
        <v>7.1209219633165148E-3</v>
      </c>
      <c r="U48" s="52"/>
    </row>
    <row r="49" spans="1:27">
      <c r="A49" s="59" t="str">
        <f t="shared" si="20"/>
        <v>Hedge funds</v>
      </c>
      <c r="B49" s="117">
        <v>9.1386738782398502E-2</v>
      </c>
      <c r="C49" s="118">
        <v>6.5753512183363769E-4</v>
      </c>
      <c r="D49" s="119">
        <v>9.0720721043367702E-2</v>
      </c>
      <c r="E49" s="117">
        <v>9.1536902294493266E-2</v>
      </c>
      <c r="F49" s="120">
        <v>9.2002972861562948E-2</v>
      </c>
      <c r="G49" s="2">
        <v>1.4553588417438681E-3</v>
      </c>
      <c r="H49" s="2">
        <v>-3.954059613994252E-2</v>
      </c>
      <c r="I49" s="2">
        <v>8.2991914310298811E-3</v>
      </c>
      <c r="J49" s="2">
        <v>7.249583025497442E-4</v>
      </c>
      <c r="K49" s="2">
        <v>0.66328082509026676</v>
      </c>
      <c r="L49" s="2">
        <v>0.68242167019134614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9.0720721043367702E-2</v>
      </c>
      <c r="S49" s="52">
        <f t="shared" si="22"/>
        <v>6.6601773903079975E-4</v>
      </c>
      <c r="T49" s="52">
        <f t="shared" si="23"/>
        <v>6.1623407916444606E-4</v>
      </c>
      <c r="U49" s="52"/>
      <c r="X49" s="51"/>
    </row>
    <row r="50" spans="1:27">
      <c r="A50" s="60" t="str">
        <f t="shared" si="20"/>
        <v>Onroerend goed</v>
      </c>
      <c r="B50" s="121">
        <v>0.13777985933780215</v>
      </c>
      <c r="C50" s="122">
        <v>9.9133745008255295E-4</v>
      </c>
      <c r="D50" s="123">
        <v>0.1367757330102545</v>
      </c>
      <c r="E50" s="121">
        <v>0.13800625441273059</v>
      </c>
      <c r="F50" s="124">
        <v>0.1387089289804844</v>
      </c>
      <c r="G50" s="65">
        <v>2.1941819915354912E-3</v>
      </c>
      <c r="H50" s="65">
        <v>-5.9613657811623519E-2</v>
      </c>
      <c r="I50" s="65">
        <v>1.2512334319178297E-2</v>
      </c>
      <c r="J50" s="65">
        <v>1.0929884825950059E-3</v>
      </c>
      <c r="K50" s="65">
        <v>1</v>
      </c>
      <c r="L50" s="65">
        <v>1</v>
      </c>
      <c r="M50" s="65">
        <v>-0.66856047100954841</v>
      </c>
      <c r="N50" s="66"/>
      <c r="O50" s="67"/>
      <c r="P50" s="72"/>
      <c r="Q50" s="51" t="str">
        <f t="shared" si="19"/>
        <v>Onroerend goed</v>
      </c>
      <c r="R50" s="72">
        <f t="shared" si="21"/>
        <v>0.1367757330102545</v>
      </c>
      <c r="S50" s="52">
        <f t="shared" si="22"/>
        <v>1.0041263275476497E-3</v>
      </c>
      <c r="T50" s="52">
        <f t="shared" si="23"/>
        <v>9.2906964268224534E-4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0" t="s">
        <v>64</v>
      </c>
      <c r="E52" s="401"/>
      <c r="F52" s="402"/>
      <c r="G52" s="400" t="s">
        <v>65</v>
      </c>
      <c r="H52" s="401"/>
      <c r="I52" s="401"/>
      <c r="J52" s="401"/>
      <c r="K52" s="401"/>
      <c r="L52" s="401"/>
      <c r="M52" s="401"/>
      <c r="N52" s="402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0.92616541344261671</v>
      </c>
      <c r="H53" s="272">
        <v>3.9920778291881454E-2</v>
      </c>
      <c r="I53" s="272">
        <v>1.8666728442868985E-2</v>
      </c>
      <c r="J53" s="272">
        <v>1.4846394063423696E-2</v>
      </c>
      <c r="K53" s="272">
        <v>4.0068575920892968E-4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0.25666112708295841</v>
      </c>
      <c r="C54" s="118">
        <v>4.4742847891249313E-2</v>
      </c>
      <c r="D54" s="119">
        <v>0.20949723281385896</v>
      </c>
      <c r="E54" s="117">
        <v>0.25747487343506581</v>
      </c>
      <c r="F54" s="120">
        <v>0.3036576348336576</v>
      </c>
      <c r="G54" s="2">
        <v>-0.99897908300297777</v>
      </c>
      <c r="H54" s="2">
        <v>-0.90376949652280769</v>
      </c>
      <c r="I54" s="2">
        <v>0.24685635595375247</v>
      </c>
      <c r="J54" s="2">
        <v>-1.1162517732510455E-2</v>
      </c>
      <c r="K54" s="2">
        <v>-0.30150462421415231</v>
      </c>
      <c r="L54" s="2">
        <v>0.85364964397050513</v>
      </c>
      <c r="M54" s="2">
        <v>5.1044720953976703E-3</v>
      </c>
      <c r="N54" s="57"/>
      <c r="O54" s="67"/>
      <c r="P54" s="72"/>
      <c r="Q54" s="51" t="str">
        <f t="shared" ref="Q54:Q60" si="25">A54</f>
        <v>High Yield</v>
      </c>
      <c r="R54" s="72">
        <f>D54</f>
        <v>0.20949723281385896</v>
      </c>
      <c r="S54" s="52">
        <f>B54-D54</f>
        <v>4.7163894269099449E-2</v>
      </c>
      <c r="T54" s="52">
        <f>F54-B54</f>
        <v>4.699650775069919E-2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0.20965548727937416</v>
      </c>
      <c r="C55" s="118">
        <v>4.4779292449798024E-2</v>
      </c>
      <c r="D55" s="119">
        <v>0.15968935194608702</v>
      </c>
      <c r="E55" s="117">
        <v>0.20427778327444807</v>
      </c>
      <c r="F55" s="120">
        <v>0.25513473030509903</v>
      </c>
      <c r="G55" s="2">
        <v>1</v>
      </c>
      <c r="H55" s="2">
        <v>-0.89407662997378101</v>
      </c>
      <c r="I55" s="2">
        <v>0.26306356041628354</v>
      </c>
      <c r="J55" s="2">
        <v>-3.1259158540126127E-3</v>
      </c>
      <c r="K55" s="2">
        <v>-0.30608737675436587</v>
      </c>
      <c r="L55" s="2">
        <v>0.85364964397050536</v>
      </c>
      <c r="M55" s="2">
        <v>5.1044720953976729E-3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0.15968935194608702</v>
      </c>
      <c r="S55" s="52">
        <f t="shared" ref="S55:S60" si="27">B55-D55</f>
        <v>4.9966135333287143E-2</v>
      </c>
      <c r="T55" s="52">
        <f t="shared" ref="T55:T60" si="28">F55-B55</f>
        <v>4.5479243025724869E-2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0.22164057674671286</v>
      </c>
      <c r="C56" s="118">
        <v>9.6924311842609429E-3</v>
      </c>
      <c r="D56" s="119">
        <v>0.21276853393409331</v>
      </c>
      <c r="E56" s="117">
        <v>0.21973737471716789</v>
      </c>
      <c r="F56" s="120">
        <v>0.23097911537926746</v>
      </c>
      <c r="G56" s="2">
        <v>-1.1492218970859915E-2</v>
      </c>
      <c r="H56" s="2">
        <v>1</v>
      </c>
      <c r="I56" s="2">
        <v>1</v>
      </c>
      <c r="J56" s="2">
        <v>2.3913706371664747E-2</v>
      </c>
      <c r="K56" s="2">
        <v>-0.35272162687938824</v>
      </c>
      <c r="L56" s="2">
        <v>0.85364964397050591</v>
      </c>
      <c r="M56" s="2">
        <v>5.1044720953976365E-3</v>
      </c>
      <c r="N56" s="57"/>
      <c r="O56" s="67"/>
      <c r="Q56" s="51" t="str">
        <f t="shared" si="25"/>
        <v>Aandelen ontwikkeld</v>
      </c>
      <c r="R56" s="72">
        <f t="shared" si="26"/>
        <v>0.21276853393409331</v>
      </c>
      <c r="S56" s="52">
        <f t="shared" si="27"/>
        <v>8.8720428126195516E-3</v>
      </c>
      <c r="T56" s="52">
        <f t="shared" si="28"/>
        <v>9.3385386325545994E-3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7.6812360350213993E-2</v>
      </c>
      <c r="C57" s="118">
        <v>7.6790594642651092E-3</v>
      </c>
      <c r="D57" s="119">
        <v>6.9766047595129166E-2</v>
      </c>
      <c r="E57" s="117">
        <v>7.5391899999857515E-2</v>
      </c>
      <c r="F57" s="120">
        <v>8.530086728207241E-2</v>
      </c>
      <c r="G57" s="2">
        <v>7.2320050512649928E-3</v>
      </c>
      <c r="H57" s="2">
        <v>0.38282427346447334</v>
      </c>
      <c r="I57" s="2">
        <v>-0.73875153639514402</v>
      </c>
      <c r="J57" s="2">
        <v>-0.99065903385038012</v>
      </c>
      <c r="K57" s="2">
        <v>-0.36344709605404607</v>
      </c>
      <c r="L57" s="2">
        <v>0.8536496439705058</v>
      </c>
      <c r="M57" s="2">
        <v>5.1044720953976538E-3</v>
      </c>
      <c r="N57" s="57"/>
      <c r="O57" s="67"/>
      <c r="Q57" s="51" t="str">
        <f t="shared" si="25"/>
        <v>Aandelen opkomend</v>
      </c>
      <c r="R57" s="72">
        <f t="shared" si="26"/>
        <v>6.9766047595129166E-2</v>
      </c>
      <c r="S57" s="52">
        <f t="shared" si="27"/>
        <v>7.046312755084827E-3</v>
      </c>
      <c r="T57" s="52">
        <f t="shared" si="28"/>
        <v>8.4885069318584166E-3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5.8281715684986579E-3</v>
      </c>
      <c r="C58" s="118">
        <v>7.6466170169399586E-3</v>
      </c>
      <c r="D58" s="119">
        <v>6.3609621127734106E-5</v>
      </c>
      <c r="E58" s="117">
        <v>2.6647216469370648E-3</v>
      </c>
      <c r="F58" s="120">
        <v>1.2593235291182099E-2</v>
      </c>
      <c r="G58" s="2">
        <v>-5.4854053917804805E-4</v>
      </c>
      <c r="H58" s="2">
        <v>0.34316086211830055</v>
      </c>
      <c r="I58" s="2">
        <v>-0.75237228731215211</v>
      </c>
      <c r="J58" s="2">
        <v>1</v>
      </c>
      <c r="K58" s="2">
        <v>-0.33952010118824405</v>
      </c>
      <c r="L58" s="2">
        <v>0.85364964397050558</v>
      </c>
      <c r="M58" s="2">
        <v>5.1044720953976851E-3</v>
      </c>
      <c r="N58" s="57"/>
      <c r="O58" s="67"/>
      <c r="Q58" s="51" t="str">
        <f t="shared" si="25"/>
        <v>Commodities</v>
      </c>
      <c r="R58" s="72">
        <f t="shared" si="26"/>
        <v>6.3609621127734106E-5</v>
      </c>
      <c r="S58" s="52">
        <f t="shared" si="27"/>
        <v>5.7645619473709235E-3</v>
      </c>
      <c r="T58" s="52">
        <f t="shared" si="28"/>
        <v>6.7650637226834408E-3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9.1480722468784956E-2</v>
      </c>
      <c r="C59" s="118">
        <v>6.548669764148635E-4</v>
      </c>
      <c r="D59" s="119">
        <v>9.0818563076099479E-2</v>
      </c>
      <c r="E59" s="117">
        <v>9.1609217290221312E-2</v>
      </c>
      <c r="F59" s="120">
        <v>9.2098229372195695E-2</v>
      </c>
      <c r="G59" s="2">
        <v>1.5105085798132127E-3</v>
      </c>
      <c r="H59" s="2">
        <v>2.8656626485508884E-2</v>
      </c>
      <c r="I59" s="2">
        <v>-7.4954798142034072E-3</v>
      </c>
      <c r="J59" s="2">
        <v>-7.5633305090410255E-3</v>
      </c>
      <c r="K59" s="2">
        <v>0.66328082509026665</v>
      </c>
      <c r="L59" s="2">
        <v>0.63300350059731614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9.0818563076099479E-2</v>
      </c>
      <c r="S59" s="52">
        <f t="shared" si="27"/>
        <v>6.6215939268547686E-4</v>
      </c>
      <c r="T59" s="52">
        <f t="shared" si="28"/>
        <v>6.1750690341073888E-4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0.13792155450345672</v>
      </c>
      <c r="C60" s="122">
        <v>9.8731480188009595E-4</v>
      </c>
      <c r="D60" s="123">
        <v>0.13692324523890739</v>
      </c>
      <c r="E60" s="121">
        <v>0.13811528062454401</v>
      </c>
      <c r="F60" s="124">
        <v>0.13885254312856379</v>
      </c>
      <c r="G60" s="65">
        <v>2.2773288819372172E-3</v>
      </c>
      <c r="H60" s="65">
        <v>4.3204364428308203E-2</v>
      </c>
      <c r="I60" s="65">
        <v>-1.1300612848537216E-2</v>
      </c>
      <c r="J60" s="65">
        <v>-1.1402908425721055E-2</v>
      </c>
      <c r="K60" s="65">
        <v>1</v>
      </c>
      <c r="L60" s="65">
        <v>1</v>
      </c>
      <c r="M60" s="65">
        <v>-0.65479065453178364</v>
      </c>
      <c r="N60" s="66"/>
      <c r="O60" s="67"/>
      <c r="Q60" s="51" t="str">
        <f t="shared" si="25"/>
        <v>Onroerend goed</v>
      </c>
      <c r="R60" s="72">
        <f t="shared" si="26"/>
        <v>0.13692324523890739</v>
      </c>
      <c r="S60" s="52">
        <f t="shared" si="27"/>
        <v>9.9830926454932967E-4</v>
      </c>
      <c r="T60" s="52">
        <f t="shared" si="28"/>
        <v>9.3098862510707092E-4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0" t="s">
        <v>64</v>
      </c>
      <c r="E62" s="401"/>
      <c r="F62" s="402"/>
      <c r="G62" s="400" t="s">
        <v>65</v>
      </c>
      <c r="H62" s="401"/>
      <c r="I62" s="401"/>
      <c r="J62" s="401"/>
      <c r="K62" s="401"/>
      <c r="L62" s="401"/>
      <c r="M62" s="401"/>
      <c r="N62" s="402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0.93604060378739984</v>
      </c>
      <c r="H63" s="272">
        <v>3.1935924849421427E-2</v>
      </c>
      <c r="I63" s="272">
        <v>1.9062739708928023E-2</v>
      </c>
      <c r="J63" s="272">
        <v>1.263371757573295E-2</v>
      </c>
      <c r="K63" s="272">
        <v>3.2701407851476461E-4</v>
      </c>
      <c r="L63" s="272">
        <v>-2.2204460492503131E-16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0.23903752199518952</v>
      </c>
      <c r="C64" s="118">
        <v>4.8261385816334594E-2</v>
      </c>
      <c r="D64" s="119">
        <v>0.18667738370713693</v>
      </c>
      <c r="E64" s="117">
        <v>0.23920126875990719</v>
      </c>
      <c r="F64" s="120">
        <v>0.29267100925565337</v>
      </c>
      <c r="G64" s="2">
        <v>-0.99744405517594859</v>
      </c>
      <c r="H64" s="2">
        <v>1</v>
      </c>
      <c r="I64" s="2">
        <v>-3.2714255859532283E-2</v>
      </c>
      <c r="J64" s="2">
        <v>-0.1531061648766858</v>
      </c>
      <c r="K64" s="2">
        <v>-0.29544263203855187</v>
      </c>
      <c r="L64" s="2">
        <v>0.87335655323569994</v>
      </c>
      <c r="M64" s="2">
        <v>-3.1742360277584231E-3</v>
      </c>
      <c r="N64" s="57"/>
      <c r="O64" s="67"/>
      <c r="Q64" s="51" t="str">
        <f t="shared" ref="Q64:Q70" si="32">A64</f>
        <v>High Yield</v>
      </c>
      <c r="R64" s="72">
        <f>D64</f>
        <v>0.18667738370713693</v>
      </c>
      <c r="S64" s="52">
        <f>B64-D64</f>
        <v>5.2360138288052582E-2</v>
      </c>
      <c r="T64" s="52">
        <f>F64-B64</f>
        <v>5.3633487260463852E-2</v>
      </c>
      <c r="U64" s="52"/>
    </row>
    <row r="65" spans="1:24">
      <c r="A65" s="59" t="str">
        <f t="shared" si="31"/>
        <v>Emerging market debt</v>
      </c>
      <c r="B65" s="117">
        <v>0.22518284625998192</v>
      </c>
      <c r="C65" s="118">
        <v>4.8377245592678801E-2</v>
      </c>
      <c r="D65" s="119">
        <v>0.17075513077932775</v>
      </c>
      <c r="E65" s="117">
        <v>0.22193318445574159</v>
      </c>
      <c r="F65" s="120">
        <v>0.2797392177700736</v>
      </c>
      <c r="G65" s="2">
        <v>1</v>
      </c>
      <c r="H65" s="2">
        <v>0.99484514724730044</v>
      </c>
      <c r="I65" s="2">
        <v>-4.0778783831232034E-2</v>
      </c>
      <c r="J65" s="2">
        <v>-0.147979139322202</v>
      </c>
      <c r="K65" s="2">
        <v>-0.29990882512013689</v>
      </c>
      <c r="L65" s="2">
        <v>0.87335655323569983</v>
      </c>
      <c r="M65" s="2">
        <v>-3.1742360277584244E-3</v>
      </c>
      <c r="N65" s="57"/>
      <c r="O65" s="67"/>
      <c r="Q65" s="51" t="str">
        <f t="shared" si="32"/>
        <v>Emerging market debt</v>
      </c>
      <c r="R65" s="72">
        <f t="shared" ref="R65:R70" si="33">D65</f>
        <v>0.17075513077932775</v>
      </c>
      <c r="S65" s="52">
        <f t="shared" ref="S65:S70" si="34">B65-D65</f>
        <v>5.4427715480654171E-2</v>
      </c>
      <c r="T65" s="52">
        <f t="shared" ref="T65:T70" si="35">F65-B65</f>
        <v>5.4556371510091684E-2</v>
      </c>
      <c r="U65" s="52"/>
    </row>
    <row r="66" spans="1:24">
      <c r="A66" s="59" t="str">
        <f t="shared" si="31"/>
        <v>Aandelen ontwikkeld</v>
      </c>
      <c r="B66" s="117">
        <v>0.2211444720497463</v>
      </c>
      <c r="C66" s="118">
        <v>9.0036992269772863E-3</v>
      </c>
      <c r="D66" s="119">
        <v>0.21263980419544706</v>
      </c>
      <c r="E66" s="117">
        <v>0.21960088105210507</v>
      </c>
      <c r="F66" s="120">
        <v>0.23008720968495083</v>
      </c>
      <c r="G66" s="2">
        <v>3.7454907469183034E-3</v>
      </c>
      <c r="H66" s="2">
        <v>-0.73228587702080572</v>
      </c>
      <c r="I66" s="2">
        <v>1</v>
      </c>
      <c r="J66" s="2">
        <v>-0.30534480663230384</v>
      </c>
      <c r="K66" s="2">
        <v>-0.37248465343561349</v>
      </c>
      <c r="L66" s="2">
        <v>0.87335655323569661</v>
      </c>
      <c r="M66" s="2">
        <v>-3.1742360277584635E-3</v>
      </c>
      <c r="N66" s="57"/>
      <c r="O66" s="67"/>
      <c r="Q66" s="51" t="str">
        <f t="shared" si="32"/>
        <v>Aandelen ontwikkeld</v>
      </c>
      <c r="R66" s="72">
        <f t="shared" si="33"/>
        <v>0.21263980419544706</v>
      </c>
      <c r="S66" s="52">
        <f t="shared" si="34"/>
        <v>8.504667854299236E-3</v>
      </c>
      <c r="T66" s="52">
        <f t="shared" si="35"/>
        <v>8.942737635204534E-3</v>
      </c>
      <c r="U66" s="52"/>
    </row>
    <row r="67" spans="1:24">
      <c r="A67" s="59" t="str">
        <f t="shared" si="31"/>
        <v>Aandelen opkomend</v>
      </c>
      <c r="B67" s="117">
        <v>7.9812238420134879E-2</v>
      </c>
      <c r="C67" s="118">
        <v>9.2166643901170405E-3</v>
      </c>
      <c r="D67" s="119">
        <v>7.1281953324095648E-2</v>
      </c>
      <c r="E67" s="117">
        <v>7.7503081909245847E-2</v>
      </c>
      <c r="F67" s="120">
        <v>8.9183553767527679E-2</v>
      </c>
      <c r="G67" s="2">
        <v>-4.5546438440945769E-3</v>
      </c>
      <c r="H67" s="2">
        <v>-0.88880066935557622</v>
      </c>
      <c r="I67" s="2">
        <v>-0.88978877750678964</v>
      </c>
      <c r="J67" s="2">
        <v>-0.39538783595395499</v>
      </c>
      <c r="K67" s="2">
        <v>-0.35152971081433976</v>
      </c>
      <c r="L67" s="2">
        <v>0.87335655323569816</v>
      </c>
      <c r="M67" s="2">
        <v>-3.1742360277584344E-3</v>
      </c>
      <c r="N67" s="57"/>
      <c r="O67" s="67"/>
      <c r="Q67" s="51" t="str">
        <f t="shared" si="32"/>
        <v>Aandelen opkomend</v>
      </c>
      <c r="R67" s="72">
        <f t="shared" si="33"/>
        <v>7.1281953324095648E-2</v>
      </c>
      <c r="S67" s="52">
        <f t="shared" si="34"/>
        <v>8.5302850960392307E-3</v>
      </c>
      <c r="T67" s="52">
        <f t="shared" si="35"/>
        <v>9.3713153473928001E-3</v>
      </c>
      <c r="U67" s="52"/>
    </row>
    <row r="68" spans="1:24">
      <c r="A68" s="59" t="str">
        <f t="shared" si="31"/>
        <v>Commodities</v>
      </c>
      <c r="B68" s="117">
        <v>5.6563231547459231E-3</v>
      </c>
      <c r="C68" s="118">
        <v>7.1758575129133185E-3</v>
      </c>
      <c r="D68" s="119">
        <v>4.8630023340398279E-5</v>
      </c>
      <c r="E68" s="117">
        <v>2.3242815082483289E-3</v>
      </c>
      <c r="F68" s="120">
        <v>1.2777245118062438E-2</v>
      </c>
      <c r="G68" s="2">
        <v>-5.3963325601545419E-3</v>
      </c>
      <c r="H68" s="2">
        <v>-0.27460434691934904</v>
      </c>
      <c r="I68" s="2">
        <v>-5.752970855265397E-2</v>
      </c>
      <c r="J68" s="2">
        <v>1</v>
      </c>
      <c r="K68" s="2">
        <v>-0.34391500368177291</v>
      </c>
      <c r="L68" s="2">
        <v>0.87335655323569938</v>
      </c>
      <c r="M68" s="2">
        <v>-3.1742360277584249E-3</v>
      </c>
      <c r="N68" s="57"/>
      <c r="O68" s="67"/>
      <c r="Q68" s="51" t="str">
        <f t="shared" si="32"/>
        <v>Commodities</v>
      </c>
      <c r="R68" s="72">
        <f t="shared" si="33"/>
        <v>4.8630023340398279E-5</v>
      </c>
      <c r="S68" s="52">
        <f t="shared" si="34"/>
        <v>5.6076931314055249E-3</v>
      </c>
      <c r="T68" s="52">
        <f t="shared" si="35"/>
        <v>7.1209219633165148E-3</v>
      </c>
      <c r="U68" s="52"/>
    </row>
    <row r="69" spans="1:24">
      <c r="A69" s="59" t="str">
        <f t="shared" si="31"/>
        <v>Hedge funds</v>
      </c>
      <c r="B69" s="117">
        <v>9.1386738782398502E-2</v>
      </c>
      <c r="C69" s="118">
        <v>6.5753512183363769E-4</v>
      </c>
      <c r="D69" s="119">
        <v>9.0720721043367702E-2</v>
      </c>
      <c r="E69" s="117">
        <v>9.1536902294493266E-2</v>
      </c>
      <c r="F69" s="120">
        <v>9.2002972861562948E-2</v>
      </c>
      <c r="G69" s="2">
        <v>1.4553588417438681E-3</v>
      </c>
      <c r="H69" s="2">
        <v>-3.954059613994252E-2</v>
      </c>
      <c r="I69" s="2">
        <v>8.2991914310298811E-3</v>
      </c>
      <c r="J69" s="2">
        <v>7.249583025497442E-4</v>
      </c>
      <c r="K69" s="2">
        <v>0.66328082509026676</v>
      </c>
      <c r="L69" s="2">
        <v>0.68242167019134614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9.0720721043367702E-2</v>
      </c>
      <c r="S69" s="52">
        <f t="shared" si="34"/>
        <v>6.6601773903079975E-4</v>
      </c>
      <c r="T69" s="52">
        <f t="shared" si="35"/>
        <v>6.1623407916444606E-4</v>
      </c>
      <c r="U69" s="52"/>
      <c r="X69" s="51"/>
    </row>
    <row r="70" spans="1:24">
      <c r="A70" s="60" t="str">
        <f t="shared" si="31"/>
        <v>Onroerend goed</v>
      </c>
      <c r="B70" s="121">
        <v>0.13777985933780215</v>
      </c>
      <c r="C70" s="122">
        <v>9.9133745008255295E-4</v>
      </c>
      <c r="D70" s="123">
        <v>0.1367757330102545</v>
      </c>
      <c r="E70" s="121">
        <v>0.13800625441273059</v>
      </c>
      <c r="F70" s="124">
        <v>0.1387089289804844</v>
      </c>
      <c r="G70" s="65">
        <v>2.1941819915354912E-3</v>
      </c>
      <c r="H70" s="65">
        <v>-5.9613657811623519E-2</v>
      </c>
      <c r="I70" s="65">
        <v>1.2512334319178297E-2</v>
      </c>
      <c r="J70" s="65">
        <v>1.0929884825950059E-3</v>
      </c>
      <c r="K70" s="65">
        <v>1</v>
      </c>
      <c r="L70" s="65">
        <v>1</v>
      </c>
      <c r="M70" s="65">
        <v>-0.66856047100954841</v>
      </c>
      <c r="N70" s="66"/>
      <c r="O70" s="67"/>
      <c r="P70" s="72"/>
      <c r="Q70" s="51" t="str">
        <f t="shared" si="32"/>
        <v>Onroerend goed</v>
      </c>
      <c r="R70" s="72">
        <f t="shared" si="33"/>
        <v>0.1367757330102545</v>
      </c>
      <c r="S70" s="52">
        <f t="shared" si="34"/>
        <v>1.0041263275476497E-3</v>
      </c>
      <c r="T70" s="52">
        <f t="shared" si="35"/>
        <v>9.2906964268224534E-4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0" t="s">
        <v>64</v>
      </c>
      <c r="E72" s="401"/>
      <c r="F72" s="402"/>
      <c r="G72" s="400" t="s">
        <v>65</v>
      </c>
      <c r="H72" s="401"/>
      <c r="I72" s="401"/>
      <c r="J72" s="401"/>
      <c r="K72" s="401"/>
      <c r="L72" s="401"/>
      <c r="M72" s="401"/>
      <c r="N72" s="402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0.73070869691160212</v>
      </c>
      <c r="H73" s="272">
        <v>0.15215391559746183</v>
      </c>
      <c r="I73" s="272">
        <v>8.5915320285596009E-2</v>
      </c>
      <c r="J73" s="272">
        <v>3.0855794689323646E-2</v>
      </c>
      <c r="K73" s="272">
        <v>3.662725160143987E-4</v>
      </c>
      <c r="L73" s="272">
        <v>1.1102230246251565E-16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0.30103210198205133</v>
      </c>
      <c r="C74" s="118">
        <v>3.7599035034668854E-2</v>
      </c>
      <c r="D74" s="119">
        <v>0.26114696864125692</v>
      </c>
      <c r="E74" s="117">
        <v>0.30906195434650086</v>
      </c>
      <c r="F74" s="120">
        <v>0.33818106722360297</v>
      </c>
      <c r="G74" s="2">
        <v>1</v>
      </c>
      <c r="H74" s="2">
        <v>-0.2073487531575581</v>
      </c>
      <c r="I74" s="2">
        <v>-0.60960178248750818</v>
      </c>
      <c r="J74" s="2">
        <v>-0.26984593091082548</v>
      </c>
      <c r="K74" s="2">
        <v>-0.26365222374511593</v>
      </c>
      <c r="L74" s="2">
        <v>0.882093575903245</v>
      </c>
      <c r="M74" s="2">
        <v>-6.7586433727505326E-3</v>
      </c>
      <c r="N74" s="57"/>
      <c r="O74" s="67"/>
      <c r="P74" s="72"/>
      <c r="Q74" s="51" t="str">
        <f t="shared" ref="Q74:Q80" si="37">A74</f>
        <v>High Yield</v>
      </c>
      <c r="R74" s="72">
        <f>D74</f>
        <v>0.26114696864125692</v>
      </c>
      <c r="S74" s="52">
        <f>B74-D74</f>
        <v>3.988513334079441E-2</v>
      </c>
      <c r="T74" s="52">
        <f>F74-B74</f>
        <v>3.7148965241551646E-2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0.15145242673906539</v>
      </c>
      <c r="C75" s="118">
        <v>2.0326006745823855E-2</v>
      </c>
      <c r="D75" s="119">
        <v>0.13053278591258036</v>
      </c>
      <c r="E75" s="117">
        <v>0.14762192774644523</v>
      </c>
      <c r="F75" s="120">
        <v>0.17510375800085487</v>
      </c>
      <c r="G75" s="2">
        <v>3.7307772633889576E-2</v>
      </c>
      <c r="H75" s="2">
        <v>1</v>
      </c>
      <c r="I75" s="2">
        <v>0.23698283289500005</v>
      </c>
      <c r="J75" s="2">
        <v>-0.20279768689145175</v>
      </c>
      <c r="K75" s="2">
        <v>-0.23066848218252153</v>
      </c>
      <c r="L75" s="2">
        <v>0.88209357590324544</v>
      </c>
      <c r="M75" s="2">
        <v>-6.7586433727505118E-3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0.13053278591258036</v>
      </c>
      <c r="S75" s="52">
        <f t="shared" ref="S75:S80" si="39">B75-D75</f>
        <v>2.0919640826485036E-2</v>
      </c>
      <c r="T75" s="52">
        <f t="shared" ref="T75:T80" si="40">F75-B75</f>
        <v>2.3651331261789477E-2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0.20209965391761972</v>
      </c>
      <c r="C76" s="118">
        <v>1.6020548683364624E-2</v>
      </c>
      <c r="D76" s="119">
        <v>0.18606453435714926</v>
      </c>
      <c r="E76" s="117">
        <v>0.19914958075493766</v>
      </c>
      <c r="F76" s="120">
        <v>0.2172834336715298</v>
      </c>
      <c r="G76" s="2">
        <v>-1.4679945960211492E-2</v>
      </c>
      <c r="H76" s="2">
        <v>-0.47399936212206945</v>
      </c>
      <c r="I76" s="2">
        <v>1</v>
      </c>
      <c r="J76" s="2">
        <v>-0.33273638304676628</v>
      </c>
      <c r="K76" s="2">
        <v>-0.35302134210387048</v>
      </c>
      <c r="L76" s="2">
        <v>0.882093575903242</v>
      </c>
      <c r="M76" s="2">
        <v>-6.7586433727506263E-3</v>
      </c>
      <c r="N76" s="57"/>
      <c r="O76" s="67"/>
      <c r="Q76" s="51" t="str">
        <f t="shared" si="37"/>
        <v>Aandelen ontwikkeld</v>
      </c>
      <c r="R76" s="72">
        <f t="shared" si="38"/>
        <v>0.18606453435714926</v>
      </c>
      <c r="S76" s="52">
        <f t="shared" si="39"/>
        <v>1.6035119560470462E-2</v>
      </c>
      <c r="T76" s="52">
        <f t="shared" si="40"/>
        <v>1.5183779753910082E-2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0.14366576009784721</v>
      </c>
      <c r="C77" s="118">
        <v>3.524345857283101E-2</v>
      </c>
      <c r="D77" s="119">
        <v>0.10951180224236122</v>
      </c>
      <c r="E77" s="117">
        <v>0.13874961718474879</v>
      </c>
      <c r="F77" s="120">
        <v>0.17917673749635712</v>
      </c>
      <c r="G77" s="2">
        <v>-0.93150869682271353</v>
      </c>
      <c r="H77" s="2">
        <v>-0.17035190208549944</v>
      </c>
      <c r="I77" s="2">
        <v>-0.65955291500657276</v>
      </c>
      <c r="J77" s="2">
        <v>-0.27325683090891245</v>
      </c>
      <c r="K77" s="2">
        <v>-0.40249024796654304</v>
      </c>
      <c r="L77" s="2">
        <v>0.88209357590324178</v>
      </c>
      <c r="M77" s="2">
        <v>-6.7586433727506862E-3</v>
      </c>
      <c r="N77" s="57"/>
      <c r="O77" s="67"/>
      <c r="Q77" s="51" t="str">
        <f t="shared" si="37"/>
        <v>Aandelen opkomend</v>
      </c>
      <c r="R77" s="72">
        <f t="shared" si="38"/>
        <v>0.10951180224236122</v>
      </c>
      <c r="S77" s="52">
        <f t="shared" si="39"/>
        <v>3.4153957855485986E-2</v>
      </c>
      <c r="T77" s="52">
        <f t="shared" si="40"/>
        <v>3.5510977398509919E-2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7.4915183881585582E-3</v>
      </c>
      <c r="C78" s="118">
        <v>9.1199704730616209E-3</v>
      </c>
      <c r="D78" s="119">
        <v>1.0122561860540942E-4</v>
      </c>
      <c r="E78" s="117">
        <v>3.9323306626008175E-3</v>
      </c>
      <c r="F78" s="120">
        <v>1.6385202774057295E-2</v>
      </c>
      <c r="G78" s="2">
        <v>2.2642432956999636E-2</v>
      </c>
      <c r="H78" s="2">
        <v>-5.3542791241385453E-2</v>
      </c>
      <c r="I78" s="2">
        <v>3.6236414787625626E-2</v>
      </c>
      <c r="J78" s="2">
        <v>1</v>
      </c>
      <c r="K78" s="2">
        <v>-0.41344852909226254</v>
      </c>
      <c r="L78" s="2">
        <v>0.88209357590324111</v>
      </c>
      <c r="M78" s="2">
        <v>-6.7586433727507131E-3</v>
      </c>
      <c r="N78" s="57"/>
      <c r="O78" s="67"/>
      <c r="Q78" s="51" t="str">
        <f t="shared" si="37"/>
        <v>Commodities</v>
      </c>
      <c r="R78" s="72">
        <f t="shared" si="38"/>
        <v>1.0122561860540942E-4</v>
      </c>
      <c r="S78" s="52">
        <f t="shared" si="39"/>
        <v>7.3902927695531492E-3</v>
      </c>
      <c r="T78" s="52">
        <f t="shared" si="40"/>
        <v>8.8936843858987372E-3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7.7466151236979253E-2</v>
      </c>
      <c r="C79" s="118">
        <v>1.9141792879011862E-3</v>
      </c>
      <c r="D79" s="119">
        <v>7.564529505922428E-2</v>
      </c>
      <c r="E79" s="117">
        <v>7.7217082475490598E-2</v>
      </c>
      <c r="F79" s="120">
        <v>7.939279637666527E-2</v>
      </c>
      <c r="G79" s="2">
        <v>-4.5365678546032552E-2</v>
      </c>
      <c r="H79" s="2">
        <v>-3.7787141619514387E-2</v>
      </c>
      <c r="I79" s="2">
        <v>-1.6208556979738346E-3</v>
      </c>
      <c r="J79" s="2">
        <v>3.1358686918110452E-2</v>
      </c>
      <c r="K79" s="2">
        <v>0.66328082509026476</v>
      </c>
      <c r="L79" s="2">
        <v>0.7043311265204063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7.564529505922428E-2</v>
      </c>
      <c r="S79" s="52">
        <f t="shared" si="39"/>
        <v>1.8208561777549731E-3</v>
      </c>
      <c r="T79" s="52">
        <f t="shared" si="40"/>
        <v>1.9266451396860174E-3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0.11679238763827793</v>
      </c>
      <c r="C80" s="122">
        <v>2.8859258635144198E-3</v>
      </c>
      <c r="D80" s="123">
        <v>0.11404716101800406</v>
      </c>
      <c r="E80" s="121">
        <v>0.11641687736861983</v>
      </c>
      <c r="F80" s="124">
        <v>0.11969710773089297</v>
      </c>
      <c r="G80" s="65">
        <v>-6.8395884261931827E-2</v>
      </c>
      <c r="H80" s="65">
        <v>-5.6970049773973012E-2</v>
      </c>
      <c r="I80" s="65">
        <v>-2.4436944905700466E-3</v>
      </c>
      <c r="J80" s="65">
        <v>4.7278144839846339E-2</v>
      </c>
      <c r="K80" s="65">
        <v>1</v>
      </c>
      <c r="L80" s="65">
        <v>1</v>
      </c>
      <c r="M80" s="65">
        <v>-0.6745223470157844</v>
      </c>
      <c r="N80" s="66"/>
      <c r="O80" s="67"/>
      <c r="Q80" s="51" t="str">
        <f t="shared" si="37"/>
        <v>Onroerend goed</v>
      </c>
      <c r="R80" s="72">
        <f t="shared" si="38"/>
        <v>0.11404716101800406</v>
      </c>
      <c r="S80" s="52">
        <f t="shared" si="39"/>
        <v>2.7452266202738634E-3</v>
      </c>
      <c r="T80" s="52">
        <f t="shared" si="40"/>
        <v>2.9047200926150402E-3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M22" sqref="M22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-1.8278501643327824E-3</v>
      </c>
      <c r="E3" s="337">
        <f>+Scenarios!D24</f>
        <v>-8.3588621306752015E-3</v>
      </c>
      <c r="F3" s="337">
        <f>+Scenarios!E24</f>
        <v>1.4376558188383924E-3</v>
      </c>
      <c r="G3" s="337">
        <f>+Scenarios!F24</f>
        <v>-2.0604509567567153E-2</v>
      </c>
      <c r="H3" s="337">
        <f>+Scenarios!G24</f>
        <v>-0.27327160808286638</v>
      </c>
      <c r="I3" s="339">
        <f>+Scenarios!H24</f>
        <v>1.8717143647405954E-3</v>
      </c>
      <c r="J3" s="312">
        <f>Scenarios!D4</f>
        <v>4.3214826708651545E-2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1.7755802056853877E-2</v>
      </c>
      <c r="E4" s="85">
        <f>+Scenarios!D25</f>
        <v>-7.1450317109812783E-2</v>
      </c>
      <c r="F4" s="85">
        <f>+Scenarios!E25</f>
        <v>9.9922050236853827E-2</v>
      </c>
      <c r="G4" s="85">
        <f>+Scenarios!F25</f>
        <v>-0.40234371147647946</v>
      </c>
      <c r="H4" s="85">
        <f>+Scenarios!G25</f>
        <v>-0.41624465647647951</v>
      </c>
      <c r="I4" s="312">
        <f>+Scenarios!H25</f>
        <v>0.31144182690352051</v>
      </c>
      <c r="J4" s="312">
        <f>Scenarios!D5</f>
        <v>0.15823890359343337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3.1705382280009728E-2</v>
      </c>
      <c r="D5" s="327">
        <f>+Scenarios!C26</f>
        <v>2.4095859002887784E-2</v>
      </c>
      <c r="E5" s="85">
        <f>+Scenarios!D26</f>
        <v>-5.2630677807847914E-2</v>
      </c>
      <c r="F5" s="85">
        <f>+Scenarios!E26</f>
        <v>4.5771750914075364E-2</v>
      </c>
      <c r="G5" s="85">
        <f>+Scenarios!F26</f>
        <v>-0.39719411345955147</v>
      </c>
      <c r="H5" s="85">
        <f>+Scenarios!G26</f>
        <v>-0.17860398021235152</v>
      </c>
      <c r="I5" s="312">
        <f>+Scenarios!H26</f>
        <v>0.2801756404130179</v>
      </c>
      <c r="J5" s="312">
        <f>Scenarios!D6</f>
        <v>0.168148277471422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5.7210243741557129E-2</v>
      </c>
      <c r="D6" s="327">
        <f>+Scenarios!C27</f>
        <v>-2.6391451656497394E-3</v>
      </c>
      <c r="E6" s="85">
        <f>+Scenarios!D27</f>
        <v>-0.19512687848593468</v>
      </c>
      <c r="F6" s="85">
        <f>+Scenarios!E27</f>
        <v>8.918969122838788E-2</v>
      </c>
      <c r="G6" s="85">
        <f>+Scenarios!F27</f>
        <v>-0.5628013453934434</v>
      </c>
      <c r="H6" s="85">
        <f>+Scenarios!G27</f>
        <v>-0.46447856989823566</v>
      </c>
      <c r="I6" s="312">
        <f>+Scenarios!H27</f>
        <v>0.45156602820227343</v>
      </c>
      <c r="J6" s="312">
        <f>Scenarios!D7</f>
        <v>0.29001927694608043</v>
      </c>
      <c r="L6" s="210"/>
      <c r="M6" s="350" t="s">
        <v>4</v>
      </c>
      <c r="N6" s="345">
        <f>+'Control panel'!$B3</f>
        <v>0.59460926292655603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0.58412241952216271</v>
      </c>
      <c r="R6" s="347">
        <f t="shared" ref="R6:R13" si="0">+Q6-N6</f>
        <v>-1.048684340439332E-2</v>
      </c>
    </row>
    <row r="7" spans="1:18" ht="15.75">
      <c r="A7" s="210"/>
      <c r="B7" s="319" t="s">
        <v>8</v>
      </c>
      <c r="C7" s="327">
        <f>+Scenarios!B28</f>
        <v>5.5668448282861861E-2</v>
      </c>
      <c r="D7" s="327">
        <f>+Scenarios!C28</f>
        <v>7.5254893945081197E-2</v>
      </c>
      <c r="E7" s="85">
        <f>+Scenarios!D28</f>
        <v>-7.9881478458451574E-2</v>
      </c>
      <c r="F7" s="85">
        <f>+Scenarios!E28</f>
        <v>0.15365069945175694</v>
      </c>
      <c r="G7" s="85">
        <f>+Scenarios!F28</f>
        <v>-0.39124920785250294</v>
      </c>
      <c r="H7" s="85">
        <f>+Scenarios!G28</f>
        <v>-0.25955043219214274</v>
      </c>
      <c r="I7" s="312">
        <f>+Scenarios!H28</f>
        <v>0.41480121988631424</v>
      </c>
      <c r="J7" s="312">
        <f>Scenarios!D8</f>
        <v>0.29774487154665702</v>
      </c>
      <c r="L7" s="210"/>
      <c r="M7" s="350" t="s">
        <v>5</v>
      </c>
      <c r="N7" s="345">
        <f>+'Control panel'!$B4</f>
        <v>7.3502607897390396E-2</v>
      </c>
      <c r="O7" s="345">
        <f>+'Control panel'!$C4</f>
        <v>0.05</v>
      </c>
      <c r="P7" s="345">
        <f>+'Control panel'!$D4</f>
        <v>0.15</v>
      </c>
      <c r="Q7" s="345">
        <f>+'Control panel'!$F4</f>
        <v>0.12549640516374622</v>
      </c>
      <c r="R7" s="347">
        <f t="shared" si="0"/>
        <v>5.1993797266355821E-2</v>
      </c>
    </row>
    <row r="8" spans="1:18" ht="15.75">
      <c r="A8" s="210"/>
      <c r="B8" s="319" t="s">
        <v>9</v>
      </c>
      <c r="C8" s="327">
        <f>+Scenarios!B29</f>
        <v>5.4683067728185694E-2</v>
      </c>
      <c r="D8" s="327">
        <f>+Scenarios!C29</f>
        <v>6.2036265615280854E-2</v>
      </c>
      <c r="E8" s="85">
        <f>+Scenarios!D29</f>
        <v>-3.284707730570241E-2</v>
      </c>
      <c r="F8" s="85">
        <f>+Scenarios!E29</f>
        <v>0.10991050604096422</v>
      </c>
      <c r="G8" s="85">
        <f>+Scenarios!F29</f>
        <v>-0.527954509512369</v>
      </c>
      <c r="H8" s="85">
        <f>+Scenarios!G29</f>
        <v>-0.56384711463070247</v>
      </c>
      <c r="I8" s="312">
        <f>+Scenarios!H29</f>
        <v>0.65436153607763092</v>
      </c>
      <c r="J8" s="312">
        <f>Scenarios!D9</f>
        <v>0.33576372020209261</v>
      </c>
      <c r="L8" s="210"/>
      <c r="M8" s="350" t="s">
        <v>6</v>
      </c>
      <c r="N8" s="345">
        <f>+'Control panel'!$B5</f>
        <v>8.232448256002324E-2</v>
      </c>
      <c r="O8" s="345">
        <f>+'Control panel'!$C5</f>
        <v>0.05</v>
      </c>
      <c r="P8" s="345">
        <f>+'Control panel'!$D5</f>
        <v>0.2</v>
      </c>
      <c r="Q8" s="345">
        <f>+'Control panel'!$F5</f>
        <v>6.3082949298087901E-2</v>
      </c>
      <c r="R8" s="348">
        <f t="shared" si="0"/>
        <v>-1.924153326193534E-2</v>
      </c>
    </row>
    <row r="9" spans="1:18" ht="15.75">
      <c r="A9" s="210"/>
      <c r="B9" s="319" t="s">
        <v>10</v>
      </c>
      <c r="C9" s="327">
        <f>+Scenarios!B30</f>
        <v>2.9030049193200475E-2</v>
      </c>
      <c r="D9" s="327">
        <f>+Scenarios!C30</f>
        <v>1.4591619612606042E-2</v>
      </c>
      <c r="E9" s="85">
        <f>+Scenarios!D30</f>
        <v>-6.6050814940221969E-2</v>
      </c>
      <c r="F9" s="85">
        <f>+Scenarios!E30</f>
        <v>5.2412836889020015E-2</v>
      </c>
      <c r="G9" s="85">
        <f>+Scenarios!F30</f>
        <v>-0.23066484290463032</v>
      </c>
      <c r="H9" s="85">
        <f>+Scenarios!G30</f>
        <v>-9.3346284848618948E-3</v>
      </c>
      <c r="I9" s="312">
        <f>+Scenarios!H30</f>
        <v>0.30889090504194383</v>
      </c>
      <c r="J9" s="312">
        <f>Scenarios!D10</f>
        <v>0.1465180543940868</v>
      </c>
      <c r="L9" s="210"/>
      <c r="M9" s="350" t="s">
        <v>7</v>
      </c>
      <c r="N9" s="345">
        <f>+'Control panel'!$B6</f>
        <v>9.6683683628085992E-2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8.4012308431003019E-2</v>
      </c>
      <c r="R9" s="348">
        <f t="shared" si="0"/>
        <v>-1.2671375197082974E-2</v>
      </c>
    </row>
    <row r="10" spans="1:18" ht="15.75">
      <c r="A10" s="210"/>
      <c r="B10" s="320" t="s">
        <v>11</v>
      </c>
      <c r="C10" s="328">
        <f>+Scenarios!B31</f>
        <v>3.8983857987503749E-2</v>
      </c>
      <c r="D10" s="328">
        <f>+Scenarios!C31</f>
        <v>1.0171029512307597E-3</v>
      </c>
      <c r="E10" s="313">
        <f>+Scenarios!D31</f>
        <v>-0.14420836692556077</v>
      </c>
      <c r="F10" s="313">
        <f>+Scenarios!E31</f>
        <v>6.7667954145598314E-2</v>
      </c>
      <c r="G10" s="313">
        <f>+Scenarios!F31</f>
        <v>-0.42122995880386094</v>
      </c>
      <c r="H10" s="313">
        <f>+Scenarios!G31</f>
        <v>-0.47665217132586252</v>
      </c>
      <c r="I10" s="314">
        <f>+Scenarios!H31</f>
        <v>0.43571794524441654</v>
      </c>
      <c r="J10" s="314">
        <f>Scenarios!D11</f>
        <v>0.19915957675666104</v>
      </c>
      <c r="L10" s="210"/>
      <c r="M10" s="350" t="s">
        <v>8</v>
      </c>
      <c r="N10" s="345">
        <f>+'Control panel'!$B7</f>
        <v>5.1500558015493796E-2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5.9441103986355118E-2</v>
      </c>
      <c r="R10" s="347">
        <f t="shared" si="0"/>
        <v>7.9405459708613221E-3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2.0640227417381859E-2</v>
      </c>
      <c r="O11" s="345">
        <f>+'Control panel'!$C8</f>
        <v>0</v>
      </c>
      <c r="P11" s="345">
        <f>+'Control panel'!$D8</f>
        <v>0.2</v>
      </c>
      <c r="Q11" s="345">
        <f>+'Control panel'!$F8</f>
        <v>3.1056360435763103E-3</v>
      </c>
      <c r="R11" s="348">
        <f t="shared" si="0"/>
        <v>-1.7534591373805548E-2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0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3.219705746498288E-2</v>
      </c>
      <c r="O12" s="345">
        <f>+'Control panel'!$C9</f>
        <v>3.219705746498288E-2</v>
      </c>
      <c r="P12" s="345">
        <f>+'Control panel'!$D9</f>
        <v>3.219705746498288E-2</v>
      </c>
      <c r="Q12" s="345">
        <f>+'Control panel'!$F9</f>
        <v>3.2197057464982567E-2</v>
      </c>
      <c r="R12" s="347">
        <f t="shared" si="0"/>
        <v>-3.1225022567582528E-16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4.8542120090085711E-2</v>
      </c>
      <c r="O13" s="345">
        <f>+'Control panel'!$C10</f>
        <v>4.8542120090085711E-2</v>
      </c>
      <c r="P13" s="345">
        <f>+'Control panel'!$D10</f>
        <v>4.8542120090085711E-2</v>
      </c>
      <c r="Q13" s="345">
        <f>+'Control panel'!$F10</f>
        <v>4.8542120090085746E-2</v>
      </c>
      <c r="R13" s="347">
        <f t="shared" si="0"/>
        <v>0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7.6439938302947088E-3</v>
      </c>
      <c r="E14" s="316">
        <f>+Scenarios!D35</f>
        <v>-4.7539590679903369E-2</v>
      </c>
      <c r="F14" s="316">
        <v>5.2856851617787103E-2</v>
      </c>
      <c r="G14" s="316">
        <v>-0.28178446547461966</v>
      </c>
      <c r="H14" s="316">
        <f>+Scenarios!G35</f>
        <v>-0.30276738632188865</v>
      </c>
      <c r="I14" s="317">
        <f>+Scenarios!H35</f>
        <v>0.15357405243484212</v>
      </c>
      <c r="J14" s="325">
        <f>+Scenarios!I35</f>
        <v>3.820686829762017E-2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-4.2296829665797307E-2</v>
      </c>
      <c r="D18" s="374">
        <f t="shared" ref="D18:H18" si="1">+E3/$J3</f>
        <v>-0.19342579312025263</v>
      </c>
      <c r="E18" s="374">
        <f t="shared" si="1"/>
        <v>3.3267652061429551E-2</v>
      </c>
      <c r="F18" s="374">
        <f t="shared" si="1"/>
        <v>-0.47679259959735443</v>
      </c>
      <c r="G18" s="374">
        <f t="shared" si="1"/>
        <v>-6.3235613537276505</v>
      </c>
      <c r="H18" s="375">
        <f t="shared" si="1"/>
        <v>4.3311856307082702E-2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0.11220882888871779</v>
      </c>
      <c r="D19" s="377">
        <f t="shared" si="2"/>
        <v>-0.45153445510082418</v>
      </c>
      <c r="E19" s="377">
        <f t="shared" si="2"/>
        <v>0.63146323671191318</v>
      </c>
      <c r="F19" s="377">
        <f t="shared" si="2"/>
        <v>-2.5426346008452501</v>
      </c>
      <c r="G19" s="377">
        <f t="shared" si="2"/>
        <v>-2.6304824352546445</v>
      </c>
      <c r="H19" s="378">
        <f t="shared" si="2"/>
        <v>1.9681748282566134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0.14330125390064163</v>
      </c>
      <c r="D20" s="377">
        <f t="shared" si="3"/>
        <v>-0.31300158764215041</v>
      </c>
      <c r="E20" s="377">
        <f t="shared" si="3"/>
        <v>0.27221064409568274</v>
      </c>
      <c r="F20" s="377">
        <f t="shared" si="3"/>
        <v>-2.3621658183626497</v>
      </c>
      <c r="G20" s="377">
        <f t="shared" si="3"/>
        <v>-1.0621814442476614</v>
      </c>
      <c r="H20" s="378">
        <f t="shared" si="3"/>
        <v>1.6662415138961846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-9.0998956808667642E-3</v>
      </c>
      <c r="D21" s="377">
        <f t="shared" si="4"/>
        <v>-0.67280658217147449</v>
      </c>
      <c r="E21" s="377">
        <f t="shared" si="4"/>
        <v>0.30753021718956214</v>
      </c>
      <c r="F21" s="377">
        <f t="shared" si="4"/>
        <v>-1.9405653007612933</v>
      </c>
      <c r="G21" s="377">
        <f t="shared" si="4"/>
        <v>-1.601543782845132</v>
      </c>
      <c r="H21" s="378">
        <f t="shared" si="4"/>
        <v>1.5570207365430655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0.25274958911689821</v>
      </c>
      <c r="D22" s="377">
        <f t="shared" si="5"/>
        <v>-0.26828834378742283</v>
      </c>
      <c r="E22" s="377">
        <f t="shared" si="5"/>
        <v>0.51604818129564212</v>
      </c>
      <c r="F22" s="377">
        <f t="shared" si="5"/>
        <v>-1.3140418030380538</v>
      </c>
      <c r="G22" s="377">
        <f t="shared" si="5"/>
        <v>-0.8717209161114664</v>
      </c>
      <c r="H22" s="378">
        <f t="shared" si="5"/>
        <v>1.3931431219338881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0.18476166983717565</v>
      </c>
      <c r="D23" s="377">
        <f t="shared" si="6"/>
        <v>-9.7827952602896173E-2</v>
      </c>
      <c r="E23" s="377">
        <f t="shared" si="6"/>
        <v>0.32734479465145983</v>
      </c>
      <c r="F23" s="377">
        <f t="shared" si="6"/>
        <v>-1.5723989155070084</v>
      </c>
      <c r="G23" s="377">
        <f t="shared" si="6"/>
        <v>-1.6792973174449251</v>
      </c>
      <c r="H23" s="378">
        <f t="shared" si="6"/>
        <v>1.9488750472617402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9.9589225866726583E-2</v>
      </c>
      <c r="D24" s="377">
        <f t="shared" si="7"/>
        <v>-0.45080324887857409</v>
      </c>
      <c r="E24" s="377">
        <f t="shared" si="7"/>
        <v>0.35772271960454932</v>
      </c>
      <c r="F24" s="377">
        <f t="shared" si="7"/>
        <v>-1.5743100320197778</v>
      </c>
      <c r="G24" s="377">
        <f t="shared" si="7"/>
        <v>-6.3709749105422347E-2</v>
      </c>
      <c r="H24" s="378">
        <f t="shared" si="7"/>
        <v>2.1082105295442015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5.1069748580229489E-3</v>
      </c>
      <c r="D25" s="380">
        <f t="shared" si="8"/>
        <v>-0.72408452193970441</v>
      </c>
      <c r="E25" s="380">
        <f t="shared" si="8"/>
        <v>0.33976751330555893</v>
      </c>
      <c r="F25" s="380">
        <f t="shared" si="8"/>
        <v>-2.1150374270905985</v>
      </c>
      <c r="G25" s="380">
        <f t="shared" si="8"/>
        <v>-2.3933178564054192</v>
      </c>
      <c r="H25" s="381">
        <f t="shared" si="8"/>
        <v>2.1877830448333868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3" t="s">
        <v>135</v>
      </c>
      <c r="D33" s="404"/>
      <c r="E33" s="403" t="s">
        <v>134</v>
      </c>
      <c r="F33" s="404"/>
      <c r="G33" s="404"/>
      <c r="H33" s="405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-1.8278501643327824E-3</v>
      </c>
      <c r="I35" s="358">
        <f>+J3</f>
        <v>4.3214826708651545E-2</v>
      </c>
      <c r="J35" s="359">
        <f>+E35/I32</f>
        <v>-0.85588235294117654</v>
      </c>
      <c r="K35" s="335">
        <f>+H35/I35</f>
        <v>-4.2296829665797307E-2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1.7755802056853877E-2</v>
      </c>
      <c r="I36" s="322">
        <f t="shared" ref="I36:I42" si="9">+J4</f>
        <v>0.15823890359343337</v>
      </c>
      <c r="J36" s="360">
        <f>+E36/I36</f>
        <v>-0.2936626251519534</v>
      </c>
      <c r="K36" s="335">
        <f t="shared" ref="K36:K42" si="10">+H36/I36</f>
        <v>0.11220882888871779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2.4095859002887784E-2</v>
      </c>
      <c r="I37" s="322">
        <f t="shared" si="9"/>
        <v>0.168148277471422</v>
      </c>
      <c r="J37" s="360">
        <f>+E37/I37</f>
        <v>6.6039602631658201E-2</v>
      </c>
      <c r="K37" s="335">
        <f>+H37/I37</f>
        <v>0.14330125390064163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-2.6391451656497394E-3</v>
      </c>
      <c r="I38" s="322">
        <f t="shared" si="9"/>
        <v>0.29001927694608043</v>
      </c>
      <c r="J38" s="360">
        <f t="shared" ref="J38:J42" si="11">+E38/I38</f>
        <v>-0.20051038078380698</v>
      </c>
      <c r="K38" s="335">
        <f>+H38/I38</f>
        <v>-9.0998956808667642E-3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7.5254893945081197E-2</v>
      </c>
      <c r="I39" s="322">
        <f t="shared" si="9"/>
        <v>0.29774487154665702</v>
      </c>
      <c r="J39" s="360">
        <f t="shared" si="11"/>
        <v>-0.14657043172069534</v>
      </c>
      <c r="K39" s="335">
        <f t="shared" si="10"/>
        <v>0.25274958911689821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6.2036265615280854E-2</v>
      </c>
      <c r="I40" s="322">
        <f t="shared" si="9"/>
        <v>0.33576372020209261</v>
      </c>
      <c r="J40" s="360">
        <f t="shared" si="11"/>
        <v>-0.10637087005463072</v>
      </c>
      <c r="K40" s="335">
        <f t="shared" si="10"/>
        <v>0.18476166983717565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1.4591619612606042E-2</v>
      </c>
      <c r="I41" s="322">
        <f t="shared" si="9"/>
        <v>0.1465180543940868</v>
      </c>
      <c r="J41" s="360">
        <f t="shared" si="11"/>
        <v>-0.47217465770323874</v>
      </c>
      <c r="K41" s="335">
        <f t="shared" si="10"/>
        <v>9.9589225866726583E-2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1.0171029512307597E-3</v>
      </c>
      <c r="I42" s="323">
        <f t="shared" si="9"/>
        <v>0.19915957675666104</v>
      </c>
      <c r="J42" s="361">
        <f t="shared" si="11"/>
        <v>-0.29311248674648732</v>
      </c>
      <c r="K42" s="340">
        <f t="shared" si="10"/>
        <v>5.1069748580229489E-3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2013-01-18T15:26:27Z</dcterms:modified>
</cp:coreProperties>
</file>