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activeTab="1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  <externalReference r:id="rId13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I31" i="7"/>
  <c r="I30"/>
  <c r="I29"/>
  <c r="I28"/>
  <c r="I27"/>
  <c r="I26"/>
  <c r="I25"/>
  <c r="I24"/>
  <c r="J21" i="11"/>
  <c r="J22"/>
  <c r="J23"/>
  <c r="J24"/>
  <c r="J25"/>
  <c r="J26"/>
  <c r="J27"/>
  <c r="J20"/>
  <c r="D2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2"/>
  <c r="F12"/>
  <c r="G12"/>
  <c r="J50"/>
  <c r="H50"/>
  <c r="K50"/>
  <c r="B6" i="9"/>
  <c r="B7"/>
  <c r="J5" i="11"/>
  <c r="I52"/>
  <c r="J52"/>
  <c r="J6"/>
  <c r="I53"/>
  <c r="J7"/>
  <c r="I54"/>
  <c r="J54"/>
  <c r="J8"/>
  <c r="I55"/>
  <c r="J9"/>
  <c r="I56"/>
  <c r="J10"/>
  <c r="I57"/>
  <c r="J4"/>
  <c r="I51"/>
  <c r="J51"/>
  <c r="H54"/>
  <c r="H51"/>
  <c r="H52"/>
  <c r="H53"/>
  <c r="H55"/>
  <c r="H56"/>
  <c r="H57"/>
  <c r="J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P13"/>
  <c r="P12"/>
  <c r="P11"/>
  <c r="P10"/>
  <c r="P9"/>
  <c r="P8"/>
  <c r="P7"/>
  <c r="P6"/>
  <c r="O13"/>
  <c r="O12"/>
  <c r="O11"/>
  <c r="O10"/>
  <c r="O8"/>
  <c r="O7"/>
  <c r="O6"/>
  <c r="H35" i="7"/>
  <c r="I14" i="11"/>
  <c r="B35" i="7"/>
  <c r="C14" i="11"/>
  <c r="C33" i="7"/>
  <c r="D33"/>
  <c r="I33"/>
  <c r="J12" i="11"/>
  <c r="F33" i="7"/>
  <c r="B33"/>
  <c r="E33"/>
  <c r="G33"/>
  <c r="H12" i="11"/>
  <c r="H33" i="7"/>
  <c r="I12" i="11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C10"/>
  <c r="C9"/>
  <c r="C8"/>
  <c r="C7"/>
  <c r="C6"/>
  <c r="C5"/>
  <c r="C4"/>
  <c r="C3"/>
  <c r="B31" i="7"/>
  <c r="B30"/>
  <c r="B29"/>
  <c r="B28"/>
  <c r="B27"/>
  <c r="B26"/>
  <c r="B25"/>
  <c r="B24"/>
  <c r="G7" i="9"/>
  <c r="G6"/>
  <c r="G3"/>
  <c r="G4"/>
  <c r="G5"/>
  <c r="G8"/>
  <c r="G9"/>
  <c r="G10"/>
  <c r="A21" i="5"/>
  <c r="A22"/>
  <c r="A23"/>
  <c r="A24"/>
  <c r="A25"/>
  <c r="A26"/>
  <c r="G5"/>
  <c r="H5"/>
  <c r="B11" i="9"/>
  <c r="B27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C35" i="7"/>
  <c r="D14" i="11"/>
  <c r="G35" i="7"/>
  <c r="H14" i="11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55" i="11"/>
  <c r="K55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51" i="11"/>
  <c r="H28" i="1"/>
  <c r="F30"/>
  <c r="D32"/>
  <c r="K33"/>
  <c r="J56" i="11"/>
  <c r="K56"/>
  <c r="K57"/>
  <c r="J57"/>
  <c r="K53"/>
  <c r="J53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54" i="11"/>
  <c r="K52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I35" i="7"/>
  <c r="J14" i="11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F35" i="7"/>
  <c r="G14" i="11"/>
  <c r="E35" i="7"/>
  <c r="F14" i="11"/>
  <c r="D35" i="7"/>
  <c r="E14" i="11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<sst xmlns="http://schemas.openxmlformats.org/spreadsheetml/2006/main" count="433" uniqueCount="149">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</sst>
</file>

<file path=xl/styles.xml><?xml version="1.0" encoding="utf-8"?>
<styleSheet xmlns="http://schemas.openxmlformats.org/spreadsheetml/2006/main">
  <numFmts count="44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</numFmts>
  <fonts count="8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1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388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64" fontId="75" fillId="33" borderId="7" xfId="0" applyNumberFormat="1" applyFont="1" applyFill="1" applyBorder="1" applyAlignment="1">
      <alignment horizontal="center"/>
    </xf>
    <xf numFmtId="10" fontId="78" fillId="3" borderId="0" xfId="1" applyNumberFormat="1" applyFont="1" applyFill="1" applyBorder="1" applyAlignment="1">
      <alignment horizontal="center"/>
    </xf>
    <xf numFmtId="10" fontId="78" fillId="3" borderId="3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9" fillId="3" borderId="22" xfId="1" applyNumberFormat="1" applyFont="1" applyFill="1" applyBorder="1" applyAlignment="1">
      <alignment horizontal="center"/>
    </xf>
    <xf numFmtId="10" fontId="78" fillId="3" borderId="25" xfId="1" applyNumberFormat="1" applyFont="1" applyFill="1" applyBorder="1" applyAlignment="1">
      <alignment horizontal="center"/>
    </xf>
    <xf numFmtId="0" fontId="78" fillId="3" borderId="22" xfId="0" applyFont="1" applyFill="1" applyBorder="1"/>
    <xf numFmtId="0" fontId="78" fillId="3" borderId="25" xfId="0" applyFont="1" applyFill="1" applyBorder="1"/>
    <xf numFmtId="0" fontId="76" fillId="34" borderId="24" xfId="0" applyFont="1" applyFill="1" applyBorder="1" applyAlignment="1">
      <alignment horizontal="left"/>
    </xf>
    <xf numFmtId="0" fontId="76" fillId="34" borderId="35" xfId="0" applyFont="1" applyFill="1" applyBorder="1" applyAlignment="1">
      <alignment horizontal="center"/>
    </xf>
    <xf numFmtId="0" fontId="76" fillId="34" borderId="24" xfId="0" applyFont="1" applyFill="1" applyBorder="1" applyAlignment="1">
      <alignment horizontal="center"/>
    </xf>
    <xf numFmtId="0" fontId="78" fillId="3" borderId="21" xfId="0" applyFont="1" applyFill="1" applyBorder="1"/>
    <xf numFmtId="10" fontId="78" fillId="3" borderId="28" xfId="1" applyNumberFormat="1" applyFont="1" applyFill="1" applyBorder="1" applyAlignment="1">
      <alignment horizontal="center"/>
    </xf>
    <xf numFmtId="10" fontId="78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677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51"/>
          <c:w val="0.5562682138416909"/>
          <c:h val="0.692582184133051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7929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0.43874621076936754</c:v>
                </c:pt>
                <c:pt idx="1">
                  <c:v>0.28772766470946015</c:v>
                </c:pt>
                <c:pt idx="2">
                  <c:v>4.3310062962067734E-2</c:v>
                </c:pt>
                <c:pt idx="3">
                  <c:v>1.3696757777154312E-3</c:v>
                </c:pt>
                <c:pt idx="4">
                  <c:v>2.189437606952184E-2</c:v>
                </c:pt>
                <c:pt idx="5">
                  <c:v>7.7097626984247757E-3</c:v>
                </c:pt>
                <c:pt idx="6">
                  <c:v>0.1894304694511304</c:v>
                </c:pt>
                <c:pt idx="7">
                  <c:v>9.8117775623121194E-3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01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0.41977054658713842</c:v>
                </c:pt>
                <c:pt idx="1">
                  <c:v>0.2415691552104362</c:v>
                </c:pt>
                <c:pt idx="2">
                  <c:v>1.682862067096734E-2</c:v>
                </c:pt>
                <c:pt idx="3">
                  <c:v>2.0415139849541076E-4</c:v>
                </c:pt>
                <c:pt idx="4">
                  <c:v>8.0915635697171862E-3</c:v>
                </c:pt>
                <c:pt idx="5">
                  <c:v>1.8868638402545538E-3</c:v>
                </c:pt>
                <c:pt idx="6">
                  <c:v>0.14180118273238318</c:v>
                </c:pt>
                <c:pt idx="7">
                  <c:v>3.1869048175254466E-3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1.8975664182229124E-2</c:v>
                </c:pt>
                <c:pt idx="1">
                  <c:v>4.6158509499023948E-2</c:v>
                </c:pt>
                <c:pt idx="2">
                  <c:v>2.6481442291100395E-2</c:v>
                </c:pt>
                <c:pt idx="3">
                  <c:v>1.1655243792200204E-3</c:v>
                </c:pt>
                <c:pt idx="4">
                  <c:v>1.3802812499804654E-2</c:v>
                </c:pt>
                <c:pt idx="5">
                  <c:v>5.8228988581702223E-3</c:v>
                </c:pt>
                <c:pt idx="6">
                  <c:v>4.7629286718747221E-2</c:v>
                </c:pt>
                <c:pt idx="7">
                  <c:v>6.6248727447866728E-3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1.6035414407438386E-2</c:v>
                </c:pt>
                <c:pt idx="1">
                  <c:v>4.2527297232843153E-2</c:v>
                </c:pt>
                <c:pt idx="2">
                  <c:v>1.8062955423050919E-2</c:v>
                </c:pt>
                <c:pt idx="3">
                  <c:v>6.5683249761021756E-4</c:v>
                </c:pt>
                <c:pt idx="4">
                  <c:v>1.153202635122666E-2</c:v>
                </c:pt>
                <c:pt idx="5">
                  <c:v>3.7131843789154932E-3</c:v>
                </c:pt>
                <c:pt idx="6">
                  <c:v>4.5769396091354025E-2</c:v>
                </c:pt>
                <c:pt idx="7">
                  <c:v>4.4707858430049763E-3</c:v>
                </c:pt>
              </c:numCache>
            </c:numRef>
          </c:val>
        </c:ser>
        <c:overlap val="100"/>
        <c:axId val="330862592"/>
        <c:axId val="330864512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marker val="1"/>
        <c:axId val="330862592"/>
        <c:axId val="330864512"/>
      </c:lineChart>
      <c:catAx>
        <c:axId val="330862592"/>
        <c:scaling>
          <c:orientation val="minMax"/>
        </c:scaling>
        <c:axPos val="b"/>
        <c:tickLblPos val="nextTo"/>
        <c:crossAx val="330864512"/>
        <c:crosses val="autoZero"/>
        <c:auto val="1"/>
        <c:lblAlgn val="ctr"/>
        <c:lblOffset val="100"/>
      </c:catAx>
      <c:valAx>
        <c:axId val="330864512"/>
        <c:scaling>
          <c:orientation val="minMax"/>
        </c:scaling>
        <c:axPos val="l"/>
        <c:majorGridlines/>
        <c:numFmt formatCode="0%" sourceLinked="0"/>
        <c:tickLblPos val="nextTo"/>
        <c:crossAx val="33086259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3.1705382280009728E-2</c:v>
                </c:pt>
                <c:pt idx="3">
                  <c:v>5.7210243741557129E-2</c:v>
                </c:pt>
                <c:pt idx="4">
                  <c:v>5.5668448282861861E-2</c:v>
                </c:pt>
                <c:pt idx="5">
                  <c:v>5.4683067728185694E-2</c:v>
                </c:pt>
                <c:pt idx="6">
                  <c:v>2.9030049193200475E-2</c:v>
                </c:pt>
                <c:pt idx="7">
                  <c:v>3.8983857987503749E-2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-1.5814187202246897E-2</c:v>
                </c:pt>
                <c:pt idx="1">
                  <c:v>3.7091344896853895E-2</c:v>
                </c:pt>
                <c:pt idx="2">
                  <c:v>2.8956559002887815E-2</c:v>
                </c:pt>
                <c:pt idx="3">
                  <c:v>-7.0207416604689673E-3</c:v>
                </c:pt>
                <c:pt idx="4">
                  <c:v>5.995264087409511E-2</c:v>
                </c:pt>
                <c:pt idx="5">
                  <c:v>7.203626561528087E-2</c:v>
                </c:pt>
                <c:pt idx="6">
                  <c:v>2.2042435122490836E-2</c:v>
                </c:pt>
                <c:pt idx="7">
                  <c:v>2.0231202745045189E-2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-2.2345199168589305E-2</c:v>
                </c:pt>
                <c:pt idx="1">
                  <c:v>-6.3296292109812774E-2</c:v>
                </c:pt>
                <c:pt idx="2">
                  <c:v>-4.7769977807847905E-2</c:v>
                </c:pt>
                <c:pt idx="3">
                  <c:v>-0.18604628076301943</c:v>
                </c:pt>
                <c:pt idx="4">
                  <c:v>-6.9881478458451565E-2</c:v>
                </c:pt>
                <c:pt idx="5">
                  <c:v>-2.2847077305702401E-2</c:v>
                </c:pt>
                <c:pt idx="6">
                  <c:v>-5.8098568330005394E-2</c:v>
                </c:pt>
                <c:pt idx="7">
                  <c:v>-0.12499426713174636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-1.2548681219075715E-2</c:v>
                </c:pt>
                <c:pt idx="1">
                  <c:v>0.10801699223685385</c:v>
                </c:pt>
                <c:pt idx="2">
                  <c:v>5.063245091407538E-2</c:v>
                </c:pt>
                <c:pt idx="3">
                  <c:v>8.4300303146984695E-2</c:v>
                </c:pt>
                <c:pt idx="4">
                  <c:v>0.12656751240399325</c:v>
                </c:pt>
                <c:pt idx="5">
                  <c:v>0.11991050604096423</c:v>
                </c:pt>
                <c:pt idx="6">
                  <c:v>5.9612936848738904E-2</c:v>
                </c:pt>
                <c:pt idx="7">
                  <c:v>8.6882053939412757E-2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-3.4590846605481285E-2</c:v>
                </c:pt>
                <c:pt idx="1">
                  <c:v>-0.3928734479964795</c:v>
                </c:pt>
                <c:pt idx="2">
                  <c:v>-0.39219451345955136</c:v>
                </c:pt>
                <c:pt idx="3">
                  <c:v>-0.55280134539344339</c:v>
                </c:pt>
                <c:pt idx="4">
                  <c:v>-0.38124920785250294</c:v>
                </c:pt>
                <c:pt idx="5">
                  <c:v>-0.51795450951236899</c:v>
                </c:pt>
                <c:pt idx="6">
                  <c:v>-0.22162743171483407</c:v>
                </c:pt>
                <c:pt idx="7">
                  <c:v>-0.40201585901004655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-0.29273266768551542</c:v>
                </c:pt>
                <c:pt idx="1">
                  <c:v>-0.41654304969647948</c:v>
                </c:pt>
                <c:pt idx="2">
                  <c:v>-0.18339603021235151</c:v>
                </c:pt>
                <c:pt idx="3">
                  <c:v>-0.46447856989823566</c:v>
                </c:pt>
                <c:pt idx="4">
                  <c:v>-0.25955043219214274</c:v>
                </c:pt>
                <c:pt idx="5">
                  <c:v>-0.56384711463070247</c:v>
                </c:pt>
                <c:pt idx="6">
                  <c:v>-1.0216188542192122E-2</c:v>
                </c:pt>
                <c:pt idx="7">
                  <c:v>-0.46743807153204797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-1.2114622673173481E-2</c:v>
                </c:pt>
                <c:pt idx="1">
                  <c:v>0.31953047890352049</c:v>
                </c:pt>
                <c:pt idx="2">
                  <c:v>0.28503634041301795</c:v>
                </c:pt>
                <c:pt idx="3">
                  <c:v>0.46156602820227344</c:v>
                </c:pt>
                <c:pt idx="4">
                  <c:v>0.42480121988631425</c:v>
                </c:pt>
                <c:pt idx="5">
                  <c:v>0.66436153607763093</c:v>
                </c:pt>
                <c:pt idx="6">
                  <c:v>0.31685576215825423</c:v>
                </c:pt>
                <c:pt idx="7">
                  <c:v>0.45493204503823104</c:v>
                </c:pt>
              </c:numCache>
            </c:numRef>
          </c:val>
        </c:ser>
        <c:axId val="359098240"/>
        <c:axId val="359099776"/>
      </c:barChart>
      <c:catAx>
        <c:axId val="359098240"/>
        <c:scaling>
          <c:orientation val="minMax"/>
        </c:scaling>
        <c:axPos val="b"/>
        <c:tickLblPos val="nextTo"/>
        <c:crossAx val="359099776"/>
        <c:crosses val="autoZero"/>
        <c:auto val="1"/>
        <c:lblAlgn val="ctr"/>
        <c:lblOffset val="100"/>
      </c:catAx>
      <c:valAx>
        <c:axId val="359099776"/>
        <c:scaling>
          <c:orientation val="minMax"/>
        </c:scaling>
        <c:axPos val="l"/>
        <c:majorGridlines/>
        <c:numFmt formatCode="0.0%" sourceLinked="1"/>
        <c:tickLblPos val="nextTo"/>
        <c:crossAx val="35909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782"/>
          <c:y val="0.30999086720261976"/>
          <c:w val="0.27290015295627634"/>
          <c:h val="0.50313982945017566"/>
        </c:manualLayout>
      </c:layout>
    </c:legend>
    <c:plotVisOnly val="1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0.39694230539051029</c:v>
                </c:pt>
                <c:pt idx="1">
                  <c:v>1.9051202688133765E-2</c:v>
                </c:pt>
                <c:pt idx="2">
                  <c:v>1.4149313951579561E-4</c:v>
                </c:pt>
                <c:pt idx="3">
                  <c:v>7.021737071949934E-3</c:v>
                </c:pt>
                <c:pt idx="4">
                  <c:v>1.1877488317298746E-3</c:v>
                </c:pt>
                <c:pt idx="5">
                  <c:v>0.22270817306180651</c:v>
                </c:pt>
                <c:pt idx="6">
                  <c:v>2.7730334842773915E-3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0.11877181600291492</c:v>
                </c:pt>
                <c:pt idx="1">
                  <c:v>5.7813060425464871E-2</c:v>
                </c:pt>
                <c:pt idx="2">
                  <c:v>2.3104837107112406E-3</c:v>
                </c:pt>
                <c:pt idx="3">
                  <c:v>3.2861959339969389E-2</c:v>
                </c:pt>
                <c:pt idx="4">
                  <c:v>1.2708124371962162E-2</c:v>
                </c:pt>
                <c:pt idx="5">
                  <c:v>0.11100679154382398</c:v>
                </c:pt>
                <c:pt idx="6">
                  <c:v>1.4702070937229568E-2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0.11803988794402409</c:v>
                </c:pt>
                <c:pt idx="1">
                  <c:v>6.133382714144188E-2</c:v>
                </c:pt>
                <c:pt idx="2">
                  <c:v>2.2715404020172657E-3</c:v>
                </c:pt>
                <c:pt idx="3">
                  <c:v>3.509925048282201E-2</c:v>
                </c:pt>
                <c:pt idx="4">
                  <c:v>1.2538876163144223E-2</c:v>
                </c:pt>
                <c:pt idx="5">
                  <c:v>0.11017066205222309</c:v>
                </c:pt>
                <c:pt idx="6">
                  <c:v>1.3818302583847857E-2</c:v>
                </c:pt>
              </c:numCache>
            </c:numRef>
          </c:val>
        </c:ser>
        <c:overlap val="100"/>
        <c:axId val="362944000"/>
        <c:axId val="362945920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0.18131299305951845</c:v>
                </c:pt>
                <c:pt idx="1">
                  <c:v>0.20307440459624679</c:v>
                </c:pt>
                <c:pt idx="2">
                  <c:v>0.23849504881649528</c:v>
                </c:pt>
                <c:pt idx="3">
                  <c:v>0.12703930629318633</c:v>
                </c:pt>
                <c:pt idx="4">
                  <c:v>5.0914403141980299E-2</c:v>
                </c:pt>
                <c:pt idx="5">
                  <c:v>7.9422282061540547E-2</c:v>
                </c:pt>
                <c:pt idx="6">
                  <c:v>0.11974156203103237</c:v>
                </c:pt>
              </c:numCache>
            </c:numRef>
          </c:val>
        </c:ser>
        <c:marker val="1"/>
        <c:axId val="362944000"/>
        <c:axId val="362945920"/>
      </c:lineChart>
      <c:catAx>
        <c:axId val="362944000"/>
        <c:scaling>
          <c:orientation val="minMax"/>
        </c:scaling>
        <c:axPos val="b"/>
        <c:numFmt formatCode="General" sourceLinked="1"/>
        <c:tickLblPos val="nextTo"/>
        <c:crossAx val="362945920"/>
        <c:crosses val="autoZero"/>
        <c:auto val="1"/>
        <c:lblAlgn val="ctr"/>
        <c:lblOffset val="100"/>
      </c:catAx>
      <c:valAx>
        <c:axId val="362945920"/>
        <c:scaling>
          <c:orientation val="minMax"/>
        </c:scaling>
        <c:axPos val="l"/>
        <c:majorGridlines/>
        <c:numFmt formatCode="0%" sourceLinked="0"/>
        <c:tickLblPos val="nextTo"/>
        <c:crossAx val="36294400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3.1705382280009728E-2</c:v>
                </c:pt>
                <c:pt idx="3">
                  <c:v>5.7210243741557129E-2</c:v>
                </c:pt>
                <c:pt idx="4">
                  <c:v>5.5668448282861861E-2</c:v>
                </c:pt>
                <c:pt idx="5">
                  <c:v>5.4683067728185694E-2</c:v>
                </c:pt>
                <c:pt idx="6">
                  <c:v>2.9030049193200475E-2</c:v>
                </c:pt>
                <c:pt idx="7">
                  <c:v>3.8983857987503749E-2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-1.5814187202246897E-2</c:v>
                </c:pt>
                <c:pt idx="1">
                  <c:v>3.7091344896853895E-2</c:v>
                </c:pt>
                <c:pt idx="2">
                  <c:v>2.8956559002887815E-2</c:v>
                </c:pt>
                <c:pt idx="3">
                  <c:v>-7.0207416604689673E-3</c:v>
                </c:pt>
                <c:pt idx="4">
                  <c:v>5.995264087409511E-2</c:v>
                </c:pt>
                <c:pt idx="5">
                  <c:v>7.203626561528087E-2</c:v>
                </c:pt>
                <c:pt idx="6">
                  <c:v>2.2042435122490836E-2</c:v>
                </c:pt>
                <c:pt idx="7">
                  <c:v>2.0231202745045189E-2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-2.2345199168589305E-2</c:v>
                </c:pt>
                <c:pt idx="1">
                  <c:v>-6.3296292109812774E-2</c:v>
                </c:pt>
                <c:pt idx="2">
                  <c:v>-4.7769977807847905E-2</c:v>
                </c:pt>
                <c:pt idx="3">
                  <c:v>-0.18604628076301943</c:v>
                </c:pt>
                <c:pt idx="4">
                  <c:v>-6.9881478458451565E-2</c:v>
                </c:pt>
                <c:pt idx="5">
                  <c:v>-2.2847077305702401E-2</c:v>
                </c:pt>
                <c:pt idx="6">
                  <c:v>-5.8098568330005394E-2</c:v>
                </c:pt>
                <c:pt idx="7">
                  <c:v>-0.12499426713174636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-1.2548681219075715E-2</c:v>
                </c:pt>
                <c:pt idx="1">
                  <c:v>0.10801699223685385</c:v>
                </c:pt>
                <c:pt idx="2">
                  <c:v>5.063245091407538E-2</c:v>
                </c:pt>
                <c:pt idx="3">
                  <c:v>8.4300303146984695E-2</c:v>
                </c:pt>
                <c:pt idx="4">
                  <c:v>0.12656751240399325</c:v>
                </c:pt>
                <c:pt idx="5">
                  <c:v>0.11991050604096423</c:v>
                </c:pt>
                <c:pt idx="6">
                  <c:v>5.9612936848738904E-2</c:v>
                </c:pt>
                <c:pt idx="7">
                  <c:v>8.6882053939412757E-2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-3.4590846605481285E-2</c:v>
                </c:pt>
                <c:pt idx="1">
                  <c:v>-0.3928734479964795</c:v>
                </c:pt>
                <c:pt idx="2">
                  <c:v>-0.39219451345955136</c:v>
                </c:pt>
                <c:pt idx="3">
                  <c:v>-0.55280134539344339</c:v>
                </c:pt>
                <c:pt idx="4">
                  <c:v>-0.38124920785250294</c:v>
                </c:pt>
                <c:pt idx="5">
                  <c:v>-0.51795450951236899</c:v>
                </c:pt>
                <c:pt idx="6">
                  <c:v>-0.22162743171483407</c:v>
                </c:pt>
                <c:pt idx="7">
                  <c:v>-0.40201585901004655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-0.29273266768551542</c:v>
                </c:pt>
                <c:pt idx="1">
                  <c:v>-0.41654304969647948</c:v>
                </c:pt>
                <c:pt idx="2">
                  <c:v>-0.18339603021235151</c:v>
                </c:pt>
                <c:pt idx="3">
                  <c:v>-0.46447856989823566</c:v>
                </c:pt>
                <c:pt idx="4">
                  <c:v>-0.25955043219214274</c:v>
                </c:pt>
                <c:pt idx="5">
                  <c:v>-0.56384711463070247</c:v>
                </c:pt>
                <c:pt idx="6">
                  <c:v>-1.0216188542192122E-2</c:v>
                </c:pt>
                <c:pt idx="7">
                  <c:v>-0.46743807153204797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-1.2114622673173481E-2</c:v>
                </c:pt>
                <c:pt idx="1">
                  <c:v>0.31953047890352049</c:v>
                </c:pt>
                <c:pt idx="2">
                  <c:v>0.28503634041301795</c:v>
                </c:pt>
                <c:pt idx="3">
                  <c:v>0.46156602820227344</c:v>
                </c:pt>
                <c:pt idx="4">
                  <c:v>0.42480121988631425</c:v>
                </c:pt>
                <c:pt idx="5">
                  <c:v>0.66436153607763093</c:v>
                </c:pt>
                <c:pt idx="6">
                  <c:v>0.31685576215825423</c:v>
                </c:pt>
                <c:pt idx="7">
                  <c:v>0.45493204503823104</c:v>
                </c:pt>
              </c:numCache>
            </c:numRef>
          </c:val>
        </c:ser>
        <c:axId val="363020288"/>
        <c:axId val="363021824"/>
      </c:barChart>
      <c:catAx>
        <c:axId val="363020288"/>
        <c:scaling>
          <c:orientation val="minMax"/>
        </c:scaling>
        <c:axPos val="b"/>
        <c:tickLblPos val="nextTo"/>
        <c:crossAx val="363021824"/>
        <c:crosses val="autoZero"/>
        <c:auto val="1"/>
        <c:lblAlgn val="ctr"/>
        <c:lblOffset val="100"/>
      </c:catAx>
      <c:valAx>
        <c:axId val="363021824"/>
        <c:scaling>
          <c:orientation val="minMax"/>
        </c:scaling>
        <c:axPos val="l"/>
        <c:majorGridlines/>
        <c:numFmt formatCode="0.0%" sourceLinked="1"/>
        <c:tickLblPos val="nextTo"/>
        <c:crossAx val="3630202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9600218722659682"/>
          <c:y val="0.21878129039840413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0.43039087883433191</c:v>
                </c:pt>
                <c:pt idx="1">
                  <c:v>3.6972683400273113E-2</c:v>
                </c:pt>
                <c:pt idx="2">
                  <c:v>2.4819463366907605E-2</c:v>
                </c:pt>
                <c:pt idx="3">
                  <c:v>1.8043517456574575E-2</c:v>
                </c:pt>
                <c:pt idx="4">
                  <c:v>1.1376570205652498E-2</c:v>
                </c:pt>
                <c:pt idx="5">
                  <c:v>7.0149339105213043E-4</c:v>
                </c:pt>
                <c:pt idx="6">
                  <c:v>0.28440629910722171</c:v>
                </c:pt>
                <c:pt idx="7">
                  <c:v>1.9579911300634547E-2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1.8448543615421698E-2</c:v>
                </c:pt>
                <c:pt idx="1">
                  <c:v>3.5898695383609555E-2</c:v>
                </c:pt>
                <c:pt idx="2">
                  <c:v>2.7611921197670742E-2</c:v>
                </c:pt>
                <c:pt idx="3">
                  <c:v>1.9780001624355937E-2</c:v>
                </c:pt>
                <c:pt idx="4">
                  <c:v>1.5572037121685096E-2</c:v>
                </c:pt>
                <c:pt idx="5">
                  <c:v>2.4120654550053421E-3</c:v>
                </c:pt>
                <c:pt idx="6">
                  <c:v>2.7782571095872899E-2</c:v>
                </c:pt>
                <c:pt idx="7">
                  <c:v>2.6203347443730828E-2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1.7627224759322102E-2</c:v>
                </c:pt>
                <c:pt idx="1">
                  <c:v>3.0459413825753207E-2</c:v>
                </c:pt>
                <c:pt idx="2">
                  <c:v>2.3458673975069393E-2</c:v>
                </c:pt>
                <c:pt idx="3">
                  <c:v>1.590723491000734E-2</c:v>
                </c:pt>
                <c:pt idx="4">
                  <c:v>1.2246006219455603E-2</c:v>
                </c:pt>
                <c:pt idx="5">
                  <c:v>1.4880618989675438E-3</c:v>
                </c:pt>
                <c:pt idx="6">
                  <c:v>2.6024933412539974E-2</c:v>
                </c:pt>
                <c:pt idx="7">
                  <c:v>2.1955826653919673E-2</c:v>
                </c:pt>
              </c:numCache>
            </c:numRef>
          </c:val>
        </c:ser>
        <c:gapWidth val="100"/>
        <c:overlap val="100"/>
        <c:axId val="364358656"/>
        <c:axId val="364393216"/>
      </c:barChart>
      <c:catAx>
        <c:axId val="364358656"/>
        <c:scaling>
          <c:orientation val="minMax"/>
        </c:scaling>
        <c:axPos val="l"/>
        <c:numFmt formatCode="0%" sourceLinked="1"/>
        <c:tickLblPos val="nextTo"/>
        <c:crossAx val="364393216"/>
        <c:crosses val="autoZero"/>
        <c:auto val="1"/>
        <c:lblAlgn val="ctr"/>
        <c:lblOffset val="100"/>
      </c:catAx>
      <c:valAx>
        <c:axId val="364393216"/>
        <c:scaling>
          <c:orientation val="minMax"/>
        </c:scaling>
        <c:axPos val="b"/>
        <c:majorGridlines/>
        <c:numFmt formatCode="0%" sourceLinked="0"/>
        <c:tickLblPos val="nextTo"/>
        <c:crossAx val="364358656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0.41977054658713842</c:v>
                </c:pt>
                <c:pt idx="1">
                  <c:v>0.2415691552104362</c:v>
                </c:pt>
                <c:pt idx="2">
                  <c:v>1.682862067096734E-2</c:v>
                </c:pt>
                <c:pt idx="3">
                  <c:v>2.0415139849541076E-4</c:v>
                </c:pt>
                <c:pt idx="4">
                  <c:v>8.0915635697171862E-3</c:v>
                </c:pt>
                <c:pt idx="5">
                  <c:v>1.8868638402545538E-3</c:v>
                </c:pt>
                <c:pt idx="6">
                  <c:v>0.14180118273238318</c:v>
                </c:pt>
                <c:pt idx="7">
                  <c:v>3.1869048175254466E-3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1.8975664182229124E-2</c:v>
                </c:pt>
                <c:pt idx="1">
                  <c:v>4.6158509499023948E-2</c:v>
                </c:pt>
                <c:pt idx="2">
                  <c:v>2.6481442291100395E-2</c:v>
                </c:pt>
                <c:pt idx="3">
                  <c:v>1.1655243792200204E-3</c:v>
                </c:pt>
                <c:pt idx="4">
                  <c:v>1.3802812499804654E-2</c:v>
                </c:pt>
                <c:pt idx="5">
                  <c:v>5.8228988581702223E-3</c:v>
                </c:pt>
                <c:pt idx="6">
                  <c:v>4.7629286718747221E-2</c:v>
                </c:pt>
                <c:pt idx="7">
                  <c:v>6.6248727447866728E-3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1.6035414407438386E-2</c:v>
                </c:pt>
                <c:pt idx="1">
                  <c:v>4.2527297232843153E-2</c:v>
                </c:pt>
                <c:pt idx="2">
                  <c:v>1.8062955423050919E-2</c:v>
                </c:pt>
                <c:pt idx="3">
                  <c:v>6.5683249761021756E-4</c:v>
                </c:pt>
                <c:pt idx="4">
                  <c:v>1.153202635122666E-2</c:v>
                </c:pt>
                <c:pt idx="5">
                  <c:v>3.7131843789154932E-3</c:v>
                </c:pt>
                <c:pt idx="6">
                  <c:v>4.5769396091354025E-2</c:v>
                </c:pt>
                <c:pt idx="7">
                  <c:v>4.4707858430049763E-3</c:v>
                </c:pt>
              </c:numCache>
            </c:numRef>
          </c:val>
        </c:ser>
        <c:gapWidth val="100"/>
        <c:overlap val="100"/>
        <c:axId val="364426752"/>
        <c:axId val="364428288"/>
      </c:barChart>
      <c:catAx>
        <c:axId val="364426752"/>
        <c:scaling>
          <c:orientation val="minMax"/>
        </c:scaling>
        <c:axPos val="l"/>
        <c:numFmt formatCode="0%" sourceLinked="1"/>
        <c:tickLblPos val="nextTo"/>
        <c:crossAx val="364428288"/>
        <c:crosses val="autoZero"/>
        <c:auto val="1"/>
        <c:lblAlgn val="ctr"/>
        <c:lblOffset val="100"/>
      </c:catAx>
      <c:valAx>
        <c:axId val="364428288"/>
        <c:scaling>
          <c:orientation val="minMax"/>
        </c:scaling>
        <c:axPos val="b"/>
        <c:majorGridlines/>
        <c:numFmt formatCode="0%" sourceLinked="0"/>
        <c:tickLblPos val="nextTo"/>
        <c:crossAx val="3644267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0.41977054658713842</c:v>
                </c:pt>
                <c:pt idx="1">
                  <c:v>0.2415691552104362</c:v>
                </c:pt>
                <c:pt idx="2">
                  <c:v>1.682862067096734E-2</c:v>
                </c:pt>
                <c:pt idx="3">
                  <c:v>2.0415139849541076E-4</c:v>
                </c:pt>
                <c:pt idx="4">
                  <c:v>8.0915635697171862E-3</c:v>
                </c:pt>
                <c:pt idx="5">
                  <c:v>1.8868638402545538E-3</c:v>
                </c:pt>
                <c:pt idx="6">
                  <c:v>0.14180118273238318</c:v>
                </c:pt>
                <c:pt idx="7">
                  <c:v>3.1869048175254466E-3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1.8975664182229124E-2</c:v>
                </c:pt>
                <c:pt idx="1">
                  <c:v>4.6158509499023948E-2</c:v>
                </c:pt>
                <c:pt idx="2">
                  <c:v>2.6481442291100395E-2</c:v>
                </c:pt>
                <c:pt idx="3">
                  <c:v>1.1655243792200204E-3</c:v>
                </c:pt>
                <c:pt idx="4">
                  <c:v>1.3802812499804654E-2</c:v>
                </c:pt>
                <c:pt idx="5">
                  <c:v>5.8228988581702223E-3</c:v>
                </c:pt>
                <c:pt idx="6">
                  <c:v>4.7629286718747221E-2</c:v>
                </c:pt>
                <c:pt idx="7">
                  <c:v>6.6248727447866728E-3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1.6035414407438386E-2</c:v>
                </c:pt>
                <c:pt idx="1">
                  <c:v>4.2527297232843153E-2</c:v>
                </c:pt>
                <c:pt idx="2">
                  <c:v>1.8062955423050919E-2</c:v>
                </c:pt>
                <c:pt idx="3">
                  <c:v>6.5683249761021756E-4</c:v>
                </c:pt>
                <c:pt idx="4">
                  <c:v>1.153202635122666E-2</c:v>
                </c:pt>
                <c:pt idx="5">
                  <c:v>3.7131843789154932E-3</c:v>
                </c:pt>
                <c:pt idx="6">
                  <c:v>4.5769396091354025E-2</c:v>
                </c:pt>
                <c:pt idx="7">
                  <c:v>4.4707858430049763E-3</c:v>
                </c:pt>
              </c:numCache>
            </c:numRef>
          </c:val>
        </c:ser>
        <c:gapWidth val="100"/>
        <c:overlap val="100"/>
        <c:axId val="364663168"/>
        <c:axId val="364664704"/>
      </c:barChart>
      <c:catAx>
        <c:axId val="364663168"/>
        <c:scaling>
          <c:orientation val="minMax"/>
        </c:scaling>
        <c:axPos val="l"/>
        <c:numFmt formatCode="0%" sourceLinked="1"/>
        <c:tickLblPos val="nextTo"/>
        <c:crossAx val="364664704"/>
        <c:crosses val="autoZero"/>
        <c:auto val="1"/>
        <c:lblAlgn val="ctr"/>
        <c:lblOffset val="100"/>
      </c:catAx>
      <c:valAx>
        <c:axId val="364664704"/>
        <c:scaling>
          <c:orientation val="minMax"/>
        </c:scaling>
        <c:axPos val="b"/>
        <c:majorGridlines/>
        <c:numFmt formatCode="0%" sourceLinked="0"/>
        <c:tickLblPos val="nextTo"/>
        <c:crossAx val="3646631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0.43371668412421083</c:v>
                </c:pt>
                <c:pt idx="1">
                  <c:v>0.35589478830555532</c:v>
                </c:pt>
                <c:pt idx="2">
                  <c:v>3.1565572565758091E-3</c:v>
                </c:pt>
                <c:pt idx="3">
                  <c:v>7.6470024659688288E-4</c:v>
                </c:pt>
                <c:pt idx="4">
                  <c:v>2.201892115328861E-3</c:v>
                </c:pt>
                <c:pt idx="5">
                  <c:v>1.8849122587955683E-4</c:v>
                </c:pt>
                <c:pt idx="6">
                  <c:v>6.6619782903767646E-2</c:v>
                </c:pt>
                <c:pt idx="7">
                  <c:v>5.298236649243269E-3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1.847185160674214E-2</c:v>
                </c:pt>
                <c:pt idx="1">
                  <c:v>3.3342869794613372E-2</c:v>
                </c:pt>
                <c:pt idx="2">
                  <c:v>7.70852372115586E-3</c:v>
                </c:pt>
                <c:pt idx="3">
                  <c:v>3.6902248764961098E-3</c:v>
                </c:pt>
                <c:pt idx="4">
                  <c:v>7.668351350952991E-3</c:v>
                </c:pt>
                <c:pt idx="5">
                  <c:v>2.0727809305607138E-3</c:v>
                </c:pt>
                <c:pt idx="6">
                  <c:v>4.8067140235590139E-2</c:v>
                </c:pt>
                <c:pt idx="7">
                  <c:v>1.1137124656730023E-2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1.988200787590888E-2</c:v>
                </c:pt>
                <c:pt idx="1">
                  <c:v>3.2314577154007262E-2</c:v>
                </c:pt>
                <c:pt idx="2">
                  <c:v>5.3314351295471012E-3</c:v>
                </c:pt>
                <c:pt idx="3">
                  <c:v>2.043155665127399E-3</c:v>
                </c:pt>
                <c:pt idx="4">
                  <c:v>4.4811819258965147E-3</c:v>
                </c:pt>
                <c:pt idx="5">
                  <c:v>8.1676723627584517E-4</c:v>
                </c:pt>
                <c:pt idx="6">
                  <c:v>3.9379326366002512E-2</c:v>
                </c:pt>
                <c:pt idx="7">
                  <c:v>8.5651232199000227E-3</c:v>
                </c:pt>
              </c:numCache>
            </c:numRef>
          </c:val>
        </c:ser>
        <c:gapWidth val="100"/>
        <c:overlap val="100"/>
        <c:axId val="364694144"/>
        <c:axId val="364450176"/>
      </c:barChart>
      <c:catAx>
        <c:axId val="364694144"/>
        <c:scaling>
          <c:orientation val="minMax"/>
        </c:scaling>
        <c:axPos val="l"/>
        <c:tickLblPos val="nextTo"/>
        <c:crossAx val="364450176"/>
        <c:crosses val="autoZero"/>
        <c:auto val="1"/>
        <c:lblAlgn val="ctr"/>
        <c:lblOffset val="100"/>
      </c:catAx>
      <c:valAx>
        <c:axId val="364450176"/>
        <c:scaling>
          <c:orientation val="minMax"/>
        </c:scaling>
        <c:axPos val="b"/>
        <c:majorGridlines/>
        <c:numFmt formatCode="0%" sourceLinked="0"/>
        <c:tickLblPos val="nextTo"/>
        <c:crossAx val="3646941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0.99932874478584455</c:v>
                </c:pt>
                <c:pt idx="1">
                  <c:v>2.3742546227409495E-6</c:v>
                </c:pt>
                <c:pt idx="2">
                  <c:v>1.4732065493047651E-6</c:v>
                </c:pt>
                <c:pt idx="3">
                  <c:v>1.1364448174090732E-7</c:v>
                </c:pt>
                <c:pt idx="4">
                  <c:v>7.4481359235523166E-7</c:v>
                </c:pt>
                <c:pt idx="5">
                  <c:v>1.3813918155885488E-7</c:v>
                </c:pt>
                <c:pt idx="6">
                  <c:v>9.3137440414271065E-6</c:v>
                </c:pt>
                <c:pt idx="7">
                  <c:v>1.2852960439603807E-6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1.8543420485928053E-4</c:v>
                </c:pt>
                <c:pt idx="1">
                  <c:v>7.183308306372288E-5</c:v>
                </c:pt>
                <c:pt idx="2">
                  <c:v>6.0490193647034238E-5</c:v>
                </c:pt>
                <c:pt idx="3">
                  <c:v>2.5419929816579731E-5</c:v>
                </c:pt>
                <c:pt idx="4">
                  <c:v>5.7527846211620585E-5</c:v>
                </c:pt>
                <c:pt idx="5">
                  <c:v>3.1464331054925914E-5</c:v>
                </c:pt>
                <c:pt idx="6">
                  <c:v>1.6306696574129237E-4</c:v>
                </c:pt>
                <c:pt idx="7">
                  <c:v>6.0575561248759092E-5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2.0714001480992561E-4</c:v>
                </c:pt>
                <c:pt idx="1">
                  <c:v>2.5493115228279197E-5</c:v>
                </c:pt>
                <c:pt idx="2">
                  <c:v>1.4882221574072144E-5</c:v>
                </c:pt>
                <c:pt idx="3">
                  <c:v>3.1583049061483567E-7</c:v>
                </c:pt>
                <c:pt idx="4">
                  <c:v>1.2579453845787817E-5</c:v>
                </c:pt>
                <c:pt idx="5">
                  <c:v>7.7560760283257435E-6</c:v>
                </c:pt>
                <c:pt idx="6">
                  <c:v>9.0449947490545346E-5</c:v>
                </c:pt>
                <c:pt idx="7">
                  <c:v>2.3087210334951107E-5</c:v>
                </c:pt>
              </c:numCache>
            </c:numRef>
          </c:val>
        </c:ser>
        <c:gapWidth val="100"/>
        <c:overlap val="100"/>
        <c:axId val="364467328"/>
        <c:axId val="364468864"/>
      </c:barChart>
      <c:catAx>
        <c:axId val="364467328"/>
        <c:scaling>
          <c:orientation val="minMax"/>
        </c:scaling>
        <c:axPos val="l"/>
        <c:tickLblPos val="nextTo"/>
        <c:crossAx val="364468864"/>
        <c:crosses val="autoZero"/>
        <c:auto val="1"/>
        <c:lblAlgn val="ctr"/>
        <c:lblOffset val="100"/>
      </c:catAx>
      <c:valAx>
        <c:axId val="364468864"/>
        <c:scaling>
          <c:orientation val="minMax"/>
        </c:scaling>
        <c:axPos val="b"/>
        <c:majorGridlines/>
        <c:numFmt formatCode="0%" sourceLinked="0"/>
        <c:tickLblPos val="nextTo"/>
        <c:crossAx val="3644673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0.97079579509473302</c:v>
                </c:pt>
                <c:pt idx="1">
                  <c:v>4.0884173661599693E-7</c:v>
                </c:pt>
                <c:pt idx="2">
                  <c:v>3.451818515533854E-6</c:v>
                </c:pt>
                <c:pt idx="3">
                  <c:v>4.5184982193509266E-7</c:v>
                </c:pt>
                <c:pt idx="4">
                  <c:v>1.2300478341310379E-6</c:v>
                </c:pt>
                <c:pt idx="5">
                  <c:v>1.8635237596109894E-7</c:v>
                </c:pt>
                <c:pt idx="6">
                  <c:v>2.7475462294573944E-2</c:v>
                </c:pt>
                <c:pt idx="7">
                  <c:v>5.2471033047249152E-7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4.5731876149923689E-4</c:v>
                </c:pt>
                <c:pt idx="1">
                  <c:v>1.1757033842691926E-4</c:v>
                </c:pt>
                <c:pt idx="2">
                  <c:v>2.9082793426141385E-4</c:v>
                </c:pt>
                <c:pt idx="3">
                  <c:v>1.0798319659531254E-4</c:v>
                </c:pt>
                <c:pt idx="4">
                  <c:v>1.2208536244038271E-4</c:v>
                </c:pt>
                <c:pt idx="5">
                  <c:v>7.2588349444237019E-5</c:v>
                </c:pt>
                <c:pt idx="6">
                  <c:v>4.5932328274096365E-4</c:v>
                </c:pt>
                <c:pt idx="7">
                  <c:v>9.4791764669017444E-5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3.7571265894165151E-4</c:v>
                </c:pt>
                <c:pt idx="1">
                  <c:v>4.0727418941925616E-6</c:v>
                </c:pt>
                <c:pt idx="2">
                  <c:v>1.1487167893751906E-4</c:v>
                </c:pt>
                <c:pt idx="3">
                  <c:v>3.7920017648970057E-6</c:v>
                </c:pt>
                <c:pt idx="4">
                  <c:v>2.1142189444906602E-5</c:v>
                </c:pt>
                <c:pt idx="5">
                  <c:v>8.6543577533328061E-6</c:v>
                </c:pt>
                <c:pt idx="6">
                  <c:v>4.7735199251022764E-4</c:v>
                </c:pt>
                <c:pt idx="7">
                  <c:v>2.8400468224765288E-5</c:v>
                </c:pt>
              </c:numCache>
            </c:numRef>
          </c:val>
        </c:ser>
        <c:gapWidth val="100"/>
        <c:overlap val="100"/>
        <c:axId val="364510592"/>
        <c:axId val="364520576"/>
      </c:barChart>
      <c:catAx>
        <c:axId val="364510592"/>
        <c:scaling>
          <c:orientation val="minMax"/>
        </c:scaling>
        <c:axPos val="l"/>
        <c:tickLblPos val="nextTo"/>
        <c:crossAx val="364520576"/>
        <c:crosses val="autoZero"/>
        <c:auto val="1"/>
        <c:lblAlgn val="ctr"/>
        <c:lblOffset val="100"/>
      </c:catAx>
      <c:valAx>
        <c:axId val="364520576"/>
        <c:scaling>
          <c:orientation val="minMax"/>
        </c:scaling>
        <c:axPos val="b"/>
        <c:majorGridlines/>
        <c:numFmt formatCode="0%" sourceLinked="0"/>
        <c:tickLblPos val="nextTo"/>
        <c:crossAx val="3645105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0.94618067714506604</c:v>
                </c:pt>
                <c:pt idx="1">
                  <c:v>4.9883781419215686E-4</c:v>
                </c:pt>
                <c:pt idx="2">
                  <c:v>1.2016019182301829E-3</c:v>
                </c:pt>
                <c:pt idx="3">
                  <c:v>8.3710397927411355E-6</c:v>
                </c:pt>
                <c:pt idx="4">
                  <c:v>1.6356733153779403E-4</c:v>
                </c:pt>
                <c:pt idx="5">
                  <c:v>1.0246018329702535E-2</c:v>
                </c:pt>
                <c:pt idx="6">
                  <c:v>7.9265190293995979E-4</c:v>
                </c:pt>
                <c:pt idx="7">
                  <c:v>5.0114215917915927E-5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1.2532398847286186E-2</c:v>
                </c:pt>
                <c:pt idx="1">
                  <c:v>1.5041451572691156E-3</c:v>
                </c:pt>
                <c:pt idx="2">
                  <c:v>2.6818213550206986E-3</c:v>
                </c:pt>
                <c:pt idx="3">
                  <c:v>1.6310430925309564E-4</c:v>
                </c:pt>
                <c:pt idx="4">
                  <c:v>9.1271557608130064E-4</c:v>
                </c:pt>
                <c:pt idx="5">
                  <c:v>2.0976434055511677E-2</c:v>
                </c:pt>
                <c:pt idx="6">
                  <c:v>1.7514499813255902E-3</c:v>
                </c:pt>
                <c:pt idx="7">
                  <c:v>3.3609102087319321E-4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2.1785674660607879E-2</c:v>
                </c:pt>
                <c:pt idx="1">
                  <c:v>9.2292504847207857E-4</c:v>
                </c:pt>
                <c:pt idx="2">
                  <c:v>1.8717195650676073E-3</c:v>
                </c:pt>
                <c:pt idx="3">
                  <c:v>8.0313803484364995E-5</c:v>
                </c:pt>
                <c:pt idx="4">
                  <c:v>5.3746064809001765E-4</c:v>
                </c:pt>
                <c:pt idx="5">
                  <c:v>1.2331642251745149E-2</c:v>
                </c:pt>
                <c:pt idx="6">
                  <c:v>1.2077315065035709E-3</c:v>
                </c:pt>
                <c:pt idx="7">
                  <c:v>1.2889013149842602E-4</c:v>
                </c:pt>
              </c:numCache>
            </c:numRef>
          </c:val>
        </c:ser>
        <c:gapWidth val="100"/>
        <c:overlap val="100"/>
        <c:axId val="364541824"/>
        <c:axId val="364543360"/>
      </c:barChart>
      <c:catAx>
        <c:axId val="364541824"/>
        <c:scaling>
          <c:orientation val="minMax"/>
        </c:scaling>
        <c:axPos val="l"/>
        <c:numFmt formatCode="0%" sourceLinked="1"/>
        <c:tickLblPos val="nextTo"/>
        <c:crossAx val="364543360"/>
        <c:crosses val="autoZero"/>
        <c:auto val="1"/>
        <c:lblAlgn val="ctr"/>
        <c:lblOffset val="100"/>
      </c:catAx>
      <c:valAx>
        <c:axId val="364543360"/>
        <c:scaling>
          <c:orientation val="minMax"/>
        </c:scaling>
        <c:axPos val="b"/>
        <c:majorGridlines/>
        <c:numFmt formatCode="0%" sourceLinked="0"/>
        <c:tickLblPos val="nextTo"/>
        <c:crossAx val="3645418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0.7616757298832082</c:v>
                </c:pt>
                <c:pt idx="1">
                  <c:v>4.6160585105531884E-3</c:v>
                </c:pt>
                <c:pt idx="2">
                  <c:v>1.1969865436725251E-3</c:v>
                </c:pt>
                <c:pt idx="3">
                  <c:v>1.76528941432922E-4</c:v>
                </c:pt>
                <c:pt idx="4">
                  <c:v>9.4440179737372742E-5</c:v>
                </c:pt>
                <c:pt idx="5">
                  <c:v>2.4349161340634393E-2</c:v>
                </c:pt>
                <c:pt idx="6">
                  <c:v>9.7978981805890084E-3</c:v>
                </c:pt>
                <c:pt idx="7">
                  <c:v>0.11321011185898303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6.9635661659844805E-3</c:v>
                </c:pt>
                <c:pt idx="1">
                  <c:v>1.6420563420987664E-2</c:v>
                </c:pt>
                <c:pt idx="2">
                  <c:v>5.6096020051126195E-3</c:v>
                </c:pt>
                <c:pt idx="3">
                  <c:v>2.1806263858005761E-3</c:v>
                </c:pt>
                <c:pt idx="4">
                  <c:v>1.6443265868114785E-3</c:v>
                </c:pt>
                <c:pt idx="5">
                  <c:v>1.0612158771087832E-2</c:v>
                </c:pt>
                <c:pt idx="6">
                  <c:v>2.0363747550251363E-2</c:v>
                </c:pt>
                <c:pt idx="7">
                  <c:v>2.1088493675153308E-2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7.2772468944221069E-3</c:v>
                </c:pt>
                <c:pt idx="1">
                  <c:v>1.175504941964672E-2</c:v>
                </c:pt>
                <c:pt idx="2">
                  <c:v>3.3875033114036494E-3</c:v>
                </c:pt>
                <c:pt idx="3">
                  <c:v>8.5149700834100421E-4</c:v>
                </c:pt>
                <c:pt idx="4">
                  <c:v>8.2001402664996456E-4</c:v>
                </c:pt>
                <c:pt idx="5">
                  <c:v>1.0596895862897172E-2</c:v>
                </c:pt>
                <c:pt idx="6">
                  <c:v>1.594071896814692E-2</c:v>
                </c:pt>
                <c:pt idx="7">
                  <c:v>2.0055238533665337E-2</c:v>
                </c:pt>
              </c:numCache>
            </c:numRef>
          </c:val>
        </c:ser>
        <c:gapWidth val="100"/>
        <c:overlap val="100"/>
        <c:axId val="365760896"/>
        <c:axId val="365762432"/>
      </c:barChart>
      <c:catAx>
        <c:axId val="365760896"/>
        <c:scaling>
          <c:orientation val="minMax"/>
        </c:scaling>
        <c:axPos val="l"/>
        <c:tickLblPos val="nextTo"/>
        <c:crossAx val="365762432"/>
        <c:crosses val="autoZero"/>
        <c:auto val="1"/>
        <c:lblAlgn val="ctr"/>
        <c:lblOffset val="100"/>
      </c:catAx>
      <c:valAx>
        <c:axId val="365762432"/>
        <c:scaling>
          <c:orientation val="minMax"/>
        </c:scaling>
        <c:axPos val="b"/>
        <c:majorGridlines/>
        <c:numFmt formatCode="0%" sourceLinked="0"/>
        <c:tickLblPos val="nextTo"/>
        <c:crossAx val="3657608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4.6937370278015221E-2</c:v>
                </c:pt>
                <c:pt idx="1">
                  <c:v>2.9312166125238796E-2</c:v>
                </c:pt>
                <c:pt idx="2">
                  <c:v>2.0279333863967693E-2</c:v>
                </c:pt>
                <c:pt idx="3">
                  <c:v>1.2860531336685349E-2</c:v>
                </c:pt>
                <c:pt idx="4">
                  <c:v>5.63096498964717E-4</c:v>
                </c:pt>
                <c:pt idx="5">
                  <c:v>0.50379808216417132</c:v>
                </c:pt>
                <c:pt idx="6">
                  <c:v>2.5200801471259721E-2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8.3907385566568848E-2</c:v>
                </c:pt>
                <c:pt idx="1">
                  <c:v>6.5232014368935679E-2</c:v>
                </c:pt>
                <c:pt idx="2">
                  <c:v>4.9759616540069003E-2</c:v>
                </c:pt>
                <c:pt idx="3">
                  <c:v>3.6812073219377697E-2</c:v>
                </c:pt>
                <c:pt idx="4">
                  <c:v>5.1586334214997068E-3</c:v>
                </c:pt>
                <c:pt idx="5">
                  <c:v>6.209159290021149E-2</c:v>
                </c:pt>
                <c:pt idx="6">
                  <c:v>5.8087302245034597E-2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8.5092882531260766E-2</c:v>
                </c:pt>
                <c:pt idx="1">
                  <c:v>6.4656198917454541E-2</c:v>
                </c:pt>
                <c:pt idx="2">
                  <c:v>4.7829287085160113E-2</c:v>
                </c:pt>
                <c:pt idx="3">
                  <c:v>3.5320128671664251E-2</c:v>
                </c:pt>
                <c:pt idx="4">
                  <c:v>5.2838554237472479E-3</c:v>
                </c:pt>
                <c:pt idx="5">
                  <c:v>6.107393916382986E-2</c:v>
                </c:pt>
                <c:pt idx="6">
                  <c:v>6.3206153348171604E-2</c:v>
                </c:pt>
              </c:numCache>
            </c:numRef>
          </c:val>
        </c:ser>
        <c:gapWidth val="101"/>
        <c:overlap val="100"/>
        <c:axId val="367913984"/>
        <c:axId val="365826816"/>
      </c:barChart>
      <c:catAx>
        <c:axId val="367913984"/>
        <c:scaling>
          <c:orientation val="minMax"/>
        </c:scaling>
        <c:axPos val="l"/>
        <c:tickLblPos val="nextTo"/>
        <c:crossAx val="365826816"/>
        <c:crosses val="autoZero"/>
        <c:auto val="1"/>
        <c:lblAlgn val="ctr"/>
        <c:lblOffset val="100"/>
      </c:catAx>
      <c:valAx>
        <c:axId val="365826816"/>
        <c:scaling>
          <c:orientation val="minMax"/>
        </c:scaling>
        <c:axPos val="b"/>
        <c:majorGridlines/>
        <c:numFmt formatCode="0%" sourceLinked="0"/>
        <c:tickLblPos val="nextTo"/>
        <c:crossAx val="3679139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0.39694230539051029</c:v>
                </c:pt>
                <c:pt idx="1">
                  <c:v>1.9051202688133765E-2</c:v>
                </c:pt>
                <c:pt idx="2">
                  <c:v>1.4149313951579561E-4</c:v>
                </c:pt>
                <c:pt idx="3">
                  <c:v>7.021737071949934E-3</c:v>
                </c:pt>
                <c:pt idx="4">
                  <c:v>1.1877488317298746E-3</c:v>
                </c:pt>
                <c:pt idx="5">
                  <c:v>0.22270817306180651</c:v>
                </c:pt>
                <c:pt idx="6">
                  <c:v>2.7730334842773915E-3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0.11877181600291492</c:v>
                </c:pt>
                <c:pt idx="1">
                  <c:v>5.7813060425464871E-2</c:v>
                </c:pt>
                <c:pt idx="2">
                  <c:v>2.3104837107112406E-3</c:v>
                </c:pt>
                <c:pt idx="3">
                  <c:v>3.2861959339969389E-2</c:v>
                </c:pt>
                <c:pt idx="4">
                  <c:v>1.2708124371962162E-2</c:v>
                </c:pt>
                <c:pt idx="5">
                  <c:v>0.11100679154382398</c:v>
                </c:pt>
                <c:pt idx="6">
                  <c:v>1.4702070937229568E-2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0.11803988794402409</c:v>
                </c:pt>
                <c:pt idx="1">
                  <c:v>6.133382714144188E-2</c:v>
                </c:pt>
                <c:pt idx="2">
                  <c:v>2.2715404020172657E-3</c:v>
                </c:pt>
                <c:pt idx="3">
                  <c:v>3.509925048282201E-2</c:v>
                </c:pt>
                <c:pt idx="4">
                  <c:v>1.2538876163144223E-2</c:v>
                </c:pt>
                <c:pt idx="5">
                  <c:v>0.11017066205222309</c:v>
                </c:pt>
                <c:pt idx="6">
                  <c:v>1.3818302583847857E-2</c:v>
                </c:pt>
              </c:numCache>
            </c:numRef>
          </c:val>
        </c:ser>
        <c:gapWidth val="101"/>
        <c:overlap val="100"/>
        <c:axId val="365852160"/>
        <c:axId val="365853696"/>
      </c:barChart>
      <c:catAx>
        <c:axId val="365852160"/>
        <c:scaling>
          <c:orientation val="minMax"/>
        </c:scaling>
        <c:axPos val="l"/>
        <c:tickLblPos val="nextTo"/>
        <c:crossAx val="365853696"/>
        <c:crosses val="autoZero"/>
        <c:auto val="1"/>
        <c:lblAlgn val="ctr"/>
        <c:lblOffset val="100"/>
      </c:catAx>
      <c:valAx>
        <c:axId val="365853696"/>
        <c:scaling>
          <c:orientation val="minMax"/>
        </c:scaling>
        <c:axPos val="b"/>
        <c:majorGridlines/>
        <c:numFmt formatCode="0%" sourceLinked="0"/>
        <c:tickLblPos val="nextTo"/>
        <c:crossAx val="36585216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7.9543619936708939E-3</c:v>
                </c:pt>
                <c:pt idx="1">
                  <c:v>1.8641559663290515E-2</c:v>
                </c:pt>
                <c:pt idx="2">
                  <c:v>4.2913425149904465E-5</c:v>
                </c:pt>
                <c:pt idx="3">
                  <c:v>2.0582173091062451E-3</c:v>
                </c:pt>
                <c:pt idx="4">
                  <c:v>0.36692043729647367</c:v>
                </c:pt>
                <c:pt idx="5">
                  <c:v>1.3821595455864751E-2</c:v>
                </c:pt>
                <c:pt idx="6">
                  <c:v>5.8191092347787093E-4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6.4497981909271557E-2</c:v>
                </c:pt>
                <c:pt idx="1">
                  <c:v>0.11975519022015002</c:v>
                </c:pt>
                <c:pt idx="2">
                  <c:v>7.0864524017397196E-3</c:v>
                </c:pt>
                <c:pt idx="3">
                  <c:v>3.7319674523488694E-2</c:v>
                </c:pt>
                <c:pt idx="4">
                  <c:v>0.26630869180719713</c:v>
                </c:pt>
                <c:pt idx="5">
                  <c:v>8.069600131684565E-2</c:v>
                </c:pt>
                <c:pt idx="6">
                  <c:v>1.4315011754268858E-2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6.3136551712270589E-2</c:v>
                </c:pt>
                <c:pt idx="1">
                  <c:v>0.12574728525644563</c:v>
                </c:pt>
                <c:pt idx="2">
                  <c:v>6.8342315367000079E-3</c:v>
                </c:pt>
                <c:pt idx="3">
                  <c:v>3.3071006059760044E-2</c:v>
                </c:pt>
                <c:pt idx="4">
                  <c:v>0.23949288772848909</c:v>
                </c:pt>
                <c:pt idx="5">
                  <c:v>8.4700513845290926E-2</c:v>
                </c:pt>
                <c:pt idx="6">
                  <c:v>1.1053537778276333E-2</c:v>
                </c:pt>
              </c:numCache>
            </c:numRef>
          </c:val>
        </c:ser>
        <c:gapWidth val="101"/>
        <c:overlap val="100"/>
        <c:axId val="367927296"/>
        <c:axId val="367928832"/>
      </c:barChart>
      <c:catAx>
        <c:axId val="367927296"/>
        <c:scaling>
          <c:orientation val="minMax"/>
        </c:scaling>
        <c:axPos val="l"/>
        <c:tickLblPos val="nextTo"/>
        <c:crossAx val="367928832"/>
        <c:crosses val="autoZero"/>
        <c:auto val="1"/>
        <c:lblAlgn val="ctr"/>
        <c:lblOffset val="100"/>
      </c:catAx>
      <c:valAx>
        <c:axId val="367928832"/>
        <c:scaling>
          <c:orientation val="minMax"/>
        </c:scaling>
        <c:axPos val="b"/>
        <c:majorGridlines/>
        <c:numFmt formatCode="0%" sourceLinked="0"/>
        <c:tickLblPos val="nextTo"/>
        <c:crossAx val="3679272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0.59692726887130998</c:v>
                </c:pt>
                <c:pt idx="1">
                  <c:v>3.1732129302359073E-3</c:v>
                </c:pt>
                <c:pt idx="2">
                  <c:v>6.6038888482238955E-4</c:v>
                </c:pt>
                <c:pt idx="3">
                  <c:v>1.9960338641519604E-3</c:v>
                </c:pt>
                <c:pt idx="4">
                  <c:v>9.5429177144379932E-5</c:v>
                </c:pt>
                <c:pt idx="5">
                  <c:v>9.2224628034501752E-2</c:v>
                </c:pt>
                <c:pt idx="6">
                  <c:v>4.7494171136568631E-3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0.11778055220837336</c:v>
                </c:pt>
                <c:pt idx="1">
                  <c:v>1.6647528360091358E-2</c:v>
                </c:pt>
                <c:pt idx="2">
                  <c:v>7.5624163582312916E-3</c:v>
                </c:pt>
                <c:pt idx="3">
                  <c:v>1.6327991136825849E-2</c:v>
                </c:pt>
                <c:pt idx="4">
                  <c:v>4.086096139967685E-3</c:v>
                </c:pt>
                <c:pt idx="5">
                  <c:v>0.11232854914465239</c:v>
                </c:pt>
                <c:pt idx="6">
                  <c:v>2.5440487776035036E-2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0.11221493836678875</c:v>
                </c:pt>
                <c:pt idx="1">
                  <c:v>1.567592357444185E-2</c:v>
                </c:pt>
                <c:pt idx="2">
                  <c:v>7.2188297744565297E-3</c:v>
                </c:pt>
                <c:pt idx="3">
                  <c:v>1.7571617284692843E-2</c:v>
                </c:pt>
                <c:pt idx="4">
                  <c:v>4.1549238454322282E-3</c:v>
                </c:pt>
                <c:pt idx="5">
                  <c:v>0.10824336860957004</c:v>
                </c:pt>
                <c:pt idx="6">
                  <c:v>2.589750968881837E-2</c:v>
                </c:pt>
              </c:numCache>
            </c:numRef>
          </c:val>
        </c:ser>
        <c:gapWidth val="100"/>
        <c:overlap val="100"/>
        <c:axId val="367970560"/>
        <c:axId val="367976448"/>
      </c:barChart>
      <c:catAx>
        <c:axId val="367970560"/>
        <c:scaling>
          <c:orientation val="minMax"/>
        </c:scaling>
        <c:axPos val="l"/>
        <c:tickLblPos val="nextTo"/>
        <c:crossAx val="367976448"/>
        <c:crosses val="autoZero"/>
        <c:auto val="1"/>
        <c:lblAlgn val="ctr"/>
        <c:lblOffset val="100"/>
      </c:catAx>
      <c:valAx>
        <c:axId val="367976448"/>
        <c:scaling>
          <c:orientation val="minMax"/>
        </c:scaling>
        <c:axPos val="b"/>
        <c:majorGridlines/>
        <c:numFmt formatCode="0%" sourceLinked="0"/>
        <c:tickLblPos val="nextTo"/>
        <c:crossAx val="36797056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1.6818454559143217E-3</c:v>
                </c:pt>
                <c:pt idx="1">
                  <c:v>8.2408328537140931E-4</c:v>
                </c:pt>
                <c:pt idx="2">
                  <c:v>4.0705235331827969E-5</c:v>
                </c:pt>
                <c:pt idx="3">
                  <c:v>3.2488391009333943E-4</c:v>
                </c:pt>
                <c:pt idx="4">
                  <c:v>4.0247078295502124E-5</c:v>
                </c:pt>
                <c:pt idx="5">
                  <c:v>5.9668056686754314E-3</c:v>
                </c:pt>
                <c:pt idx="6">
                  <c:v>4.3525876268662978E-4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0.15544840794002762</c:v>
                </c:pt>
                <c:pt idx="1">
                  <c:v>0.13911929077552163</c:v>
                </c:pt>
                <c:pt idx="2">
                  <c:v>6.9678209734306371E-2</c:v>
                </c:pt>
                <c:pt idx="3">
                  <c:v>0.12171218932073122</c:v>
                </c:pt>
                <c:pt idx="4">
                  <c:v>7.8886332409256466E-2</c:v>
                </c:pt>
                <c:pt idx="5">
                  <c:v>0.29147308420492368</c:v>
                </c:pt>
                <c:pt idx="6">
                  <c:v>0.13436865621852104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0.21656565747740036</c:v>
                </c:pt>
                <c:pt idx="1">
                  <c:v>0.16693200228128718</c:v>
                </c:pt>
                <c:pt idx="2">
                  <c:v>7.0678953614128542E-2</c:v>
                </c:pt>
                <c:pt idx="3">
                  <c:v>0.14692763230475514</c:v>
                </c:pt>
                <c:pt idx="4">
                  <c:v>7.3395160939651871E-2</c:v>
                </c:pt>
                <c:pt idx="5">
                  <c:v>0.35251381918305186</c:v>
                </c:pt>
                <c:pt idx="6">
                  <c:v>0.17989868498097941</c:v>
                </c:pt>
              </c:numCache>
            </c:numRef>
          </c:val>
        </c:ser>
        <c:gapWidth val="100"/>
        <c:overlap val="100"/>
        <c:axId val="368005888"/>
        <c:axId val="368007424"/>
      </c:barChart>
      <c:catAx>
        <c:axId val="368005888"/>
        <c:scaling>
          <c:orientation val="minMax"/>
        </c:scaling>
        <c:axPos val="l"/>
        <c:tickLblPos val="nextTo"/>
        <c:crossAx val="368007424"/>
        <c:crosses val="autoZero"/>
        <c:auto val="1"/>
        <c:lblAlgn val="ctr"/>
        <c:lblOffset val="100"/>
      </c:catAx>
      <c:valAx>
        <c:axId val="368007424"/>
        <c:scaling>
          <c:orientation val="minMax"/>
        </c:scaling>
        <c:axPos val="b"/>
        <c:majorGridlines/>
        <c:numFmt formatCode="0%" sourceLinked="0"/>
        <c:tickLblPos val="nextTo"/>
        <c:crossAx val="36800588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0.39694230539051029</c:v>
                </c:pt>
                <c:pt idx="1">
                  <c:v>1.9051202688133765E-2</c:v>
                </c:pt>
                <c:pt idx="2">
                  <c:v>1.4149313951579561E-4</c:v>
                </c:pt>
                <c:pt idx="3">
                  <c:v>7.021737071949934E-3</c:v>
                </c:pt>
                <c:pt idx="4">
                  <c:v>1.1877488317298746E-3</c:v>
                </c:pt>
                <c:pt idx="5">
                  <c:v>0.22270817306180651</c:v>
                </c:pt>
                <c:pt idx="6">
                  <c:v>2.7730334842773915E-3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0.11877181600291492</c:v>
                </c:pt>
                <c:pt idx="1">
                  <c:v>5.7813060425464871E-2</c:v>
                </c:pt>
                <c:pt idx="2">
                  <c:v>2.3104837107112406E-3</c:v>
                </c:pt>
                <c:pt idx="3">
                  <c:v>3.2861959339969389E-2</c:v>
                </c:pt>
                <c:pt idx="4">
                  <c:v>1.2708124371962162E-2</c:v>
                </c:pt>
                <c:pt idx="5">
                  <c:v>0.11100679154382398</c:v>
                </c:pt>
                <c:pt idx="6">
                  <c:v>1.4702070937229568E-2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0.11803988794402409</c:v>
                </c:pt>
                <c:pt idx="1">
                  <c:v>6.133382714144188E-2</c:v>
                </c:pt>
                <c:pt idx="2">
                  <c:v>2.2715404020172657E-3</c:v>
                </c:pt>
                <c:pt idx="3">
                  <c:v>3.509925048282201E-2</c:v>
                </c:pt>
                <c:pt idx="4">
                  <c:v>1.2538876163144223E-2</c:v>
                </c:pt>
                <c:pt idx="5">
                  <c:v>0.11017066205222309</c:v>
                </c:pt>
                <c:pt idx="6">
                  <c:v>1.3818302583847857E-2</c:v>
                </c:pt>
              </c:numCache>
            </c:numRef>
          </c:val>
        </c:ser>
        <c:gapWidth val="100"/>
        <c:overlap val="100"/>
        <c:axId val="368036864"/>
        <c:axId val="368042752"/>
      </c:barChart>
      <c:catAx>
        <c:axId val="368036864"/>
        <c:scaling>
          <c:orientation val="minMax"/>
        </c:scaling>
        <c:axPos val="l"/>
        <c:tickLblPos val="nextTo"/>
        <c:crossAx val="368042752"/>
        <c:crosses val="autoZero"/>
        <c:auto val="1"/>
        <c:lblAlgn val="ctr"/>
        <c:lblOffset val="100"/>
      </c:catAx>
      <c:valAx>
        <c:axId val="368042752"/>
        <c:scaling>
          <c:orientation val="minMax"/>
        </c:scaling>
        <c:axPos val="b"/>
        <c:majorGridlines/>
        <c:numFmt formatCode="0%" sourceLinked="0"/>
        <c:tickLblPos val="nextTo"/>
        <c:crossAx val="3680368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0.51571412139342521</c:v>
                </c:pt>
                <c:pt idx="1">
                  <c:v>7.6864263113598633E-2</c:v>
                </c:pt>
                <c:pt idx="2">
                  <c:v>2.4519768502270362E-3</c:v>
                </c:pt>
                <c:pt idx="3">
                  <c:v>3.9883696411919321E-2</c:v>
                </c:pt>
                <c:pt idx="4">
                  <c:v>1.3895873203692037E-2</c:v>
                </c:pt>
                <c:pt idx="5">
                  <c:v>0.33371496460563049</c:v>
                </c:pt>
                <c:pt idx="6">
                  <c:v>1.747510442150696E-2</c:v>
                </c:pt>
              </c:numCache>
            </c:numRef>
          </c:val>
        </c:ser>
        <c:firstSliceAng val="0"/>
      </c:pieChart>
    </c:plotArea>
    <c:legend>
      <c:legendPos val="r"/>
      <c:layout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layout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9.1716822192661005E-3</c:v>
                </c:pt>
                <c:pt idx="1">
                  <c:v>2.413350528378893E-3</c:v>
                </c:pt>
                <c:pt idx="2">
                  <c:v>1.9205328670116194E-4</c:v>
                </c:pt>
                <c:pt idx="3">
                  <c:v>7.36659164726458E-5</c:v>
                </c:pt>
                <c:pt idx="4">
                  <c:v>7.7359174010853834E-2</c:v>
                </c:pt>
                <c:pt idx="5">
                  <c:v>1.9377809612350961E-2</c:v>
                </c:pt>
                <c:pt idx="6">
                  <c:v>0.44071801375367303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8.0454137399083275E-2</c:v>
                </c:pt>
                <c:pt idx="1">
                  <c:v>2.70506000951251E-2</c:v>
                </c:pt>
                <c:pt idx="2">
                  <c:v>1.0146502733645847E-2</c:v>
                </c:pt>
                <c:pt idx="3">
                  <c:v>7.5086004127387397E-3</c:v>
                </c:pt>
                <c:pt idx="4">
                  <c:v>7.5991872466468394E-2</c:v>
                </c:pt>
                <c:pt idx="5">
                  <c:v>0.10823551379813086</c:v>
                </c:pt>
                <c:pt idx="6">
                  <c:v>0.14130702376710991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8.5647661476288148E-2</c:v>
                </c:pt>
                <c:pt idx="1">
                  <c:v>3.2107683234950675E-2</c:v>
                </c:pt>
                <c:pt idx="2">
                  <c:v>1.0227078894522941E-2</c:v>
                </c:pt>
                <c:pt idx="3">
                  <c:v>7.5778414761204825E-3</c:v>
                </c:pt>
                <c:pt idx="4">
                  <c:v>6.9503900927960993E-2</c:v>
                </c:pt>
                <c:pt idx="5">
                  <c:v>0.1087327333306547</c:v>
                </c:pt>
                <c:pt idx="6">
                  <c:v>0.14323604833747483</c:v>
                </c:pt>
              </c:numCache>
            </c:numRef>
          </c:val>
        </c:ser>
        <c:gapWidth val="100"/>
        <c:overlap val="100"/>
        <c:axId val="368141824"/>
        <c:axId val="368143360"/>
      </c:barChart>
      <c:catAx>
        <c:axId val="368141824"/>
        <c:scaling>
          <c:orientation val="minMax"/>
        </c:scaling>
        <c:axPos val="l"/>
        <c:tickLblPos val="nextTo"/>
        <c:crossAx val="368143360"/>
        <c:crosses val="autoZero"/>
        <c:auto val="1"/>
        <c:lblAlgn val="ctr"/>
        <c:lblOffset val="100"/>
      </c:catAx>
      <c:valAx>
        <c:axId val="368143360"/>
        <c:scaling>
          <c:orientation val="minMax"/>
        </c:scaling>
        <c:axPos val="b"/>
        <c:majorGridlines/>
        <c:numFmt formatCode="0%" sourceLinked="0"/>
        <c:tickLblPos val="nextTo"/>
        <c:crossAx val="3681418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6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2.061193058960376E-6</c:v>
                </c:pt>
                <c:pt idx="1">
                  <c:v>1.7477771007193212E-5</c:v>
                </c:pt>
                <c:pt idx="2">
                  <c:v>1.0319511996860013E-6</c:v>
                </c:pt>
                <c:pt idx="3">
                  <c:v>2.1049933647250164E-6</c:v>
                </c:pt>
                <c:pt idx="4">
                  <c:v>8.2020786635235888E-7</c:v>
                </c:pt>
                <c:pt idx="5">
                  <c:v>0.95267324423491195</c:v>
                </c:pt>
                <c:pt idx="6">
                  <c:v>1.0919491398260616E-6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4.0783218576285248E-3</c:v>
                </c:pt>
                <c:pt idx="1">
                  <c:v>1.0188558008279376E-2</c:v>
                </c:pt>
                <c:pt idx="2">
                  <c:v>3.7387093874228054E-3</c:v>
                </c:pt>
                <c:pt idx="3">
                  <c:v>4.2913312741200103E-3</c:v>
                </c:pt>
                <c:pt idx="4">
                  <c:v>2.512160469546562E-3</c:v>
                </c:pt>
                <c:pt idx="5">
                  <c:v>1.9196416949911033E-2</c:v>
                </c:pt>
                <c:pt idx="6">
                  <c:v>3.296669752539224E-3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4.7697134608009513E-3</c:v>
                </c:pt>
                <c:pt idx="1">
                  <c:v>9.8439495144486081E-3</c:v>
                </c:pt>
                <c:pt idx="2">
                  <c:v>4.0649559886571747E-3</c:v>
                </c:pt>
                <c:pt idx="3">
                  <c:v>4.2196083940922308E-3</c:v>
                </c:pt>
                <c:pt idx="4">
                  <c:v>2.513778748360531E-3</c:v>
                </c:pt>
                <c:pt idx="5">
                  <c:v>1.962417392735305E-2</c:v>
                </c:pt>
                <c:pt idx="6">
                  <c:v>4.0931541141190509E-3</c:v>
                </c:pt>
              </c:numCache>
            </c:numRef>
          </c:val>
        </c:ser>
        <c:gapWidth val="100"/>
        <c:overlap val="100"/>
        <c:axId val="368185344"/>
        <c:axId val="368186880"/>
      </c:barChart>
      <c:catAx>
        <c:axId val="368185344"/>
        <c:scaling>
          <c:orientation val="minMax"/>
        </c:scaling>
        <c:axPos val="l"/>
        <c:tickLblPos val="nextTo"/>
        <c:crossAx val="368186880"/>
        <c:crosses val="autoZero"/>
        <c:auto val="1"/>
        <c:lblAlgn val="ctr"/>
        <c:lblOffset val="100"/>
      </c:catAx>
      <c:valAx>
        <c:axId val="368186880"/>
        <c:scaling>
          <c:orientation val="minMax"/>
        </c:scaling>
        <c:axPos val="b"/>
        <c:majorGridlines/>
        <c:numFmt formatCode="0%" sourceLinked="0"/>
        <c:tickLblPos val="nextTo"/>
        <c:crossAx val="3681853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559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2"/>
          <c:y val="0.18930803620083989"/>
          <c:w val="0.82649258218451005"/>
          <c:h val="0.53316690114416287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0.41977054658713842</c:v>
                </c:pt>
                <c:pt idx="1">
                  <c:v>0.2415691552104362</c:v>
                </c:pt>
                <c:pt idx="2">
                  <c:v>1.682862067096734E-2</c:v>
                </c:pt>
                <c:pt idx="3">
                  <c:v>2.0415139849541076E-4</c:v>
                </c:pt>
                <c:pt idx="4">
                  <c:v>8.0915635697171862E-3</c:v>
                </c:pt>
                <c:pt idx="5">
                  <c:v>1.8868638402545538E-3</c:v>
                </c:pt>
                <c:pt idx="6">
                  <c:v>0.14180118273238318</c:v>
                </c:pt>
                <c:pt idx="7">
                  <c:v>3.1869048175254466E-3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1.8975664182229124E-2</c:v>
                </c:pt>
                <c:pt idx="1">
                  <c:v>4.6158509499023948E-2</c:v>
                </c:pt>
                <c:pt idx="2">
                  <c:v>2.6481442291100395E-2</c:v>
                </c:pt>
                <c:pt idx="3">
                  <c:v>1.1655243792200204E-3</c:v>
                </c:pt>
                <c:pt idx="4">
                  <c:v>1.3802812499804654E-2</c:v>
                </c:pt>
                <c:pt idx="5">
                  <c:v>5.8228988581702223E-3</c:v>
                </c:pt>
                <c:pt idx="6">
                  <c:v>4.7629286718747221E-2</c:v>
                </c:pt>
                <c:pt idx="7">
                  <c:v>6.6248727447866728E-3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1.6035414407438386E-2</c:v>
                </c:pt>
                <c:pt idx="1">
                  <c:v>4.2527297232843153E-2</c:v>
                </c:pt>
                <c:pt idx="2">
                  <c:v>1.8062955423050919E-2</c:v>
                </c:pt>
                <c:pt idx="3">
                  <c:v>6.5683249761021756E-4</c:v>
                </c:pt>
                <c:pt idx="4">
                  <c:v>1.153202635122666E-2</c:v>
                </c:pt>
                <c:pt idx="5">
                  <c:v>3.7131843789154932E-3</c:v>
                </c:pt>
                <c:pt idx="6">
                  <c:v>4.5769396091354025E-2</c:v>
                </c:pt>
                <c:pt idx="7">
                  <c:v>4.4707858430049763E-3</c:v>
                </c:pt>
              </c:numCache>
            </c:numRef>
          </c:val>
        </c:ser>
        <c:overlap val="100"/>
        <c:axId val="368274816"/>
        <c:axId val="368281088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marker val="1"/>
        <c:axId val="368274816"/>
        <c:axId val="368281088"/>
      </c:lineChart>
      <c:catAx>
        <c:axId val="368274816"/>
        <c:scaling>
          <c:orientation val="minMax"/>
        </c:scaling>
        <c:axPos val="b"/>
        <c:tickLblPos val="nextTo"/>
        <c:crossAx val="368281088"/>
        <c:crosses val="autoZero"/>
        <c:auto val="1"/>
        <c:lblAlgn val="ctr"/>
        <c:lblOffset val="100"/>
      </c:catAx>
      <c:valAx>
        <c:axId val="368281088"/>
        <c:scaling>
          <c:orientation val="minMax"/>
        </c:scaling>
        <c:axPos val="l"/>
        <c:majorGridlines/>
        <c:numFmt formatCode="0%" sourceLinked="0"/>
        <c:tickLblPos val="nextTo"/>
        <c:crossAx val="36827481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03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0.39694230539051029</c:v>
                </c:pt>
                <c:pt idx="1">
                  <c:v>1.9051202688133765E-2</c:v>
                </c:pt>
                <c:pt idx="2">
                  <c:v>1.4149313951579561E-4</c:v>
                </c:pt>
                <c:pt idx="3">
                  <c:v>7.021737071949934E-3</c:v>
                </c:pt>
                <c:pt idx="4">
                  <c:v>1.1877488317298746E-3</c:v>
                </c:pt>
                <c:pt idx="5">
                  <c:v>0.22270817306180651</c:v>
                </c:pt>
                <c:pt idx="6">
                  <c:v>2.7730334842773915E-3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0.11877181600291492</c:v>
                </c:pt>
                <c:pt idx="1">
                  <c:v>5.7813060425464871E-2</c:v>
                </c:pt>
                <c:pt idx="2">
                  <c:v>2.3104837107112406E-3</c:v>
                </c:pt>
                <c:pt idx="3">
                  <c:v>3.2861959339969389E-2</c:v>
                </c:pt>
                <c:pt idx="4">
                  <c:v>1.2708124371962162E-2</c:v>
                </c:pt>
                <c:pt idx="5">
                  <c:v>0.11100679154382398</c:v>
                </c:pt>
                <c:pt idx="6">
                  <c:v>1.4702070937229568E-2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0.11803988794402409</c:v>
                </c:pt>
                <c:pt idx="1">
                  <c:v>6.133382714144188E-2</c:v>
                </c:pt>
                <c:pt idx="2">
                  <c:v>2.2715404020172657E-3</c:v>
                </c:pt>
                <c:pt idx="3">
                  <c:v>3.509925048282201E-2</c:v>
                </c:pt>
                <c:pt idx="4">
                  <c:v>1.2538876163144223E-2</c:v>
                </c:pt>
                <c:pt idx="5">
                  <c:v>0.11017066205222309</c:v>
                </c:pt>
                <c:pt idx="6">
                  <c:v>1.3818302583847857E-2</c:v>
                </c:pt>
              </c:numCache>
            </c:numRef>
          </c:val>
        </c:ser>
        <c:overlap val="100"/>
        <c:axId val="368303104"/>
        <c:axId val="370353280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0.18131299305951845</c:v>
                </c:pt>
                <c:pt idx="1">
                  <c:v>0.20307440459624679</c:v>
                </c:pt>
                <c:pt idx="2">
                  <c:v>0.23849504881649528</c:v>
                </c:pt>
                <c:pt idx="3">
                  <c:v>0.12703930629318633</c:v>
                </c:pt>
                <c:pt idx="4">
                  <c:v>5.0914403141980299E-2</c:v>
                </c:pt>
                <c:pt idx="5">
                  <c:v>7.9422282061540547E-2</c:v>
                </c:pt>
                <c:pt idx="6">
                  <c:v>0.11974156203103237</c:v>
                </c:pt>
              </c:numCache>
            </c:numRef>
          </c:val>
        </c:ser>
        <c:marker val="1"/>
        <c:axId val="368303104"/>
        <c:axId val="370353280"/>
      </c:lineChart>
      <c:catAx>
        <c:axId val="368303104"/>
        <c:scaling>
          <c:orientation val="minMax"/>
        </c:scaling>
        <c:axPos val="b"/>
        <c:numFmt formatCode="General" sourceLinked="1"/>
        <c:tickLblPos val="nextTo"/>
        <c:crossAx val="370353280"/>
        <c:crosses val="autoZero"/>
        <c:auto val="1"/>
        <c:lblAlgn val="ctr"/>
        <c:lblOffset val="100"/>
      </c:catAx>
      <c:valAx>
        <c:axId val="370353280"/>
        <c:scaling>
          <c:orientation val="minMax"/>
        </c:scaling>
        <c:axPos val="l"/>
        <c:majorGridlines/>
        <c:numFmt formatCode="0%" sourceLinked="0"/>
        <c:tickLblPos val="nextTo"/>
        <c:crossAx val="36830310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56"/>
          <c:w val="0.5562682138416909"/>
          <c:h val="0.69258218413305128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012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0.43874621076936754</c:v>
                </c:pt>
                <c:pt idx="1">
                  <c:v>0.28772766470946015</c:v>
                </c:pt>
                <c:pt idx="2">
                  <c:v>4.3310062962067734E-2</c:v>
                </c:pt>
                <c:pt idx="3">
                  <c:v>1.3696757777154312E-3</c:v>
                </c:pt>
                <c:pt idx="4">
                  <c:v>2.189437606952184E-2</c:v>
                </c:pt>
                <c:pt idx="5">
                  <c:v>7.7097626984247757E-3</c:v>
                </c:pt>
                <c:pt idx="6">
                  <c:v>0.1894304694511304</c:v>
                </c:pt>
                <c:pt idx="7">
                  <c:v>9.8117775623121194E-3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IC'!$C$49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IC'!$C$50:$C$57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IC'!$D$49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IC'!$D$50:$D$57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370388352"/>
        <c:axId val="370447488"/>
      </c:barChart>
      <c:catAx>
        <c:axId val="370388352"/>
        <c:scaling>
          <c:orientation val="minMax"/>
        </c:scaling>
        <c:axPos val="l"/>
        <c:tickLblPos val="nextTo"/>
        <c:crossAx val="370447488"/>
        <c:crosses val="autoZero"/>
        <c:auto val="1"/>
        <c:lblAlgn val="ctr"/>
        <c:lblOffset val="100"/>
      </c:catAx>
      <c:valAx>
        <c:axId val="370447488"/>
        <c:scaling>
          <c:orientation val="minMax"/>
        </c:scaling>
        <c:axPos val="b"/>
        <c:majorGridlines/>
        <c:numFmt formatCode="0.0%" sourceLinked="1"/>
        <c:tickLblPos val="nextTo"/>
        <c:crossAx val="370388352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21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58"/>
          <c:y val="5.1400554097404488E-2"/>
          <c:w val="0.82164348206474458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1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0.15823890359343337</c:v>
                </c:pt>
                <c:pt idx="2">
                  <c:v>0.168148277471422</c:v>
                </c:pt>
                <c:pt idx="3">
                  <c:v>0.29001927694608043</c:v>
                </c:pt>
                <c:pt idx="4">
                  <c:v>0.29774487154665702</c:v>
                </c:pt>
                <c:pt idx="5">
                  <c:v>0.33576372020209261</c:v>
                </c:pt>
                <c:pt idx="6">
                  <c:v>0.1465180543940868</c:v>
                </c:pt>
                <c:pt idx="7">
                  <c:v>0.19915957675666104</c:v>
                </c:pt>
              </c:numCache>
            </c:numRef>
          </c:xVal>
          <c:yVal>
            <c:numRef>
              <c:f>'output IC'!$H$50:$H$57</c:f>
              <c:numCache>
                <c:formatCode>0.0%</c:formatCode>
                <c:ptCount val="8"/>
                <c:pt idx="0">
                  <c:v>-1.5814187202246897E-2</c:v>
                </c:pt>
                <c:pt idx="1">
                  <c:v>3.7091344896853895E-2</c:v>
                </c:pt>
                <c:pt idx="2">
                  <c:v>2.8956559002887815E-2</c:v>
                </c:pt>
                <c:pt idx="3">
                  <c:v>-7.0207416604689673E-3</c:v>
                </c:pt>
                <c:pt idx="4">
                  <c:v>5.995264087409511E-2</c:v>
                </c:pt>
                <c:pt idx="5">
                  <c:v>7.203626561528087E-2</c:v>
                </c:pt>
                <c:pt idx="6">
                  <c:v>2.2042435122490836E-2</c:v>
                </c:pt>
                <c:pt idx="7">
                  <c:v>2.0231202745045189E-2</c:v>
                </c:pt>
              </c:numCache>
            </c:numRef>
          </c:yVal>
        </c:ser>
        <c:axId val="370476928"/>
        <c:axId val="370499584"/>
      </c:scatterChart>
      <c:valAx>
        <c:axId val="37047692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212"/>
            </c:manualLayout>
          </c:layout>
        </c:title>
        <c:numFmt formatCode="0%" sourceLinked="0"/>
        <c:tickLblPos val="nextTo"/>
        <c:crossAx val="370499584"/>
        <c:crosses val="autoZero"/>
        <c:crossBetween val="midCat"/>
      </c:valAx>
      <c:valAx>
        <c:axId val="3704995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370476928"/>
        <c:crosses val="autoZero"/>
        <c:crossBetween val="midCat"/>
      </c:valAx>
    </c:plotArea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251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62"/>
          <c:y val="5.1400554097404488E-2"/>
          <c:w val="0.82164348206474491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869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177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748E-2"/>
                  <c:y val="-6.73369912559800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0.15823890359343337</c:v>
                </c:pt>
                <c:pt idx="2">
                  <c:v>0.168148277471422</c:v>
                </c:pt>
                <c:pt idx="3">
                  <c:v>0.29001927694608043</c:v>
                </c:pt>
                <c:pt idx="4">
                  <c:v>0.29774487154665702</c:v>
                </c:pt>
                <c:pt idx="5">
                  <c:v>0.33576372020209261</c:v>
                </c:pt>
                <c:pt idx="6">
                  <c:v>0.1465180543940868</c:v>
                </c:pt>
                <c:pt idx="7">
                  <c:v>0.19915957675666104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3.1705382280009728E-2</c:v>
                </c:pt>
                <c:pt idx="3">
                  <c:v>5.7210243741557129E-2</c:v>
                </c:pt>
                <c:pt idx="4">
                  <c:v>5.5668448282861861E-2</c:v>
                </c:pt>
                <c:pt idx="5">
                  <c:v>5.4683067728185694E-2</c:v>
                </c:pt>
                <c:pt idx="6">
                  <c:v>2.9030049193200475E-2</c:v>
                </c:pt>
                <c:pt idx="7">
                  <c:v>3.8983857987503749E-2</c:v>
                </c:pt>
              </c:numCache>
            </c:numRef>
          </c:yVal>
        </c:ser>
        <c:axId val="370606848"/>
        <c:axId val="370608768"/>
      </c:scatterChart>
      <c:valAx>
        <c:axId val="37060684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234"/>
            </c:manualLayout>
          </c:layout>
        </c:title>
        <c:numFmt formatCode="0%" sourceLinked="0"/>
        <c:tickLblPos val="nextTo"/>
        <c:crossAx val="370608768"/>
        <c:crosses val="autoZero"/>
        <c:crossBetween val="midCat"/>
      </c:valAx>
      <c:valAx>
        <c:axId val="3706087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370606848"/>
        <c:crosses val="autoZero"/>
        <c:crossBetween val="midCat"/>
      </c:valAx>
    </c:plotArea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IC'!$G$49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IC'!$G$50:$G$57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IC'!$H$49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IC'!$H$50:$H$57</c:f>
              <c:numCache>
                <c:formatCode>0.0%</c:formatCode>
                <c:ptCount val="8"/>
                <c:pt idx="0">
                  <c:v>-1.5814187202246897E-2</c:v>
                </c:pt>
                <c:pt idx="1">
                  <c:v>3.7091344896853895E-2</c:v>
                </c:pt>
                <c:pt idx="2">
                  <c:v>2.8956559002887815E-2</c:v>
                </c:pt>
                <c:pt idx="3">
                  <c:v>-7.0207416604689673E-3</c:v>
                </c:pt>
                <c:pt idx="4">
                  <c:v>5.995264087409511E-2</c:v>
                </c:pt>
                <c:pt idx="5">
                  <c:v>7.203626561528087E-2</c:v>
                </c:pt>
                <c:pt idx="6">
                  <c:v>2.2042435122490836E-2</c:v>
                </c:pt>
                <c:pt idx="7">
                  <c:v>2.0231202745045189E-2</c:v>
                </c:pt>
              </c:numCache>
            </c:numRef>
          </c:val>
        </c:ser>
        <c:axId val="370666496"/>
        <c:axId val="371725056"/>
      </c:barChart>
      <c:catAx>
        <c:axId val="370666496"/>
        <c:scaling>
          <c:orientation val="minMax"/>
        </c:scaling>
        <c:axPos val="l"/>
        <c:tickLblPos val="none"/>
        <c:crossAx val="371725056"/>
        <c:crosses val="autoZero"/>
        <c:auto val="1"/>
        <c:lblAlgn val="ctr"/>
        <c:lblOffset val="100"/>
      </c:catAx>
      <c:valAx>
        <c:axId val="371725056"/>
        <c:scaling>
          <c:orientation val="minMax"/>
        </c:scaling>
        <c:axPos val="b"/>
        <c:majorGridlines/>
        <c:numFmt formatCode="0.0%" sourceLinked="1"/>
        <c:tickLblPos val="nextTo"/>
        <c:crossAx val="370666496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IC'!$J$49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IC'!$J$50:$J$57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-0.2936626251519534</c:v>
                </c:pt>
                <c:pt idx="2">
                  <c:v>6.6039602631658201E-2</c:v>
                </c:pt>
                <c:pt idx="3">
                  <c:v>-0.20051038078380698</c:v>
                </c:pt>
                <c:pt idx="4">
                  <c:v>-0.14657043172069534</c:v>
                </c:pt>
                <c:pt idx="5">
                  <c:v>-0.10637087005463072</c:v>
                </c:pt>
                <c:pt idx="6">
                  <c:v>-0.47217465770323874</c:v>
                </c:pt>
                <c:pt idx="7">
                  <c:v>-0.29311248674648732</c:v>
                </c:pt>
              </c:numCache>
            </c:numRef>
          </c:val>
        </c:ser>
        <c:ser>
          <c:idx val="1"/>
          <c:order val="1"/>
          <c:tx>
            <c:strRef>
              <c:f>'output IC'!$K$49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IC'!$K$50:$K$57</c:f>
              <c:numCache>
                <c:formatCode>#,##0.00_ ;[Red]\-#,##0.00\ </c:formatCode>
                <c:ptCount val="8"/>
                <c:pt idx="0">
                  <c:v>-0.15458638516370377</c:v>
                </c:pt>
                <c:pt idx="1">
                  <c:v>0.23440092198915563</c:v>
                </c:pt>
                <c:pt idx="2">
                  <c:v>0.17220847836403907</c:v>
                </c:pt>
                <c:pt idx="3">
                  <c:v>-2.4207844852238026E-2</c:v>
                </c:pt>
                <c:pt idx="4">
                  <c:v>0.20135574649083571</c:v>
                </c:pt>
                <c:pt idx="5">
                  <c:v>0.21454451830567939</c:v>
                </c:pt>
                <c:pt idx="6">
                  <c:v>0.1504417678329506</c:v>
                </c:pt>
                <c:pt idx="7">
                  <c:v>0.10158287677907782</c:v>
                </c:pt>
              </c:numCache>
            </c:numRef>
          </c:val>
        </c:ser>
        <c:axId val="371758592"/>
        <c:axId val="371760128"/>
      </c:barChart>
      <c:catAx>
        <c:axId val="371758592"/>
        <c:scaling>
          <c:orientation val="minMax"/>
        </c:scaling>
        <c:axPos val="l"/>
        <c:tickLblPos val="high"/>
        <c:crossAx val="371760128"/>
        <c:crosses val="autoZero"/>
        <c:auto val="1"/>
        <c:lblAlgn val="ctr"/>
        <c:lblOffset val="100"/>
      </c:catAx>
      <c:valAx>
        <c:axId val="371760128"/>
        <c:scaling>
          <c:orientation val="minMax"/>
        </c:scaling>
        <c:axPos val="b"/>
        <c:majorGridlines/>
        <c:numFmt formatCode="#,##0.00_ ;\-#,##0.00\ " sourceLinked="1"/>
        <c:tickLblPos val="nextTo"/>
        <c:crossAx val="371758592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18</xdr:row>
      <xdr:rowOff>11208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321609</xdr:colOff>
      <xdr:row>60</xdr:row>
      <xdr:rowOff>73958</xdr:rowOff>
    </xdr:from>
    <xdr:to>
      <xdr:col>4</xdr:col>
      <xdr:colOff>35859</xdr:colOff>
      <xdr:row>77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547409</xdr:colOff>
      <xdr:row>37</xdr:row>
      <xdr:rowOff>14008</xdr:rowOff>
    </xdr:from>
    <xdr:to>
      <xdr:col>22</xdr:col>
      <xdr:colOff>24093</xdr:colOff>
      <xdr:row>49</xdr:row>
      <xdr:rowOff>179855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60</xdr:row>
      <xdr:rowOff>22412</xdr:rowOff>
    </xdr:from>
    <xdr:to>
      <xdr:col>9</xdr:col>
      <xdr:colOff>930087</xdr:colOff>
      <xdr:row>75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60</xdr:row>
      <xdr:rowOff>56031</xdr:rowOff>
    </xdr:from>
    <xdr:to>
      <xdr:col>12</xdr:col>
      <xdr:colOff>705971</xdr:colOff>
      <xdr:row>76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IC_modelportfolio\Cluster%20Portfolio%20Construction\Modelportefeuille\Optimalisatie_2013_MP_BaseCase_100_unconstrained_IRAN_decemb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amenvatting mixen"/>
      <sheetName val="Samenvatting mixen - return"/>
      <sheetName val="output IC"/>
      <sheetName val="Sheet1"/>
    </sheetNames>
    <sheetDataSet>
      <sheetData sheetId="0">
        <row r="3">
          <cell r="F3">
            <v>0.99933044801477622</v>
          </cell>
        </row>
        <row r="4">
          <cell r="F4">
            <v>5.9498856944343162E-5</v>
          </cell>
        </row>
        <row r="5">
          <cell r="F5">
            <v>8.6775571303158883E-5</v>
          </cell>
        </row>
        <row r="6">
          <cell r="F6">
            <v>3.3196657987390124E-5</v>
          </cell>
        </row>
        <row r="7">
          <cell r="F7">
            <v>4.8644439396432552E-5</v>
          </cell>
        </row>
        <row r="8">
          <cell r="F8">
            <v>2.3467442398853234E-4</v>
          </cell>
        </row>
        <row r="9">
          <cell r="F9">
            <v>1.5994064696340217E-4</v>
          </cell>
        </row>
        <row r="10">
          <cell r="F10">
            <v>4.6821388640572115E-5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zoomScale="85" zoomScaleNormal="85" workbookViewId="0">
      <selection activeCell="A51" sqref="A51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64" t="s">
        <v>93</v>
      </c>
      <c r="D1" s="364"/>
      <c r="E1" s="365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0.59460926292655603</v>
      </c>
      <c r="C3" s="299">
        <v>0</v>
      </c>
      <c r="D3" s="218">
        <v>1</v>
      </c>
      <c r="E3" s="145">
        <v>0.99</v>
      </c>
      <c r="F3" s="144">
        <f>'Samenvatting mixen'!B81</f>
        <v>0.43874621076936754</v>
      </c>
      <c r="G3" s="144">
        <f>+F3-B3</f>
        <v>-0.15586305215718849</v>
      </c>
      <c r="H3" s="301"/>
    </row>
    <row r="4" spans="1:24">
      <c r="A4" s="143" t="str">
        <f>Scenarios!A5</f>
        <v>High Yield</v>
      </c>
      <c r="B4" s="218">
        <v>7.3502607897390396E-2</v>
      </c>
      <c r="C4" s="299">
        <v>0</v>
      </c>
      <c r="D4" s="359">
        <v>1</v>
      </c>
      <c r="E4" s="145">
        <v>0.99</v>
      </c>
      <c r="F4" s="144">
        <f>'Samenvatting mixen'!B82</f>
        <v>0.28772766470946015</v>
      </c>
      <c r="G4" s="144">
        <f t="shared" ref="G4:G10" si="0">+F4-B4</f>
        <v>0.21422505681206977</v>
      </c>
      <c r="H4" s="302"/>
      <c r="W4" s="133" t="str">
        <f>A4</f>
        <v>High Yield</v>
      </c>
      <c r="X4" s="134">
        <f>B4/SUM($B$4:$B$10)</f>
        <v>0.18131299305951845</v>
      </c>
    </row>
    <row r="5" spans="1:24">
      <c r="A5" s="143" t="str">
        <f>Scenarios!A6</f>
        <v>Emerging market debt</v>
      </c>
      <c r="B5" s="218">
        <v>8.232448256002324E-2</v>
      </c>
      <c r="C5" s="299">
        <v>0</v>
      </c>
      <c r="D5" s="218">
        <v>1</v>
      </c>
      <c r="E5" s="145">
        <v>0.99</v>
      </c>
      <c r="F5" s="144">
        <f>'Samenvatting mixen'!B83</f>
        <v>4.3310062962067734E-2</v>
      </c>
      <c r="G5" s="144">
        <f t="shared" si="0"/>
        <v>-3.9014419597955506E-2</v>
      </c>
      <c r="W5" s="133" t="str">
        <f t="shared" ref="W5:W10" si="1">A5</f>
        <v>Emerging market debt</v>
      </c>
      <c r="X5" s="134">
        <f t="shared" ref="X5:X10" si="2">B5/SUM($B$4:$B$10)</f>
        <v>0.20307440459624679</v>
      </c>
    </row>
    <row r="6" spans="1:24">
      <c r="A6" s="143" t="str">
        <f>Scenarios!A7</f>
        <v>Aandelen ontwikkeld</v>
      </c>
      <c r="B6" s="338">
        <f>10.1683683628086%-0.5%</f>
        <v>9.6683683628085992E-2</v>
      </c>
      <c r="C6" s="299">
        <v>0</v>
      </c>
      <c r="D6" s="359">
        <v>1</v>
      </c>
      <c r="E6" s="145">
        <v>0.99</v>
      </c>
      <c r="F6" s="144">
        <f>'Samenvatting mixen'!B84</f>
        <v>1.3696757777154312E-3</v>
      </c>
      <c r="G6" s="144">
        <f t="shared" si="0"/>
        <v>-9.5314007850370558E-2</v>
      </c>
      <c r="H6" s="301"/>
      <c r="W6" s="133" t="str">
        <f t="shared" si="1"/>
        <v>Aandelen ontwikkeld</v>
      </c>
      <c r="X6" s="134">
        <f t="shared" si="2"/>
        <v>0.23849504881649528</v>
      </c>
    </row>
    <row r="7" spans="1:24">
      <c r="A7" s="143" t="str">
        <f>Scenarios!A8</f>
        <v>Aandelen opkomend</v>
      </c>
      <c r="B7" s="338">
        <f>4.65005580154938%+0.5%</f>
        <v>5.1500558015493796E-2</v>
      </c>
      <c r="C7" s="299">
        <v>0</v>
      </c>
      <c r="D7" s="359">
        <v>1</v>
      </c>
      <c r="E7" s="145">
        <v>0.99</v>
      </c>
      <c r="F7" s="144">
        <f>'Samenvatting mixen'!B85</f>
        <v>2.189437606952184E-2</v>
      </c>
      <c r="G7" s="144">
        <f t="shared" si="0"/>
        <v>-2.9606181945971956E-2</v>
      </c>
      <c r="H7" s="301"/>
      <c r="W7" s="133" t="str">
        <f t="shared" si="1"/>
        <v>Aandelen opkomend</v>
      </c>
      <c r="X7" s="134">
        <f t="shared" si="2"/>
        <v>0.12703930629318633</v>
      </c>
    </row>
    <row r="8" spans="1:24">
      <c r="A8" s="143" t="str">
        <f>Scenarios!A9</f>
        <v>Commodities</v>
      </c>
      <c r="B8" s="218">
        <v>2.0640227417381859E-2</v>
      </c>
      <c r="C8" s="299">
        <v>0</v>
      </c>
      <c r="D8" s="359">
        <v>1</v>
      </c>
      <c r="E8" s="145">
        <v>0.99</v>
      </c>
      <c r="F8" s="144">
        <f>'Samenvatting mixen'!B86</f>
        <v>7.7097626984247757E-3</v>
      </c>
      <c r="G8" s="144">
        <f t="shared" si="0"/>
        <v>-1.2930464718957084E-2</v>
      </c>
      <c r="H8" s="301"/>
      <c r="W8" s="133" t="str">
        <f t="shared" si="1"/>
        <v>Commodities</v>
      </c>
      <c r="X8" s="134">
        <f t="shared" si="2"/>
        <v>5.0914403141980299E-2</v>
      </c>
    </row>
    <row r="9" spans="1:24">
      <c r="A9" s="143" t="str">
        <f>Scenarios!A10</f>
        <v>Hedge funds</v>
      </c>
      <c r="B9" s="218">
        <v>3.219705746498288E-2</v>
      </c>
      <c r="C9" s="299">
        <v>0</v>
      </c>
      <c r="D9" s="359">
        <v>1</v>
      </c>
      <c r="E9" s="145">
        <v>0.99</v>
      </c>
      <c r="F9" s="144">
        <f>'Samenvatting mixen'!B87</f>
        <v>0.1894304694511304</v>
      </c>
      <c r="G9" s="144">
        <f t="shared" si="0"/>
        <v>0.15723341198614751</v>
      </c>
      <c r="W9" s="133" t="str">
        <f t="shared" si="1"/>
        <v>Hedge funds</v>
      </c>
      <c r="X9" s="134">
        <f t="shared" si="2"/>
        <v>7.9422282061540547E-2</v>
      </c>
    </row>
    <row r="10" spans="1:24" ht="15.75" thickBot="1">
      <c r="A10" s="139" t="str">
        <f>Scenarios!A11</f>
        <v>Onroerend goed</v>
      </c>
      <c r="B10" s="219">
        <v>4.8542120090085711E-2</v>
      </c>
      <c r="C10" s="300">
        <v>0</v>
      </c>
      <c r="D10" s="219">
        <v>1</v>
      </c>
      <c r="E10" s="147">
        <v>0.99</v>
      </c>
      <c r="F10" s="146">
        <f>'Samenvatting mixen'!B88</f>
        <v>9.8117775623121194E-3</v>
      </c>
      <c r="G10" s="146">
        <f t="shared" si="0"/>
        <v>-3.873034252777359E-2</v>
      </c>
      <c r="W10" s="133" t="str">
        <f t="shared" si="1"/>
        <v>Onroerend goed</v>
      </c>
      <c r="X10" s="134">
        <f t="shared" si="2"/>
        <v>0.11974156203103237</v>
      </c>
    </row>
    <row r="11" spans="1:24" ht="15.75" thickBot="1">
      <c r="A11" s="148" t="s">
        <v>89</v>
      </c>
      <c r="B11" s="149">
        <f>Scenarios!C12</f>
        <v>9.3079489831111251E-2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35" t="s">
        <v>143</v>
      </c>
      <c r="B15" s="330">
        <f t="array" ref="B15">+MMULT(TRANSPOSE(F3:F10),MMULT(k,F3:F10))^(0.5)</f>
        <v>9.221857692936819E-2</v>
      </c>
      <c r="C15" s="333"/>
      <c r="D15" s="333"/>
      <c r="E15" s="333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9.3079489831111251E-2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66" t="s">
        <v>98</v>
      </c>
      <c r="C200" s="364"/>
      <c r="D200" s="364"/>
      <c r="E200" s="365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disablePrompts="1"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tabSelected="1" zoomScale="85" zoomScaleNormal="85" workbookViewId="0">
      <selection activeCell="E55" sqref="E55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7" t="s">
        <v>79</v>
      </c>
      <c r="C2" s="13" t="s">
        <v>79</v>
      </c>
      <c r="D2" s="298" t="s">
        <v>116</v>
      </c>
      <c r="E2" s="368" t="s">
        <v>117</v>
      </c>
      <c r="F2" s="368"/>
      <c r="G2" s="368"/>
      <c r="H2" s="368"/>
      <c r="I2" s="368"/>
      <c r="J2" s="368"/>
      <c r="K2" s="368"/>
      <c r="L2" s="369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0.59460926292655603</v>
      </c>
      <c r="C4" s="178">
        <v>0</v>
      </c>
      <c r="D4" s="223">
        <v>4.3214826708651545E-2</v>
      </c>
      <c r="E4" s="220">
        <v>1.0000000000000002</v>
      </c>
      <c r="F4" s="221">
        <v>0.48758203889173096</v>
      </c>
      <c r="G4" s="221">
        <v>0.43351903366758959</v>
      </c>
      <c r="H4" s="221">
        <v>0.22240504783264323</v>
      </c>
      <c r="I4" s="221">
        <v>0.2729543601339276</v>
      </c>
      <c r="J4" s="221">
        <v>0.51795492979549662</v>
      </c>
      <c r="K4" s="221">
        <v>0.22026085078406454</v>
      </c>
      <c r="L4" s="222">
        <v>0.36266106503892548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7.3502607897390396E-2</v>
      </c>
      <c r="C5" s="178">
        <v>0.03</v>
      </c>
      <c r="D5" s="223">
        <v>0.15823890359343337</v>
      </c>
      <c r="E5" s="223">
        <v>0.48758203889173107</v>
      </c>
      <c r="F5" s="224">
        <v>0.99999999999999978</v>
      </c>
      <c r="G5" s="224">
        <v>0.90991930291292189</v>
      </c>
      <c r="H5" s="224">
        <v>0.74890714708117023</v>
      </c>
      <c r="I5" s="224">
        <v>0.74060441066122751</v>
      </c>
      <c r="J5" s="224">
        <v>0.88671991368989134</v>
      </c>
      <c r="K5" s="224">
        <v>0.61760661631655178</v>
      </c>
      <c r="L5" s="225">
        <v>0.8752768910119606</v>
      </c>
      <c r="S5" s="84"/>
      <c r="T5" s="6"/>
      <c r="U5" s="85"/>
    </row>
    <row r="6" spans="1:21">
      <c r="A6" s="102" t="s">
        <v>6</v>
      </c>
      <c r="B6" s="106">
        <f>'Control panel'!B5</f>
        <v>8.232448256002324E-2</v>
      </c>
      <c r="C6" s="178">
        <v>3.1705382280009728E-2</v>
      </c>
      <c r="D6" s="223">
        <v>0.168148277471422</v>
      </c>
      <c r="E6" s="223">
        <v>0.43351903366758976</v>
      </c>
      <c r="F6" s="224">
        <v>0.90991930291292189</v>
      </c>
      <c r="G6" s="224">
        <v>1</v>
      </c>
      <c r="H6" s="224">
        <v>0.78689057691118713</v>
      </c>
      <c r="I6" s="224">
        <v>0.81542413678900194</v>
      </c>
      <c r="J6" s="224">
        <v>0.84996791272671834</v>
      </c>
      <c r="K6" s="224">
        <v>0.63150622997795747</v>
      </c>
      <c r="L6" s="225">
        <v>0.87979060194508074</v>
      </c>
      <c r="S6" s="84"/>
      <c r="T6" s="6"/>
      <c r="U6" s="85"/>
    </row>
    <row r="7" spans="1:21">
      <c r="A7" s="102" t="s">
        <v>7</v>
      </c>
      <c r="B7" s="106">
        <f>'Control panel'!B6</f>
        <v>9.6683683628085992E-2</v>
      </c>
      <c r="C7" s="178">
        <v>5.7210243741557129E-2</v>
      </c>
      <c r="D7" s="223">
        <v>0.29001927694608043</v>
      </c>
      <c r="E7" s="223">
        <v>0.22240504783264309</v>
      </c>
      <c r="F7" s="224">
        <v>0.74890714708117023</v>
      </c>
      <c r="G7" s="224">
        <v>0.78689057691118725</v>
      </c>
      <c r="H7" s="224">
        <v>1.0000000000000002</v>
      </c>
      <c r="I7" s="224">
        <v>0.80043789752068695</v>
      </c>
      <c r="J7" s="224">
        <v>0.6816417645711762</v>
      </c>
      <c r="K7" s="224">
        <v>0.69656976952020244</v>
      </c>
      <c r="L7" s="225">
        <v>0.8825588907922528</v>
      </c>
      <c r="S7" s="84"/>
      <c r="T7" s="6"/>
      <c r="U7" s="85"/>
    </row>
    <row r="8" spans="1:21">
      <c r="A8" s="102" t="s">
        <v>8</v>
      </c>
      <c r="B8" s="106">
        <f>'Control panel'!B7</f>
        <v>5.1500558015493796E-2</v>
      </c>
      <c r="C8" s="178">
        <v>5.5668448282861861E-2</v>
      </c>
      <c r="D8" s="223">
        <v>0.29774487154665702</v>
      </c>
      <c r="E8" s="223">
        <v>0.2729543601339276</v>
      </c>
      <c r="F8" s="224">
        <v>0.7406044106612274</v>
      </c>
      <c r="G8" s="224">
        <v>0.81542413678900183</v>
      </c>
      <c r="H8" s="224">
        <v>0.80043789752068695</v>
      </c>
      <c r="I8" s="224">
        <v>1</v>
      </c>
      <c r="J8" s="224">
        <v>0.70370520831484562</v>
      </c>
      <c r="K8" s="224">
        <v>0.62140003003210531</v>
      </c>
      <c r="L8" s="225">
        <v>0.77427405839831998</v>
      </c>
      <c r="S8" s="84"/>
      <c r="T8" s="6"/>
      <c r="U8" s="85"/>
    </row>
    <row r="9" spans="1:21">
      <c r="A9" s="102" t="s">
        <v>9</v>
      </c>
      <c r="B9" s="106">
        <f>'Control panel'!B8</f>
        <v>2.0640227417381859E-2</v>
      </c>
      <c r="C9" s="178">
        <v>5.4683067728185694E-2</v>
      </c>
      <c r="D9" s="223">
        <v>0.33576372020209261</v>
      </c>
      <c r="E9" s="223">
        <v>0.51795492979549662</v>
      </c>
      <c r="F9" s="224">
        <v>0.88671991368989134</v>
      </c>
      <c r="G9" s="224">
        <v>0.84996791272671812</v>
      </c>
      <c r="H9" s="224">
        <v>0.6816417645711762</v>
      </c>
      <c r="I9" s="224">
        <v>0.70370520831484562</v>
      </c>
      <c r="J9" s="224">
        <v>1.0000000000000002</v>
      </c>
      <c r="K9" s="224">
        <v>0.64202094504860974</v>
      </c>
      <c r="L9" s="225">
        <v>0.82000870971282414</v>
      </c>
      <c r="S9" s="84"/>
      <c r="T9" s="6"/>
      <c r="U9" s="85"/>
    </row>
    <row r="10" spans="1:21">
      <c r="A10" s="102" t="s">
        <v>10</v>
      </c>
      <c r="B10" s="106">
        <f>'Control panel'!B9</f>
        <v>3.219705746498288E-2</v>
      </c>
      <c r="C10" s="178">
        <v>2.9030049193200475E-2</v>
      </c>
      <c r="D10" s="223">
        <v>0.1465180543940868</v>
      </c>
      <c r="E10" s="223">
        <v>0.2202608507840644</v>
      </c>
      <c r="F10" s="224">
        <v>0.61760661631655156</v>
      </c>
      <c r="G10" s="224">
        <v>0.63150622997795758</v>
      </c>
      <c r="H10" s="224">
        <v>0.69656976952020244</v>
      </c>
      <c r="I10" s="224">
        <v>0.62140003003210531</v>
      </c>
      <c r="J10" s="224">
        <v>0.64202094504860974</v>
      </c>
      <c r="K10" s="224">
        <v>1.0000000000000002</v>
      </c>
      <c r="L10" s="225">
        <v>0.66415983265504108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4.8542120090085711E-2</v>
      </c>
      <c r="C11" s="179">
        <v>3.8983857987503749E-2</v>
      </c>
      <c r="D11" s="226">
        <v>0.19915957675666104</v>
      </c>
      <c r="E11" s="226">
        <v>0.36266106503892553</v>
      </c>
      <c r="F11" s="227">
        <v>0.8752768910119606</v>
      </c>
      <c r="G11" s="227">
        <v>0.87979060194508063</v>
      </c>
      <c r="H11" s="227">
        <v>0.88255889079225258</v>
      </c>
      <c r="I11" s="227">
        <v>0.77427405839831998</v>
      </c>
      <c r="J11" s="227">
        <v>0.82000870971282414</v>
      </c>
      <c r="K11" s="227">
        <v>0.66415983265504108</v>
      </c>
      <c r="L11" s="228">
        <v>1.0000000000000002</v>
      </c>
    </row>
    <row r="12" spans="1:21">
      <c r="A12" s="84"/>
      <c r="B12" s="110" t="s">
        <v>89</v>
      </c>
      <c r="C12" s="85">
        <v>9.3079489831111251E-2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67"/>
      <c r="H17" s="367"/>
      <c r="I17" s="367"/>
      <c r="J17" s="367"/>
    </row>
    <row r="18" spans="1:24">
      <c r="D18" s="98"/>
      <c r="E18" s="98"/>
      <c r="S18" s="84"/>
      <c r="T18" s="367"/>
      <c r="U18" s="367"/>
      <c r="V18" s="367"/>
      <c r="W18" s="367"/>
      <c r="X18" s="367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360">
        <v>-1.5814187202246897E-2</v>
      </c>
      <c r="D24" s="360">
        <v>-2.2345199168589305E-2</v>
      </c>
      <c r="E24" s="360">
        <v>-1.2548681219075715E-2</v>
      </c>
      <c r="F24" s="360">
        <v>-3.4590846605481285E-2</v>
      </c>
      <c r="G24" s="360">
        <v>-0.29273266768551542</v>
      </c>
      <c r="H24" s="361">
        <v>-1.2114622673173481E-2</v>
      </c>
      <c r="I24" s="178">
        <f>SUMPRODUCT(C24:H24,$C$33:$H$33)</f>
        <v>-1.5814187202246897E-2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360">
        <v>3.7091344896853895E-2</v>
      </c>
      <c r="D25" s="360">
        <v>-6.3296292109812774E-2</v>
      </c>
      <c r="E25" s="360">
        <v>0.10801699223685385</v>
      </c>
      <c r="F25" s="360">
        <v>-0.3928734479964795</v>
      </c>
      <c r="G25" s="360">
        <v>-0.41654304969647948</v>
      </c>
      <c r="H25" s="361">
        <v>0.31953047890352049</v>
      </c>
      <c r="I25" s="178">
        <f t="shared" ref="I25:I31" si="1">SUMPRODUCT(C25:H25,$C$33:$H$33)</f>
        <v>3.7091344896853895E-2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3.1705382280009728E-2</v>
      </c>
      <c r="C26" s="360">
        <v>2.8956559002887815E-2</v>
      </c>
      <c r="D26" s="360">
        <v>-4.7769977807847905E-2</v>
      </c>
      <c r="E26" s="360">
        <v>5.063245091407538E-2</v>
      </c>
      <c r="F26" s="360">
        <v>-0.39219451345955136</v>
      </c>
      <c r="G26" s="360">
        <v>-0.18339603021235151</v>
      </c>
      <c r="H26" s="361">
        <v>0.28503634041301795</v>
      </c>
      <c r="I26" s="178">
        <f t="shared" si="1"/>
        <v>2.8956559002887815E-2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5.7210243741557129E-2</v>
      </c>
      <c r="C27" s="360">
        <v>-7.0207416604689673E-3</v>
      </c>
      <c r="D27" s="360">
        <v>-0.18604628076301943</v>
      </c>
      <c r="E27" s="360">
        <v>8.4300303146984695E-2</v>
      </c>
      <c r="F27" s="360">
        <v>-0.55280134539344339</v>
      </c>
      <c r="G27" s="360">
        <v>-0.46447856989823566</v>
      </c>
      <c r="H27" s="361">
        <v>0.46156602820227344</v>
      </c>
      <c r="I27" s="178">
        <f t="shared" si="1"/>
        <v>-7.0207416604689673E-3</v>
      </c>
      <c r="J27" s="76"/>
    </row>
    <row r="28" spans="1:24">
      <c r="A28" s="18" t="s">
        <v>8</v>
      </c>
      <c r="B28" s="21">
        <f t="shared" si="0"/>
        <v>5.5668448282861861E-2</v>
      </c>
      <c r="C28" s="360">
        <v>5.995264087409511E-2</v>
      </c>
      <c r="D28" s="360">
        <v>-6.9881478458451565E-2</v>
      </c>
      <c r="E28" s="360">
        <v>0.12656751240399325</v>
      </c>
      <c r="F28" s="360">
        <v>-0.38124920785250294</v>
      </c>
      <c r="G28" s="360">
        <v>-0.25955043219214274</v>
      </c>
      <c r="H28" s="361">
        <v>0.42480121988631425</v>
      </c>
      <c r="I28" s="178">
        <f t="shared" si="1"/>
        <v>5.995264087409511E-2</v>
      </c>
      <c r="J28" s="94"/>
      <c r="U28" s="95"/>
    </row>
    <row r="29" spans="1:24">
      <c r="A29" s="18" t="s">
        <v>9</v>
      </c>
      <c r="B29" s="21">
        <f t="shared" si="0"/>
        <v>5.4683067728185694E-2</v>
      </c>
      <c r="C29" s="360">
        <v>7.203626561528087E-2</v>
      </c>
      <c r="D29" s="360">
        <v>-2.2847077305702401E-2</v>
      </c>
      <c r="E29" s="360">
        <v>0.11991050604096423</v>
      </c>
      <c r="F29" s="360">
        <v>-0.51795450951236899</v>
      </c>
      <c r="G29" s="360">
        <v>-0.56384711463070247</v>
      </c>
      <c r="H29" s="361">
        <v>0.66436153607763093</v>
      </c>
      <c r="I29" s="178">
        <f t="shared" si="1"/>
        <v>7.203626561528087E-2</v>
      </c>
      <c r="J29" s="96"/>
      <c r="U29" s="95"/>
    </row>
    <row r="30" spans="1:24">
      <c r="A30" s="18" t="s">
        <v>10</v>
      </c>
      <c r="B30" s="21">
        <f t="shared" si="0"/>
        <v>2.9030049193200475E-2</v>
      </c>
      <c r="C30" s="360">
        <v>2.2042435122490836E-2</v>
      </c>
      <c r="D30" s="360">
        <v>-5.8098568330005394E-2</v>
      </c>
      <c r="E30" s="360">
        <v>5.9612936848738904E-2</v>
      </c>
      <c r="F30" s="360">
        <v>-0.22162743171483407</v>
      </c>
      <c r="G30" s="360">
        <v>-1.0216188542192122E-2</v>
      </c>
      <c r="H30" s="361">
        <v>0.31685576215825423</v>
      </c>
      <c r="I30" s="178">
        <f t="shared" si="1"/>
        <v>2.2042435122490836E-2</v>
      </c>
      <c r="J30" s="96"/>
      <c r="U30" s="95"/>
    </row>
    <row r="31" spans="1:24" ht="13.5" thickBot="1">
      <c r="A31" s="22" t="s">
        <v>11</v>
      </c>
      <c r="B31" s="25">
        <f t="shared" si="0"/>
        <v>3.8983857987503749E-2</v>
      </c>
      <c r="C31" s="362">
        <v>2.0231202745045189E-2</v>
      </c>
      <c r="D31" s="362">
        <v>-0.12499426713174636</v>
      </c>
      <c r="E31" s="362">
        <v>8.6882053939412757E-2</v>
      </c>
      <c r="F31" s="362">
        <v>-0.40201585901004655</v>
      </c>
      <c r="G31" s="362">
        <v>-0.46743807153204797</v>
      </c>
      <c r="H31" s="363">
        <v>0.45493204503823104</v>
      </c>
      <c r="I31" s="179">
        <f t="shared" si="1"/>
        <v>2.0231202745045189E-2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3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296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3" t="s">
        <v>129</v>
      </c>
      <c r="B35" s="304">
        <f>Optimalisatie!B15</f>
        <v>0</v>
      </c>
      <c r="C35" s="303">
        <f>SUMPRODUCT(C24:C31,'Control panel'!$F$3:$F$10)</f>
        <v>1.1220306663992513E-2</v>
      </c>
      <c r="D35" s="303">
        <f>SUMPRODUCT(D24:D31,'Control panel'!$F$3:$F$10)</f>
        <v>-4.4277921541374742E-2</v>
      </c>
      <c r="E35" s="303">
        <f>SUMPRODUCT(E24:E31,'Control panel'!$F$3:$F$10)</f>
        <v>4.3722721571922835E-2</v>
      </c>
      <c r="F35" s="303">
        <f>SUMPRODUCT(F24:F31,'Control panel'!$F$3:$F$10)</f>
        <v>-0.20422828878579163</v>
      </c>
      <c r="G35" s="303">
        <f>SUMPRODUCT(G24:G31,'Control panel'!$F$3:$F$10)</f>
        <v>-0.27341686431449402</v>
      </c>
      <c r="H35" s="303">
        <f>SUMPRODUCT(H24:H31,'Control panel'!$F$3:$F$10)</f>
        <v>0.17850830662197881</v>
      </c>
      <c r="I35" s="305">
        <f>SUMPRODUCT(I24:I31,'Control panel'!$F$3:$F$10)</f>
        <v>1.1220306663992513E-2</v>
      </c>
    </row>
    <row r="38" spans="1:21" ht="13.5" thickBot="1"/>
    <row r="39" spans="1:21" ht="13.5" thickBot="1">
      <c r="A39" s="294" t="s">
        <v>119</v>
      </c>
      <c r="B39" s="295">
        <v>8</v>
      </c>
    </row>
    <row r="40" spans="1:21" ht="13.5" thickBot="1">
      <c r="A40" s="294" t="s">
        <v>144</v>
      </c>
      <c r="B40" s="295">
        <v>8</v>
      </c>
    </row>
    <row r="45" spans="1:21">
      <c r="A45" s="292"/>
      <c r="B45" s="292"/>
      <c r="C45" s="292"/>
      <c r="D45" s="292"/>
      <c r="E45" s="292"/>
      <c r="F45" s="292"/>
      <c r="G45" s="292"/>
      <c r="H45" s="292"/>
      <c r="I45" s="292"/>
    </row>
    <row r="46" spans="1:21">
      <c r="A46" s="292"/>
      <c r="B46" s="292"/>
      <c r="C46" s="292"/>
      <c r="D46" s="292"/>
      <c r="E46" s="292"/>
      <c r="F46" s="292"/>
      <c r="G46" s="292"/>
      <c r="H46" s="292"/>
      <c r="I46" s="292"/>
    </row>
    <row r="47" spans="1:21">
      <c r="A47" s="292"/>
      <c r="B47" s="292"/>
      <c r="C47" s="292"/>
      <c r="D47" s="292"/>
      <c r="E47" s="292"/>
      <c r="F47" s="292"/>
      <c r="G47" s="292"/>
      <c r="H47" s="292"/>
      <c r="I47" s="292"/>
    </row>
    <row r="48" spans="1:21">
      <c r="A48" s="292"/>
      <c r="B48" s="292"/>
      <c r="C48" s="292"/>
      <c r="D48" s="292"/>
      <c r="E48" s="292"/>
      <c r="F48" s="292"/>
      <c r="G48" s="292"/>
      <c r="H48" s="292"/>
      <c r="I48" s="292"/>
    </row>
    <row r="49" spans="1:9">
      <c r="A49" s="292"/>
      <c r="B49" s="292"/>
      <c r="C49" s="292"/>
      <c r="D49" s="292"/>
      <c r="E49" s="292"/>
      <c r="F49" s="292"/>
      <c r="G49" s="292"/>
      <c r="H49" s="292"/>
      <c r="I49" s="292"/>
    </row>
    <row r="50" spans="1:9">
      <c r="A50" s="292"/>
      <c r="B50" s="292"/>
      <c r="C50" s="292"/>
      <c r="D50" s="292"/>
      <c r="E50" s="292"/>
      <c r="F50" s="292"/>
      <c r="G50" s="292"/>
      <c r="H50" s="292"/>
      <c r="I50" s="292"/>
    </row>
    <row r="51" spans="1:9">
      <c r="A51" s="292"/>
      <c r="B51" s="292"/>
      <c r="C51" s="292"/>
      <c r="D51" s="292"/>
      <c r="E51" s="292"/>
      <c r="F51" s="292"/>
      <c r="G51" s="292"/>
      <c r="H51" s="292"/>
      <c r="I51" s="292"/>
    </row>
    <row r="52" spans="1:9">
      <c r="A52" s="292"/>
      <c r="B52" s="292"/>
      <c r="C52" s="292"/>
      <c r="D52" s="292"/>
      <c r="E52" s="292"/>
      <c r="F52" s="292"/>
      <c r="G52" s="292"/>
      <c r="H52" s="292"/>
      <c r="I52" s="292"/>
    </row>
    <row r="53" spans="1:9">
      <c r="A53" s="292"/>
      <c r="B53" s="292"/>
      <c r="C53" s="292"/>
      <c r="D53" s="292"/>
      <c r="E53" s="292"/>
      <c r="F53" s="292"/>
      <c r="G53" s="292"/>
      <c r="H53" s="292"/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B19" sqref="B19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71" t="s">
        <v>3</v>
      </c>
      <c r="E3" s="371"/>
      <c r="F3" s="371"/>
      <c r="G3" s="371"/>
      <c r="H3" s="371"/>
      <c r="I3" s="371"/>
      <c r="J3" s="371"/>
      <c r="K3" s="372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4.3214826708651545E-2</v>
      </c>
      <c r="D4" s="111">
        <f>Scenarios!E4</f>
        <v>1.0000000000000002</v>
      </c>
      <c r="E4" s="112">
        <f>Scenarios!F4</f>
        <v>0.48758203889173096</v>
      </c>
      <c r="F4" s="112">
        <f>Scenarios!G4</f>
        <v>0.43351903366758959</v>
      </c>
      <c r="G4" s="112">
        <f>Scenarios!H4</f>
        <v>0.22240504783264323</v>
      </c>
      <c r="H4" s="112">
        <f>Scenarios!I4</f>
        <v>0.2729543601339276</v>
      </c>
      <c r="I4" s="112">
        <f>Scenarios!J4</f>
        <v>0.51795492979549662</v>
      </c>
      <c r="J4" s="112">
        <f>Scenarios!K4</f>
        <v>0.22026085078406454</v>
      </c>
      <c r="K4" s="113">
        <f>Scenarios!L4</f>
        <v>0.36266106503892548</v>
      </c>
      <c r="L4" s="239" t="s">
        <v>120</v>
      </c>
      <c r="N4" s="36">
        <f t="array" ref="N4:U11">+D4:K11*TRANSPOSE(C4:C11)*C4:C11</f>
        <v>1.8675212474587833E-3</v>
      </c>
      <c r="O4" s="36">
        <v>3.3342160675410709E-3</v>
      </c>
      <c r="P4" s="36">
        <v>3.1501654825561447E-3</v>
      </c>
      <c r="Q4" s="36">
        <v>2.7874319988523133E-3</v>
      </c>
      <c r="R4" s="36">
        <v>3.51210184860851E-3</v>
      </c>
      <c r="S4" s="36">
        <v>7.5155110021377708E-3</v>
      </c>
      <c r="T4" s="36">
        <v>1.3946371552323023E-3</v>
      </c>
      <c r="U4" s="36">
        <v>3.1212956212481151E-3</v>
      </c>
    </row>
    <row r="5" spans="1:21">
      <c r="A5" s="41" t="s">
        <v>5</v>
      </c>
      <c r="B5" s="42">
        <f>Scenarios!B25</f>
        <v>0.03</v>
      </c>
      <c r="C5" s="42">
        <f>Scenarios!D5</f>
        <v>0.15823890359343337</v>
      </c>
      <c r="D5" s="111">
        <f>Scenarios!E5</f>
        <v>0.48758203889173107</v>
      </c>
      <c r="E5" s="112">
        <f>Scenarios!F5</f>
        <v>0.99999999999999978</v>
      </c>
      <c r="F5" s="112">
        <f>Scenarios!G5</f>
        <v>0.90991930291292189</v>
      </c>
      <c r="G5" s="112">
        <f>Scenarios!H5</f>
        <v>0.74890714708117023</v>
      </c>
      <c r="H5" s="112">
        <f>Scenarios!I5</f>
        <v>0.74060441066122751</v>
      </c>
      <c r="I5" s="112">
        <f>Scenarios!J5</f>
        <v>0.88671991368989134</v>
      </c>
      <c r="J5" s="112">
        <f>Scenarios!K5</f>
        <v>0.61760661631655178</v>
      </c>
      <c r="K5" s="113">
        <f>Scenarios!L5</f>
        <v>0.8752768910119606</v>
      </c>
      <c r="N5" s="36">
        <v>3.3342160675410718E-3</v>
      </c>
      <c r="O5" s="36">
        <v>2.5039550610451898E-2</v>
      </c>
      <c r="P5" s="36">
        <v>2.4210767996325083E-2</v>
      </c>
      <c r="Q5" s="36">
        <v>3.4369095734260446E-2</v>
      </c>
      <c r="R5" s="36">
        <v>3.48934449985751E-2</v>
      </c>
      <c r="S5" s="36">
        <v>4.7112211944783683E-2</v>
      </c>
      <c r="T5" s="36">
        <v>1.4319120639324133E-2</v>
      </c>
      <c r="U5" s="36">
        <v>2.75841700957868E-2</v>
      </c>
    </row>
    <row r="6" spans="1:21">
      <c r="A6" s="41" t="s">
        <v>6</v>
      </c>
      <c r="B6" s="42">
        <f>Scenarios!B26</f>
        <v>3.1705382280009728E-2</v>
      </c>
      <c r="C6" s="42">
        <f>Scenarios!D6</f>
        <v>0.168148277471422</v>
      </c>
      <c r="D6" s="111">
        <f>Scenarios!E6</f>
        <v>0.43351903366758976</v>
      </c>
      <c r="E6" s="112">
        <f>Scenarios!F6</f>
        <v>0.90991930291292189</v>
      </c>
      <c r="F6" s="112">
        <f>Scenarios!G6</f>
        <v>1</v>
      </c>
      <c r="G6" s="112">
        <f>Scenarios!H6</f>
        <v>0.78689057691118713</v>
      </c>
      <c r="H6" s="112">
        <f>Scenarios!I6</f>
        <v>0.81542413678900194</v>
      </c>
      <c r="I6" s="112">
        <f>Scenarios!J6</f>
        <v>0.84996791272671834</v>
      </c>
      <c r="J6" s="112">
        <f>Scenarios!K6</f>
        <v>0.63150622997795747</v>
      </c>
      <c r="K6" s="113">
        <f>Scenarios!L6</f>
        <v>0.87979060194508074</v>
      </c>
      <c r="N6" s="36">
        <v>3.150165482556146E-3</v>
      </c>
      <c r="O6" s="36">
        <v>2.4210767996325083E-2</v>
      </c>
      <c r="P6" s="36">
        <v>2.8273843216606323E-2</v>
      </c>
      <c r="Q6" s="36">
        <v>3.8373696184703453E-2</v>
      </c>
      <c r="R6" s="36">
        <v>4.0824443660549874E-2</v>
      </c>
      <c r="S6" s="36">
        <v>4.7987565924770659E-2</v>
      </c>
      <c r="T6" s="36">
        <v>1.5558266457002203E-2</v>
      </c>
      <c r="U6" s="36">
        <v>2.9462726607530545E-2</v>
      </c>
    </row>
    <row r="7" spans="1:21">
      <c r="A7" s="41" t="s">
        <v>7</v>
      </c>
      <c r="B7" s="42">
        <f>Scenarios!B27</f>
        <v>5.7210243741557129E-2</v>
      </c>
      <c r="C7" s="42">
        <f>Scenarios!D7</f>
        <v>0.29001927694608043</v>
      </c>
      <c r="D7" s="111">
        <f>Scenarios!E7</f>
        <v>0.22240504783264309</v>
      </c>
      <c r="E7" s="112">
        <f>Scenarios!F7</f>
        <v>0.74890714708117023</v>
      </c>
      <c r="F7" s="112">
        <f>Scenarios!G7</f>
        <v>0.78689057691118725</v>
      </c>
      <c r="G7" s="112">
        <f>Scenarios!H7</f>
        <v>1.0000000000000002</v>
      </c>
      <c r="H7" s="112">
        <f>Scenarios!I7</f>
        <v>0.80043789752068695</v>
      </c>
      <c r="I7" s="112">
        <f>Scenarios!J7</f>
        <v>0.6816417645711762</v>
      </c>
      <c r="J7" s="112">
        <f>Scenarios!K7</f>
        <v>0.69656976952020244</v>
      </c>
      <c r="K7" s="113">
        <f>Scenarios!L7</f>
        <v>0.8825588907922528</v>
      </c>
      <c r="N7" s="36">
        <v>2.7874319988523116E-3</v>
      </c>
      <c r="O7" s="36">
        <v>3.4369095734260446E-2</v>
      </c>
      <c r="P7" s="36">
        <v>3.8373696184703453E-2</v>
      </c>
      <c r="Q7" s="36">
        <v>8.4111181000327315E-2</v>
      </c>
      <c r="R7" s="36">
        <v>6.9119215106557635E-2</v>
      </c>
      <c r="S7" s="36">
        <v>6.6376878593813984E-2</v>
      </c>
      <c r="T7" s="36">
        <v>2.9599381146183188E-2</v>
      </c>
      <c r="U7" s="36">
        <v>5.0976704304249595E-2</v>
      </c>
    </row>
    <row r="8" spans="1:21">
      <c r="A8" s="41" t="s">
        <v>8</v>
      </c>
      <c r="B8" s="42">
        <f>Scenarios!B28</f>
        <v>5.5668448282861861E-2</v>
      </c>
      <c r="C8" s="42">
        <f>Scenarios!D8</f>
        <v>0.29774487154665702</v>
      </c>
      <c r="D8" s="111">
        <f>Scenarios!E8</f>
        <v>0.2729543601339276</v>
      </c>
      <c r="E8" s="112">
        <f>Scenarios!F8</f>
        <v>0.7406044106612274</v>
      </c>
      <c r="F8" s="112">
        <f>Scenarios!G8</f>
        <v>0.81542413678900183</v>
      </c>
      <c r="G8" s="112">
        <f>Scenarios!H8</f>
        <v>0.80043789752068695</v>
      </c>
      <c r="H8" s="112">
        <f>Scenarios!I8</f>
        <v>1</v>
      </c>
      <c r="I8" s="112">
        <f>Scenarios!J8</f>
        <v>0.70370520831484562</v>
      </c>
      <c r="J8" s="112">
        <f>Scenarios!K8</f>
        <v>0.62140003003210531</v>
      </c>
      <c r="K8" s="113">
        <f>Scenarios!L8</f>
        <v>0.77427405839831998</v>
      </c>
      <c r="N8" s="36">
        <v>3.5121018486085104E-3</v>
      </c>
      <c r="O8" s="36">
        <v>3.4893444998575093E-2</v>
      </c>
      <c r="P8" s="36">
        <v>4.0824443660549867E-2</v>
      </c>
      <c r="Q8" s="36">
        <v>6.9119215106557635E-2</v>
      </c>
      <c r="R8" s="36">
        <v>8.8652008532335291E-2</v>
      </c>
      <c r="S8" s="36">
        <v>7.0350764829628737E-2</v>
      </c>
      <c r="T8" s="36">
        <v>2.7108575865746099E-2</v>
      </c>
      <c r="U8" s="36">
        <v>4.5913478089811721E-2</v>
      </c>
    </row>
    <row r="9" spans="1:21">
      <c r="A9" s="41" t="s">
        <v>9</v>
      </c>
      <c r="B9" s="42">
        <f>Scenarios!B29</f>
        <v>5.4683067728185694E-2</v>
      </c>
      <c r="C9" s="42">
        <f>Scenarios!D9</f>
        <v>0.33576372020209261</v>
      </c>
      <c r="D9" s="111">
        <f>Scenarios!E9</f>
        <v>0.51795492979549662</v>
      </c>
      <c r="E9" s="112">
        <f>Scenarios!F9</f>
        <v>0.88671991368989134</v>
      </c>
      <c r="F9" s="112">
        <f>Scenarios!G9</f>
        <v>0.84996791272671812</v>
      </c>
      <c r="G9" s="112">
        <f>Scenarios!H9</f>
        <v>0.6816417645711762</v>
      </c>
      <c r="H9" s="112">
        <f>Scenarios!I9</f>
        <v>0.70370520831484562</v>
      </c>
      <c r="I9" s="112">
        <f>Scenarios!J9</f>
        <v>1.0000000000000002</v>
      </c>
      <c r="J9" s="112">
        <f>Scenarios!K9</f>
        <v>0.64202094504860974</v>
      </c>
      <c r="K9" s="113">
        <f>Scenarios!L9</f>
        <v>0.82000870971282414</v>
      </c>
      <c r="N9" s="36">
        <v>7.5155110021377699E-3</v>
      </c>
      <c r="O9" s="36">
        <v>4.711221194478369E-2</v>
      </c>
      <c r="P9" s="36">
        <v>4.7987565924770645E-2</v>
      </c>
      <c r="Q9" s="36">
        <v>6.6376878593813984E-2</v>
      </c>
      <c r="R9" s="36">
        <v>7.0350764829628737E-2</v>
      </c>
      <c r="S9" s="36">
        <v>0.11273727580394916</v>
      </c>
      <c r="T9" s="36">
        <v>3.158450738795341E-2</v>
      </c>
      <c r="U9" s="36">
        <v>5.4834441956043922E-2</v>
      </c>
    </row>
    <row r="10" spans="1:21">
      <c r="A10" s="41" t="s">
        <v>10</v>
      </c>
      <c r="B10" s="42">
        <f>Scenarios!B30</f>
        <v>2.9030049193200475E-2</v>
      </c>
      <c r="C10" s="42">
        <f>Scenarios!D10</f>
        <v>0.1465180543940868</v>
      </c>
      <c r="D10" s="111">
        <f>Scenarios!E10</f>
        <v>0.2202608507840644</v>
      </c>
      <c r="E10" s="112">
        <f>Scenarios!F10</f>
        <v>0.61760661631655156</v>
      </c>
      <c r="F10" s="112">
        <f>Scenarios!G10</f>
        <v>0.63150622997795758</v>
      </c>
      <c r="G10" s="112">
        <f>Scenarios!H10</f>
        <v>0.69656976952020244</v>
      </c>
      <c r="H10" s="112">
        <f>Scenarios!I10</f>
        <v>0.62140003003210531</v>
      </c>
      <c r="I10" s="112">
        <f>Scenarios!J10</f>
        <v>0.64202094504860974</v>
      </c>
      <c r="J10" s="112">
        <f>Scenarios!K10</f>
        <v>1.0000000000000002</v>
      </c>
      <c r="K10" s="113">
        <f>Scenarios!L10</f>
        <v>0.66415983265504108</v>
      </c>
      <c r="N10" s="36">
        <v>1.3946371552323014E-3</v>
      </c>
      <c r="O10" s="36">
        <v>1.431912063932413E-2</v>
      </c>
      <c r="P10" s="36">
        <v>1.5558266457002206E-2</v>
      </c>
      <c r="Q10" s="36">
        <v>2.9599381146183192E-2</v>
      </c>
      <c r="R10" s="36">
        <v>2.7108575865746099E-2</v>
      </c>
      <c r="S10" s="36">
        <v>3.158450738795341E-2</v>
      </c>
      <c r="T10" s="36">
        <v>2.1467540263428581E-2</v>
      </c>
      <c r="U10" s="36">
        <v>1.9380498529609831E-2</v>
      </c>
    </row>
    <row r="11" spans="1:21" ht="13.5" thickBot="1">
      <c r="A11" s="43" t="s">
        <v>11</v>
      </c>
      <c r="B11" s="44">
        <f>Scenarios!B31</f>
        <v>3.8983857987503749E-2</v>
      </c>
      <c r="C11" s="44">
        <f>Scenarios!D11</f>
        <v>0.19915957675666104</v>
      </c>
      <c r="D11" s="114">
        <f>Scenarios!E11</f>
        <v>0.36266106503892553</v>
      </c>
      <c r="E11" s="115">
        <f>Scenarios!F11</f>
        <v>0.8752768910119606</v>
      </c>
      <c r="F11" s="115">
        <f>Scenarios!G11</f>
        <v>0.87979060194508063</v>
      </c>
      <c r="G11" s="115">
        <f>Scenarios!H11</f>
        <v>0.88255889079225258</v>
      </c>
      <c r="H11" s="115">
        <f>Scenarios!I11</f>
        <v>0.77427405839831998</v>
      </c>
      <c r="I11" s="115">
        <f>Scenarios!J11</f>
        <v>0.82000870971282414</v>
      </c>
      <c r="J11" s="115">
        <f>Scenarios!K11</f>
        <v>0.66415983265504108</v>
      </c>
      <c r="K11" s="116">
        <f>Scenarios!L11</f>
        <v>1.0000000000000002</v>
      </c>
      <c r="N11" s="36">
        <v>3.1212956212481155E-3</v>
      </c>
      <c r="O11" s="36">
        <v>2.75841700957868E-2</v>
      </c>
      <c r="P11" s="36">
        <v>2.9462726607530541E-2</v>
      </c>
      <c r="Q11" s="36">
        <v>5.0976704304249582E-2</v>
      </c>
      <c r="R11" s="36">
        <v>4.5913478089811721E-2</v>
      </c>
      <c r="S11" s="36">
        <v>5.4834441956043915E-2</v>
      </c>
      <c r="T11" s="36">
        <v>1.9380498529609831E-2</v>
      </c>
      <c r="U11" s="36">
        <v>3.9664537013892373E-2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70" t="s">
        <v>3</v>
      </c>
      <c r="E14" s="371"/>
      <c r="F14" s="371"/>
      <c r="G14" s="371"/>
      <c r="H14" s="371"/>
      <c r="I14" s="371"/>
      <c r="J14" s="371"/>
      <c r="K14" s="372"/>
    </row>
    <row r="15" spans="1:21">
      <c r="A15" s="41" t="s">
        <v>4</v>
      </c>
      <c r="B15" s="46">
        <f>Scenarios!C24</f>
        <v>-1.5814187202246897E-2</v>
      </c>
      <c r="C15" s="42">
        <f>C4</f>
        <v>4.3214826708651545E-2</v>
      </c>
      <c r="D15" s="111">
        <f t="shared" ref="D15:K15" si="0">D4</f>
        <v>1.0000000000000002</v>
      </c>
      <c r="E15" s="112">
        <f t="shared" si="0"/>
        <v>0.48758203889173096</v>
      </c>
      <c r="F15" s="112">
        <f t="shared" si="0"/>
        <v>0.43351903366758959</v>
      </c>
      <c r="G15" s="112">
        <f t="shared" si="0"/>
        <v>0.22240504783264323</v>
      </c>
      <c r="H15" s="112">
        <f t="shared" si="0"/>
        <v>0.2729543601339276</v>
      </c>
      <c r="I15" s="112">
        <f t="shared" si="0"/>
        <v>0.51795492979549662</v>
      </c>
      <c r="J15" s="112">
        <f t="shared" si="0"/>
        <v>0.22026085078406454</v>
      </c>
      <c r="K15" s="113">
        <f t="shared" si="0"/>
        <v>0.36266106503892548</v>
      </c>
      <c r="L15" s="239" t="s">
        <v>120</v>
      </c>
    </row>
    <row r="16" spans="1:21">
      <c r="A16" s="41" t="s">
        <v>5</v>
      </c>
      <c r="B16" s="46">
        <f>Scenarios!C25</f>
        <v>3.7091344896853895E-2</v>
      </c>
      <c r="C16" s="42">
        <f t="shared" ref="C16:K16" si="1">C5</f>
        <v>0.15823890359343337</v>
      </c>
      <c r="D16" s="111">
        <f t="shared" si="1"/>
        <v>0.48758203889173107</v>
      </c>
      <c r="E16" s="112">
        <f t="shared" si="1"/>
        <v>0.99999999999999978</v>
      </c>
      <c r="F16" s="112">
        <f t="shared" si="1"/>
        <v>0.90991930291292189</v>
      </c>
      <c r="G16" s="112">
        <f t="shared" si="1"/>
        <v>0.74890714708117023</v>
      </c>
      <c r="H16" s="112">
        <f t="shared" si="1"/>
        <v>0.74060441066122751</v>
      </c>
      <c r="I16" s="112">
        <f t="shared" si="1"/>
        <v>0.88671991368989134</v>
      </c>
      <c r="J16" s="112">
        <f t="shared" si="1"/>
        <v>0.61760661631655178</v>
      </c>
      <c r="K16" s="113">
        <f t="shared" si="1"/>
        <v>0.8752768910119606</v>
      </c>
    </row>
    <row r="17" spans="1:12">
      <c r="A17" s="41" t="s">
        <v>6</v>
      </c>
      <c r="B17" s="46">
        <f>Scenarios!C26</f>
        <v>2.8956559002887815E-2</v>
      </c>
      <c r="C17" s="42">
        <f t="shared" ref="C17:K17" si="2">C6</f>
        <v>0.168148277471422</v>
      </c>
      <c r="D17" s="111">
        <f t="shared" si="2"/>
        <v>0.43351903366758976</v>
      </c>
      <c r="E17" s="112">
        <f t="shared" si="2"/>
        <v>0.90991930291292189</v>
      </c>
      <c r="F17" s="112">
        <f t="shared" si="2"/>
        <v>1</v>
      </c>
      <c r="G17" s="112">
        <f t="shared" si="2"/>
        <v>0.78689057691118713</v>
      </c>
      <c r="H17" s="112">
        <f t="shared" si="2"/>
        <v>0.81542413678900194</v>
      </c>
      <c r="I17" s="112">
        <f t="shared" si="2"/>
        <v>0.84996791272671834</v>
      </c>
      <c r="J17" s="112">
        <f t="shared" si="2"/>
        <v>0.63150622997795747</v>
      </c>
      <c r="K17" s="113">
        <f t="shared" si="2"/>
        <v>0.87979060194508074</v>
      </c>
    </row>
    <row r="18" spans="1:12">
      <c r="A18" s="41" t="s">
        <v>7</v>
      </c>
      <c r="B18" s="46">
        <f>Scenarios!C27</f>
        <v>-7.0207416604689673E-3</v>
      </c>
      <c r="C18" s="42">
        <f t="shared" ref="C18:K18" si="3">C7</f>
        <v>0.29001927694608043</v>
      </c>
      <c r="D18" s="111">
        <f t="shared" si="3"/>
        <v>0.22240504783264309</v>
      </c>
      <c r="E18" s="112">
        <f t="shared" si="3"/>
        <v>0.74890714708117023</v>
      </c>
      <c r="F18" s="112">
        <f t="shared" si="3"/>
        <v>0.78689057691118725</v>
      </c>
      <c r="G18" s="112">
        <f t="shared" si="3"/>
        <v>1.0000000000000002</v>
      </c>
      <c r="H18" s="112">
        <f t="shared" si="3"/>
        <v>0.80043789752068695</v>
      </c>
      <c r="I18" s="112">
        <f t="shared" si="3"/>
        <v>0.6816417645711762</v>
      </c>
      <c r="J18" s="112">
        <f t="shared" si="3"/>
        <v>0.69656976952020244</v>
      </c>
      <c r="K18" s="113">
        <f t="shared" si="3"/>
        <v>0.8825588907922528</v>
      </c>
    </row>
    <row r="19" spans="1:12">
      <c r="A19" s="41" t="s">
        <v>8</v>
      </c>
      <c r="B19" s="46">
        <f>Scenarios!C28</f>
        <v>5.995264087409511E-2</v>
      </c>
      <c r="C19" s="42">
        <f t="shared" ref="C19:K19" si="4">C8</f>
        <v>0.29774487154665702</v>
      </c>
      <c r="D19" s="111">
        <f t="shared" si="4"/>
        <v>0.2729543601339276</v>
      </c>
      <c r="E19" s="112">
        <f t="shared" si="4"/>
        <v>0.7406044106612274</v>
      </c>
      <c r="F19" s="112">
        <f t="shared" si="4"/>
        <v>0.81542413678900183</v>
      </c>
      <c r="G19" s="112">
        <f t="shared" si="4"/>
        <v>0.80043789752068695</v>
      </c>
      <c r="H19" s="112">
        <f t="shared" si="4"/>
        <v>1</v>
      </c>
      <c r="I19" s="112">
        <f t="shared" si="4"/>
        <v>0.70370520831484562</v>
      </c>
      <c r="J19" s="112">
        <f t="shared" si="4"/>
        <v>0.62140003003210531</v>
      </c>
      <c r="K19" s="113">
        <f t="shared" si="4"/>
        <v>0.77427405839831998</v>
      </c>
    </row>
    <row r="20" spans="1:12">
      <c r="A20" s="41" t="s">
        <v>9</v>
      </c>
      <c r="B20" s="46">
        <f>Scenarios!C29</f>
        <v>7.203626561528087E-2</v>
      </c>
      <c r="C20" s="42">
        <f t="shared" ref="C20:K20" si="5">C9</f>
        <v>0.33576372020209261</v>
      </c>
      <c r="D20" s="111">
        <f t="shared" si="5"/>
        <v>0.51795492979549662</v>
      </c>
      <c r="E20" s="112">
        <f t="shared" si="5"/>
        <v>0.88671991368989134</v>
      </c>
      <c r="F20" s="112">
        <f t="shared" si="5"/>
        <v>0.84996791272671812</v>
      </c>
      <c r="G20" s="112">
        <f t="shared" si="5"/>
        <v>0.6816417645711762</v>
      </c>
      <c r="H20" s="112">
        <f t="shared" si="5"/>
        <v>0.70370520831484562</v>
      </c>
      <c r="I20" s="112">
        <f t="shared" si="5"/>
        <v>1.0000000000000002</v>
      </c>
      <c r="J20" s="112">
        <f t="shared" si="5"/>
        <v>0.64202094504860974</v>
      </c>
      <c r="K20" s="113">
        <f t="shared" si="5"/>
        <v>0.82000870971282414</v>
      </c>
    </row>
    <row r="21" spans="1:12">
      <c r="A21" s="41" t="s">
        <v>10</v>
      </c>
      <c r="B21" s="46">
        <f>Scenarios!C30</f>
        <v>2.2042435122490836E-2</v>
      </c>
      <c r="C21" s="42">
        <f t="shared" ref="C21:K21" si="6">C10</f>
        <v>0.1465180543940868</v>
      </c>
      <c r="D21" s="111">
        <f t="shared" si="6"/>
        <v>0.2202608507840644</v>
      </c>
      <c r="E21" s="112">
        <f t="shared" si="6"/>
        <v>0.61760661631655156</v>
      </c>
      <c r="F21" s="112">
        <f t="shared" si="6"/>
        <v>0.63150622997795758</v>
      </c>
      <c r="G21" s="112">
        <f t="shared" si="6"/>
        <v>0.69656976952020244</v>
      </c>
      <c r="H21" s="112">
        <f t="shared" si="6"/>
        <v>0.62140003003210531</v>
      </c>
      <c r="I21" s="112">
        <f t="shared" si="6"/>
        <v>0.64202094504860974</v>
      </c>
      <c r="J21" s="112">
        <f t="shared" si="6"/>
        <v>1.0000000000000002</v>
      </c>
      <c r="K21" s="113">
        <f t="shared" si="6"/>
        <v>0.66415983265504108</v>
      </c>
    </row>
    <row r="22" spans="1:12" ht="13.5" thickBot="1">
      <c r="A22" s="43" t="s">
        <v>11</v>
      </c>
      <c r="B22" s="47">
        <f>Scenarios!C31</f>
        <v>2.0231202745045189E-2</v>
      </c>
      <c r="C22" s="44">
        <f t="shared" ref="C22:K22" si="7">C11</f>
        <v>0.19915957675666104</v>
      </c>
      <c r="D22" s="114">
        <f t="shared" si="7"/>
        <v>0.36266106503892553</v>
      </c>
      <c r="E22" s="115">
        <f t="shared" si="7"/>
        <v>0.8752768910119606</v>
      </c>
      <c r="F22" s="115">
        <f t="shared" si="7"/>
        <v>0.87979060194508063</v>
      </c>
      <c r="G22" s="115">
        <f t="shared" si="7"/>
        <v>0.88255889079225258</v>
      </c>
      <c r="H22" s="115">
        <f t="shared" si="7"/>
        <v>0.77427405839831998</v>
      </c>
      <c r="I22" s="115">
        <f t="shared" si="7"/>
        <v>0.82000870971282414</v>
      </c>
      <c r="J22" s="115">
        <f t="shared" si="7"/>
        <v>0.66415983265504108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70" t="s">
        <v>3</v>
      </c>
      <c r="E25" s="371"/>
      <c r="F25" s="371"/>
      <c r="G25" s="371"/>
      <c r="H25" s="371"/>
      <c r="I25" s="371"/>
      <c r="J25" s="371"/>
      <c r="K25" s="372"/>
    </row>
    <row r="26" spans="1:12">
      <c r="A26" s="41" t="s">
        <v>4</v>
      </c>
      <c r="B26" s="46">
        <f>Scenarios!D24</f>
        <v>-2.2345199168589305E-2</v>
      </c>
      <c r="C26" s="243">
        <f>C4</f>
        <v>4.3214826708651545E-2</v>
      </c>
      <c r="D26" s="249">
        <f t="shared" ref="D26:K26" si="8">D4</f>
        <v>1.0000000000000002</v>
      </c>
      <c r="E26" s="250">
        <f t="shared" si="8"/>
        <v>0.48758203889173096</v>
      </c>
      <c r="F26" s="250">
        <f t="shared" si="8"/>
        <v>0.43351903366758959</v>
      </c>
      <c r="G26" s="250">
        <f t="shared" si="8"/>
        <v>0.22240504783264323</v>
      </c>
      <c r="H26" s="250">
        <f t="shared" si="8"/>
        <v>0.2729543601339276</v>
      </c>
      <c r="I26" s="250">
        <f t="shared" si="8"/>
        <v>0.51795492979549662</v>
      </c>
      <c r="J26" s="250">
        <f t="shared" si="8"/>
        <v>0.22026085078406454</v>
      </c>
      <c r="K26" s="251">
        <f t="shared" si="8"/>
        <v>0.36266106503892548</v>
      </c>
      <c r="L26" s="239" t="s">
        <v>120</v>
      </c>
    </row>
    <row r="27" spans="1:12">
      <c r="A27" s="41" t="s">
        <v>5</v>
      </c>
      <c r="B27" s="46">
        <f>Scenarios!D25</f>
        <v>-6.3296292109812774E-2</v>
      </c>
      <c r="C27" s="243">
        <f t="shared" ref="C27:K27" si="9">C5</f>
        <v>0.15823890359343337</v>
      </c>
      <c r="D27" s="249">
        <f t="shared" si="9"/>
        <v>0.48758203889173107</v>
      </c>
      <c r="E27" s="250">
        <f t="shared" si="9"/>
        <v>0.99999999999999978</v>
      </c>
      <c r="F27" s="250">
        <f t="shared" si="9"/>
        <v>0.90991930291292189</v>
      </c>
      <c r="G27" s="250">
        <f t="shared" si="9"/>
        <v>0.74890714708117023</v>
      </c>
      <c r="H27" s="250">
        <f t="shared" si="9"/>
        <v>0.74060441066122751</v>
      </c>
      <c r="I27" s="250">
        <f t="shared" si="9"/>
        <v>0.88671991368989134</v>
      </c>
      <c r="J27" s="250">
        <f t="shared" si="9"/>
        <v>0.61760661631655178</v>
      </c>
      <c r="K27" s="251">
        <f t="shared" si="9"/>
        <v>0.8752768910119606</v>
      </c>
    </row>
    <row r="28" spans="1:12">
      <c r="A28" s="41" t="s">
        <v>6</v>
      </c>
      <c r="B28" s="46">
        <f>Scenarios!D26</f>
        <v>-4.7769977807847905E-2</v>
      </c>
      <c r="C28" s="243">
        <f t="shared" ref="C28:K28" si="10">C6</f>
        <v>0.168148277471422</v>
      </c>
      <c r="D28" s="249">
        <f t="shared" si="10"/>
        <v>0.43351903366758976</v>
      </c>
      <c r="E28" s="250">
        <f t="shared" si="10"/>
        <v>0.90991930291292189</v>
      </c>
      <c r="F28" s="250">
        <f t="shared" si="10"/>
        <v>1</v>
      </c>
      <c r="G28" s="250">
        <f t="shared" si="10"/>
        <v>0.78689057691118713</v>
      </c>
      <c r="H28" s="250">
        <f t="shared" si="10"/>
        <v>0.81542413678900194</v>
      </c>
      <c r="I28" s="250">
        <f t="shared" si="10"/>
        <v>0.84996791272671834</v>
      </c>
      <c r="J28" s="250">
        <f t="shared" si="10"/>
        <v>0.63150622997795747</v>
      </c>
      <c r="K28" s="251">
        <f t="shared" si="10"/>
        <v>0.87979060194508074</v>
      </c>
    </row>
    <row r="29" spans="1:12">
      <c r="A29" s="41" t="s">
        <v>7</v>
      </c>
      <c r="B29" s="46">
        <f>Scenarios!D27</f>
        <v>-0.18604628076301943</v>
      </c>
      <c r="C29" s="243">
        <f t="shared" ref="C29:K29" si="11">C7</f>
        <v>0.29001927694608043</v>
      </c>
      <c r="D29" s="249">
        <f t="shared" si="11"/>
        <v>0.22240504783264309</v>
      </c>
      <c r="E29" s="250">
        <f t="shared" si="11"/>
        <v>0.74890714708117023</v>
      </c>
      <c r="F29" s="250">
        <f t="shared" si="11"/>
        <v>0.78689057691118725</v>
      </c>
      <c r="G29" s="250">
        <f t="shared" si="11"/>
        <v>1.0000000000000002</v>
      </c>
      <c r="H29" s="250">
        <f t="shared" si="11"/>
        <v>0.80043789752068695</v>
      </c>
      <c r="I29" s="250">
        <f t="shared" si="11"/>
        <v>0.6816417645711762</v>
      </c>
      <c r="J29" s="250">
        <f t="shared" si="11"/>
        <v>0.69656976952020244</v>
      </c>
      <c r="K29" s="251">
        <f t="shared" si="11"/>
        <v>0.8825588907922528</v>
      </c>
    </row>
    <row r="30" spans="1:12">
      <c r="A30" s="41" t="s">
        <v>8</v>
      </c>
      <c r="B30" s="46">
        <f>Scenarios!D28</f>
        <v>-6.9881478458451565E-2</v>
      </c>
      <c r="C30" s="243">
        <f t="shared" ref="C30:K30" si="12">C8</f>
        <v>0.29774487154665702</v>
      </c>
      <c r="D30" s="249">
        <f t="shared" si="12"/>
        <v>0.2729543601339276</v>
      </c>
      <c r="E30" s="250">
        <f t="shared" si="12"/>
        <v>0.7406044106612274</v>
      </c>
      <c r="F30" s="250">
        <f t="shared" si="12"/>
        <v>0.81542413678900183</v>
      </c>
      <c r="G30" s="250">
        <f t="shared" si="12"/>
        <v>0.80043789752068695</v>
      </c>
      <c r="H30" s="250">
        <f t="shared" si="12"/>
        <v>1</v>
      </c>
      <c r="I30" s="250">
        <f t="shared" si="12"/>
        <v>0.70370520831484562</v>
      </c>
      <c r="J30" s="250">
        <f t="shared" si="12"/>
        <v>0.62140003003210531</v>
      </c>
      <c r="K30" s="251">
        <f t="shared" si="12"/>
        <v>0.77427405839831998</v>
      </c>
    </row>
    <row r="31" spans="1:12">
      <c r="A31" s="41" t="s">
        <v>9</v>
      </c>
      <c r="B31" s="46">
        <f>Scenarios!D29</f>
        <v>-2.2847077305702401E-2</v>
      </c>
      <c r="C31" s="243">
        <f t="shared" ref="C31:K31" si="13">C9</f>
        <v>0.33576372020209261</v>
      </c>
      <c r="D31" s="249">
        <f t="shared" si="13"/>
        <v>0.51795492979549662</v>
      </c>
      <c r="E31" s="250">
        <f t="shared" si="13"/>
        <v>0.88671991368989134</v>
      </c>
      <c r="F31" s="250">
        <f t="shared" si="13"/>
        <v>0.84996791272671812</v>
      </c>
      <c r="G31" s="250">
        <f t="shared" si="13"/>
        <v>0.6816417645711762</v>
      </c>
      <c r="H31" s="250">
        <f t="shared" si="13"/>
        <v>0.70370520831484562</v>
      </c>
      <c r="I31" s="250">
        <f t="shared" si="13"/>
        <v>1.0000000000000002</v>
      </c>
      <c r="J31" s="250">
        <f t="shared" si="13"/>
        <v>0.64202094504860974</v>
      </c>
      <c r="K31" s="251">
        <f t="shared" si="13"/>
        <v>0.82000870971282414</v>
      </c>
    </row>
    <row r="32" spans="1:12">
      <c r="A32" s="41" t="s">
        <v>10</v>
      </c>
      <c r="B32" s="46">
        <f>Scenarios!D30</f>
        <v>-5.8098568330005394E-2</v>
      </c>
      <c r="C32" s="243">
        <f t="shared" ref="C32:K32" si="14">C10</f>
        <v>0.1465180543940868</v>
      </c>
      <c r="D32" s="249">
        <f t="shared" si="14"/>
        <v>0.2202608507840644</v>
      </c>
      <c r="E32" s="250">
        <f t="shared" si="14"/>
        <v>0.61760661631655156</v>
      </c>
      <c r="F32" s="250">
        <f t="shared" si="14"/>
        <v>0.63150622997795758</v>
      </c>
      <c r="G32" s="250">
        <f t="shared" si="14"/>
        <v>0.69656976952020244</v>
      </c>
      <c r="H32" s="250">
        <f t="shared" si="14"/>
        <v>0.62140003003210531</v>
      </c>
      <c r="I32" s="250">
        <f t="shared" si="14"/>
        <v>0.64202094504860974</v>
      </c>
      <c r="J32" s="250">
        <f t="shared" si="14"/>
        <v>1.0000000000000002</v>
      </c>
      <c r="K32" s="251">
        <f t="shared" si="14"/>
        <v>0.66415983265504108</v>
      </c>
    </row>
    <row r="33" spans="1:12" ht="13.5" thickBot="1">
      <c r="A33" s="43" t="s">
        <v>11</v>
      </c>
      <c r="B33" s="47">
        <f>Scenarios!D31</f>
        <v>-0.12499426713174636</v>
      </c>
      <c r="C33" s="246">
        <f t="shared" ref="C33:K33" si="15">C11</f>
        <v>0.19915957675666104</v>
      </c>
      <c r="D33" s="252">
        <f t="shared" si="15"/>
        <v>0.36266106503892553</v>
      </c>
      <c r="E33" s="253">
        <f t="shared" si="15"/>
        <v>0.8752768910119606</v>
      </c>
      <c r="F33" s="253">
        <f t="shared" si="15"/>
        <v>0.87979060194508063</v>
      </c>
      <c r="G33" s="253">
        <f t="shared" si="15"/>
        <v>0.88255889079225258</v>
      </c>
      <c r="H33" s="253">
        <f t="shared" si="15"/>
        <v>0.77427405839831998</v>
      </c>
      <c r="I33" s="253">
        <f t="shared" si="15"/>
        <v>0.82000870971282414</v>
      </c>
      <c r="J33" s="253">
        <f t="shared" si="15"/>
        <v>0.66415983265504108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70" t="s">
        <v>3</v>
      </c>
      <c r="E36" s="371"/>
      <c r="F36" s="371"/>
      <c r="G36" s="371"/>
      <c r="H36" s="371"/>
      <c r="I36" s="371"/>
      <c r="J36" s="371"/>
      <c r="K36" s="372"/>
    </row>
    <row r="37" spans="1:12">
      <c r="A37" s="41" t="s">
        <v>4</v>
      </c>
      <c r="B37" s="46">
        <f>Scenarios!E24</f>
        <v>-1.2548681219075715E-2</v>
      </c>
      <c r="C37" s="243">
        <f t="shared" ref="C37:K37" si="16">C15</f>
        <v>4.3214826708651545E-2</v>
      </c>
      <c r="D37" s="249">
        <f t="shared" si="16"/>
        <v>1.0000000000000002</v>
      </c>
      <c r="E37" s="250">
        <f t="shared" si="16"/>
        <v>0.48758203889173096</v>
      </c>
      <c r="F37" s="250">
        <f t="shared" si="16"/>
        <v>0.43351903366758959</v>
      </c>
      <c r="G37" s="250">
        <f t="shared" si="16"/>
        <v>0.22240504783264323</v>
      </c>
      <c r="H37" s="250">
        <f t="shared" si="16"/>
        <v>0.2729543601339276</v>
      </c>
      <c r="I37" s="250">
        <f t="shared" si="16"/>
        <v>0.51795492979549662</v>
      </c>
      <c r="J37" s="250">
        <f t="shared" si="16"/>
        <v>0.22026085078406454</v>
      </c>
      <c r="K37" s="251">
        <f t="shared" si="16"/>
        <v>0.36266106503892548</v>
      </c>
      <c r="L37" s="239" t="s">
        <v>120</v>
      </c>
    </row>
    <row r="38" spans="1:12">
      <c r="A38" s="41" t="s">
        <v>5</v>
      </c>
      <c r="B38" s="46">
        <f>Scenarios!E25</f>
        <v>0.10801699223685385</v>
      </c>
      <c r="C38" s="243">
        <f t="shared" ref="C38:K38" si="17">C16</f>
        <v>0.15823890359343337</v>
      </c>
      <c r="D38" s="249">
        <f t="shared" si="17"/>
        <v>0.48758203889173107</v>
      </c>
      <c r="E38" s="250">
        <f t="shared" si="17"/>
        <v>0.99999999999999978</v>
      </c>
      <c r="F38" s="250">
        <f t="shared" si="17"/>
        <v>0.90991930291292189</v>
      </c>
      <c r="G38" s="250">
        <f t="shared" si="17"/>
        <v>0.74890714708117023</v>
      </c>
      <c r="H38" s="250">
        <f t="shared" si="17"/>
        <v>0.74060441066122751</v>
      </c>
      <c r="I38" s="250">
        <f t="shared" si="17"/>
        <v>0.88671991368989134</v>
      </c>
      <c r="J38" s="250">
        <f t="shared" si="17"/>
        <v>0.61760661631655178</v>
      </c>
      <c r="K38" s="251">
        <f t="shared" si="17"/>
        <v>0.8752768910119606</v>
      </c>
    </row>
    <row r="39" spans="1:12">
      <c r="A39" s="41" t="s">
        <v>6</v>
      </c>
      <c r="B39" s="46">
        <f>Scenarios!E26</f>
        <v>5.063245091407538E-2</v>
      </c>
      <c r="C39" s="243">
        <f t="shared" ref="C39:K39" si="18">C17</f>
        <v>0.168148277471422</v>
      </c>
      <c r="D39" s="249">
        <f t="shared" si="18"/>
        <v>0.43351903366758976</v>
      </c>
      <c r="E39" s="250">
        <f t="shared" si="18"/>
        <v>0.90991930291292189</v>
      </c>
      <c r="F39" s="250">
        <f t="shared" si="18"/>
        <v>1</v>
      </c>
      <c r="G39" s="250">
        <f t="shared" si="18"/>
        <v>0.78689057691118713</v>
      </c>
      <c r="H39" s="250">
        <f t="shared" si="18"/>
        <v>0.81542413678900194</v>
      </c>
      <c r="I39" s="250">
        <f t="shared" si="18"/>
        <v>0.84996791272671834</v>
      </c>
      <c r="J39" s="250">
        <f t="shared" si="18"/>
        <v>0.63150622997795747</v>
      </c>
      <c r="K39" s="251">
        <f t="shared" si="18"/>
        <v>0.87979060194508074</v>
      </c>
    </row>
    <row r="40" spans="1:12">
      <c r="A40" s="41" t="s">
        <v>7</v>
      </c>
      <c r="B40" s="46">
        <f>Scenarios!E27</f>
        <v>8.4300303146984695E-2</v>
      </c>
      <c r="C40" s="243">
        <f t="shared" ref="C40:K40" si="19">C18</f>
        <v>0.29001927694608043</v>
      </c>
      <c r="D40" s="249">
        <f t="shared" si="19"/>
        <v>0.22240504783264309</v>
      </c>
      <c r="E40" s="250">
        <f t="shared" si="19"/>
        <v>0.74890714708117023</v>
      </c>
      <c r="F40" s="250">
        <f t="shared" si="19"/>
        <v>0.78689057691118725</v>
      </c>
      <c r="G40" s="250">
        <f t="shared" si="19"/>
        <v>1.0000000000000002</v>
      </c>
      <c r="H40" s="250">
        <f t="shared" si="19"/>
        <v>0.80043789752068695</v>
      </c>
      <c r="I40" s="250">
        <f t="shared" si="19"/>
        <v>0.6816417645711762</v>
      </c>
      <c r="J40" s="250">
        <f t="shared" si="19"/>
        <v>0.69656976952020244</v>
      </c>
      <c r="K40" s="251">
        <f t="shared" si="19"/>
        <v>0.8825588907922528</v>
      </c>
    </row>
    <row r="41" spans="1:12">
      <c r="A41" s="41" t="s">
        <v>8</v>
      </c>
      <c r="B41" s="46">
        <f>Scenarios!E28</f>
        <v>0.12656751240399325</v>
      </c>
      <c r="C41" s="243">
        <f t="shared" ref="C41:K41" si="20">C19</f>
        <v>0.29774487154665702</v>
      </c>
      <c r="D41" s="249">
        <f t="shared" si="20"/>
        <v>0.2729543601339276</v>
      </c>
      <c r="E41" s="250">
        <f t="shared" si="20"/>
        <v>0.7406044106612274</v>
      </c>
      <c r="F41" s="250">
        <f t="shared" si="20"/>
        <v>0.81542413678900183</v>
      </c>
      <c r="G41" s="250">
        <f t="shared" si="20"/>
        <v>0.80043789752068695</v>
      </c>
      <c r="H41" s="250">
        <f t="shared" si="20"/>
        <v>1</v>
      </c>
      <c r="I41" s="250">
        <f t="shared" si="20"/>
        <v>0.70370520831484562</v>
      </c>
      <c r="J41" s="250">
        <f t="shared" si="20"/>
        <v>0.62140003003210531</v>
      </c>
      <c r="K41" s="251">
        <f t="shared" si="20"/>
        <v>0.77427405839831998</v>
      </c>
    </row>
    <row r="42" spans="1:12">
      <c r="A42" s="41" t="s">
        <v>9</v>
      </c>
      <c r="B42" s="46">
        <f>Scenarios!E29</f>
        <v>0.11991050604096423</v>
      </c>
      <c r="C42" s="243">
        <f t="shared" ref="C42:K42" si="21">C20</f>
        <v>0.33576372020209261</v>
      </c>
      <c r="D42" s="249">
        <f t="shared" si="21"/>
        <v>0.51795492979549662</v>
      </c>
      <c r="E42" s="250">
        <f t="shared" si="21"/>
        <v>0.88671991368989134</v>
      </c>
      <c r="F42" s="250">
        <f t="shared" si="21"/>
        <v>0.84996791272671812</v>
      </c>
      <c r="G42" s="250">
        <f t="shared" si="21"/>
        <v>0.6816417645711762</v>
      </c>
      <c r="H42" s="250">
        <f t="shared" si="21"/>
        <v>0.70370520831484562</v>
      </c>
      <c r="I42" s="250">
        <f t="shared" si="21"/>
        <v>1.0000000000000002</v>
      </c>
      <c r="J42" s="250">
        <f t="shared" si="21"/>
        <v>0.64202094504860974</v>
      </c>
      <c r="K42" s="251">
        <f t="shared" si="21"/>
        <v>0.82000870971282414</v>
      </c>
    </row>
    <row r="43" spans="1:12">
      <c r="A43" s="41" t="s">
        <v>10</v>
      </c>
      <c r="B43" s="46">
        <f>Scenarios!E30</f>
        <v>5.9612936848738904E-2</v>
      </c>
      <c r="C43" s="243">
        <f t="shared" ref="C43:K43" si="22">C21</f>
        <v>0.1465180543940868</v>
      </c>
      <c r="D43" s="249">
        <f t="shared" si="22"/>
        <v>0.2202608507840644</v>
      </c>
      <c r="E43" s="250">
        <f t="shared" si="22"/>
        <v>0.61760661631655156</v>
      </c>
      <c r="F43" s="250">
        <f t="shared" si="22"/>
        <v>0.63150622997795758</v>
      </c>
      <c r="G43" s="250">
        <f t="shared" si="22"/>
        <v>0.69656976952020244</v>
      </c>
      <c r="H43" s="250">
        <f t="shared" si="22"/>
        <v>0.62140003003210531</v>
      </c>
      <c r="I43" s="250">
        <f t="shared" si="22"/>
        <v>0.64202094504860974</v>
      </c>
      <c r="J43" s="250">
        <f t="shared" si="22"/>
        <v>1.0000000000000002</v>
      </c>
      <c r="K43" s="251">
        <f t="shared" si="22"/>
        <v>0.66415983265504108</v>
      </c>
    </row>
    <row r="44" spans="1:12" ht="13.5" thickBot="1">
      <c r="A44" s="43" t="s">
        <v>11</v>
      </c>
      <c r="B44" s="47">
        <f>Scenarios!E31</f>
        <v>8.6882053939412757E-2</v>
      </c>
      <c r="C44" s="246">
        <f t="shared" ref="C44:K44" si="23">C22</f>
        <v>0.19915957675666104</v>
      </c>
      <c r="D44" s="252">
        <f t="shared" si="23"/>
        <v>0.36266106503892553</v>
      </c>
      <c r="E44" s="253">
        <f t="shared" si="23"/>
        <v>0.8752768910119606</v>
      </c>
      <c r="F44" s="253">
        <f t="shared" si="23"/>
        <v>0.87979060194508063</v>
      </c>
      <c r="G44" s="253">
        <f t="shared" si="23"/>
        <v>0.88255889079225258</v>
      </c>
      <c r="H44" s="253">
        <f t="shared" si="23"/>
        <v>0.77427405839831998</v>
      </c>
      <c r="I44" s="253">
        <f t="shared" si="23"/>
        <v>0.82000870971282414</v>
      </c>
      <c r="J44" s="253">
        <f t="shared" si="23"/>
        <v>0.66415983265504108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73" t="s">
        <v>3</v>
      </c>
      <c r="E47" s="374"/>
      <c r="F47" s="374"/>
      <c r="G47" s="374"/>
      <c r="H47" s="374"/>
      <c r="I47" s="374"/>
      <c r="J47" s="374"/>
      <c r="K47" s="375"/>
    </row>
    <row r="48" spans="1:12">
      <c r="A48" s="41" t="s">
        <v>4</v>
      </c>
      <c r="B48" s="230">
        <f>Scenarios!F24</f>
        <v>-3.4590846605481285E-2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-0.3928734479964795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-0.39219451345955136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-0.55280134539344339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-0.38124920785250294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-0.51795450951236899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-0.22162743171483407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-0.40201585901004655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70" t="s">
        <v>3</v>
      </c>
      <c r="E58" s="371"/>
      <c r="F58" s="371"/>
      <c r="G58" s="371"/>
      <c r="H58" s="371"/>
      <c r="I58" s="371"/>
      <c r="J58" s="371"/>
      <c r="K58" s="372"/>
      <c r="M58" s="78"/>
    </row>
    <row r="59" spans="1:13">
      <c r="A59" s="41" t="s">
        <v>4</v>
      </c>
      <c r="B59" s="46">
        <f>Scenarios!G24</f>
        <v>-0.29273266768551542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-0.41654304969647948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-0.18339603021235151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-0.46447856989823566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-0.25955043219214274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-0.56384711463070247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-1.0216188542192122E-2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-0.46743807153204797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70" t="s">
        <v>3</v>
      </c>
      <c r="E69" s="371"/>
      <c r="F69" s="371"/>
      <c r="G69" s="371"/>
      <c r="H69" s="371"/>
      <c r="I69" s="371"/>
      <c r="J69" s="371"/>
      <c r="K69" s="372"/>
      <c r="M69" s="78"/>
    </row>
    <row r="70" spans="1:13">
      <c r="A70" s="41" t="s">
        <v>4</v>
      </c>
      <c r="B70" s="46">
        <f>+Scenarios!H24</f>
        <v>-1.2114622673173481E-2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0.31953047890352049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0.28503634041301795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0.46156602820227344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0.42480121988631425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0.66436153607763093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0.31685576215825423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0.45493204503823104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D53" sqref="D53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76" t="s">
        <v>16</v>
      </c>
      <c r="D2" s="377"/>
      <c r="E2" s="378" t="s">
        <v>17</v>
      </c>
      <c r="F2" s="379"/>
      <c r="G2" s="380" t="s">
        <v>33</v>
      </c>
      <c r="H2" s="381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0.59460926292655603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7.3502607897390396E-2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8.232448256002324E-2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9.6683683628085992E-2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5.1500558015493796E-2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2.0640227417381859E-2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3.219705746498288E-2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0</v>
      </c>
      <c r="D11" s="24">
        <f>'Control panel'!D10</f>
        <v>1</v>
      </c>
      <c r="E11" s="24">
        <v>0</v>
      </c>
      <c r="F11" s="24">
        <v>1</v>
      </c>
      <c r="G11" s="25">
        <f>'Control panel'!B10</f>
        <v>4.8542120090085711E-2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G35" sqref="G35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9.3079489831111251E-2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61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9.3079489831111251E-2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61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9.3079489831111251E-2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61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9.3079489831111251E-2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61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9.3079489831111251E-2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61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9.3079489831111251E-2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61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9.3079489831111251E-2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61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9.3079489831111251E-2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workbookViewId="0">
      <selection activeCell="B96" sqref="B96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82" t="s">
        <v>64</v>
      </c>
      <c r="E2" s="383"/>
      <c r="F2" s="384"/>
      <c r="G2" s="382" t="s">
        <v>65</v>
      </c>
      <c r="H2" s="383"/>
      <c r="I2" s="383"/>
      <c r="J2" s="383"/>
      <c r="K2" s="383"/>
      <c r="L2" s="383"/>
      <c r="M2" s="383"/>
      <c r="N2" s="383"/>
      <c r="O2" s="384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0.33570711278733645</v>
      </c>
      <c r="H3" s="272">
        <v>0.24820171082522613</v>
      </c>
      <c r="I3" s="272">
        <v>0.19213911588792187</v>
      </c>
      <c r="J3" s="272">
        <v>0.15350691400879479</v>
      </c>
      <c r="K3" s="272">
        <v>6.8321331873083646E-2</v>
      </c>
      <c r="L3" s="272">
        <v>1.9945789080220155E-3</v>
      </c>
      <c r="M3" s="272">
        <v>1.2923570961009823E-4</v>
      </c>
      <c r="N3" s="272">
        <v>0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0.44883942244975361</v>
      </c>
      <c r="C4" s="54">
        <v>2.4232927164834994E-2</v>
      </c>
      <c r="D4" s="55">
        <v>0.43039087883433191</v>
      </c>
      <c r="E4" s="1">
        <v>0.44861140282575401</v>
      </c>
      <c r="F4" s="56">
        <v>0.46646664720907571</v>
      </c>
      <c r="G4" s="2">
        <v>-0.22120180287918131</v>
      </c>
      <c r="H4" s="2">
        <v>-0.57277018179411998</v>
      </c>
      <c r="I4" s="2">
        <v>-0.11751533975264139</v>
      </c>
      <c r="J4" s="2">
        <v>-0.35895440374691268</v>
      </c>
      <c r="K4" s="2">
        <v>0.13686996820377562</v>
      </c>
      <c r="L4" s="2">
        <v>0.34837341127720223</v>
      </c>
      <c r="M4" s="2">
        <v>1</v>
      </c>
      <c r="N4" s="2">
        <v>1</v>
      </c>
      <c r="O4" s="57"/>
      <c r="R4" s="51" t="str">
        <f>A4</f>
        <v>Nominale matching</v>
      </c>
      <c r="S4" s="52">
        <f>D4</f>
        <v>0.43039087883433191</v>
      </c>
      <c r="T4" s="52">
        <f>B4-D4</f>
        <v>1.8448543615421698E-2</v>
      </c>
      <c r="U4" s="52">
        <f>F4-B4</f>
        <v>1.7627224759322102E-2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7.2871378783882668E-2</v>
      </c>
      <c r="C5" s="54">
        <v>4.5796900111439137E-2</v>
      </c>
      <c r="D5" s="55">
        <v>3.6972683400273113E-2</v>
      </c>
      <c r="E5" s="1">
        <v>6.6348045509834946E-2</v>
      </c>
      <c r="F5" s="56">
        <v>0.10333079260963587</v>
      </c>
      <c r="G5" s="2">
        <v>1</v>
      </c>
      <c r="H5" s="2">
        <v>-2.1166637157182975E-3</v>
      </c>
      <c r="I5" s="2">
        <v>3.9094710963587754E-3</v>
      </c>
      <c r="J5" s="2">
        <v>0.18553715436314033</v>
      </c>
      <c r="K5" s="2">
        <v>-2.5692914287750057E-2</v>
      </c>
      <c r="L5" s="2">
        <v>-6.2984198387037768E-2</v>
      </c>
      <c r="M5" s="2">
        <v>0.23082661944539262</v>
      </c>
      <c r="N5" s="2">
        <v>0.99999999999998113</v>
      </c>
      <c r="O5" s="57"/>
      <c r="R5" s="51" t="str">
        <f t="shared" ref="R5:R11" si="0">A5</f>
        <v>High Yield</v>
      </c>
      <c r="S5" s="52">
        <f t="shared" ref="S5:S11" si="1">D5</f>
        <v>3.6972683400273113E-2</v>
      </c>
      <c r="T5" s="52">
        <f t="shared" ref="T5:T11" si="2">B5-D5</f>
        <v>3.5898695383609555E-2</v>
      </c>
      <c r="U5" s="52">
        <f t="shared" ref="U5:U11" si="3">F5-B5</f>
        <v>3.0459413825753207E-2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5.2431384564578347E-2</v>
      </c>
      <c r="C6" s="54">
        <v>3.5391589218137953E-2</v>
      </c>
      <c r="D6" s="55">
        <v>2.4819463366907605E-2</v>
      </c>
      <c r="E6" s="1">
        <v>4.7409883143297672E-2</v>
      </c>
      <c r="F6" s="56">
        <v>7.589005853964774E-2</v>
      </c>
      <c r="G6" s="2">
        <v>-0.23078509961706681</v>
      </c>
      <c r="H6" s="2">
        <v>0.18954137170702109</v>
      </c>
      <c r="I6" s="2">
        <v>1</v>
      </c>
      <c r="J6" s="2">
        <v>0.45824464568719619</v>
      </c>
      <c r="K6" s="2">
        <v>2.4612793310476049E-2</v>
      </c>
      <c r="L6" s="2">
        <v>-8.6367880806083444E-2</v>
      </c>
      <c r="M6" s="2">
        <v>0.17565059065318495</v>
      </c>
      <c r="N6" s="2">
        <v>0.99999999999998024</v>
      </c>
      <c r="O6" s="57"/>
      <c r="R6" s="51" t="str">
        <f t="shared" si="0"/>
        <v>Emerging market debt</v>
      </c>
      <c r="S6" s="52">
        <f t="shared" si="1"/>
        <v>2.4819463366907605E-2</v>
      </c>
      <c r="T6" s="52">
        <f t="shared" si="2"/>
        <v>2.7611921197670742E-2</v>
      </c>
      <c r="U6" s="52">
        <f t="shared" si="3"/>
        <v>2.3458673975069393E-2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3.7823519080930512E-2</v>
      </c>
      <c r="C7" s="54">
        <v>2.4369454696282274E-2</v>
      </c>
      <c r="D7" s="55">
        <v>1.8043517456574575E-2</v>
      </c>
      <c r="E7" s="1">
        <v>3.5901879508702883E-2</v>
      </c>
      <c r="F7" s="56">
        <v>5.3730753990937852E-2</v>
      </c>
      <c r="G7" s="2">
        <v>-5.8756579012468592E-2</v>
      </c>
      <c r="H7" s="2">
        <v>-0.40956444645865231</v>
      </c>
      <c r="I7" s="2">
        <v>0.1112206752220429</v>
      </c>
      <c r="J7" s="2">
        <v>-0.6032125514706137</v>
      </c>
      <c r="K7" s="2">
        <v>-0.73069476362456198</v>
      </c>
      <c r="L7" s="2">
        <v>-0.48595105252543963</v>
      </c>
      <c r="M7" s="2">
        <v>-0.47910164036850156</v>
      </c>
      <c r="N7" s="2">
        <v>0.99999999999996181</v>
      </c>
      <c r="O7" s="57"/>
      <c r="R7" s="51" t="str">
        <f t="shared" si="0"/>
        <v>Aandelen ontwikkeld</v>
      </c>
      <c r="S7" s="52">
        <f t="shared" si="1"/>
        <v>1.8043517456574575E-2</v>
      </c>
      <c r="T7" s="52">
        <f t="shared" si="2"/>
        <v>1.9780001624355937E-2</v>
      </c>
      <c r="U7" s="52">
        <f t="shared" si="3"/>
        <v>1.590723491000734E-2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2.6948607327337594E-2</v>
      </c>
      <c r="C8" s="54">
        <v>1.9316730354358647E-2</v>
      </c>
      <c r="D8" s="55">
        <v>1.1376570205652498E-2</v>
      </c>
      <c r="E8" s="1">
        <v>2.3982077711230607E-2</v>
      </c>
      <c r="F8" s="56">
        <v>3.9194613546793197E-2</v>
      </c>
      <c r="G8" s="2">
        <v>-7.7117516995597629E-2</v>
      </c>
      <c r="H8" s="2">
        <v>-0.1188002221354609</v>
      </c>
      <c r="I8" s="2">
        <v>-0.1310670846903782</v>
      </c>
      <c r="J8" s="2">
        <v>-0.17243821344875152</v>
      </c>
      <c r="K8" s="2">
        <v>1</v>
      </c>
      <c r="L8" s="2">
        <v>-0.47474090665293905</v>
      </c>
      <c r="M8" s="2">
        <v>-0.44448705083256745</v>
      </c>
      <c r="N8" s="2">
        <v>0.99999999999996292</v>
      </c>
      <c r="O8" s="57"/>
      <c r="R8" s="51" t="str">
        <f t="shared" si="0"/>
        <v>Aandelen opkomend</v>
      </c>
      <c r="S8" s="52">
        <f t="shared" si="1"/>
        <v>1.1376570205652498E-2</v>
      </c>
      <c r="T8" s="52">
        <f t="shared" si="2"/>
        <v>1.5572037121685096E-2</v>
      </c>
      <c r="U8" s="52">
        <f t="shared" si="3"/>
        <v>1.2246006219455603E-2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3.1135588460574726E-3</v>
      </c>
      <c r="C9" s="54">
        <v>3.1561649308258066E-3</v>
      </c>
      <c r="D9" s="55">
        <v>7.0149339105213043E-4</v>
      </c>
      <c r="E9" s="1">
        <v>2.2324645071726511E-3</v>
      </c>
      <c r="F9" s="56">
        <v>4.6016207450250163E-3</v>
      </c>
      <c r="G9" s="2">
        <v>-4.2004138060640446E-3</v>
      </c>
      <c r="H9" s="2">
        <v>-1.1153582935439891E-2</v>
      </c>
      <c r="I9" s="2">
        <v>-7.1356590248416842E-3</v>
      </c>
      <c r="J9" s="2">
        <v>-2.4438241250468323E-2</v>
      </c>
      <c r="K9" s="2">
        <v>1.0812696834377558E-2</v>
      </c>
      <c r="L9" s="2">
        <v>1</v>
      </c>
      <c r="M9" s="2">
        <v>-0.75266163554039123</v>
      </c>
      <c r="N9" s="2">
        <v>0.9999999999999597</v>
      </c>
      <c r="O9" s="57"/>
      <c r="R9" s="51" t="str">
        <f t="shared" si="0"/>
        <v>Commodities</v>
      </c>
      <c r="S9" s="52">
        <f t="shared" si="1"/>
        <v>7.0149339105213043E-4</v>
      </c>
      <c r="T9" s="52">
        <f t="shared" si="2"/>
        <v>2.4120654550053421E-3</v>
      </c>
      <c r="U9" s="52">
        <f t="shared" si="3"/>
        <v>1.4880618989675438E-3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0.3121888702030946</v>
      </c>
      <c r="C10" s="54">
        <v>3.796351024280626E-2</v>
      </c>
      <c r="D10" s="55">
        <v>0.28440629910722171</v>
      </c>
      <c r="E10" s="1">
        <v>0.30823865554552032</v>
      </c>
      <c r="F10" s="56">
        <v>0.33821380361563458</v>
      </c>
      <c r="G10" s="2">
        <v>-0.13464509712589609</v>
      </c>
      <c r="H10" s="2">
        <v>1</v>
      </c>
      <c r="I10" s="2">
        <v>-0.27114121206707198</v>
      </c>
      <c r="J10" s="2">
        <v>-0.48473839013359127</v>
      </c>
      <c r="K10" s="2">
        <v>-0.12828143531151531</v>
      </c>
      <c r="L10" s="2">
        <v>-4.3163202694606113E-2</v>
      </c>
      <c r="M10" s="2">
        <v>0.2816502725011984</v>
      </c>
      <c r="N10" s="2">
        <v>0.9999999999999809</v>
      </c>
      <c r="O10" s="57"/>
      <c r="R10" s="51" t="str">
        <f t="shared" si="0"/>
        <v>Hedge funds</v>
      </c>
      <c r="S10" s="52">
        <f t="shared" si="1"/>
        <v>0.28440629910722171</v>
      </c>
      <c r="T10" s="52">
        <f t="shared" si="2"/>
        <v>2.7782571095872899E-2</v>
      </c>
      <c r="U10" s="52">
        <f t="shared" si="3"/>
        <v>2.6024933412539974E-2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4.5783258744365375E-2</v>
      </c>
      <c r="C11" s="62">
        <v>3.3133379980666927E-2</v>
      </c>
      <c r="D11" s="63">
        <v>1.9579911300634547E-2</v>
      </c>
      <c r="E11" s="61">
        <v>3.7353747356671435E-2</v>
      </c>
      <c r="F11" s="64">
        <v>6.7739085398285048E-2</v>
      </c>
      <c r="G11" s="65">
        <v>-0.27329349056372532</v>
      </c>
      <c r="H11" s="65">
        <v>-7.5136274667629344E-2</v>
      </c>
      <c r="I11" s="65">
        <v>-0.58827085078346997</v>
      </c>
      <c r="J11" s="65">
        <v>1</v>
      </c>
      <c r="K11" s="65">
        <v>-0.28762634512480179</v>
      </c>
      <c r="L11" s="65">
        <v>-0.19516617021110058</v>
      </c>
      <c r="M11" s="65">
        <v>-1.1877155858366793E-2</v>
      </c>
      <c r="N11" s="65">
        <v>0.99999999999997413</v>
      </c>
      <c r="O11" s="66"/>
      <c r="R11" s="51" t="str">
        <f t="shared" si="0"/>
        <v>Onroerend goed</v>
      </c>
      <c r="S11" s="52">
        <f t="shared" si="1"/>
        <v>1.9579911300634547E-2</v>
      </c>
      <c r="T11" s="52">
        <f t="shared" si="2"/>
        <v>2.6203347443730828E-2</v>
      </c>
      <c r="U11" s="52">
        <f t="shared" si="3"/>
        <v>2.1955826653919673E-2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82" t="s">
        <v>64</v>
      </c>
      <c r="E13" s="383"/>
      <c r="F13" s="384"/>
      <c r="G13" s="382" t="s">
        <v>65</v>
      </c>
      <c r="H13" s="383"/>
      <c r="I13" s="383"/>
      <c r="J13" s="383"/>
      <c r="K13" s="383"/>
      <c r="L13" s="383"/>
      <c r="M13" s="383"/>
      <c r="N13" s="383"/>
      <c r="O13" s="384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0.72627877019793419</v>
      </c>
      <c r="H14" s="272">
        <v>0.1688715324085226</v>
      </c>
      <c r="I14" s="272">
        <v>8.2924485748442023E-2</v>
      </c>
      <c r="J14" s="272">
        <v>1.2543714975357112E-2</v>
      </c>
      <c r="K14" s="272">
        <v>8.4412382366021443E-3</v>
      </c>
      <c r="L14" s="272">
        <v>6.3094875856106736E-4</v>
      </c>
      <c r="M14" s="272">
        <v>3.0930967458231429E-4</v>
      </c>
      <c r="N14" s="272">
        <v>0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0.43874621076936754</v>
      </c>
      <c r="C15" s="54">
        <v>2.5115423582848125E-2</v>
      </c>
      <c r="D15" s="55">
        <v>0.41977054658713842</v>
      </c>
      <c r="E15" s="1">
        <v>0.43768419008501197</v>
      </c>
      <c r="F15" s="56">
        <v>0.45478162517680593</v>
      </c>
      <c r="G15" s="2">
        <v>-0.28081024012717176</v>
      </c>
      <c r="H15" s="2">
        <v>0.35423264693155265</v>
      </c>
      <c r="I15" s="2">
        <v>-0.75141661661658232</v>
      </c>
      <c r="J15" s="2">
        <v>-0.42087598008635219</v>
      </c>
      <c r="K15" s="2">
        <v>-0.2454904841442816</v>
      </c>
      <c r="L15" s="2">
        <v>-0.87862690991537762</v>
      </c>
      <c r="M15" s="2">
        <v>-0.27303910998452935</v>
      </c>
      <c r="N15" s="2">
        <v>1</v>
      </c>
      <c r="O15" s="57"/>
      <c r="R15" s="51" t="str">
        <f>A15</f>
        <v>Nominale matching</v>
      </c>
      <c r="S15" s="52">
        <f>D15</f>
        <v>0.41977054658713842</v>
      </c>
      <c r="T15" s="52">
        <f>B15-D15</f>
        <v>1.8975664182229124E-2</v>
      </c>
      <c r="U15" s="52">
        <f>F15-B15</f>
        <v>1.6035414407438386E-2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0.28772766470946015</v>
      </c>
      <c r="C16" s="54">
        <v>5.9674307771993312E-2</v>
      </c>
      <c r="D16" s="55">
        <v>0.2415691552104362</v>
      </c>
      <c r="E16" s="1">
        <v>0.28694653713381424</v>
      </c>
      <c r="F16" s="56">
        <v>0.3302549619423033</v>
      </c>
      <c r="G16" s="2">
        <v>-0.83833200848886669</v>
      </c>
      <c r="H16" s="2">
        <v>-0.83951345069898076</v>
      </c>
      <c r="I16" s="2">
        <v>0.56429588003529874</v>
      </c>
      <c r="J16" s="2">
        <v>0.23107320277710416</v>
      </c>
      <c r="K16" s="2">
        <v>-0.12715969093844176</v>
      </c>
      <c r="L16" s="2">
        <v>-5.8827682685175971E-2</v>
      </c>
      <c r="M16" s="2">
        <v>-0.15726066431330846</v>
      </c>
      <c r="N16" s="2">
        <v>0.9999999999999537</v>
      </c>
      <c r="O16" s="57"/>
      <c r="R16" s="51" t="str">
        <f t="shared" ref="R16:R22" si="5">A16</f>
        <v>High Yield</v>
      </c>
      <c r="S16" s="52">
        <f t="shared" ref="S16:S22" si="6">D16</f>
        <v>0.2415691552104362</v>
      </c>
      <c r="T16" s="52">
        <f t="shared" ref="T16:T22" si="7">B16-D16</f>
        <v>4.6158509499023948E-2</v>
      </c>
      <c r="U16" s="52">
        <f t="shared" ref="U16:U22" si="8">F16-B16</f>
        <v>4.2527297232843153E-2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4.3310062962067734E-2</v>
      </c>
      <c r="C17" s="54">
        <v>3.3606565611040501E-2</v>
      </c>
      <c r="D17" s="55">
        <v>1.682862067096734E-2</v>
      </c>
      <c r="E17" s="1">
        <v>3.5683233244728968E-2</v>
      </c>
      <c r="F17" s="56">
        <v>6.1373018385118654E-2</v>
      </c>
      <c r="G17" s="2">
        <v>0.11651014152572527</v>
      </c>
      <c r="H17" s="2">
        <v>1</v>
      </c>
      <c r="I17" s="2">
        <v>1</v>
      </c>
      <c r="J17" s="2">
        <v>0.1923409648898938</v>
      </c>
      <c r="K17" s="2">
        <v>-0.11890273807132101</v>
      </c>
      <c r="L17" s="2">
        <v>-5.9640503768815356E-2</v>
      </c>
      <c r="M17" s="2">
        <v>-0.15574093800329769</v>
      </c>
      <c r="N17" s="2">
        <v>0.99999999999995337</v>
      </c>
      <c r="O17" s="57"/>
      <c r="R17" s="51" t="str">
        <f t="shared" si="5"/>
        <v>Emerging market debt</v>
      </c>
      <c r="S17" s="52">
        <f t="shared" si="6"/>
        <v>1.682862067096734E-2</v>
      </c>
      <c r="T17" s="52">
        <f t="shared" si="7"/>
        <v>2.6481442291100395E-2</v>
      </c>
      <c r="U17" s="52">
        <f t="shared" si="8"/>
        <v>1.8062955423050919E-2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1.3696757777154312E-3</v>
      </c>
      <c r="C18" s="54">
        <v>1.7089921850088315E-3</v>
      </c>
      <c r="D18" s="55">
        <v>2.0415139849541076E-4</v>
      </c>
      <c r="E18" s="1">
        <v>7.3189678094910345E-4</v>
      </c>
      <c r="F18" s="56">
        <v>2.0265082753256488E-3</v>
      </c>
      <c r="G18" s="2">
        <v>-5.8357957665393476E-4</v>
      </c>
      <c r="H18" s="2">
        <v>2.9522846705631834E-4</v>
      </c>
      <c r="I18" s="2">
        <v>-6.1020669644747125E-3</v>
      </c>
      <c r="J18" s="2">
        <v>8.8674681485323373E-3</v>
      </c>
      <c r="K18" s="2">
        <v>-1.0341915487347263E-2</v>
      </c>
      <c r="L18" s="2">
        <v>-0.25686277726928203</v>
      </c>
      <c r="M18" s="2">
        <v>1</v>
      </c>
      <c r="N18" s="2">
        <v>0.99999999999986944</v>
      </c>
      <c r="O18" s="57"/>
      <c r="R18" s="51" t="str">
        <f t="shared" si="5"/>
        <v>Aandelen ontwikkeld</v>
      </c>
      <c r="S18" s="52">
        <f t="shared" si="6"/>
        <v>2.0415139849541076E-4</v>
      </c>
      <c r="T18" s="52">
        <f t="shared" si="7"/>
        <v>1.1655243792200204E-3</v>
      </c>
      <c r="U18" s="52">
        <f t="shared" si="8"/>
        <v>6.5683249761021756E-4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2.189437606952184E-2</v>
      </c>
      <c r="C19" s="54">
        <v>1.7398887914572517E-2</v>
      </c>
      <c r="D19" s="55">
        <v>8.0915635697171862E-3</v>
      </c>
      <c r="E19" s="1">
        <v>1.7700217313597062E-2</v>
      </c>
      <c r="F19" s="56">
        <v>3.3426402420748499E-2</v>
      </c>
      <c r="G19" s="2">
        <v>-1.8540081581446242E-2</v>
      </c>
      <c r="H19" s="2">
        <v>0.21194813067911358</v>
      </c>
      <c r="I19" s="2">
        <v>-0.77293196898620997</v>
      </c>
      <c r="J19" s="2">
        <v>1</v>
      </c>
      <c r="K19" s="2">
        <v>8.5373067752621598E-5</v>
      </c>
      <c r="L19" s="2">
        <v>0.49402210106188771</v>
      </c>
      <c r="M19" s="2">
        <v>-8.6630436361729013E-2</v>
      </c>
      <c r="N19" s="2">
        <v>0.99999999999992228</v>
      </c>
      <c r="O19" s="57"/>
      <c r="R19" s="51" t="str">
        <f t="shared" si="5"/>
        <v>Aandelen opkomend</v>
      </c>
      <c r="S19" s="52">
        <f t="shared" si="6"/>
        <v>8.0915635697171862E-3</v>
      </c>
      <c r="T19" s="52">
        <f t="shared" si="7"/>
        <v>1.3802812499804654E-2</v>
      </c>
      <c r="U19" s="52">
        <f t="shared" si="8"/>
        <v>1.153202635122666E-2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7.7097626984247757E-3</v>
      </c>
      <c r="C20" s="54">
        <v>7.7734676157810651E-3</v>
      </c>
      <c r="D20" s="55">
        <v>1.8868638402545538E-3</v>
      </c>
      <c r="E20" s="1">
        <v>5.27349997188588E-3</v>
      </c>
      <c r="F20" s="56">
        <v>1.1422947077340269E-2</v>
      </c>
      <c r="G20" s="2">
        <v>1.7844473926699023E-2</v>
      </c>
      <c r="H20" s="2">
        <v>3.9183657860470816E-3</v>
      </c>
      <c r="I20" s="2">
        <v>-0.14590543295014638</v>
      </c>
      <c r="J20" s="2">
        <v>-0.79277478806810175</v>
      </c>
      <c r="K20" s="2">
        <v>-0.33863261235527364</v>
      </c>
      <c r="L20" s="2">
        <v>1</v>
      </c>
      <c r="M20" s="2">
        <v>-8.1897685147857419E-3</v>
      </c>
      <c r="N20" s="2">
        <v>0.99999999999989497</v>
      </c>
      <c r="O20" s="57"/>
      <c r="R20" s="51" t="str">
        <f t="shared" si="5"/>
        <v>Commodities</v>
      </c>
      <c r="S20" s="52">
        <f t="shared" si="6"/>
        <v>1.8868638402545538E-3</v>
      </c>
      <c r="T20" s="52">
        <f t="shared" si="7"/>
        <v>5.8228988581702223E-3</v>
      </c>
      <c r="U20" s="52">
        <f t="shared" si="8"/>
        <v>3.7131843789154932E-3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0.1894304694511304</v>
      </c>
      <c r="C21" s="54">
        <v>6.7516114334880611E-2</v>
      </c>
      <c r="D21" s="55">
        <v>0.14180118273238318</v>
      </c>
      <c r="E21" s="1">
        <v>0.19468295905708427</v>
      </c>
      <c r="F21" s="56">
        <v>0.23519986554248443</v>
      </c>
      <c r="G21" s="2">
        <v>1</v>
      </c>
      <c r="H21" s="2">
        <v>-0.71691457090439392</v>
      </c>
      <c r="I21" s="2">
        <v>0.13390694835041325</v>
      </c>
      <c r="J21" s="2">
        <v>8.7007451030337329E-2</v>
      </c>
      <c r="K21" s="2">
        <v>-0.1595579320710836</v>
      </c>
      <c r="L21" s="2">
        <v>-0.298158225868005</v>
      </c>
      <c r="M21" s="2">
        <v>-0.19073762566072611</v>
      </c>
      <c r="N21" s="2">
        <v>0.99999999999996736</v>
      </c>
      <c r="O21" s="57"/>
      <c r="R21" s="51" t="str">
        <f t="shared" si="5"/>
        <v>Hedge funds</v>
      </c>
      <c r="S21" s="52">
        <f t="shared" si="6"/>
        <v>0.14180118273238318</v>
      </c>
      <c r="T21" s="52">
        <f t="shared" si="7"/>
        <v>4.7629286718747221E-2</v>
      </c>
      <c r="U21" s="52">
        <f t="shared" si="8"/>
        <v>4.5769396091354025E-2</v>
      </c>
    </row>
    <row r="22" spans="1:30">
      <c r="A22" s="60" t="str">
        <f t="shared" si="4"/>
        <v>Onroerend goed</v>
      </c>
      <c r="B22" s="286">
        <v>9.8117775623121194E-3</v>
      </c>
      <c r="C22" s="62">
        <v>8.7907666944551273E-3</v>
      </c>
      <c r="D22" s="63">
        <v>3.1869048175254466E-3</v>
      </c>
      <c r="E22" s="61">
        <v>7.4257067200665487E-3</v>
      </c>
      <c r="F22" s="64">
        <v>1.4282563405317096E-2</v>
      </c>
      <c r="G22" s="65">
        <v>3.9112943217135048E-3</v>
      </c>
      <c r="H22" s="65">
        <v>-1.3966350260394394E-2</v>
      </c>
      <c r="I22" s="65">
        <v>-2.1846742868299494E-2</v>
      </c>
      <c r="J22" s="65">
        <v>-0.30563831869141378</v>
      </c>
      <c r="K22" s="65">
        <v>1</v>
      </c>
      <c r="L22" s="65">
        <v>5.8093998444865479E-2</v>
      </c>
      <c r="M22" s="65">
        <v>-0.12840145716152879</v>
      </c>
      <c r="N22" s="65">
        <v>0.99999999999994249</v>
      </c>
      <c r="O22" s="66"/>
      <c r="R22" s="51" t="str">
        <f t="shared" si="5"/>
        <v>Onroerend goed</v>
      </c>
      <c r="S22" s="52">
        <f t="shared" si="6"/>
        <v>3.1869048175254466E-3</v>
      </c>
      <c r="T22" s="52">
        <f t="shared" si="7"/>
        <v>6.6248727447866728E-3</v>
      </c>
      <c r="U22" s="52">
        <f t="shared" si="8"/>
        <v>4.4707858430049763E-3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82" t="s">
        <v>64</v>
      </c>
      <c r="E24" s="383"/>
      <c r="F24" s="384"/>
      <c r="G24" s="382" t="s">
        <v>65</v>
      </c>
      <c r="H24" s="383"/>
      <c r="I24" s="383"/>
      <c r="J24" s="383"/>
      <c r="K24" s="383"/>
      <c r="L24" s="383"/>
      <c r="M24" s="383"/>
      <c r="N24" s="383"/>
      <c r="O24" s="384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0.9827554859837736</v>
      </c>
      <c r="H25" s="272">
        <v>9.7886067591534953E-3</v>
      </c>
      <c r="I25" s="272">
        <v>3.9828366145457927E-3</v>
      </c>
      <c r="J25" s="272">
        <v>2.277221275427288E-3</v>
      </c>
      <c r="K25" s="272">
        <v>1.0023934714090688E-3</v>
      </c>
      <c r="L25" s="272">
        <v>1.5965862962752375E-4</v>
      </c>
      <c r="M25" s="272">
        <v>3.3797266072665977E-5</v>
      </c>
      <c r="N25" s="272">
        <v>0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0.95871307599235223</v>
      </c>
      <c r="C26" s="54">
        <v>2.9742025255689201E-2</v>
      </c>
      <c r="D26" s="55">
        <v>0.94618067714506604</v>
      </c>
      <c r="E26" s="1">
        <v>0.96812916766635804</v>
      </c>
      <c r="F26" s="56">
        <v>0.9804987506529601</v>
      </c>
      <c r="G26" s="68">
        <v>-0.99205836982959783</v>
      </c>
      <c r="H26" s="68">
        <v>-0.6119560529006649</v>
      </c>
      <c r="I26" s="68">
        <v>-0.41770899884142265</v>
      </c>
      <c r="J26" s="68">
        <v>-0.11428344654301252</v>
      </c>
      <c r="K26" s="68">
        <v>-0.18272330614330456</v>
      </c>
      <c r="L26" s="68">
        <v>-0.16852328046016682</v>
      </c>
      <c r="M26" s="2">
        <v>-0.13639162194654975</v>
      </c>
      <c r="N26" s="2">
        <v>0.99999999999706413</v>
      </c>
      <c r="O26" s="69"/>
      <c r="R26" s="51" t="str">
        <f>A26</f>
        <v>Nominale matching</v>
      </c>
      <c r="S26" s="52">
        <f>D26</f>
        <v>0.94618067714506604</v>
      </c>
      <c r="T26" s="52">
        <f>B26-D26</f>
        <v>1.2532398847286186E-2</v>
      </c>
      <c r="U26" s="52">
        <f>F26-B26</f>
        <v>2.1785674660607879E-2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2.0029829714612725E-3</v>
      </c>
      <c r="C27" s="54">
        <v>1.9168681247448364E-3</v>
      </c>
      <c r="D27" s="55">
        <v>4.9883781419215686E-4</v>
      </c>
      <c r="E27" s="1">
        <v>1.4430356644780287E-3</v>
      </c>
      <c r="F27" s="56">
        <v>2.925908019933351E-3</v>
      </c>
      <c r="G27" s="68">
        <v>1.4332999242134951E-3</v>
      </c>
      <c r="H27" s="68">
        <v>7.9970748763235511E-2</v>
      </c>
      <c r="I27" s="68">
        <v>0.42206255257894948</v>
      </c>
      <c r="J27" s="68">
        <v>1</v>
      </c>
      <c r="K27" s="68">
        <v>-0.2136985321935973</v>
      </c>
      <c r="L27" s="68">
        <v>-0.17539869435841407</v>
      </c>
      <c r="M27" s="2">
        <v>-0.13963634545418296</v>
      </c>
      <c r="N27" s="2">
        <v>0.99999999999712397</v>
      </c>
      <c r="O27" s="69"/>
      <c r="R27" s="51" t="str">
        <f t="shared" ref="R27:R33" si="10">A27</f>
        <v>High Yield</v>
      </c>
      <c r="S27" s="52">
        <f t="shared" ref="S27:S33" si="11">D27</f>
        <v>4.9883781419215686E-4</v>
      </c>
      <c r="T27" s="52">
        <f t="shared" ref="T27:T33" si="12">B27-D27</f>
        <v>1.5041451572691156E-3</v>
      </c>
      <c r="U27" s="52">
        <f t="shared" ref="U27:U33" si="13">F27-B27</f>
        <v>9.2292504847207857E-4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3.8834232732508816E-3</v>
      </c>
      <c r="C28" s="54">
        <v>3.4358009716692166E-3</v>
      </c>
      <c r="D28" s="55">
        <v>1.2016019182301829E-3</v>
      </c>
      <c r="E28" s="1">
        <v>3.0833575190420759E-3</v>
      </c>
      <c r="F28" s="56">
        <v>5.7551428383184888E-3</v>
      </c>
      <c r="G28" s="68">
        <v>-5.9079983843458514E-3</v>
      </c>
      <c r="H28" s="68">
        <v>1</v>
      </c>
      <c r="I28" s="68">
        <v>-0.65529179686468575</v>
      </c>
      <c r="J28" s="68">
        <v>-0.14968357832381624</v>
      </c>
      <c r="K28" s="68">
        <v>-0.20347933451326097</v>
      </c>
      <c r="L28" s="68">
        <v>-0.16150162343265009</v>
      </c>
      <c r="M28" s="2">
        <v>-0.1300888252222227</v>
      </c>
      <c r="N28" s="2">
        <v>0.99999999999711153</v>
      </c>
      <c r="O28" s="69"/>
      <c r="R28" s="51" t="str">
        <f t="shared" si="10"/>
        <v>Emerging market debt</v>
      </c>
      <c r="S28" s="52">
        <f t="shared" si="11"/>
        <v>1.2016019182301829E-3</v>
      </c>
      <c r="T28" s="52">
        <f t="shared" si="12"/>
        <v>2.6818213550206986E-3</v>
      </c>
      <c r="U28" s="52">
        <f t="shared" si="13"/>
        <v>1.8717195650676073E-3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1.7147534904583678E-4</v>
      </c>
      <c r="C29" s="54">
        <v>2.3408349555442497E-4</v>
      </c>
      <c r="D29" s="55">
        <v>8.3710397927411355E-6</v>
      </c>
      <c r="E29" s="1">
        <v>7.107864789801688E-5</v>
      </c>
      <c r="F29" s="56">
        <v>2.5178915253020178E-4</v>
      </c>
      <c r="G29" s="68">
        <v>-5.239125639366158E-4</v>
      </c>
      <c r="H29" s="68">
        <v>-5.8366408606872842E-3</v>
      </c>
      <c r="I29" s="68">
        <v>-2.3343038166635946E-3</v>
      </c>
      <c r="J29" s="68">
        <v>8.9137873773804509E-3</v>
      </c>
      <c r="K29" s="68">
        <v>1.2050743098360085E-2</v>
      </c>
      <c r="L29" s="68">
        <v>4.3431463947164531E-2</v>
      </c>
      <c r="M29" s="2">
        <v>1</v>
      </c>
      <c r="N29" s="2">
        <v>1</v>
      </c>
      <c r="O29" s="69"/>
      <c r="R29" s="51" t="str">
        <f t="shared" si="10"/>
        <v>Aandelen ontwikkeld</v>
      </c>
      <c r="S29" s="52">
        <f t="shared" si="11"/>
        <v>8.3710397927411355E-6</v>
      </c>
      <c r="T29" s="52">
        <f t="shared" si="12"/>
        <v>1.6310430925309564E-4</v>
      </c>
      <c r="U29" s="52">
        <f t="shared" si="13"/>
        <v>8.0313803484364995E-5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1.0762829076190947E-3</v>
      </c>
      <c r="C30" s="54">
        <v>1.2330363927906037E-3</v>
      </c>
      <c r="D30" s="55">
        <v>1.6356733153779403E-4</v>
      </c>
      <c r="E30" s="1">
        <v>6.1487008670102863E-4</v>
      </c>
      <c r="F30" s="56">
        <v>1.6137435557091124E-3</v>
      </c>
      <c r="G30" s="68">
        <v>-1.6689590831597341E-3</v>
      </c>
      <c r="H30" s="68">
        <v>2.9597934882676834E-2</v>
      </c>
      <c r="I30" s="68">
        <v>6.4402684685617717E-2</v>
      </c>
      <c r="J30" s="68">
        <v>-1.8792049662344976E-2</v>
      </c>
      <c r="K30" s="68">
        <v>1</v>
      </c>
      <c r="L30" s="68">
        <v>-0.20352269222875943</v>
      </c>
      <c r="M30" s="2">
        <v>-0.14556755864786194</v>
      </c>
      <c r="N30" s="2">
        <v>0.99999999999717493</v>
      </c>
      <c r="O30" s="69"/>
      <c r="R30" s="51" t="str">
        <f t="shared" si="10"/>
        <v>Aandelen opkomend</v>
      </c>
      <c r="S30" s="52">
        <f t="shared" si="11"/>
        <v>1.6356733153779403E-4</v>
      </c>
      <c r="T30" s="52">
        <f t="shared" si="12"/>
        <v>9.1271557608130064E-4</v>
      </c>
      <c r="U30" s="52">
        <f t="shared" si="13"/>
        <v>5.3746064809001765E-4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3.1222452385214212E-2</v>
      </c>
      <c r="C31" s="54">
        <v>2.9976642344174808E-2</v>
      </c>
      <c r="D31" s="55">
        <v>1.0246018329702535E-2</v>
      </c>
      <c r="E31" s="1">
        <v>2.1095798973153536E-2</v>
      </c>
      <c r="F31" s="56">
        <v>4.3554094636959362E-2</v>
      </c>
      <c r="G31" s="68">
        <v>1</v>
      </c>
      <c r="H31" s="68">
        <v>-0.60101140203967129</v>
      </c>
      <c r="I31" s="68">
        <v>-0.41664287369180986</v>
      </c>
      <c r="J31" s="68">
        <v>-0.11703255875431132</v>
      </c>
      <c r="K31" s="68">
        <v>-0.18106783250941821</v>
      </c>
      <c r="L31" s="68">
        <v>-0.16940477579947302</v>
      </c>
      <c r="M31" s="2">
        <v>-0.13570819623627473</v>
      </c>
      <c r="N31" s="2">
        <v>0.99999999999706579</v>
      </c>
      <c r="O31" s="69"/>
      <c r="R31" s="51" t="str">
        <f t="shared" si="10"/>
        <v>Commodities</v>
      </c>
      <c r="S31" s="52">
        <f t="shared" si="11"/>
        <v>1.0246018329702535E-2</v>
      </c>
      <c r="T31" s="52">
        <f t="shared" si="12"/>
        <v>2.0976434055511677E-2</v>
      </c>
      <c r="U31" s="52">
        <f t="shared" si="13"/>
        <v>1.2331642251745149E-2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2.5441018842655501E-3</v>
      </c>
      <c r="C32" s="54">
        <v>2.2362202793556885E-3</v>
      </c>
      <c r="D32" s="55">
        <v>7.9265190293995979E-4</v>
      </c>
      <c r="E32" s="1">
        <v>1.8773920846712E-3</v>
      </c>
      <c r="F32" s="56">
        <v>3.751833390769121E-3</v>
      </c>
      <c r="G32" s="68">
        <v>-2.1236610149634309E-3</v>
      </c>
      <c r="H32" s="68">
        <v>0.11361681319698952</v>
      </c>
      <c r="I32" s="68">
        <v>1</v>
      </c>
      <c r="J32" s="68">
        <v>-0.615450801439268</v>
      </c>
      <c r="K32" s="68">
        <v>-0.25944087311712477</v>
      </c>
      <c r="L32" s="68">
        <v>-0.16508039766842714</v>
      </c>
      <c r="M32" s="2">
        <v>-0.12709278960569007</v>
      </c>
      <c r="N32" s="2">
        <v>0.99999999999713807</v>
      </c>
      <c r="O32" s="69"/>
      <c r="R32" s="51" t="str">
        <f t="shared" si="10"/>
        <v>Hedge funds</v>
      </c>
      <c r="S32" s="52">
        <f t="shared" si="11"/>
        <v>7.9265190293995979E-4</v>
      </c>
      <c r="T32" s="52">
        <f t="shared" si="12"/>
        <v>1.7514499813255902E-3</v>
      </c>
      <c r="U32" s="52">
        <f t="shared" si="13"/>
        <v>1.2077315065035709E-3</v>
      </c>
    </row>
    <row r="33" spans="1:30">
      <c r="A33" s="60" t="str">
        <f t="shared" si="9"/>
        <v>Onroerend goed</v>
      </c>
      <c r="B33" s="61">
        <v>3.8620523679110916E-4</v>
      </c>
      <c r="C33" s="62">
        <v>4.9744508403811013E-4</v>
      </c>
      <c r="D33" s="63">
        <v>5.0114215917915927E-5</v>
      </c>
      <c r="E33" s="61">
        <v>2.1601304491109376E-4</v>
      </c>
      <c r="F33" s="64">
        <v>5.1509536828953518E-4</v>
      </c>
      <c r="G33" s="70">
        <v>8.4960095179014491E-4</v>
      </c>
      <c r="H33" s="70">
        <v>-4.3814010419208531E-3</v>
      </c>
      <c r="I33" s="70">
        <v>5.5127359499435417E-3</v>
      </c>
      <c r="J33" s="70">
        <v>6.3286473453371527E-3</v>
      </c>
      <c r="K33" s="70">
        <v>2.8359135378222516E-2</v>
      </c>
      <c r="L33" s="70">
        <v>1</v>
      </c>
      <c r="M33" s="65">
        <v>-0.18551466288999396</v>
      </c>
      <c r="N33" s="65">
        <v>0.99999999999771527</v>
      </c>
      <c r="O33" s="71"/>
      <c r="R33" s="51" t="str">
        <f t="shared" si="10"/>
        <v>Onroerend goed</v>
      </c>
      <c r="S33" s="52">
        <f t="shared" si="11"/>
        <v>5.0114215917915927E-5</v>
      </c>
      <c r="T33" s="52">
        <f t="shared" si="12"/>
        <v>3.3609102087319321E-4</v>
      </c>
      <c r="U33" s="52">
        <f t="shared" si="13"/>
        <v>1.2889013149842602E-4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82" t="s">
        <v>64</v>
      </c>
      <c r="E35" s="383"/>
      <c r="F35" s="384"/>
      <c r="G35" s="382" t="s">
        <v>65</v>
      </c>
      <c r="H35" s="383"/>
      <c r="I35" s="383"/>
      <c r="J35" s="383"/>
      <c r="K35" s="383"/>
      <c r="L35" s="383"/>
      <c r="M35" s="383"/>
      <c r="N35" s="383"/>
      <c r="O35" s="384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0.86226679959996633</v>
      </c>
      <c r="H36" s="272">
        <v>9.1189251211764799E-2</v>
      </c>
      <c r="I36" s="272">
        <v>2.3461425433275118E-2</v>
      </c>
      <c r="J36" s="272">
        <v>1.4795292681632044E-2</v>
      </c>
      <c r="K36" s="272">
        <v>5.3099799171001383E-3</v>
      </c>
      <c r="L36" s="272">
        <v>2.384221177025303E-3</v>
      </c>
      <c r="M36" s="272">
        <v>5.9302997923904588E-4</v>
      </c>
      <c r="N36" s="272">
        <v>1.1102230246251565E-16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0.45218853573095297</v>
      </c>
      <c r="C37" s="54">
        <v>2.6241515973152111E-2</v>
      </c>
      <c r="D37" s="55">
        <v>0.43371668412421083</v>
      </c>
      <c r="E37" s="1">
        <v>0.45385788944753591</v>
      </c>
      <c r="F37" s="56">
        <v>0.47207054360686185</v>
      </c>
      <c r="G37" s="2">
        <v>-0.3798600852511046</v>
      </c>
      <c r="H37" s="2">
        <v>-0.48846855487272872</v>
      </c>
      <c r="I37" s="2">
        <v>-0.24630508746354796</v>
      </c>
      <c r="J37" s="2">
        <v>-0.25480779969229866</v>
      </c>
      <c r="K37" s="2">
        <v>0.42082215423638969</v>
      </c>
      <c r="L37" s="2">
        <v>-0.63648786682881886</v>
      </c>
      <c r="M37" s="2">
        <v>-0.74840312292316769</v>
      </c>
      <c r="N37" s="2">
        <v>1</v>
      </c>
      <c r="O37" s="57"/>
      <c r="R37" s="51" t="str">
        <f>A37</f>
        <v>Nominale matching</v>
      </c>
      <c r="S37" s="52">
        <f>D37</f>
        <v>0.43371668412421083</v>
      </c>
      <c r="T37" s="52">
        <f>B37-D37</f>
        <v>1.847185160674214E-2</v>
      </c>
      <c r="U37" s="52">
        <f>F37-B37</f>
        <v>1.988200787590888E-2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0.38923765810016869</v>
      </c>
      <c r="C38" s="54">
        <v>4.4495486412867588E-2</v>
      </c>
      <c r="D38" s="55">
        <v>0.35589478830555532</v>
      </c>
      <c r="E38" s="1">
        <v>0.39283613802812173</v>
      </c>
      <c r="F38" s="56">
        <v>0.42155223525417596</v>
      </c>
      <c r="G38" s="2">
        <v>-0.63158907085639715</v>
      </c>
      <c r="H38" s="2">
        <v>1</v>
      </c>
      <c r="I38" s="2">
        <v>0.1538650773785622</v>
      </c>
      <c r="J38" s="2">
        <v>-8.7929618774733126E-2</v>
      </c>
      <c r="K38" s="2">
        <v>-0.22605593663620854</v>
      </c>
      <c r="L38" s="2">
        <v>3.204904687729318E-2</v>
      </c>
      <c r="M38" s="2">
        <v>-0.12521006378618693</v>
      </c>
      <c r="N38" s="2">
        <v>0.99999999999991529</v>
      </c>
      <c r="O38" s="57"/>
      <c r="R38" s="51" t="str">
        <f t="shared" ref="R38:R44" si="15">A38</f>
        <v>High Yield</v>
      </c>
      <c r="S38" s="52">
        <f t="shared" ref="S38:S44" si="16">D38</f>
        <v>0.35589478830555532</v>
      </c>
      <c r="T38" s="52">
        <f t="shared" ref="T38:T44" si="17">B38-D38</f>
        <v>3.3342869794613372E-2</v>
      </c>
      <c r="U38" s="52">
        <f t="shared" ref="U38:U44" si="18">F38-B38</f>
        <v>3.2314577154007262E-2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1.0865080977731669E-2</v>
      </c>
      <c r="C39" s="54">
        <v>9.8408280699953474E-3</v>
      </c>
      <c r="D39" s="55">
        <v>3.1565572565758091E-3</v>
      </c>
      <c r="E39" s="1">
        <v>8.0341977282271937E-3</v>
      </c>
      <c r="F39" s="56">
        <v>1.619651610727877E-2</v>
      </c>
      <c r="G39" s="2">
        <v>1.1995385455998146E-2</v>
      </c>
      <c r="H39" s="2">
        <v>-9.4804084047126563E-2</v>
      </c>
      <c r="I39" s="2">
        <v>-0.2389272333489191</v>
      </c>
      <c r="J39" s="2">
        <v>1</v>
      </c>
      <c r="K39" s="2">
        <v>-0.19140586506122678</v>
      </c>
      <c r="L39" s="2">
        <v>1.2425907011800299E-2</v>
      </c>
      <c r="M39" s="2">
        <v>-0.13670361145451088</v>
      </c>
      <c r="N39" s="2">
        <v>0.99999999999991862</v>
      </c>
      <c r="O39" s="57"/>
      <c r="R39" s="51" t="str">
        <f t="shared" si="15"/>
        <v>Emerging market debt</v>
      </c>
      <c r="S39" s="52">
        <f t="shared" si="16"/>
        <v>3.1565572565758091E-3</v>
      </c>
      <c r="T39" s="52">
        <f t="shared" si="17"/>
        <v>7.70852372115586E-3</v>
      </c>
      <c r="U39" s="52">
        <f t="shared" si="18"/>
        <v>5.3314351295471012E-3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4.4549251230929926E-3</v>
      </c>
      <c r="C40" s="54">
        <v>5.0386923512940919E-3</v>
      </c>
      <c r="D40" s="55">
        <v>7.6470024659688288E-4</v>
      </c>
      <c r="E40" s="1">
        <v>2.677100438109036E-3</v>
      </c>
      <c r="F40" s="56">
        <v>6.4980807882203916E-3</v>
      </c>
      <c r="G40" s="2">
        <v>-5.775138541336146E-3</v>
      </c>
      <c r="H40" s="2">
        <v>-5.0245867040470626E-2</v>
      </c>
      <c r="I40" s="2">
        <v>-4.0469407105345571E-2</v>
      </c>
      <c r="J40" s="2">
        <v>-5.128940310993927E-2</v>
      </c>
      <c r="K40" s="2">
        <v>1</v>
      </c>
      <c r="L40" s="2">
        <v>1</v>
      </c>
      <c r="M40" s="2">
        <v>0.18843283774539876</v>
      </c>
      <c r="N40" s="2">
        <v>0.99999999999987921</v>
      </c>
      <c r="O40" s="57"/>
      <c r="R40" s="51" t="str">
        <f t="shared" si="15"/>
        <v>Aandelen ontwikkeld</v>
      </c>
      <c r="S40" s="52">
        <f t="shared" si="16"/>
        <v>7.6470024659688288E-4</v>
      </c>
      <c r="T40" s="52">
        <f t="shared" si="17"/>
        <v>3.6902248764961098E-3</v>
      </c>
      <c r="U40" s="52">
        <f t="shared" si="18"/>
        <v>2.043155665127399E-3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9.8702434662818524E-3</v>
      </c>
      <c r="C41" s="54">
        <v>1.0087156907851228E-2</v>
      </c>
      <c r="D41" s="55">
        <v>2.201892115328861E-3</v>
      </c>
      <c r="E41" s="1">
        <v>6.7582940067491782E-3</v>
      </c>
      <c r="F41" s="56">
        <v>1.4351425392178367E-2</v>
      </c>
      <c r="G41" s="2">
        <v>-5.7204689543206063E-3</v>
      </c>
      <c r="H41" s="2">
        <v>-0.30357588951988396</v>
      </c>
      <c r="I41" s="2">
        <v>-0.60279636009490301</v>
      </c>
      <c r="J41" s="2">
        <v>-0.36865028728718635</v>
      </c>
      <c r="K41" s="2">
        <v>-0.89127472145848807</v>
      </c>
      <c r="L41" s="2">
        <v>0.48640962321130293</v>
      </c>
      <c r="M41" s="2">
        <v>0.22275018051213852</v>
      </c>
      <c r="N41" s="2">
        <v>0.99999999999986822</v>
      </c>
      <c r="O41" s="57"/>
      <c r="R41" s="51" t="str">
        <f t="shared" si="15"/>
        <v>Aandelen opkomend</v>
      </c>
      <c r="S41" s="52">
        <f t="shared" si="16"/>
        <v>2.201892115328861E-3</v>
      </c>
      <c r="T41" s="52">
        <f t="shared" si="17"/>
        <v>7.668351350952991E-3</v>
      </c>
      <c r="U41" s="52">
        <f t="shared" si="18"/>
        <v>4.4811819258965147E-3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2.2612721564402704E-3</v>
      </c>
      <c r="C42" s="54">
        <v>3.0181949770358681E-3</v>
      </c>
      <c r="D42" s="55">
        <v>1.8849122587955683E-4</v>
      </c>
      <c r="E42" s="1">
        <v>1.1428589512094826E-3</v>
      </c>
      <c r="F42" s="56">
        <v>3.0780393927161156E-3</v>
      </c>
      <c r="G42" s="2">
        <v>-1.3316030149306082E-3</v>
      </c>
      <c r="H42" s="2">
        <v>-3.5740513002053442E-2</v>
      </c>
      <c r="I42" s="2">
        <v>-1.5866939439983758E-2</v>
      </c>
      <c r="J42" s="2">
        <v>-3.427656308495515E-2</v>
      </c>
      <c r="K42" s="2">
        <v>0.26228977920297664</v>
      </c>
      <c r="L42" s="2">
        <v>-0.83779089554124864</v>
      </c>
      <c r="M42" s="2">
        <v>1</v>
      </c>
      <c r="N42" s="2">
        <v>0.99999999999982314</v>
      </c>
      <c r="O42" s="57"/>
      <c r="R42" s="51" t="str">
        <f t="shared" si="15"/>
        <v>Commodities</v>
      </c>
      <c r="S42" s="52">
        <f t="shared" si="16"/>
        <v>1.8849122587955683E-4</v>
      </c>
      <c r="T42" s="52">
        <f t="shared" si="17"/>
        <v>2.0727809305607138E-3</v>
      </c>
      <c r="U42" s="52">
        <f t="shared" si="18"/>
        <v>8.1676723627584517E-4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0.11468692313935779</v>
      </c>
      <c r="C43" s="54">
        <v>6.4056740799627115E-2</v>
      </c>
      <c r="D43" s="55">
        <v>6.6619782903767646E-2</v>
      </c>
      <c r="E43" s="1">
        <v>0.10686552085135115</v>
      </c>
      <c r="F43" s="56">
        <v>0.1540662495053603</v>
      </c>
      <c r="G43" s="2">
        <v>1</v>
      </c>
      <c r="H43" s="2">
        <v>0.45097423002215697</v>
      </c>
      <c r="I43" s="2">
        <v>-9.5000499258603641E-3</v>
      </c>
      <c r="J43" s="2">
        <v>-0.16632176928489611</v>
      </c>
      <c r="K43" s="2">
        <v>2.5309485232944171E-2</v>
      </c>
      <c r="L43" s="2">
        <v>-0.21620152830441181</v>
      </c>
      <c r="M43" s="2">
        <v>-0.35750336677619055</v>
      </c>
      <c r="N43" s="2">
        <v>0.99999999999994738</v>
      </c>
      <c r="O43" s="57"/>
      <c r="R43" s="51" t="str">
        <f t="shared" si="15"/>
        <v>Hedge funds</v>
      </c>
      <c r="S43" s="52">
        <f t="shared" si="16"/>
        <v>6.6619782903767646E-2</v>
      </c>
      <c r="T43" s="52">
        <f t="shared" si="17"/>
        <v>4.8067140235590139E-2</v>
      </c>
      <c r="U43" s="52">
        <f t="shared" si="18"/>
        <v>3.9379326366002512E-2</v>
      </c>
    </row>
    <row r="44" spans="1:30">
      <c r="A44" s="60" t="str">
        <f t="shared" si="14"/>
        <v>Onroerend goed</v>
      </c>
      <c r="B44" s="61">
        <v>1.6435361305973291E-2</v>
      </c>
      <c r="C44" s="62">
        <v>1.4155142692100001E-2</v>
      </c>
      <c r="D44" s="63">
        <v>5.298236649243269E-3</v>
      </c>
      <c r="E44" s="61">
        <v>1.2370691336638789E-2</v>
      </c>
      <c r="F44" s="64">
        <v>2.5000484525873314E-2</v>
      </c>
      <c r="G44" s="65">
        <v>1.2280981162090105E-2</v>
      </c>
      <c r="H44" s="65">
        <v>-0.47813932153989164</v>
      </c>
      <c r="I44" s="65">
        <v>1</v>
      </c>
      <c r="J44" s="65">
        <v>-3.6724558765990942E-2</v>
      </c>
      <c r="K44" s="65">
        <v>-0.39968489551640773</v>
      </c>
      <c r="L44" s="65">
        <v>0.15959571357412747</v>
      </c>
      <c r="M44" s="65">
        <v>-4.3362853317298181E-2</v>
      </c>
      <c r="N44" s="65">
        <v>0.99999999999990341</v>
      </c>
      <c r="O44" s="66"/>
      <c r="R44" s="51" t="str">
        <f t="shared" si="15"/>
        <v>Onroerend goed</v>
      </c>
      <c r="S44" s="52">
        <f t="shared" si="16"/>
        <v>5.298236649243269E-3</v>
      </c>
      <c r="T44" s="52">
        <f t="shared" si="17"/>
        <v>1.1137124656730023E-2</v>
      </c>
      <c r="U44" s="52">
        <f t="shared" si="18"/>
        <v>8.5651232199000227E-3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82" t="s">
        <v>64</v>
      </c>
      <c r="E46" s="383"/>
      <c r="F46" s="384"/>
      <c r="G46" s="382" t="s">
        <v>65</v>
      </c>
      <c r="H46" s="383"/>
      <c r="I46" s="383"/>
      <c r="J46" s="383"/>
      <c r="K46" s="383"/>
      <c r="L46" s="383"/>
      <c r="M46" s="383"/>
      <c r="N46" s="383"/>
      <c r="O46" s="384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0.62230727195998603</v>
      </c>
      <c r="H47" s="272">
        <v>0.13985701581127119</v>
      </c>
      <c r="I47" s="272">
        <v>7.8351683935504735E-2</v>
      </c>
      <c r="J47" s="272">
        <v>6.0365619457461328E-2</v>
      </c>
      <c r="K47" s="272">
        <v>5.9368273815311179E-2</v>
      </c>
      <c r="L47" s="272">
        <v>2.3753272617079046E-2</v>
      </c>
      <c r="M47" s="272">
        <v>1.5996862403382939E-2</v>
      </c>
      <c r="N47" s="272">
        <v>0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0.99951417899070383</v>
      </c>
      <c r="C48" s="54">
        <v>2.5919455295952666E-4</v>
      </c>
      <c r="D48" s="55">
        <v>0.99932874478584455</v>
      </c>
      <c r="E48" s="1">
        <v>0.99954367708471603</v>
      </c>
      <c r="F48" s="56">
        <v>0.99972131900551375</v>
      </c>
      <c r="G48" s="68">
        <v>1</v>
      </c>
      <c r="H48" s="68">
        <v>0.74540667922719717</v>
      </c>
      <c r="I48" s="68">
        <v>0.11762814053562427</v>
      </c>
      <c r="J48" s="68">
        <v>6.1389326723848246E-2</v>
      </c>
      <c r="K48" s="68">
        <v>-1.35551271780813E-2</v>
      </c>
      <c r="L48" s="68">
        <v>-0.16567472370426359</v>
      </c>
      <c r="M48" s="2">
        <v>-9.725840316007503E-2</v>
      </c>
      <c r="N48" s="2">
        <v>0.99999999999988598</v>
      </c>
      <c r="O48" s="69"/>
      <c r="R48" s="51" t="str">
        <f>A48</f>
        <v>Nominale matching</v>
      </c>
      <c r="S48" s="52">
        <f>D48</f>
        <v>0.99932874478584455</v>
      </c>
      <c r="T48" s="52">
        <f>B48-D48</f>
        <v>1.8543420485928053E-4</v>
      </c>
      <c r="U48" s="52">
        <f>F48-B48</f>
        <v>2.0714001480992561E-4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7.4207337686463823E-5</v>
      </c>
      <c r="C49" s="54">
        <v>1.134136442748513E-4</v>
      </c>
      <c r="D49" s="55">
        <v>2.3742546227409495E-6</v>
      </c>
      <c r="E49" s="1">
        <v>2.2280878993427242E-5</v>
      </c>
      <c r="F49" s="56">
        <v>9.970045291474302E-5</v>
      </c>
      <c r="G49" s="68">
        <v>-5.8116499764367051E-2</v>
      </c>
      <c r="H49" s="68">
        <v>-0.6319033548184666</v>
      </c>
      <c r="I49" s="68">
        <v>1</v>
      </c>
      <c r="J49" s="68">
        <v>0.21367682094353693</v>
      </c>
      <c r="K49" s="68">
        <v>-0.12129815183389672</v>
      </c>
      <c r="L49" s="68">
        <v>-0.19603676837422723</v>
      </c>
      <c r="M49" s="2">
        <v>-0.11693992626574155</v>
      </c>
      <c r="N49" s="2">
        <v>0.9999999999999255</v>
      </c>
      <c r="O49" s="69"/>
      <c r="R49" s="51" t="str">
        <f t="shared" ref="R49:R55" si="20">A49</f>
        <v>High Yield</v>
      </c>
      <c r="S49" s="52">
        <f t="shared" ref="S49:S55" si="21">D49</f>
        <v>2.3742546227409495E-6</v>
      </c>
      <c r="T49" s="52">
        <f t="shared" ref="T49:T55" si="22">B49-D49</f>
        <v>7.183308306372288E-5</v>
      </c>
      <c r="U49" s="52">
        <f t="shared" ref="U49:U55" si="23">F49-B49</f>
        <v>2.5493115228279197E-5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6.1963400196339002E-5</v>
      </c>
      <c r="C50" s="54">
        <v>9.5926777289422622E-5</v>
      </c>
      <c r="D50" s="55">
        <v>1.4732065493047651E-6</v>
      </c>
      <c r="E50" s="1">
        <v>1.8978480902973019E-5</v>
      </c>
      <c r="F50" s="56">
        <v>7.6845621770411145E-5</v>
      </c>
      <c r="G50" s="68">
        <v>-4.1270910820236324E-2</v>
      </c>
      <c r="H50" s="68">
        <v>-0.30869476482711194</v>
      </c>
      <c r="I50" s="68">
        <v>-0.40042705367824366</v>
      </c>
      <c r="J50" s="68">
        <v>-0.63920416914386491</v>
      </c>
      <c r="K50" s="68">
        <v>-0.92339754780979866</v>
      </c>
      <c r="L50" s="68">
        <v>-0.28773060902144026</v>
      </c>
      <c r="M50" s="2">
        <v>-9.7146946543338025E-2</v>
      </c>
      <c r="N50" s="2">
        <v>0.99999999999988876</v>
      </c>
      <c r="O50" s="69"/>
      <c r="R50" s="51" t="str">
        <f t="shared" si="20"/>
        <v>Emerging market debt</v>
      </c>
      <c r="S50" s="52">
        <f t="shared" si="21"/>
        <v>1.4732065493047651E-6</v>
      </c>
      <c r="T50" s="52">
        <f t="shared" si="22"/>
        <v>6.0490193647034238E-5</v>
      </c>
      <c r="U50" s="52">
        <f t="shared" si="23"/>
        <v>1.4882221574072144E-5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2.5533574298320638E-5</v>
      </c>
      <c r="C51" s="54">
        <v>4.9133763201373185E-5</v>
      </c>
      <c r="D51" s="55">
        <v>1.1364448174090732E-7</v>
      </c>
      <c r="E51" s="1">
        <v>3.8015135649756215E-6</v>
      </c>
      <c r="F51" s="56">
        <v>2.5849404788935474E-5</v>
      </c>
      <c r="G51" s="68">
        <v>6.2541107065880669E-3</v>
      </c>
      <c r="H51" s="68">
        <v>-4.7344744257699412E-2</v>
      </c>
      <c r="I51" s="68">
        <v>-2.0064889808881058E-3</v>
      </c>
      <c r="J51" s="68">
        <v>-1.5394001128000772E-2</v>
      </c>
      <c r="K51" s="68">
        <v>-9.3313189397091956E-5</v>
      </c>
      <c r="L51" s="68">
        <v>0.26865325724038575</v>
      </c>
      <c r="M51" s="2">
        <v>1</v>
      </c>
      <c r="N51" s="2">
        <v>0.99999999999982692</v>
      </c>
      <c r="O51" s="69"/>
      <c r="R51" s="51" t="str">
        <f t="shared" si="20"/>
        <v>Aandelen ontwikkeld</v>
      </c>
      <c r="S51" s="52">
        <f t="shared" si="21"/>
        <v>1.1364448174090732E-7</v>
      </c>
      <c r="T51" s="52">
        <f t="shared" si="22"/>
        <v>2.5419929816579731E-5</v>
      </c>
      <c r="U51" s="52">
        <f t="shared" si="23"/>
        <v>3.1583049061483567E-7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5.8272659803975819E-5</v>
      </c>
      <c r="C52" s="54">
        <v>9.4909753048986811E-5</v>
      </c>
      <c r="D52" s="55">
        <v>7.4481359235523166E-7</v>
      </c>
      <c r="E52" s="1">
        <v>1.7078632984814325E-5</v>
      </c>
      <c r="F52" s="56">
        <v>7.0852113649763637E-5</v>
      </c>
      <c r="G52" s="68">
        <v>-5.0212515586752417E-2</v>
      </c>
      <c r="H52" s="68">
        <v>-0.27788812763620258</v>
      </c>
      <c r="I52" s="68">
        <v>-0.16999881228003177</v>
      </c>
      <c r="J52" s="68">
        <v>-0.68699091006576762</v>
      </c>
      <c r="K52" s="68">
        <v>1</v>
      </c>
      <c r="L52" s="68">
        <v>-0.22650932442804403</v>
      </c>
      <c r="M52" s="2">
        <v>-0.11113746598655851</v>
      </c>
      <c r="N52" s="2">
        <v>0.99999999999979916</v>
      </c>
      <c r="O52" s="69"/>
      <c r="R52" s="51" t="str">
        <f t="shared" si="20"/>
        <v>Aandelen opkomend</v>
      </c>
      <c r="S52" s="52">
        <f t="shared" si="21"/>
        <v>7.4481359235523166E-7</v>
      </c>
      <c r="T52" s="52">
        <f t="shared" si="22"/>
        <v>5.7527846211620585E-5</v>
      </c>
      <c r="U52" s="52">
        <f t="shared" si="23"/>
        <v>1.2579453845787817E-5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3.1602470236484767E-5</v>
      </c>
      <c r="C53" s="54">
        <v>5.8057516971887123E-5</v>
      </c>
      <c r="D53" s="55">
        <v>1.3813918155885488E-7</v>
      </c>
      <c r="E53" s="1">
        <v>4.5304914859260183E-6</v>
      </c>
      <c r="F53" s="56">
        <v>3.9358546264810511E-5</v>
      </c>
      <c r="G53" s="68">
        <v>-3.4473124231603554E-3</v>
      </c>
      <c r="H53" s="68">
        <v>-8.248650195901451E-2</v>
      </c>
      <c r="I53" s="68">
        <v>-6.436159273822846E-2</v>
      </c>
      <c r="J53" s="68">
        <v>-2.8522217517279125E-2</v>
      </c>
      <c r="K53" s="68">
        <v>-3.9307977024359557E-2</v>
      </c>
      <c r="L53" s="68">
        <v>1</v>
      </c>
      <c r="M53" s="2">
        <v>-0.39674294317396186</v>
      </c>
      <c r="N53" s="2">
        <v>0.99999999999980349</v>
      </c>
      <c r="O53" s="69"/>
      <c r="R53" s="51" t="str">
        <f t="shared" si="20"/>
        <v>Commodities</v>
      </c>
      <c r="S53" s="52">
        <f t="shared" si="21"/>
        <v>1.3813918155885488E-7</v>
      </c>
      <c r="T53" s="52">
        <f t="shared" si="22"/>
        <v>3.1464331054925914E-5</v>
      </c>
      <c r="U53" s="52">
        <f t="shared" si="23"/>
        <v>7.7560760283257435E-6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1.7238070978271947E-4</v>
      </c>
      <c r="C54" s="54">
        <v>2.2750828711195809E-4</v>
      </c>
      <c r="D54" s="55">
        <v>9.3137440414271065E-6</v>
      </c>
      <c r="E54" s="1">
        <v>7.5146966883111012E-5</v>
      </c>
      <c r="F54" s="56">
        <v>2.6283065727326482E-4</v>
      </c>
      <c r="G54" s="68">
        <v>-0.82143055557780142</v>
      </c>
      <c r="H54" s="68">
        <v>1</v>
      </c>
      <c r="I54" s="68">
        <v>0.12671642636013741</v>
      </c>
      <c r="J54" s="68">
        <v>9.5045150187344621E-2</v>
      </c>
      <c r="K54" s="68">
        <v>-2.7324442943369297E-2</v>
      </c>
      <c r="L54" s="68">
        <v>-0.1523727058833074</v>
      </c>
      <c r="M54" s="2">
        <v>-8.5488403000566524E-2</v>
      </c>
      <c r="N54" s="2">
        <v>0.99999999999988221</v>
      </c>
      <c r="O54" s="69"/>
      <c r="R54" s="51" t="str">
        <f t="shared" si="20"/>
        <v>Hedge funds</v>
      </c>
      <c r="S54" s="52">
        <f t="shared" si="21"/>
        <v>9.3137440414271065E-6</v>
      </c>
      <c r="T54" s="52">
        <f t="shared" si="22"/>
        <v>1.6306696574129237E-4</v>
      </c>
      <c r="U54" s="52">
        <f t="shared" si="23"/>
        <v>9.0449947490545346E-5</v>
      </c>
    </row>
    <row r="55" spans="1:36">
      <c r="A55" s="60" t="str">
        <f t="shared" si="19"/>
        <v>Onroerend goed</v>
      </c>
      <c r="B55" s="61">
        <v>6.1860857292719474E-5</v>
      </c>
      <c r="C55" s="62">
        <v>1.0050547931002478E-4</v>
      </c>
      <c r="D55" s="63">
        <v>1.2852960439603807E-6</v>
      </c>
      <c r="E55" s="61">
        <v>1.368308793262548E-5</v>
      </c>
      <c r="F55" s="64">
        <v>8.4948067627670581E-5</v>
      </c>
      <c r="G55" s="70">
        <v>-3.1776316534272292E-2</v>
      </c>
      <c r="H55" s="70">
        <v>-0.39708918572866025</v>
      </c>
      <c r="I55" s="70">
        <v>-0.60755061921835929</v>
      </c>
      <c r="J55" s="70">
        <v>1</v>
      </c>
      <c r="K55" s="70">
        <v>0.12497655997897858</v>
      </c>
      <c r="L55" s="70">
        <v>-0.24032912582898888</v>
      </c>
      <c r="M55" s="65">
        <v>-9.5285911869725778E-2</v>
      </c>
      <c r="N55" s="65">
        <v>1</v>
      </c>
      <c r="O55" s="71"/>
      <c r="R55" s="51" t="str">
        <f t="shared" si="20"/>
        <v>Onroerend goed</v>
      </c>
      <c r="S55" s="52">
        <f t="shared" si="21"/>
        <v>1.2852960439603807E-6</v>
      </c>
      <c r="T55" s="52">
        <f t="shared" si="22"/>
        <v>6.0575561248759092E-5</v>
      </c>
      <c r="U55" s="52">
        <f t="shared" si="23"/>
        <v>2.3087210334951107E-5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82" t="s">
        <v>64</v>
      </c>
      <c r="E57" s="383"/>
      <c r="F57" s="384"/>
      <c r="G57" s="382" t="s">
        <v>65</v>
      </c>
      <c r="H57" s="383"/>
      <c r="I57" s="383"/>
      <c r="J57" s="383"/>
      <c r="K57" s="383"/>
      <c r="L57" s="383"/>
      <c r="M57" s="383"/>
      <c r="N57" s="383"/>
      <c r="O57" s="384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0.55450496894934553</v>
      </c>
      <c r="H58" s="272">
        <v>0.25467101536988335</v>
      </c>
      <c r="I58" s="272">
        <v>7.0502470079560786E-2</v>
      </c>
      <c r="J58" s="272">
        <v>4.2391755477651061E-2</v>
      </c>
      <c r="K58" s="272">
        <v>3.6434386468576885E-2</v>
      </c>
      <c r="L58" s="272">
        <v>2.3681244491406739E-2</v>
      </c>
      <c r="M58" s="272">
        <v>1.7814159163574761E-2</v>
      </c>
      <c r="N58" s="272">
        <v>0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0.97125311385623225</v>
      </c>
      <c r="C59" s="54">
        <v>5.6804115961283698E-4</v>
      </c>
      <c r="D59" s="55">
        <v>0.97079579509473302</v>
      </c>
      <c r="E59" s="1">
        <v>0.97113103135906331</v>
      </c>
      <c r="F59" s="56">
        <v>0.9716288265151739</v>
      </c>
      <c r="G59" s="2">
        <v>-0.64752476994055352</v>
      </c>
      <c r="H59" s="2">
        <v>-0.98191936967898152</v>
      </c>
      <c r="I59" s="2">
        <v>0.68766675756312101</v>
      </c>
      <c r="J59" s="2">
        <v>4.7529125248218076E-2</v>
      </c>
      <c r="K59" s="2">
        <v>-2.9599482302876998E-2</v>
      </c>
      <c r="L59" s="2">
        <v>-9.9892658020596117E-2</v>
      </c>
      <c r="M59" s="2">
        <v>-6.6384075518571298E-2</v>
      </c>
      <c r="N59" s="2">
        <v>0.99999999999995792</v>
      </c>
      <c r="O59" s="69"/>
      <c r="R59" s="51" t="str">
        <f>A59</f>
        <v>Nominale matching</v>
      </c>
      <c r="S59" s="52">
        <f>D59</f>
        <v>0.97079579509473302</v>
      </c>
      <c r="T59" s="52">
        <f>B59-D59</f>
        <v>4.5731876149923689E-4</v>
      </c>
      <c r="U59" s="52">
        <f>F59-B59</f>
        <v>3.7571265894165151E-4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1.1797918016353526E-4</v>
      </c>
      <c r="C60" s="54">
        <v>2.1810404325265108E-4</v>
      </c>
      <c r="D60" s="55">
        <v>4.0884173661599693E-7</v>
      </c>
      <c r="E60" s="1">
        <v>1.7322116144430852E-5</v>
      </c>
      <c r="F60" s="56">
        <v>1.2205192205772782E-4</v>
      </c>
      <c r="G60" s="2">
        <v>1.3667361502474593E-2</v>
      </c>
      <c r="H60" s="2">
        <v>4.2891426819497279E-2</v>
      </c>
      <c r="I60" s="2">
        <v>-0.87974697826551962</v>
      </c>
      <c r="J60" s="2">
        <v>1</v>
      </c>
      <c r="K60" s="2">
        <v>-0.42756652202394574</v>
      </c>
      <c r="L60" s="2">
        <v>-0.23959315175750695</v>
      </c>
      <c r="M60" s="2">
        <v>-0.18905202678694269</v>
      </c>
      <c r="N60" s="2">
        <v>1</v>
      </c>
      <c r="O60" s="69"/>
      <c r="R60" s="51" t="str">
        <f t="shared" ref="R60:R66" si="25">A60</f>
        <v>High Yield</v>
      </c>
      <c r="S60" s="52">
        <f t="shared" ref="S60:S66" si="26">D60</f>
        <v>4.0884173661599693E-7</v>
      </c>
      <c r="T60" s="52">
        <f t="shared" ref="T60:T66" si="27">B60-D60</f>
        <v>1.1757033842691926E-4</v>
      </c>
      <c r="U60" s="52">
        <f t="shared" ref="U60:U66" si="28">F60-B60</f>
        <v>4.0727418941925616E-6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2.942797527769477E-4</v>
      </c>
      <c r="C61" s="54">
        <v>4.7170859600811655E-4</v>
      </c>
      <c r="D61" s="55">
        <v>3.451818515533854E-6</v>
      </c>
      <c r="E61" s="1">
        <v>7.7497142172810844E-5</v>
      </c>
      <c r="F61" s="56">
        <v>4.0915143171446676E-4</v>
      </c>
      <c r="G61" s="2">
        <v>-0.36731398613675997</v>
      </c>
      <c r="H61" s="2">
        <v>1</v>
      </c>
      <c r="I61" s="2">
        <v>1</v>
      </c>
      <c r="J61" s="2">
        <v>0.10380574344006439</v>
      </c>
      <c r="K61" s="2">
        <v>6.5679317538684528E-2</v>
      </c>
      <c r="L61" s="2">
        <v>-0.16331625749471437</v>
      </c>
      <c r="M61" s="2">
        <v>-0.11649926602958985</v>
      </c>
      <c r="N61" s="2">
        <v>0.99999999999996736</v>
      </c>
      <c r="O61" s="69"/>
      <c r="R61" s="51" t="str">
        <f t="shared" si="25"/>
        <v>Emerging market debt</v>
      </c>
      <c r="S61" s="52">
        <f t="shared" si="26"/>
        <v>3.451818515533854E-6</v>
      </c>
      <c r="T61" s="52">
        <f t="shared" si="27"/>
        <v>2.9082793426141385E-4</v>
      </c>
      <c r="U61" s="52">
        <f t="shared" si="28"/>
        <v>1.1487167893751906E-4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1.0843504641724764E-4</v>
      </c>
      <c r="C62" s="54">
        <v>2.0679367661591467E-4</v>
      </c>
      <c r="D62" s="55">
        <v>4.5184982193509266E-7</v>
      </c>
      <c r="E62" s="1">
        <v>1.4797733878118073E-5</v>
      </c>
      <c r="F62" s="56">
        <v>1.1222704818214464E-4</v>
      </c>
      <c r="G62" s="2">
        <v>3.3633569120867138E-2</v>
      </c>
      <c r="H62" s="2">
        <v>8.8517720085605239E-2</v>
      </c>
      <c r="I62" s="2">
        <v>-0.4231943929207248</v>
      </c>
      <c r="J62" s="2">
        <v>-0.89815256207338889</v>
      </c>
      <c r="K62" s="2">
        <v>-0.8903040408465861</v>
      </c>
      <c r="L62" s="2">
        <v>-0.1360042361751764</v>
      </c>
      <c r="M62" s="2">
        <v>-9.6327030424011514E-2</v>
      </c>
      <c r="N62" s="2">
        <v>0.99999999999996081</v>
      </c>
      <c r="O62" s="69"/>
      <c r="R62" s="51" t="str">
        <f t="shared" si="25"/>
        <v>Aandelen ontwikkeld</v>
      </c>
      <c r="S62" s="52">
        <f t="shared" si="26"/>
        <v>4.5184982193509266E-7</v>
      </c>
      <c r="T62" s="52">
        <f t="shared" si="27"/>
        <v>1.0798319659531254E-4</v>
      </c>
      <c r="U62" s="52">
        <f t="shared" si="28"/>
        <v>3.7920017648970057E-6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1.2331541027451375E-4</v>
      </c>
      <c r="C63" s="54">
        <v>2.1258684321549251E-4</v>
      </c>
      <c r="D63" s="55">
        <v>1.2300478341310379E-6</v>
      </c>
      <c r="E63" s="1">
        <v>2.3492951401577683E-5</v>
      </c>
      <c r="F63" s="56">
        <v>1.4445759971942035E-4</v>
      </c>
      <c r="G63" s="2">
        <v>-6.838209969619706E-2</v>
      </c>
      <c r="H63" s="2">
        <v>2.3334347244873526E-2</v>
      </c>
      <c r="I63" s="2">
        <v>-0.8498470007371085</v>
      </c>
      <c r="J63" s="2">
        <v>-0.38563945138204503</v>
      </c>
      <c r="K63" s="2">
        <v>1</v>
      </c>
      <c r="L63" s="2">
        <v>-0.35285011084455886</v>
      </c>
      <c r="M63" s="2">
        <v>-0.13063464940219902</v>
      </c>
      <c r="N63" s="2">
        <v>0.9999999999999194</v>
      </c>
      <c r="O63" s="69"/>
      <c r="R63" s="51" t="str">
        <f t="shared" si="25"/>
        <v>Aandelen opkomend</v>
      </c>
      <c r="S63" s="52">
        <f t="shared" si="26"/>
        <v>1.2300478341310379E-6</v>
      </c>
      <c r="T63" s="52">
        <f t="shared" si="27"/>
        <v>1.2208536244038271E-4</v>
      </c>
      <c r="U63" s="52">
        <f t="shared" si="28"/>
        <v>2.1142189444906602E-5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7.2774701820198112E-5</v>
      </c>
      <c r="C64" s="54">
        <v>1.3843654534294219E-4</v>
      </c>
      <c r="D64" s="55">
        <v>1.8635237596109894E-7</v>
      </c>
      <c r="E64" s="1">
        <v>7.5359104995650847E-6</v>
      </c>
      <c r="F64" s="56">
        <v>8.1429059573530919E-5</v>
      </c>
      <c r="G64" s="2">
        <v>1.7561365123471968E-2</v>
      </c>
      <c r="H64" s="2">
        <v>5.6426181498463408E-2</v>
      </c>
      <c r="I64" s="2">
        <v>-0.13309010700651691</v>
      </c>
      <c r="J64" s="2">
        <v>7.3573196831561077E-2</v>
      </c>
      <c r="K64" s="2">
        <v>2.554309976113657E-2</v>
      </c>
      <c r="L64" s="2">
        <v>0.15366456719609714</v>
      </c>
      <c r="M64" s="2">
        <v>1</v>
      </c>
      <c r="N64" s="2">
        <v>0.99999999999986466</v>
      </c>
      <c r="O64" s="69"/>
      <c r="R64" s="51" t="str">
        <f t="shared" si="25"/>
        <v>Commodities</v>
      </c>
      <c r="S64" s="52">
        <f t="shared" si="26"/>
        <v>1.8635237596109894E-7</v>
      </c>
      <c r="T64" s="52">
        <f t="shared" si="27"/>
        <v>7.2588349444237019E-5</v>
      </c>
      <c r="U64" s="52">
        <f t="shared" si="28"/>
        <v>8.6543577533328061E-6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2.7934785577314908E-2</v>
      </c>
      <c r="C65" s="54">
        <v>6.6181655566302435E-4</v>
      </c>
      <c r="D65" s="55">
        <v>2.7475462294573944E-2</v>
      </c>
      <c r="E65" s="1">
        <v>2.7908568352379773E-2</v>
      </c>
      <c r="F65" s="56">
        <v>2.8412137569825135E-2</v>
      </c>
      <c r="G65" s="2">
        <v>1</v>
      </c>
      <c r="H65" s="2">
        <v>-0.27225121112203404</v>
      </c>
      <c r="I65" s="2">
        <v>0.78653282896275445</v>
      </c>
      <c r="J65" s="2">
        <v>5.7762838943003214E-2</v>
      </c>
      <c r="K65" s="2">
        <v>0.10592007324214001</v>
      </c>
      <c r="L65" s="2">
        <v>-0.1620081529035069</v>
      </c>
      <c r="M65" s="2">
        <v>-0.10093730651134357</v>
      </c>
      <c r="N65" s="2">
        <v>0.9999999999999506</v>
      </c>
      <c r="O65" s="69"/>
      <c r="R65" s="51" t="str">
        <f t="shared" si="25"/>
        <v>Hedge funds</v>
      </c>
      <c r="S65" s="52">
        <f t="shared" si="26"/>
        <v>2.7475462294573944E-2</v>
      </c>
      <c r="T65" s="52">
        <f t="shared" si="27"/>
        <v>4.5932328274096365E-4</v>
      </c>
      <c r="U65" s="52">
        <f t="shared" si="28"/>
        <v>4.7735199251022764E-4</v>
      </c>
    </row>
    <row r="66" spans="1:36">
      <c r="A66" s="60" t="str">
        <f t="shared" si="24"/>
        <v>Onroerend goed</v>
      </c>
      <c r="B66" s="61">
        <v>9.531647499948993E-5</v>
      </c>
      <c r="C66" s="62">
        <v>1.5688841723173239E-4</v>
      </c>
      <c r="D66" s="63">
        <v>5.2471033047249152E-7</v>
      </c>
      <c r="E66" s="61">
        <v>1.7189897567494014E-5</v>
      </c>
      <c r="F66" s="64">
        <v>1.2371694322425522E-4</v>
      </c>
      <c r="G66" s="65">
        <v>1.8358560026706768E-2</v>
      </c>
      <c r="H66" s="65">
        <v>4.3000905152569095E-2</v>
      </c>
      <c r="I66" s="65">
        <v>-0.18832110759602028</v>
      </c>
      <c r="J66" s="65">
        <v>1.1211089925382033E-3</v>
      </c>
      <c r="K66" s="65">
        <v>0.15032755463151196</v>
      </c>
      <c r="L66" s="65">
        <v>1</v>
      </c>
      <c r="M66" s="65">
        <v>-0.30016564532725337</v>
      </c>
      <c r="N66" s="65">
        <v>0.99999999999993161</v>
      </c>
      <c r="O66" s="71"/>
      <c r="R66" s="51" t="str">
        <f t="shared" si="25"/>
        <v>Onroerend goed</v>
      </c>
      <c r="S66" s="52">
        <f t="shared" si="26"/>
        <v>5.2471033047249152E-7</v>
      </c>
      <c r="T66" s="52">
        <f t="shared" si="27"/>
        <v>9.4791764669017444E-5</v>
      </c>
      <c r="U66" s="52">
        <f t="shared" si="28"/>
        <v>2.8400468224765288E-5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0.55840592914581921</v>
      </c>
      <c r="H69" s="272">
        <v>0.23573498245959201</v>
      </c>
      <c r="I69" s="272">
        <v>0.16858534461411512</v>
      </c>
      <c r="J69" s="272">
        <v>2.804457239934155E-2</v>
      </c>
      <c r="K69" s="272">
        <v>5.7938549979856813E-3</v>
      </c>
      <c r="L69" s="272">
        <v>2.8299109517906373E-3</v>
      </c>
      <c r="M69" s="272">
        <v>6.054054313556767E-4</v>
      </c>
      <c r="N69" s="272">
        <v>2.2204460492503131E-16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0.76863929604919268</v>
      </c>
      <c r="C70" s="54">
        <v>1.042233306889064E-2</v>
      </c>
      <c r="D70" s="55">
        <v>0.7616757298832082</v>
      </c>
      <c r="E70" s="1">
        <v>0.76827315945619556</v>
      </c>
      <c r="F70" s="56">
        <v>0.77591654294361478</v>
      </c>
      <c r="G70" s="68">
        <v>9.0835932703370287E-2</v>
      </c>
      <c r="H70" s="68">
        <v>-0.37407335493018073</v>
      </c>
      <c r="I70" s="68">
        <v>-0.43990283835945804</v>
      </c>
      <c r="J70" s="68">
        <v>-0.2611341866311841</v>
      </c>
      <c r="K70" s="68">
        <v>0.23815519564979229</v>
      </c>
      <c r="L70" s="68">
        <v>0.12128975113098174</v>
      </c>
      <c r="M70" s="2">
        <v>1</v>
      </c>
      <c r="N70" s="2">
        <v>1</v>
      </c>
      <c r="O70" s="69"/>
      <c r="R70" s="51" t="str">
        <f>A70</f>
        <v>Nominale matching</v>
      </c>
      <c r="S70" s="52">
        <f>D70</f>
        <v>0.7616757298832082</v>
      </c>
      <c r="T70" s="52">
        <f>B70-D70</f>
        <v>6.9635661659844805E-3</v>
      </c>
      <c r="U70" s="52">
        <f>F70-B70</f>
        <v>7.2772468944221069E-3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2.1036621931540853E-2</v>
      </c>
      <c r="C71" s="54">
        <v>1.9358572836656956E-2</v>
      </c>
      <c r="D71" s="55">
        <v>4.6160585105531884E-3</v>
      </c>
      <c r="E71" s="1">
        <v>1.6441168134281439E-2</v>
      </c>
      <c r="F71" s="56">
        <v>3.2791671351187573E-2</v>
      </c>
      <c r="G71" s="68">
        <v>-0.19867794006363299</v>
      </c>
      <c r="H71" s="68">
        <v>-0.46586713279193859</v>
      </c>
      <c r="I71" s="68">
        <v>1</v>
      </c>
      <c r="J71" s="68">
        <v>-0.11673186103898554</v>
      </c>
      <c r="K71" s="68">
        <v>-0.17630050941734923</v>
      </c>
      <c r="L71" s="68">
        <v>-8.241588365216998E-2</v>
      </c>
      <c r="M71" s="2">
        <v>0.16828282514911264</v>
      </c>
      <c r="N71" s="2">
        <v>0.99999999999997713</v>
      </c>
      <c r="O71" s="69"/>
      <c r="R71" s="51" t="str">
        <f t="shared" ref="R71:R77" si="30">A71</f>
        <v>High Yield</v>
      </c>
      <c r="S71" s="52">
        <f t="shared" ref="S71:S77" si="31">D71</f>
        <v>4.6160585105531884E-3</v>
      </c>
      <c r="T71" s="52">
        <f t="shared" ref="T71:T77" si="32">B71-D71</f>
        <v>1.6420563420987664E-2</v>
      </c>
      <c r="U71" s="52">
        <f t="shared" ref="U71:U77" si="33">F71-B71</f>
        <v>1.175504941964672E-2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6.8065885487851446E-3</v>
      </c>
      <c r="C72" s="54">
        <v>7.6750378754304712E-3</v>
      </c>
      <c r="D72" s="55">
        <v>1.1969865436725251E-3</v>
      </c>
      <c r="E72" s="1">
        <v>3.8584986640000391E-3</v>
      </c>
      <c r="F72" s="56">
        <v>1.0194091860188794E-2</v>
      </c>
      <c r="G72" s="68">
        <v>-4.1020697278116866E-3</v>
      </c>
      <c r="H72" s="68">
        <v>-2.2430086398357054E-2</v>
      </c>
      <c r="I72" s="68">
        <v>-0.10017064544450156</v>
      </c>
      <c r="J72" s="68">
        <v>1</v>
      </c>
      <c r="K72" s="68">
        <v>-0.15729612803593768</v>
      </c>
      <c r="L72" s="68">
        <v>-5.3077947153199107E-2</v>
      </c>
      <c r="M72" s="2">
        <v>0.15470753578911559</v>
      </c>
      <c r="N72" s="2">
        <v>0.9999999999999748</v>
      </c>
      <c r="O72" s="69"/>
      <c r="R72" s="51" t="str">
        <f t="shared" si="30"/>
        <v>Emerging market debt</v>
      </c>
      <c r="S72" s="52">
        <f t="shared" si="31"/>
        <v>1.1969865436725251E-3</v>
      </c>
      <c r="T72" s="52">
        <f t="shared" si="32"/>
        <v>5.6096020051126195E-3</v>
      </c>
      <c r="U72" s="52">
        <f t="shared" si="33"/>
        <v>3.3875033114036494E-3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2.3571553272334982E-3</v>
      </c>
      <c r="C73" s="54">
        <v>3.132438406667794E-3</v>
      </c>
      <c r="D73" s="55">
        <v>1.76528941432922E-4</v>
      </c>
      <c r="E73" s="1">
        <v>1.1628383543566575E-3</v>
      </c>
      <c r="F73" s="56">
        <v>3.2086523355745024E-3</v>
      </c>
      <c r="G73" s="68">
        <v>4.8708056780113222E-3</v>
      </c>
      <c r="H73" s="68">
        <v>-1.812477278271199E-2</v>
      </c>
      <c r="I73" s="68">
        <v>-2.3837648984512589E-2</v>
      </c>
      <c r="J73" s="68">
        <v>-1.899669654007519E-2</v>
      </c>
      <c r="K73" s="68">
        <v>1</v>
      </c>
      <c r="L73" s="68">
        <v>-0.49582330690850251</v>
      </c>
      <c r="M73" s="2">
        <v>-0.42547217119048392</v>
      </c>
      <c r="N73" s="2">
        <v>0.99999999999996014</v>
      </c>
      <c r="O73" s="69"/>
      <c r="R73" s="51" t="str">
        <f t="shared" si="30"/>
        <v>Aandelen ontwikkeld</v>
      </c>
      <c r="S73" s="52">
        <f t="shared" si="31"/>
        <v>1.76528941432922E-4</v>
      </c>
      <c r="T73" s="52">
        <f t="shared" si="32"/>
        <v>2.1806263858005761E-3</v>
      </c>
      <c r="U73" s="52">
        <f t="shared" si="33"/>
        <v>8.5149700834100421E-4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1.7387667665488512E-3</v>
      </c>
      <c r="C74" s="54">
        <v>2.3599515053960357E-3</v>
      </c>
      <c r="D74" s="55">
        <v>9.4440179737372742E-5</v>
      </c>
      <c r="E74" s="1">
        <v>7.1454528929712231E-4</v>
      </c>
      <c r="F74" s="56">
        <v>2.5587807931988157E-3</v>
      </c>
      <c r="G74" s="68">
        <v>-4.7875546124282031E-3</v>
      </c>
      <c r="H74" s="68">
        <v>-8.2077039606059787E-3</v>
      </c>
      <c r="I74" s="68">
        <v>-7.8999484305005748E-3</v>
      </c>
      <c r="J74" s="68">
        <v>-3.2639147218830357E-2</v>
      </c>
      <c r="K74" s="68">
        <v>0.21544396632791624</v>
      </c>
      <c r="L74" s="68">
        <v>1</v>
      </c>
      <c r="M74" s="2">
        <v>-0.45619894984955189</v>
      </c>
      <c r="N74" s="2">
        <v>0.99999999999995559</v>
      </c>
      <c r="O74" s="69"/>
      <c r="R74" s="51" t="str">
        <f t="shared" si="30"/>
        <v>Aandelen opkomend</v>
      </c>
      <c r="S74" s="52">
        <f t="shared" si="31"/>
        <v>9.4440179737372742E-5</v>
      </c>
      <c r="T74" s="52">
        <f t="shared" si="32"/>
        <v>1.6443265868114785E-3</v>
      </c>
      <c r="U74" s="52">
        <f t="shared" si="33"/>
        <v>8.2001402664996456E-4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3.4961320111722226E-2</v>
      </c>
      <c r="C75" s="54">
        <v>1.520389556308086E-2</v>
      </c>
      <c r="D75" s="55">
        <v>2.4349161340634393E-2</v>
      </c>
      <c r="E75" s="1">
        <v>3.5550103015240211E-2</v>
      </c>
      <c r="F75" s="56">
        <v>4.5558215974619398E-2</v>
      </c>
      <c r="G75" s="68">
        <v>-0.27946491051921485</v>
      </c>
      <c r="H75" s="68">
        <v>-0.51689574649690817</v>
      </c>
      <c r="I75" s="68">
        <v>-0.51496584498572706</v>
      </c>
      <c r="J75" s="68">
        <v>-0.2247844789380751</v>
      </c>
      <c r="K75" s="68">
        <v>-0.62270888315491035</v>
      </c>
      <c r="L75" s="68">
        <v>-0.27037563903818179</v>
      </c>
      <c r="M75" s="2">
        <v>-0.54866959204819077</v>
      </c>
      <c r="N75" s="2">
        <v>0.99999999999995792</v>
      </c>
      <c r="O75" s="69"/>
      <c r="R75" s="51" t="str">
        <f t="shared" si="30"/>
        <v>Commodities</v>
      </c>
      <c r="S75" s="52">
        <f t="shared" si="31"/>
        <v>2.4349161340634393E-2</v>
      </c>
      <c r="T75" s="52">
        <f t="shared" si="32"/>
        <v>1.0612158771087832E-2</v>
      </c>
      <c r="U75" s="52">
        <f t="shared" si="33"/>
        <v>1.0596895862897172E-2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3.0161645730840372E-2</v>
      </c>
      <c r="C76" s="54">
        <v>2.5358035626797656E-2</v>
      </c>
      <c r="D76" s="55">
        <v>9.7978981805890084E-3</v>
      </c>
      <c r="E76" s="1">
        <v>2.3977128832878856E-2</v>
      </c>
      <c r="F76" s="56">
        <v>4.6102364698987292E-2</v>
      </c>
      <c r="G76" s="68">
        <v>-0.6086742634582939</v>
      </c>
      <c r="H76" s="68">
        <v>1</v>
      </c>
      <c r="I76" s="68">
        <v>-4.7321543042569318E-3</v>
      </c>
      <c r="J76" s="68">
        <v>-0.17869429556239799</v>
      </c>
      <c r="K76" s="68">
        <v>-0.16294392098930471</v>
      </c>
      <c r="L76" s="68">
        <v>-7.6851897182506304E-2</v>
      </c>
      <c r="M76" s="2">
        <v>0.19740675255680296</v>
      </c>
      <c r="N76" s="2">
        <v>0.99999999999997835</v>
      </c>
      <c r="O76" s="69"/>
      <c r="R76" s="51" t="str">
        <f t="shared" si="30"/>
        <v>Hedge funds</v>
      </c>
      <c r="S76" s="52">
        <f t="shared" si="31"/>
        <v>9.7978981805890084E-3</v>
      </c>
      <c r="T76" s="52">
        <f t="shared" si="32"/>
        <v>2.0363747550251363E-2</v>
      </c>
      <c r="U76" s="52">
        <f t="shared" si="33"/>
        <v>1.594071896814692E-2</v>
      </c>
    </row>
    <row r="77" spans="1:36">
      <c r="A77" s="60" t="str">
        <f t="shared" si="29"/>
        <v>Onroerend goed</v>
      </c>
      <c r="B77" s="61">
        <v>0.13429860553413633</v>
      </c>
      <c r="C77" s="62">
        <v>3.0695923108947851E-2</v>
      </c>
      <c r="D77" s="63">
        <v>0.11321011185898303</v>
      </c>
      <c r="E77" s="61">
        <v>0.1320659029715649</v>
      </c>
      <c r="F77" s="64">
        <v>0.15435384406780167</v>
      </c>
      <c r="G77" s="70">
        <v>1</v>
      </c>
      <c r="H77" s="70">
        <v>0.40559879736070276</v>
      </c>
      <c r="I77" s="70">
        <v>9.1509080508956397E-2</v>
      </c>
      <c r="J77" s="70">
        <v>-0.16701933407044975</v>
      </c>
      <c r="K77" s="70">
        <v>-0.33434972038020583</v>
      </c>
      <c r="L77" s="70">
        <v>-0.14274507719641816</v>
      </c>
      <c r="M77" s="65">
        <v>-9.0056400406854073E-2</v>
      </c>
      <c r="N77" s="65">
        <v>0.99999999999996991</v>
      </c>
      <c r="O77" s="71"/>
      <c r="R77" s="51" t="str">
        <f t="shared" si="30"/>
        <v>Onroerend goed</v>
      </c>
      <c r="S77" s="52">
        <f t="shared" si="31"/>
        <v>0.11321011185898303</v>
      </c>
      <c r="T77" s="52">
        <f t="shared" si="32"/>
        <v>2.1088493675153308E-2</v>
      </c>
      <c r="U77" s="52">
        <f t="shared" si="33"/>
        <v>2.0055238533665337E-2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82" t="s">
        <v>64</v>
      </c>
      <c r="E79" s="383"/>
      <c r="F79" s="384"/>
      <c r="G79" s="382" t="s">
        <v>65</v>
      </c>
      <c r="H79" s="383"/>
      <c r="I79" s="383"/>
      <c r="J79" s="383"/>
      <c r="K79" s="383"/>
      <c r="L79" s="383"/>
      <c r="M79" s="383"/>
      <c r="N79" s="383"/>
      <c r="O79" s="384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0.72627877019793419</v>
      </c>
      <c r="H80" s="272">
        <v>0.1688715324085226</v>
      </c>
      <c r="I80" s="272">
        <v>8.2924485748442023E-2</v>
      </c>
      <c r="J80" s="272">
        <v>1.2543714975357112E-2</v>
      </c>
      <c r="K80" s="272">
        <v>8.4412382366021443E-3</v>
      </c>
      <c r="L80" s="272">
        <v>6.3094875856106736E-4</v>
      </c>
      <c r="M80" s="272">
        <v>3.0930967458231429E-4</v>
      </c>
      <c r="N80" s="272">
        <v>0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0.43874621076936754</v>
      </c>
      <c r="C81" s="54">
        <v>2.5115423582848125E-2</v>
      </c>
      <c r="D81" s="55">
        <v>0.41977054658713842</v>
      </c>
      <c r="E81" s="1">
        <v>0.43768419008501197</v>
      </c>
      <c r="F81" s="56">
        <v>0.45478162517680593</v>
      </c>
      <c r="G81" s="2">
        <v>-0.28081024012717176</v>
      </c>
      <c r="H81" s="2">
        <v>0.35423264693155265</v>
      </c>
      <c r="I81" s="2">
        <v>-0.75141661661658232</v>
      </c>
      <c r="J81" s="2">
        <v>-0.42087598008635219</v>
      </c>
      <c r="K81" s="2">
        <v>-0.2454904841442816</v>
      </c>
      <c r="L81" s="2">
        <v>-0.87862690991537762</v>
      </c>
      <c r="M81" s="2">
        <v>-0.27303910998452935</v>
      </c>
      <c r="N81" s="2">
        <v>1</v>
      </c>
      <c r="O81" s="69"/>
      <c r="R81" s="51" t="str">
        <f>A81</f>
        <v>Nominale matching</v>
      </c>
      <c r="S81" s="52">
        <f>D81</f>
        <v>0.41977054658713842</v>
      </c>
      <c r="T81" s="52">
        <f>B81-D81</f>
        <v>1.8975664182229124E-2</v>
      </c>
      <c r="U81" s="52">
        <f>F81-B81</f>
        <v>1.6035414407438386E-2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0.28772766470946015</v>
      </c>
      <c r="C82" s="54">
        <v>5.9674307771993312E-2</v>
      </c>
      <c r="D82" s="55">
        <v>0.2415691552104362</v>
      </c>
      <c r="E82" s="1">
        <v>0.28694653713381424</v>
      </c>
      <c r="F82" s="56">
        <v>0.3302549619423033</v>
      </c>
      <c r="G82" s="2">
        <v>-0.83833200848886669</v>
      </c>
      <c r="H82" s="2">
        <v>-0.83951345069898076</v>
      </c>
      <c r="I82" s="2">
        <v>0.56429588003529874</v>
      </c>
      <c r="J82" s="2">
        <v>0.23107320277710416</v>
      </c>
      <c r="K82" s="2">
        <v>-0.12715969093844176</v>
      </c>
      <c r="L82" s="2">
        <v>-5.8827682685175971E-2</v>
      </c>
      <c r="M82" s="2">
        <v>-0.15726066431330846</v>
      </c>
      <c r="N82" s="2">
        <v>0.9999999999999537</v>
      </c>
      <c r="O82" s="69"/>
      <c r="R82" s="51" t="str">
        <f t="shared" ref="R82:R88" si="35">A82</f>
        <v>High Yield</v>
      </c>
      <c r="S82" s="52">
        <f t="shared" ref="S82:S88" si="36">D82</f>
        <v>0.2415691552104362</v>
      </c>
      <c r="T82" s="52">
        <f t="shared" ref="T82:T88" si="37">B82-D82</f>
        <v>4.6158509499023948E-2</v>
      </c>
      <c r="U82" s="52">
        <f t="shared" ref="U82:U88" si="38">F82-B82</f>
        <v>4.2527297232843153E-2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4.3310062962067734E-2</v>
      </c>
      <c r="C83" s="54">
        <v>3.3606565611040501E-2</v>
      </c>
      <c r="D83" s="55">
        <v>1.682862067096734E-2</v>
      </c>
      <c r="E83" s="1">
        <v>3.5683233244728968E-2</v>
      </c>
      <c r="F83" s="56">
        <v>6.1373018385118654E-2</v>
      </c>
      <c r="G83" s="2">
        <v>0.11651014152572527</v>
      </c>
      <c r="H83" s="2">
        <v>1</v>
      </c>
      <c r="I83" s="2">
        <v>1</v>
      </c>
      <c r="J83" s="2">
        <v>0.1923409648898938</v>
      </c>
      <c r="K83" s="2">
        <v>-0.11890273807132101</v>
      </c>
      <c r="L83" s="2">
        <v>-5.9640503768815356E-2</v>
      </c>
      <c r="M83" s="2">
        <v>-0.15574093800329769</v>
      </c>
      <c r="N83" s="2">
        <v>0.99999999999995337</v>
      </c>
      <c r="O83" s="69"/>
      <c r="R83" s="51" t="str">
        <f t="shared" si="35"/>
        <v>Emerging market debt</v>
      </c>
      <c r="S83" s="52">
        <f t="shared" si="36"/>
        <v>1.682862067096734E-2</v>
      </c>
      <c r="T83" s="52">
        <f t="shared" si="37"/>
        <v>2.6481442291100395E-2</v>
      </c>
      <c r="U83" s="52">
        <f t="shared" si="38"/>
        <v>1.8062955423050919E-2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1.3696757777154312E-3</v>
      </c>
      <c r="C84" s="54">
        <v>1.7089921850088315E-3</v>
      </c>
      <c r="D84" s="55">
        <v>2.0415139849541076E-4</v>
      </c>
      <c r="E84" s="1">
        <v>7.3189678094910345E-4</v>
      </c>
      <c r="F84" s="56">
        <v>2.0265082753256488E-3</v>
      </c>
      <c r="G84" s="2">
        <v>-5.8357957665393476E-4</v>
      </c>
      <c r="H84" s="2">
        <v>2.9522846705631834E-4</v>
      </c>
      <c r="I84" s="2">
        <v>-6.1020669644747125E-3</v>
      </c>
      <c r="J84" s="2">
        <v>8.8674681485323373E-3</v>
      </c>
      <c r="K84" s="2">
        <v>-1.0341915487347263E-2</v>
      </c>
      <c r="L84" s="2">
        <v>-0.25686277726928203</v>
      </c>
      <c r="M84" s="2">
        <v>1</v>
      </c>
      <c r="N84" s="2">
        <v>0.99999999999986944</v>
      </c>
      <c r="O84" s="69"/>
      <c r="R84" s="51" t="str">
        <f t="shared" si="35"/>
        <v>Aandelen ontwikkeld</v>
      </c>
      <c r="S84" s="52">
        <f t="shared" si="36"/>
        <v>2.0415139849541076E-4</v>
      </c>
      <c r="T84" s="52">
        <f t="shared" si="37"/>
        <v>1.1655243792200204E-3</v>
      </c>
      <c r="U84" s="52">
        <f t="shared" si="38"/>
        <v>6.5683249761021756E-4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2.189437606952184E-2</v>
      </c>
      <c r="C85" s="54">
        <v>1.7398887914572517E-2</v>
      </c>
      <c r="D85" s="55">
        <v>8.0915635697171862E-3</v>
      </c>
      <c r="E85" s="1">
        <v>1.7700217313597062E-2</v>
      </c>
      <c r="F85" s="56">
        <v>3.3426402420748499E-2</v>
      </c>
      <c r="G85" s="2">
        <v>-1.8540081581446242E-2</v>
      </c>
      <c r="H85" s="2">
        <v>0.21194813067911358</v>
      </c>
      <c r="I85" s="2">
        <v>-0.77293196898620997</v>
      </c>
      <c r="J85" s="2">
        <v>1</v>
      </c>
      <c r="K85" s="2">
        <v>8.5373067752621598E-5</v>
      </c>
      <c r="L85" s="2">
        <v>0.49402210106188771</v>
      </c>
      <c r="M85" s="2">
        <v>-8.6630436361729013E-2</v>
      </c>
      <c r="N85" s="2">
        <v>0.99999999999992228</v>
      </c>
      <c r="O85" s="69"/>
      <c r="R85" s="51" t="str">
        <f t="shared" si="35"/>
        <v>Aandelen opkomend</v>
      </c>
      <c r="S85" s="52">
        <f t="shared" si="36"/>
        <v>8.0915635697171862E-3</v>
      </c>
      <c r="T85" s="52">
        <f t="shared" si="37"/>
        <v>1.3802812499804654E-2</v>
      </c>
      <c r="U85" s="52">
        <f t="shared" si="38"/>
        <v>1.153202635122666E-2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7.7097626984247757E-3</v>
      </c>
      <c r="C86" s="54">
        <v>7.7734676157810651E-3</v>
      </c>
      <c r="D86" s="55">
        <v>1.8868638402545538E-3</v>
      </c>
      <c r="E86" s="1">
        <v>5.27349997188588E-3</v>
      </c>
      <c r="F86" s="56">
        <v>1.1422947077340269E-2</v>
      </c>
      <c r="G86" s="2">
        <v>1.7844473926699023E-2</v>
      </c>
      <c r="H86" s="2">
        <v>3.9183657860470816E-3</v>
      </c>
      <c r="I86" s="2">
        <v>-0.14590543295014638</v>
      </c>
      <c r="J86" s="2">
        <v>-0.79277478806810175</v>
      </c>
      <c r="K86" s="2">
        <v>-0.33863261235527364</v>
      </c>
      <c r="L86" s="2">
        <v>1</v>
      </c>
      <c r="M86" s="2">
        <v>-8.1897685147857419E-3</v>
      </c>
      <c r="N86" s="2">
        <v>0.99999999999989497</v>
      </c>
      <c r="O86" s="69"/>
      <c r="R86" s="51" t="str">
        <f t="shared" si="35"/>
        <v>Commodities</v>
      </c>
      <c r="S86" s="52">
        <f t="shared" si="36"/>
        <v>1.8868638402545538E-3</v>
      </c>
      <c r="T86" s="52">
        <f t="shared" si="37"/>
        <v>5.8228988581702223E-3</v>
      </c>
      <c r="U86" s="52">
        <f t="shared" si="38"/>
        <v>3.7131843789154932E-3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0.1894304694511304</v>
      </c>
      <c r="C87" s="54">
        <v>6.7516114334880611E-2</v>
      </c>
      <c r="D87" s="55">
        <v>0.14180118273238318</v>
      </c>
      <c r="E87" s="1">
        <v>0.19468295905708427</v>
      </c>
      <c r="F87" s="56">
        <v>0.23519986554248443</v>
      </c>
      <c r="G87" s="2">
        <v>1</v>
      </c>
      <c r="H87" s="2">
        <v>-0.71691457090439392</v>
      </c>
      <c r="I87" s="2">
        <v>0.13390694835041325</v>
      </c>
      <c r="J87" s="2">
        <v>8.7007451030337329E-2</v>
      </c>
      <c r="K87" s="2">
        <v>-0.1595579320710836</v>
      </c>
      <c r="L87" s="2">
        <v>-0.298158225868005</v>
      </c>
      <c r="M87" s="2">
        <v>-0.19073762566072611</v>
      </c>
      <c r="N87" s="2">
        <v>0.99999999999996736</v>
      </c>
      <c r="O87" s="69"/>
      <c r="R87" s="51" t="str">
        <f t="shared" si="35"/>
        <v>Hedge funds</v>
      </c>
      <c r="S87" s="52">
        <f t="shared" si="36"/>
        <v>0.14180118273238318</v>
      </c>
      <c r="T87" s="52">
        <f t="shared" si="37"/>
        <v>4.7629286718747221E-2</v>
      </c>
      <c r="U87" s="52">
        <f t="shared" si="38"/>
        <v>4.5769396091354025E-2</v>
      </c>
    </row>
    <row r="88" spans="1:36">
      <c r="A88" s="60" t="str">
        <f t="shared" si="34"/>
        <v>Onroerend goed</v>
      </c>
      <c r="B88" s="286">
        <v>9.8117775623121194E-3</v>
      </c>
      <c r="C88" s="62">
        <v>8.7907666944551273E-3</v>
      </c>
      <c r="D88" s="63">
        <v>3.1869048175254466E-3</v>
      </c>
      <c r="E88" s="61">
        <v>7.4257067200665487E-3</v>
      </c>
      <c r="F88" s="64">
        <v>1.4282563405317096E-2</v>
      </c>
      <c r="G88" s="65">
        <v>3.9112943217135048E-3</v>
      </c>
      <c r="H88" s="65">
        <v>-1.3966350260394394E-2</v>
      </c>
      <c r="I88" s="65">
        <v>-2.1846742868299494E-2</v>
      </c>
      <c r="J88" s="65">
        <v>-0.30563831869141378</v>
      </c>
      <c r="K88" s="65">
        <v>1</v>
      </c>
      <c r="L88" s="65">
        <v>5.8093998444865479E-2</v>
      </c>
      <c r="M88" s="65">
        <v>-0.12840145716152879</v>
      </c>
      <c r="N88" s="65">
        <v>0.99999999999994249</v>
      </c>
      <c r="O88" s="71"/>
      <c r="R88" s="51" t="str">
        <f t="shared" si="35"/>
        <v>Onroerend goed</v>
      </c>
      <c r="S88" s="52">
        <f t="shared" si="36"/>
        <v>3.1869048175254466E-3</v>
      </c>
      <c r="T88" s="52">
        <f t="shared" si="37"/>
        <v>6.6248727447866728E-3</v>
      </c>
      <c r="U88" s="52">
        <f t="shared" si="38"/>
        <v>4.4707858430049763E-3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A22" workbookViewId="0">
      <selection activeCell="B14" sqref="B14:B2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82" t="s">
        <v>64</v>
      </c>
      <c r="E2" s="383"/>
      <c r="F2" s="384"/>
      <c r="G2" s="382" t="s">
        <v>65</v>
      </c>
      <c r="H2" s="383"/>
      <c r="I2" s="383"/>
      <c r="J2" s="383"/>
      <c r="K2" s="383"/>
      <c r="L2" s="383"/>
      <c r="M2" s="383"/>
      <c r="N2" s="384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0.38137314271859768</v>
      </c>
      <c r="H3" s="272">
        <v>0.22575728415991358</v>
      </c>
      <c r="I3" s="272">
        <v>0.19527686809627365</v>
      </c>
      <c r="J3" s="272">
        <v>0.12273338135188705</v>
      </c>
      <c r="K3" s="272">
        <v>7.3035642069246509E-2</v>
      </c>
      <c r="L3" s="272">
        <v>1.8236816040810844E-3</v>
      </c>
      <c r="M3" s="272">
        <v>0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0.13084475584458408</v>
      </c>
      <c r="C4" s="118">
        <v>7.9569549509936943E-2</v>
      </c>
      <c r="D4" s="119">
        <v>4.6937370278015221E-2</v>
      </c>
      <c r="E4" s="117">
        <v>0.12111317600121849</v>
      </c>
      <c r="F4" s="120">
        <v>0.21593763837584484</v>
      </c>
      <c r="G4" s="2">
        <v>1</v>
      </c>
      <c r="H4" s="2">
        <v>-6.8566460218382849E-2</v>
      </c>
      <c r="I4" s="2">
        <v>1.7955818589101922E-2</v>
      </c>
      <c r="J4" s="2">
        <v>-0.23947528519324762</v>
      </c>
      <c r="K4" s="2">
        <v>-0.15363141616407475</v>
      </c>
      <c r="L4" s="2">
        <v>-0.15727982980297761</v>
      </c>
      <c r="M4" s="2">
        <v>0.99999999999998601</v>
      </c>
      <c r="N4" s="57"/>
      <c r="O4" s="72"/>
      <c r="Q4" s="72" t="str">
        <f>A4</f>
        <v>High Yield</v>
      </c>
      <c r="R4" s="72">
        <f>D4</f>
        <v>4.6937370278015221E-2</v>
      </c>
      <c r="S4" s="52">
        <f>B4-D4</f>
        <v>8.3907385566568848E-2</v>
      </c>
      <c r="T4" s="52">
        <f>F4-B4</f>
        <v>8.5092882531260766E-2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9.4544180494174471E-2</v>
      </c>
      <c r="C5" s="118">
        <v>6.2609754956561556E-2</v>
      </c>
      <c r="D5" s="119">
        <v>2.9312166125238796E-2</v>
      </c>
      <c r="E5" s="117">
        <v>8.5185683493305936E-2</v>
      </c>
      <c r="F5" s="120">
        <v>0.15920037941162901</v>
      </c>
      <c r="G5" s="2">
        <v>-0.23988735650824708</v>
      </c>
      <c r="H5" s="2">
        <v>1</v>
      </c>
      <c r="I5" s="2">
        <v>0.13391829403391448</v>
      </c>
      <c r="J5" s="2">
        <v>-0.31325848907134551</v>
      </c>
      <c r="K5" s="2">
        <v>-0.11231900654275975</v>
      </c>
      <c r="L5" s="2">
        <v>-0.15195502224972127</v>
      </c>
      <c r="M5" s="2">
        <v>0.9999999999999859</v>
      </c>
      <c r="N5" s="57"/>
      <c r="O5" s="72"/>
      <c r="Q5" s="72" t="str">
        <f t="shared" ref="Q5:Q10" si="0">A5</f>
        <v>Emerging market debt</v>
      </c>
      <c r="R5" s="72">
        <f t="shared" ref="R5:R10" si="1">D5</f>
        <v>2.9312166125238796E-2</v>
      </c>
      <c r="S5" s="52">
        <f t="shared" ref="S5:S10" si="2">B5-D5</f>
        <v>6.5232014368935679E-2</v>
      </c>
      <c r="T5" s="52">
        <f t="shared" ref="T5:T10" si="3">F5-B5</f>
        <v>6.4656198917454541E-2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7.0038950404036696E-2</v>
      </c>
      <c r="C6" s="118">
        <v>4.7122029706297211E-2</v>
      </c>
      <c r="D6" s="119">
        <v>2.0279333863967693E-2</v>
      </c>
      <c r="E6" s="117">
        <v>6.5431261195765714E-2</v>
      </c>
      <c r="F6" s="120">
        <v>0.11786823748919681</v>
      </c>
      <c r="G6" s="2">
        <v>-1.1723546346263596E-2</v>
      </c>
      <c r="H6" s="2">
        <v>9.7021788407507262E-2</v>
      </c>
      <c r="I6" s="2">
        <v>-0.33281369623003632</v>
      </c>
      <c r="J6" s="2">
        <v>1</v>
      </c>
      <c r="K6" s="2">
        <v>-0.19094709382263497</v>
      </c>
      <c r="L6" s="2">
        <v>-0.18268827316867253</v>
      </c>
      <c r="M6" s="2">
        <v>0.99999999999998634</v>
      </c>
      <c r="N6" s="57"/>
      <c r="O6" s="72"/>
      <c r="Q6" s="72" t="str">
        <f t="shared" si="0"/>
        <v>Aandelen ontwikkeld</v>
      </c>
      <c r="R6" s="72">
        <f t="shared" si="1"/>
        <v>2.0279333863967693E-2</v>
      </c>
      <c r="S6" s="52">
        <f t="shared" si="2"/>
        <v>4.9759616540069003E-2</v>
      </c>
      <c r="T6" s="52">
        <f t="shared" si="3"/>
        <v>4.7829287085160113E-2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4.9672604556063045E-2</v>
      </c>
      <c r="C7" s="118">
        <v>3.6628028918491047E-2</v>
      </c>
      <c r="D7" s="119">
        <v>1.2860531336685349E-2</v>
      </c>
      <c r="E7" s="117">
        <v>4.3321308848252263E-2</v>
      </c>
      <c r="F7" s="120">
        <v>8.4992733227727296E-2</v>
      </c>
      <c r="G7" s="2">
        <v>-7.0934464760314148E-2</v>
      </c>
      <c r="H7" s="2">
        <v>-0.12981538849642607</v>
      </c>
      <c r="I7" s="2">
        <v>-7.1344851567939988E-2</v>
      </c>
      <c r="J7" s="2">
        <v>-3.24010607037237E-2</v>
      </c>
      <c r="K7" s="2">
        <v>1</v>
      </c>
      <c r="L7" s="2">
        <v>-0.18525835447210504</v>
      </c>
      <c r="M7" s="2">
        <v>0.99999999999998701</v>
      </c>
      <c r="N7" s="57"/>
      <c r="O7" s="72"/>
      <c r="Q7" s="72" t="str">
        <f t="shared" si="0"/>
        <v>Aandelen opkomend</v>
      </c>
      <c r="R7" s="72">
        <f t="shared" si="1"/>
        <v>1.2860531336685349E-2</v>
      </c>
      <c r="S7" s="52">
        <f t="shared" si="2"/>
        <v>3.6812073219377697E-2</v>
      </c>
      <c r="T7" s="52">
        <f t="shared" si="3"/>
        <v>3.5320128671664251E-2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5.7217299204644235E-3</v>
      </c>
      <c r="C8" s="118">
        <v>5.8949174850406894E-3</v>
      </c>
      <c r="D8" s="119">
        <v>5.63096498964717E-4</v>
      </c>
      <c r="E8" s="117">
        <v>3.9939705728413606E-3</v>
      </c>
      <c r="F8" s="120">
        <v>1.1005585344211671E-2</v>
      </c>
      <c r="G8" s="2">
        <v>-3.6455910653451443E-3</v>
      </c>
      <c r="H8" s="2">
        <v>-8.8195782399248905E-3</v>
      </c>
      <c r="I8" s="2">
        <v>-1.4584495419126943E-2</v>
      </c>
      <c r="J8" s="2">
        <v>1.9358425657750443E-2</v>
      </c>
      <c r="K8" s="2">
        <v>1.8103091362448812E-2</v>
      </c>
      <c r="L8" s="2">
        <v>1</v>
      </c>
      <c r="M8" s="2">
        <v>1</v>
      </c>
      <c r="N8" s="57"/>
      <c r="O8" s="72"/>
      <c r="Q8" s="72" t="str">
        <f t="shared" si="0"/>
        <v>Commodities</v>
      </c>
      <c r="R8" s="72">
        <f t="shared" si="1"/>
        <v>5.63096498964717E-4</v>
      </c>
      <c r="S8" s="52">
        <f t="shared" si="2"/>
        <v>5.1586334214997068E-3</v>
      </c>
      <c r="T8" s="52">
        <f t="shared" si="3"/>
        <v>5.2838554237472479E-3</v>
      </c>
      <c r="U8" s="52"/>
      <c r="V8" s="52"/>
      <c r="W8" s="52"/>
    </row>
    <row r="9" spans="1:23">
      <c r="A9" s="59" t="str">
        <f>+'Samenvatting mixen'!A10</f>
        <v>Hedge funds</v>
      </c>
      <c r="B9" s="117">
        <v>0.56588967506438281</v>
      </c>
      <c r="C9" s="118">
        <v>5.9087515917971498E-2</v>
      </c>
      <c r="D9" s="119">
        <v>0.50379808216417132</v>
      </c>
      <c r="E9" s="117">
        <v>0.56495202561780133</v>
      </c>
      <c r="F9" s="120">
        <v>0.62696361422821267</v>
      </c>
      <c r="G9" s="2">
        <v>-0.39175501812991076</v>
      </c>
      <c r="H9" s="2">
        <v>-0.45007163012778856</v>
      </c>
      <c r="I9" s="2">
        <v>-0.73313106940591311</v>
      </c>
      <c r="J9" s="2">
        <v>-0.46808865322973614</v>
      </c>
      <c r="K9" s="2">
        <v>-0.33873075194349167</v>
      </c>
      <c r="L9" s="2">
        <v>-0.16534137375567587</v>
      </c>
      <c r="M9" s="2">
        <v>0.99999999999998623</v>
      </c>
      <c r="N9" s="57"/>
      <c r="O9" s="72"/>
      <c r="Q9" s="72" t="str">
        <f t="shared" si="0"/>
        <v>Hedge funds</v>
      </c>
      <c r="R9" s="72">
        <f t="shared" si="1"/>
        <v>0.50379808216417132</v>
      </c>
      <c r="S9" s="52">
        <f t="shared" si="2"/>
        <v>6.209159290021149E-2</v>
      </c>
      <c r="T9" s="52">
        <f t="shared" si="3"/>
        <v>6.107393916382986E-2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8.3288103716294318E-2</v>
      </c>
      <c r="C10" s="122">
        <v>6.0411126875844205E-2</v>
      </c>
      <c r="D10" s="123">
        <v>2.5200801471259721E-2</v>
      </c>
      <c r="E10" s="121">
        <v>6.8601813934073219E-2</v>
      </c>
      <c r="F10" s="124">
        <v>0.14649425706446592</v>
      </c>
      <c r="G10" s="65">
        <v>-0.2820540231899189</v>
      </c>
      <c r="H10" s="65">
        <v>-0.43974873132498449</v>
      </c>
      <c r="I10" s="65">
        <v>1</v>
      </c>
      <c r="J10" s="65">
        <v>3.3865062540301687E-2</v>
      </c>
      <c r="K10" s="65">
        <v>-0.22247482288948861</v>
      </c>
      <c r="L10" s="65">
        <v>-0.15747714655086151</v>
      </c>
      <c r="M10" s="65">
        <v>0.9999999999999859</v>
      </c>
      <c r="N10" s="66"/>
      <c r="O10" s="72"/>
      <c r="Q10" s="72" t="str">
        <f t="shared" si="0"/>
        <v>Onroerend goed</v>
      </c>
      <c r="R10" s="72">
        <f t="shared" si="1"/>
        <v>2.5200801471259721E-2</v>
      </c>
      <c r="S10" s="52">
        <f t="shared" si="2"/>
        <v>5.8087302245034597E-2</v>
      </c>
      <c r="T10" s="52">
        <f t="shared" si="3"/>
        <v>6.3206153348171604E-2</v>
      </c>
      <c r="U10" s="52"/>
      <c r="V10" s="52"/>
      <c r="W10" s="52"/>
    </row>
    <row r="12" spans="1:23">
      <c r="A12" s="48" t="s">
        <v>68</v>
      </c>
      <c r="D12" s="382" t="s">
        <v>64</v>
      </c>
      <c r="E12" s="383"/>
      <c r="F12" s="384"/>
      <c r="G12" s="382" t="s">
        <v>65</v>
      </c>
      <c r="H12" s="383"/>
      <c r="I12" s="383"/>
      <c r="J12" s="383"/>
      <c r="K12" s="383"/>
      <c r="L12" s="383"/>
      <c r="M12" s="383"/>
      <c r="N12" s="384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0.78723362071865766</v>
      </c>
      <c r="H13" s="272">
        <v>0.15012123615884032</v>
      </c>
      <c r="I13" s="272">
        <v>4.540158564090524E-2</v>
      </c>
      <c r="J13" s="272">
        <v>9.6792571413789608E-3</v>
      </c>
      <c r="K13" s="272">
        <v>7.2178876366676414E-3</v>
      </c>
      <c r="L13" s="272">
        <v>3.4641270355362241E-4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0.51571412139342521</v>
      </c>
      <c r="C14" s="118">
        <v>0.11969376531947927</v>
      </c>
      <c r="D14" s="119">
        <v>0.39694230539051029</v>
      </c>
      <c r="E14" s="117">
        <v>0.50346534855609359</v>
      </c>
      <c r="F14" s="120">
        <v>0.6337540093374493</v>
      </c>
      <c r="G14" s="2">
        <v>1</v>
      </c>
      <c r="H14" s="2">
        <v>-0.39935557959896301</v>
      </c>
      <c r="I14" s="2">
        <v>-0.35683162347925118</v>
      </c>
      <c r="J14" s="2">
        <v>-0.31858182314526712</v>
      </c>
      <c r="K14" s="2">
        <v>-0.12592654951832899</v>
      </c>
      <c r="L14" s="2">
        <v>-0.16826964980090811</v>
      </c>
      <c r="M14" s="2">
        <v>0.99999999999997624</v>
      </c>
      <c r="N14" s="57"/>
      <c r="Q14" s="51" t="str">
        <f t="shared" ref="Q14:Q20" si="4">A14</f>
        <v>High Yield</v>
      </c>
      <c r="R14" s="72">
        <f>D14</f>
        <v>0.39694230539051029</v>
      </c>
      <c r="S14" s="52">
        <f>B14-D14</f>
        <v>0.11877181600291492</v>
      </c>
      <c r="T14" s="52">
        <f>F14-B14</f>
        <v>0.11803988794402409</v>
      </c>
      <c r="U14" s="52"/>
    </row>
    <row r="15" spans="1:23">
      <c r="A15" s="59" t="str">
        <f t="shared" ref="A15:A20" si="5">A5</f>
        <v>Emerging market debt</v>
      </c>
      <c r="B15" s="117">
        <v>7.6864263113598633E-2</v>
      </c>
      <c r="C15" s="118">
        <v>5.9041095164082305E-2</v>
      </c>
      <c r="D15" s="119">
        <v>1.9051202688133765E-2</v>
      </c>
      <c r="E15" s="117">
        <v>6.2222466767575271E-2</v>
      </c>
      <c r="F15" s="120">
        <v>0.13819809025504051</v>
      </c>
      <c r="G15" s="2">
        <v>-0.11292442821002117</v>
      </c>
      <c r="H15" s="2">
        <v>1</v>
      </c>
      <c r="I15" s="2">
        <v>-0.35794057590613287</v>
      </c>
      <c r="J15" s="2">
        <v>-0.28569600043955923</v>
      </c>
      <c r="K15" s="2">
        <v>-0.10098025918772725</v>
      </c>
      <c r="L15" s="2">
        <v>-0.16611156966948709</v>
      </c>
      <c r="M15" s="2">
        <v>0.99999999999997591</v>
      </c>
      <c r="N15" s="57"/>
      <c r="Q15" s="51" t="str">
        <f t="shared" si="4"/>
        <v>Emerging market debt</v>
      </c>
      <c r="R15" s="72">
        <f t="shared" ref="R15:R20" si="6">D15</f>
        <v>1.9051202688133765E-2</v>
      </c>
      <c r="S15" s="52">
        <f t="shared" ref="S15:S20" si="7">B15-D15</f>
        <v>5.7813060425464871E-2</v>
      </c>
      <c r="T15" s="52">
        <f t="shared" ref="T15:T20" si="8">F15-B15</f>
        <v>6.133382714144188E-2</v>
      </c>
      <c r="U15" s="52"/>
    </row>
    <row r="16" spans="1:23">
      <c r="A16" s="59" t="str">
        <f t="shared" si="5"/>
        <v>Aandelen ontwikkeld</v>
      </c>
      <c r="B16" s="117">
        <v>2.4519768502270362E-3</v>
      </c>
      <c r="C16" s="118">
        <v>3.0704662312096682E-3</v>
      </c>
      <c r="D16" s="119">
        <v>1.4149313951579561E-4</v>
      </c>
      <c r="E16" s="117">
        <v>1.2786767612599332E-3</v>
      </c>
      <c r="F16" s="120">
        <v>4.7235172522443018E-3</v>
      </c>
      <c r="G16" s="2">
        <v>1.1734401679881587E-3</v>
      </c>
      <c r="H16" s="2">
        <v>-9.339694835443867E-4</v>
      </c>
      <c r="I16" s="2">
        <v>7.6781549008759116E-3</v>
      </c>
      <c r="J16" s="2">
        <v>-1.2085284327492054E-2</v>
      </c>
      <c r="K16" s="2">
        <v>1.0080139673042325E-3</v>
      </c>
      <c r="L16" s="2">
        <v>1</v>
      </c>
      <c r="M16" s="2">
        <v>1</v>
      </c>
      <c r="N16" s="57"/>
      <c r="Q16" s="51" t="str">
        <f t="shared" si="4"/>
        <v>Aandelen ontwikkeld</v>
      </c>
      <c r="R16" s="72">
        <f t="shared" si="6"/>
        <v>1.4149313951579561E-4</v>
      </c>
      <c r="S16" s="52">
        <f t="shared" si="7"/>
        <v>2.3104837107112406E-3</v>
      </c>
      <c r="T16" s="52">
        <f t="shared" si="8"/>
        <v>2.2715404020172657E-3</v>
      </c>
      <c r="U16" s="52"/>
    </row>
    <row r="17" spans="1:24">
      <c r="A17" s="59" t="str">
        <f t="shared" si="5"/>
        <v>Aandelen opkomend</v>
      </c>
      <c r="B17" s="117">
        <v>3.9883696411919321E-2</v>
      </c>
      <c r="C17" s="118">
        <v>3.2832192742030197E-2</v>
      </c>
      <c r="D17" s="119">
        <v>7.021737071949934E-3</v>
      </c>
      <c r="E17" s="117">
        <v>3.1581031737449958E-2</v>
      </c>
      <c r="F17" s="120">
        <v>7.4982946894741331E-2</v>
      </c>
      <c r="G17" s="2">
        <v>1.9741682293450608E-2</v>
      </c>
      <c r="H17" s="2">
        <v>2.5370445435356426E-2</v>
      </c>
      <c r="I17" s="2">
        <v>1</v>
      </c>
      <c r="J17" s="2">
        <v>-0.35000809281870454</v>
      </c>
      <c r="K17" s="2">
        <v>-0.15012592084136603</v>
      </c>
      <c r="L17" s="2">
        <v>-0.1763774083912813</v>
      </c>
      <c r="M17" s="2">
        <v>0.99999999999997657</v>
      </c>
      <c r="N17" s="57"/>
      <c r="Q17" s="51" t="str">
        <f t="shared" si="4"/>
        <v>Aandelen opkomend</v>
      </c>
      <c r="R17" s="72">
        <f t="shared" si="6"/>
        <v>7.021737071949934E-3</v>
      </c>
      <c r="S17" s="52">
        <f t="shared" si="7"/>
        <v>3.2861959339969389E-2</v>
      </c>
      <c r="T17" s="52">
        <f t="shared" si="8"/>
        <v>3.509925048282201E-2</v>
      </c>
      <c r="U17" s="52"/>
    </row>
    <row r="18" spans="1:24">
      <c r="A18" s="59" t="str">
        <f t="shared" si="5"/>
        <v>Commodities</v>
      </c>
      <c r="B18" s="117">
        <v>1.3895873203692037E-2</v>
      </c>
      <c r="C18" s="118">
        <v>1.423301086554046E-2</v>
      </c>
      <c r="D18" s="119">
        <v>1.1877488317298746E-3</v>
      </c>
      <c r="E18" s="117">
        <v>9.6031665649047408E-3</v>
      </c>
      <c r="F18" s="120">
        <v>2.643474936683626E-2</v>
      </c>
      <c r="G18" s="2">
        <v>-1.6880788028711343E-2</v>
      </c>
      <c r="H18" s="2">
        <v>-3.8240154264648669E-2</v>
      </c>
      <c r="I18" s="2">
        <v>2.5752804750249284E-2</v>
      </c>
      <c r="J18" s="2">
        <v>0.30121940640774131</v>
      </c>
      <c r="K18" s="2">
        <v>1</v>
      </c>
      <c r="L18" s="2">
        <v>-0.1649706299803009</v>
      </c>
      <c r="M18" s="2">
        <v>0.99999999999997835</v>
      </c>
      <c r="N18" s="57"/>
      <c r="Q18" s="51" t="str">
        <f t="shared" si="4"/>
        <v>Commodities</v>
      </c>
      <c r="R18" s="72">
        <f t="shared" si="6"/>
        <v>1.1877488317298746E-3</v>
      </c>
      <c r="S18" s="52">
        <f t="shared" si="7"/>
        <v>1.2708124371962162E-2</v>
      </c>
      <c r="T18" s="52">
        <f t="shared" si="8"/>
        <v>1.2538876163144223E-2</v>
      </c>
      <c r="U18" s="52"/>
    </row>
    <row r="19" spans="1:24">
      <c r="A19" s="59" t="str">
        <f t="shared" si="5"/>
        <v>Hedge funds</v>
      </c>
      <c r="B19" s="117">
        <v>0.33371496460563049</v>
      </c>
      <c r="C19" s="118">
        <v>0.10969736545630185</v>
      </c>
      <c r="D19" s="119">
        <v>0.22270817306180651</v>
      </c>
      <c r="E19" s="117">
        <v>0.34250822408531278</v>
      </c>
      <c r="F19" s="120">
        <v>0.44388562665785358</v>
      </c>
      <c r="G19" s="2">
        <v>-0.89106642814849613</v>
      </c>
      <c r="H19" s="2">
        <v>-0.5736207016963939</v>
      </c>
      <c r="I19" s="2">
        <v>-0.33341629349412055</v>
      </c>
      <c r="J19" s="2">
        <v>-0.33484820567672052</v>
      </c>
      <c r="K19" s="2">
        <v>-0.15077010715832612</v>
      </c>
      <c r="L19" s="2">
        <v>-0.1672473301093429</v>
      </c>
      <c r="M19" s="2">
        <v>0.99999999999997591</v>
      </c>
      <c r="N19" s="57"/>
      <c r="Q19" s="51" t="str">
        <f t="shared" si="4"/>
        <v>Hedge funds</v>
      </c>
      <c r="R19" s="72">
        <f t="shared" si="6"/>
        <v>0.22270817306180651</v>
      </c>
      <c r="S19" s="52">
        <f t="shared" si="7"/>
        <v>0.11100679154382398</v>
      </c>
      <c r="T19" s="52">
        <f t="shared" si="8"/>
        <v>0.11017066205222309</v>
      </c>
      <c r="U19" s="52"/>
    </row>
    <row r="20" spans="1:24">
      <c r="A20" s="60" t="str">
        <f t="shared" si="5"/>
        <v>Onroerend goed</v>
      </c>
      <c r="B20" s="121">
        <v>1.747510442150696E-2</v>
      </c>
      <c r="C20" s="122">
        <v>1.5539570062443513E-2</v>
      </c>
      <c r="D20" s="123">
        <v>2.7730334842773915E-3</v>
      </c>
      <c r="E20" s="121">
        <v>1.3537530513156204E-2</v>
      </c>
      <c r="F20" s="124">
        <v>3.1293407005354816E-2</v>
      </c>
      <c r="G20" s="65">
        <v>-4.3478074210346275E-5</v>
      </c>
      <c r="H20" s="65">
        <v>-1.3220040391806126E-2</v>
      </c>
      <c r="I20" s="65">
        <v>1.4757533228378717E-2</v>
      </c>
      <c r="J20" s="65">
        <v>1</v>
      </c>
      <c r="K20" s="65">
        <v>-0.47320517726155725</v>
      </c>
      <c r="L20" s="65">
        <v>-0.15702341204870324</v>
      </c>
      <c r="M20" s="65">
        <v>0.99999999999997768</v>
      </c>
      <c r="N20" s="66"/>
      <c r="Q20" s="51" t="str">
        <f t="shared" si="4"/>
        <v>Onroerend goed</v>
      </c>
      <c r="R20" s="72">
        <f t="shared" si="6"/>
        <v>2.7730334842773915E-3</v>
      </c>
      <c r="S20" s="52">
        <f t="shared" si="7"/>
        <v>1.4702070937229568E-2</v>
      </c>
      <c r="T20" s="52">
        <f t="shared" si="8"/>
        <v>1.3818302583847857E-2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82" t="s">
        <v>64</v>
      </c>
      <c r="E22" s="383"/>
      <c r="F22" s="384"/>
      <c r="G22" s="382" t="s">
        <v>65</v>
      </c>
      <c r="H22" s="383"/>
      <c r="I22" s="383"/>
      <c r="J22" s="383"/>
      <c r="K22" s="383"/>
      <c r="L22" s="383"/>
      <c r="M22" s="383"/>
      <c r="N22" s="384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0.75127755663188356</v>
      </c>
      <c r="H23" s="272">
        <v>0.14439473043504059</v>
      </c>
      <c r="I23" s="272">
        <v>6.3302263994360564E-2</v>
      </c>
      <c r="J23" s="272">
        <v>3.1800294112695582E-2</v>
      </c>
      <c r="K23" s="272">
        <v>7.5285965503580909E-3</v>
      </c>
      <c r="L23" s="272">
        <v>1.6965582756613973E-3</v>
      </c>
      <c r="M23" s="272">
        <v>2.2204460492503131E-16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7.2452343902942445E-2</v>
      </c>
      <c r="C24" s="118">
        <v>8.7137156713752176E-2</v>
      </c>
      <c r="D24" s="119">
        <v>7.9543619936708939E-3</v>
      </c>
      <c r="E24" s="117">
        <v>4.0225241244136914E-2</v>
      </c>
      <c r="F24" s="120">
        <v>0.13558889561521303</v>
      </c>
      <c r="G24" s="2">
        <v>-0.17977156098276889</v>
      </c>
      <c r="H24" s="2">
        <v>-0.25865413451471736</v>
      </c>
      <c r="I24" s="2">
        <v>1</v>
      </c>
      <c r="J24" s="2">
        <v>-0.38910733941134618</v>
      </c>
      <c r="K24" s="2">
        <v>-0.2158646367521975</v>
      </c>
      <c r="L24" s="2">
        <v>-0.1664600195051486</v>
      </c>
      <c r="M24" s="2">
        <v>0.99999999999987199</v>
      </c>
      <c r="N24" s="57"/>
      <c r="O24" s="67"/>
      <c r="Q24" s="51" t="str">
        <f t="shared" ref="Q24:Q30" si="9">A24</f>
        <v>High Yield</v>
      </c>
      <c r="R24" s="72">
        <f>D24</f>
        <v>7.9543619936708939E-3</v>
      </c>
      <c r="S24" s="52">
        <f>B24-D24</f>
        <v>6.4497981909271557E-2</v>
      </c>
      <c r="T24" s="52">
        <f>F24-B24</f>
        <v>6.3136551712270589E-2</v>
      </c>
      <c r="U24" s="52"/>
    </row>
    <row r="25" spans="1:24">
      <c r="A25" s="59" t="str">
        <f t="shared" ref="A25:A30" si="10">A5</f>
        <v>Emerging market debt</v>
      </c>
      <c r="B25" s="117">
        <v>0.13839674988344053</v>
      </c>
      <c r="C25" s="118">
        <v>0.15309004540612517</v>
      </c>
      <c r="D25" s="119">
        <v>1.8641559663290515E-2</v>
      </c>
      <c r="E25" s="117">
        <v>8.195245979049165E-2</v>
      </c>
      <c r="F25" s="120">
        <v>0.26414403513988616</v>
      </c>
      <c r="G25" s="2">
        <v>-0.46010619398891289</v>
      </c>
      <c r="H25" s="2">
        <v>1</v>
      </c>
      <c r="I25" s="2">
        <v>-0.29065504488429067</v>
      </c>
      <c r="J25" s="2">
        <v>-0.22374357639465195</v>
      </c>
      <c r="K25" s="2">
        <v>-0.17924012124917676</v>
      </c>
      <c r="L25" s="2">
        <v>-0.1519643945309071</v>
      </c>
      <c r="M25" s="2">
        <v>0.99999999999986589</v>
      </c>
      <c r="N25" s="57"/>
      <c r="O25" s="67"/>
      <c r="Q25" s="51" t="str">
        <f t="shared" si="9"/>
        <v>Emerging market debt</v>
      </c>
      <c r="R25" s="72">
        <f t="shared" ref="R25:R30" si="11">D25</f>
        <v>1.8641559663290515E-2</v>
      </c>
      <c r="S25" s="52">
        <f t="shared" ref="S25:S30" si="12">B25-D25</f>
        <v>0.11975519022015002</v>
      </c>
      <c r="T25" s="52">
        <f t="shared" ref="T25:T30" si="13">F25-B25</f>
        <v>0.12574728525644563</v>
      </c>
      <c r="U25" s="52"/>
      <c r="X25" s="51"/>
    </row>
    <row r="26" spans="1:24">
      <c r="A26" s="59" t="str">
        <f t="shared" si="10"/>
        <v>Aandelen ontwikkeld</v>
      </c>
      <c r="B26" s="117">
        <v>7.129365826889624E-3</v>
      </c>
      <c r="C26" s="118">
        <v>1.3541060738483931E-2</v>
      </c>
      <c r="D26" s="119">
        <v>4.2913425149904465E-5</v>
      </c>
      <c r="E26" s="117">
        <v>1.8909990065543655E-3</v>
      </c>
      <c r="F26" s="120">
        <v>1.3963597363589632E-2</v>
      </c>
      <c r="G26" s="2">
        <v>-1.5210302059172925E-2</v>
      </c>
      <c r="H26" s="2">
        <v>-1.1409870299665486E-2</v>
      </c>
      <c r="I26" s="2">
        <v>1.2605266690989389E-2</v>
      </c>
      <c r="J26" s="2">
        <v>5.0625412961777076E-3</v>
      </c>
      <c r="K26" s="2">
        <v>6.2163209765566642E-2</v>
      </c>
      <c r="L26" s="2">
        <v>1</v>
      </c>
      <c r="M26" s="2">
        <v>1</v>
      </c>
      <c r="N26" s="57"/>
      <c r="O26" s="67"/>
      <c r="P26" s="72"/>
      <c r="Q26" s="51" t="str">
        <f t="shared" si="9"/>
        <v>Aandelen ontwikkeld</v>
      </c>
      <c r="R26" s="72">
        <f t="shared" si="11"/>
        <v>4.2913425149904465E-5</v>
      </c>
      <c r="S26" s="52">
        <f t="shared" si="12"/>
        <v>7.0864524017397196E-3</v>
      </c>
      <c r="T26" s="52">
        <f t="shared" si="13"/>
        <v>6.8342315367000079E-3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3.9377891832594936E-2</v>
      </c>
      <c r="C27" s="118">
        <v>5.7414086110851976E-2</v>
      </c>
      <c r="D27" s="119">
        <v>2.0582173091062451E-3</v>
      </c>
      <c r="E27" s="117">
        <v>1.8455777208815312E-2</v>
      </c>
      <c r="F27" s="120">
        <v>7.244889789235498E-2</v>
      </c>
      <c r="G27" s="2">
        <v>-8.0328490138864908E-2</v>
      </c>
      <c r="H27" s="2">
        <v>-8.7801736945921222E-2</v>
      </c>
      <c r="I27" s="2">
        <v>8.7112995406726443E-2</v>
      </c>
      <c r="J27" s="2">
        <v>1</v>
      </c>
      <c r="K27" s="2">
        <v>-0.29002892084670734</v>
      </c>
      <c r="L27" s="2">
        <v>-0.15732980392036774</v>
      </c>
      <c r="M27" s="2">
        <v>0.99999999999986888</v>
      </c>
      <c r="N27" s="57"/>
      <c r="O27" s="67"/>
      <c r="P27" s="72"/>
      <c r="Q27" s="51" t="str">
        <f t="shared" si="9"/>
        <v>Aandelen opkomend</v>
      </c>
      <c r="R27" s="72">
        <f t="shared" si="11"/>
        <v>2.0582173091062451E-3</v>
      </c>
      <c r="S27" s="52">
        <f t="shared" si="12"/>
        <v>3.7319674523488694E-2</v>
      </c>
      <c r="T27" s="52">
        <f t="shared" si="13"/>
        <v>3.3071006059760044E-2</v>
      </c>
      <c r="U27" s="52"/>
      <c r="V27" s="52"/>
      <c r="W27" s="52"/>
    </row>
    <row r="28" spans="1:24">
      <c r="A28" s="59" t="str">
        <f t="shared" si="10"/>
        <v>Commodities</v>
      </c>
      <c r="B28" s="117">
        <v>0.6332291291036708</v>
      </c>
      <c r="C28" s="118">
        <v>0.25620319616128007</v>
      </c>
      <c r="D28" s="119">
        <v>0.36692043729647367</v>
      </c>
      <c r="E28" s="117">
        <v>0.70084208446754315</v>
      </c>
      <c r="F28" s="120">
        <v>0.87272201683215989</v>
      </c>
      <c r="G28" s="2">
        <v>1</v>
      </c>
      <c r="H28" s="2">
        <v>0.21688704858117627</v>
      </c>
      <c r="I28" s="2">
        <v>-0.11084149001292427</v>
      </c>
      <c r="J28" s="2">
        <v>-0.16042593183829421</v>
      </c>
      <c r="K28" s="2">
        <v>-0.15977136214854135</v>
      </c>
      <c r="L28" s="2">
        <v>-0.14095456700567185</v>
      </c>
      <c r="M28" s="2">
        <v>0.99999999999986255</v>
      </c>
      <c r="N28" s="57"/>
      <c r="O28" s="67"/>
      <c r="P28" s="72"/>
      <c r="Q28" s="51" t="str">
        <f t="shared" si="9"/>
        <v>Commodities</v>
      </c>
      <c r="R28" s="72">
        <f t="shared" si="11"/>
        <v>0.36692043729647367</v>
      </c>
      <c r="S28" s="52">
        <f t="shared" si="12"/>
        <v>0.26630869180719713</v>
      </c>
      <c r="T28" s="52">
        <f t="shared" si="13"/>
        <v>0.23949288772848909</v>
      </c>
      <c r="U28" s="52"/>
      <c r="V28" s="52"/>
      <c r="W28" s="52"/>
    </row>
    <row r="29" spans="1:24">
      <c r="A29" s="59" t="str">
        <f t="shared" si="10"/>
        <v>Hedge funds</v>
      </c>
      <c r="B29" s="117">
        <v>9.4517596772710405E-2</v>
      </c>
      <c r="C29" s="118">
        <v>0.10987617638007206</v>
      </c>
      <c r="D29" s="119">
        <v>1.3821595455864751E-2</v>
      </c>
      <c r="E29" s="117">
        <v>5.3270142394739331E-2</v>
      </c>
      <c r="F29" s="120">
        <v>0.17921811061800133</v>
      </c>
      <c r="G29" s="2">
        <v>-0.23062234895002284</v>
      </c>
      <c r="H29" s="2">
        <v>-0.81521220647239578</v>
      </c>
      <c r="I29" s="2">
        <v>-0.71370375580611867</v>
      </c>
      <c r="J29" s="2">
        <v>-0.30541598349915305</v>
      </c>
      <c r="K29" s="2">
        <v>-0.21725816876897003</v>
      </c>
      <c r="L29" s="2">
        <v>-0.15592942037866653</v>
      </c>
      <c r="M29" s="2">
        <v>0.99999999999987355</v>
      </c>
      <c r="N29" s="57"/>
      <c r="O29" s="67"/>
      <c r="P29" s="72"/>
      <c r="Q29" s="51" t="str">
        <f t="shared" si="9"/>
        <v>Hedge funds</v>
      </c>
      <c r="R29" s="72">
        <f t="shared" si="11"/>
        <v>1.3821595455864751E-2</v>
      </c>
      <c r="S29" s="52">
        <f t="shared" si="12"/>
        <v>8.069600131684565E-2</v>
      </c>
      <c r="T29" s="52">
        <f t="shared" si="13"/>
        <v>8.4700513845290926E-2</v>
      </c>
      <c r="U29" s="52"/>
      <c r="V29" s="52"/>
      <c r="W29" s="52"/>
    </row>
    <row r="30" spans="1:24">
      <c r="A30" s="60" t="str">
        <f t="shared" si="10"/>
        <v>Onroerend goed</v>
      </c>
      <c r="B30" s="121">
        <v>1.4896922677746728E-2</v>
      </c>
      <c r="C30" s="122">
        <v>2.8342919783538999E-2</v>
      </c>
      <c r="D30" s="123">
        <v>5.8191092347787093E-4</v>
      </c>
      <c r="E30" s="121">
        <v>6.0477044481408483E-3</v>
      </c>
      <c r="F30" s="124">
        <v>2.5950460456023061E-2</v>
      </c>
      <c r="G30" s="65">
        <v>-3.3961103880248283E-2</v>
      </c>
      <c r="H30" s="65">
        <v>-4.3809100348465448E-2</v>
      </c>
      <c r="I30" s="65">
        <v>1.5482028605614184E-2</v>
      </c>
      <c r="J30" s="65">
        <v>7.3630289847266786E-2</v>
      </c>
      <c r="K30" s="65">
        <v>1</v>
      </c>
      <c r="L30" s="65">
        <v>-0.22736179465936529</v>
      </c>
      <c r="M30" s="65">
        <v>0.99999999999988742</v>
      </c>
      <c r="N30" s="66"/>
      <c r="O30" s="67"/>
      <c r="P30" s="72"/>
      <c r="Q30" s="51" t="str">
        <f t="shared" si="9"/>
        <v>Onroerend goed</v>
      </c>
      <c r="R30" s="72">
        <f t="shared" si="11"/>
        <v>5.8191092347787093E-4</v>
      </c>
      <c r="S30" s="52">
        <f t="shared" si="12"/>
        <v>1.4315011754268858E-2</v>
      </c>
      <c r="T30" s="52">
        <f t="shared" si="13"/>
        <v>1.1053537778276333E-2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82" t="s">
        <v>64</v>
      </c>
      <c r="E32" s="383"/>
      <c r="F32" s="384"/>
      <c r="G32" s="382" t="s">
        <v>65</v>
      </c>
      <c r="H32" s="383"/>
      <c r="I32" s="383"/>
      <c r="J32" s="383"/>
      <c r="K32" s="383"/>
      <c r="L32" s="383"/>
      <c r="M32" s="383"/>
      <c r="N32" s="384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0.90975087180415071</v>
      </c>
      <c r="H33" s="272">
        <v>4.9304248933225825E-2</v>
      </c>
      <c r="I33" s="272">
        <v>2.0925725972888665E-2</v>
      </c>
      <c r="J33" s="272">
        <v>1.4128274738230417E-2</v>
      </c>
      <c r="K33" s="272">
        <v>4.3851263905004823E-3</v>
      </c>
      <c r="L33" s="272">
        <v>1.5057521610045699E-3</v>
      </c>
      <c r="M33" s="272">
        <v>3.3306690738754696E-16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0.71470782107968334</v>
      </c>
      <c r="C34" s="118">
        <v>0.10600560738469261</v>
      </c>
      <c r="D34" s="119">
        <v>0.59692726887130998</v>
      </c>
      <c r="E34" s="117">
        <v>0.71888626957618385</v>
      </c>
      <c r="F34" s="120">
        <v>0.82692275944647209</v>
      </c>
      <c r="G34" s="2">
        <v>1</v>
      </c>
      <c r="H34" s="2">
        <v>-0.787249529828421</v>
      </c>
      <c r="I34" s="2">
        <v>0.3540024278404888</v>
      </c>
      <c r="J34" s="2">
        <v>-6.0633691587699767E-2</v>
      </c>
      <c r="K34" s="2">
        <v>-0.19632943352964391</v>
      </c>
      <c r="L34" s="2">
        <v>-0.14556024805264586</v>
      </c>
      <c r="M34" s="2">
        <v>1</v>
      </c>
      <c r="N34" s="57"/>
      <c r="O34" s="67"/>
      <c r="Q34" s="51" t="str">
        <f t="shared" ref="Q34:Q40" si="15">A34</f>
        <v>High Yield</v>
      </c>
      <c r="R34" s="72">
        <f>D34</f>
        <v>0.59692726887130998</v>
      </c>
      <c r="S34" s="52">
        <f>B34-D34</f>
        <v>0.11778055220837336</v>
      </c>
      <c r="T34" s="52">
        <f>F34-B34</f>
        <v>0.11221493836678875</v>
      </c>
      <c r="U34" s="52"/>
    </row>
    <row r="35" spans="1:24">
      <c r="A35" s="59" t="str">
        <f t="shared" si="14"/>
        <v>Emerging market debt</v>
      </c>
      <c r="B35" s="117">
        <v>1.9820741290327265E-2</v>
      </c>
      <c r="C35" s="118">
        <v>1.7833685959798468E-2</v>
      </c>
      <c r="D35" s="119">
        <v>3.1732129302359073E-3</v>
      </c>
      <c r="E35" s="117">
        <v>1.4458670792052679E-2</v>
      </c>
      <c r="F35" s="120">
        <v>3.5496664864769115E-2</v>
      </c>
      <c r="G35" s="2">
        <v>-7.2782067323197107E-3</v>
      </c>
      <c r="H35" s="2">
        <v>0.18591495380331868</v>
      </c>
      <c r="I35" s="2">
        <v>-0.68246014209741634</v>
      </c>
      <c r="J35" s="2">
        <v>1</v>
      </c>
      <c r="K35" s="2">
        <v>-0.20174825002115401</v>
      </c>
      <c r="L35" s="2">
        <v>-0.14109440451689409</v>
      </c>
      <c r="M35" s="2">
        <v>0.99999999999999256</v>
      </c>
      <c r="N35" s="57"/>
      <c r="O35" s="67"/>
      <c r="Q35" s="51" t="str">
        <f t="shared" si="15"/>
        <v>Emerging market debt</v>
      </c>
      <c r="R35" s="72">
        <f t="shared" ref="R35:R40" si="16">D35</f>
        <v>3.1732129302359073E-3</v>
      </c>
      <c r="S35" s="52">
        <f t="shared" ref="S35:S40" si="17">B35-D35</f>
        <v>1.6647528360091358E-2</v>
      </c>
      <c r="T35" s="52">
        <f t="shared" ref="T35:T40" si="18">F35-B35</f>
        <v>1.567592357444185E-2</v>
      </c>
      <c r="U35" s="52"/>
    </row>
    <row r="36" spans="1:24">
      <c r="A36" s="59" t="str">
        <f t="shared" si="14"/>
        <v>Aandelen ontwikkeld</v>
      </c>
      <c r="B36" s="117">
        <v>8.222805243053681E-3</v>
      </c>
      <c r="C36" s="118">
        <v>9.4098642366152244E-3</v>
      </c>
      <c r="D36" s="119">
        <v>6.6038888482238955E-4</v>
      </c>
      <c r="E36" s="117">
        <v>5.0100072522529619E-3</v>
      </c>
      <c r="F36" s="120">
        <v>1.5441635017510211E-2</v>
      </c>
      <c r="G36" s="2">
        <v>7.8721318060425757E-3</v>
      </c>
      <c r="H36" s="2">
        <v>4.6303314583886528E-2</v>
      </c>
      <c r="I36" s="2">
        <v>-3.0101850510318471E-2</v>
      </c>
      <c r="J36" s="2">
        <v>-3.2232620176751783E-2</v>
      </c>
      <c r="K36" s="2">
        <v>1</v>
      </c>
      <c r="L36" s="2">
        <v>-0.23829343134143677</v>
      </c>
      <c r="M36" s="2">
        <v>0.99999999999997913</v>
      </c>
      <c r="N36" s="57"/>
      <c r="O36" s="67"/>
      <c r="Q36" s="51" t="str">
        <f t="shared" si="15"/>
        <v>Aandelen ontwikkeld</v>
      </c>
      <c r="R36" s="72">
        <f t="shared" si="16"/>
        <v>6.6038888482238955E-4</v>
      </c>
      <c r="S36" s="52">
        <f t="shared" si="17"/>
        <v>7.5624163582312916E-3</v>
      </c>
      <c r="T36" s="52">
        <f t="shared" si="18"/>
        <v>7.2188297744565297E-3</v>
      </c>
      <c r="U36" s="52"/>
    </row>
    <row r="37" spans="1:24">
      <c r="A37" s="59" t="str">
        <f t="shared" si="14"/>
        <v>Aandelen opkomend</v>
      </c>
      <c r="B37" s="117">
        <v>1.8324025000977809E-2</v>
      </c>
      <c r="C37" s="118">
        <v>1.9151431264040474E-2</v>
      </c>
      <c r="D37" s="119">
        <v>1.9960338641519604E-3</v>
      </c>
      <c r="E37" s="117">
        <v>1.2253097840972709E-2</v>
      </c>
      <c r="F37" s="120">
        <v>3.5895642285670652E-2</v>
      </c>
      <c r="G37" s="2">
        <v>6.7112212313071634E-3</v>
      </c>
      <c r="H37" s="2">
        <v>0.32519078658452732</v>
      </c>
      <c r="I37" s="2">
        <v>-0.98523436851568602</v>
      </c>
      <c r="J37" s="2">
        <v>-0.77682001894275288</v>
      </c>
      <c r="K37" s="2">
        <v>-0.25915048617997122</v>
      </c>
      <c r="L37" s="2">
        <v>-0.16431769152635065</v>
      </c>
      <c r="M37" s="2">
        <v>0.99999999999999556</v>
      </c>
      <c r="N37" s="57"/>
      <c r="O37" s="67"/>
      <c r="Q37" s="51" t="str">
        <f t="shared" si="15"/>
        <v>Aandelen opkomend</v>
      </c>
      <c r="R37" s="72">
        <f t="shared" si="16"/>
        <v>1.9960338641519604E-3</v>
      </c>
      <c r="S37" s="52">
        <f t="shared" si="17"/>
        <v>1.6327991136825849E-2</v>
      </c>
      <c r="T37" s="52">
        <f t="shared" si="18"/>
        <v>1.7571617284692843E-2</v>
      </c>
      <c r="U37" s="52"/>
      <c r="X37" s="51"/>
    </row>
    <row r="38" spans="1:24">
      <c r="A38" s="59" t="str">
        <f t="shared" si="14"/>
        <v>Commodities</v>
      </c>
      <c r="B38" s="117">
        <v>4.1815253171120651E-3</v>
      </c>
      <c r="C38" s="118">
        <v>5.630481380480115E-3</v>
      </c>
      <c r="D38" s="119">
        <v>9.5429177144379932E-5</v>
      </c>
      <c r="E38" s="117">
        <v>2.1366300726956998E-3</v>
      </c>
      <c r="F38" s="120">
        <v>8.3364491625442932E-3</v>
      </c>
      <c r="G38" s="2">
        <v>2.1867276330810644E-3</v>
      </c>
      <c r="H38" s="2">
        <v>2.8390259237251206E-2</v>
      </c>
      <c r="I38" s="2">
        <v>2.2822896250377068E-3</v>
      </c>
      <c r="J38" s="2">
        <v>-1.9809180286931575E-2</v>
      </c>
      <c r="K38" s="2">
        <v>7.3485331478279917E-2</v>
      </c>
      <c r="L38" s="2">
        <v>1</v>
      </c>
      <c r="M38" s="2">
        <v>0.99999999999995115</v>
      </c>
      <c r="N38" s="57"/>
      <c r="O38" s="67"/>
      <c r="P38" s="72"/>
      <c r="Q38" s="51" t="str">
        <f t="shared" si="15"/>
        <v>Commodities</v>
      </c>
      <c r="R38" s="72">
        <f t="shared" si="16"/>
        <v>9.5429177144379932E-5</v>
      </c>
      <c r="S38" s="52">
        <f t="shared" si="17"/>
        <v>4.086096139967685E-3</v>
      </c>
      <c r="T38" s="52">
        <f t="shared" si="18"/>
        <v>4.1549238454322282E-3</v>
      </c>
      <c r="U38" s="52"/>
      <c r="V38" s="52"/>
      <c r="W38" s="52"/>
    </row>
    <row r="39" spans="1:24">
      <c r="A39" s="59" t="str">
        <f t="shared" si="14"/>
        <v>Hedge funds</v>
      </c>
      <c r="B39" s="117">
        <v>0.20455317717915414</v>
      </c>
      <c r="C39" s="118">
        <v>0.10586433404373483</v>
      </c>
      <c r="D39" s="119">
        <v>9.2224628034501752E-2</v>
      </c>
      <c r="E39" s="117">
        <v>0.19633097508601777</v>
      </c>
      <c r="F39" s="120">
        <v>0.31279654578872418</v>
      </c>
      <c r="G39" s="2">
        <v>-0.99829625621530083</v>
      </c>
      <c r="H39" s="2">
        <v>-0.79854978438055646</v>
      </c>
      <c r="I39" s="2">
        <v>0.34151164365788644</v>
      </c>
      <c r="J39" s="2">
        <v>-7.3128511126421616E-2</v>
      </c>
      <c r="K39" s="2">
        <v>-0.18631049040309244</v>
      </c>
      <c r="L39" s="2">
        <v>-0.1437000329366965</v>
      </c>
      <c r="M39" s="2">
        <v>0.99999999999999911</v>
      </c>
      <c r="N39" s="57"/>
      <c r="O39" s="67"/>
      <c r="P39" s="72"/>
      <c r="Q39" s="51" t="str">
        <f t="shared" si="15"/>
        <v>Hedge funds</v>
      </c>
      <c r="R39" s="72">
        <f t="shared" si="16"/>
        <v>9.2224628034501752E-2</v>
      </c>
      <c r="S39" s="52">
        <f t="shared" si="17"/>
        <v>0.11232854914465239</v>
      </c>
      <c r="T39" s="52">
        <f t="shared" si="18"/>
        <v>0.10824336860957004</v>
      </c>
      <c r="U39" s="52"/>
      <c r="V39" s="52"/>
      <c r="W39" s="52"/>
    </row>
    <row r="40" spans="1:24">
      <c r="A40" s="60" t="str">
        <f t="shared" si="14"/>
        <v>Onroerend goed</v>
      </c>
      <c r="B40" s="121">
        <v>3.01899048896919E-2</v>
      </c>
      <c r="C40" s="122">
        <v>2.618190964265393E-2</v>
      </c>
      <c r="D40" s="123">
        <v>4.7494171136568631E-3</v>
      </c>
      <c r="E40" s="121">
        <v>2.2378528357474385E-2</v>
      </c>
      <c r="F40" s="124">
        <v>5.608741457851027E-2</v>
      </c>
      <c r="G40" s="65">
        <v>-1.119561772281087E-2</v>
      </c>
      <c r="H40" s="65">
        <v>1</v>
      </c>
      <c r="I40" s="65">
        <v>1</v>
      </c>
      <c r="J40" s="65">
        <v>-3.7375977879440768E-2</v>
      </c>
      <c r="K40" s="65">
        <v>-0.229946671344397</v>
      </c>
      <c r="L40" s="65">
        <v>-0.16703419162593364</v>
      </c>
      <c r="M40" s="65">
        <v>0.99999999999999778</v>
      </c>
      <c r="N40" s="66"/>
      <c r="O40" s="67"/>
      <c r="P40" s="72"/>
      <c r="Q40" s="51" t="str">
        <f t="shared" si="15"/>
        <v>Onroerend goed</v>
      </c>
      <c r="R40" s="72">
        <f t="shared" si="16"/>
        <v>4.7494171136568631E-3</v>
      </c>
      <c r="S40" s="52">
        <f t="shared" si="17"/>
        <v>2.5440487776035036E-2</v>
      </c>
      <c r="T40" s="52">
        <f t="shared" si="18"/>
        <v>2.589750968881837E-2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82" t="s">
        <v>64</v>
      </c>
      <c r="E42" s="383"/>
      <c r="F42" s="384"/>
      <c r="G42" s="382" t="s">
        <v>65</v>
      </c>
      <c r="H42" s="383"/>
      <c r="I42" s="383"/>
      <c r="J42" s="383"/>
      <c r="K42" s="383"/>
      <c r="L42" s="383"/>
      <c r="M42" s="383"/>
      <c r="N42" s="384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0.33812528813373666</v>
      </c>
      <c r="H43" s="272">
        <v>0.1910182141924317</v>
      </c>
      <c r="I43" s="272">
        <v>0.16356667186017193</v>
      </c>
      <c r="J43" s="272">
        <v>0.13981960837440144</v>
      </c>
      <c r="K43" s="272">
        <v>9.4858457666306406E-2</v>
      </c>
      <c r="L43" s="272">
        <v>7.26117597729522E-2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0.15713025339594194</v>
      </c>
      <c r="C44" s="118">
        <v>0.21639059519927376</v>
      </c>
      <c r="D44" s="119">
        <v>1.6818454559143217E-3</v>
      </c>
      <c r="E44" s="117">
        <v>5.3748865901509651E-2</v>
      </c>
      <c r="F44" s="120">
        <v>0.37369591087334231</v>
      </c>
      <c r="G44" s="2">
        <v>-0.28526586572576929</v>
      </c>
      <c r="H44" s="2">
        <v>1</v>
      </c>
      <c r="I44" s="2">
        <v>-6.999525659911815E-2</v>
      </c>
      <c r="J44" s="2">
        <v>-0.23322268576340452</v>
      </c>
      <c r="K44" s="2">
        <v>-0.25345242961409437</v>
      </c>
      <c r="L44" s="2">
        <v>-9.9879564305882712E-2</v>
      </c>
      <c r="M44" s="2">
        <v>0.99999999999920397</v>
      </c>
      <c r="N44" s="57"/>
      <c r="O44" s="67"/>
      <c r="Q44" s="51" t="str">
        <f t="shared" ref="Q44:Q50" si="19">A44</f>
        <v>High Yield</v>
      </c>
      <c r="R44" s="72">
        <f>D44</f>
        <v>1.6818454559143217E-3</v>
      </c>
      <c r="S44" s="52">
        <f>B44-D44</f>
        <v>0.15544840794002762</v>
      </c>
      <c r="T44" s="52">
        <f>F44-B44</f>
        <v>0.21656565747740036</v>
      </c>
      <c r="U44" s="52"/>
    </row>
    <row r="45" spans="1:24">
      <c r="A45" s="59" t="str">
        <f t="shared" ref="A45:A50" si="20">A5</f>
        <v>Emerging market debt</v>
      </c>
      <c r="B45" s="117">
        <v>0.13994337406089302</v>
      </c>
      <c r="C45" s="118">
        <v>0.20215810688615726</v>
      </c>
      <c r="D45" s="119">
        <v>8.2408328537140931E-4</v>
      </c>
      <c r="E45" s="117">
        <v>4.6008904929884811E-2</v>
      </c>
      <c r="F45" s="120">
        <v>0.30687537634218021</v>
      </c>
      <c r="G45" s="2">
        <v>-0.23331826019765642</v>
      </c>
      <c r="H45" s="2">
        <v>-0.35949635493400328</v>
      </c>
      <c r="I45" s="2">
        <v>1</v>
      </c>
      <c r="J45" s="2">
        <v>-0.3237436712473919</v>
      </c>
      <c r="K45" s="2">
        <v>-0.2457170571514867</v>
      </c>
      <c r="L45" s="2">
        <v>-9.07503822582401E-2</v>
      </c>
      <c r="M45" s="2">
        <v>0.99999999999933131</v>
      </c>
      <c r="N45" s="57"/>
      <c r="O45" s="67"/>
      <c r="Q45" s="51" t="str">
        <f t="shared" si="19"/>
        <v>Emerging market debt</v>
      </c>
      <c r="R45" s="72">
        <f t="shared" ref="R45:R50" si="21">D45</f>
        <v>8.2408328537140931E-4</v>
      </c>
      <c r="S45" s="52">
        <f t="shared" ref="S45:S50" si="22">B45-D45</f>
        <v>0.13911929077552163</v>
      </c>
      <c r="T45" s="52">
        <f t="shared" ref="T45:T50" si="23">F45-B45</f>
        <v>0.16693200228128718</v>
      </c>
      <c r="U45" s="52"/>
    </row>
    <row r="46" spans="1:24">
      <c r="A46" s="59" t="str">
        <f t="shared" si="20"/>
        <v>Aandelen ontwikkeld</v>
      </c>
      <c r="B46" s="117">
        <v>6.9718914969638196E-2</v>
      </c>
      <c r="C46" s="118">
        <v>0.13656055381529353</v>
      </c>
      <c r="D46" s="119">
        <v>4.0705235331827969E-5</v>
      </c>
      <c r="E46" s="117">
        <v>9.49270178979289E-3</v>
      </c>
      <c r="F46" s="120">
        <v>0.14039786858376674</v>
      </c>
      <c r="G46" s="2">
        <v>-8.2026257107020883E-2</v>
      </c>
      <c r="H46" s="2">
        <v>-1.4652534969184278E-2</v>
      </c>
      <c r="I46" s="2">
        <v>-2.0981973487458842E-2</v>
      </c>
      <c r="J46" s="2">
        <v>8.8939259203893478E-2</v>
      </c>
      <c r="K46" s="2">
        <v>0.42094160193116864</v>
      </c>
      <c r="L46" s="2">
        <v>1</v>
      </c>
      <c r="M46" s="2">
        <v>1</v>
      </c>
      <c r="N46" s="57"/>
      <c r="O46" s="67"/>
      <c r="Q46" s="51" t="str">
        <f t="shared" si="19"/>
        <v>Aandelen ontwikkeld</v>
      </c>
      <c r="R46" s="72">
        <f t="shared" si="21"/>
        <v>4.0705235331827969E-5</v>
      </c>
      <c r="S46" s="52">
        <f t="shared" si="22"/>
        <v>6.9678209734306371E-2</v>
      </c>
      <c r="T46" s="52">
        <f t="shared" si="23"/>
        <v>7.0678953614128542E-2</v>
      </c>
      <c r="U46" s="52"/>
    </row>
    <row r="47" spans="1:24">
      <c r="A47" s="59" t="str">
        <f t="shared" si="20"/>
        <v>Aandelen opkomend</v>
      </c>
      <c r="B47" s="117">
        <v>0.12203707323082456</v>
      </c>
      <c r="C47" s="118">
        <v>0.18014584063285599</v>
      </c>
      <c r="D47" s="119">
        <v>3.2488391009333943E-4</v>
      </c>
      <c r="E47" s="117">
        <v>4.4366237264840971E-2</v>
      </c>
      <c r="F47" s="120">
        <v>0.26896470553557972</v>
      </c>
      <c r="G47" s="2">
        <v>-0.10586314412494657</v>
      </c>
      <c r="H47" s="2">
        <v>-0.1290023097592739</v>
      </c>
      <c r="I47" s="2">
        <v>-8.1782228987351782E-2</v>
      </c>
      <c r="J47" s="2">
        <v>1</v>
      </c>
      <c r="K47" s="2">
        <v>-0.45926252997736888</v>
      </c>
      <c r="L47" s="2">
        <v>-0.1306096644109328</v>
      </c>
      <c r="M47" s="2">
        <v>0.99999999999909517</v>
      </c>
      <c r="N47" s="57"/>
      <c r="O47" s="67"/>
      <c r="Q47" s="51" t="str">
        <f t="shared" si="19"/>
        <v>Aandelen opkomend</v>
      </c>
      <c r="R47" s="72">
        <f t="shared" si="21"/>
        <v>3.2488391009333943E-4</v>
      </c>
      <c r="S47" s="52">
        <f t="shared" si="22"/>
        <v>0.12171218932073122</v>
      </c>
      <c r="T47" s="52">
        <f t="shared" si="23"/>
        <v>0.14692763230475514</v>
      </c>
      <c r="U47" s="52"/>
    </row>
    <row r="48" spans="1:24">
      <c r="A48" s="59" t="str">
        <f t="shared" si="20"/>
        <v>Commodities</v>
      </c>
      <c r="B48" s="117">
        <v>7.8926579487551968E-2</v>
      </c>
      <c r="C48" s="118">
        <v>0.14845491589494156</v>
      </c>
      <c r="D48" s="119">
        <v>4.0247078295502124E-5</v>
      </c>
      <c r="E48" s="117">
        <v>1.1314427823942576E-2</v>
      </c>
      <c r="F48" s="120">
        <v>0.15232174042720384</v>
      </c>
      <c r="G48" s="2">
        <v>-9.3040653263127979E-2</v>
      </c>
      <c r="H48" s="2">
        <v>-5.6380317821578332E-2</v>
      </c>
      <c r="I48" s="2">
        <v>-6.9121572960193653E-2</v>
      </c>
      <c r="J48" s="2">
        <v>9.5173725243176549E-2</v>
      </c>
      <c r="K48" s="2">
        <v>1</v>
      </c>
      <c r="L48" s="2">
        <v>-0.55893677022304389</v>
      </c>
      <c r="M48" s="2">
        <v>0.99999999999960976</v>
      </c>
      <c r="N48" s="57"/>
      <c r="O48" s="67"/>
      <c r="Q48" s="51" t="str">
        <f t="shared" si="19"/>
        <v>Commodities</v>
      </c>
      <c r="R48" s="72">
        <f t="shared" si="21"/>
        <v>4.0247078295502124E-5</v>
      </c>
      <c r="S48" s="52">
        <f t="shared" si="22"/>
        <v>7.8886332409256466E-2</v>
      </c>
      <c r="T48" s="52">
        <f t="shared" si="23"/>
        <v>7.3395160939651871E-2</v>
      </c>
      <c r="U48" s="52"/>
    </row>
    <row r="49" spans="1:27">
      <c r="A49" s="59" t="str">
        <f t="shared" si="20"/>
        <v>Hedge funds</v>
      </c>
      <c r="B49" s="117">
        <v>0.29743988987359909</v>
      </c>
      <c r="C49" s="118">
        <v>0.28238163062379579</v>
      </c>
      <c r="D49" s="119">
        <v>5.9668056686754314E-3</v>
      </c>
      <c r="E49" s="117">
        <v>0.22519039598488355</v>
      </c>
      <c r="F49" s="120">
        <v>0.64995370905665095</v>
      </c>
      <c r="G49" s="2">
        <v>1</v>
      </c>
      <c r="H49" s="2">
        <v>7.7449455128280942E-2</v>
      </c>
      <c r="I49" s="2">
        <v>3.7109132335396665E-2</v>
      </c>
      <c r="J49" s="2">
        <v>-0.12143938767993527</v>
      </c>
      <c r="K49" s="2">
        <v>-0.11945853254849308</v>
      </c>
      <c r="L49" s="2">
        <v>-4.7891630220685974E-2</v>
      </c>
      <c r="M49" s="2">
        <v>0.99999999999912925</v>
      </c>
      <c r="N49" s="57"/>
      <c r="O49" s="67"/>
      <c r="Q49" s="51" t="str">
        <f t="shared" si="19"/>
        <v>Hedge funds</v>
      </c>
      <c r="R49" s="72">
        <f t="shared" si="21"/>
        <v>5.9668056686754314E-3</v>
      </c>
      <c r="S49" s="52">
        <f t="shared" si="22"/>
        <v>0.29147308420492368</v>
      </c>
      <c r="T49" s="52">
        <f t="shared" si="23"/>
        <v>0.35251381918305186</v>
      </c>
      <c r="U49" s="52"/>
      <c r="X49" s="51"/>
    </row>
    <row r="50" spans="1:27">
      <c r="A50" s="60" t="str">
        <f t="shared" si="20"/>
        <v>Onroerend goed</v>
      </c>
      <c r="B50" s="121">
        <v>0.13480391498120767</v>
      </c>
      <c r="C50" s="122">
        <v>0.1993284970242728</v>
      </c>
      <c r="D50" s="123">
        <v>4.3525876268662978E-4</v>
      </c>
      <c r="E50" s="121">
        <v>3.3195269348141786E-2</v>
      </c>
      <c r="F50" s="124">
        <v>0.31470259996218708</v>
      </c>
      <c r="G50" s="65">
        <v>-0.20048581958128037</v>
      </c>
      <c r="H50" s="65">
        <v>-0.51791793764416172</v>
      </c>
      <c r="I50" s="65">
        <v>-0.79522810030135227</v>
      </c>
      <c r="J50" s="65">
        <v>-0.50570723975629928</v>
      </c>
      <c r="K50" s="65">
        <v>-0.34305105264048857</v>
      </c>
      <c r="L50" s="65">
        <v>-7.1931988581789438E-2</v>
      </c>
      <c r="M50" s="65">
        <v>0.99999999999921807</v>
      </c>
      <c r="N50" s="66"/>
      <c r="O50" s="67"/>
      <c r="P50" s="72"/>
      <c r="Q50" s="51" t="str">
        <f t="shared" si="19"/>
        <v>Onroerend goed</v>
      </c>
      <c r="R50" s="72">
        <f t="shared" si="21"/>
        <v>4.3525876268662978E-4</v>
      </c>
      <c r="S50" s="52">
        <f t="shared" si="22"/>
        <v>0.13436865621852104</v>
      </c>
      <c r="T50" s="52">
        <f t="shared" si="23"/>
        <v>0.17989868498097941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82" t="s">
        <v>64</v>
      </c>
      <c r="E52" s="383"/>
      <c r="F52" s="384"/>
      <c r="G52" s="382" t="s">
        <v>65</v>
      </c>
      <c r="H52" s="383"/>
      <c r="I52" s="383"/>
      <c r="J52" s="383"/>
      <c r="K52" s="383"/>
      <c r="L52" s="383"/>
      <c r="M52" s="383"/>
      <c r="N52" s="384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0.6668026618581252</v>
      </c>
      <c r="H53" s="272">
        <v>0.13547977375842335</v>
      </c>
      <c r="I53" s="272">
        <v>6.7552204302407937E-2</v>
      </c>
      <c r="J53" s="272">
        <v>6.1989277492374151E-2</v>
      </c>
      <c r="K53" s="272">
        <v>3.9345794327369177E-2</v>
      </c>
      <c r="L53" s="272">
        <v>2.8830288261297077E-2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4.0803830506874854E-3</v>
      </c>
      <c r="C54" s="118">
        <v>7.5167943192825182E-3</v>
      </c>
      <c r="D54" s="119">
        <v>2.061193058960376E-6</v>
      </c>
      <c r="E54" s="117">
        <v>5.941996505989598E-4</v>
      </c>
      <c r="F54" s="120">
        <v>8.8500965114884367E-3</v>
      </c>
      <c r="G54" s="2">
        <v>-4.5409309806737561E-2</v>
      </c>
      <c r="H54" s="2">
        <v>-0.57263859254588556</v>
      </c>
      <c r="I54" s="2">
        <v>1</v>
      </c>
      <c r="J54" s="2">
        <v>-0.28910733884152329</v>
      </c>
      <c r="K54" s="2">
        <v>-0.32716199832745796</v>
      </c>
      <c r="L54" s="2">
        <v>-0.1986839693099593</v>
      </c>
      <c r="M54" s="2">
        <v>0.999999999999998</v>
      </c>
      <c r="N54" s="57"/>
      <c r="O54" s="67"/>
      <c r="P54" s="72"/>
      <c r="Q54" s="51" t="str">
        <f t="shared" ref="Q54:Q60" si="25">A54</f>
        <v>High Yield</v>
      </c>
      <c r="R54" s="72">
        <f>D54</f>
        <v>2.061193058960376E-6</v>
      </c>
      <c r="S54" s="52">
        <f>B54-D54</f>
        <v>4.0783218576285248E-3</v>
      </c>
      <c r="T54" s="52">
        <f>F54-B54</f>
        <v>4.7697134608009513E-3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1.020603577928657E-2</v>
      </c>
      <c r="C55" s="118">
        <v>1.6313066093540114E-2</v>
      </c>
      <c r="D55" s="119">
        <v>1.7477771007193212E-5</v>
      </c>
      <c r="E55" s="117">
        <v>2.6524902878445281E-3</v>
      </c>
      <c r="F55" s="120">
        <v>2.0049985293735178E-2</v>
      </c>
      <c r="G55" s="2">
        <v>-0.76372396613729265</v>
      </c>
      <c r="H55" s="2">
        <v>1</v>
      </c>
      <c r="I55" s="2">
        <v>9.0687494662454765E-2</v>
      </c>
      <c r="J55" s="2">
        <v>5.1200256922029418E-2</v>
      </c>
      <c r="K55" s="2">
        <v>-0.1650081076282704</v>
      </c>
      <c r="L55" s="2">
        <v>-0.10379238823914977</v>
      </c>
      <c r="M55" s="2">
        <v>0.99999999999999989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1.7477771007193212E-5</v>
      </c>
      <c r="S55" s="52">
        <f t="shared" ref="S55:S60" si="27">B55-D55</f>
        <v>1.0188558008279376E-2</v>
      </c>
      <c r="T55" s="52">
        <f t="shared" ref="T55:T60" si="28">F55-B55</f>
        <v>9.8439495144486081E-3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3.7397413386224916E-3</v>
      </c>
      <c r="C56" s="118">
        <v>7.0820619211808692E-3</v>
      </c>
      <c r="D56" s="119">
        <v>1.0319511996860013E-6</v>
      </c>
      <c r="E56" s="117">
        <v>5.1656286956412007E-4</v>
      </c>
      <c r="F56" s="120">
        <v>7.8046973272796662E-3</v>
      </c>
      <c r="G56" s="2">
        <v>-4.9736284827432094E-2</v>
      </c>
      <c r="H56" s="2">
        <v>-0.31520880863190315</v>
      </c>
      <c r="I56" s="2">
        <v>-0.80634713086671328</v>
      </c>
      <c r="J56" s="2">
        <v>-0.83771632536952068</v>
      </c>
      <c r="K56" s="2">
        <v>-0.25948458934506086</v>
      </c>
      <c r="L56" s="2">
        <v>-0.12721535423193187</v>
      </c>
      <c r="M56" s="2">
        <v>0.99999999999999556</v>
      </c>
      <c r="N56" s="57"/>
      <c r="O56" s="67"/>
      <c r="Q56" s="51" t="str">
        <f t="shared" si="25"/>
        <v>Aandelen ontwikkeld</v>
      </c>
      <c r="R56" s="72">
        <f t="shared" si="26"/>
        <v>1.0319511996860013E-6</v>
      </c>
      <c r="S56" s="52">
        <f t="shared" si="27"/>
        <v>3.7387093874228054E-3</v>
      </c>
      <c r="T56" s="52">
        <f t="shared" si="28"/>
        <v>4.0649559886571747E-3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4.2934362674847352E-3</v>
      </c>
      <c r="C57" s="118">
        <v>7.4123944407366322E-3</v>
      </c>
      <c r="D57" s="119">
        <v>2.1049933647250164E-6</v>
      </c>
      <c r="E57" s="117">
        <v>8.2467943503311048E-4</v>
      </c>
      <c r="F57" s="120">
        <v>8.5130446615769659E-3</v>
      </c>
      <c r="G57" s="2">
        <v>-8.3244549487872174E-2</v>
      </c>
      <c r="H57" s="2">
        <v>-0.52325667754212568</v>
      </c>
      <c r="I57" s="2">
        <v>-0.3912968090622676</v>
      </c>
      <c r="J57" s="2">
        <v>1</v>
      </c>
      <c r="K57" s="2">
        <v>-0.32957220877817911</v>
      </c>
      <c r="L57" s="2">
        <v>-9.9617542737681766E-2</v>
      </c>
      <c r="M57" s="2">
        <v>0.99999999999999767</v>
      </c>
      <c r="N57" s="57"/>
      <c r="O57" s="67"/>
      <c r="Q57" s="51" t="str">
        <f t="shared" si="25"/>
        <v>Aandelen opkomend</v>
      </c>
      <c r="R57" s="72">
        <f t="shared" si="26"/>
        <v>2.1049933647250164E-6</v>
      </c>
      <c r="S57" s="52">
        <f t="shared" si="27"/>
        <v>4.2913312741200103E-3</v>
      </c>
      <c r="T57" s="52">
        <f t="shared" si="28"/>
        <v>4.2196083940922308E-3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2.5129806774129146E-3</v>
      </c>
      <c r="C58" s="118">
        <v>4.7636894252296013E-3</v>
      </c>
      <c r="D58" s="119">
        <v>8.2020786635235888E-7</v>
      </c>
      <c r="E58" s="117">
        <v>2.6507662121913792E-4</v>
      </c>
      <c r="F58" s="120">
        <v>5.0267594257734456E-3</v>
      </c>
      <c r="G58" s="2">
        <v>-3.1313925628131241E-2</v>
      </c>
      <c r="H58" s="2">
        <v>-0.10678101177431318</v>
      </c>
      <c r="I58" s="2">
        <v>6.8132971356875849E-2</v>
      </c>
      <c r="J58" s="2">
        <v>-3.6306232520302975E-2</v>
      </c>
      <c r="K58" s="2">
        <v>0.22871084209587342</v>
      </c>
      <c r="L58" s="2">
        <v>1</v>
      </c>
      <c r="M58" s="2">
        <v>0.99999999999999267</v>
      </c>
      <c r="N58" s="57"/>
      <c r="O58" s="67"/>
      <c r="Q58" s="51" t="str">
        <f t="shared" si="25"/>
        <v>Commodities</v>
      </c>
      <c r="R58" s="72">
        <f t="shared" si="26"/>
        <v>8.2020786635235888E-7</v>
      </c>
      <c r="S58" s="52">
        <f t="shared" si="27"/>
        <v>2.512160469546562E-3</v>
      </c>
      <c r="T58" s="52">
        <f t="shared" si="28"/>
        <v>2.513778748360531E-3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0.97186966118482299</v>
      </c>
      <c r="C59" s="118">
        <v>1.9674938751246332E-2</v>
      </c>
      <c r="D59" s="119">
        <v>0.95267324423491195</v>
      </c>
      <c r="E59" s="117">
        <v>0.97540627251655043</v>
      </c>
      <c r="F59" s="120">
        <v>0.99149383511217604</v>
      </c>
      <c r="G59" s="2">
        <v>1</v>
      </c>
      <c r="H59" s="2">
        <v>0.67107107622963369</v>
      </c>
      <c r="I59" s="2">
        <v>4.3987771032480645E-2</v>
      </c>
      <c r="J59" s="2">
        <v>6.7595504674375875E-2</v>
      </c>
      <c r="K59" s="2">
        <v>-0.14748393801689999</v>
      </c>
      <c r="L59" s="2">
        <v>-8.19269644844524E-2</v>
      </c>
      <c r="M59" s="2">
        <v>1</v>
      </c>
      <c r="N59" s="57"/>
      <c r="O59" s="67"/>
      <c r="Q59" s="51" t="str">
        <f t="shared" si="25"/>
        <v>Hedge funds</v>
      </c>
      <c r="R59" s="72">
        <f t="shared" si="26"/>
        <v>0.95267324423491195</v>
      </c>
      <c r="S59" s="52">
        <f t="shared" si="27"/>
        <v>1.9196416949911033E-2</v>
      </c>
      <c r="T59" s="52">
        <f t="shared" si="28"/>
        <v>1.962417392735305E-2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3.2977617016790501E-3</v>
      </c>
      <c r="C60" s="122">
        <v>5.4104480111027923E-3</v>
      </c>
      <c r="D60" s="123">
        <v>1.0919491398260616E-6</v>
      </c>
      <c r="E60" s="121">
        <v>5.9228481650293405E-4</v>
      </c>
      <c r="F60" s="124">
        <v>7.3909158157981015E-3</v>
      </c>
      <c r="G60" s="65">
        <v>-2.6571964112535089E-2</v>
      </c>
      <c r="H60" s="65">
        <v>-0.15318598573541126</v>
      </c>
      <c r="I60" s="65">
        <v>-5.1642971228325098E-3</v>
      </c>
      <c r="J60" s="65">
        <v>4.4334135134938987E-2</v>
      </c>
      <c r="K60" s="65">
        <v>1</v>
      </c>
      <c r="L60" s="65">
        <v>-0.38876378099682068</v>
      </c>
      <c r="M60" s="65">
        <v>0.99999999999999423</v>
      </c>
      <c r="N60" s="66"/>
      <c r="O60" s="67"/>
      <c r="Q60" s="51" t="str">
        <f t="shared" si="25"/>
        <v>Onroerend goed</v>
      </c>
      <c r="R60" s="72">
        <f t="shared" si="26"/>
        <v>1.0919491398260616E-6</v>
      </c>
      <c r="S60" s="52">
        <f t="shared" si="27"/>
        <v>3.296669752539224E-3</v>
      </c>
      <c r="T60" s="52">
        <f t="shared" si="28"/>
        <v>4.0931541141190509E-3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82" t="s">
        <v>64</v>
      </c>
      <c r="E62" s="383"/>
      <c r="F62" s="384"/>
      <c r="G62" s="382" t="s">
        <v>65</v>
      </c>
      <c r="H62" s="383"/>
      <c r="I62" s="383"/>
      <c r="J62" s="383"/>
      <c r="K62" s="383"/>
      <c r="L62" s="383"/>
      <c r="M62" s="383"/>
      <c r="N62" s="384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0.60444411224082806</v>
      </c>
      <c r="H63" s="272">
        <v>0.21551090038806886</v>
      </c>
      <c r="I63" s="272">
        <v>0.14193018396222334</v>
      </c>
      <c r="J63" s="272">
        <v>2.9821104191175563E-2</v>
      </c>
      <c r="K63" s="272">
        <v>5.4176575886866196E-3</v>
      </c>
      <c r="L63" s="272">
        <v>2.8760416290173341E-3</v>
      </c>
      <c r="M63" s="272">
        <v>0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8.9625819618349381E-2</v>
      </c>
      <c r="C64" s="118">
        <v>8.1136795612627211E-2</v>
      </c>
      <c r="D64" s="119">
        <v>9.1716822192661005E-3</v>
      </c>
      <c r="E64" s="117">
        <v>6.9616754847287923E-2</v>
      </c>
      <c r="F64" s="120">
        <v>0.17527348109463753</v>
      </c>
      <c r="G64" s="2">
        <v>-0.20416681602113909</v>
      </c>
      <c r="H64" s="2">
        <v>-0.90599617168438362</v>
      </c>
      <c r="I64" s="2">
        <v>-0.79626431293352873</v>
      </c>
      <c r="J64" s="2">
        <v>-0.15228416599352784</v>
      </c>
      <c r="K64" s="2">
        <v>-0.20917600452636406</v>
      </c>
      <c r="L64" s="2">
        <v>-0.14665705526676487</v>
      </c>
      <c r="M64" s="2">
        <v>0.99999999999999434</v>
      </c>
      <c r="N64" s="57"/>
      <c r="O64" s="67"/>
      <c r="Q64" s="51" t="str">
        <f t="shared" ref="Q64:Q70" si="32">A64</f>
        <v>High Yield</v>
      </c>
      <c r="R64" s="72">
        <f>D64</f>
        <v>9.1716822192661005E-3</v>
      </c>
      <c r="S64" s="52">
        <f>B64-D64</f>
        <v>8.0454137399083275E-2</v>
      </c>
      <c r="T64" s="52">
        <f>F64-B64</f>
        <v>8.5647661476288148E-2</v>
      </c>
      <c r="U64" s="52"/>
    </row>
    <row r="65" spans="1:24">
      <c r="A65" s="59" t="str">
        <f t="shared" si="31"/>
        <v>Emerging market debt</v>
      </c>
      <c r="B65" s="117">
        <v>2.9463950623503994E-2</v>
      </c>
      <c r="C65" s="118">
        <v>3.3207154316228102E-2</v>
      </c>
      <c r="D65" s="119">
        <v>2.413350528378893E-3</v>
      </c>
      <c r="E65" s="117">
        <v>1.6479934515727167E-2</v>
      </c>
      <c r="F65" s="120">
        <v>6.1571633858454669E-2</v>
      </c>
      <c r="G65" s="2">
        <v>-3.0861401098590028E-3</v>
      </c>
      <c r="H65" s="2">
        <v>1.3431824964645384E-3</v>
      </c>
      <c r="I65" s="2">
        <v>0.15796608549825461</v>
      </c>
      <c r="J65" s="2">
        <v>1</v>
      </c>
      <c r="K65" s="2">
        <v>-0.21073788182376466</v>
      </c>
      <c r="L65" s="2">
        <v>-0.12064869304772036</v>
      </c>
      <c r="M65" s="2">
        <v>0.99999999999999656</v>
      </c>
      <c r="N65" s="57"/>
      <c r="O65" s="67"/>
      <c r="Q65" s="51" t="str">
        <f t="shared" si="32"/>
        <v>Emerging market debt</v>
      </c>
      <c r="R65" s="72">
        <f t="shared" ref="R65:R70" si="33">D65</f>
        <v>2.413350528378893E-3</v>
      </c>
      <c r="S65" s="52">
        <f t="shared" ref="S65:S70" si="34">B65-D65</f>
        <v>2.70506000951251E-2</v>
      </c>
      <c r="T65" s="52">
        <f t="shared" ref="T65:T70" si="35">F65-B65</f>
        <v>3.2107683234950675E-2</v>
      </c>
      <c r="U65" s="52"/>
    </row>
    <row r="66" spans="1:24">
      <c r="A66" s="59" t="str">
        <f t="shared" si="31"/>
        <v>Aandelen ontwikkeld</v>
      </c>
      <c r="B66" s="117">
        <v>1.0338556020347009E-2</v>
      </c>
      <c r="C66" s="118">
        <v>1.3968736176164115E-2</v>
      </c>
      <c r="D66" s="119">
        <v>1.9205328670116194E-4</v>
      </c>
      <c r="E66" s="117">
        <v>5.0218545890786011E-3</v>
      </c>
      <c r="F66" s="120">
        <v>2.056563491486995E-2</v>
      </c>
      <c r="G66" s="2">
        <v>7.513347995764301E-3</v>
      </c>
      <c r="H66" s="2">
        <v>-7.9229412882475259E-3</v>
      </c>
      <c r="I66" s="2">
        <v>3.2507613456943869E-2</v>
      </c>
      <c r="J66" s="2">
        <v>-8.6428009715720927E-3</v>
      </c>
      <c r="K66" s="2">
        <v>1</v>
      </c>
      <c r="L66" s="2">
        <v>-0.27519437588178919</v>
      </c>
      <c r="M66" s="2">
        <v>0.99999999999999722</v>
      </c>
      <c r="N66" s="57"/>
      <c r="O66" s="67"/>
      <c r="Q66" s="51" t="str">
        <f t="shared" si="32"/>
        <v>Aandelen ontwikkeld</v>
      </c>
      <c r="R66" s="72">
        <f t="shared" si="33"/>
        <v>1.9205328670116194E-4</v>
      </c>
      <c r="S66" s="52">
        <f t="shared" si="34"/>
        <v>1.0146502733645847E-2</v>
      </c>
      <c r="T66" s="52">
        <f t="shared" si="35"/>
        <v>1.0227078894522941E-2</v>
      </c>
      <c r="U66" s="52"/>
    </row>
    <row r="67" spans="1:24">
      <c r="A67" s="59" t="str">
        <f t="shared" si="31"/>
        <v>Aandelen opkomend</v>
      </c>
      <c r="B67" s="117">
        <v>7.5822663292113854E-3</v>
      </c>
      <c r="C67" s="118">
        <v>1.0378728218922353E-2</v>
      </c>
      <c r="D67" s="119">
        <v>7.36659164726458E-5</v>
      </c>
      <c r="E67" s="117">
        <v>3.0940459267541948E-3</v>
      </c>
      <c r="F67" s="120">
        <v>1.5160107805331868E-2</v>
      </c>
      <c r="G67" s="2">
        <v>-3.162989110743111E-3</v>
      </c>
      <c r="H67" s="2">
        <v>-6.5705548161145754E-3</v>
      </c>
      <c r="I67" s="2">
        <v>1.525791715460543E-2</v>
      </c>
      <c r="J67" s="2">
        <v>-2.9257777360377109E-2</v>
      </c>
      <c r="K67" s="2">
        <v>0.11298024581110427</v>
      </c>
      <c r="L67" s="2">
        <v>1</v>
      </c>
      <c r="M67" s="2">
        <v>1</v>
      </c>
      <c r="N67" s="57"/>
      <c r="O67" s="67"/>
      <c r="Q67" s="51" t="str">
        <f t="shared" si="32"/>
        <v>Aandelen opkomend</v>
      </c>
      <c r="R67" s="72">
        <f t="shared" si="33"/>
        <v>7.36659164726458E-5</v>
      </c>
      <c r="S67" s="52">
        <f t="shared" si="34"/>
        <v>7.5086004127387397E-3</v>
      </c>
      <c r="T67" s="52">
        <f t="shared" si="35"/>
        <v>7.5778414761204825E-3</v>
      </c>
      <c r="U67" s="52"/>
    </row>
    <row r="68" spans="1:24">
      <c r="A68" s="59" t="str">
        <f t="shared" si="31"/>
        <v>Commodities</v>
      </c>
      <c r="B68" s="117">
        <v>0.15335104647732223</v>
      </c>
      <c r="C68" s="118">
        <v>7.1396770368264223E-2</v>
      </c>
      <c r="D68" s="119">
        <v>7.7359174010853834E-2</v>
      </c>
      <c r="E68" s="117">
        <v>0.1543317422745171</v>
      </c>
      <c r="F68" s="120">
        <v>0.22285494740528322</v>
      </c>
      <c r="G68" s="2">
        <v>-0.21636199558135155</v>
      </c>
      <c r="H68" s="2">
        <v>-0.39187138399825117</v>
      </c>
      <c r="I68" s="2">
        <v>1</v>
      </c>
      <c r="J68" s="2">
        <v>-0.36741534867377634</v>
      </c>
      <c r="K68" s="2">
        <v>-0.25550855060020783</v>
      </c>
      <c r="L68" s="2">
        <v>-0.16418215388328578</v>
      </c>
      <c r="M68" s="2">
        <v>0.99999999999999434</v>
      </c>
      <c r="N68" s="57"/>
      <c r="O68" s="67"/>
      <c r="Q68" s="51" t="str">
        <f t="shared" si="32"/>
        <v>Commodities</v>
      </c>
      <c r="R68" s="72">
        <f t="shared" si="33"/>
        <v>7.7359174010853834E-2</v>
      </c>
      <c r="S68" s="52">
        <f t="shared" si="34"/>
        <v>7.5991872466468394E-2</v>
      </c>
      <c r="T68" s="52">
        <f t="shared" si="35"/>
        <v>6.9503900927960993E-2</v>
      </c>
      <c r="U68" s="52"/>
    </row>
    <row r="69" spans="1:24">
      <c r="A69" s="59" t="str">
        <f t="shared" si="31"/>
        <v>Hedge funds</v>
      </c>
      <c r="B69" s="117">
        <v>0.12761332341048182</v>
      </c>
      <c r="C69" s="118">
        <v>0.10412110142754794</v>
      </c>
      <c r="D69" s="119">
        <v>1.9377809612350961E-2</v>
      </c>
      <c r="E69" s="117">
        <v>0.10452010306653967</v>
      </c>
      <c r="F69" s="120">
        <v>0.23634605674113651</v>
      </c>
      <c r="G69" s="2">
        <v>-0.58073540717267136</v>
      </c>
      <c r="H69" s="2">
        <v>1</v>
      </c>
      <c r="I69" s="2">
        <v>-0.29324963068278115</v>
      </c>
      <c r="J69" s="2">
        <v>-0.21184592221042089</v>
      </c>
      <c r="K69" s="2">
        <v>-0.20987845865219049</v>
      </c>
      <c r="L69" s="2">
        <v>-0.14721674471453397</v>
      </c>
      <c r="M69" s="2">
        <v>0.99999999999999456</v>
      </c>
      <c r="N69" s="57"/>
      <c r="O69" s="67"/>
      <c r="Q69" s="51" t="str">
        <f t="shared" si="32"/>
        <v>Hedge funds</v>
      </c>
      <c r="R69" s="72">
        <f t="shared" si="33"/>
        <v>1.9377809612350961E-2</v>
      </c>
      <c r="S69" s="52">
        <f t="shared" si="34"/>
        <v>0.10823551379813086</v>
      </c>
      <c r="T69" s="52">
        <f t="shared" si="35"/>
        <v>0.1087327333306547</v>
      </c>
      <c r="U69" s="52"/>
      <c r="X69" s="51"/>
    </row>
    <row r="70" spans="1:24">
      <c r="A70" s="60" t="str">
        <f t="shared" si="31"/>
        <v>Onroerend goed</v>
      </c>
      <c r="B70" s="121">
        <v>0.58202503752078294</v>
      </c>
      <c r="C70" s="122">
        <v>0.13617423854661767</v>
      </c>
      <c r="D70" s="123">
        <v>0.44071801375367303</v>
      </c>
      <c r="E70" s="121">
        <v>0.57154240355876607</v>
      </c>
      <c r="F70" s="124">
        <v>0.72526108585825777</v>
      </c>
      <c r="G70" s="65">
        <v>1</v>
      </c>
      <c r="H70" s="65">
        <v>0.31101786929053249</v>
      </c>
      <c r="I70" s="65">
        <v>-0.11621767249349473</v>
      </c>
      <c r="J70" s="65">
        <v>-0.2305539847903274</v>
      </c>
      <c r="K70" s="65">
        <v>-0.22767935020858118</v>
      </c>
      <c r="L70" s="65">
        <v>-0.14610097720591042</v>
      </c>
      <c r="M70" s="65">
        <v>0.99999999999999434</v>
      </c>
      <c r="N70" s="66"/>
      <c r="O70" s="67"/>
      <c r="P70" s="72"/>
      <c r="Q70" s="51" t="str">
        <f t="shared" si="32"/>
        <v>Onroerend goed</v>
      </c>
      <c r="R70" s="72">
        <f t="shared" si="33"/>
        <v>0.44071801375367303</v>
      </c>
      <c r="S70" s="52">
        <f t="shared" si="34"/>
        <v>0.14130702376710991</v>
      </c>
      <c r="T70" s="52">
        <f t="shared" si="35"/>
        <v>0.14323604833747483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82" t="s">
        <v>64</v>
      </c>
      <c r="E72" s="383"/>
      <c r="F72" s="384"/>
      <c r="G72" s="382" t="s">
        <v>65</v>
      </c>
      <c r="H72" s="383"/>
      <c r="I72" s="383"/>
      <c r="J72" s="383"/>
      <c r="K72" s="383"/>
      <c r="L72" s="383"/>
      <c r="M72" s="383"/>
      <c r="N72" s="384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0.78723362071865766</v>
      </c>
      <c r="H73" s="272">
        <v>0.15012123615884032</v>
      </c>
      <c r="I73" s="272">
        <v>4.540158564090524E-2</v>
      </c>
      <c r="J73" s="272">
        <v>9.6792571413789608E-3</v>
      </c>
      <c r="K73" s="272">
        <v>7.2178876366676414E-3</v>
      </c>
      <c r="L73" s="272">
        <v>3.4641270355362241E-4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0.51571412139342521</v>
      </c>
      <c r="C74" s="118">
        <v>0.11969376531947927</v>
      </c>
      <c r="D74" s="119">
        <v>0.39694230539051029</v>
      </c>
      <c r="E74" s="117">
        <v>0.50346534855609359</v>
      </c>
      <c r="F74" s="120">
        <v>0.6337540093374493</v>
      </c>
      <c r="G74" s="2">
        <v>1</v>
      </c>
      <c r="H74" s="2">
        <v>-0.39935557959896301</v>
      </c>
      <c r="I74" s="2">
        <v>-0.35683162347925118</v>
      </c>
      <c r="J74" s="2">
        <v>-0.31858182314526712</v>
      </c>
      <c r="K74" s="2">
        <v>-0.12592654951832899</v>
      </c>
      <c r="L74" s="2">
        <v>-0.16826964980090811</v>
      </c>
      <c r="M74" s="2">
        <v>0.99999999999997624</v>
      </c>
      <c r="N74" s="57"/>
      <c r="O74" s="67"/>
      <c r="P74" s="72"/>
      <c r="Q74" s="51" t="str">
        <f t="shared" ref="Q74:Q80" si="37">A74</f>
        <v>High Yield</v>
      </c>
      <c r="R74" s="72">
        <f>D74</f>
        <v>0.39694230539051029</v>
      </c>
      <c r="S74" s="52">
        <f>B74-D74</f>
        <v>0.11877181600291492</v>
      </c>
      <c r="T74" s="52">
        <f>F74-B74</f>
        <v>0.11803988794402409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7.6864263113598633E-2</v>
      </c>
      <c r="C75" s="118">
        <v>5.9041095164082305E-2</v>
      </c>
      <c r="D75" s="119">
        <v>1.9051202688133765E-2</v>
      </c>
      <c r="E75" s="117">
        <v>6.2222466767575271E-2</v>
      </c>
      <c r="F75" s="120">
        <v>0.13819809025504051</v>
      </c>
      <c r="G75" s="2">
        <v>-0.11292442821002117</v>
      </c>
      <c r="H75" s="2">
        <v>1</v>
      </c>
      <c r="I75" s="2">
        <v>-0.35794057590613287</v>
      </c>
      <c r="J75" s="2">
        <v>-0.28569600043955923</v>
      </c>
      <c r="K75" s="2">
        <v>-0.10098025918772725</v>
      </c>
      <c r="L75" s="2">
        <v>-0.16611156966948709</v>
      </c>
      <c r="M75" s="2">
        <v>0.99999999999997591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1.9051202688133765E-2</v>
      </c>
      <c r="S75" s="52">
        <f t="shared" ref="S75:S80" si="39">B75-D75</f>
        <v>5.7813060425464871E-2</v>
      </c>
      <c r="T75" s="52">
        <f t="shared" ref="T75:T80" si="40">F75-B75</f>
        <v>6.133382714144188E-2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2.4519768502270362E-3</v>
      </c>
      <c r="C76" s="118">
        <v>3.0704662312096682E-3</v>
      </c>
      <c r="D76" s="119">
        <v>1.4149313951579561E-4</v>
      </c>
      <c r="E76" s="117">
        <v>1.2786767612599332E-3</v>
      </c>
      <c r="F76" s="120">
        <v>4.7235172522443018E-3</v>
      </c>
      <c r="G76" s="2">
        <v>1.1734401679881587E-3</v>
      </c>
      <c r="H76" s="2">
        <v>-9.339694835443867E-4</v>
      </c>
      <c r="I76" s="2">
        <v>7.6781549008759116E-3</v>
      </c>
      <c r="J76" s="2">
        <v>-1.2085284327492054E-2</v>
      </c>
      <c r="K76" s="2">
        <v>1.0080139673042325E-3</v>
      </c>
      <c r="L76" s="2">
        <v>1</v>
      </c>
      <c r="M76" s="2">
        <v>1</v>
      </c>
      <c r="N76" s="57"/>
      <c r="O76" s="67"/>
      <c r="Q76" s="51" t="str">
        <f t="shared" si="37"/>
        <v>Aandelen ontwikkeld</v>
      </c>
      <c r="R76" s="72">
        <f t="shared" si="38"/>
        <v>1.4149313951579561E-4</v>
      </c>
      <c r="S76" s="52">
        <f t="shared" si="39"/>
        <v>2.3104837107112406E-3</v>
      </c>
      <c r="T76" s="52">
        <f t="shared" si="40"/>
        <v>2.2715404020172657E-3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3.9883696411919321E-2</v>
      </c>
      <c r="C77" s="118">
        <v>3.2832192742030197E-2</v>
      </c>
      <c r="D77" s="119">
        <v>7.021737071949934E-3</v>
      </c>
      <c r="E77" s="117">
        <v>3.1581031737449958E-2</v>
      </c>
      <c r="F77" s="120">
        <v>7.4982946894741331E-2</v>
      </c>
      <c r="G77" s="2">
        <v>1.9741682293450608E-2</v>
      </c>
      <c r="H77" s="2">
        <v>2.5370445435356426E-2</v>
      </c>
      <c r="I77" s="2">
        <v>1</v>
      </c>
      <c r="J77" s="2">
        <v>-0.35000809281870454</v>
      </c>
      <c r="K77" s="2">
        <v>-0.15012592084136603</v>
      </c>
      <c r="L77" s="2">
        <v>-0.1763774083912813</v>
      </c>
      <c r="M77" s="2">
        <v>0.99999999999997657</v>
      </c>
      <c r="N77" s="57"/>
      <c r="O77" s="67"/>
      <c r="Q77" s="51" t="str">
        <f t="shared" si="37"/>
        <v>Aandelen opkomend</v>
      </c>
      <c r="R77" s="72">
        <f t="shared" si="38"/>
        <v>7.021737071949934E-3</v>
      </c>
      <c r="S77" s="52">
        <f t="shared" si="39"/>
        <v>3.2861959339969389E-2</v>
      </c>
      <c r="T77" s="52">
        <f t="shared" si="40"/>
        <v>3.509925048282201E-2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1.3895873203692037E-2</v>
      </c>
      <c r="C78" s="118">
        <v>1.423301086554046E-2</v>
      </c>
      <c r="D78" s="119">
        <v>1.1877488317298746E-3</v>
      </c>
      <c r="E78" s="117">
        <v>9.6031665649047408E-3</v>
      </c>
      <c r="F78" s="120">
        <v>2.643474936683626E-2</v>
      </c>
      <c r="G78" s="2">
        <v>-1.6880788028711343E-2</v>
      </c>
      <c r="H78" s="2">
        <v>-3.8240154264648669E-2</v>
      </c>
      <c r="I78" s="2">
        <v>2.5752804750249284E-2</v>
      </c>
      <c r="J78" s="2">
        <v>0.30121940640774131</v>
      </c>
      <c r="K78" s="2">
        <v>1</v>
      </c>
      <c r="L78" s="2">
        <v>-0.1649706299803009</v>
      </c>
      <c r="M78" s="2">
        <v>0.99999999999997835</v>
      </c>
      <c r="N78" s="57"/>
      <c r="O78" s="67"/>
      <c r="Q78" s="51" t="str">
        <f t="shared" si="37"/>
        <v>Commodities</v>
      </c>
      <c r="R78" s="72">
        <f t="shared" si="38"/>
        <v>1.1877488317298746E-3</v>
      </c>
      <c r="S78" s="52">
        <f t="shared" si="39"/>
        <v>1.2708124371962162E-2</v>
      </c>
      <c r="T78" s="52">
        <f t="shared" si="40"/>
        <v>1.2538876163144223E-2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0.33371496460563049</v>
      </c>
      <c r="C79" s="118">
        <v>0.10969736545630185</v>
      </c>
      <c r="D79" s="119">
        <v>0.22270817306180651</v>
      </c>
      <c r="E79" s="117">
        <v>0.34250822408531278</v>
      </c>
      <c r="F79" s="120">
        <v>0.44388562665785358</v>
      </c>
      <c r="G79" s="2">
        <v>-0.89106642814849613</v>
      </c>
      <c r="H79" s="2">
        <v>-0.5736207016963939</v>
      </c>
      <c r="I79" s="2">
        <v>-0.33341629349412055</v>
      </c>
      <c r="J79" s="2">
        <v>-0.33484820567672052</v>
      </c>
      <c r="K79" s="2">
        <v>-0.15077010715832612</v>
      </c>
      <c r="L79" s="2">
        <v>-0.1672473301093429</v>
      </c>
      <c r="M79" s="2">
        <v>0.99999999999997591</v>
      </c>
      <c r="N79" s="57"/>
      <c r="O79" s="67"/>
      <c r="Q79" s="51" t="str">
        <f t="shared" si="37"/>
        <v>Hedge funds</v>
      </c>
      <c r="R79" s="72">
        <f t="shared" si="38"/>
        <v>0.22270817306180651</v>
      </c>
      <c r="S79" s="52">
        <f t="shared" si="39"/>
        <v>0.11100679154382398</v>
      </c>
      <c r="T79" s="52">
        <f t="shared" si="40"/>
        <v>0.11017066205222309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1.747510442150696E-2</v>
      </c>
      <c r="C80" s="122">
        <v>1.5539570062443513E-2</v>
      </c>
      <c r="D80" s="123">
        <v>2.7730334842773915E-3</v>
      </c>
      <c r="E80" s="121">
        <v>1.3537530513156204E-2</v>
      </c>
      <c r="F80" s="124">
        <v>3.1293407005354816E-2</v>
      </c>
      <c r="G80" s="65">
        <v>-4.3478074210346275E-5</v>
      </c>
      <c r="H80" s="65">
        <v>-1.3220040391806126E-2</v>
      </c>
      <c r="I80" s="65">
        <v>1.4757533228378717E-2</v>
      </c>
      <c r="J80" s="65">
        <v>1</v>
      </c>
      <c r="K80" s="65">
        <v>-0.47320517726155725</v>
      </c>
      <c r="L80" s="65">
        <v>-0.15702341204870324</v>
      </c>
      <c r="M80" s="65">
        <v>0.99999999999997768</v>
      </c>
      <c r="N80" s="66"/>
      <c r="O80" s="67"/>
      <c r="Q80" s="51" t="str">
        <f t="shared" si="37"/>
        <v>Onroerend goed</v>
      </c>
      <c r="R80" s="72">
        <f t="shared" si="38"/>
        <v>2.7730334842773915E-3</v>
      </c>
      <c r="S80" s="52">
        <f t="shared" si="39"/>
        <v>1.4702070937229568E-2</v>
      </c>
      <c r="T80" s="52">
        <f t="shared" si="40"/>
        <v>1.3818302583847857E-2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2:F2"/>
    <mergeCell ref="G2:N2"/>
    <mergeCell ref="D12:F12"/>
    <mergeCell ref="G12:N12"/>
    <mergeCell ref="D22:F22"/>
    <mergeCell ref="G22:N22"/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79"/>
  <sheetViews>
    <sheetView zoomScale="85" zoomScaleNormal="85" workbookViewId="0">
      <selection activeCell="L23" sqref="L23"/>
    </sheetView>
  </sheetViews>
  <sheetFormatPr defaultRowHeight="15" outlineLevelCol="1"/>
  <cols>
    <col min="1" max="1" width="9.140625" style="332"/>
    <col min="2" max="2" width="22.28515625" style="332" bestFit="1" customWidth="1"/>
    <col min="3" max="4" width="12.7109375" style="332" customWidth="1"/>
    <col min="5" max="6" width="12.7109375" style="332" customWidth="1" outlineLevel="1"/>
    <col min="7" max="10" width="12.7109375" style="332" customWidth="1"/>
    <col min="11" max="11" width="21" style="210" customWidth="1"/>
    <col min="12" max="12" width="18.140625" style="332" bestFit="1" customWidth="1"/>
    <col min="13" max="13" width="26.85546875" style="332" customWidth="1"/>
    <col min="14" max="17" width="9.140625" style="332"/>
    <col min="18" max="18" width="10.85546875" style="332" customWidth="1"/>
    <col min="19" max="37" width="9.140625" style="210"/>
    <col min="38" max="16384" width="9.140625" style="332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56" t="s">
        <v>115</v>
      </c>
      <c r="C2" s="317" t="s">
        <v>70</v>
      </c>
      <c r="D2" s="306" t="s">
        <v>112</v>
      </c>
      <c r="E2" s="306" t="s">
        <v>147</v>
      </c>
      <c r="F2" s="306" t="s">
        <v>148</v>
      </c>
      <c r="G2" s="306" t="s">
        <v>113</v>
      </c>
      <c r="H2" s="306" t="s">
        <v>114</v>
      </c>
      <c r="I2" s="306" t="s">
        <v>128</v>
      </c>
      <c r="J2" s="317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57" t="s">
        <v>4</v>
      </c>
      <c r="C3" s="318">
        <f>+Scenarios!B24</f>
        <v>0</v>
      </c>
      <c r="D3" s="85">
        <f>+Scenarios!C24</f>
        <v>-1.5814187202246897E-2</v>
      </c>
      <c r="E3" s="85">
        <f>+Scenarios!D24</f>
        <v>-2.2345199168589305E-2</v>
      </c>
      <c r="F3" s="85">
        <f>+Scenarios!E24</f>
        <v>-1.2548681219075715E-2</v>
      </c>
      <c r="G3" s="85">
        <f>+Scenarios!F24</f>
        <v>-3.4590846605481285E-2</v>
      </c>
      <c r="H3" s="85">
        <f>+Scenarios!G24</f>
        <v>-0.29273266768551542</v>
      </c>
      <c r="I3" s="85">
        <f>+Scenarios!H24</f>
        <v>-1.2114622673173481E-2</v>
      </c>
      <c r="J3" s="318">
        <f>Scenarios!D4</f>
        <v>4.3214826708651545E-2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57" t="s">
        <v>5</v>
      </c>
      <c r="C4" s="318">
        <f>+Scenarios!B25</f>
        <v>0.03</v>
      </c>
      <c r="D4" s="85">
        <f>+Scenarios!C25</f>
        <v>3.7091344896853895E-2</v>
      </c>
      <c r="E4" s="85">
        <f>+Scenarios!D25</f>
        <v>-6.3296292109812774E-2</v>
      </c>
      <c r="F4" s="85">
        <f>+Scenarios!E25</f>
        <v>0.10801699223685385</v>
      </c>
      <c r="G4" s="85">
        <f>+Scenarios!F25</f>
        <v>-0.3928734479964795</v>
      </c>
      <c r="H4" s="85">
        <f>+Scenarios!G25</f>
        <v>-0.41654304969647948</v>
      </c>
      <c r="I4" s="85">
        <f>+Scenarios!H25</f>
        <v>0.31953047890352049</v>
      </c>
      <c r="J4" s="318">
        <f>Scenarios!D5</f>
        <v>0.15823890359343337</v>
      </c>
      <c r="L4" s="210"/>
      <c r="M4" s="346" t="s">
        <v>131</v>
      </c>
      <c r="N4" s="347" t="s">
        <v>132</v>
      </c>
      <c r="O4" s="347" t="s">
        <v>91</v>
      </c>
      <c r="P4" s="347" t="s">
        <v>92</v>
      </c>
      <c r="Q4" s="347" t="s">
        <v>133</v>
      </c>
      <c r="R4" s="348" t="s">
        <v>145</v>
      </c>
    </row>
    <row r="5" spans="1:18" ht="15.75">
      <c r="A5" s="210"/>
      <c r="B5" s="357" t="s">
        <v>6</v>
      </c>
      <c r="C5" s="318">
        <f>+Scenarios!B26</f>
        <v>3.1705382280009728E-2</v>
      </c>
      <c r="D5" s="85">
        <f>+Scenarios!C26</f>
        <v>2.8956559002887815E-2</v>
      </c>
      <c r="E5" s="85">
        <f>+Scenarios!D26</f>
        <v>-4.7769977807847905E-2</v>
      </c>
      <c r="F5" s="85">
        <f>+Scenarios!E26</f>
        <v>5.063245091407538E-2</v>
      </c>
      <c r="G5" s="85">
        <f>+Scenarios!F26</f>
        <v>-0.39219451345955136</v>
      </c>
      <c r="H5" s="85">
        <f>+Scenarios!G26</f>
        <v>-0.18339603021235151</v>
      </c>
      <c r="I5" s="85">
        <f>+Scenarios!H26</f>
        <v>0.28503634041301795</v>
      </c>
      <c r="J5" s="318">
        <f>Scenarios!D6</f>
        <v>0.168148277471422</v>
      </c>
      <c r="L5" s="210"/>
      <c r="M5" s="349"/>
      <c r="N5" s="350"/>
      <c r="O5" s="350"/>
      <c r="P5" s="350"/>
      <c r="Q5" s="350"/>
      <c r="R5" s="351"/>
    </row>
    <row r="6" spans="1:18" ht="15.75">
      <c r="A6" s="210"/>
      <c r="B6" s="357" t="s">
        <v>7</v>
      </c>
      <c r="C6" s="318">
        <f>+Scenarios!B27</f>
        <v>5.7210243741557129E-2</v>
      </c>
      <c r="D6" s="85">
        <f>+Scenarios!C27</f>
        <v>-7.0207416604689673E-3</v>
      </c>
      <c r="E6" s="85">
        <f>+Scenarios!D27</f>
        <v>-0.18604628076301943</v>
      </c>
      <c r="F6" s="85">
        <f>+Scenarios!E27</f>
        <v>8.4300303146984695E-2</v>
      </c>
      <c r="G6" s="85">
        <f>+Scenarios!F27</f>
        <v>-0.55280134539344339</v>
      </c>
      <c r="H6" s="85">
        <f>+Scenarios!G27</f>
        <v>-0.46447856989823566</v>
      </c>
      <c r="I6" s="85">
        <f>+Scenarios!H27</f>
        <v>0.46156602820227344</v>
      </c>
      <c r="J6" s="318">
        <f>Scenarios!D7</f>
        <v>0.29001927694608043</v>
      </c>
      <c r="L6" s="210"/>
      <c r="M6" s="344" t="s">
        <v>4</v>
      </c>
      <c r="N6" s="339">
        <f>+'Control panel'!$B3</f>
        <v>0.59460926292655603</v>
      </c>
      <c r="O6" s="339">
        <f>+'Control panel'!$C3</f>
        <v>0</v>
      </c>
      <c r="P6" s="339">
        <f>+'Control panel'!$D3</f>
        <v>1</v>
      </c>
      <c r="Q6" s="339">
        <f>+'Control panel'!$F3</f>
        <v>0.43874621076936754</v>
      </c>
      <c r="R6" s="341">
        <f t="shared" ref="R6:R13" si="0">+Q6-N6</f>
        <v>-0.15586305215718849</v>
      </c>
    </row>
    <row r="7" spans="1:18" ht="15.75">
      <c r="A7" s="210"/>
      <c r="B7" s="357" t="s">
        <v>8</v>
      </c>
      <c r="C7" s="318">
        <f>+Scenarios!B28</f>
        <v>5.5668448282861861E-2</v>
      </c>
      <c r="D7" s="85">
        <f>+Scenarios!C28</f>
        <v>5.995264087409511E-2</v>
      </c>
      <c r="E7" s="85">
        <f>+Scenarios!D28</f>
        <v>-6.9881478458451565E-2</v>
      </c>
      <c r="F7" s="85">
        <f>+Scenarios!E28</f>
        <v>0.12656751240399325</v>
      </c>
      <c r="G7" s="85">
        <f>+Scenarios!F28</f>
        <v>-0.38124920785250294</v>
      </c>
      <c r="H7" s="85">
        <f>+Scenarios!G28</f>
        <v>-0.25955043219214274</v>
      </c>
      <c r="I7" s="85">
        <f>+Scenarios!H28</f>
        <v>0.42480121988631425</v>
      </c>
      <c r="J7" s="318">
        <f>Scenarios!D8</f>
        <v>0.29774487154665702</v>
      </c>
      <c r="L7" s="210"/>
      <c r="M7" s="344" t="s">
        <v>5</v>
      </c>
      <c r="N7" s="339">
        <f>+'Control panel'!$B4</f>
        <v>7.3502607897390396E-2</v>
      </c>
      <c r="O7" s="339">
        <f>+'Control panel'!$C4</f>
        <v>0</v>
      </c>
      <c r="P7" s="339">
        <f>+'Control panel'!$D4</f>
        <v>1</v>
      </c>
      <c r="Q7" s="339">
        <f>+'Control panel'!$F4</f>
        <v>0.28772766470946015</v>
      </c>
      <c r="R7" s="341">
        <f t="shared" si="0"/>
        <v>0.21422505681206977</v>
      </c>
    </row>
    <row r="8" spans="1:18" ht="15.75">
      <c r="A8" s="210"/>
      <c r="B8" s="357" t="s">
        <v>9</v>
      </c>
      <c r="C8" s="318">
        <f>+Scenarios!B29</f>
        <v>5.4683067728185694E-2</v>
      </c>
      <c r="D8" s="85">
        <f>+Scenarios!C29</f>
        <v>7.203626561528087E-2</v>
      </c>
      <c r="E8" s="85">
        <f>+Scenarios!D29</f>
        <v>-2.2847077305702401E-2</v>
      </c>
      <c r="F8" s="85">
        <f>+Scenarios!E29</f>
        <v>0.11991050604096423</v>
      </c>
      <c r="G8" s="85">
        <f>+Scenarios!F29</f>
        <v>-0.51795450951236899</v>
      </c>
      <c r="H8" s="85">
        <f>+Scenarios!G29</f>
        <v>-0.56384711463070247</v>
      </c>
      <c r="I8" s="85">
        <f>+Scenarios!H29</f>
        <v>0.66436153607763093</v>
      </c>
      <c r="J8" s="318">
        <f>Scenarios!D9</f>
        <v>0.33576372020209261</v>
      </c>
      <c r="L8" s="210"/>
      <c r="M8" s="344" t="s">
        <v>6</v>
      </c>
      <c r="N8" s="339">
        <f>+'Control panel'!$B5</f>
        <v>8.232448256002324E-2</v>
      </c>
      <c r="O8" s="339">
        <f>+'Control panel'!$C5</f>
        <v>0</v>
      </c>
      <c r="P8" s="339">
        <f>+'Control panel'!$D5</f>
        <v>1</v>
      </c>
      <c r="Q8" s="339">
        <f>+'Control panel'!$F5</f>
        <v>4.3310062962067734E-2</v>
      </c>
      <c r="R8" s="342">
        <f t="shared" si="0"/>
        <v>-3.9014419597955506E-2</v>
      </c>
    </row>
    <row r="9" spans="1:18" ht="15.75">
      <c r="A9" s="210"/>
      <c r="B9" s="357" t="s">
        <v>10</v>
      </c>
      <c r="C9" s="318">
        <f>+Scenarios!B30</f>
        <v>2.9030049193200475E-2</v>
      </c>
      <c r="D9" s="85">
        <f>+Scenarios!C30</f>
        <v>2.2042435122490836E-2</v>
      </c>
      <c r="E9" s="85">
        <f>+Scenarios!D30</f>
        <v>-5.8098568330005394E-2</v>
      </c>
      <c r="F9" s="85">
        <f>+Scenarios!E30</f>
        <v>5.9612936848738904E-2</v>
      </c>
      <c r="G9" s="85">
        <f>+Scenarios!F30</f>
        <v>-0.22162743171483407</v>
      </c>
      <c r="H9" s="85">
        <f>+Scenarios!G30</f>
        <v>-1.0216188542192122E-2</v>
      </c>
      <c r="I9" s="85">
        <f>+Scenarios!H30</f>
        <v>0.31685576215825423</v>
      </c>
      <c r="J9" s="318">
        <f>Scenarios!D10</f>
        <v>0.1465180543940868</v>
      </c>
      <c r="L9" s="210"/>
      <c r="M9" s="344" t="s">
        <v>7</v>
      </c>
      <c r="N9" s="339">
        <f>+'Control panel'!$B6</f>
        <v>9.6683683628085992E-2</v>
      </c>
      <c r="O9" s="339">
        <f>+'Control panel'!$C6</f>
        <v>0</v>
      </c>
      <c r="P9" s="339">
        <f>+'Control panel'!$D6</f>
        <v>1</v>
      </c>
      <c r="Q9" s="339">
        <f>+'Control panel'!$F6</f>
        <v>1.3696757777154312E-3</v>
      </c>
      <c r="R9" s="342">
        <f t="shared" si="0"/>
        <v>-9.5314007850370558E-2</v>
      </c>
    </row>
    <row r="10" spans="1:18" ht="15.75">
      <c r="A10" s="210"/>
      <c r="B10" s="358" t="s">
        <v>11</v>
      </c>
      <c r="C10" s="319">
        <f>+Scenarios!B31</f>
        <v>3.8983857987503749E-2</v>
      </c>
      <c r="D10" s="309">
        <f>+Scenarios!C31</f>
        <v>2.0231202745045189E-2</v>
      </c>
      <c r="E10" s="309">
        <f>+Scenarios!D31</f>
        <v>-0.12499426713174636</v>
      </c>
      <c r="F10" s="309">
        <f>+Scenarios!E31</f>
        <v>8.6882053939412757E-2</v>
      </c>
      <c r="G10" s="309">
        <f>+Scenarios!F31</f>
        <v>-0.40201585901004655</v>
      </c>
      <c r="H10" s="309">
        <f>+Scenarios!G31</f>
        <v>-0.46743807153204797</v>
      </c>
      <c r="I10" s="309">
        <f>+Scenarios!H31</f>
        <v>0.45493204503823104</v>
      </c>
      <c r="J10" s="319">
        <f>Scenarios!D11</f>
        <v>0.19915957675666104</v>
      </c>
      <c r="L10" s="210"/>
      <c r="M10" s="344" t="s">
        <v>8</v>
      </c>
      <c r="N10" s="339">
        <f>+'Control panel'!$B7</f>
        <v>5.1500558015493796E-2</v>
      </c>
      <c r="O10" s="339">
        <f>+'Control panel'!$C7</f>
        <v>0</v>
      </c>
      <c r="P10" s="339">
        <f>+'Control panel'!$D7</f>
        <v>1</v>
      </c>
      <c r="Q10" s="339">
        <f>+'Control panel'!$F7</f>
        <v>2.189437606952184E-2</v>
      </c>
      <c r="R10" s="341">
        <f t="shared" si="0"/>
        <v>-2.9606181945971956E-2</v>
      </c>
    </row>
    <row r="11" spans="1:18" ht="15.75">
      <c r="A11" s="210"/>
      <c r="B11" s="84"/>
      <c r="C11" s="84"/>
      <c r="D11" s="84"/>
      <c r="E11" s="84"/>
      <c r="F11" s="84"/>
      <c r="G11" s="84"/>
      <c r="H11" s="84"/>
      <c r="I11" s="84"/>
      <c r="J11" s="84"/>
      <c r="L11" s="210"/>
      <c r="M11" s="344" t="s">
        <v>9</v>
      </c>
      <c r="N11" s="339">
        <f>+'Control panel'!$B8</f>
        <v>2.0640227417381859E-2</v>
      </c>
      <c r="O11" s="339">
        <f>+'Control panel'!$C8</f>
        <v>0</v>
      </c>
      <c r="P11" s="339">
        <f>+'Control panel'!$D8</f>
        <v>1</v>
      </c>
      <c r="Q11" s="339">
        <f>+'Control panel'!$F8</f>
        <v>7.7097626984247757E-3</v>
      </c>
      <c r="R11" s="342">
        <f t="shared" si="0"/>
        <v>-1.2930464718957084E-2</v>
      </c>
    </row>
    <row r="12" spans="1:18" ht="15.75">
      <c r="A12" s="210"/>
      <c r="B12" s="320" t="s">
        <v>123</v>
      </c>
      <c r="C12" s="325">
        <f>+Scenarios!B33</f>
        <v>0</v>
      </c>
      <c r="D12" s="311">
        <f>+Scenarios!C33</f>
        <v>1</v>
      </c>
      <c r="E12" s="311">
        <f>+Scenarios!D33</f>
        <v>0</v>
      </c>
      <c r="F12" s="311">
        <f>+Scenarios!E33</f>
        <v>0</v>
      </c>
      <c r="G12" s="311">
        <f>+Scenarios!F33</f>
        <v>0</v>
      </c>
      <c r="H12" s="311">
        <f>+Scenarios!G33</f>
        <v>0</v>
      </c>
      <c r="I12" s="326">
        <f>+Scenarios!H33</f>
        <v>0</v>
      </c>
      <c r="J12" s="327">
        <f>+Scenarios!I33</f>
        <v>1</v>
      </c>
      <c r="L12" s="210"/>
      <c r="M12" s="344" t="s">
        <v>10</v>
      </c>
      <c r="N12" s="339">
        <f>+'Control panel'!$B9</f>
        <v>3.219705746498288E-2</v>
      </c>
      <c r="O12" s="339">
        <f>+'Control panel'!$C9</f>
        <v>0</v>
      </c>
      <c r="P12" s="339">
        <f>+'Control panel'!$D9</f>
        <v>1</v>
      </c>
      <c r="Q12" s="339">
        <f>+'Control panel'!$F9</f>
        <v>0.1894304694511304</v>
      </c>
      <c r="R12" s="341">
        <f t="shared" si="0"/>
        <v>0.15723341198614751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44" t="s">
        <v>11</v>
      </c>
      <c r="N13" s="339">
        <f>+'Control panel'!$B10</f>
        <v>4.8542120090085711E-2</v>
      </c>
      <c r="O13" s="339">
        <f>+'Control panel'!$C10</f>
        <v>0</v>
      </c>
      <c r="P13" s="339">
        <f>+'Control panel'!$D10</f>
        <v>1</v>
      </c>
      <c r="Q13" s="339">
        <f>+'Control panel'!$F10</f>
        <v>9.8117775623121194E-3</v>
      </c>
      <c r="R13" s="341">
        <f t="shared" si="0"/>
        <v>-3.873034252777359E-2</v>
      </c>
    </row>
    <row r="14" spans="1:18" ht="15.75">
      <c r="A14" s="210"/>
      <c r="B14" s="320" t="s">
        <v>129</v>
      </c>
      <c r="C14" s="325">
        <f>+Scenarios!B35</f>
        <v>0</v>
      </c>
      <c r="D14" s="312">
        <f>+Scenarios!C35</f>
        <v>1.1220306663992513E-2</v>
      </c>
      <c r="E14" s="312">
        <f>+Scenarios!D35</f>
        <v>-4.4277921541374742E-2</v>
      </c>
      <c r="F14" s="312">
        <f>+Scenarios!E35</f>
        <v>4.3722721571922835E-2</v>
      </c>
      <c r="G14" s="312">
        <f>+Scenarios!F35</f>
        <v>-0.20422828878579163</v>
      </c>
      <c r="H14" s="312">
        <f>+Scenarios!G35</f>
        <v>-0.27341686431449402</v>
      </c>
      <c r="I14" s="313">
        <f>+Scenarios!H35</f>
        <v>0.17850830662197881</v>
      </c>
      <c r="J14" s="321">
        <f>+Scenarios!I35</f>
        <v>1.1220306663992513E-2</v>
      </c>
      <c r="L14" s="210"/>
      <c r="M14" s="345"/>
      <c r="N14" s="340"/>
      <c r="O14" s="340"/>
      <c r="P14" s="340"/>
      <c r="Q14" s="340"/>
      <c r="R14" s="343"/>
    </row>
    <row r="15" spans="1:18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8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L17" s="210"/>
      <c r="M17" s="210"/>
      <c r="N17" s="210"/>
      <c r="O17" s="210"/>
      <c r="P17" s="210"/>
      <c r="Q17" s="210"/>
      <c r="R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L18" s="210"/>
      <c r="M18" s="210"/>
      <c r="N18" s="210"/>
      <c r="O18" s="210"/>
      <c r="P18" s="210"/>
      <c r="Q18" s="210"/>
      <c r="R18" s="210"/>
    </row>
    <row r="19" spans="1:18">
      <c r="A19" s="210"/>
      <c r="B19" s="356" t="s">
        <v>101</v>
      </c>
      <c r="C19" s="317" t="s">
        <v>70</v>
      </c>
      <c r="D19" s="322" t="s">
        <v>112</v>
      </c>
      <c r="E19" s="306" t="s">
        <v>147</v>
      </c>
      <c r="F19" s="306" t="s">
        <v>148</v>
      </c>
      <c r="G19" s="306" t="s">
        <v>113</v>
      </c>
      <c r="H19" s="306" t="s">
        <v>114</v>
      </c>
      <c r="I19" s="306" t="s">
        <v>128</v>
      </c>
      <c r="J19" s="307" t="s">
        <v>146</v>
      </c>
      <c r="L19" s="210"/>
      <c r="M19" s="210"/>
      <c r="N19" s="210"/>
      <c r="O19" s="210"/>
      <c r="P19" s="210"/>
      <c r="Q19" s="210"/>
      <c r="R19" s="210"/>
    </row>
    <row r="20" spans="1:18">
      <c r="A20" s="210"/>
      <c r="B20" s="357" t="s">
        <v>4</v>
      </c>
      <c r="C20" s="318">
        <f>'Samenvatting mixen'!B4</f>
        <v>0.44883942244975361</v>
      </c>
      <c r="D20" s="323">
        <f>'Samenvatting mixen'!B15</f>
        <v>0.43874621076936754</v>
      </c>
      <c r="E20" s="85">
        <f>'Samenvatting mixen'!B26</f>
        <v>0.95871307599235223</v>
      </c>
      <c r="F20" s="85">
        <f>'Samenvatting mixen'!B37</f>
        <v>0.45218853573095297</v>
      </c>
      <c r="G20" s="85">
        <f>'Samenvatting mixen'!B48</f>
        <v>0.99951417899070383</v>
      </c>
      <c r="H20" s="85">
        <f>'Samenvatting mixen'!B59</f>
        <v>0.97125311385623225</v>
      </c>
      <c r="I20" s="85">
        <f>'Samenvatting mixen'!B70</f>
        <v>0.76863929604919268</v>
      </c>
      <c r="J20" s="308">
        <f>'[4]Control panel'!F3</f>
        <v>0.99933044801477622</v>
      </c>
      <c r="L20" s="210"/>
      <c r="M20" s="210"/>
      <c r="N20" s="210"/>
      <c r="O20" s="210"/>
      <c r="P20" s="210"/>
      <c r="Q20" s="210"/>
      <c r="R20" s="210"/>
    </row>
    <row r="21" spans="1:18">
      <c r="A21" s="210"/>
      <c r="B21" s="357" t="s">
        <v>5</v>
      </c>
      <c r="C21" s="318">
        <f>'Samenvatting mixen'!B5</f>
        <v>7.2871378783882668E-2</v>
      </c>
      <c r="D21" s="323">
        <f>'Samenvatting mixen'!B16</f>
        <v>0.28772766470946015</v>
      </c>
      <c r="E21" s="85">
        <f>'Samenvatting mixen'!B27</f>
        <v>2.0029829714612725E-3</v>
      </c>
      <c r="F21" s="85">
        <f>'Samenvatting mixen'!B38</f>
        <v>0.38923765810016869</v>
      </c>
      <c r="G21" s="85">
        <f>'Samenvatting mixen'!B49</f>
        <v>7.4207337686463823E-5</v>
      </c>
      <c r="H21" s="85">
        <f>'Samenvatting mixen'!B60</f>
        <v>1.1797918016353526E-4</v>
      </c>
      <c r="I21" s="85">
        <f>'Samenvatting mixen'!B71</f>
        <v>2.1036621931540853E-2</v>
      </c>
      <c r="J21" s="308">
        <f>'[4]Control panel'!F4</f>
        <v>5.9498856944343162E-5</v>
      </c>
      <c r="L21" s="210"/>
      <c r="M21" s="210"/>
      <c r="N21" s="210"/>
      <c r="O21" s="210"/>
      <c r="P21" s="210"/>
      <c r="Q21" s="210"/>
      <c r="R21" s="210"/>
    </row>
    <row r="22" spans="1:18">
      <c r="A22" s="210"/>
      <c r="B22" s="357" t="s">
        <v>6</v>
      </c>
      <c r="C22" s="318">
        <f>'Samenvatting mixen'!B6</f>
        <v>5.2431384564578347E-2</v>
      </c>
      <c r="D22" s="323">
        <f>'Samenvatting mixen'!B17</f>
        <v>4.3310062962067734E-2</v>
      </c>
      <c r="E22" s="85">
        <f>'Samenvatting mixen'!B28</f>
        <v>3.8834232732508816E-3</v>
      </c>
      <c r="F22" s="85">
        <f>'Samenvatting mixen'!B39</f>
        <v>1.0865080977731669E-2</v>
      </c>
      <c r="G22" s="85">
        <f>'Samenvatting mixen'!B50</f>
        <v>6.1963400196339002E-5</v>
      </c>
      <c r="H22" s="85">
        <f>'Samenvatting mixen'!B61</f>
        <v>2.942797527769477E-4</v>
      </c>
      <c r="I22" s="85">
        <f>'Samenvatting mixen'!B72</f>
        <v>6.8065885487851446E-3</v>
      </c>
      <c r="J22" s="308">
        <f>'[4]Control panel'!F5</f>
        <v>8.6775571303158883E-5</v>
      </c>
      <c r="L22" s="210"/>
      <c r="M22" s="210"/>
      <c r="N22" s="210"/>
      <c r="O22" s="210"/>
      <c r="P22" s="210"/>
      <c r="Q22" s="210"/>
      <c r="R22" s="210"/>
    </row>
    <row r="23" spans="1:18">
      <c r="A23" s="210"/>
      <c r="B23" s="357" t="s">
        <v>7</v>
      </c>
      <c r="C23" s="318">
        <f>'Samenvatting mixen'!B7</f>
        <v>3.7823519080930512E-2</v>
      </c>
      <c r="D23" s="323">
        <f>'Samenvatting mixen'!B18</f>
        <v>1.3696757777154312E-3</v>
      </c>
      <c r="E23" s="85">
        <f>'Samenvatting mixen'!B29</f>
        <v>1.7147534904583678E-4</v>
      </c>
      <c r="F23" s="85">
        <f>'Samenvatting mixen'!B40</f>
        <v>4.4549251230929926E-3</v>
      </c>
      <c r="G23" s="85">
        <f>'Samenvatting mixen'!B51</f>
        <v>2.5533574298320638E-5</v>
      </c>
      <c r="H23" s="85">
        <f>'Samenvatting mixen'!B62</f>
        <v>1.0843504641724764E-4</v>
      </c>
      <c r="I23" s="85">
        <f>'Samenvatting mixen'!B73</f>
        <v>2.3571553272334982E-3</v>
      </c>
      <c r="J23" s="308">
        <f>'[4]Control panel'!F6</f>
        <v>3.3196657987390124E-5</v>
      </c>
      <c r="L23" s="210"/>
      <c r="M23" s="210"/>
      <c r="N23" s="210"/>
      <c r="O23" s="210"/>
      <c r="P23" s="210"/>
      <c r="Q23" s="210"/>
      <c r="R23" s="210"/>
    </row>
    <row r="24" spans="1:18">
      <c r="A24" s="210"/>
      <c r="B24" s="357" t="s">
        <v>8</v>
      </c>
      <c r="C24" s="318">
        <f>'Samenvatting mixen'!B8</f>
        <v>2.6948607327337594E-2</v>
      </c>
      <c r="D24" s="323">
        <f>'Samenvatting mixen'!B19</f>
        <v>2.189437606952184E-2</v>
      </c>
      <c r="E24" s="85">
        <f>'Samenvatting mixen'!B30</f>
        <v>1.0762829076190947E-3</v>
      </c>
      <c r="F24" s="85">
        <f>'Samenvatting mixen'!B41</f>
        <v>9.8702434662818524E-3</v>
      </c>
      <c r="G24" s="85">
        <f>'Samenvatting mixen'!B52</f>
        <v>5.8272659803975819E-5</v>
      </c>
      <c r="H24" s="85">
        <f>'Samenvatting mixen'!B63</f>
        <v>1.2331541027451375E-4</v>
      </c>
      <c r="I24" s="85">
        <f>'Samenvatting mixen'!B74</f>
        <v>1.7387667665488512E-3</v>
      </c>
      <c r="J24" s="308">
        <f>'[4]Control panel'!F7</f>
        <v>4.8644439396432552E-5</v>
      </c>
      <c r="L24" s="210"/>
      <c r="M24" s="210"/>
      <c r="N24" s="210"/>
      <c r="O24" s="210"/>
      <c r="P24" s="210"/>
      <c r="Q24" s="210"/>
      <c r="R24" s="210"/>
    </row>
    <row r="25" spans="1:18">
      <c r="A25" s="210"/>
      <c r="B25" s="357" t="s">
        <v>9</v>
      </c>
      <c r="C25" s="318">
        <f>'Samenvatting mixen'!B9</f>
        <v>3.1135588460574726E-3</v>
      </c>
      <c r="D25" s="323">
        <f>'Samenvatting mixen'!B20</f>
        <v>7.7097626984247757E-3</v>
      </c>
      <c r="E25" s="85">
        <f>'Samenvatting mixen'!B31</f>
        <v>3.1222452385214212E-2</v>
      </c>
      <c r="F25" s="85">
        <f>'Samenvatting mixen'!B42</f>
        <v>2.2612721564402704E-3</v>
      </c>
      <c r="G25" s="85">
        <f>'Samenvatting mixen'!B53</f>
        <v>3.1602470236484767E-5</v>
      </c>
      <c r="H25" s="85">
        <f>'Samenvatting mixen'!B64</f>
        <v>7.2774701820198112E-5</v>
      </c>
      <c r="I25" s="85">
        <f>'Samenvatting mixen'!B75</f>
        <v>3.4961320111722226E-2</v>
      </c>
      <c r="J25" s="308">
        <f>'[4]Control panel'!F8</f>
        <v>2.3467442398853234E-4</v>
      </c>
      <c r="L25" s="210"/>
      <c r="M25" s="210"/>
      <c r="N25" s="210"/>
      <c r="O25" s="210"/>
      <c r="P25" s="210"/>
      <c r="Q25" s="210"/>
      <c r="R25" s="210"/>
    </row>
    <row r="26" spans="1:18">
      <c r="A26" s="210"/>
      <c r="B26" s="357" t="s">
        <v>10</v>
      </c>
      <c r="C26" s="318">
        <f>'Samenvatting mixen'!B10</f>
        <v>0.3121888702030946</v>
      </c>
      <c r="D26" s="323">
        <f>'Samenvatting mixen'!B21</f>
        <v>0.1894304694511304</v>
      </c>
      <c r="E26" s="85">
        <f>'Samenvatting mixen'!B32</f>
        <v>2.5441018842655501E-3</v>
      </c>
      <c r="F26" s="85">
        <f>'Samenvatting mixen'!B43</f>
        <v>0.11468692313935779</v>
      </c>
      <c r="G26" s="85">
        <f>'Samenvatting mixen'!B54</f>
        <v>1.7238070978271947E-4</v>
      </c>
      <c r="H26" s="85">
        <f>'Samenvatting mixen'!B65</f>
        <v>2.7934785577314908E-2</v>
      </c>
      <c r="I26" s="85">
        <f>'Samenvatting mixen'!B76</f>
        <v>3.0161645730840372E-2</v>
      </c>
      <c r="J26" s="308">
        <f>'[4]Control panel'!F9</f>
        <v>1.5994064696340217E-4</v>
      </c>
      <c r="L26" s="210"/>
      <c r="M26" s="210"/>
      <c r="N26" s="210"/>
      <c r="O26" s="210"/>
      <c r="P26" s="210"/>
      <c r="Q26" s="210"/>
      <c r="R26" s="210"/>
    </row>
    <row r="27" spans="1:18">
      <c r="A27" s="210"/>
      <c r="B27" s="358" t="s">
        <v>11</v>
      </c>
      <c r="C27" s="319">
        <f>'Samenvatting mixen'!B11</f>
        <v>4.5783258744365375E-2</v>
      </c>
      <c r="D27" s="324">
        <f>'Samenvatting mixen'!B22</f>
        <v>9.8117775623121194E-3</v>
      </c>
      <c r="E27" s="309">
        <f>'Samenvatting mixen'!B33</f>
        <v>3.8620523679110916E-4</v>
      </c>
      <c r="F27" s="309">
        <f>'Samenvatting mixen'!B44</f>
        <v>1.6435361305973291E-2</v>
      </c>
      <c r="G27" s="309">
        <f>'Samenvatting mixen'!B55</f>
        <v>6.1860857292719474E-5</v>
      </c>
      <c r="H27" s="309">
        <f>'Samenvatting mixen'!B66</f>
        <v>9.531647499948993E-5</v>
      </c>
      <c r="I27" s="309">
        <f>'Samenvatting mixen'!B77</f>
        <v>0.13429860553413633</v>
      </c>
      <c r="J27" s="310">
        <f>'[4]Control panel'!F10</f>
        <v>4.6821388640572115E-5</v>
      </c>
      <c r="L27" s="210"/>
      <c r="M27" s="210"/>
      <c r="N27" s="210"/>
      <c r="O27" s="210"/>
      <c r="P27" s="210"/>
      <c r="Q27" s="210"/>
      <c r="R27" s="210"/>
    </row>
    <row r="28" spans="1:18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18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18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18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18">
      <c r="A32" s="210"/>
      <c r="B32" s="210"/>
      <c r="C32" s="210"/>
      <c r="D32" s="210"/>
      <c r="E32" s="210"/>
      <c r="F32" s="210"/>
      <c r="G32" s="210"/>
      <c r="H32" s="210"/>
      <c r="I32" s="210"/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210"/>
      <c r="C33" s="210"/>
      <c r="D33" s="210"/>
      <c r="E33" s="210"/>
      <c r="F33" s="210"/>
      <c r="G33" s="210"/>
      <c r="H33" s="210"/>
      <c r="I33" s="210"/>
      <c r="J33" s="210"/>
      <c r="L33" s="210"/>
      <c r="M33" s="210"/>
      <c r="N33" s="210"/>
      <c r="O33" s="210"/>
      <c r="P33" s="210"/>
      <c r="Q33" s="210"/>
      <c r="R33" s="210"/>
    </row>
    <row r="34" spans="1:18">
      <c r="A34" s="210"/>
      <c r="B34" s="210"/>
      <c r="C34" s="210"/>
      <c r="D34" s="210"/>
      <c r="E34" s="210"/>
      <c r="F34" s="210"/>
      <c r="G34" s="210"/>
      <c r="H34" s="210"/>
      <c r="I34" s="210"/>
      <c r="J34" s="210"/>
      <c r="L34" s="210"/>
      <c r="M34" s="210"/>
      <c r="N34" s="210"/>
      <c r="O34" s="210"/>
      <c r="P34" s="210"/>
      <c r="Q34" s="210"/>
      <c r="R34" s="210"/>
    </row>
    <row r="35" spans="1:18">
      <c r="A35" s="210"/>
      <c r="B35" s="210"/>
      <c r="C35" s="210"/>
      <c r="D35" s="210"/>
      <c r="E35" s="210"/>
      <c r="F35" s="210"/>
      <c r="G35" s="210"/>
      <c r="H35" s="210"/>
      <c r="I35" s="210"/>
      <c r="J35" s="210"/>
      <c r="L35" s="210"/>
      <c r="M35" s="210"/>
      <c r="N35" s="210"/>
      <c r="O35" s="210"/>
      <c r="P35" s="210"/>
      <c r="Q35" s="210"/>
      <c r="R35" s="210"/>
    </row>
    <row r="36" spans="1:18">
      <c r="A36" s="210"/>
      <c r="B36" s="210"/>
      <c r="C36" s="210"/>
      <c r="D36" s="210"/>
      <c r="E36" s="210"/>
      <c r="F36" s="210"/>
      <c r="G36" s="210"/>
      <c r="H36" s="210"/>
      <c r="I36" s="210"/>
      <c r="J36" s="210"/>
      <c r="L36" s="210"/>
      <c r="M36" s="210"/>
      <c r="N36" s="210"/>
      <c r="O36" s="210"/>
      <c r="P36" s="210"/>
      <c r="Q36" s="210"/>
      <c r="R36" s="210"/>
    </row>
    <row r="37" spans="1:18">
      <c r="A37" s="210"/>
      <c r="B37" s="210"/>
      <c r="C37" s="210"/>
      <c r="D37" s="210"/>
      <c r="E37" s="210"/>
      <c r="F37" s="210"/>
      <c r="G37" s="210"/>
      <c r="H37" s="210"/>
      <c r="I37" s="210"/>
      <c r="J37" s="210"/>
      <c r="L37" s="210"/>
      <c r="M37" s="210"/>
      <c r="N37" s="210"/>
      <c r="O37" s="210"/>
      <c r="P37" s="210"/>
      <c r="Q37" s="210"/>
      <c r="R37" s="210"/>
    </row>
    <row r="38" spans="1:18">
      <c r="A38" s="210"/>
      <c r="B38" s="210"/>
      <c r="C38" s="210"/>
      <c r="D38" s="210"/>
      <c r="E38" s="210"/>
      <c r="F38" s="210"/>
      <c r="G38" s="210"/>
      <c r="H38" s="210"/>
      <c r="I38" s="210"/>
      <c r="J38" s="210"/>
      <c r="L38" s="210"/>
      <c r="M38" s="210"/>
      <c r="N38" s="210"/>
      <c r="O38" s="210"/>
      <c r="P38" s="210"/>
      <c r="Q38" s="210"/>
      <c r="R38" s="210"/>
    </row>
    <row r="39" spans="1:18">
      <c r="A39" s="210"/>
      <c r="B39" s="210"/>
      <c r="C39" s="210"/>
      <c r="D39" s="210"/>
      <c r="E39" s="210"/>
      <c r="F39" s="210"/>
      <c r="G39" s="210"/>
      <c r="H39" s="210"/>
      <c r="I39" s="210"/>
      <c r="J39" s="210"/>
      <c r="L39" s="210"/>
      <c r="M39" s="210"/>
      <c r="N39" s="210"/>
      <c r="O39" s="210"/>
      <c r="P39" s="210"/>
      <c r="Q39" s="210"/>
      <c r="R39" s="210"/>
    </row>
    <row r="40" spans="1:18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L40" s="210"/>
      <c r="M40" s="210"/>
      <c r="N40" s="210"/>
      <c r="O40" s="210"/>
      <c r="P40" s="210"/>
      <c r="Q40" s="210"/>
      <c r="R40" s="210"/>
    </row>
    <row r="41" spans="1:18">
      <c r="A41" s="210"/>
      <c r="B41" s="210"/>
      <c r="C41" s="210"/>
      <c r="D41" s="210"/>
      <c r="E41" s="210"/>
      <c r="F41" s="210"/>
      <c r="G41" s="210"/>
      <c r="H41" s="210"/>
      <c r="I41" s="210"/>
      <c r="J41" s="210"/>
      <c r="L41" s="210"/>
      <c r="M41" s="210"/>
      <c r="N41" s="210"/>
      <c r="O41" s="210"/>
      <c r="P41" s="210"/>
      <c r="Q41" s="210"/>
      <c r="R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  <c r="N42" s="210"/>
      <c r="O42" s="210"/>
      <c r="P42" s="210"/>
      <c r="Q42" s="210"/>
      <c r="R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385" t="s">
        <v>135</v>
      </c>
      <c r="D48" s="386"/>
      <c r="E48" s="385" t="s">
        <v>134</v>
      </c>
      <c r="F48" s="386"/>
      <c r="G48" s="386"/>
      <c r="H48" s="387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18" ht="51.75">
      <c r="A49" s="210"/>
      <c r="B49" s="314"/>
      <c r="C49" s="328" t="s">
        <v>136</v>
      </c>
      <c r="D49" s="329" t="s">
        <v>137</v>
      </c>
      <c r="E49" s="329"/>
      <c r="F49" s="329"/>
      <c r="G49" s="328" t="s">
        <v>139</v>
      </c>
      <c r="H49" s="329" t="s">
        <v>138</v>
      </c>
      <c r="I49" s="307" t="s">
        <v>140</v>
      </c>
      <c r="J49" s="336" t="s">
        <v>141</v>
      </c>
      <c r="K49" s="336" t="s">
        <v>142</v>
      </c>
      <c r="L49" s="210"/>
      <c r="M49" s="210"/>
      <c r="N49" s="210"/>
      <c r="O49" s="210"/>
      <c r="P49" s="210"/>
      <c r="Q49" s="210"/>
      <c r="R49" s="210"/>
    </row>
    <row r="50" spans="1:18">
      <c r="A50" s="210"/>
      <c r="B50" s="315" t="s">
        <v>4</v>
      </c>
      <c r="C50" s="337">
        <v>4.4499999999999998E-2</v>
      </c>
      <c r="D50" s="337">
        <v>9.3000000000000096E-3</v>
      </c>
      <c r="E50" s="85"/>
      <c r="F50" s="85"/>
      <c r="G50" s="337">
        <v>-8.7300000000000003E-2</v>
      </c>
      <c r="H50" s="337">
        <f>+Scenarios!C24</f>
        <v>-1.5814187202246897E-2</v>
      </c>
      <c r="I50" s="352">
        <v>0.1023</v>
      </c>
      <c r="J50" s="353">
        <f t="shared" ref="J50:J57" si="1">+G50/I50</f>
        <v>-0.85337243401759533</v>
      </c>
      <c r="K50" s="331">
        <f t="shared" ref="K50:K57" si="2">+H50/I50</f>
        <v>-0.15458638516370377</v>
      </c>
      <c r="L50" s="210"/>
      <c r="M50" s="210"/>
      <c r="N50" s="210"/>
      <c r="O50" s="210"/>
      <c r="P50" s="210"/>
      <c r="Q50" s="210"/>
      <c r="R50" s="210"/>
    </row>
    <row r="51" spans="1:18">
      <c r="A51" s="210"/>
      <c r="B51" s="315" t="s">
        <v>5</v>
      </c>
      <c r="C51" s="318">
        <v>8.5371817899603325E-2</v>
      </c>
      <c r="D51" s="318">
        <v>5.6265360838678849E-2</v>
      </c>
      <c r="E51" s="85"/>
      <c r="F51" s="85"/>
      <c r="G51" s="318">
        <v>-4.6468851830414513E-2</v>
      </c>
      <c r="H51" s="318">
        <f>+Scenarios!C25</f>
        <v>3.7091344896853895E-2</v>
      </c>
      <c r="I51" s="318">
        <f t="shared" ref="I51:I57" si="3">+J4</f>
        <v>0.15823890359343337</v>
      </c>
      <c r="J51" s="354">
        <f t="shared" si="1"/>
        <v>-0.2936626251519534</v>
      </c>
      <c r="K51" s="331">
        <f t="shared" si="2"/>
        <v>0.23440092198915563</v>
      </c>
      <c r="L51" s="210"/>
      <c r="M51" s="210"/>
      <c r="N51" s="210"/>
      <c r="O51" s="210"/>
      <c r="P51" s="210"/>
      <c r="Q51" s="210"/>
      <c r="R51" s="210"/>
    </row>
    <row r="52" spans="1:18">
      <c r="A52" s="210"/>
      <c r="B52" s="315" t="s">
        <v>6</v>
      </c>
      <c r="C52" s="318">
        <v>0.14294511515742836</v>
      </c>
      <c r="D52" s="318">
        <v>4.8236186870114238E-2</v>
      </c>
      <c r="E52" s="85"/>
      <c r="F52" s="85"/>
      <c r="G52" s="318">
        <v>1.1104445427410514E-2</v>
      </c>
      <c r="H52" s="318">
        <f>+Scenarios!C26</f>
        <v>2.8956559002887815E-2</v>
      </c>
      <c r="I52" s="318">
        <f t="shared" si="3"/>
        <v>0.168148277471422</v>
      </c>
      <c r="J52" s="354">
        <f t="shared" si="1"/>
        <v>6.6039602631658201E-2</v>
      </c>
      <c r="K52" s="331">
        <f>+H52/I52</f>
        <v>0.17220847836403907</v>
      </c>
      <c r="L52" s="210"/>
      <c r="M52" s="210"/>
      <c r="N52" s="210"/>
      <c r="O52" s="210"/>
      <c r="P52" s="210"/>
      <c r="Q52" s="210"/>
      <c r="R52" s="210"/>
    </row>
    <row r="53" spans="1:18">
      <c r="A53" s="210"/>
      <c r="B53" s="315" t="s">
        <v>7</v>
      </c>
      <c r="C53" s="318">
        <v>7.3688794074914882E-2</v>
      </c>
      <c r="D53" s="318">
        <v>4.4755655663184818E-2</v>
      </c>
      <c r="E53" s="85"/>
      <c r="F53" s="85"/>
      <c r="G53" s="318">
        <v>-5.8151875655102964E-2</v>
      </c>
      <c r="H53" s="318">
        <f>+Scenarios!C27</f>
        <v>-7.0207416604689673E-3</v>
      </c>
      <c r="I53" s="318">
        <f t="shared" si="3"/>
        <v>0.29001927694608043</v>
      </c>
      <c r="J53" s="354">
        <f t="shared" si="1"/>
        <v>-0.20051038078380698</v>
      </c>
      <c r="K53" s="331">
        <f>+H53/I53</f>
        <v>-2.4207844852238026E-2</v>
      </c>
      <c r="L53" s="210"/>
      <c r="M53" s="210"/>
      <c r="N53" s="210"/>
      <c r="O53" s="210"/>
      <c r="P53" s="210"/>
      <c r="Q53" s="210"/>
      <c r="R53" s="210"/>
    </row>
    <row r="54" spans="1:18">
      <c r="A54" s="210"/>
      <c r="B54" s="315" t="s">
        <v>8</v>
      </c>
      <c r="C54" s="318">
        <v>8.8200075364801303E-2</v>
      </c>
      <c r="D54" s="318">
        <v>0.11547766137672615</v>
      </c>
      <c r="E54" s="85"/>
      <c r="F54" s="85"/>
      <c r="G54" s="318">
        <v>-4.3640594365216501E-2</v>
      </c>
      <c r="H54" s="318">
        <f>+Scenarios!C28</f>
        <v>5.995264087409511E-2</v>
      </c>
      <c r="I54" s="318">
        <f t="shared" si="3"/>
        <v>0.29774487154665702</v>
      </c>
      <c r="J54" s="354">
        <f t="shared" si="1"/>
        <v>-0.14657043172069534</v>
      </c>
      <c r="K54" s="331">
        <f t="shared" si="2"/>
        <v>0.20135574649083571</v>
      </c>
      <c r="L54" s="210"/>
      <c r="M54" s="210"/>
      <c r="N54" s="210"/>
      <c r="O54" s="210"/>
      <c r="P54" s="210"/>
      <c r="Q54" s="210"/>
      <c r="R54" s="210"/>
    </row>
    <row r="55" spans="1:18">
      <c r="B55" s="315" t="s">
        <v>9</v>
      </c>
      <c r="C55" s="318">
        <v>9.6125190679341666E-2</v>
      </c>
      <c r="D55" s="318">
        <v>8.8245130245983364E-2</v>
      </c>
      <c r="E55" s="85"/>
      <c r="F55" s="85"/>
      <c r="G55" s="318">
        <v>-3.571547905067618E-2</v>
      </c>
      <c r="H55" s="318">
        <f>+Scenarios!C29</f>
        <v>7.203626561528087E-2</v>
      </c>
      <c r="I55" s="318">
        <f t="shared" si="3"/>
        <v>0.33576372020209261</v>
      </c>
      <c r="J55" s="354">
        <f t="shared" si="1"/>
        <v>-0.10637087005463072</v>
      </c>
      <c r="K55" s="331">
        <f t="shared" si="2"/>
        <v>0.21454451830567939</v>
      </c>
      <c r="L55" s="210"/>
      <c r="M55" s="210"/>
      <c r="N55" s="210"/>
      <c r="O55" s="210"/>
      <c r="P55" s="210"/>
      <c r="Q55" s="210"/>
      <c r="R55" s="210"/>
    </row>
    <row r="56" spans="1:18">
      <c r="B56" s="315" t="s">
        <v>10</v>
      </c>
      <c r="C56" s="318">
        <v>6.2658557549145399E-2</v>
      </c>
      <c r="D56" s="318">
        <v>3.2952299000522406E-2</v>
      </c>
      <c r="E56" s="85"/>
      <c r="F56" s="85"/>
      <c r="G56" s="318">
        <v>-6.9182112180872446E-2</v>
      </c>
      <c r="H56" s="318">
        <f>+Scenarios!C30</f>
        <v>2.2042435122490836E-2</v>
      </c>
      <c r="I56" s="318">
        <f t="shared" si="3"/>
        <v>0.1465180543940868</v>
      </c>
      <c r="J56" s="354">
        <f t="shared" si="1"/>
        <v>-0.47217465770323874</v>
      </c>
      <c r="K56" s="331">
        <f t="shared" si="2"/>
        <v>0.1504417678329506</v>
      </c>
      <c r="L56" s="210"/>
      <c r="M56" s="210"/>
      <c r="N56" s="210"/>
      <c r="O56" s="210"/>
      <c r="P56" s="210"/>
      <c r="Q56" s="210"/>
      <c r="R56" s="210"/>
    </row>
    <row r="57" spans="1:18">
      <c r="B57" s="316" t="s">
        <v>11</v>
      </c>
      <c r="C57" s="319">
        <v>7.3464510927495008E-2</v>
      </c>
      <c r="D57" s="319">
        <v>3.9406691481015818E-2</v>
      </c>
      <c r="E57" s="309"/>
      <c r="F57" s="309"/>
      <c r="G57" s="319">
        <v>-5.8376158802522837E-2</v>
      </c>
      <c r="H57" s="319">
        <f>+Scenarios!C31</f>
        <v>2.0231202745045189E-2</v>
      </c>
      <c r="I57" s="319">
        <f t="shared" si="3"/>
        <v>0.19915957675666104</v>
      </c>
      <c r="J57" s="355">
        <f t="shared" si="1"/>
        <v>-0.29311248674648732</v>
      </c>
      <c r="K57" s="334">
        <f t="shared" si="2"/>
        <v>0.10158287677907782</v>
      </c>
      <c r="L57" s="210"/>
      <c r="M57" s="210"/>
      <c r="N57" s="210"/>
      <c r="O57" s="210"/>
      <c r="P57" s="210"/>
      <c r="Q57" s="210"/>
      <c r="R57" s="210"/>
    </row>
    <row r="58" spans="1:18">
      <c r="B58" s="84"/>
      <c r="C58" s="84"/>
      <c r="D58" s="84"/>
      <c r="E58" s="98"/>
      <c r="F58" s="98"/>
      <c r="G58" s="84"/>
      <c r="H58" s="84"/>
      <c r="I58" s="84"/>
      <c r="J58" s="84"/>
      <c r="L58" s="210"/>
      <c r="M58" s="210"/>
      <c r="N58" s="210"/>
      <c r="O58" s="210"/>
      <c r="P58" s="210"/>
      <c r="Q58" s="210"/>
      <c r="R58" s="210"/>
    </row>
    <row r="59" spans="1:18"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18"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18"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2:13"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</row>
    <row r="66" spans="2:13"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</row>
    <row r="67" spans="2:13"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</row>
    <row r="68" spans="2:13">
      <c r="B68" s="210"/>
      <c r="C68" s="210"/>
      <c r="D68" s="210"/>
      <c r="E68" s="210"/>
      <c r="F68" s="210"/>
      <c r="G68" s="210"/>
      <c r="H68" s="210"/>
      <c r="I68" s="210"/>
      <c r="J68" s="210"/>
      <c r="L68" s="210"/>
      <c r="M68" s="210"/>
    </row>
    <row r="69" spans="2:13">
      <c r="B69" s="210"/>
      <c r="C69" s="210"/>
      <c r="D69" s="210"/>
      <c r="E69" s="210"/>
      <c r="F69" s="210"/>
      <c r="G69" s="210"/>
      <c r="H69" s="210"/>
      <c r="I69" s="210"/>
      <c r="J69" s="210"/>
      <c r="L69" s="210"/>
      <c r="M69" s="210"/>
    </row>
    <row r="70" spans="2:13">
      <c r="B70" s="210"/>
      <c r="C70" s="210"/>
      <c r="D70" s="210"/>
      <c r="E70" s="210"/>
      <c r="F70" s="210"/>
      <c r="G70" s="210"/>
      <c r="H70" s="210"/>
      <c r="I70" s="210"/>
      <c r="J70" s="210"/>
      <c r="L70" s="210"/>
      <c r="M70" s="210"/>
    </row>
    <row r="71" spans="2:13"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</row>
    <row r="72" spans="2:13"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</row>
    <row r="73" spans="2:13"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</row>
    <row r="74" spans="2:13">
      <c r="B74" s="210"/>
      <c r="C74" s="210"/>
      <c r="D74" s="210"/>
      <c r="E74" s="210"/>
      <c r="F74" s="210"/>
      <c r="G74" s="210"/>
      <c r="H74" s="210"/>
      <c r="I74" s="210"/>
      <c r="J74" s="210"/>
      <c r="L74" s="210"/>
      <c r="M74" s="210"/>
    </row>
    <row r="75" spans="2:13">
      <c r="B75" s="210"/>
      <c r="C75" s="210"/>
      <c r="D75" s="210"/>
      <c r="E75" s="210"/>
      <c r="F75" s="210"/>
      <c r="G75" s="210"/>
      <c r="H75" s="210"/>
      <c r="I75" s="210"/>
      <c r="J75" s="210"/>
      <c r="L75" s="210"/>
      <c r="M75" s="210"/>
    </row>
    <row r="76" spans="2:13">
      <c r="B76" s="210"/>
      <c r="C76" s="210"/>
      <c r="D76" s="210"/>
      <c r="E76" s="210"/>
      <c r="F76" s="210"/>
      <c r="G76" s="210"/>
      <c r="H76" s="210"/>
      <c r="I76" s="210"/>
      <c r="J76" s="210"/>
      <c r="L76" s="210"/>
      <c r="M76" s="210"/>
    </row>
    <row r="77" spans="2:13">
      <c r="B77" s="210"/>
      <c r="C77" s="210"/>
      <c r="D77" s="210"/>
      <c r="E77" s="210"/>
      <c r="F77" s="210"/>
      <c r="G77" s="210"/>
      <c r="H77" s="210"/>
      <c r="I77" s="210"/>
      <c r="J77" s="210"/>
      <c r="L77" s="210"/>
      <c r="M77" s="210"/>
    </row>
    <row r="78" spans="2:13">
      <c r="B78" s="210"/>
      <c r="C78" s="210"/>
      <c r="D78" s="210"/>
      <c r="E78" s="210"/>
      <c r="F78" s="210"/>
      <c r="G78" s="210"/>
      <c r="H78" s="210"/>
      <c r="I78" s="210"/>
      <c r="J78" s="210"/>
      <c r="L78" s="210"/>
      <c r="M78" s="210"/>
    </row>
    <row r="79" spans="2:13">
      <c r="M79" s="210"/>
    </row>
  </sheetData>
  <mergeCells count="2">
    <mergeCell ref="C48:D48"/>
    <mergeCell ref="E48:H48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2013-02-04T13:06:54Z</dcterms:modified>
</cp:coreProperties>
</file>