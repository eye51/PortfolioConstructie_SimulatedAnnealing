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tabRatio="793" activeTab="3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  <externalReference r:id="rId13"/>
  </externalReferences>
  <definedNames>
    <definedName name="aan_uit">Optimalisatie!$B$109:$B$110</definedName>
    <definedName name="benchNR">Scenarios!$B$128</definedName>
    <definedName name="calibratieRendementen">Scenarios!$C$22:$C$23</definedName>
    <definedName name="hh">'[1]Parameters scenarios'!$A$104:$A$118</definedName>
    <definedName name="k">'Absolute visies'!$U$4:$AB$11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  <definedName name="TrackingErr">Scenarios!$C$19</definedName>
    <definedName name="vastNR">Scenarios!$B$129:$B$130</definedName>
  </definedNames>
  <calcPr calcId="125725" concurrentCalc="0"/>
</workbook>
</file>

<file path=xl/calcChain.xml><?xml version="1.0" encoding="utf-8"?>
<calcChain xmlns="http://schemas.openxmlformats.org/spreadsheetml/2006/main">
  <c r="A36" i="4"/>
  <c r="A35"/>
  <c r="A34"/>
  <c r="A33"/>
  <c r="A32"/>
  <c r="A31"/>
  <c r="A30"/>
  <c r="A29"/>
  <c r="A28"/>
  <c r="A27"/>
  <c r="A26"/>
  <c r="A25"/>
  <c r="A24"/>
  <c r="A23"/>
  <c r="A22"/>
  <c r="A18"/>
  <c r="A17"/>
  <c r="A16"/>
  <c r="A15"/>
  <c r="A14"/>
  <c r="A13"/>
  <c r="A12"/>
  <c r="A11"/>
  <c r="A10"/>
  <c r="A9"/>
  <c r="A8"/>
  <c r="A7"/>
  <c r="A6"/>
  <c r="A5"/>
  <c r="A4"/>
  <c r="H18"/>
  <c r="G18"/>
  <c r="D18"/>
  <c r="C18"/>
  <c r="H17"/>
  <c r="G17"/>
  <c r="D17"/>
  <c r="C17"/>
  <c r="H16"/>
  <c r="G16"/>
  <c r="D16"/>
  <c r="C16"/>
  <c r="H15"/>
  <c r="G15"/>
  <c r="D15"/>
  <c r="C15"/>
  <c r="H14"/>
  <c r="G14"/>
  <c r="D14"/>
  <c r="C14"/>
  <c r="H13"/>
  <c r="G13"/>
  <c r="D13"/>
  <c r="C13"/>
  <c r="H12"/>
  <c r="G12"/>
  <c r="D12"/>
  <c r="C12"/>
  <c r="H11"/>
  <c r="G11"/>
  <c r="D11"/>
  <c r="C11"/>
  <c r="H10"/>
  <c r="G10"/>
  <c r="D10"/>
  <c r="C10"/>
  <c r="B18" i="9"/>
  <c r="B34"/>
  <c r="D35" i="5"/>
  <c r="D34"/>
  <c r="D33"/>
  <c r="D32"/>
  <c r="D31"/>
  <c r="A17" i="8"/>
  <c r="A34"/>
  <c r="A51"/>
  <c r="A68"/>
  <c r="A86"/>
  <c r="A103"/>
  <c r="A120"/>
  <c r="A137"/>
  <c r="A16"/>
  <c r="A33"/>
  <c r="A50"/>
  <c r="A67"/>
  <c r="A85"/>
  <c r="A102"/>
  <c r="A119"/>
  <c r="A136"/>
  <c r="A15"/>
  <c r="A32"/>
  <c r="A49"/>
  <c r="A66"/>
  <c r="A84"/>
  <c r="A101"/>
  <c r="A118"/>
  <c r="A135"/>
  <c r="A14"/>
  <c r="A31"/>
  <c r="A48"/>
  <c r="A65"/>
  <c r="A83"/>
  <c r="A100"/>
  <c r="A117"/>
  <c r="A134"/>
  <c r="A13"/>
  <c r="A30"/>
  <c r="A47"/>
  <c r="A64"/>
  <c r="A82"/>
  <c r="A99"/>
  <c r="A116"/>
  <c r="A133"/>
  <c r="A12"/>
  <c r="A29"/>
  <c r="A46"/>
  <c r="A63"/>
  <c r="A81"/>
  <c r="A98"/>
  <c r="A115"/>
  <c r="A132"/>
  <c r="A11"/>
  <c r="A28"/>
  <c r="A45"/>
  <c r="A62"/>
  <c r="A80"/>
  <c r="A97"/>
  <c r="A114"/>
  <c r="A131"/>
  <c r="A11" i="6"/>
  <c r="A10" i="8"/>
  <c r="A27"/>
  <c r="A44"/>
  <c r="A61"/>
  <c r="A79"/>
  <c r="A96"/>
  <c r="A113"/>
  <c r="A130"/>
  <c r="A10" i="6"/>
  <c r="A9" i="8"/>
  <c r="A26"/>
  <c r="A43"/>
  <c r="A60"/>
  <c r="A78"/>
  <c r="A95"/>
  <c r="A112"/>
  <c r="A129"/>
  <c r="A9" i="6"/>
  <c r="A8" i="8"/>
  <c r="A25"/>
  <c r="A42"/>
  <c r="A59"/>
  <c r="A77"/>
  <c r="A94"/>
  <c r="A111"/>
  <c r="A128"/>
  <c r="A8" i="6"/>
  <c r="A7" i="8"/>
  <c r="A24"/>
  <c r="A41"/>
  <c r="A58"/>
  <c r="A76"/>
  <c r="A93"/>
  <c r="A110"/>
  <c r="A127"/>
  <c r="A7" i="6"/>
  <c r="A6" i="8"/>
  <c r="A23"/>
  <c r="A40"/>
  <c r="A57"/>
  <c r="A75"/>
  <c r="A92"/>
  <c r="A109"/>
  <c r="A126"/>
  <c r="A6" i="6"/>
  <c r="A5" i="8"/>
  <c r="A22"/>
  <c r="A39"/>
  <c r="A56"/>
  <c r="A74"/>
  <c r="A91"/>
  <c r="A108"/>
  <c r="A125"/>
  <c r="A5" i="6"/>
  <c r="A4" i="8"/>
  <c r="A21"/>
  <c r="A38"/>
  <c r="A55"/>
  <c r="A73"/>
  <c r="A90"/>
  <c r="A107"/>
  <c r="A124"/>
  <c r="A143" i="6"/>
  <c r="A142"/>
  <c r="A141"/>
  <c r="A140"/>
  <c r="A139"/>
  <c r="A138"/>
  <c r="A29"/>
  <c r="A47"/>
  <c r="A65"/>
  <c r="A83"/>
  <c r="A101"/>
  <c r="A119"/>
  <c r="A137"/>
  <c r="A28"/>
  <c r="A46"/>
  <c r="A64"/>
  <c r="A82"/>
  <c r="A100"/>
  <c r="A118"/>
  <c r="A136"/>
  <c r="A27"/>
  <c r="A45"/>
  <c r="A63"/>
  <c r="A81"/>
  <c r="A99"/>
  <c r="A117"/>
  <c r="A135"/>
  <c r="A26"/>
  <c r="A44"/>
  <c r="A62"/>
  <c r="A80"/>
  <c r="A98"/>
  <c r="A116"/>
  <c r="A134"/>
  <c r="A25"/>
  <c r="A43"/>
  <c r="A61"/>
  <c r="A79"/>
  <c r="A97"/>
  <c r="A115"/>
  <c r="A133"/>
  <c r="A24"/>
  <c r="A42"/>
  <c r="A60"/>
  <c r="A78"/>
  <c r="A96"/>
  <c r="A114"/>
  <c r="A132"/>
  <c r="A23"/>
  <c r="A41"/>
  <c r="A59"/>
  <c r="A77"/>
  <c r="A95"/>
  <c r="A113"/>
  <c r="A131"/>
  <c r="A4"/>
  <c r="A22"/>
  <c r="A40"/>
  <c r="A58"/>
  <c r="A76"/>
  <c r="A94"/>
  <c r="A112"/>
  <c r="A130"/>
  <c r="A93"/>
  <c r="A111"/>
  <c r="A129"/>
  <c r="A125"/>
  <c r="A124"/>
  <c r="A123"/>
  <c r="A122"/>
  <c r="A121"/>
  <c r="A120"/>
  <c r="A108"/>
  <c r="A107"/>
  <c r="A106"/>
  <c r="A105"/>
  <c r="A104"/>
  <c r="A103"/>
  <c r="A102"/>
  <c r="A90"/>
  <c r="A89"/>
  <c r="A88"/>
  <c r="A87"/>
  <c r="A86"/>
  <c r="A85"/>
  <c r="A84"/>
  <c r="A72"/>
  <c r="A71"/>
  <c r="A70"/>
  <c r="A69"/>
  <c r="A68"/>
  <c r="A67"/>
  <c r="A66"/>
  <c r="A54"/>
  <c r="A53"/>
  <c r="A52"/>
  <c r="A51"/>
  <c r="A50"/>
  <c r="A49"/>
  <c r="A48"/>
  <c r="A30"/>
  <c r="A31"/>
  <c r="A32"/>
  <c r="A33"/>
  <c r="A34"/>
  <c r="A35"/>
  <c r="A36"/>
  <c r="U143"/>
  <c r="T143"/>
  <c r="S143"/>
  <c r="R143"/>
  <c r="U142"/>
  <c r="T142"/>
  <c r="S142"/>
  <c r="R142"/>
  <c r="U141"/>
  <c r="T141"/>
  <c r="S141"/>
  <c r="R141"/>
  <c r="U140"/>
  <c r="T140"/>
  <c r="S140"/>
  <c r="R140"/>
  <c r="U139"/>
  <c r="T139"/>
  <c r="S139"/>
  <c r="R139"/>
  <c r="U138"/>
  <c r="T138"/>
  <c r="S138"/>
  <c r="R138"/>
  <c r="U137"/>
  <c r="T137"/>
  <c r="S137"/>
  <c r="R137"/>
  <c r="U136"/>
  <c r="T136"/>
  <c r="S136"/>
  <c r="R136"/>
  <c r="U135"/>
  <c r="T135"/>
  <c r="S135"/>
  <c r="R135"/>
  <c r="U134"/>
  <c r="T134"/>
  <c r="S134"/>
  <c r="R134"/>
  <c r="U133"/>
  <c r="T133"/>
  <c r="S133"/>
  <c r="R133"/>
  <c r="U132"/>
  <c r="T132"/>
  <c r="S132"/>
  <c r="R132"/>
  <c r="U131"/>
  <c r="T131"/>
  <c r="S131"/>
  <c r="R131"/>
  <c r="U130"/>
  <c r="T130"/>
  <c r="S130"/>
  <c r="R130"/>
  <c r="U129"/>
  <c r="T129"/>
  <c r="S129"/>
  <c r="R129"/>
  <c r="A128"/>
  <c r="R128"/>
  <c r="U125"/>
  <c r="T125"/>
  <c r="S125"/>
  <c r="R125"/>
  <c r="U124"/>
  <c r="T124"/>
  <c r="S124"/>
  <c r="R124"/>
  <c r="U123"/>
  <c r="T123"/>
  <c r="S123"/>
  <c r="R123"/>
  <c r="U122"/>
  <c r="T122"/>
  <c r="S122"/>
  <c r="R122"/>
  <c r="U121"/>
  <c r="T121"/>
  <c r="S121"/>
  <c r="R121"/>
  <c r="U120"/>
  <c r="T120"/>
  <c r="S120"/>
  <c r="R120"/>
  <c r="U119"/>
  <c r="T119"/>
  <c r="S119"/>
  <c r="R119"/>
  <c r="U118"/>
  <c r="T118"/>
  <c r="S118"/>
  <c r="R118"/>
  <c r="U117"/>
  <c r="T117"/>
  <c r="S117"/>
  <c r="R117"/>
  <c r="U116"/>
  <c r="T116"/>
  <c r="S116"/>
  <c r="R116"/>
  <c r="U115"/>
  <c r="T115"/>
  <c r="S115"/>
  <c r="R115"/>
  <c r="U114"/>
  <c r="T114"/>
  <c r="S114"/>
  <c r="R114"/>
  <c r="U113"/>
  <c r="T113"/>
  <c r="S113"/>
  <c r="R113"/>
  <c r="U112"/>
  <c r="T112"/>
  <c r="S112"/>
  <c r="R112"/>
  <c r="U111"/>
  <c r="T111"/>
  <c r="S111"/>
  <c r="R111"/>
  <c r="A110"/>
  <c r="R110"/>
  <c r="U108"/>
  <c r="T108"/>
  <c r="S108"/>
  <c r="R108"/>
  <c r="U107"/>
  <c r="T107"/>
  <c r="S107"/>
  <c r="R107"/>
  <c r="U106"/>
  <c r="T106"/>
  <c r="S106"/>
  <c r="R106"/>
  <c r="U105"/>
  <c r="T105"/>
  <c r="S105"/>
  <c r="R105"/>
  <c r="U104"/>
  <c r="T104"/>
  <c r="S104"/>
  <c r="R104"/>
  <c r="U103"/>
  <c r="T103"/>
  <c r="S103"/>
  <c r="R103"/>
  <c r="U102"/>
  <c r="T102"/>
  <c r="S102"/>
  <c r="R102"/>
  <c r="U101"/>
  <c r="T101"/>
  <c r="S101"/>
  <c r="R101"/>
  <c r="U100"/>
  <c r="T100"/>
  <c r="S100"/>
  <c r="R100"/>
  <c r="U99"/>
  <c r="T99"/>
  <c r="S99"/>
  <c r="R99"/>
  <c r="U98"/>
  <c r="T98"/>
  <c r="S98"/>
  <c r="R98"/>
  <c r="U97"/>
  <c r="T97"/>
  <c r="S97"/>
  <c r="R97"/>
  <c r="U96"/>
  <c r="T96"/>
  <c r="S96"/>
  <c r="R96"/>
  <c r="U95"/>
  <c r="T95"/>
  <c r="S95"/>
  <c r="R95"/>
  <c r="U94"/>
  <c r="T94"/>
  <c r="S94"/>
  <c r="R94"/>
  <c r="R93"/>
  <c r="U90"/>
  <c r="T90"/>
  <c r="S90"/>
  <c r="R90"/>
  <c r="U89"/>
  <c r="T89"/>
  <c r="S89"/>
  <c r="R89"/>
  <c r="U88"/>
  <c r="T88"/>
  <c r="S88"/>
  <c r="R88"/>
  <c r="U87"/>
  <c r="T87"/>
  <c r="S87"/>
  <c r="R87"/>
  <c r="U86"/>
  <c r="T86"/>
  <c r="S86"/>
  <c r="R86"/>
  <c r="U85"/>
  <c r="T85"/>
  <c r="S85"/>
  <c r="R85"/>
  <c r="U84"/>
  <c r="T84"/>
  <c r="S84"/>
  <c r="R84"/>
  <c r="U83"/>
  <c r="T83"/>
  <c r="S83"/>
  <c r="R83"/>
  <c r="U82"/>
  <c r="T82"/>
  <c r="S82"/>
  <c r="R82"/>
  <c r="U81"/>
  <c r="T81"/>
  <c r="S81"/>
  <c r="R81"/>
  <c r="U80"/>
  <c r="T80"/>
  <c r="S80"/>
  <c r="R80"/>
  <c r="U79"/>
  <c r="T79"/>
  <c r="S79"/>
  <c r="R79"/>
  <c r="U78"/>
  <c r="T78"/>
  <c r="S78"/>
  <c r="R78"/>
  <c r="U77"/>
  <c r="T77"/>
  <c r="S77"/>
  <c r="R77"/>
  <c r="U76"/>
  <c r="T76"/>
  <c r="S76"/>
  <c r="R76"/>
  <c r="A28" i="5"/>
  <c r="A75" i="6"/>
  <c r="R75"/>
  <c r="U72"/>
  <c r="T72"/>
  <c r="S72"/>
  <c r="R72"/>
  <c r="U71"/>
  <c r="T71"/>
  <c r="S71"/>
  <c r="R71"/>
  <c r="U70"/>
  <c r="T70"/>
  <c r="S70"/>
  <c r="R70"/>
  <c r="U69"/>
  <c r="T69"/>
  <c r="S69"/>
  <c r="R69"/>
  <c r="U68"/>
  <c r="T68"/>
  <c r="S68"/>
  <c r="R68"/>
  <c r="U67"/>
  <c r="T67"/>
  <c r="S67"/>
  <c r="R67"/>
  <c r="U66"/>
  <c r="T66"/>
  <c r="S66"/>
  <c r="R66"/>
  <c r="U65"/>
  <c r="T65"/>
  <c r="S65"/>
  <c r="R65"/>
  <c r="U64"/>
  <c r="T64"/>
  <c r="S64"/>
  <c r="R64"/>
  <c r="U63"/>
  <c r="T63"/>
  <c r="S63"/>
  <c r="R63"/>
  <c r="U62"/>
  <c r="T62"/>
  <c r="S62"/>
  <c r="R62"/>
  <c r="U61"/>
  <c r="T61"/>
  <c r="S61"/>
  <c r="R61"/>
  <c r="U60"/>
  <c r="T60"/>
  <c r="S60"/>
  <c r="R60"/>
  <c r="U59"/>
  <c r="T59"/>
  <c r="S59"/>
  <c r="R59"/>
  <c r="U58"/>
  <c r="T58"/>
  <c r="S58"/>
  <c r="R58"/>
  <c r="A27" i="5"/>
  <c r="A57" i="6"/>
  <c r="R57"/>
  <c r="U54"/>
  <c r="T54"/>
  <c r="S54"/>
  <c r="R54"/>
  <c r="U53"/>
  <c r="T53"/>
  <c r="S53"/>
  <c r="R53"/>
  <c r="U52"/>
  <c r="T52"/>
  <c r="S52"/>
  <c r="R52"/>
  <c r="U51"/>
  <c r="T51"/>
  <c r="S51"/>
  <c r="R51"/>
  <c r="U50"/>
  <c r="T50"/>
  <c r="S50"/>
  <c r="R50"/>
  <c r="U49"/>
  <c r="T49"/>
  <c r="S49"/>
  <c r="R49"/>
  <c r="U48"/>
  <c r="T48"/>
  <c r="S48"/>
  <c r="R48"/>
  <c r="U47"/>
  <c r="T47"/>
  <c r="S47"/>
  <c r="R47"/>
  <c r="U46"/>
  <c r="T46"/>
  <c r="S46"/>
  <c r="R46"/>
  <c r="U45"/>
  <c r="T45"/>
  <c r="S45"/>
  <c r="R45"/>
  <c r="U44"/>
  <c r="T44"/>
  <c r="S44"/>
  <c r="R44"/>
  <c r="U43"/>
  <c r="T43"/>
  <c r="S43"/>
  <c r="R43"/>
  <c r="U42"/>
  <c r="T42"/>
  <c r="S42"/>
  <c r="R42"/>
  <c r="U41"/>
  <c r="T41"/>
  <c r="S41"/>
  <c r="R41"/>
  <c r="U40"/>
  <c r="T40"/>
  <c r="S40"/>
  <c r="R40"/>
  <c r="A26" i="5"/>
  <c r="A39" i="6"/>
  <c r="R39"/>
  <c r="U36"/>
  <c r="T36"/>
  <c r="S36"/>
  <c r="R36"/>
  <c r="U35"/>
  <c r="T35"/>
  <c r="S35"/>
  <c r="R35"/>
  <c r="U34"/>
  <c r="T34"/>
  <c r="S34"/>
  <c r="R34"/>
  <c r="U33"/>
  <c r="T33"/>
  <c r="S33"/>
  <c r="R33"/>
  <c r="U32"/>
  <c r="T32"/>
  <c r="S32"/>
  <c r="R32"/>
  <c r="U31"/>
  <c r="T31"/>
  <c r="S31"/>
  <c r="R31"/>
  <c r="U30"/>
  <c r="T30"/>
  <c r="S30"/>
  <c r="R30"/>
  <c r="U29"/>
  <c r="T29"/>
  <c r="S29"/>
  <c r="R29"/>
  <c r="U28"/>
  <c r="T28"/>
  <c r="S28"/>
  <c r="R28"/>
  <c r="U27"/>
  <c r="T27"/>
  <c r="S27"/>
  <c r="R27"/>
  <c r="U26"/>
  <c r="T26"/>
  <c r="S26"/>
  <c r="R26"/>
  <c r="U25"/>
  <c r="T25"/>
  <c r="S25"/>
  <c r="R25"/>
  <c r="U24"/>
  <c r="T24"/>
  <c r="S24"/>
  <c r="R24"/>
  <c r="U23"/>
  <c r="T23"/>
  <c r="S23"/>
  <c r="R23"/>
  <c r="U22"/>
  <c r="T22"/>
  <c r="S22"/>
  <c r="R22"/>
  <c r="A25" i="5"/>
  <c r="A21" i="6"/>
  <c r="R21"/>
  <c r="U12"/>
  <c r="U13"/>
  <c r="U14"/>
  <c r="U15"/>
  <c r="U16"/>
  <c r="U17"/>
  <c r="U18"/>
  <c r="U5"/>
  <c r="U6"/>
  <c r="U7"/>
  <c r="U8"/>
  <c r="U9"/>
  <c r="U10"/>
  <c r="U11"/>
  <c r="U4"/>
  <c r="T5"/>
  <c r="T6"/>
  <c r="T7"/>
  <c r="T8"/>
  <c r="T9"/>
  <c r="T10"/>
  <c r="T11"/>
  <c r="T12"/>
  <c r="T13"/>
  <c r="T14"/>
  <c r="T15"/>
  <c r="T16"/>
  <c r="T17"/>
  <c r="T18"/>
  <c r="T4"/>
  <c r="S5"/>
  <c r="S6"/>
  <c r="S7"/>
  <c r="S8"/>
  <c r="S9"/>
  <c r="S10"/>
  <c r="S11"/>
  <c r="S12"/>
  <c r="S13"/>
  <c r="S14"/>
  <c r="S15"/>
  <c r="S16"/>
  <c r="S17"/>
  <c r="S18"/>
  <c r="S4"/>
  <c r="R5"/>
  <c r="R6"/>
  <c r="R7"/>
  <c r="R8"/>
  <c r="R9"/>
  <c r="R10"/>
  <c r="R11"/>
  <c r="R12"/>
  <c r="R13"/>
  <c r="R14"/>
  <c r="R15"/>
  <c r="R16"/>
  <c r="R17"/>
  <c r="R18"/>
  <c r="R4"/>
  <c r="Q4" i="8"/>
  <c r="Q5"/>
  <c r="Q6"/>
  <c r="Q7"/>
  <c r="Q8"/>
  <c r="Q9"/>
  <c r="Q10"/>
  <c r="Q11"/>
  <c r="Q12"/>
  <c r="Q13"/>
  <c r="Q14"/>
  <c r="Q15"/>
  <c r="Q16"/>
  <c r="Q17"/>
  <c r="A3"/>
  <c r="Q3"/>
  <c r="A17" i="9"/>
  <c r="A16"/>
  <c r="A15"/>
  <c r="A14"/>
  <c r="A13"/>
  <c r="A12"/>
  <c r="A11"/>
  <c r="A10"/>
  <c r="A9"/>
  <c r="A8"/>
  <c r="A7"/>
  <c r="A6"/>
  <c r="A5"/>
  <c r="A4"/>
  <c r="A3"/>
  <c r="J21" i="11"/>
  <c r="J22"/>
  <c r="J23"/>
  <c r="J24"/>
  <c r="J25"/>
  <c r="J26"/>
  <c r="J27"/>
  <c r="J20"/>
  <c r="D2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D47" i="7"/>
  <c r="E12" i="11"/>
  <c r="E47" i="7"/>
  <c r="F12" i="11"/>
  <c r="F47" i="7"/>
  <c r="G12" i="11"/>
  <c r="J50"/>
  <c r="H50"/>
  <c r="K50"/>
  <c r="B6" i="9"/>
  <c r="B7"/>
  <c r="J5" i="11"/>
  <c r="I52"/>
  <c r="J52"/>
  <c r="J6"/>
  <c r="I53"/>
  <c r="J7"/>
  <c r="I54"/>
  <c r="J54"/>
  <c r="J8"/>
  <c r="I55"/>
  <c r="J9"/>
  <c r="I56"/>
  <c r="J10"/>
  <c r="I57"/>
  <c r="J4"/>
  <c r="I51"/>
  <c r="J51"/>
  <c r="H54"/>
  <c r="H51"/>
  <c r="H52"/>
  <c r="H53"/>
  <c r="H55"/>
  <c r="H56"/>
  <c r="H57"/>
  <c r="J3"/>
  <c r="O9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P13"/>
  <c r="P12"/>
  <c r="P11"/>
  <c r="P10"/>
  <c r="P9"/>
  <c r="P8"/>
  <c r="P7"/>
  <c r="P6"/>
  <c r="O13"/>
  <c r="O12"/>
  <c r="O11"/>
  <c r="O10"/>
  <c r="O8"/>
  <c r="O7"/>
  <c r="O6"/>
  <c r="H49" i="7"/>
  <c r="I14" i="11"/>
  <c r="B49" i="7"/>
  <c r="C14" i="11"/>
  <c r="C47" i="7"/>
  <c r="B47"/>
  <c r="G47"/>
  <c r="H47"/>
  <c r="I37"/>
  <c r="I47"/>
  <c r="J12" i="11"/>
  <c r="H12"/>
  <c r="I12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B38" i="7"/>
  <c r="C10" i="11"/>
  <c r="C9"/>
  <c r="C8"/>
  <c r="C7"/>
  <c r="C6"/>
  <c r="C5"/>
  <c r="C4"/>
  <c r="C3"/>
  <c r="I38" i="7"/>
  <c r="B37"/>
  <c r="B36"/>
  <c r="I36"/>
  <c r="B35"/>
  <c r="B34"/>
  <c r="I34"/>
  <c r="B33"/>
  <c r="B32"/>
  <c r="I32"/>
  <c r="B31"/>
  <c r="G7" i="9"/>
  <c r="G6"/>
  <c r="G3"/>
  <c r="G4"/>
  <c r="G5"/>
  <c r="G8"/>
  <c r="G9"/>
  <c r="G10"/>
  <c r="A29" i="5"/>
  <c r="A30"/>
  <c r="G5"/>
  <c r="H5"/>
  <c r="K11" i="1"/>
  <c r="K29"/>
  <c r="K65"/>
  <c r="J11"/>
  <c r="J29"/>
  <c r="J65"/>
  <c r="I11"/>
  <c r="I29"/>
  <c r="I65"/>
  <c r="H11"/>
  <c r="H29"/>
  <c r="H65"/>
  <c r="G11"/>
  <c r="G29"/>
  <c r="G65"/>
  <c r="F11"/>
  <c r="F29"/>
  <c r="F65"/>
  <c r="E11"/>
  <c r="E47"/>
  <c r="D11"/>
  <c r="D29"/>
  <c r="D65"/>
  <c r="C11"/>
  <c r="C29"/>
  <c r="C65"/>
  <c r="K10"/>
  <c r="K28"/>
  <c r="K64"/>
  <c r="J10"/>
  <c r="J28"/>
  <c r="J64"/>
  <c r="I10"/>
  <c r="I46"/>
  <c r="H10"/>
  <c r="H28"/>
  <c r="H64"/>
  <c r="G10"/>
  <c r="G28"/>
  <c r="G64"/>
  <c r="F10"/>
  <c r="F28"/>
  <c r="F64"/>
  <c r="E10"/>
  <c r="E46"/>
  <c r="D10"/>
  <c r="D28"/>
  <c r="D64"/>
  <c r="C10"/>
  <c r="C28"/>
  <c r="C64"/>
  <c r="K9"/>
  <c r="K27"/>
  <c r="K63"/>
  <c r="J9"/>
  <c r="J27"/>
  <c r="J63"/>
  <c r="I9"/>
  <c r="I27"/>
  <c r="I63"/>
  <c r="H9"/>
  <c r="H27"/>
  <c r="H63"/>
  <c r="G9"/>
  <c r="G27"/>
  <c r="G63"/>
  <c r="F9"/>
  <c r="F27"/>
  <c r="F63"/>
  <c r="E9"/>
  <c r="E27"/>
  <c r="E63"/>
  <c r="D9"/>
  <c r="D27"/>
  <c r="D63"/>
  <c r="C9"/>
  <c r="C27"/>
  <c r="C63"/>
  <c r="K8"/>
  <c r="K44"/>
  <c r="J8"/>
  <c r="J26"/>
  <c r="J62"/>
  <c r="I8"/>
  <c r="I26"/>
  <c r="I62"/>
  <c r="H8"/>
  <c r="H26"/>
  <c r="H62"/>
  <c r="G8"/>
  <c r="G26"/>
  <c r="G62"/>
  <c r="F8"/>
  <c r="F26"/>
  <c r="F62"/>
  <c r="E8"/>
  <c r="E26"/>
  <c r="E62"/>
  <c r="D8"/>
  <c r="D26"/>
  <c r="D62"/>
  <c r="C8"/>
  <c r="C26"/>
  <c r="C62"/>
  <c r="K7"/>
  <c r="K25"/>
  <c r="K61"/>
  <c r="J7"/>
  <c r="J25"/>
  <c r="J61"/>
  <c r="I7"/>
  <c r="I43"/>
  <c r="H7"/>
  <c r="H25"/>
  <c r="H61"/>
  <c r="G7"/>
  <c r="G25"/>
  <c r="G61"/>
  <c r="F7"/>
  <c r="F25"/>
  <c r="F61"/>
  <c r="E7"/>
  <c r="E25"/>
  <c r="E61"/>
  <c r="D7"/>
  <c r="D25"/>
  <c r="D61"/>
  <c r="C7"/>
  <c r="C25"/>
  <c r="C61"/>
  <c r="K6"/>
  <c r="K24"/>
  <c r="K60"/>
  <c r="J6"/>
  <c r="J42"/>
  <c r="I6"/>
  <c r="I24"/>
  <c r="I60"/>
  <c r="H6"/>
  <c r="H24"/>
  <c r="H60"/>
  <c r="G6"/>
  <c r="G24"/>
  <c r="G60"/>
  <c r="F6"/>
  <c r="F24"/>
  <c r="F60"/>
  <c r="E6"/>
  <c r="E24"/>
  <c r="E60"/>
  <c r="D6"/>
  <c r="D24"/>
  <c r="D60"/>
  <c r="C6"/>
  <c r="C24"/>
  <c r="C60"/>
  <c r="K5"/>
  <c r="K41"/>
  <c r="J5"/>
  <c r="J23"/>
  <c r="J59"/>
  <c r="I5"/>
  <c r="I23"/>
  <c r="I59"/>
  <c r="H5"/>
  <c r="H23"/>
  <c r="H59"/>
  <c r="G5"/>
  <c r="G23"/>
  <c r="G59"/>
  <c r="F5"/>
  <c r="F41"/>
  <c r="E5"/>
  <c r="E23"/>
  <c r="E59"/>
  <c r="D5"/>
  <c r="D23"/>
  <c r="D59"/>
  <c r="C5"/>
  <c r="C23"/>
  <c r="C59"/>
  <c r="K4"/>
  <c r="K40"/>
  <c r="J4"/>
  <c r="J22"/>
  <c r="J58"/>
  <c r="I4"/>
  <c r="I22"/>
  <c r="I58"/>
  <c r="H4"/>
  <c r="H22"/>
  <c r="H58"/>
  <c r="G4"/>
  <c r="G22"/>
  <c r="G58"/>
  <c r="F4"/>
  <c r="F22"/>
  <c r="F58"/>
  <c r="E4"/>
  <c r="E22"/>
  <c r="E58"/>
  <c r="D4"/>
  <c r="D22"/>
  <c r="D58"/>
  <c r="C4"/>
  <c r="C22"/>
  <c r="C58"/>
  <c r="I47"/>
  <c r="G47"/>
  <c r="C47"/>
  <c r="K45"/>
  <c r="G45"/>
  <c r="D44"/>
  <c r="K43"/>
  <c r="I42"/>
  <c r="D40"/>
  <c r="C40"/>
  <c r="K120"/>
  <c r="J120"/>
  <c r="I120"/>
  <c r="H120"/>
  <c r="G120"/>
  <c r="F120"/>
  <c r="E120"/>
  <c r="D120"/>
  <c r="C120"/>
  <c r="K119"/>
  <c r="J119"/>
  <c r="I119"/>
  <c r="H119"/>
  <c r="G119"/>
  <c r="F119"/>
  <c r="E119"/>
  <c r="D119"/>
  <c r="C119"/>
  <c r="K118"/>
  <c r="J118"/>
  <c r="I118"/>
  <c r="H118"/>
  <c r="G118"/>
  <c r="F118"/>
  <c r="E118"/>
  <c r="D118"/>
  <c r="C118"/>
  <c r="K117"/>
  <c r="J117"/>
  <c r="I117"/>
  <c r="H117"/>
  <c r="G117"/>
  <c r="F117"/>
  <c r="E117"/>
  <c r="D117"/>
  <c r="C117"/>
  <c r="K116"/>
  <c r="J116"/>
  <c r="I116"/>
  <c r="H116"/>
  <c r="G116"/>
  <c r="F116"/>
  <c r="E116"/>
  <c r="D116"/>
  <c r="C116"/>
  <c r="K115"/>
  <c r="J115"/>
  <c r="I115"/>
  <c r="H115"/>
  <c r="G115"/>
  <c r="F115"/>
  <c r="E115"/>
  <c r="D115"/>
  <c r="C115"/>
  <c r="K114"/>
  <c r="J114"/>
  <c r="I114"/>
  <c r="H114"/>
  <c r="G114"/>
  <c r="F114"/>
  <c r="E114"/>
  <c r="D114"/>
  <c r="C114"/>
  <c r="K113"/>
  <c r="J113"/>
  <c r="I113"/>
  <c r="H113"/>
  <c r="G113"/>
  <c r="F113"/>
  <c r="E113"/>
  <c r="D113"/>
  <c r="C113"/>
  <c r="H35" i="5"/>
  <c r="C120"/>
  <c r="B120" i="1"/>
  <c r="B119"/>
  <c r="B118"/>
  <c r="B117"/>
  <c r="B116"/>
  <c r="B115"/>
  <c r="B114"/>
  <c r="B113"/>
  <c r="B101"/>
  <c r="B100"/>
  <c r="B99"/>
  <c r="B98"/>
  <c r="B97"/>
  <c r="B96"/>
  <c r="B95"/>
  <c r="B94"/>
  <c r="C119" i="5"/>
  <c r="C114"/>
  <c r="C115"/>
  <c r="C116"/>
  <c r="C117"/>
  <c r="C118"/>
  <c r="A123" i="8"/>
  <c r="Q123"/>
  <c r="A106"/>
  <c r="Q106"/>
  <c r="V102"/>
  <c r="T130"/>
  <c r="S130"/>
  <c r="R130"/>
  <c r="V101"/>
  <c r="T129"/>
  <c r="S129"/>
  <c r="R129"/>
  <c r="V100"/>
  <c r="T128"/>
  <c r="S128"/>
  <c r="R128"/>
  <c r="V99"/>
  <c r="T127"/>
  <c r="S127"/>
  <c r="R127"/>
  <c r="V98"/>
  <c r="T126"/>
  <c r="S126"/>
  <c r="R126"/>
  <c r="V97"/>
  <c r="T125"/>
  <c r="S125"/>
  <c r="R125"/>
  <c r="V96"/>
  <c r="T124"/>
  <c r="S124"/>
  <c r="R124"/>
  <c r="T113"/>
  <c r="S113"/>
  <c r="R113"/>
  <c r="T112"/>
  <c r="S112"/>
  <c r="R112"/>
  <c r="T111"/>
  <c r="S111"/>
  <c r="R111"/>
  <c r="T110"/>
  <c r="S110"/>
  <c r="R110"/>
  <c r="T109"/>
  <c r="S109"/>
  <c r="R109"/>
  <c r="T108"/>
  <c r="S108"/>
  <c r="R108"/>
  <c r="T107"/>
  <c r="S107"/>
  <c r="R107"/>
  <c r="A112" i="1"/>
  <c r="A93"/>
  <c r="A75"/>
  <c r="A57"/>
  <c r="A39"/>
  <c r="A21"/>
  <c r="F5" i="5"/>
  <c r="E5"/>
  <c r="D5"/>
  <c r="C5"/>
  <c r="B5"/>
  <c r="B42"/>
  <c r="B35"/>
  <c r="G35"/>
  <c r="E35"/>
  <c r="C35"/>
  <c r="X5" i="9"/>
  <c r="X6"/>
  <c r="X7"/>
  <c r="X8"/>
  <c r="X9"/>
  <c r="X10"/>
  <c r="X4"/>
  <c r="B39" i="5"/>
  <c r="B38"/>
  <c r="H24"/>
  <c r="G5" i="4"/>
  <c r="G6"/>
  <c r="G7"/>
  <c r="G8"/>
  <c r="G9"/>
  <c r="G4"/>
  <c r="H19"/>
  <c r="H5"/>
  <c r="H6"/>
  <c r="H7"/>
  <c r="H8"/>
  <c r="H9"/>
  <c r="H4"/>
  <c r="D4"/>
  <c r="D5"/>
  <c r="D6"/>
  <c r="D7"/>
  <c r="D8"/>
  <c r="D9"/>
  <c r="C5"/>
  <c r="C6"/>
  <c r="C7"/>
  <c r="C8"/>
  <c r="C9"/>
  <c r="C4"/>
  <c r="B5" i="7"/>
  <c r="B6"/>
  <c r="B7"/>
  <c r="B8"/>
  <c r="B9"/>
  <c r="B10"/>
  <c r="B11"/>
  <c r="B4"/>
  <c r="W4" i="9"/>
  <c r="W5"/>
  <c r="W6"/>
  <c r="W7"/>
  <c r="W8"/>
  <c r="W9"/>
  <c r="W10"/>
  <c r="B166" i="8"/>
  <c r="B165"/>
  <c r="B164"/>
  <c r="B163"/>
  <c r="B162"/>
  <c r="B161"/>
  <c r="B160"/>
  <c r="V68"/>
  <c r="T96"/>
  <c r="S96"/>
  <c r="R96"/>
  <c r="V67"/>
  <c r="T95"/>
  <c r="S95"/>
  <c r="R95"/>
  <c r="V66"/>
  <c r="T94"/>
  <c r="S94"/>
  <c r="R94"/>
  <c r="V65"/>
  <c r="T93"/>
  <c r="S93"/>
  <c r="R93"/>
  <c r="V64"/>
  <c r="T92"/>
  <c r="S92"/>
  <c r="R92"/>
  <c r="V63"/>
  <c r="T91"/>
  <c r="S91"/>
  <c r="R91"/>
  <c r="V62"/>
  <c r="T90"/>
  <c r="S90"/>
  <c r="R90"/>
  <c r="T79"/>
  <c r="S79"/>
  <c r="R79"/>
  <c r="T78"/>
  <c r="S78"/>
  <c r="R78"/>
  <c r="T77"/>
  <c r="S77"/>
  <c r="R77"/>
  <c r="T76"/>
  <c r="S76"/>
  <c r="R76"/>
  <c r="T75"/>
  <c r="S75"/>
  <c r="R75"/>
  <c r="T74"/>
  <c r="S74"/>
  <c r="R74"/>
  <c r="T73"/>
  <c r="S73"/>
  <c r="R73"/>
  <c r="T61"/>
  <c r="S61"/>
  <c r="R61"/>
  <c r="T60"/>
  <c r="S60"/>
  <c r="R60"/>
  <c r="T59"/>
  <c r="S59"/>
  <c r="R59"/>
  <c r="T58"/>
  <c r="S58"/>
  <c r="R58"/>
  <c r="T57"/>
  <c r="S57"/>
  <c r="R57"/>
  <c r="T56"/>
  <c r="S56"/>
  <c r="R56"/>
  <c r="T55"/>
  <c r="S55"/>
  <c r="R55"/>
  <c r="T44"/>
  <c r="S44"/>
  <c r="R44"/>
  <c r="T43"/>
  <c r="S43"/>
  <c r="R43"/>
  <c r="T42"/>
  <c r="S42"/>
  <c r="R42"/>
  <c r="T41"/>
  <c r="S41"/>
  <c r="R41"/>
  <c r="T40"/>
  <c r="S40"/>
  <c r="R40"/>
  <c r="T39"/>
  <c r="S39"/>
  <c r="R39"/>
  <c r="T38"/>
  <c r="S38"/>
  <c r="R38"/>
  <c r="T27"/>
  <c r="S27"/>
  <c r="R27"/>
  <c r="T26"/>
  <c r="S26"/>
  <c r="R26"/>
  <c r="T25"/>
  <c r="S25"/>
  <c r="R25"/>
  <c r="T24"/>
  <c r="S24"/>
  <c r="R24"/>
  <c r="T23"/>
  <c r="S23"/>
  <c r="R23"/>
  <c r="T22"/>
  <c r="S22"/>
  <c r="R22"/>
  <c r="T21"/>
  <c r="S21"/>
  <c r="R21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89"/>
  <c r="Q89"/>
  <c r="A54"/>
  <c r="Q54"/>
  <c r="A20"/>
  <c r="Q20"/>
  <c r="A24" i="5"/>
  <c r="R3" i="6"/>
  <c r="B40" i="1"/>
  <c r="B58"/>
  <c r="B41"/>
  <c r="B60"/>
  <c r="B79"/>
  <c r="B8"/>
  <c r="B45"/>
  <c r="B64"/>
  <c r="B83"/>
  <c r="B4"/>
  <c r="B44"/>
  <c r="B62"/>
  <c r="B82"/>
  <c r="B78"/>
  <c r="B47"/>
  <c r="B43"/>
  <c r="B23"/>
  <c r="B63"/>
  <c r="B5"/>
  <c r="B24"/>
  <c r="B81"/>
  <c r="B10"/>
  <c r="B6"/>
  <c r="B29"/>
  <c r="B25"/>
  <c r="B65"/>
  <c r="B46"/>
  <c r="B80"/>
  <c r="B61"/>
  <c r="B42"/>
  <c r="B76"/>
  <c r="B11"/>
  <c r="B7"/>
  <c r="B27"/>
  <c r="B59"/>
  <c r="B9"/>
  <c r="B28"/>
  <c r="B77"/>
  <c r="B22"/>
  <c r="B26"/>
  <c r="A118" i="7"/>
  <c r="B129"/>
  <c r="A119"/>
  <c r="A120"/>
  <c r="A121"/>
  <c r="B130"/>
  <c r="B128"/>
  <c r="A122"/>
  <c r="A123"/>
  <c r="A124"/>
  <c r="A125"/>
  <c r="B122" i="4"/>
  <c r="B123"/>
  <c r="B124"/>
  <c r="B125"/>
  <c r="B126"/>
  <c r="B127"/>
  <c r="B128"/>
  <c r="B121"/>
  <c r="C113" i="5"/>
  <c r="A132"/>
  <c r="A126"/>
  <c r="A127"/>
  <c r="A128"/>
  <c r="A129"/>
  <c r="A130"/>
  <c r="A131"/>
  <c r="A125"/>
  <c r="B134"/>
  <c r="A35"/>
  <c r="A37" i="8"/>
  <c r="Q37"/>
  <c r="A122" i="4"/>
  <c r="A123"/>
  <c r="A124"/>
  <c r="A125"/>
  <c r="A126"/>
  <c r="A127"/>
  <c r="A128"/>
  <c r="A121"/>
  <c r="C49" i="7"/>
  <c r="D14" i="11"/>
  <c r="G49" i="7"/>
  <c r="H14" i="11"/>
  <c r="Q43" i="8"/>
  <c r="Q60"/>
  <c r="Q26"/>
  <c r="Q39"/>
  <c r="Q56"/>
  <c r="Q22"/>
  <c r="Q79"/>
  <c r="Q44"/>
  <c r="Q61"/>
  <c r="Q27"/>
  <c r="Q40"/>
  <c r="Q23"/>
  <c r="Q57"/>
  <c r="Q38"/>
  <c r="Q21"/>
  <c r="Q55"/>
  <c r="Q41"/>
  <c r="Q58"/>
  <c r="Q24"/>
  <c r="D30" i="5"/>
  <c r="D26"/>
  <c r="D27"/>
  <c r="D28"/>
  <c r="D24"/>
  <c r="D29"/>
  <c r="D25"/>
  <c r="Q42" i="8"/>
  <c r="Q59"/>
  <c r="Q25"/>
  <c r="A72"/>
  <c r="Q72"/>
  <c r="G41" i="1"/>
  <c r="G40"/>
  <c r="I31" i="7"/>
  <c r="I33"/>
  <c r="I35"/>
  <c r="E41" i="1"/>
  <c r="J40"/>
  <c r="D42"/>
  <c r="C45"/>
  <c r="E28"/>
  <c r="E64"/>
  <c r="I41"/>
  <c r="F42"/>
  <c r="G43"/>
  <c r="E45"/>
  <c r="H40"/>
  <c r="C43"/>
  <c r="J44"/>
  <c r="H46"/>
  <c r="C41"/>
  <c r="J41"/>
  <c r="H43"/>
  <c r="H44"/>
  <c r="F45"/>
  <c r="D47"/>
  <c r="I28"/>
  <c r="I64"/>
  <c r="E42"/>
  <c r="D43"/>
  <c r="C44"/>
  <c r="J45"/>
  <c r="H47"/>
  <c r="J55" i="11"/>
  <c r="K55"/>
  <c r="F46" i="1"/>
  <c r="K22"/>
  <c r="K58"/>
  <c r="K23"/>
  <c r="K59"/>
  <c r="J24"/>
  <c r="J60"/>
  <c r="I25"/>
  <c r="I61"/>
  <c r="E29"/>
  <c r="E65"/>
  <c r="F40"/>
  <c r="E43"/>
  <c r="G44"/>
  <c r="I45"/>
  <c r="J46"/>
  <c r="F23"/>
  <c r="F59"/>
  <c r="K26"/>
  <c r="K62"/>
  <c r="K51" i="11"/>
  <c r="H42" i="1"/>
  <c r="F44"/>
  <c r="D46"/>
  <c r="K47"/>
  <c r="J56" i="11"/>
  <c r="K56"/>
  <c r="K57"/>
  <c r="J57"/>
  <c r="K53"/>
  <c r="J53"/>
  <c r="U4" i="1" a="1"/>
  <c r="E40"/>
  <c r="I40"/>
  <c r="D41"/>
  <c r="H41"/>
  <c r="C42"/>
  <c r="G42"/>
  <c r="K42"/>
  <c r="F43"/>
  <c r="J43"/>
  <c r="E44"/>
  <c r="I44"/>
  <c r="D45"/>
  <c r="H45"/>
  <c r="C46"/>
  <c r="G46"/>
  <c r="K46"/>
  <c r="F47"/>
  <c r="J47"/>
  <c r="K54" i="11"/>
  <c r="K52"/>
  <c r="Q75" i="8"/>
  <c r="Q78"/>
  <c r="Q73"/>
  <c r="Q74"/>
  <c r="I49" i="7"/>
  <c r="J14" i="11"/>
  <c r="Q76" i="8"/>
  <c r="Q96"/>
  <c r="Q77"/>
  <c r="U4" i="1"/>
  <c r="Y4"/>
  <c r="U5"/>
  <c r="Y5"/>
  <c r="U6"/>
  <c r="Y6"/>
  <c r="U7"/>
  <c r="Y7"/>
  <c r="U8"/>
  <c r="Y8"/>
  <c r="U9"/>
  <c r="Y9"/>
  <c r="U10"/>
  <c r="Y10"/>
  <c r="U11"/>
  <c r="Y11"/>
  <c r="X4"/>
  <c r="AB4"/>
  <c r="X5"/>
  <c r="AB5"/>
  <c r="X6"/>
  <c r="AB6"/>
  <c r="X7"/>
  <c r="AB7"/>
  <c r="X8"/>
  <c r="AB8"/>
  <c r="X9"/>
  <c r="AB9"/>
  <c r="X10"/>
  <c r="AB10"/>
  <c r="X11"/>
  <c r="AB11"/>
  <c r="W4"/>
  <c r="AA4"/>
  <c r="W5"/>
  <c r="AA5"/>
  <c r="W6"/>
  <c r="AA6"/>
  <c r="W7"/>
  <c r="AA7"/>
  <c r="W8"/>
  <c r="AA8"/>
  <c r="W9"/>
  <c r="AA9"/>
  <c r="W10"/>
  <c r="AA10"/>
  <c r="W11"/>
  <c r="AA11"/>
  <c r="V4"/>
  <c r="Z4"/>
  <c r="V5"/>
  <c r="Z5"/>
  <c r="V6"/>
  <c r="Z6"/>
  <c r="V7"/>
  <c r="Z7"/>
  <c r="V8"/>
  <c r="Z8"/>
  <c r="V9"/>
  <c r="Z9"/>
  <c r="V10"/>
  <c r="Z10"/>
  <c r="V11"/>
  <c r="Z11"/>
  <c r="Q94" i="8"/>
  <c r="Q92"/>
  <c r="Q93"/>
  <c r="Q91"/>
  <c r="Q90"/>
  <c r="Q130"/>
  <c r="Q113"/>
  <c r="Q95"/>
  <c r="B22" i="9" a="1"/>
  <c r="B22"/>
  <c r="Q128" i="8"/>
  <c r="Q111"/>
  <c r="Q126"/>
  <c r="Q109"/>
  <c r="Q127"/>
  <c r="Q110"/>
  <c r="Q125"/>
  <c r="Q108"/>
  <c r="Q129"/>
  <c r="Q112"/>
  <c r="Q124"/>
  <c r="Q107"/>
  <c r="F49" i="7"/>
  <c r="G14" i="11"/>
  <c r="E49" i="7"/>
  <c r="F14" i="11"/>
  <c r="D49" i="7"/>
  <c r="E14" i="11"/>
</calcChain>
</file>

<file path=xl/comments1.xml><?xml version="1.0" encoding="utf-8"?>
<comments xmlns="http://schemas.openxmlformats.org/spreadsheetml/2006/main">
  <authors>
    <author>SGP</author>
  </authors>
  <commentList>
    <comment ref="B53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<sst xmlns="http://schemas.openxmlformats.org/spreadsheetml/2006/main" count="448" uniqueCount="149">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</sst>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8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1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347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64" fontId="75" fillId="33" borderId="7" xfId="0" applyNumberFormat="1" applyFont="1" applyFill="1" applyBorder="1" applyAlignment="1">
      <alignment horizontal="center"/>
    </xf>
    <xf numFmtId="10" fontId="78" fillId="3" borderId="0" xfId="1" applyNumberFormat="1" applyFont="1" applyFill="1" applyBorder="1" applyAlignment="1">
      <alignment horizontal="center"/>
    </xf>
    <xf numFmtId="10" fontId="78" fillId="3" borderId="3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9" fillId="3" borderId="22" xfId="1" applyNumberFormat="1" applyFont="1" applyFill="1" applyBorder="1" applyAlignment="1">
      <alignment horizontal="center"/>
    </xf>
    <xf numFmtId="10" fontId="78" fillId="3" borderId="25" xfId="1" applyNumberFormat="1" applyFont="1" applyFill="1" applyBorder="1" applyAlignment="1">
      <alignment horizontal="center"/>
    </xf>
    <xf numFmtId="0" fontId="78" fillId="3" borderId="22" xfId="0" applyFont="1" applyFill="1" applyBorder="1"/>
    <xf numFmtId="0" fontId="78" fillId="3" borderId="25" xfId="0" applyFont="1" applyFill="1" applyBorder="1"/>
    <xf numFmtId="0" fontId="76" fillId="34" borderId="24" xfId="0" applyFont="1" applyFill="1" applyBorder="1" applyAlignment="1">
      <alignment horizontal="left"/>
    </xf>
    <xf numFmtId="0" fontId="76" fillId="34" borderId="35" xfId="0" applyFont="1" applyFill="1" applyBorder="1" applyAlignment="1">
      <alignment horizontal="center"/>
    </xf>
    <xf numFmtId="0" fontId="76" fillId="34" borderId="24" xfId="0" applyFont="1" applyFill="1" applyBorder="1" applyAlignment="1">
      <alignment horizontal="center"/>
    </xf>
    <xf numFmtId="0" fontId="78" fillId="3" borderId="21" xfId="0" applyFont="1" applyFill="1" applyBorder="1"/>
    <xf numFmtId="10" fontId="78" fillId="3" borderId="28" xfId="1" applyNumberFormat="1" applyFont="1" applyFill="1" applyBorder="1" applyAlignment="1">
      <alignment horizontal="center"/>
    </xf>
    <xf numFmtId="10" fontId="78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666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48"/>
          <c:w val="0.5562682138416909"/>
          <c:h val="0.69258218413305173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7901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mixen'!$A$129:$A$136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mixen'!$B$129:$B$136</c:f>
              <c:numCache>
                <c:formatCode>0.0%</c:formatCode>
                <c:ptCount val="8"/>
                <c:pt idx="0">
                  <c:v>0.68826537185477332</c:v>
                </c:pt>
                <c:pt idx="1">
                  <c:v>2.6830485720431192E-2</c:v>
                </c:pt>
                <c:pt idx="2">
                  <c:v>1.8907938156090032E-2</c:v>
                </c:pt>
                <c:pt idx="3">
                  <c:v>3.2741343678820293E-3</c:v>
                </c:pt>
                <c:pt idx="4">
                  <c:v>0.21630430799206796</c:v>
                </c:pt>
                <c:pt idx="5">
                  <c:v>2.1919991319578894E-2</c:v>
                </c:pt>
                <c:pt idx="6">
                  <c:v>1.9289812340493772E-2</c:v>
                </c:pt>
                <c:pt idx="7">
                  <c:v>5.2079582486821777E-3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3998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mixen'!$S$129:$S$136</c:f>
              <c:numCache>
                <c:formatCode>0.0%</c:formatCode>
                <c:ptCount val="8"/>
                <c:pt idx="0">
                  <c:v>0.67764273190372148</c:v>
                </c:pt>
                <c:pt idx="1">
                  <c:v>1.0322506661368216E-2</c:v>
                </c:pt>
                <c:pt idx="2">
                  <c:v>6.9400769786467252E-3</c:v>
                </c:pt>
                <c:pt idx="3">
                  <c:v>7.1246281901709359E-4</c:v>
                </c:pt>
                <c:pt idx="4">
                  <c:v>0.20554083364705478</c:v>
                </c:pt>
                <c:pt idx="5">
                  <c:v>8.1937312581441824E-3</c:v>
                </c:pt>
                <c:pt idx="6">
                  <c:v>7.7119224218432127E-3</c:v>
                </c:pt>
                <c:pt idx="7">
                  <c:v>1.3782708666761111E-3</c:v>
                </c:pt>
              </c:numCache>
            </c:numRef>
          </c:val>
        </c:ser>
        <c:ser>
          <c:idx val="1"/>
          <c:order val="1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mixen'!$T$129:$T$136</c:f>
              <c:numCache>
                <c:formatCode>0.0%</c:formatCode>
                <c:ptCount val="8"/>
                <c:pt idx="0">
                  <c:v>1.0622639951051838E-2</c:v>
                </c:pt>
                <c:pt idx="1">
                  <c:v>1.6507979059062976E-2</c:v>
                </c:pt>
                <c:pt idx="2">
                  <c:v>1.1967861177443306E-2</c:v>
                </c:pt>
                <c:pt idx="3">
                  <c:v>2.5616715488649359E-3</c:v>
                </c:pt>
                <c:pt idx="4">
                  <c:v>1.076347434501318E-2</c:v>
                </c:pt>
                <c:pt idx="5">
                  <c:v>1.3726260061434712E-2</c:v>
                </c:pt>
                <c:pt idx="6">
                  <c:v>1.1577889918650559E-2</c:v>
                </c:pt>
                <c:pt idx="7">
                  <c:v>3.8296873820060666E-3</c:v>
                </c:pt>
              </c:numCache>
            </c:numRef>
          </c:val>
        </c:ser>
        <c:ser>
          <c:idx val="2"/>
          <c:order val="2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mixen'!$U$129:$U$136</c:f>
              <c:numCache>
                <c:formatCode>0.0%</c:formatCode>
                <c:ptCount val="8"/>
                <c:pt idx="0">
                  <c:v>9.8749826852762013E-3</c:v>
                </c:pt>
                <c:pt idx="1">
                  <c:v>1.216230723818865E-2</c:v>
                </c:pt>
                <c:pt idx="2">
                  <c:v>8.7024905605503321E-3</c:v>
                </c:pt>
                <c:pt idx="3">
                  <c:v>1.360680571428006E-3</c:v>
                </c:pt>
                <c:pt idx="4">
                  <c:v>1.0897585461989379E-2</c:v>
                </c:pt>
                <c:pt idx="5">
                  <c:v>1.0221521266189897E-2</c:v>
                </c:pt>
                <c:pt idx="6">
                  <c:v>7.708909864886121E-3</c:v>
                </c:pt>
                <c:pt idx="7">
                  <c:v>2.5443558845667522E-3</c:v>
                </c:pt>
              </c:numCache>
            </c:numRef>
          </c:val>
        </c:ser>
        <c:overlap val="100"/>
        <c:axId val="60716544"/>
        <c:axId val="60922880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60716544"/>
        <c:axId val="60922880"/>
      </c:lineChart>
      <c:catAx>
        <c:axId val="60716544"/>
        <c:scaling>
          <c:orientation val="minMax"/>
        </c:scaling>
        <c:axPos val="b"/>
        <c:tickLblPos val="nextTo"/>
        <c:crossAx val="60922880"/>
        <c:crosses val="autoZero"/>
        <c:auto val="1"/>
        <c:lblAlgn val="ctr"/>
        <c:lblOffset val="100"/>
      </c:catAx>
      <c:valAx>
        <c:axId val="60922880"/>
        <c:scaling>
          <c:orientation val="minMax"/>
        </c:scaling>
        <c:axPos val="l"/>
        <c:majorGridlines/>
        <c:numFmt formatCode="0%" sourceLinked="0"/>
        <c:tickLblPos val="nextTo"/>
        <c:crossAx val="6071654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Scenarios!$B$30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Scenarios!$B$31:$B$38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3.1705382280009728E-2</c:v>
                </c:pt>
                <c:pt idx="3">
                  <c:v>5.7210243741557129E-2</c:v>
                </c:pt>
                <c:pt idx="4">
                  <c:v>5.5668448282861861E-2</c:v>
                </c:pt>
                <c:pt idx="5">
                  <c:v>5.4683067728185694E-2</c:v>
                </c:pt>
                <c:pt idx="6">
                  <c:v>2.9030049193200475E-2</c:v>
                </c:pt>
                <c:pt idx="7">
                  <c:v>3.8983857987503749E-2</c:v>
                </c:pt>
              </c:numCache>
            </c:numRef>
          </c:val>
        </c:ser>
        <c:ser>
          <c:idx val="1"/>
          <c:order val="1"/>
          <c:tx>
            <c:strRef>
              <c:f>Scenarios!$C$30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Scenarios!$C$31:$C$38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2.2858562017300008E-2</c:v>
                </c:pt>
                <c:pt idx="2">
                  <c:v>1.969557072360073E-2</c:v>
                </c:pt>
                <c:pt idx="3">
                  <c:v>1.5342489100108013E-2</c:v>
                </c:pt>
                <c:pt idx="4">
                  <c:v>8.9680832159551499E-2</c:v>
                </c:pt>
                <c:pt idx="5">
                  <c:v>6.2036265615280854E-2</c:v>
                </c:pt>
                <c:pt idx="6">
                  <c:v>1.488056303571629E-2</c:v>
                </c:pt>
                <c:pt idx="7">
                  <c:v>1.0171029512307597E-3</c:v>
                </c:pt>
              </c:numCache>
            </c:numRef>
          </c:val>
        </c:ser>
        <c:ser>
          <c:idx val="2"/>
          <c:order val="2"/>
          <c:tx>
            <c:strRef>
              <c:f>Scenarios!$D$30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Scenarios!$D$31:$D$38</c:f>
              <c:numCache>
                <c:formatCode>0.0%</c:formatCode>
                <c:ptCount val="8"/>
                <c:pt idx="0">
                  <c:v>-8.3588621306752015E-3</c:v>
                </c:pt>
                <c:pt idx="1">
                  <c:v>-0.11499037271336665</c:v>
                </c:pt>
                <c:pt idx="2">
                  <c:v>-5.2376796385311453E-2</c:v>
                </c:pt>
                <c:pt idx="3">
                  <c:v>-0.17392510433387029</c:v>
                </c:pt>
                <c:pt idx="4">
                  <c:v>-3.7808219094456759E-2</c:v>
                </c:pt>
                <c:pt idx="5">
                  <c:v>-3.284707730570241E-2</c:v>
                </c:pt>
                <c:pt idx="6">
                  <c:v>-6.8340905073244612E-2</c:v>
                </c:pt>
                <c:pt idx="7">
                  <c:v>-0.14436089700803501</c:v>
                </c:pt>
              </c:numCache>
            </c:numRef>
          </c:val>
        </c:ser>
        <c:ser>
          <c:idx val="3"/>
          <c:order val="3"/>
          <c:tx>
            <c:strRef>
              <c:f>Scenarios!$E$30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Scenarios!$E$31:$E$38</c:f>
              <c:numCache>
                <c:formatCode>0.0%</c:formatCode>
                <c:ptCount val="8"/>
                <c:pt idx="0">
                  <c:v>1.4376558188383924E-3</c:v>
                </c:pt>
                <c:pt idx="1">
                  <c:v>0.11551300949463331</c:v>
                </c:pt>
                <c:pt idx="2">
                  <c:v>4.0241164278631184E-2</c:v>
                </c:pt>
                <c:pt idx="3">
                  <c:v>0.10543931584949295</c:v>
                </c:pt>
                <c:pt idx="4">
                  <c:v>0.15418580946951296</c:v>
                </c:pt>
                <c:pt idx="5">
                  <c:v>0.10991050604096422</c:v>
                </c:pt>
                <c:pt idx="6">
                  <c:v>5.3991297090196705E-2</c:v>
                </c:pt>
                <c:pt idx="7">
                  <c:v>6.7667954145598314E-2</c:v>
                </c:pt>
              </c:numCache>
            </c:numRef>
          </c:val>
        </c:ser>
        <c:ser>
          <c:idx val="4"/>
          <c:order val="4"/>
          <c:tx>
            <c:strRef>
              <c:f>Scenarios!$F$30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Scenarios!$F$31:$F$38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-0.38295246775336667</c:v>
                </c:pt>
                <c:pt idx="2">
                  <c:v>-0.39829027497479152</c:v>
                </c:pt>
                <c:pt idx="3">
                  <c:v>-0.54196526383339005</c:v>
                </c:pt>
                <c:pt idx="4">
                  <c:v>-0.35751975156032917</c:v>
                </c:pt>
                <c:pt idx="5">
                  <c:v>-0.527954509512369</c:v>
                </c:pt>
                <c:pt idx="6">
                  <c:v>-0.22728232022069594</c:v>
                </c:pt>
                <c:pt idx="7">
                  <c:v>-0.42122995880386094</c:v>
                </c:pt>
              </c:numCache>
            </c:numRef>
          </c:val>
        </c:ser>
        <c:ser>
          <c:idx val="5"/>
          <c:order val="5"/>
          <c:tx>
            <c:strRef>
              <c:f>Scenarios!$G$30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Scenarios!$G$31:$G$38</c:f>
              <c:numCache>
                <c:formatCode>0.0%</c:formatCode>
                <c:ptCount val="8"/>
                <c:pt idx="0">
                  <c:v>-0.27327160808286638</c:v>
                </c:pt>
                <c:pt idx="1">
                  <c:v>-0.30559149395336677</c:v>
                </c:pt>
                <c:pt idx="2">
                  <c:v>-0.17958808739362325</c:v>
                </c:pt>
                <c:pt idx="3">
                  <c:v>-0.44602715761849837</c:v>
                </c:pt>
                <c:pt idx="4">
                  <c:v>-0.22994700662162446</c:v>
                </c:pt>
                <c:pt idx="5">
                  <c:v>-0.56384711463070247</c:v>
                </c:pt>
                <c:pt idx="6">
                  <c:v>-3.8464301156549618E-3</c:v>
                </c:pt>
                <c:pt idx="7">
                  <c:v>-0.47665217132586252</c:v>
                </c:pt>
              </c:numCache>
            </c:numRef>
          </c:val>
        </c:ser>
        <c:ser>
          <c:idx val="6"/>
          <c:order val="6"/>
          <c:tx>
            <c:strRef>
              <c:f>Scenarios!$H$30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Scenarios!$H$31:$H$38</c:f>
              <c:numCache>
                <c:formatCode>0.0%</c:formatCode>
                <c:ptCount val="8"/>
                <c:pt idx="0">
                  <c:v>1.8717143647405954E-3</c:v>
                </c:pt>
                <c:pt idx="1">
                  <c:v>0.33907962485463328</c:v>
                </c:pt>
                <c:pt idx="2">
                  <c:v>0.29097179291301789</c:v>
                </c:pt>
                <c:pt idx="3">
                  <c:v>0.49356749913690923</c:v>
                </c:pt>
                <c:pt idx="4">
                  <c:v>0.45979708922708296</c:v>
                </c:pt>
                <c:pt idx="5">
                  <c:v>0.65436153607763092</c:v>
                </c:pt>
                <c:pt idx="6">
                  <c:v>0.31176062949530947</c:v>
                </c:pt>
                <c:pt idx="7">
                  <c:v>0.43571794524441654</c:v>
                </c:pt>
              </c:numCache>
            </c:numRef>
          </c:val>
        </c:ser>
        <c:axId val="182785920"/>
        <c:axId val="184737792"/>
      </c:barChart>
      <c:catAx>
        <c:axId val="182785920"/>
        <c:scaling>
          <c:orientation val="minMax"/>
        </c:scaling>
        <c:axPos val="b"/>
        <c:tickLblPos val="nextTo"/>
        <c:crossAx val="184737792"/>
        <c:crosses val="autoZero"/>
        <c:auto val="1"/>
        <c:lblAlgn val="ctr"/>
        <c:lblOffset val="100"/>
      </c:catAx>
      <c:valAx>
        <c:axId val="184737792"/>
        <c:scaling>
          <c:orientation val="minMax"/>
        </c:scaling>
        <c:axPos val="l"/>
        <c:majorGridlines/>
        <c:numFmt formatCode="0.0%" sourceLinked="1"/>
        <c:tickLblPos val="nextTo"/>
        <c:crossAx val="1827859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771"/>
          <c:y val="0.30999086720261959"/>
          <c:w val="0.27290015295627634"/>
          <c:h val="0.50313982945017555"/>
        </c:manualLayout>
      </c:layout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198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return'!$R$124:$R$130</c:f>
              <c:numCache>
                <c:formatCode>0.0%</c:formatCode>
                <c:ptCount val="7"/>
                <c:pt idx="0">
                  <c:v>1.8833350886589353E-2</c:v>
                </c:pt>
                <c:pt idx="1">
                  <c:v>1.4539096547584025E-2</c:v>
                </c:pt>
                <c:pt idx="2">
                  <c:v>1.0369453171366512E-3</c:v>
                </c:pt>
                <c:pt idx="3">
                  <c:v>0.62402832097326888</c:v>
                </c:pt>
                <c:pt idx="4">
                  <c:v>1.5399174538219958E-2</c:v>
                </c:pt>
                <c:pt idx="5">
                  <c:v>1.4868472900995792E-2</c:v>
                </c:pt>
                <c:pt idx="6">
                  <c:v>2.0119114554013277E-3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return'!$S$124:$S$130</c:f>
              <c:numCache>
                <c:formatCode>0.0%</c:formatCode>
                <c:ptCount val="7"/>
                <c:pt idx="0">
                  <c:v>6.5589954970120018E-2</c:v>
                </c:pt>
                <c:pt idx="1">
                  <c:v>4.5539169597662688E-2</c:v>
                </c:pt>
                <c:pt idx="2">
                  <c:v>9.527846412011166E-3</c:v>
                </c:pt>
                <c:pt idx="3">
                  <c:v>7.2721895818925741E-2</c:v>
                </c:pt>
                <c:pt idx="4">
                  <c:v>5.4977525292602844E-2</c:v>
                </c:pt>
                <c:pt idx="5">
                  <c:v>4.6187929507514401E-2</c:v>
                </c:pt>
                <c:pt idx="6">
                  <c:v>1.4738405781966798E-2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return'!$T$124:$T$130</c:f>
              <c:numCache>
                <c:formatCode>0.0%</c:formatCode>
                <c:ptCount val="7"/>
                <c:pt idx="0">
                  <c:v>6.1840310869025861E-2</c:v>
                </c:pt>
                <c:pt idx="1">
                  <c:v>5.148327451670421E-2</c:v>
                </c:pt>
                <c:pt idx="2">
                  <c:v>9.76524535175422E-3</c:v>
                </c:pt>
                <c:pt idx="3">
                  <c:v>7.8041444182666675E-2</c:v>
                </c:pt>
                <c:pt idx="4">
                  <c:v>5.070949501589575E-2</c:v>
                </c:pt>
                <c:pt idx="5">
                  <c:v>4.6258108374441456E-2</c:v>
                </c:pt>
                <c:pt idx="6">
                  <c:v>1.5733077815258054E-2</c:v>
                </c:pt>
              </c:numCache>
            </c:numRef>
          </c:val>
        </c:ser>
        <c:overlap val="100"/>
        <c:axId val="262839296"/>
        <c:axId val="263038080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262839296"/>
        <c:axId val="263038080"/>
      </c:lineChart>
      <c:catAx>
        <c:axId val="262839296"/>
        <c:scaling>
          <c:orientation val="minMax"/>
        </c:scaling>
        <c:axPos val="b"/>
        <c:numFmt formatCode="General" sourceLinked="1"/>
        <c:tickLblPos val="nextTo"/>
        <c:crossAx val="263038080"/>
        <c:crosses val="autoZero"/>
        <c:auto val="1"/>
        <c:lblAlgn val="ctr"/>
        <c:lblOffset val="100"/>
      </c:catAx>
      <c:valAx>
        <c:axId val="263038080"/>
        <c:scaling>
          <c:orientation val="minMax"/>
        </c:scaling>
        <c:axPos val="l"/>
        <c:majorGridlines/>
        <c:numFmt formatCode="0%" sourceLinked="0"/>
        <c:tickLblPos val="nextTo"/>
        <c:crossAx val="26283929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Scenarios!$B$30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Scenarios!$B$31:$B$38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3.1705382280009728E-2</c:v>
                </c:pt>
                <c:pt idx="3">
                  <c:v>5.7210243741557129E-2</c:v>
                </c:pt>
                <c:pt idx="4">
                  <c:v>5.5668448282861861E-2</c:v>
                </c:pt>
                <c:pt idx="5">
                  <c:v>5.4683067728185694E-2</c:v>
                </c:pt>
                <c:pt idx="6">
                  <c:v>2.9030049193200475E-2</c:v>
                </c:pt>
                <c:pt idx="7">
                  <c:v>3.8983857987503749E-2</c:v>
                </c:pt>
              </c:numCache>
            </c:numRef>
          </c:val>
        </c:ser>
        <c:ser>
          <c:idx val="1"/>
          <c:order val="1"/>
          <c:tx>
            <c:strRef>
              <c:f>Scenarios!$C$30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Scenarios!$C$31:$C$38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2.2858562017300008E-2</c:v>
                </c:pt>
                <c:pt idx="2">
                  <c:v>1.969557072360073E-2</c:v>
                </c:pt>
                <c:pt idx="3">
                  <c:v>1.5342489100108013E-2</c:v>
                </c:pt>
                <c:pt idx="4">
                  <c:v>8.9680832159551499E-2</c:v>
                </c:pt>
                <c:pt idx="5">
                  <c:v>6.2036265615280854E-2</c:v>
                </c:pt>
                <c:pt idx="6">
                  <c:v>1.488056303571629E-2</c:v>
                </c:pt>
                <c:pt idx="7">
                  <c:v>1.0171029512307597E-3</c:v>
                </c:pt>
              </c:numCache>
            </c:numRef>
          </c:val>
        </c:ser>
        <c:ser>
          <c:idx val="2"/>
          <c:order val="2"/>
          <c:tx>
            <c:strRef>
              <c:f>Scenarios!$D$30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Scenarios!$D$31:$D$38</c:f>
              <c:numCache>
                <c:formatCode>0.0%</c:formatCode>
                <c:ptCount val="8"/>
                <c:pt idx="0">
                  <c:v>-8.3588621306752015E-3</c:v>
                </c:pt>
                <c:pt idx="1">
                  <c:v>-0.11499037271336665</c:v>
                </c:pt>
                <c:pt idx="2">
                  <c:v>-5.2376796385311453E-2</c:v>
                </c:pt>
                <c:pt idx="3">
                  <c:v>-0.17392510433387029</c:v>
                </c:pt>
                <c:pt idx="4">
                  <c:v>-3.7808219094456759E-2</c:v>
                </c:pt>
                <c:pt idx="5">
                  <c:v>-3.284707730570241E-2</c:v>
                </c:pt>
                <c:pt idx="6">
                  <c:v>-6.8340905073244612E-2</c:v>
                </c:pt>
                <c:pt idx="7">
                  <c:v>-0.14436089700803501</c:v>
                </c:pt>
              </c:numCache>
            </c:numRef>
          </c:val>
        </c:ser>
        <c:ser>
          <c:idx val="3"/>
          <c:order val="3"/>
          <c:tx>
            <c:strRef>
              <c:f>Scenarios!$E$30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Scenarios!$E$31:$E$38</c:f>
              <c:numCache>
                <c:formatCode>0.0%</c:formatCode>
                <c:ptCount val="8"/>
                <c:pt idx="0">
                  <c:v>1.4376558188383924E-3</c:v>
                </c:pt>
                <c:pt idx="1">
                  <c:v>0.11551300949463331</c:v>
                </c:pt>
                <c:pt idx="2">
                  <c:v>4.0241164278631184E-2</c:v>
                </c:pt>
                <c:pt idx="3">
                  <c:v>0.10543931584949295</c:v>
                </c:pt>
                <c:pt idx="4">
                  <c:v>0.15418580946951296</c:v>
                </c:pt>
                <c:pt idx="5">
                  <c:v>0.10991050604096422</c:v>
                </c:pt>
                <c:pt idx="6">
                  <c:v>5.3991297090196705E-2</c:v>
                </c:pt>
                <c:pt idx="7">
                  <c:v>6.7667954145598314E-2</c:v>
                </c:pt>
              </c:numCache>
            </c:numRef>
          </c:val>
        </c:ser>
        <c:ser>
          <c:idx val="4"/>
          <c:order val="4"/>
          <c:tx>
            <c:strRef>
              <c:f>Scenarios!$F$30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Scenarios!$F$31:$F$38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-0.38295246775336667</c:v>
                </c:pt>
                <c:pt idx="2">
                  <c:v>-0.39829027497479152</c:v>
                </c:pt>
                <c:pt idx="3">
                  <c:v>-0.54196526383339005</c:v>
                </c:pt>
                <c:pt idx="4">
                  <c:v>-0.35751975156032917</c:v>
                </c:pt>
                <c:pt idx="5">
                  <c:v>-0.527954509512369</c:v>
                </c:pt>
                <c:pt idx="6">
                  <c:v>-0.22728232022069594</c:v>
                </c:pt>
                <c:pt idx="7">
                  <c:v>-0.42122995880386094</c:v>
                </c:pt>
              </c:numCache>
            </c:numRef>
          </c:val>
        </c:ser>
        <c:ser>
          <c:idx val="5"/>
          <c:order val="5"/>
          <c:tx>
            <c:strRef>
              <c:f>Scenarios!$G$30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Scenarios!$G$31:$G$38</c:f>
              <c:numCache>
                <c:formatCode>0.0%</c:formatCode>
                <c:ptCount val="8"/>
                <c:pt idx="0">
                  <c:v>-0.27327160808286638</c:v>
                </c:pt>
                <c:pt idx="1">
                  <c:v>-0.30559149395336677</c:v>
                </c:pt>
                <c:pt idx="2">
                  <c:v>-0.17958808739362325</c:v>
                </c:pt>
                <c:pt idx="3">
                  <c:v>-0.44602715761849837</c:v>
                </c:pt>
                <c:pt idx="4">
                  <c:v>-0.22994700662162446</c:v>
                </c:pt>
                <c:pt idx="5">
                  <c:v>-0.56384711463070247</c:v>
                </c:pt>
                <c:pt idx="6">
                  <c:v>-3.8464301156549618E-3</c:v>
                </c:pt>
                <c:pt idx="7">
                  <c:v>-0.47665217132586252</c:v>
                </c:pt>
              </c:numCache>
            </c:numRef>
          </c:val>
        </c:ser>
        <c:ser>
          <c:idx val="6"/>
          <c:order val="6"/>
          <c:tx>
            <c:strRef>
              <c:f>Scenarios!$H$30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Scenarios!$H$31:$H$38</c:f>
              <c:numCache>
                <c:formatCode>0.0%</c:formatCode>
                <c:ptCount val="8"/>
                <c:pt idx="0">
                  <c:v>1.8717143647405954E-3</c:v>
                </c:pt>
                <c:pt idx="1">
                  <c:v>0.33907962485463328</c:v>
                </c:pt>
                <c:pt idx="2">
                  <c:v>0.29097179291301789</c:v>
                </c:pt>
                <c:pt idx="3">
                  <c:v>0.49356749913690923</c:v>
                </c:pt>
                <c:pt idx="4">
                  <c:v>0.45979708922708296</c:v>
                </c:pt>
                <c:pt idx="5">
                  <c:v>0.65436153607763092</c:v>
                </c:pt>
                <c:pt idx="6">
                  <c:v>0.31176062949530947</c:v>
                </c:pt>
                <c:pt idx="7">
                  <c:v>0.43571794524441654</c:v>
                </c:pt>
              </c:numCache>
            </c:numRef>
          </c:val>
        </c:ser>
        <c:axId val="274360576"/>
        <c:axId val="274425728"/>
      </c:barChart>
      <c:catAx>
        <c:axId val="274360576"/>
        <c:scaling>
          <c:orientation val="minMax"/>
        </c:scaling>
        <c:axPos val="b"/>
        <c:tickLblPos val="nextTo"/>
        <c:crossAx val="274425728"/>
        <c:crosses val="autoZero"/>
        <c:auto val="1"/>
        <c:lblAlgn val="ctr"/>
        <c:lblOffset val="100"/>
      </c:catAx>
      <c:valAx>
        <c:axId val="274425728"/>
        <c:scaling>
          <c:orientation val="minMax"/>
        </c:scaling>
        <c:axPos val="l"/>
        <c:majorGridlines/>
        <c:numFmt formatCode="0.0%" sourceLinked="1"/>
        <c:tickLblPos val="nextTo"/>
        <c:crossAx val="2743605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08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0.594639942656918</c:v>
                </c:pt>
                <c:pt idx="1">
                  <c:v>2.956906497505566E-2</c:v>
                </c:pt>
                <c:pt idx="2">
                  <c:v>3.0979705206558284E-2</c:v>
                </c:pt>
                <c:pt idx="3">
                  <c:v>7.068423209378516E-2</c:v>
                </c:pt>
                <c:pt idx="4">
                  <c:v>4.4497817193361995E-2</c:v>
                </c:pt>
                <c:pt idx="5">
                  <c:v>1.0475268344707446E-2</c:v>
                </c:pt>
                <c:pt idx="6">
                  <c:v>2.5026039095407477E-2</c:v>
                </c:pt>
                <c:pt idx="7">
                  <c:v>2.8910159229896662E-2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1.2677876449119441E-2</c:v>
                </c:pt>
                <c:pt idx="1">
                  <c:v>2.7791736366528694E-2</c:v>
                </c:pt>
                <c:pt idx="2">
                  <c:v>3.3127844313393329E-2</c:v>
                </c:pt>
                <c:pt idx="3">
                  <c:v>1.8881353345065924E-2</c:v>
                </c:pt>
                <c:pt idx="4">
                  <c:v>1.3379157587937549E-2</c:v>
                </c:pt>
                <c:pt idx="5">
                  <c:v>8.5689454954424003E-3</c:v>
                </c:pt>
                <c:pt idx="6">
                  <c:v>2.2843849551305171E-2</c:v>
                </c:pt>
                <c:pt idx="7">
                  <c:v>2.7947008095516986E-2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1.1244585849080613E-2</c:v>
                </c:pt>
                <c:pt idx="1">
                  <c:v>2.3426354688190022E-2</c:v>
                </c:pt>
                <c:pt idx="2">
                  <c:v>2.4576587081619458E-2</c:v>
                </c:pt>
                <c:pt idx="3">
                  <c:v>1.7681822441912007E-2</c:v>
                </c:pt>
                <c:pt idx="4">
                  <c:v>1.4543370281239011E-2</c:v>
                </c:pt>
                <c:pt idx="5">
                  <c:v>7.936763683560024E-3</c:v>
                </c:pt>
                <c:pt idx="6">
                  <c:v>1.9254359498479874E-2</c:v>
                </c:pt>
                <c:pt idx="7">
                  <c:v>2.3528594747326111E-2</c:v>
                </c:pt>
              </c:numCache>
            </c:numRef>
          </c:val>
        </c:ser>
        <c:gapWidth val="100"/>
        <c:overlap val="100"/>
        <c:axId val="275421824"/>
        <c:axId val="275432192"/>
      </c:barChart>
      <c:catAx>
        <c:axId val="275421824"/>
        <c:scaling>
          <c:orientation val="minMax"/>
        </c:scaling>
        <c:axPos val="l"/>
        <c:numFmt formatCode="0%" sourceLinked="1"/>
        <c:tickLblPos val="nextTo"/>
        <c:crossAx val="275432192"/>
        <c:crosses val="autoZero"/>
        <c:auto val="1"/>
        <c:lblAlgn val="ctr"/>
        <c:lblOffset val="100"/>
      </c:catAx>
      <c:valAx>
        <c:axId val="275432192"/>
        <c:scaling>
          <c:orientation val="minMax"/>
        </c:scaling>
        <c:axPos val="b"/>
        <c:majorGridlines/>
        <c:numFmt formatCode="0%" sourceLinked="0"/>
        <c:tickLblPos val="nextTo"/>
        <c:crossAx val="275421824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mixen'!$S$129:$S$136</c:f>
              <c:numCache>
                <c:formatCode>0.0%</c:formatCode>
                <c:ptCount val="8"/>
                <c:pt idx="0">
                  <c:v>0.67764273190372148</c:v>
                </c:pt>
                <c:pt idx="1">
                  <c:v>1.0322506661368216E-2</c:v>
                </c:pt>
                <c:pt idx="2">
                  <c:v>6.9400769786467252E-3</c:v>
                </c:pt>
                <c:pt idx="3">
                  <c:v>7.1246281901709359E-4</c:v>
                </c:pt>
                <c:pt idx="4">
                  <c:v>0.20554083364705478</c:v>
                </c:pt>
                <c:pt idx="5">
                  <c:v>8.1937312581441824E-3</c:v>
                </c:pt>
                <c:pt idx="6">
                  <c:v>7.7119224218432127E-3</c:v>
                </c:pt>
                <c:pt idx="7">
                  <c:v>1.3782708666761111E-3</c:v>
                </c:pt>
              </c:numCache>
            </c:numRef>
          </c:val>
        </c:ser>
        <c:ser>
          <c:idx val="1"/>
          <c:order val="1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mixen'!$T$129:$T$136</c:f>
              <c:numCache>
                <c:formatCode>0.0%</c:formatCode>
                <c:ptCount val="8"/>
                <c:pt idx="0">
                  <c:v>1.0622639951051838E-2</c:v>
                </c:pt>
                <c:pt idx="1">
                  <c:v>1.6507979059062976E-2</c:v>
                </c:pt>
                <c:pt idx="2">
                  <c:v>1.1967861177443306E-2</c:v>
                </c:pt>
                <c:pt idx="3">
                  <c:v>2.5616715488649359E-3</c:v>
                </c:pt>
                <c:pt idx="4">
                  <c:v>1.076347434501318E-2</c:v>
                </c:pt>
                <c:pt idx="5">
                  <c:v>1.3726260061434712E-2</c:v>
                </c:pt>
                <c:pt idx="6">
                  <c:v>1.1577889918650559E-2</c:v>
                </c:pt>
                <c:pt idx="7">
                  <c:v>3.8296873820060666E-3</c:v>
                </c:pt>
              </c:numCache>
            </c:numRef>
          </c:val>
        </c:ser>
        <c:ser>
          <c:idx val="2"/>
          <c:order val="2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mixen'!$U$129:$U$136</c:f>
              <c:numCache>
                <c:formatCode>0.0%</c:formatCode>
                <c:ptCount val="8"/>
                <c:pt idx="0">
                  <c:v>9.8749826852762013E-3</c:v>
                </c:pt>
                <c:pt idx="1">
                  <c:v>1.216230723818865E-2</c:v>
                </c:pt>
                <c:pt idx="2">
                  <c:v>8.7024905605503321E-3</c:v>
                </c:pt>
                <c:pt idx="3">
                  <c:v>1.360680571428006E-3</c:v>
                </c:pt>
                <c:pt idx="4">
                  <c:v>1.0897585461989379E-2</c:v>
                </c:pt>
                <c:pt idx="5">
                  <c:v>1.0221521266189897E-2</c:v>
                </c:pt>
                <c:pt idx="6">
                  <c:v>7.708909864886121E-3</c:v>
                </c:pt>
                <c:pt idx="7">
                  <c:v>2.5443558845667522E-3</c:v>
                </c:pt>
              </c:numCache>
            </c:numRef>
          </c:val>
        </c:ser>
        <c:gapWidth val="100"/>
        <c:overlap val="100"/>
        <c:axId val="315277696"/>
        <c:axId val="315280384"/>
      </c:barChart>
      <c:catAx>
        <c:axId val="315277696"/>
        <c:scaling>
          <c:orientation val="minMax"/>
        </c:scaling>
        <c:axPos val="l"/>
        <c:numFmt formatCode="0%" sourceLinked="1"/>
        <c:tickLblPos val="nextTo"/>
        <c:crossAx val="315280384"/>
        <c:crosses val="autoZero"/>
        <c:auto val="1"/>
        <c:lblAlgn val="ctr"/>
        <c:lblOffset val="100"/>
      </c:catAx>
      <c:valAx>
        <c:axId val="315280384"/>
        <c:scaling>
          <c:orientation val="minMax"/>
        </c:scaling>
        <c:axPos val="b"/>
        <c:majorGridlines/>
        <c:numFmt formatCode="0%" sourceLinked="0"/>
        <c:tickLblPos val="nextTo"/>
        <c:crossAx val="3152776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mixen'!$R$21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mixen'!$R$22:$R$29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mixen'!$S$22:$S$29</c:f>
              <c:numCache>
                <c:formatCode>0.0%</c:formatCode>
                <c:ptCount val="8"/>
                <c:pt idx="0">
                  <c:v>0.67764273190372148</c:v>
                </c:pt>
                <c:pt idx="1">
                  <c:v>1.0322506661368216E-2</c:v>
                </c:pt>
                <c:pt idx="2">
                  <c:v>6.9400769786467252E-3</c:v>
                </c:pt>
                <c:pt idx="3">
                  <c:v>7.1246281901709359E-4</c:v>
                </c:pt>
                <c:pt idx="4">
                  <c:v>0.20554083364705478</c:v>
                </c:pt>
                <c:pt idx="5">
                  <c:v>8.1937312581441824E-3</c:v>
                </c:pt>
                <c:pt idx="6">
                  <c:v>7.7119224218432127E-3</c:v>
                </c:pt>
                <c:pt idx="7">
                  <c:v>1.3782708666761111E-3</c:v>
                </c:pt>
              </c:numCache>
            </c:numRef>
          </c:val>
        </c:ser>
        <c:ser>
          <c:idx val="1"/>
          <c:order val="1"/>
          <c:cat>
            <c:strRef>
              <c:f>'Samenvatting mixen'!$R$22:$R$29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mixen'!$T$22:$T$29</c:f>
              <c:numCache>
                <c:formatCode>0.0%</c:formatCode>
                <c:ptCount val="8"/>
                <c:pt idx="0">
                  <c:v>1.0622639951051838E-2</c:v>
                </c:pt>
                <c:pt idx="1">
                  <c:v>1.6507979059062976E-2</c:v>
                </c:pt>
                <c:pt idx="2">
                  <c:v>1.1967861177443306E-2</c:v>
                </c:pt>
                <c:pt idx="3">
                  <c:v>2.5616715488649359E-3</c:v>
                </c:pt>
                <c:pt idx="4">
                  <c:v>1.076347434501318E-2</c:v>
                </c:pt>
                <c:pt idx="5">
                  <c:v>1.3726260061434712E-2</c:v>
                </c:pt>
                <c:pt idx="6">
                  <c:v>1.1577889918650559E-2</c:v>
                </c:pt>
                <c:pt idx="7">
                  <c:v>3.8296873820060666E-3</c:v>
                </c:pt>
              </c:numCache>
            </c:numRef>
          </c:val>
        </c:ser>
        <c:ser>
          <c:idx val="2"/>
          <c:order val="2"/>
          <c:cat>
            <c:strRef>
              <c:f>'Samenvatting mixen'!$R$22:$R$29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mixen'!$U$22:$U$29</c:f>
              <c:numCache>
                <c:formatCode>0.0%</c:formatCode>
                <c:ptCount val="8"/>
                <c:pt idx="0">
                  <c:v>9.8749826852762013E-3</c:v>
                </c:pt>
                <c:pt idx="1">
                  <c:v>1.216230723818865E-2</c:v>
                </c:pt>
                <c:pt idx="2">
                  <c:v>8.7024905605503321E-3</c:v>
                </c:pt>
                <c:pt idx="3">
                  <c:v>1.360680571428006E-3</c:v>
                </c:pt>
                <c:pt idx="4">
                  <c:v>1.0897585461989379E-2</c:v>
                </c:pt>
                <c:pt idx="5">
                  <c:v>1.0221521266189897E-2</c:v>
                </c:pt>
                <c:pt idx="6">
                  <c:v>7.708909864886121E-3</c:v>
                </c:pt>
                <c:pt idx="7">
                  <c:v>2.5443558845667522E-3</c:v>
                </c:pt>
              </c:numCache>
            </c:numRef>
          </c:val>
        </c:ser>
        <c:gapWidth val="100"/>
        <c:overlap val="100"/>
        <c:axId val="60178816"/>
        <c:axId val="60180352"/>
      </c:barChart>
      <c:catAx>
        <c:axId val="60178816"/>
        <c:scaling>
          <c:orientation val="minMax"/>
        </c:scaling>
        <c:axPos val="l"/>
        <c:numFmt formatCode="0%" sourceLinked="1"/>
        <c:tickLblPos val="nextTo"/>
        <c:crossAx val="60180352"/>
        <c:crosses val="autoZero"/>
        <c:auto val="1"/>
        <c:lblAlgn val="ctr"/>
        <c:lblOffset val="100"/>
      </c:catAx>
      <c:valAx>
        <c:axId val="60180352"/>
        <c:scaling>
          <c:orientation val="minMax"/>
        </c:scaling>
        <c:axPos val="b"/>
        <c:majorGridlines/>
        <c:numFmt formatCode="0%" sourceLinked="0"/>
        <c:tickLblPos val="nextTo"/>
        <c:crossAx val="601788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mixen'!$R$57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mixen'!$R$58:$R$65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mixen'!$S$58:$S$65</c:f>
              <c:numCache>
                <c:formatCode>0.0%</c:formatCode>
                <c:ptCount val="8"/>
                <c:pt idx="0">
                  <c:v>0.50911355862856555</c:v>
                </c:pt>
                <c:pt idx="1">
                  <c:v>0.37889391525315558</c:v>
                </c:pt>
                <c:pt idx="2">
                  <c:v>2.2666100112872537E-3</c:v>
                </c:pt>
                <c:pt idx="3">
                  <c:v>1.6068085046861062E-3</c:v>
                </c:pt>
                <c:pt idx="4">
                  <c:v>8.571407108877091E-3</c:v>
                </c:pt>
                <c:pt idx="5">
                  <c:v>1.0906389759657493E-3</c:v>
                </c:pt>
                <c:pt idx="6">
                  <c:v>4.2830035655040321E-3</c:v>
                </c:pt>
                <c:pt idx="7">
                  <c:v>2.0364506154393973E-3</c:v>
                </c:pt>
              </c:numCache>
            </c:numRef>
          </c:val>
        </c:ser>
        <c:ser>
          <c:idx val="1"/>
          <c:order val="1"/>
          <c:cat>
            <c:strRef>
              <c:f>'Samenvatting mixen'!$R$58:$R$65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mixen'!$T$58:$T$65</c:f>
              <c:numCache>
                <c:formatCode>0.0%</c:formatCode>
                <c:ptCount val="8"/>
                <c:pt idx="0">
                  <c:v>1.0079854300696689E-2</c:v>
                </c:pt>
                <c:pt idx="1">
                  <c:v>2.6931357885227991E-2</c:v>
                </c:pt>
                <c:pt idx="2">
                  <c:v>6.005806365777821E-3</c:v>
                </c:pt>
                <c:pt idx="3">
                  <c:v>5.5503120168511177E-3</c:v>
                </c:pt>
                <c:pt idx="4">
                  <c:v>1.9848776603073767E-2</c:v>
                </c:pt>
                <c:pt idx="5">
                  <c:v>5.5600824204367731E-3</c:v>
                </c:pt>
                <c:pt idx="6">
                  <c:v>1.0888533445550814E-2</c:v>
                </c:pt>
                <c:pt idx="7">
                  <c:v>7.272884298903921E-3</c:v>
                </c:pt>
              </c:numCache>
            </c:numRef>
          </c:val>
        </c:ser>
        <c:ser>
          <c:idx val="2"/>
          <c:order val="2"/>
          <c:cat>
            <c:strRef>
              <c:f>'Samenvatting mixen'!$R$58:$R$65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mixen'!$U$58:$U$65</c:f>
              <c:numCache>
                <c:formatCode>0.0%</c:formatCode>
                <c:ptCount val="8"/>
                <c:pt idx="0">
                  <c:v>7.9733340795415941E-3</c:v>
                </c:pt>
                <c:pt idx="1">
                  <c:v>2.8927649763617891E-2</c:v>
                </c:pt>
                <c:pt idx="2">
                  <c:v>4.0006722266824508E-3</c:v>
                </c:pt>
                <c:pt idx="3">
                  <c:v>2.7023486500290291E-3</c:v>
                </c:pt>
                <c:pt idx="4">
                  <c:v>1.4545216117269031E-2</c:v>
                </c:pt>
                <c:pt idx="5">
                  <c:v>3.0090956384521078E-3</c:v>
                </c:pt>
                <c:pt idx="6">
                  <c:v>7.1209239761049915E-3</c:v>
                </c:pt>
                <c:pt idx="7">
                  <c:v>4.7933112514197442E-3</c:v>
                </c:pt>
              </c:numCache>
            </c:numRef>
          </c:val>
        </c:ser>
        <c:gapWidth val="100"/>
        <c:overlap val="100"/>
        <c:axId val="60193408"/>
        <c:axId val="60203392"/>
      </c:barChart>
      <c:catAx>
        <c:axId val="60193408"/>
        <c:scaling>
          <c:orientation val="minMax"/>
        </c:scaling>
        <c:axPos val="l"/>
        <c:tickLblPos val="nextTo"/>
        <c:crossAx val="60203392"/>
        <c:crosses val="autoZero"/>
        <c:auto val="1"/>
        <c:lblAlgn val="ctr"/>
        <c:lblOffset val="100"/>
      </c:catAx>
      <c:valAx>
        <c:axId val="60203392"/>
        <c:scaling>
          <c:orientation val="minMax"/>
        </c:scaling>
        <c:axPos val="b"/>
        <c:majorGridlines/>
        <c:numFmt formatCode="0%" sourceLinked="0"/>
        <c:tickLblPos val="nextTo"/>
        <c:crossAx val="601934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mixen'!$R$75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mixen'!$R$76:$R$83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mixen'!$S$76:$S$83</c:f>
              <c:numCache>
                <c:formatCode>0.0%</c:formatCode>
                <c:ptCount val="8"/>
                <c:pt idx="0">
                  <c:v>0.99939888199458637</c:v>
                </c:pt>
                <c:pt idx="1">
                  <c:v>8.5925070683015273E-7</c:v>
                </c:pt>
                <c:pt idx="2">
                  <c:v>2.156548513140996E-6</c:v>
                </c:pt>
                <c:pt idx="3">
                  <c:v>3.9133689800341935E-7</c:v>
                </c:pt>
                <c:pt idx="4">
                  <c:v>6.2384886395721793E-7</c:v>
                </c:pt>
                <c:pt idx="5">
                  <c:v>2.1982705378033417E-7</c:v>
                </c:pt>
                <c:pt idx="6">
                  <c:v>8.1569843070521738E-6</c:v>
                </c:pt>
                <c:pt idx="7">
                  <c:v>6.4188448483772404E-7</c:v>
                </c:pt>
              </c:numCache>
            </c:numRef>
          </c:val>
        </c:ser>
        <c:ser>
          <c:idx val="1"/>
          <c:order val="1"/>
          <c:cat>
            <c:strRef>
              <c:f>'Samenvatting mixen'!$R$76:$R$83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mixen'!$T$76:$T$83</c:f>
              <c:numCache>
                <c:formatCode>0.0%</c:formatCode>
                <c:ptCount val="8"/>
                <c:pt idx="0">
                  <c:v>1.591529395240654E-4</c:v>
                </c:pt>
                <c:pt idx="1">
                  <c:v>5.6383296153545567E-5</c:v>
                </c:pt>
                <c:pt idx="2">
                  <c:v>6.4169825884408783E-5</c:v>
                </c:pt>
                <c:pt idx="3">
                  <c:v>3.203888023060897E-5</c:v>
                </c:pt>
                <c:pt idx="4">
                  <c:v>5.6363412079398764E-5</c:v>
                </c:pt>
                <c:pt idx="5">
                  <c:v>2.8739029431956106E-5</c:v>
                </c:pt>
                <c:pt idx="6">
                  <c:v>1.4252489368902046E-4</c:v>
                </c:pt>
                <c:pt idx="7">
                  <c:v>4.869604759230144E-5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mixen'!$R$76:$R$83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mixen'!$U$76:$U$83</c:f>
              <c:numCache>
                <c:formatCode>0.0%</c:formatCode>
                <c:ptCount val="8"/>
                <c:pt idx="0">
                  <c:v>1.9130133676203975E-4</c:v>
                </c:pt>
                <c:pt idx="1">
                  <c:v>1.0743126398099041E-5</c:v>
                </c:pt>
                <c:pt idx="2">
                  <c:v>1.9254860915846834E-5</c:v>
                </c:pt>
                <c:pt idx="3">
                  <c:v>1.3338374357672581E-5</c:v>
                </c:pt>
                <c:pt idx="4">
                  <c:v>-1.1550985555282387E-6</c:v>
                </c:pt>
                <c:pt idx="5">
                  <c:v>1.5881362183971703E-6</c:v>
                </c:pt>
                <c:pt idx="6">
                  <c:v>6.7239516427708564E-5</c:v>
                </c:pt>
                <c:pt idx="7">
                  <c:v>9.7967523034748317E-6</c:v>
                </c:pt>
              </c:numCache>
            </c:numRef>
          </c:val>
        </c:ser>
        <c:gapWidth val="100"/>
        <c:overlap val="100"/>
        <c:axId val="60302464"/>
        <c:axId val="60304000"/>
      </c:barChart>
      <c:catAx>
        <c:axId val="60302464"/>
        <c:scaling>
          <c:orientation val="minMax"/>
        </c:scaling>
        <c:axPos val="l"/>
        <c:tickLblPos val="nextTo"/>
        <c:crossAx val="60304000"/>
        <c:crosses val="autoZero"/>
        <c:auto val="1"/>
        <c:lblAlgn val="ctr"/>
        <c:lblOffset val="100"/>
      </c:catAx>
      <c:valAx>
        <c:axId val="60304000"/>
        <c:scaling>
          <c:orientation val="minMax"/>
        </c:scaling>
        <c:axPos val="b"/>
        <c:majorGridlines/>
        <c:numFmt formatCode="0%" sourceLinked="0"/>
        <c:tickLblPos val="nextTo"/>
        <c:crossAx val="603024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mixen'!$R$93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mixen'!$R$94:$R$101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mixen'!$S$94:$S$101</c:f>
              <c:numCache>
                <c:formatCode>0.0%</c:formatCode>
                <c:ptCount val="8"/>
                <c:pt idx="0">
                  <c:v>0.97085898215615662</c:v>
                </c:pt>
                <c:pt idx="1">
                  <c:v>2.0654177966407715E-6</c:v>
                </c:pt>
                <c:pt idx="2">
                  <c:v>5.1995595844144948E-6</c:v>
                </c:pt>
                <c:pt idx="3">
                  <c:v>7.2256643396430018E-7</c:v>
                </c:pt>
                <c:pt idx="4">
                  <c:v>7.3969088339958012E-7</c:v>
                </c:pt>
                <c:pt idx="5">
                  <c:v>2.3921207700786719E-7</c:v>
                </c:pt>
                <c:pt idx="6">
                  <c:v>2.7407870127975669E-2</c:v>
                </c:pt>
                <c:pt idx="7">
                  <c:v>2.6083394873045783E-7</c:v>
                </c:pt>
              </c:numCache>
            </c:numRef>
          </c:val>
        </c:ser>
        <c:ser>
          <c:idx val="1"/>
          <c:order val="1"/>
          <c:cat>
            <c:strRef>
              <c:f>'Samenvatting mixen'!$R$94:$R$101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mixen'!$T$94:$T$101</c:f>
              <c:numCache>
                <c:formatCode>0.0%</c:formatCode>
                <c:ptCount val="8"/>
                <c:pt idx="0">
                  <c:v>4.5209917057098536E-4</c:v>
                </c:pt>
                <c:pt idx="1">
                  <c:v>1.4750200009289435E-4</c:v>
                </c:pt>
                <c:pt idx="2">
                  <c:v>2.6757762498378539E-4</c:v>
                </c:pt>
                <c:pt idx="3">
                  <c:v>1.0478097830584951E-4</c:v>
                </c:pt>
                <c:pt idx="4">
                  <c:v>1.2886914129847549E-4</c:v>
                </c:pt>
                <c:pt idx="5">
                  <c:v>7.1905727172033102E-5</c:v>
                </c:pt>
                <c:pt idx="6">
                  <c:v>4.6410009222719317E-4</c:v>
                </c:pt>
                <c:pt idx="7">
                  <c:v>8.7085700492784652E-5</c:v>
                </c:pt>
              </c:numCache>
            </c:numRef>
          </c:val>
        </c:ser>
        <c:ser>
          <c:idx val="2"/>
          <c:order val="2"/>
          <c:cat>
            <c:strRef>
              <c:f>'Samenvatting mixen'!$R$94:$R$101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mixen'!$U$94:$U$101</c:f>
              <c:numCache>
                <c:formatCode>0.0%</c:formatCode>
                <c:ptCount val="8"/>
                <c:pt idx="0">
                  <c:v>3.7599523255349432E-4</c:v>
                </c:pt>
                <c:pt idx="1">
                  <c:v>1.7363664588570106E-5</c:v>
                </c:pt>
                <c:pt idx="2">
                  <c:v>1.1535572862751193E-4</c:v>
                </c:pt>
                <c:pt idx="3">
                  <c:v>1.0242980599442617E-5</c:v>
                </c:pt>
                <c:pt idx="4">
                  <c:v>3.4994220149244182E-5</c:v>
                </c:pt>
                <c:pt idx="5">
                  <c:v>-1.9688388409155037E-6</c:v>
                </c:pt>
                <c:pt idx="6">
                  <c:v>4.3810425608598394E-4</c:v>
                </c:pt>
                <c:pt idx="7">
                  <c:v>-1.1307569353049873E-6</c:v>
                </c:pt>
              </c:numCache>
            </c:numRef>
          </c:val>
        </c:ser>
        <c:gapWidth val="100"/>
        <c:overlap val="100"/>
        <c:axId val="60341632"/>
        <c:axId val="60347520"/>
      </c:barChart>
      <c:catAx>
        <c:axId val="60341632"/>
        <c:scaling>
          <c:orientation val="minMax"/>
        </c:scaling>
        <c:axPos val="l"/>
        <c:tickLblPos val="nextTo"/>
        <c:crossAx val="60347520"/>
        <c:crosses val="autoZero"/>
        <c:auto val="1"/>
        <c:lblAlgn val="ctr"/>
        <c:lblOffset val="100"/>
      </c:catAx>
      <c:valAx>
        <c:axId val="60347520"/>
        <c:scaling>
          <c:orientation val="minMax"/>
        </c:scaling>
        <c:axPos val="b"/>
        <c:majorGridlines/>
        <c:numFmt formatCode="0%" sourceLinked="0"/>
        <c:tickLblPos val="nextTo"/>
        <c:crossAx val="603416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mixen'!$R$39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mixen'!$R$40:$R$47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mixen'!$S$40:$S$47</c:f>
              <c:numCache>
                <c:formatCode>0.0%</c:formatCode>
                <c:ptCount val="8"/>
                <c:pt idx="0">
                  <c:v>0.98583998324989874</c:v>
                </c:pt>
                <c:pt idx="1">
                  <c:v>6.9953967816596327E-5</c:v>
                </c:pt>
                <c:pt idx="2">
                  <c:v>8.2891928928253045E-4</c:v>
                </c:pt>
                <c:pt idx="3">
                  <c:v>1.0618280619734834E-5</c:v>
                </c:pt>
                <c:pt idx="4">
                  <c:v>5.9686425979311292E-4</c:v>
                </c:pt>
                <c:pt idx="5">
                  <c:v>8.5539599465490803E-4</c:v>
                </c:pt>
                <c:pt idx="6">
                  <c:v>2.7130748688418329E-4</c:v>
                </c:pt>
                <c:pt idx="7">
                  <c:v>3.9232877773353833E-5</c:v>
                </c:pt>
              </c:numCache>
            </c:numRef>
          </c:val>
        </c:ser>
        <c:ser>
          <c:idx val="1"/>
          <c:order val="1"/>
          <c:cat>
            <c:strRef>
              <c:f>'Samenvatting mixen'!$R$40:$R$47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mixen'!$T$40:$T$47</c:f>
              <c:numCache>
                <c:formatCode>0.0%</c:formatCode>
                <c:ptCount val="8"/>
                <c:pt idx="0">
                  <c:v>2.9063224363937712E-3</c:v>
                </c:pt>
                <c:pt idx="1">
                  <c:v>4.6988022012382655E-4</c:v>
                </c:pt>
                <c:pt idx="2">
                  <c:v>1.6388169208999047E-3</c:v>
                </c:pt>
                <c:pt idx="3">
                  <c:v>2.1320477599626368E-4</c:v>
                </c:pt>
                <c:pt idx="4">
                  <c:v>2.1976992727467566E-3</c:v>
                </c:pt>
                <c:pt idx="5">
                  <c:v>2.5742668218066787E-3</c:v>
                </c:pt>
                <c:pt idx="6">
                  <c:v>1.1931476458752685E-3</c:v>
                </c:pt>
                <c:pt idx="7">
                  <c:v>2.9438649943347862E-4</c:v>
                </c:pt>
              </c:numCache>
            </c:numRef>
          </c:val>
        </c:ser>
        <c:ser>
          <c:idx val="2"/>
          <c:order val="2"/>
          <c:cat>
            <c:strRef>
              <c:f>'Samenvatting mixen'!$R$40:$R$47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mixen'!$U$40:$U$47</c:f>
              <c:numCache>
                <c:formatCode>0.0%</c:formatCode>
                <c:ptCount val="8"/>
                <c:pt idx="0">
                  <c:v>3.0002376542898057E-3</c:v>
                </c:pt>
                <c:pt idx="1">
                  <c:v>2.4866820718651237E-4</c:v>
                </c:pt>
                <c:pt idx="2">
                  <c:v>1.1370597460667316E-3</c:v>
                </c:pt>
                <c:pt idx="3">
                  <c:v>8.1614290346088245E-5</c:v>
                </c:pt>
                <c:pt idx="4">
                  <c:v>1.0527369960345958E-3</c:v>
                </c:pt>
                <c:pt idx="5">
                  <c:v>1.3299628896300741E-3</c:v>
                </c:pt>
                <c:pt idx="6">
                  <c:v>6.6561043857770504E-4</c:v>
                </c:pt>
                <c:pt idx="7">
                  <c:v>1.4032402173032256E-4</c:v>
                </c:pt>
              </c:numCache>
            </c:numRef>
          </c:val>
        </c:ser>
        <c:gapWidth val="100"/>
        <c:overlap val="100"/>
        <c:axId val="60381056"/>
        <c:axId val="60382592"/>
      </c:barChart>
      <c:catAx>
        <c:axId val="60381056"/>
        <c:scaling>
          <c:orientation val="minMax"/>
        </c:scaling>
        <c:axPos val="l"/>
        <c:numFmt formatCode="0%" sourceLinked="1"/>
        <c:tickLblPos val="nextTo"/>
        <c:crossAx val="60382592"/>
        <c:crosses val="autoZero"/>
        <c:auto val="1"/>
        <c:lblAlgn val="ctr"/>
        <c:lblOffset val="100"/>
      </c:catAx>
      <c:valAx>
        <c:axId val="60382592"/>
        <c:scaling>
          <c:orientation val="minMax"/>
        </c:scaling>
        <c:axPos val="b"/>
        <c:majorGridlines/>
        <c:numFmt formatCode="0%" sourceLinked="0"/>
        <c:tickLblPos val="nextTo"/>
        <c:crossAx val="603810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mixen'!$R$110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mixen'!$R$111:$R$118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mixen'!$S$111:$S$118</c:f>
              <c:numCache>
                <c:formatCode>0.0%</c:formatCode>
                <c:ptCount val="8"/>
                <c:pt idx="0">
                  <c:v>0.75840785479411144</c:v>
                </c:pt>
                <c:pt idx="1">
                  <c:v>1.2360189417174695E-2</c:v>
                </c:pt>
                <c:pt idx="2">
                  <c:v>1.0621388990513137E-3</c:v>
                </c:pt>
                <c:pt idx="3">
                  <c:v>4.4209219064715404E-4</c:v>
                </c:pt>
                <c:pt idx="4">
                  <c:v>1.8605205761158372E-4</c:v>
                </c:pt>
                <c:pt idx="5">
                  <c:v>3.3471564496997688E-2</c:v>
                </c:pt>
                <c:pt idx="6">
                  <c:v>9.9661423848603353E-3</c:v>
                </c:pt>
                <c:pt idx="7">
                  <c:v>8.0713381720623756E-2</c:v>
                </c:pt>
              </c:numCache>
            </c:numRef>
          </c:val>
        </c:ser>
        <c:ser>
          <c:idx val="1"/>
          <c:order val="1"/>
          <c:cat>
            <c:strRef>
              <c:f>'Samenvatting mixen'!$R$111:$R$118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mixen'!$T$111:$T$118</c:f>
              <c:numCache>
                <c:formatCode>0.0%</c:formatCode>
                <c:ptCount val="8"/>
                <c:pt idx="0">
                  <c:v>8.7487109395316676E-3</c:v>
                </c:pt>
                <c:pt idx="1">
                  <c:v>3.2467581968315715E-2</c:v>
                </c:pt>
                <c:pt idx="2">
                  <c:v>5.1743725969331019E-3</c:v>
                </c:pt>
                <c:pt idx="3">
                  <c:v>3.7038547564218413E-3</c:v>
                </c:pt>
                <c:pt idx="4">
                  <c:v>2.1263104669481613E-3</c:v>
                </c:pt>
                <c:pt idx="5">
                  <c:v>8.7139054948252373E-3</c:v>
                </c:pt>
                <c:pt idx="6">
                  <c:v>2.1461025793587364E-2</c:v>
                </c:pt>
                <c:pt idx="7">
                  <c:v>2.099482202235857E-2</c:v>
                </c:pt>
              </c:numCache>
            </c:numRef>
          </c:val>
        </c:ser>
        <c:ser>
          <c:idx val="2"/>
          <c:order val="2"/>
          <c:cat>
            <c:strRef>
              <c:f>'Samenvatting mixen'!$R$111:$R$118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mixen'!$U$111:$U$118</c:f>
              <c:numCache>
                <c:formatCode>0.0%</c:formatCode>
                <c:ptCount val="8"/>
                <c:pt idx="0">
                  <c:v>8.2859401434888236E-3</c:v>
                </c:pt>
                <c:pt idx="1">
                  <c:v>2.4293055476467207E-2</c:v>
                </c:pt>
                <c:pt idx="2">
                  <c:v>3.2402156784557719E-3</c:v>
                </c:pt>
                <c:pt idx="3">
                  <c:v>1.7231457525775894E-3</c:v>
                </c:pt>
                <c:pt idx="4">
                  <c:v>7.8182140898667551E-4</c:v>
                </c:pt>
                <c:pt idx="5">
                  <c:v>8.6129256642090632E-3</c:v>
                </c:pt>
                <c:pt idx="6">
                  <c:v>1.7056066542982105E-2</c:v>
                </c:pt>
                <c:pt idx="7">
                  <c:v>2.2343906168322172E-2</c:v>
                </c:pt>
              </c:numCache>
            </c:numRef>
          </c:val>
        </c:ser>
        <c:gapWidth val="100"/>
        <c:overlap val="100"/>
        <c:axId val="60449152"/>
        <c:axId val="60450688"/>
      </c:barChart>
      <c:catAx>
        <c:axId val="60449152"/>
        <c:scaling>
          <c:orientation val="minMax"/>
        </c:scaling>
        <c:axPos val="l"/>
        <c:tickLblPos val="nextTo"/>
        <c:crossAx val="60450688"/>
        <c:crosses val="autoZero"/>
        <c:auto val="1"/>
        <c:lblAlgn val="ctr"/>
        <c:lblOffset val="100"/>
      </c:catAx>
      <c:valAx>
        <c:axId val="60450688"/>
        <c:scaling>
          <c:orientation val="minMax"/>
        </c:scaling>
        <c:axPos val="b"/>
        <c:majorGridlines/>
        <c:numFmt formatCode="0%" sourceLinked="0"/>
        <c:tickLblPos val="nextTo"/>
        <c:crossAx val="604491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5.0079637402007111E-2</c:v>
                </c:pt>
                <c:pt idx="1">
                  <c:v>5.8258056820426632E-2</c:v>
                </c:pt>
                <c:pt idx="2">
                  <c:v>0.15396662576570624</c:v>
                </c:pt>
                <c:pt idx="3">
                  <c:v>9.3698180892426E-2</c:v>
                </c:pt>
                <c:pt idx="4">
                  <c:v>1.8306966375470156E-2</c:v>
                </c:pt>
                <c:pt idx="5">
                  <c:v>4.4402582590501852E-2</c:v>
                </c:pt>
                <c:pt idx="6">
                  <c:v>4.7363277681969428E-2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9.5219415325654477E-2</c:v>
                </c:pt>
                <c:pt idx="1">
                  <c:v>0.10354961624605576</c:v>
                </c:pt>
                <c:pt idx="2">
                  <c:v>7.5927220463231804E-2</c:v>
                </c:pt>
                <c:pt idx="3">
                  <c:v>5.4441032190452945E-2</c:v>
                </c:pt>
                <c:pt idx="4">
                  <c:v>3.0444582290910675E-2</c:v>
                </c:pt>
                <c:pt idx="5">
                  <c:v>7.6622747071595235E-2</c:v>
                </c:pt>
                <c:pt idx="6">
                  <c:v>9.7720058883591115E-2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9.604578994495E-2</c:v>
                </c:pt>
                <c:pt idx="1">
                  <c:v>0.11304766698149762</c:v>
                </c:pt>
                <c:pt idx="2">
                  <c:v>7.4784802091661717E-2</c:v>
                </c:pt>
                <c:pt idx="3">
                  <c:v>5.2909863505407634E-2</c:v>
                </c:pt>
                <c:pt idx="4">
                  <c:v>2.9017046184564313E-2</c:v>
                </c:pt>
                <c:pt idx="5">
                  <c:v>7.8368770332942567E-2</c:v>
                </c:pt>
                <c:pt idx="6">
                  <c:v>9.6126290387233027E-2</c:v>
                </c:pt>
              </c:numCache>
            </c:numRef>
          </c:val>
        </c:ser>
        <c:gapWidth val="101"/>
        <c:overlap val="100"/>
        <c:axId val="60500992"/>
        <c:axId val="60506880"/>
      </c:barChart>
      <c:catAx>
        <c:axId val="60500992"/>
        <c:scaling>
          <c:orientation val="minMax"/>
        </c:scaling>
        <c:axPos val="l"/>
        <c:tickLblPos val="nextTo"/>
        <c:crossAx val="60506880"/>
        <c:crosses val="autoZero"/>
        <c:auto val="1"/>
        <c:lblAlgn val="ctr"/>
        <c:lblOffset val="100"/>
      </c:catAx>
      <c:valAx>
        <c:axId val="60506880"/>
        <c:scaling>
          <c:orientation val="minMax"/>
        </c:scaling>
        <c:axPos val="b"/>
        <c:majorGridlines/>
        <c:numFmt formatCode="0%" sourceLinked="0"/>
        <c:tickLblPos val="nextTo"/>
        <c:crossAx val="605009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return'!$Q$20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return'!$Q$21:$Q$27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return'!$R$21:$R$27</c:f>
              <c:numCache>
                <c:formatCode>0.0%</c:formatCode>
                <c:ptCount val="7"/>
                <c:pt idx="0">
                  <c:v>1.8833350886589353E-2</c:v>
                </c:pt>
                <c:pt idx="1">
                  <c:v>1.4539096547584025E-2</c:v>
                </c:pt>
                <c:pt idx="2">
                  <c:v>1.0369453171366512E-3</c:v>
                </c:pt>
                <c:pt idx="3">
                  <c:v>0.62402832097326888</c:v>
                </c:pt>
                <c:pt idx="4">
                  <c:v>1.5399174538219958E-2</c:v>
                </c:pt>
                <c:pt idx="5">
                  <c:v>1.4868472900995792E-2</c:v>
                </c:pt>
                <c:pt idx="6">
                  <c:v>2.0119114554013277E-3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return'!$Q$21:$Q$27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return'!$S$21:$S$27</c:f>
              <c:numCache>
                <c:formatCode>0.0%</c:formatCode>
                <c:ptCount val="7"/>
                <c:pt idx="0">
                  <c:v>6.5589954970120018E-2</c:v>
                </c:pt>
                <c:pt idx="1">
                  <c:v>4.5539169597662688E-2</c:v>
                </c:pt>
                <c:pt idx="2">
                  <c:v>9.527846412011166E-3</c:v>
                </c:pt>
                <c:pt idx="3">
                  <c:v>7.2721895818925741E-2</c:v>
                </c:pt>
                <c:pt idx="4">
                  <c:v>5.4977525292602844E-2</c:v>
                </c:pt>
                <c:pt idx="5">
                  <c:v>4.6187929507514401E-2</c:v>
                </c:pt>
                <c:pt idx="6">
                  <c:v>1.4738405781966798E-2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return'!$Q$21:$Q$27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return'!$T$21:$T$27</c:f>
              <c:numCache>
                <c:formatCode>0.0%</c:formatCode>
                <c:ptCount val="7"/>
                <c:pt idx="0">
                  <c:v>6.1840310869025861E-2</c:v>
                </c:pt>
                <c:pt idx="1">
                  <c:v>5.148327451670421E-2</c:v>
                </c:pt>
                <c:pt idx="2">
                  <c:v>9.76524535175422E-3</c:v>
                </c:pt>
                <c:pt idx="3">
                  <c:v>7.8041444182666675E-2</c:v>
                </c:pt>
                <c:pt idx="4">
                  <c:v>5.070949501589575E-2</c:v>
                </c:pt>
                <c:pt idx="5">
                  <c:v>4.6258108374441456E-2</c:v>
                </c:pt>
                <c:pt idx="6">
                  <c:v>1.5733077815258054E-2</c:v>
                </c:pt>
              </c:numCache>
            </c:numRef>
          </c:val>
        </c:ser>
        <c:gapWidth val="101"/>
        <c:overlap val="100"/>
        <c:axId val="60601856"/>
        <c:axId val="60603392"/>
      </c:barChart>
      <c:catAx>
        <c:axId val="60601856"/>
        <c:scaling>
          <c:orientation val="minMax"/>
        </c:scaling>
        <c:axPos val="l"/>
        <c:tickLblPos val="nextTo"/>
        <c:crossAx val="60603392"/>
        <c:crosses val="autoZero"/>
        <c:auto val="1"/>
        <c:lblAlgn val="ctr"/>
        <c:lblOffset val="100"/>
      </c:catAx>
      <c:valAx>
        <c:axId val="60603392"/>
        <c:scaling>
          <c:orientation val="minMax"/>
        </c:scaling>
        <c:axPos val="b"/>
        <c:majorGridlines/>
        <c:numFmt formatCode="0%" sourceLinked="0"/>
        <c:tickLblPos val="nextTo"/>
        <c:crossAx val="606018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return'!$Q$37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return'!$Q$38:$Q$44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return'!$R$38:$R$44</c:f>
              <c:numCache>
                <c:formatCode>0.0%</c:formatCode>
                <c:ptCount val="7"/>
                <c:pt idx="0">
                  <c:v>2.6644846451344775E-3</c:v>
                </c:pt>
                <c:pt idx="1">
                  <c:v>4.4604456313607814E-2</c:v>
                </c:pt>
                <c:pt idx="2">
                  <c:v>2.0108802455083279E-4</c:v>
                </c:pt>
                <c:pt idx="3">
                  <c:v>3.4995832401426903E-2</c:v>
                </c:pt>
                <c:pt idx="4">
                  <c:v>4.8141114425188959E-2</c:v>
                </c:pt>
                <c:pt idx="5">
                  <c:v>1.0931294419081469E-2</c:v>
                </c:pt>
                <c:pt idx="6">
                  <c:v>1.0089966271349029E-3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return'!$Q$38:$Q$44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return'!$S$38:$S$44</c:f>
              <c:numCache>
                <c:formatCode>0.0%</c:formatCode>
                <c:ptCount val="7"/>
                <c:pt idx="0">
                  <c:v>5.3720907981187366E-2</c:v>
                </c:pt>
                <c:pt idx="1">
                  <c:v>0.18600645394966966</c:v>
                </c:pt>
                <c:pt idx="2">
                  <c:v>2.5130527550320799E-2</c:v>
                </c:pt>
                <c:pt idx="3">
                  <c:v>0.20355369145037816</c:v>
                </c:pt>
                <c:pt idx="4">
                  <c:v>0.22823532444192954</c:v>
                </c:pt>
                <c:pt idx="5">
                  <c:v>0.12546833170910926</c:v>
                </c:pt>
                <c:pt idx="6">
                  <c:v>3.5337496061268701E-2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return'!$Q$38:$Q$44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return'!$T$38:$T$44</c:f>
              <c:numCache>
                <c:formatCode>0.0%</c:formatCode>
                <c:ptCount val="7"/>
                <c:pt idx="0">
                  <c:v>5.7891110952277329E-2</c:v>
                </c:pt>
                <c:pt idx="1">
                  <c:v>0.20432879341332069</c:v>
                </c:pt>
                <c:pt idx="2">
                  <c:v>2.464760110219702E-2</c:v>
                </c:pt>
                <c:pt idx="3">
                  <c:v>0.21698549361591862</c:v>
                </c:pt>
                <c:pt idx="4">
                  <c:v>0.23510330344695929</c:v>
                </c:pt>
                <c:pt idx="5">
                  <c:v>0.13726186298775728</c:v>
                </c:pt>
                <c:pt idx="6">
                  <c:v>3.2602765666471425E-2</c:v>
                </c:pt>
              </c:numCache>
            </c:numRef>
          </c:val>
        </c:ser>
        <c:gapWidth val="101"/>
        <c:overlap val="100"/>
        <c:axId val="60674048"/>
        <c:axId val="60675584"/>
      </c:barChart>
      <c:catAx>
        <c:axId val="60674048"/>
        <c:scaling>
          <c:orientation val="minMax"/>
        </c:scaling>
        <c:axPos val="l"/>
        <c:tickLblPos val="nextTo"/>
        <c:crossAx val="60675584"/>
        <c:crosses val="autoZero"/>
        <c:auto val="1"/>
        <c:lblAlgn val="ctr"/>
        <c:lblOffset val="100"/>
      </c:catAx>
      <c:valAx>
        <c:axId val="60675584"/>
        <c:scaling>
          <c:orientation val="minMax"/>
        </c:scaling>
        <c:axPos val="b"/>
        <c:majorGridlines/>
        <c:numFmt formatCode="0%" sourceLinked="0"/>
        <c:tickLblPos val="nextTo"/>
        <c:crossAx val="606740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return'!$Q$54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return'!$Q$55:$Q$61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return'!$R$55:$R$61</c:f>
              <c:numCache>
                <c:formatCode>0.0%</c:formatCode>
                <c:ptCount val="7"/>
                <c:pt idx="0">
                  <c:v>0.77903077998543779</c:v>
                </c:pt>
                <c:pt idx="1">
                  <c:v>2.3757739029686446E-3</c:v>
                </c:pt>
                <c:pt idx="2">
                  <c:v>1.2680842259049168E-3</c:v>
                </c:pt>
                <c:pt idx="3">
                  <c:v>1.0274814014260966E-2</c:v>
                </c:pt>
                <c:pt idx="4">
                  <c:v>9.0060427614049073E-4</c:v>
                </c:pt>
                <c:pt idx="5">
                  <c:v>5.3160617417833669E-3</c:v>
                </c:pt>
                <c:pt idx="6">
                  <c:v>2.0305890202978552E-3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return'!$Q$55:$Q$61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return'!$S$55:$S$61</c:f>
              <c:numCache>
                <c:formatCode>0.0%</c:formatCode>
                <c:ptCount val="7"/>
                <c:pt idx="0">
                  <c:v>6.3631631660084009E-2</c:v>
                </c:pt>
                <c:pt idx="1">
                  <c:v>1.4795000937862252E-2</c:v>
                </c:pt>
                <c:pt idx="2">
                  <c:v>1.3733120408712367E-2</c:v>
                </c:pt>
                <c:pt idx="3">
                  <c:v>5.0155466174491715E-2</c:v>
                </c:pt>
                <c:pt idx="4">
                  <c:v>1.3030981398103568E-2</c:v>
                </c:pt>
                <c:pt idx="5">
                  <c:v>2.6122457270971372E-2</c:v>
                </c:pt>
                <c:pt idx="6">
                  <c:v>1.7334634982980653E-2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return'!$Q$55:$Q$61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return'!$T$55:$T$61</c:f>
              <c:numCache>
                <c:formatCode>0.0%</c:formatCode>
                <c:ptCount val="7"/>
                <c:pt idx="0">
                  <c:v>6.6408088117669739E-2</c:v>
                </c:pt>
                <c:pt idx="1">
                  <c:v>1.4736125347284752E-2</c:v>
                </c:pt>
                <c:pt idx="2">
                  <c:v>1.3649567123637124E-2</c:v>
                </c:pt>
                <c:pt idx="3">
                  <c:v>5.5917756845165728E-2</c:v>
                </c:pt>
                <c:pt idx="4">
                  <c:v>1.380249081553519E-2</c:v>
                </c:pt>
                <c:pt idx="5">
                  <c:v>2.8329069173055832E-2</c:v>
                </c:pt>
                <c:pt idx="6">
                  <c:v>1.7083157271774473E-2</c:v>
                </c:pt>
              </c:numCache>
            </c:numRef>
          </c:val>
        </c:ser>
        <c:gapWidth val="100"/>
        <c:overlap val="100"/>
        <c:axId val="60733696"/>
        <c:axId val="60760064"/>
      </c:barChart>
      <c:catAx>
        <c:axId val="60733696"/>
        <c:scaling>
          <c:orientation val="minMax"/>
        </c:scaling>
        <c:axPos val="l"/>
        <c:tickLblPos val="nextTo"/>
        <c:crossAx val="60760064"/>
        <c:crosses val="autoZero"/>
        <c:auto val="1"/>
        <c:lblAlgn val="ctr"/>
        <c:lblOffset val="100"/>
      </c:catAx>
      <c:valAx>
        <c:axId val="60760064"/>
        <c:scaling>
          <c:orientation val="minMax"/>
        </c:scaling>
        <c:axPos val="b"/>
        <c:majorGridlines/>
        <c:numFmt formatCode="0%" sourceLinked="0"/>
        <c:tickLblPos val="nextTo"/>
        <c:crossAx val="607336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return'!$Q$72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return'!$Q$73:$Q$79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return'!$R$73:$R$79</c:f>
              <c:numCache>
                <c:formatCode>0.0%</c:formatCode>
                <c:ptCount val="7"/>
                <c:pt idx="0">
                  <c:v>5.5960805758461499E-4</c:v>
                </c:pt>
                <c:pt idx="1">
                  <c:v>1.4541947185270439E-3</c:v>
                </c:pt>
                <c:pt idx="2">
                  <c:v>1.5488172897141941E-4</c:v>
                </c:pt>
                <c:pt idx="3">
                  <c:v>2.3181304689240333E-4</c:v>
                </c:pt>
                <c:pt idx="4">
                  <c:v>7.3483736182134175E-5</c:v>
                </c:pt>
                <c:pt idx="5">
                  <c:v>7.5702200424828097E-3</c:v>
                </c:pt>
                <c:pt idx="6">
                  <c:v>3.1333733405562643E-4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return'!$Q$73:$Q$79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return'!$S$73:$S$79</c:f>
              <c:numCache>
                <c:formatCode>0.0%</c:formatCode>
                <c:ptCount val="7"/>
                <c:pt idx="0">
                  <c:v>0.13340348564901042</c:v>
                </c:pt>
                <c:pt idx="1">
                  <c:v>0.15831371428637725</c:v>
                </c:pt>
                <c:pt idx="2">
                  <c:v>9.1488838763016375E-2</c:v>
                </c:pt>
                <c:pt idx="3">
                  <c:v>0.13014974519363612</c:v>
                </c:pt>
                <c:pt idx="4">
                  <c:v>7.9073927810692404E-2</c:v>
                </c:pt>
                <c:pt idx="5">
                  <c:v>0.27634266722761386</c:v>
                </c:pt>
                <c:pt idx="6">
                  <c:v>0.12087008240443464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return'!$Q$73:$Q$79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return'!$T$73:$T$79</c:f>
              <c:numCache>
                <c:formatCode>0.0%</c:formatCode>
                <c:ptCount val="7"/>
                <c:pt idx="0">
                  <c:v>0.19637328069230908</c:v>
                </c:pt>
                <c:pt idx="1">
                  <c:v>0.22129598059301842</c:v>
                </c:pt>
                <c:pt idx="2">
                  <c:v>0.12666891492844071</c:v>
                </c:pt>
                <c:pt idx="3">
                  <c:v>0.16503745213009921</c:v>
                </c:pt>
                <c:pt idx="4">
                  <c:v>0.10281286346343084</c:v>
                </c:pt>
                <c:pt idx="5">
                  <c:v>0.33074755998098126</c:v>
                </c:pt>
                <c:pt idx="6">
                  <c:v>0.12577193649878554</c:v>
                </c:pt>
              </c:numCache>
            </c:numRef>
          </c:val>
        </c:ser>
        <c:gapWidth val="100"/>
        <c:overlap val="100"/>
        <c:axId val="60793600"/>
        <c:axId val="60795136"/>
      </c:barChart>
      <c:catAx>
        <c:axId val="60793600"/>
        <c:scaling>
          <c:orientation val="minMax"/>
        </c:scaling>
        <c:axPos val="l"/>
        <c:tickLblPos val="nextTo"/>
        <c:crossAx val="60795136"/>
        <c:crosses val="autoZero"/>
        <c:auto val="1"/>
        <c:lblAlgn val="ctr"/>
        <c:lblOffset val="100"/>
      </c:catAx>
      <c:valAx>
        <c:axId val="60795136"/>
        <c:scaling>
          <c:orientation val="minMax"/>
        </c:scaling>
        <c:axPos val="b"/>
        <c:majorGridlines/>
        <c:numFmt formatCode="0%" sourceLinked="0"/>
        <c:tickLblPos val="nextTo"/>
        <c:crossAx val="607936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return'!$Q$123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return'!$R$124:$R$130</c:f>
              <c:numCache>
                <c:formatCode>0.0%</c:formatCode>
                <c:ptCount val="7"/>
                <c:pt idx="0">
                  <c:v>1.8833350886589353E-2</c:v>
                </c:pt>
                <c:pt idx="1">
                  <c:v>1.4539096547584025E-2</c:v>
                </c:pt>
                <c:pt idx="2">
                  <c:v>1.0369453171366512E-3</c:v>
                </c:pt>
                <c:pt idx="3">
                  <c:v>0.62402832097326888</c:v>
                </c:pt>
                <c:pt idx="4">
                  <c:v>1.5399174538219958E-2</c:v>
                </c:pt>
                <c:pt idx="5">
                  <c:v>1.4868472900995792E-2</c:v>
                </c:pt>
                <c:pt idx="6">
                  <c:v>2.0119114554013277E-3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return'!$S$124:$S$130</c:f>
              <c:numCache>
                <c:formatCode>0.0%</c:formatCode>
                <c:ptCount val="7"/>
                <c:pt idx="0">
                  <c:v>6.5589954970120018E-2</c:v>
                </c:pt>
                <c:pt idx="1">
                  <c:v>4.5539169597662688E-2</c:v>
                </c:pt>
                <c:pt idx="2">
                  <c:v>9.527846412011166E-3</c:v>
                </c:pt>
                <c:pt idx="3">
                  <c:v>7.2721895818925741E-2</c:v>
                </c:pt>
                <c:pt idx="4">
                  <c:v>5.4977525292602844E-2</c:v>
                </c:pt>
                <c:pt idx="5">
                  <c:v>4.6187929507514401E-2</c:v>
                </c:pt>
                <c:pt idx="6">
                  <c:v>1.4738405781966798E-2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return'!$T$124:$T$130</c:f>
              <c:numCache>
                <c:formatCode>0.0%</c:formatCode>
                <c:ptCount val="7"/>
                <c:pt idx="0">
                  <c:v>6.1840310869025861E-2</c:v>
                </c:pt>
                <c:pt idx="1">
                  <c:v>5.148327451670421E-2</c:v>
                </c:pt>
                <c:pt idx="2">
                  <c:v>9.76524535175422E-3</c:v>
                </c:pt>
                <c:pt idx="3">
                  <c:v>7.8041444182666675E-2</c:v>
                </c:pt>
                <c:pt idx="4">
                  <c:v>5.070949501589575E-2</c:v>
                </c:pt>
                <c:pt idx="5">
                  <c:v>4.6258108374441456E-2</c:v>
                </c:pt>
                <c:pt idx="6">
                  <c:v>1.5733077815258054E-2</c:v>
                </c:pt>
              </c:numCache>
            </c:numRef>
          </c:val>
        </c:ser>
        <c:gapWidth val="100"/>
        <c:overlap val="100"/>
        <c:axId val="60861440"/>
        <c:axId val="60896000"/>
      </c:barChart>
      <c:catAx>
        <c:axId val="60861440"/>
        <c:scaling>
          <c:orientation val="minMax"/>
        </c:scaling>
        <c:axPos val="l"/>
        <c:tickLblPos val="nextTo"/>
        <c:crossAx val="60896000"/>
        <c:crosses val="autoZero"/>
        <c:auto val="1"/>
        <c:lblAlgn val="ctr"/>
        <c:lblOffset val="100"/>
      </c:catAx>
      <c:valAx>
        <c:axId val="60896000"/>
        <c:scaling>
          <c:orientation val="minMax"/>
        </c:scaling>
        <c:axPos val="b"/>
        <c:majorGridlines/>
        <c:numFmt formatCode="0%" sourceLinked="0"/>
        <c:tickLblPos val="nextTo"/>
        <c:crossAx val="6086144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return'!$A$124:$A$130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return'!$B$124:$B$130</c:f>
              <c:numCache>
                <c:formatCode>0.0%</c:formatCode>
                <c:ptCount val="7"/>
                <c:pt idx="0">
                  <c:v>8.4423305856709374E-2</c:v>
                </c:pt>
                <c:pt idx="1">
                  <c:v>6.0078266145246716E-2</c:v>
                </c:pt>
                <c:pt idx="2">
                  <c:v>1.0564791729147817E-2</c:v>
                </c:pt>
                <c:pt idx="3">
                  <c:v>0.69675021679219462</c:v>
                </c:pt>
                <c:pt idx="4">
                  <c:v>7.03766998308228E-2</c:v>
                </c:pt>
                <c:pt idx="5">
                  <c:v>6.1056402408510194E-2</c:v>
                </c:pt>
                <c:pt idx="6">
                  <c:v>1.6750317237368126E-2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777" l="0.70000000000000062" r="0.70000000000000062" t="0.7500000000000077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return'!$A$160:$A$166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return'!$B$160:$B$166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777" l="0.70000000000000062" r="0.70000000000000062" t="0.7500000000000077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return'!$Q$106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return'!$Q$107:$Q$113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return'!$R$107:$R$113</c:f>
              <c:numCache>
                <c:formatCode>0.0%</c:formatCode>
                <c:ptCount val="7"/>
                <c:pt idx="0">
                  <c:v>2.734641594412103E-2</c:v>
                </c:pt>
                <c:pt idx="1">
                  <c:v>2.0283727020592589E-3</c:v>
                </c:pt>
                <c:pt idx="2">
                  <c:v>6.3306534133877412E-4</c:v>
                </c:pt>
                <c:pt idx="3">
                  <c:v>2.5278964762569348E-4</c:v>
                </c:pt>
                <c:pt idx="4">
                  <c:v>0.12343011303816416</c:v>
                </c:pt>
                <c:pt idx="5">
                  <c:v>2.3783196516416753E-2</c:v>
                </c:pt>
                <c:pt idx="6">
                  <c:v>0.28685131931716368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return'!$Q$107:$Q$113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return'!$S$107:$S$113</c:f>
              <c:numCache>
                <c:formatCode>0.0%</c:formatCode>
                <c:ptCount val="7"/>
                <c:pt idx="0">
                  <c:v>0.16105146116064978</c:v>
                </c:pt>
                <c:pt idx="1">
                  <c:v>2.4882734462430282E-2</c:v>
                </c:pt>
                <c:pt idx="2">
                  <c:v>1.749495481207064E-2</c:v>
                </c:pt>
                <c:pt idx="3">
                  <c:v>9.7615372801919571E-3</c:v>
                </c:pt>
                <c:pt idx="4">
                  <c:v>6.0117545359683625E-2</c:v>
                </c:pt>
                <c:pt idx="5">
                  <c:v>0.10890466754468459</c:v>
                </c:pt>
                <c:pt idx="6">
                  <c:v>0.15346182687339982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return'!$Q$107:$Q$113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return'!$T$107:$T$113</c:f>
              <c:numCache>
                <c:formatCode>0.0%</c:formatCode>
                <c:ptCount val="7"/>
                <c:pt idx="0">
                  <c:v>0.16698683974975087</c:v>
                </c:pt>
                <c:pt idx="1">
                  <c:v>2.5208843388073981E-2</c:v>
                </c:pt>
                <c:pt idx="2">
                  <c:v>1.8587377557096805E-2</c:v>
                </c:pt>
                <c:pt idx="3">
                  <c:v>1.0277022173711453E-2</c:v>
                </c:pt>
                <c:pt idx="4">
                  <c:v>6.1386687297298931E-2</c:v>
                </c:pt>
                <c:pt idx="5">
                  <c:v>0.11404815611195723</c:v>
                </c:pt>
                <c:pt idx="6">
                  <c:v>0.15186078741347009</c:v>
                </c:pt>
              </c:numCache>
            </c:numRef>
          </c:val>
        </c:ser>
        <c:gapWidth val="100"/>
        <c:overlap val="100"/>
        <c:axId val="62936576"/>
        <c:axId val="62938112"/>
      </c:barChart>
      <c:catAx>
        <c:axId val="62936576"/>
        <c:scaling>
          <c:orientation val="minMax"/>
        </c:scaling>
        <c:axPos val="l"/>
        <c:tickLblPos val="nextTo"/>
        <c:crossAx val="62938112"/>
        <c:crosses val="autoZero"/>
        <c:auto val="1"/>
        <c:lblAlgn val="ctr"/>
        <c:lblOffset val="100"/>
      </c:catAx>
      <c:valAx>
        <c:axId val="62938112"/>
        <c:scaling>
          <c:orientation val="minMax"/>
        </c:scaling>
        <c:axPos val="b"/>
        <c:majorGridlines/>
        <c:numFmt formatCode="0%" sourceLinked="0"/>
        <c:tickLblPos val="nextTo"/>
        <c:crossAx val="629365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return'!$Q$89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617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return'!$Q$90:$Q$96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return'!$R$90:$R$96</c:f>
              <c:numCache>
                <c:formatCode>0.0%</c:formatCode>
                <c:ptCount val="7"/>
                <c:pt idx="0">
                  <c:v>4.6159836022729199E-6</c:v>
                </c:pt>
                <c:pt idx="1">
                  <c:v>2.2768861518397508E-5</c:v>
                </c:pt>
                <c:pt idx="2">
                  <c:v>2.6604343216694769E-6</c:v>
                </c:pt>
                <c:pt idx="3">
                  <c:v>1.5290916276457137E-6</c:v>
                </c:pt>
                <c:pt idx="4">
                  <c:v>6.8329861077130865E-7</c:v>
                </c:pt>
                <c:pt idx="5">
                  <c:v>0.9533889933980052</c:v>
                </c:pt>
                <c:pt idx="6">
                  <c:v>1.244816471186795E-6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return'!$Q$90:$Q$96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return'!$S$90:$S$96</c:f>
              <c:numCache>
                <c:formatCode>0.0%</c:formatCode>
                <c:ptCount val="7"/>
                <c:pt idx="0">
                  <c:v>5.1841550948183443E-3</c:v>
                </c:pt>
                <c:pt idx="1">
                  <c:v>9.4540613520424539E-3</c:v>
                </c:pt>
                <c:pt idx="2">
                  <c:v>3.649959501196438E-3</c:v>
                </c:pt>
                <c:pt idx="3">
                  <c:v>4.519172558329506E-3</c:v>
                </c:pt>
                <c:pt idx="4">
                  <c:v>2.4925933874501861E-3</c:v>
                </c:pt>
                <c:pt idx="5">
                  <c:v>1.8249815700744687E-2</c:v>
                </c:pt>
                <c:pt idx="6">
                  <c:v>3.0277465212579361E-3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return'!$Q$90:$Q$96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return'!$T$90:$T$96</c:f>
              <c:numCache>
                <c:formatCode>0.0%</c:formatCode>
                <c:ptCount val="7"/>
                <c:pt idx="0">
                  <c:v>6.7203051544323499E-3</c:v>
                </c:pt>
                <c:pt idx="1">
                  <c:v>1.1435186876030592E-2</c:v>
                </c:pt>
                <c:pt idx="2">
                  <c:v>3.8075270076272571E-3</c:v>
                </c:pt>
                <c:pt idx="3">
                  <c:v>4.9055382980597176E-3</c:v>
                </c:pt>
                <c:pt idx="4">
                  <c:v>2.8000834373284704E-3</c:v>
                </c:pt>
                <c:pt idx="5">
                  <c:v>1.8437788907664232E-2</c:v>
                </c:pt>
                <c:pt idx="6">
                  <c:v>3.7394804708148119E-3</c:v>
                </c:pt>
              </c:numCache>
            </c:numRef>
          </c:val>
        </c:ser>
        <c:gapWidth val="100"/>
        <c:overlap val="100"/>
        <c:axId val="62959616"/>
        <c:axId val="62961152"/>
      </c:barChart>
      <c:catAx>
        <c:axId val="62959616"/>
        <c:scaling>
          <c:orientation val="minMax"/>
        </c:scaling>
        <c:axPos val="l"/>
        <c:tickLblPos val="nextTo"/>
        <c:crossAx val="62961152"/>
        <c:crosses val="autoZero"/>
        <c:auto val="1"/>
        <c:lblAlgn val="ctr"/>
        <c:lblOffset val="100"/>
      </c:catAx>
      <c:valAx>
        <c:axId val="62961152"/>
        <c:scaling>
          <c:orientation val="minMax"/>
        </c:scaling>
        <c:axPos val="b"/>
        <c:majorGridlines/>
        <c:numFmt formatCode="0%" sourceLinked="0"/>
        <c:tickLblPos val="nextTo"/>
        <c:crossAx val="629596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553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89"/>
          <c:y val="0.18930803620083986"/>
          <c:w val="0.82649258218451005"/>
          <c:h val="0.53316690114416299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mixen'!$S$129:$S$136</c:f>
              <c:numCache>
                <c:formatCode>0.0%</c:formatCode>
                <c:ptCount val="8"/>
                <c:pt idx="0">
                  <c:v>0.67764273190372148</c:v>
                </c:pt>
                <c:pt idx="1">
                  <c:v>1.0322506661368216E-2</c:v>
                </c:pt>
                <c:pt idx="2">
                  <c:v>6.9400769786467252E-3</c:v>
                </c:pt>
                <c:pt idx="3">
                  <c:v>7.1246281901709359E-4</c:v>
                </c:pt>
                <c:pt idx="4">
                  <c:v>0.20554083364705478</c:v>
                </c:pt>
                <c:pt idx="5">
                  <c:v>8.1937312581441824E-3</c:v>
                </c:pt>
                <c:pt idx="6">
                  <c:v>7.7119224218432127E-3</c:v>
                </c:pt>
                <c:pt idx="7">
                  <c:v>1.3782708666761111E-3</c:v>
                </c:pt>
              </c:numCache>
            </c:numRef>
          </c:val>
        </c:ser>
        <c:ser>
          <c:idx val="1"/>
          <c:order val="1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mixen'!$T$129:$T$136</c:f>
              <c:numCache>
                <c:formatCode>0.0%</c:formatCode>
                <c:ptCount val="8"/>
                <c:pt idx="0">
                  <c:v>1.0622639951051838E-2</c:v>
                </c:pt>
                <c:pt idx="1">
                  <c:v>1.6507979059062976E-2</c:v>
                </c:pt>
                <c:pt idx="2">
                  <c:v>1.1967861177443306E-2</c:v>
                </c:pt>
                <c:pt idx="3">
                  <c:v>2.5616715488649359E-3</c:v>
                </c:pt>
                <c:pt idx="4">
                  <c:v>1.076347434501318E-2</c:v>
                </c:pt>
                <c:pt idx="5">
                  <c:v>1.3726260061434712E-2</c:v>
                </c:pt>
                <c:pt idx="6">
                  <c:v>1.1577889918650559E-2</c:v>
                </c:pt>
                <c:pt idx="7">
                  <c:v>3.8296873820060666E-3</c:v>
                </c:pt>
              </c:numCache>
            </c:numRef>
          </c:val>
        </c:ser>
        <c:ser>
          <c:idx val="2"/>
          <c:order val="2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mixen'!$U$129:$U$136</c:f>
              <c:numCache>
                <c:formatCode>0.0%</c:formatCode>
                <c:ptCount val="8"/>
                <c:pt idx="0">
                  <c:v>9.8749826852762013E-3</c:v>
                </c:pt>
                <c:pt idx="1">
                  <c:v>1.216230723818865E-2</c:v>
                </c:pt>
                <c:pt idx="2">
                  <c:v>8.7024905605503321E-3</c:v>
                </c:pt>
                <c:pt idx="3">
                  <c:v>1.360680571428006E-3</c:v>
                </c:pt>
                <c:pt idx="4">
                  <c:v>1.0897585461989379E-2</c:v>
                </c:pt>
                <c:pt idx="5">
                  <c:v>1.0221521266189897E-2</c:v>
                </c:pt>
                <c:pt idx="6">
                  <c:v>7.708909864886121E-3</c:v>
                </c:pt>
                <c:pt idx="7">
                  <c:v>2.5443558845667522E-3</c:v>
                </c:pt>
              </c:numCache>
            </c:numRef>
          </c:val>
        </c:ser>
        <c:overlap val="100"/>
        <c:axId val="63810944"/>
        <c:axId val="63821312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63810944"/>
        <c:axId val="63821312"/>
      </c:lineChart>
      <c:catAx>
        <c:axId val="63810944"/>
        <c:scaling>
          <c:orientation val="minMax"/>
        </c:scaling>
        <c:axPos val="b"/>
        <c:tickLblPos val="nextTo"/>
        <c:crossAx val="63821312"/>
        <c:crosses val="autoZero"/>
        <c:auto val="1"/>
        <c:lblAlgn val="ctr"/>
        <c:lblOffset val="100"/>
      </c:catAx>
      <c:valAx>
        <c:axId val="63821312"/>
        <c:scaling>
          <c:orientation val="minMax"/>
        </c:scaling>
        <c:axPos val="l"/>
        <c:majorGridlines/>
        <c:numFmt formatCode="0%" sourceLinked="0"/>
        <c:tickLblPos val="nextTo"/>
        <c:crossAx val="6381094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77" l="0.70000000000000062" r="0.70000000000000062" t="0.75000000000000777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02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return'!$R$124:$R$130</c:f>
              <c:numCache>
                <c:formatCode>0.0%</c:formatCode>
                <c:ptCount val="7"/>
                <c:pt idx="0">
                  <c:v>1.8833350886589353E-2</c:v>
                </c:pt>
                <c:pt idx="1">
                  <c:v>1.4539096547584025E-2</c:v>
                </c:pt>
                <c:pt idx="2">
                  <c:v>1.0369453171366512E-3</c:v>
                </c:pt>
                <c:pt idx="3">
                  <c:v>0.62402832097326888</c:v>
                </c:pt>
                <c:pt idx="4">
                  <c:v>1.5399174538219958E-2</c:v>
                </c:pt>
                <c:pt idx="5">
                  <c:v>1.4868472900995792E-2</c:v>
                </c:pt>
                <c:pt idx="6">
                  <c:v>2.0119114554013277E-3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return'!$S$124:$S$130</c:f>
              <c:numCache>
                <c:formatCode>0.0%</c:formatCode>
                <c:ptCount val="7"/>
                <c:pt idx="0">
                  <c:v>6.5589954970120018E-2</c:v>
                </c:pt>
                <c:pt idx="1">
                  <c:v>4.5539169597662688E-2</c:v>
                </c:pt>
                <c:pt idx="2">
                  <c:v>9.527846412011166E-3</c:v>
                </c:pt>
                <c:pt idx="3">
                  <c:v>7.2721895818925741E-2</c:v>
                </c:pt>
                <c:pt idx="4">
                  <c:v>5.4977525292602844E-2</c:v>
                </c:pt>
                <c:pt idx="5">
                  <c:v>4.6187929507514401E-2</c:v>
                </c:pt>
                <c:pt idx="6">
                  <c:v>1.4738405781966798E-2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return'!$T$124:$T$130</c:f>
              <c:numCache>
                <c:formatCode>0.0%</c:formatCode>
                <c:ptCount val="7"/>
                <c:pt idx="0">
                  <c:v>6.1840310869025861E-2</c:v>
                </c:pt>
                <c:pt idx="1">
                  <c:v>5.148327451670421E-2</c:v>
                </c:pt>
                <c:pt idx="2">
                  <c:v>9.76524535175422E-3</c:v>
                </c:pt>
                <c:pt idx="3">
                  <c:v>7.8041444182666675E-2</c:v>
                </c:pt>
                <c:pt idx="4">
                  <c:v>5.070949501589575E-2</c:v>
                </c:pt>
                <c:pt idx="5">
                  <c:v>4.6258108374441456E-2</c:v>
                </c:pt>
                <c:pt idx="6">
                  <c:v>1.5733077815258054E-2</c:v>
                </c:pt>
              </c:numCache>
            </c:numRef>
          </c:val>
        </c:ser>
        <c:overlap val="100"/>
        <c:axId val="147594240"/>
        <c:axId val="147616896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147594240"/>
        <c:axId val="147616896"/>
      </c:lineChart>
      <c:catAx>
        <c:axId val="147594240"/>
        <c:scaling>
          <c:orientation val="minMax"/>
        </c:scaling>
        <c:axPos val="b"/>
        <c:numFmt formatCode="General" sourceLinked="1"/>
        <c:tickLblPos val="nextTo"/>
        <c:crossAx val="147616896"/>
        <c:crosses val="autoZero"/>
        <c:auto val="1"/>
        <c:lblAlgn val="ctr"/>
        <c:lblOffset val="100"/>
      </c:catAx>
      <c:valAx>
        <c:axId val="147616896"/>
        <c:scaling>
          <c:orientation val="minMax"/>
        </c:scaling>
        <c:axPos val="l"/>
        <c:majorGridlines/>
        <c:numFmt formatCode="0%" sourceLinked="0"/>
        <c:tickLblPos val="nextTo"/>
        <c:crossAx val="14759424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54"/>
          <c:w val="0.5562682138416909"/>
          <c:h val="0.69258218413305139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797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mixen'!$A$129:$A$136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mixen'!$B$129:$B$136</c:f>
              <c:numCache>
                <c:formatCode>0.0%</c:formatCode>
                <c:ptCount val="8"/>
                <c:pt idx="0">
                  <c:v>0.68826537185477332</c:v>
                </c:pt>
                <c:pt idx="1">
                  <c:v>2.6830485720431192E-2</c:v>
                </c:pt>
                <c:pt idx="2">
                  <c:v>1.8907938156090032E-2</c:v>
                </c:pt>
                <c:pt idx="3">
                  <c:v>3.2741343678820293E-3</c:v>
                </c:pt>
                <c:pt idx="4">
                  <c:v>0.21630430799206796</c:v>
                </c:pt>
                <c:pt idx="5">
                  <c:v>2.1919991319578894E-2</c:v>
                </c:pt>
                <c:pt idx="6">
                  <c:v>1.9289812340493772E-2</c:v>
                </c:pt>
                <c:pt idx="7">
                  <c:v>5.2079582486821777E-3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147795328"/>
        <c:axId val="147805312"/>
      </c:barChart>
      <c:catAx>
        <c:axId val="147795328"/>
        <c:scaling>
          <c:orientation val="minMax"/>
        </c:scaling>
        <c:axPos val="l"/>
        <c:tickLblPos val="nextTo"/>
        <c:crossAx val="147805312"/>
        <c:crosses val="autoZero"/>
        <c:auto val="1"/>
        <c:lblAlgn val="ctr"/>
        <c:lblOffset val="100"/>
      </c:catAx>
      <c:valAx>
        <c:axId val="147805312"/>
        <c:scaling>
          <c:orientation val="minMax"/>
        </c:scaling>
        <c:axPos val="b"/>
        <c:majorGridlines/>
        <c:numFmt formatCode="0.0%" sourceLinked="1"/>
        <c:tickLblPos val="nextTo"/>
        <c:crossAx val="147795328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201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55"/>
          <c:y val="5.1400554097404488E-2"/>
          <c:w val="0.82164348206474436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1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0.1465180543940868</c:v>
                </c:pt>
                <c:pt idx="6">
                  <c:v>0.33576372020209261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IC'!$H$50:$H$57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2.2858562017300008E-2</c:v>
                </c:pt>
                <c:pt idx="2">
                  <c:v>1.969557072360073E-2</c:v>
                </c:pt>
                <c:pt idx="3">
                  <c:v>1.5342489100108013E-2</c:v>
                </c:pt>
                <c:pt idx="4">
                  <c:v>8.9680832159551499E-2</c:v>
                </c:pt>
                <c:pt idx="5">
                  <c:v>6.2036265615280854E-2</c:v>
                </c:pt>
                <c:pt idx="6">
                  <c:v>1.488056303571629E-2</c:v>
                </c:pt>
                <c:pt idx="7">
                  <c:v>1.0171029512307597E-3</c:v>
                </c:pt>
              </c:numCache>
            </c:numRef>
          </c:yVal>
        </c:ser>
        <c:axId val="147838848"/>
        <c:axId val="147849216"/>
      </c:scatterChart>
      <c:valAx>
        <c:axId val="14783884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01"/>
            </c:manualLayout>
          </c:layout>
        </c:title>
        <c:numFmt formatCode="0%" sourceLinked="0"/>
        <c:tickLblPos val="nextTo"/>
        <c:crossAx val="147849216"/>
        <c:crosses val="autoZero"/>
        <c:crossBetween val="midCat"/>
      </c:valAx>
      <c:valAx>
        <c:axId val="1478492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147838848"/>
        <c:crosses val="autoZero"/>
        <c:crossBetween val="midCat"/>
      </c:valAx>
    </c:plotArea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23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6"/>
          <c:y val="5.1400554097404488E-2"/>
          <c:w val="0.821643482064744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864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174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741E-2"/>
                  <c:y val="-6.733699125597998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0.1465180543940868</c:v>
                </c:pt>
                <c:pt idx="6">
                  <c:v>0.33576372020209261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3.1705382280009728E-2</c:v>
                </c:pt>
                <c:pt idx="3">
                  <c:v>5.7210243741557129E-2</c:v>
                </c:pt>
                <c:pt idx="4">
                  <c:v>5.5668448282861861E-2</c:v>
                </c:pt>
                <c:pt idx="5">
                  <c:v>5.4683067728185694E-2</c:v>
                </c:pt>
                <c:pt idx="6">
                  <c:v>2.9030049193200475E-2</c:v>
                </c:pt>
                <c:pt idx="7">
                  <c:v>3.8983857987503749E-2</c:v>
                </c:pt>
              </c:numCache>
            </c:numRef>
          </c:yVal>
        </c:ser>
        <c:axId val="147890944"/>
        <c:axId val="147892864"/>
      </c:scatterChart>
      <c:valAx>
        <c:axId val="147890944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23"/>
            </c:manualLayout>
          </c:layout>
        </c:title>
        <c:numFmt formatCode="0%" sourceLinked="0"/>
        <c:tickLblPos val="nextTo"/>
        <c:crossAx val="147892864"/>
        <c:crosses val="autoZero"/>
        <c:crossBetween val="midCat"/>
      </c:valAx>
      <c:valAx>
        <c:axId val="1478928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147890944"/>
        <c:crosses val="autoZero"/>
        <c:crossBetween val="midCat"/>
      </c:valAx>
    </c:plotArea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IC'!$H$50:$H$57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2.2858562017300008E-2</c:v>
                </c:pt>
                <c:pt idx="2">
                  <c:v>1.969557072360073E-2</c:v>
                </c:pt>
                <c:pt idx="3">
                  <c:v>1.5342489100108013E-2</c:v>
                </c:pt>
                <c:pt idx="4">
                  <c:v>8.9680832159551499E-2</c:v>
                </c:pt>
                <c:pt idx="5">
                  <c:v>6.2036265615280854E-2</c:v>
                </c:pt>
                <c:pt idx="6">
                  <c:v>1.488056303571629E-2</c:v>
                </c:pt>
                <c:pt idx="7">
                  <c:v>1.0171029512307597E-3</c:v>
                </c:pt>
              </c:numCache>
            </c:numRef>
          </c:val>
        </c:ser>
        <c:axId val="147880960"/>
        <c:axId val="148321024"/>
      </c:barChart>
      <c:catAx>
        <c:axId val="147880960"/>
        <c:scaling>
          <c:orientation val="minMax"/>
        </c:scaling>
        <c:axPos val="l"/>
        <c:tickLblPos val="none"/>
        <c:crossAx val="148321024"/>
        <c:crosses val="autoZero"/>
        <c:auto val="1"/>
        <c:lblAlgn val="ctr"/>
        <c:lblOffset val="100"/>
      </c:catAx>
      <c:valAx>
        <c:axId val="148321024"/>
        <c:scaling>
          <c:orientation val="minMax"/>
        </c:scaling>
        <c:axPos val="b"/>
        <c:majorGridlines/>
        <c:numFmt formatCode="0.0%" sourceLinked="1"/>
        <c:tickLblPos val="nextTo"/>
        <c:crossAx val="147880960"/>
        <c:crosses val="autoZero"/>
        <c:crossBetween val="between"/>
      </c:valAx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-0.2936626251519534</c:v>
                </c:pt>
                <c:pt idx="2">
                  <c:v>6.6039602631658201E-2</c:v>
                </c:pt>
                <c:pt idx="3">
                  <c:v>-0.20051038078380698</c:v>
                </c:pt>
                <c:pt idx="4">
                  <c:v>-0.14657043172069534</c:v>
                </c:pt>
                <c:pt idx="5">
                  <c:v>-0.2437616251346946</c:v>
                </c:pt>
                <c:pt idx="6">
                  <c:v>-0.20604403638139485</c:v>
                </c:pt>
                <c:pt idx="7">
                  <c:v>-0.29311248674648732</c:v>
                </c:pt>
              </c:numCache>
            </c:numRef>
          </c:val>
        </c:ser>
        <c:ser>
          <c:idx val="1"/>
          <c:order val="1"/>
          <c:tx>
            <c:strRef>
              <c:f>'output IC'!$K$49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IC'!$K$50:$K$57</c:f>
              <c:numCache>
                <c:formatCode>#,##0.00_ ;[Red]\-#,##0.00\ </c:formatCode>
                <c:ptCount val="8"/>
                <c:pt idx="0">
                  <c:v>-1.786754803844362E-2</c:v>
                </c:pt>
                <c:pt idx="1">
                  <c:v>0.14445601870467331</c:v>
                </c:pt>
                <c:pt idx="2">
                  <c:v>0.1171321587100298</c:v>
                </c:pt>
                <c:pt idx="3">
                  <c:v>5.2901618339530047E-2</c:v>
                </c:pt>
                <c:pt idx="4">
                  <c:v>0.30120025810586765</c:v>
                </c:pt>
                <c:pt idx="5">
                  <c:v>0.42340355850223821</c:v>
                </c:pt>
                <c:pt idx="6">
                  <c:v>4.4318555401875577E-2</c:v>
                </c:pt>
                <c:pt idx="7">
                  <c:v>5.1069748580229489E-3</c:v>
                </c:pt>
              </c:numCache>
            </c:numRef>
          </c:val>
        </c:ser>
        <c:axId val="148358272"/>
        <c:axId val="148359808"/>
      </c:barChart>
      <c:catAx>
        <c:axId val="148358272"/>
        <c:scaling>
          <c:orientation val="minMax"/>
        </c:scaling>
        <c:axPos val="l"/>
        <c:tickLblPos val="high"/>
        <c:crossAx val="148359808"/>
        <c:crosses val="autoZero"/>
        <c:auto val="1"/>
        <c:lblAlgn val="ctr"/>
        <c:lblOffset val="100"/>
      </c:catAx>
      <c:valAx>
        <c:axId val="148359808"/>
        <c:scaling>
          <c:orientation val="minMax"/>
        </c:scaling>
        <c:axPos val="b"/>
        <c:majorGridlines/>
        <c:numFmt formatCode="#,##0.00_ ;\-#,##0.00\ " sourceLinked="1"/>
        <c:tickLblPos val="nextTo"/>
        <c:crossAx val="148358272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428065</xdr:colOff>
      <xdr:row>56</xdr:row>
      <xdr:rowOff>17368</xdr:rowOff>
    </xdr:from>
    <xdr:to>
      <xdr:col>13</xdr:col>
      <xdr:colOff>47065</xdr:colOff>
      <xdr:row>73</xdr:row>
      <xdr:rowOff>43702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733425</xdr:colOff>
      <xdr:row>139</xdr:row>
      <xdr:rowOff>142874</xdr:rowOff>
    </xdr:from>
    <xdr:to>
      <xdr:col>13</xdr:col>
      <xdr:colOff>504825</xdr:colOff>
      <xdr:row>156</xdr:row>
      <xdr:rowOff>161925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104774</xdr:colOff>
      <xdr:row>139</xdr:row>
      <xdr:rowOff>142874</xdr:rowOff>
    </xdr:from>
    <xdr:to>
      <xdr:col>4</xdr:col>
      <xdr:colOff>771524</xdr:colOff>
      <xdr:row>156</xdr:row>
      <xdr:rowOff>161925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Optimalisatie_2013_MP_BaseCase_100_unconstrained_IRAN_decemb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>
        <row r="3">
          <cell r="F3">
            <v>0.99933044801477622</v>
          </cell>
        </row>
        <row r="4">
          <cell r="F4">
            <v>5.9498856944343162E-5</v>
          </cell>
        </row>
        <row r="5">
          <cell r="F5">
            <v>8.6775571303158883E-5</v>
          </cell>
        </row>
        <row r="6">
          <cell r="F6">
            <v>3.3196657987390124E-5</v>
          </cell>
        </row>
        <row r="7">
          <cell r="F7">
            <v>4.8644439396432552E-5</v>
          </cell>
        </row>
        <row r="8">
          <cell r="F8">
            <v>2.3467442398853234E-4</v>
          </cell>
        </row>
        <row r="9">
          <cell r="F9">
            <v>1.5994064696340217E-4</v>
          </cell>
        </row>
        <row r="10">
          <cell r="F10">
            <v>4.6821388640572115E-5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13"/>
  <sheetViews>
    <sheetView zoomScale="85" zoomScaleNormal="85" workbookViewId="0">
      <selection activeCell="O44" sqref="O44"/>
    </sheetView>
  </sheetViews>
  <sheetFormatPr defaultRowHeight="15"/>
  <cols>
    <col min="1" max="1" width="32.7109375" style="71" customWidth="1"/>
    <col min="2" max="6" width="15.7109375" style="71" customWidth="1"/>
    <col min="7" max="7" width="17.28515625" style="71" customWidth="1"/>
    <col min="8" max="22" width="9.140625" style="71"/>
    <col min="23" max="23" width="9.140625" style="129"/>
    <col min="24" max="24" width="20.42578125" style="129" bestFit="1" customWidth="1"/>
    <col min="25" max="16384" width="9.140625" style="71"/>
  </cols>
  <sheetData>
    <row r="1" spans="1:24" ht="15.75" thickBot="1">
      <c r="A1" s="133"/>
      <c r="B1" s="223" t="s">
        <v>100</v>
      </c>
      <c r="C1" s="326" t="s">
        <v>93</v>
      </c>
      <c r="D1" s="326"/>
      <c r="E1" s="327"/>
      <c r="F1" s="223" t="s">
        <v>124</v>
      </c>
      <c r="G1" s="223" t="s">
        <v>98</v>
      </c>
    </row>
    <row r="2" spans="1:24" ht="15.75" thickBot="1">
      <c r="A2" s="135"/>
      <c r="B2" s="224" t="s">
        <v>101</v>
      </c>
      <c r="C2" s="136" t="s">
        <v>91</v>
      </c>
      <c r="D2" s="137" t="s">
        <v>92</v>
      </c>
      <c r="E2" s="138" t="s">
        <v>23</v>
      </c>
      <c r="F2" s="224" t="s">
        <v>101</v>
      </c>
      <c r="G2" s="224" t="s">
        <v>101</v>
      </c>
    </row>
    <row r="3" spans="1:24">
      <c r="A3" s="139" t="str">
        <f>IF(Scenarios!A4&lt;&gt;"",Scenarios!A4,"")</f>
        <v>Nominale matching</v>
      </c>
      <c r="B3" s="212">
        <v>0.59460926292655603</v>
      </c>
      <c r="C3" s="261">
        <v>0</v>
      </c>
      <c r="D3" s="212">
        <v>1</v>
      </c>
      <c r="E3" s="141">
        <v>0.99</v>
      </c>
      <c r="F3" s="140">
        <f>'Samenvatting mixen'!B129</f>
        <v>0.68826537185477332</v>
      </c>
      <c r="G3" s="140">
        <f>+F3-B3</f>
        <v>9.3656108928217296E-2</v>
      </c>
      <c r="H3" s="263"/>
    </row>
    <row r="4" spans="1:24">
      <c r="A4" s="139" t="str">
        <f>IF(Scenarios!A5&lt;&gt;"",Scenarios!A5,"")</f>
        <v>High Yield</v>
      </c>
      <c r="B4" s="212">
        <v>7.3502607897390396E-2</v>
      </c>
      <c r="C4" s="261">
        <v>0</v>
      </c>
      <c r="D4" s="321">
        <v>1</v>
      </c>
      <c r="E4" s="141">
        <v>0.99</v>
      </c>
      <c r="F4" s="140">
        <f>'Samenvatting mixen'!B130</f>
        <v>2.6830485720431192E-2</v>
      </c>
      <c r="G4" s="140">
        <f t="shared" ref="G4:G10" si="0">+F4-B4</f>
        <v>-4.6672122176959208E-2</v>
      </c>
      <c r="H4" s="264"/>
      <c r="W4" s="129" t="str">
        <f>A4</f>
        <v>High Yield</v>
      </c>
      <c r="X4" s="130">
        <f>B4/SUM($B$4:$B$10)</f>
        <v>0.18131299305951845</v>
      </c>
    </row>
    <row r="5" spans="1:24">
      <c r="A5" s="139" t="str">
        <f>IF(Scenarios!A6&lt;&gt;"",Scenarios!A6,"")</f>
        <v>Emerging market debt</v>
      </c>
      <c r="B5" s="212">
        <v>8.232448256002324E-2</v>
      </c>
      <c r="C5" s="261">
        <v>0</v>
      </c>
      <c r="D5" s="212">
        <v>1</v>
      </c>
      <c r="E5" s="141">
        <v>0.99</v>
      </c>
      <c r="F5" s="140">
        <f>'Samenvatting mixen'!B131</f>
        <v>1.8907938156090032E-2</v>
      </c>
      <c r="G5" s="140">
        <f t="shared" si="0"/>
        <v>-6.3416544403933212E-2</v>
      </c>
      <c r="W5" s="129" t="str">
        <f t="shared" ref="W5:W10" si="1">A5</f>
        <v>Emerging market debt</v>
      </c>
      <c r="X5" s="130">
        <f t="shared" ref="X5:X10" si="2">B5/SUM($B$4:$B$10)</f>
        <v>0.20307440459624679</v>
      </c>
    </row>
    <row r="6" spans="1:24">
      <c r="A6" s="139" t="str">
        <f>IF(Scenarios!A7&lt;&gt;"",Scenarios!A7,"")</f>
        <v>Aandelen ontwikkeld</v>
      </c>
      <c r="B6" s="300">
        <f>10.1683683628086%-0.5%</f>
        <v>9.6683683628085992E-2</v>
      </c>
      <c r="C6" s="261">
        <v>0</v>
      </c>
      <c r="D6" s="321">
        <v>1</v>
      </c>
      <c r="E6" s="141">
        <v>0.99</v>
      </c>
      <c r="F6" s="140">
        <f>'Samenvatting mixen'!B132</f>
        <v>3.2741343678820293E-3</v>
      </c>
      <c r="G6" s="140">
        <f t="shared" si="0"/>
        <v>-9.3409549260203964E-2</v>
      </c>
      <c r="H6" s="263"/>
      <c r="W6" s="129" t="str">
        <f t="shared" si="1"/>
        <v>Aandelen ontwikkeld</v>
      </c>
      <c r="X6" s="130">
        <f t="shared" si="2"/>
        <v>0.23849504881649528</v>
      </c>
    </row>
    <row r="7" spans="1:24">
      <c r="A7" s="139" t="str">
        <f>IF(Scenarios!A8&lt;&gt;"",Scenarios!A8,"")</f>
        <v>Aandelen opkomend</v>
      </c>
      <c r="B7" s="300">
        <f>4.65005580154938%+0.5%</f>
        <v>5.1500558015493796E-2</v>
      </c>
      <c r="C7" s="261">
        <v>0</v>
      </c>
      <c r="D7" s="321">
        <v>1</v>
      </c>
      <c r="E7" s="141">
        <v>0.99</v>
      </c>
      <c r="F7" s="140">
        <f>'Samenvatting mixen'!B133</f>
        <v>0.21630430799206796</v>
      </c>
      <c r="G7" s="140">
        <f t="shared" si="0"/>
        <v>0.16480374997657415</v>
      </c>
      <c r="H7" s="263"/>
      <c r="W7" s="129" t="str">
        <f t="shared" si="1"/>
        <v>Aandelen opkomend</v>
      </c>
      <c r="X7" s="130">
        <f t="shared" si="2"/>
        <v>0.12703930629318633</v>
      </c>
    </row>
    <row r="8" spans="1:24">
      <c r="A8" s="139" t="str">
        <f>IF(Scenarios!A9&lt;&gt;"",Scenarios!A9,"")</f>
        <v>Commodities</v>
      </c>
      <c r="B8" s="212">
        <v>2.0640227417381859E-2</v>
      </c>
      <c r="C8" s="261">
        <v>0</v>
      </c>
      <c r="D8" s="321">
        <v>1</v>
      </c>
      <c r="E8" s="141">
        <v>0.99</v>
      </c>
      <c r="F8" s="140">
        <f>'Samenvatting mixen'!B134</f>
        <v>2.1919991319578894E-2</v>
      </c>
      <c r="G8" s="140">
        <f t="shared" si="0"/>
        <v>1.2797639021970356E-3</v>
      </c>
      <c r="H8" s="263"/>
      <c r="W8" s="129" t="str">
        <f t="shared" si="1"/>
        <v>Commodities</v>
      </c>
      <c r="X8" s="130">
        <f t="shared" si="2"/>
        <v>5.0914403141980299E-2</v>
      </c>
    </row>
    <row r="9" spans="1:24">
      <c r="A9" s="139" t="str">
        <f>IF(Scenarios!A10&lt;&gt;"",Scenarios!A10,"")</f>
        <v>Hedge funds</v>
      </c>
      <c r="B9" s="321">
        <v>3.219705746498288E-2</v>
      </c>
      <c r="C9" s="261">
        <v>0</v>
      </c>
      <c r="D9" s="321">
        <v>1</v>
      </c>
      <c r="E9" s="141">
        <v>0.99</v>
      </c>
      <c r="F9" s="140">
        <f>'Samenvatting mixen'!B135</f>
        <v>1.9289812340493772E-2</v>
      </c>
      <c r="G9" s="140">
        <f t="shared" si="0"/>
        <v>-1.2907245124489108E-2</v>
      </c>
      <c r="W9" s="129" t="str">
        <f t="shared" si="1"/>
        <v>Hedge funds</v>
      </c>
      <c r="X9" s="130">
        <f t="shared" si="2"/>
        <v>7.9422282061540547E-2</v>
      </c>
    </row>
    <row r="10" spans="1:24">
      <c r="A10" s="139" t="str">
        <f>IF(Scenarios!A11&lt;&gt;"",Scenarios!A11,"")</f>
        <v>Onroerend goed</v>
      </c>
      <c r="B10" s="321">
        <v>4.8542120090085711E-2</v>
      </c>
      <c r="C10" s="261">
        <v>0</v>
      </c>
      <c r="D10" s="321">
        <v>1</v>
      </c>
      <c r="E10" s="141">
        <v>0.99</v>
      </c>
      <c r="F10" s="140">
        <f>'Samenvatting mixen'!B136</f>
        <v>5.2079582486821777E-3</v>
      </c>
      <c r="G10" s="140">
        <f t="shared" si="0"/>
        <v>-4.3334161841403533E-2</v>
      </c>
      <c r="W10" s="129" t="str">
        <f t="shared" si="1"/>
        <v>Onroerend goed</v>
      </c>
      <c r="X10" s="130">
        <f t="shared" si="2"/>
        <v>0.11974156203103237</v>
      </c>
    </row>
    <row r="11" spans="1:24">
      <c r="A11" s="139" t="str">
        <f>IF(Scenarios!A12&lt;&gt;"",Scenarios!A12,"")</f>
        <v/>
      </c>
      <c r="B11" s="321"/>
      <c r="C11" s="261"/>
      <c r="D11" s="321"/>
      <c r="E11" s="141"/>
      <c r="F11" s="140"/>
      <c r="G11" s="140"/>
      <c r="X11" s="131"/>
    </row>
    <row r="12" spans="1:24">
      <c r="A12" s="139" t="str">
        <f>IF(Scenarios!A13&lt;&gt;"",Scenarios!A13,"")</f>
        <v/>
      </c>
      <c r="B12" s="321"/>
      <c r="C12" s="261"/>
      <c r="D12" s="321"/>
      <c r="E12" s="141"/>
      <c r="F12" s="140"/>
      <c r="G12" s="140"/>
    </row>
    <row r="13" spans="1:24">
      <c r="A13" s="139" t="str">
        <f>IF(Scenarios!A14&lt;&gt;"",Scenarios!A14,"")</f>
        <v/>
      </c>
      <c r="B13" s="321"/>
      <c r="C13" s="261"/>
      <c r="D13" s="321"/>
      <c r="E13" s="141"/>
      <c r="F13" s="140"/>
      <c r="G13" s="140"/>
    </row>
    <row r="14" spans="1:24">
      <c r="A14" s="139" t="str">
        <f>IF(Scenarios!A15&lt;&gt;"",Scenarios!A15,"")</f>
        <v/>
      </c>
      <c r="B14" s="321"/>
      <c r="C14" s="261"/>
      <c r="D14" s="321"/>
      <c r="E14" s="141"/>
      <c r="F14" s="140"/>
      <c r="G14" s="140"/>
    </row>
    <row r="15" spans="1:24">
      <c r="A15" s="139" t="str">
        <f>IF(Scenarios!A16&lt;&gt;"",Scenarios!A16,"")</f>
        <v/>
      </c>
      <c r="B15" s="321"/>
      <c r="C15" s="261"/>
      <c r="D15" s="321"/>
      <c r="E15" s="141"/>
      <c r="F15" s="140"/>
      <c r="G15" s="140"/>
    </row>
    <row r="16" spans="1:24">
      <c r="A16" s="139" t="str">
        <f>IF(Scenarios!A17&lt;&gt;"",Scenarios!A17,"")</f>
        <v/>
      </c>
      <c r="B16" s="321"/>
      <c r="C16" s="261"/>
      <c r="D16" s="321"/>
      <c r="E16" s="141"/>
      <c r="F16" s="140"/>
      <c r="G16" s="140"/>
    </row>
    <row r="17" spans="1:7" ht="15.75" thickBot="1">
      <c r="A17" s="135" t="str">
        <f>IF(Scenarios!A18&lt;&gt;"",Scenarios!A18,"")</f>
        <v/>
      </c>
      <c r="B17" s="213"/>
      <c r="C17" s="262"/>
      <c r="D17" s="213"/>
      <c r="E17" s="143"/>
      <c r="F17" s="142"/>
      <c r="G17" s="142"/>
    </row>
    <row r="18" spans="1:7" ht="15.75" thickBot="1">
      <c r="A18" s="144" t="s">
        <v>89</v>
      </c>
      <c r="B18" s="145">
        <f>Scenarios!C19</f>
        <v>9.3079489831111251E-2</v>
      </c>
      <c r="C18" s="134"/>
      <c r="D18" s="146" t="s">
        <v>102</v>
      </c>
      <c r="E18" s="147">
        <v>0.99</v>
      </c>
      <c r="F18" s="134"/>
    </row>
    <row r="19" spans="1:7">
      <c r="A19" s="168" t="s">
        <v>103</v>
      </c>
      <c r="B19" s="148">
        <v>0.03</v>
      </c>
      <c r="C19" s="134"/>
      <c r="D19" s="149"/>
      <c r="E19" s="150"/>
      <c r="F19" s="134"/>
    </row>
    <row r="20" spans="1:7">
      <c r="A20" s="134"/>
      <c r="B20" s="134"/>
      <c r="C20" s="134"/>
      <c r="D20" s="149"/>
      <c r="E20" s="150"/>
      <c r="F20" s="134"/>
    </row>
    <row r="21" spans="1:7">
      <c r="A21" s="134"/>
      <c r="B21" s="134"/>
      <c r="C21" s="134"/>
      <c r="D21" s="134"/>
      <c r="E21" s="134"/>
      <c r="F21" s="134"/>
    </row>
    <row r="22" spans="1:7">
      <c r="A22" s="297" t="s">
        <v>143</v>
      </c>
      <c r="B22" s="292">
        <f t="array" ref="B22">+MMULT(TRANSPOSE(F3:F10),MMULT(k,F3:F10))^(0.5)</f>
        <v>9.2413298284784035E-2</v>
      </c>
      <c r="C22" s="295"/>
      <c r="D22" s="295"/>
      <c r="E22" s="295"/>
      <c r="F22" s="211"/>
    </row>
    <row r="23" spans="1:7">
      <c r="A23" s="161"/>
      <c r="B23" s="211"/>
      <c r="C23" s="211"/>
      <c r="D23" s="211"/>
      <c r="E23" s="211"/>
      <c r="F23" s="161"/>
    </row>
    <row r="24" spans="1:7">
      <c r="A24" s="161"/>
      <c r="B24" s="159"/>
      <c r="C24" s="159"/>
      <c r="D24" s="159"/>
      <c r="E24" s="159"/>
      <c r="F24" s="150"/>
    </row>
    <row r="25" spans="1:7">
      <c r="A25" s="161"/>
      <c r="B25" s="159"/>
      <c r="C25" s="159"/>
      <c r="D25" s="159"/>
      <c r="E25" s="159"/>
      <c r="F25" s="150"/>
    </row>
    <row r="26" spans="1:7">
      <c r="A26" s="161"/>
      <c r="B26" s="159"/>
      <c r="C26" s="159"/>
      <c r="D26" s="159"/>
      <c r="E26" s="159"/>
      <c r="F26" s="150"/>
    </row>
    <row r="27" spans="1:7">
      <c r="A27" s="161"/>
      <c r="B27" s="159"/>
      <c r="C27" s="159"/>
      <c r="D27" s="159"/>
      <c r="E27" s="159"/>
      <c r="F27" s="150"/>
    </row>
    <row r="28" spans="1:7">
      <c r="A28" s="161"/>
      <c r="B28" s="161"/>
      <c r="C28" s="161"/>
      <c r="D28" s="161"/>
      <c r="E28" s="161"/>
      <c r="F28" s="150"/>
    </row>
    <row r="29" spans="1:7">
      <c r="A29" s="134"/>
      <c r="B29" s="134"/>
      <c r="C29" s="134"/>
      <c r="D29" s="134"/>
      <c r="E29" s="134"/>
      <c r="F29" s="134"/>
    </row>
    <row r="30" spans="1:7">
      <c r="A30" s="161" t="s">
        <v>14</v>
      </c>
      <c r="B30" s="162" t="s">
        <v>49</v>
      </c>
      <c r="C30" s="134"/>
      <c r="D30" s="134"/>
      <c r="E30" s="134"/>
      <c r="F30" s="134"/>
    </row>
    <row r="31" spans="1:7" ht="15.75" thickBot="1">
      <c r="A31" s="134"/>
      <c r="B31" s="134"/>
      <c r="C31" s="134"/>
      <c r="D31" s="134"/>
      <c r="E31" s="134"/>
      <c r="F31" s="134"/>
    </row>
    <row r="32" spans="1:7" ht="15.75" thickBot="1">
      <c r="A32" s="163" t="s">
        <v>93</v>
      </c>
      <c r="B32" s="164"/>
      <c r="C32" s="138" t="s">
        <v>106</v>
      </c>
      <c r="D32" s="134"/>
      <c r="E32" s="134"/>
      <c r="F32" s="134"/>
    </row>
    <row r="33" spans="1:6">
      <c r="A33" s="165" t="s">
        <v>105</v>
      </c>
      <c r="B33" s="140">
        <v>0</v>
      </c>
      <c r="C33" s="166">
        <v>0</v>
      </c>
      <c r="D33" s="134"/>
      <c r="E33" s="134"/>
      <c r="F33" s="134"/>
    </row>
    <row r="34" spans="1:6">
      <c r="A34" s="165" t="s">
        <v>104</v>
      </c>
      <c r="B34" s="140">
        <f>B18</f>
        <v>9.3079489831111251E-2</v>
      </c>
      <c r="C34" s="166">
        <v>1</v>
      </c>
      <c r="D34" s="134"/>
      <c r="E34" s="134"/>
      <c r="F34" s="134"/>
    </row>
    <row r="35" spans="1:6" ht="15.75" thickBot="1">
      <c r="A35" s="167" t="s">
        <v>107</v>
      </c>
      <c r="B35" s="142">
        <v>0.02</v>
      </c>
      <c r="C35" s="155">
        <v>0</v>
      </c>
      <c r="D35" s="134"/>
      <c r="E35" s="134"/>
      <c r="F35" s="134"/>
    </row>
    <row r="36" spans="1:6">
      <c r="A36" s="134"/>
      <c r="B36" s="134"/>
      <c r="C36" s="134"/>
      <c r="D36" s="134"/>
      <c r="E36" s="134"/>
      <c r="F36" s="134"/>
    </row>
    <row r="37" spans="1:6">
      <c r="A37" s="198" t="s">
        <v>108</v>
      </c>
      <c r="B37" s="134"/>
      <c r="C37" s="134"/>
      <c r="D37" s="134"/>
      <c r="E37" s="134"/>
      <c r="F37" s="134"/>
    </row>
    <row r="38" spans="1:6">
      <c r="A38" s="168" t="s">
        <v>53</v>
      </c>
      <c r="B38" s="169">
        <v>0</v>
      </c>
      <c r="C38" s="134"/>
      <c r="D38" s="134"/>
      <c r="E38" s="134"/>
      <c r="F38" s="134"/>
    </row>
    <row r="39" spans="1:6">
      <c r="A39" s="168" t="s">
        <v>54</v>
      </c>
      <c r="B39" s="170">
        <v>2</v>
      </c>
      <c r="C39" s="134"/>
      <c r="D39" s="134"/>
      <c r="E39" s="134"/>
      <c r="F39" s="134"/>
    </row>
    <row r="40" spans="1:6">
      <c r="A40" s="134"/>
      <c r="B40" s="134"/>
      <c r="C40" s="134"/>
      <c r="D40" s="134"/>
      <c r="E40" s="134"/>
      <c r="F40" s="134"/>
    </row>
    <row r="41" spans="1:6">
      <c r="A41" s="71" t="s">
        <v>111</v>
      </c>
    </row>
    <row r="42" spans="1:6">
      <c r="A42" s="199" t="s">
        <v>109</v>
      </c>
      <c r="B42" s="171">
        <v>500</v>
      </c>
    </row>
    <row r="43" spans="1:6">
      <c r="A43" s="199" t="s">
        <v>110</v>
      </c>
      <c r="B43" s="171" t="s">
        <v>60</v>
      </c>
    </row>
    <row r="107" spans="1:1">
      <c r="A107" s="70" t="s">
        <v>14</v>
      </c>
    </row>
    <row r="108" spans="1:1">
      <c r="A108" s="71" t="s">
        <v>58</v>
      </c>
    </row>
    <row r="109" spans="1:1">
      <c r="A109" s="71" t="s">
        <v>49</v>
      </c>
    </row>
    <row r="110" spans="1:1">
      <c r="A110" s="71" t="s">
        <v>50</v>
      </c>
    </row>
    <row r="111" spans="1:1">
      <c r="A111" s="71" t="s">
        <v>51</v>
      </c>
    </row>
    <row r="113" spans="1:1">
      <c r="A113" s="171">
        <v>0</v>
      </c>
    </row>
    <row r="114" spans="1:1">
      <c r="A114" s="171">
        <v>1</v>
      </c>
    </row>
    <row r="115" spans="1:1">
      <c r="A115" s="171">
        <v>2</v>
      </c>
    </row>
    <row r="117" spans="1:1">
      <c r="A117" s="171" t="s">
        <v>60</v>
      </c>
    </row>
    <row r="118" spans="1:1">
      <c r="A118" s="171" t="s">
        <v>61</v>
      </c>
    </row>
    <row r="206" spans="1:6" ht="15.75" thickBot="1"/>
    <row r="207" spans="1:6">
      <c r="A207" s="151"/>
      <c r="B207" s="328" t="s">
        <v>98</v>
      </c>
      <c r="C207" s="326"/>
      <c r="D207" s="326"/>
      <c r="E207" s="327"/>
      <c r="F207" s="210" t="s">
        <v>99</v>
      </c>
    </row>
    <row r="208" spans="1:6" ht="15.75" thickBot="1">
      <c r="A208" s="152"/>
      <c r="B208" s="153" t="s">
        <v>94</v>
      </c>
      <c r="C208" s="154" t="s">
        <v>78</v>
      </c>
      <c r="D208" s="154" t="s">
        <v>95</v>
      </c>
      <c r="E208" s="155" t="s">
        <v>96</v>
      </c>
      <c r="F208" s="156"/>
    </row>
    <row r="209" spans="1:6">
      <c r="A209" s="157" t="s">
        <v>27</v>
      </c>
      <c r="B209" s="158">
        <v>-1E-3</v>
      </c>
      <c r="C209" s="159">
        <v>9.5665806092079075E-4</v>
      </c>
      <c r="D209" s="159">
        <v>-4.2098094805683751E-3</v>
      </c>
      <c r="E209" s="160">
        <v>-2.1826028553036574E-3</v>
      </c>
      <c r="F209" s="141">
        <v>0.6</v>
      </c>
    </row>
    <row r="210" spans="1:6">
      <c r="A210" s="157" t="s">
        <v>29</v>
      </c>
      <c r="B210" s="158">
        <v>-0.01</v>
      </c>
      <c r="C210" s="159">
        <v>-1.5821642227643869E-2</v>
      </c>
      <c r="D210" s="159">
        <v>2.4975428417868189E-2</v>
      </c>
      <c r="E210" s="160">
        <v>7.9322737499224957E-3</v>
      </c>
      <c r="F210" s="141">
        <v>0.4</v>
      </c>
    </row>
    <row r="211" spans="1:6">
      <c r="A211" s="157" t="s">
        <v>28</v>
      </c>
      <c r="B211" s="158">
        <v>9.9999999999999985E-3</v>
      </c>
      <c r="C211" s="159">
        <v>7.8062556418956319E-18</v>
      </c>
      <c r="D211" s="159">
        <v>-3.0000000000000002E-2</v>
      </c>
      <c r="E211" s="160">
        <v>-2.0000000000000004E-2</v>
      </c>
      <c r="F211" s="141">
        <v>0</v>
      </c>
    </row>
    <row r="212" spans="1:6" ht="15.75" thickBot="1">
      <c r="A212" s="157" t="s">
        <v>97</v>
      </c>
      <c r="B212" s="158">
        <v>1.0378578383895283E-2</v>
      </c>
      <c r="C212" s="159">
        <v>1.3858854184576361E-2</v>
      </c>
      <c r="D212" s="159">
        <v>1.3462277224022302E-3</v>
      </c>
      <c r="E212" s="160">
        <v>7.8027138965618484E-4</v>
      </c>
      <c r="F212" s="141">
        <v>0</v>
      </c>
    </row>
    <row r="213" spans="1:6" ht="15.75" thickBot="1">
      <c r="A213" s="164" t="s">
        <v>70</v>
      </c>
      <c r="B213" s="163"/>
      <c r="C213" s="172"/>
      <c r="D213" s="172"/>
      <c r="E213" s="173"/>
      <c r="F213" s="147">
        <v>0.95</v>
      </c>
    </row>
  </sheetData>
  <mergeCells count="2">
    <mergeCell ref="C1:E1"/>
    <mergeCell ref="B207:E207"/>
  </mergeCells>
  <dataValidations count="4">
    <dataValidation type="list" allowBlank="1" showInputMessage="1" showErrorMessage="1" sqref="B30">
      <formula1>$A$108:$A$111</formula1>
    </dataValidation>
    <dataValidation type="list" allowBlank="1" showInputMessage="1" showErrorMessage="1" sqref="C33:C35">
      <formula1>$A$113:$A$114</formula1>
    </dataValidation>
    <dataValidation type="list" allowBlank="1" showInputMessage="1" showErrorMessage="1" sqref="B39">
      <formula1>$A$113:$A$115</formula1>
    </dataValidation>
    <dataValidation type="list" allowBlank="1" showInputMessage="1" showErrorMessage="1" sqref="B43">
      <formula1>$A$117:$A$118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30"/>
  <sheetViews>
    <sheetView zoomScale="85" zoomScaleNormal="85" workbookViewId="0">
      <selection activeCell="A18" sqref="A18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3"/>
      <c r="C1" s="73"/>
      <c r="D1" s="74"/>
    </row>
    <row r="2" spans="1:21">
      <c r="A2" s="75"/>
      <c r="B2" s="259" t="s">
        <v>79</v>
      </c>
      <c r="C2" s="13" t="s">
        <v>79</v>
      </c>
      <c r="D2" s="260" t="s">
        <v>116</v>
      </c>
      <c r="E2" s="330" t="s">
        <v>117</v>
      </c>
      <c r="F2" s="330"/>
      <c r="G2" s="330"/>
      <c r="H2" s="330"/>
      <c r="I2" s="330"/>
      <c r="J2" s="330"/>
      <c r="K2" s="330"/>
      <c r="L2" s="331"/>
    </row>
    <row r="3" spans="1:21" ht="13.5" thickBot="1">
      <c r="A3" s="97"/>
      <c r="B3" s="100" t="s">
        <v>80</v>
      </c>
      <c r="C3" s="76" t="s">
        <v>82</v>
      </c>
      <c r="D3" s="76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78"/>
      <c r="T3" s="72"/>
      <c r="U3" s="72"/>
    </row>
    <row r="4" spans="1:21">
      <c r="A4" s="98" t="s">
        <v>4</v>
      </c>
      <c r="B4" s="101">
        <f>'Control panel'!B3</f>
        <v>0.59460926292655603</v>
      </c>
      <c r="C4" s="174">
        <v>0</v>
      </c>
      <c r="D4" s="217">
        <v>4.3214826708651545E-2</v>
      </c>
      <c r="E4" s="214">
        <v>1.0000000000000002</v>
      </c>
      <c r="F4" s="215">
        <v>0.48758203889173096</v>
      </c>
      <c r="G4" s="215">
        <v>0.43351903366758959</v>
      </c>
      <c r="H4" s="215">
        <v>0.22240504783264323</v>
      </c>
      <c r="I4" s="215">
        <v>0.2729543601339276</v>
      </c>
      <c r="J4" s="215">
        <v>0.51795492979549662</v>
      </c>
      <c r="K4" s="215">
        <v>0.22026085078406454</v>
      </c>
      <c r="L4" s="216">
        <v>0.36266106503892548</v>
      </c>
      <c r="M4" s="3" t="s">
        <v>118</v>
      </c>
      <c r="S4" s="80"/>
      <c r="T4" s="6"/>
      <c r="U4" s="81"/>
    </row>
    <row r="5" spans="1:21">
      <c r="A5" s="98" t="s">
        <v>5</v>
      </c>
      <c r="B5" s="102">
        <f>'Control panel'!B4</f>
        <v>7.3502607897390396E-2</v>
      </c>
      <c r="C5" s="174">
        <v>0.03</v>
      </c>
      <c r="D5" s="217">
        <v>0.15823890359343337</v>
      </c>
      <c r="E5" s="217">
        <v>0.48758203889173107</v>
      </c>
      <c r="F5" s="218">
        <v>0.99999999999999978</v>
      </c>
      <c r="G5" s="218">
        <v>0.90991930291292189</v>
      </c>
      <c r="H5" s="218">
        <v>0.74890714708117023</v>
      </c>
      <c r="I5" s="218">
        <v>0.74060441066122751</v>
      </c>
      <c r="J5" s="218">
        <v>0.88671991368989134</v>
      </c>
      <c r="K5" s="218">
        <v>0.61760661631655178</v>
      </c>
      <c r="L5" s="219">
        <v>0.8752768910119606</v>
      </c>
      <c r="S5" s="80"/>
      <c r="T5" s="6"/>
      <c r="U5" s="81"/>
    </row>
    <row r="6" spans="1:21">
      <c r="A6" s="98" t="s">
        <v>6</v>
      </c>
      <c r="B6" s="102">
        <f>'Control panel'!B5</f>
        <v>8.232448256002324E-2</v>
      </c>
      <c r="C6" s="174">
        <v>3.1705382280009728E-2</v>
      </c>
      <c r="D6" s="217">
        <v>0.168148277471422</v>
      </c>
      <c r="E6" s="217">
        <v>0.43351903366758976</v>
      </c>
      <c r="F6" s="218">
        <v>0.90991930291292189</v>
      </c>
      <c r="G6" s="218">
        <v>1</v>
      </c>
      <c r="H6" s="218">
        <v>0.78689057691118713</v>
      </c>
      <c r="I6" s="218">
        <v>0.81542413678900194</v>
      </c>
      <c r="J6" s="218">
        <v>0.84996791272671834</v>
      </c>
      <c r="K6" s="218">
        <v>0.63150622997795747</v>
      </c>
      <c r="L6" s="219">
        <v>0.87979060194508074</v>
      </c>
      <c r="S6" s="80"/>
      <c r="T6" s="6"/>
      <c r="U6" s="81"/>
    </row>
    <row r="7" spans="1:21">
      <c r="A7" s="98" t="s">
        <v>7</v>
      </c>
      <c r="B7" s="102">
        <f>'Control panel'!B6</f>
        <v>9.6683683628085992E-2</v>
      </c>
      <c r="C7" s="174">
        <v>5.7210243741557129E-2</v>
      </c>
      <c r="D7" s="217">
        <v>0.29001927694608043</v>
      </c>
      <c r="E7" s="217">
        <v>0.22240504783264309</v>
      </c>
      <c r="F7" s="218">
        <v>0.74890714708117023</v>
      </c>
      <c r="G7" s="218">
        <v>0.78689057691118725</v>
      </c>
      <c r="H7" s="218">
        <v>1.0000000000000002</v>
      </c>
      <c r="I7" s="218">
        <v>0.80043789752068695</v>
      </c>
      <c r="J7" s="218">
        <v>0.6816417645711762</v>
      </c>
      <c r="K7" s="218">
        <v>0.69656976952020244</v>
      </c>
      <c r="L7" s="219">
        <v>0.8825588907922528</v>
      </c>
      <c r="S7" s="80"/>
      <c r="T7" s="6"/>
      <c r="U7" s="81"/>
    </row>
    <row r="8" spans="1:21">
      <c r="A8" s="98" t="s">
        <v>8</v>
      </c>
      <c r="B8" s="102">
        <f>'Control panel'!B7</f>
        <v>5.1500558015493796E-2</v>
      </c>
      <c r="C8" s="174">
        <v>5.5668448282861861E-2</v>
      </c>
      <c r="D8" s="217">
        <v>0.29774487154665702</v>
      </c>
      <c r="E8" s="217">
        <v>0.2729543601339276</v>
      </c>
      <c r="F8" s="218">
        <v>0.7406044106612274</v>
      </c>
      <c r="G8" s="218">
        <v>0.81542413678900183</v>
      </c>
      <c r="H8" s="218">
        <v>0.80043789752068695</v>
      </c>
      <c r="I8" s="218">
        <v>1</v>
      </c>
      <c r="J8" s="218">
        <v>0.70370520831484562</v>
      </c>
      <c r="K8" s="218">
        <v>0.62140003003210531</v>
      </c>
      <c r="L8" s="219">
        <v>0.77427405839831998</v>
      </c>
      <c r="S8" s="80"/>
      <c r="T8" s="6"/>
      <c r="U8" s="81"/>
    </row>
    <row r="9" spans="1:21">
      <c r="A9" s="98" t="s">
        <v>9</v>
      </c>
      <c r="B9" s="102">
        <f>'Control panel'!B8</f>
        <v>2.0640227417381859E-2</v>
      </c>
      <c r="C9" s="174">
        <v>5.4683067728185694E-2</v>
      </c>
      <c r="D9" s="217">
        <v>0.1465180543940868</v>
      </c>
      <c r="E9" s="217">
        <v>0.51795492979549662</v>
      </c>
      <c r="F9" s="218">
        <v>0.88671991368989134</v>
      </c>
      <c r="G9" s="218">
        <v>0.84996791272671812</v>
      </c>
      <c r="H9" s="218">
        <v>0.6816417645711762</v>
      </c>
      <c r="I9" s="218">
        <v>0.70370520831484562</v>
      </c>
      <c r="J9" s="218">
        <v>1.0000000000000002</v>
      </c>
      <c r="K9" s="218">
        <v>0.64202094504860974</v>
      </c>
      <c r="L9" s="219">
        <v>0.82000870971282414</v>
      </c>
      <c r="S9" s="80"/>
      <c r="T9" s="6"/>
      <c r="U9" s="81"/>
    </row>
    <row r="10" spans="1:21">
      <c r="A10" s="98" t="s">
        <v>10</v>
      </c>
      <c r="B10" s="102">
        <f>'Control panel'!B9</f>
        <v>3.219705746498288E-2</v>
      </c>
      <c r="C10" s="174">
        <v>2.9030049193200475E-2</v>
      </c>
      <c r="D10" s="217">
        <v>0.33576372020209261</v>
      </c>
      <c r="E10" s="217">
        <v>0.2202608507840644</v>
      </c>
      <c r="F10" s="218">
        <v>0.61760661631655156</v>
      </c>
      <c r="G10" s="218">
        <v>0.63150622997795758</v>
      </c>
      <c r="H10" s="218">
        <v>0.69656976952020244</v>
      </c>
      <c r="I10" s="218">
        <v>0.62140003003210531</v>
      </c>
      <c r="J10" s="218">
        <v>0.64202094504860974</v>
      </c>
      <c r="K10" s="218">
        <v>1.0000000000000002</v>
      </c>
      <c r="L10" s="219">
        <v>0.66415983265504108</v>
      </c>
      <c r="S10" s="80"/>
      <c r="T10" s="6"/>
      <c r="U10" s="81"/>
    </row>
    <row r="11" spans="1:21" s="254" customFormat="1">
      <c r="A11" s="98" t="s">
        <v>11</v>
      </c>
      <c r="B11" s="102">
        <f>'Control panel'!B10</f>
        <v>4.8542120090085711E-2</v>
      </c>
      <c r="C11" s="174">
        <v>3.8983857987503749E-2</v>
      </c>
      <c r="D11" s="217">
        <v>0.19915957675666104</v>
      </c>
      <c r="E11" s="217">
        <v>0.36266106503892553</v>
      </c>
      <c r="F11" s="322">
        <v>0.8752768910119606</v>
      </c>
      <c r="G11" s="322">
        <v>0.87979060194508063</v>
      </c>
      <c r="H11" s="322">
        <v>0.88255889079225258</v>
      </c>
      <c r="I11" s="322">
        <v>0.77427405839831998</v>
      </c>
      <c r="J11" s="322">
        <v>0.82000870971282414</v>
      </c>
      <c r="K11" s="322">
        <v>0.66415983265504108</v>
      </c>
      <c r="L11" s="323">
        <v>1.0000000000000002</v>
      </c>
      <c r="S11" s="80"/>
      <c r="T11" s="6"/>
      <c r="U11" s="81"/>
    </row>
    <row r="12" spans="1:21" s="254" customFormat="1">
      <c r="A12" s="98"/>
      <c r="B12" s="102"/>
      <c r="C12" s="174"/>
      <c r="D12" s="217"/>
      <c r="E12" s="217"/>
      <c r="F12" s="322"/>
      <c r="G12" s="322"/>
      <c r="H12" s="322"/>
      <c r="I12" s="322"/>
      <c r="J12" s="322"/>
      <c r="K12" s="322"/>
      <c r="L12" s="323"/>
      <c r="S12" s="80"/>
      <c r="T12" s="6"/>
      <c r="U12" s="81"/>
    </row>
    <row r="13" spans="1:21" s="254" customFormat="1">
      <c r="A13" s="98"/>
      <c r="B13" s="102"/>
      <c r="C13" s="174"/>
      <c r="D13" s="217"/>
      <c r="E13" s="217"/>
      <c r="F13" s="322"/>
      <c r="G13" s="322"/>
      <c r="H13" s="322"/>
      <c r="I13" s="322"/>
      <c r="J13" s="322"/>
      <c r="K13" s="322"/>
      <c r="L13" s="323"/>
      <c r="S13" s="80"/>
      <c r="T13" s="6"/>
      <c r="U13" s="81"/>
    </row>
    <row r="14" spans="1:21" s="254" customFormat="1">
      <c r="A14" s="98"/>
      <c r="B14" s="102"/>
      <c r="C14" s="174"/>
      <c r="D14" s="217"/>
      <c r="E14" s="217"/>
      <c r="F14" s="322"/>
      <c r="G14" s="322"/>
      <c r="H14" s="322"/>
      <c r="I14" s="322"/>
      <c r="J14" s="322"/>
      <c r="K14" s="322"/>
      <c r="L14" s="323"/>
      <c r="S14" s="80"/>
      <c r="T14" s="6"/>
      <c r="U14" s="81"/>
    </row>
    <row r="15" spans="1:21" s="254" customFormat="1">
      <c r="A15" s="98"/>
      <c r="B15" s="102"/>
      <c r="C15" s="174"/>
      <c r="D15" s="217"/>
      <c r="E15" s="217"/>
      <c r="F15" s="322"/>
      <c r="G15" s="322"/>
      <c r="H15" s="322"/>
      <c r="I15" s="322"/>
      <c r="J15" s="322"/>
      <c r="K15" s="322"/>
      <c r="L15" s="323"/>
      <c r="S15" s="80"/>
      <c r="T15" s="6"/>
      <c r="U15" s="81"/>
    </row>
    <row r="16" spans="1:21" s="254" customFormat="1">
      <c r="A16" s="98"/>
      <c r="B16" s="102"/>
      <c r="C16" s="174"/>
      <c r="D16" s="217"/>
      <c r="E16" s="217"/>
      <c r="F16" s="322"/>
      <c r="G16" s="322"/>
      <c r="H16" s="322"/>
      <c r="I16" s="322"/>
      <c r="J16" s="322"/>
      <c r="K16" s="322"/>
      <c r="L16" s="323"/>
      <c r="S16" s="80"/>
      <c r="T16" s="6"/>
      <c r="U16" s="81"/>
    </row>
    <row r="17" spans="1:24" s="254" customFormat="1">
      <c r="A17" s="98"/>
      <c r="B17" s="102"/>
      <c r="C17" s="174"/>
      <c r="D17" s="217"/>
      <c r="E17" s="217"/>
      <c r="F17" s="322"/>
      <c r="G17" s="322"/>
      <c r="H17" s="322"/>
      <c r="I17" s="322"/>
      <c r="J17" s="322"/>
      <c r="K17" s="322"/>
      <c r="L17" s="323"/>
      <c r="S17" s="80"/>
      <c r="T17" s="6"/>
      <c r="U17" s="81"/>
    </row>
    <row r="18" spans="1:24" s="254" customFormat="1" ht="13.5" thickBot="1">
      <c r="A18" s="99"/>
      <c r="B18" s="103"/>
      <c r="C18" s="175"/>
      <c r="D18" s="220"/>
      <c r="E18" s="220"/>
      <c r="F18" s="324"/>
      <c r="G18" s="324"/>
      <c r="H18" s="324"/>
      <c r="I18" s="324"/>
      <c r="J18" s="324"/>
      <c r="K18" s="324"/>
      <c r="L18" s="325"/>
    </row>
    <row r="19" spans="1:24">
      <c r="A19" s="80"/>
      <c r="B19" s="106" t="s">
        <v>89</v>
      </c>
      <c r="C19" s="81">
        <v>9.3079489831111251E-2</v>
      </c>
      <c r="D19" s="79"/>
      <c r="E19" s="79"/>
      <c r="F19" s="79"/>
      <c r="G19" s="79"/>
      <c r="H19" s="79"/>
      <c r="I19" s="79"/>
      <c r="J19" s="79"/>
      <c r="K19" s="79"/>
      <c r="L19" s="82"/>
    </row>
    <row r="20" spans="1:24">
      <c r="A20" s="80" t="s">
        <v>85</v>
      </c>
    </row>
    <row r="21" spans="1:24">
      <c r="A21" s="83" t="s">
        <v>45</v>
      </c>
      <c r="B21" s="84" t="s">
        <v>58</v>
      </c>
      <c r="C21" s="95" t="s">
        <v>86</v>
      </c>
      <c r="H21" s="254"/>
    </row>
    <row r="22" spans="1:24">
      <c r="A22" s="83" t="s">
        <v>83</v>
      </c>
      <c r="B22" s="85" t="s">
        <v>4</v>
      </c>
      <c r="C22" s="197">
        <v>0</v>
      </c>
      <c r="H22" s="254"/>
    </row>
    <row r="23" spans="1:24">
      <c r="A23" s="83" t="s">
        <v>84</v>
      </c>
      <c r="B23" s="85" t="s">
        <v>5</v>
      </c>
      <c r="C23" s="197">
        <v>0.03</v>
      </c>
    </row>
    <row r="24" spans="1:24">
      <c r="D24" s="94"/>
      <c r="E24" s="94"/>
      <c r="G24" s="329"/>
      <c r="H24" s="329"/>
      <c r="I24" s="329"/>
      <c r="J24" s="329"/>
    </row>
    <row r="25" spans="1:24">
      <c r="D25" s="94"/>
      <c r="E25" s="94"/>
      <c r="S25" s="80"/>
      <c r="T25" s="329"/>
      <c r="U25" s="329"/>
      <c r="V25" s="329"/>
      <c r="W25" s="329"/>
      <c r="X25" s="329"/>
    </row>
    <row r="26" spans="1:24">
      <c r="D26" s="94"/>
      <c r="E26" s="94"/>
      <c r="S26" s="80"/>
      <c r="T26" s="245"/>
      <c r="U26" s="245"/>
      <c r="V26" s="245"/>
      <c r="W26" s="245"/>
      <c r="X26" s="245"/>
    </row>
    <row r="27" spans="1:24">
      <c r="D27" s="94"/>
      <c r="E27" s="94"/>
      <c r="S27" s="80"/>
      <c r="T27" s="245"/>
      <c r="U27" s="245"/>
      <c r="V27" s="245"/>
      <c r="W27" s="245"/>
      <c r="X27" s="245"/>
    </row>
    <row r="28" spans="1:24">
      <c r="D28" s="81"/>
      <c r="E28" s="94"/>
      <c r="F28" s="87"/>
      <c r="S28" s="78"/>
      <c r="T28" s="81"/>
      <c r="U28" s="81"/>
      <c r="V28" s="81"/>
      <c r="W28" s="81"/>
      <c r="X28" s="81"/>
    </row>
    <row r="29" spans="1:24" ht="13.5" thickBot="1">
      <c r="D29" s="94"/>
      <c r="E29" s="94"/>
      <c r="F29" s="78"/>
      <c r="S29" s="78"/>
      <c r="T29" s="81"/>
      <c r="U29" s="81"/>
      <c r="V29" s="81"/>
      <c r="W29" s="81"/>
      <c r="X29" s="81"/>
    </row>
    <row r="30" spans="1:24" ht="13.5" thickBot="1">
      <c r="A30" s="225" t="s">
        <v>115</v>
      </c>
      <c r="B30" s="249" t="s">
        <v>70</v>
      </c>
      <c r="C30" s="250" t="s">
        <v>112</v>
      </c>
      <c r="D30" s="250" t="s">
        <v>126</v>
      </c>
      <c r="E30" s="250" t="s">
        <v>127</v>
      </c>
      <c r="F30" s="250" t="s">
        <v>113</v>
      </c>
      <c r="G30" s="250" t="s">
        <v>114</v>
      </c>
      <c r="H30" s="251" t="s">
        <v>128</v>
      </c>
      <c r="I30" s="253" t="s">
        <v>30</v>
      </c>
      <c r="S30" s="78"/>
      <c r="T30" s="81"/>
      <c r="U30" s="81"/>
      <c r="V30" s="81"/>
      <c r="W30" s="81"/>
      <c r="X30" s="81"/>
    </row>
    <row r="31" spans="1:24">
      <c r="A31" s="14" t="s">
        <v>4</v>
      </c>
      <c r="B31" s="21">
        <f t="shared" ref="B31:B38" si="0">C4</f>
        <v>0</v>
      </c>
      <c r="C31" s="322">
        <v>-1.8278501643327824E-3</v>
      </c>
      <c r="D31" s="322">
        <v>-8.3588621306752015E-3</v>
      </c>
      <c r="E31" s="322">
        <v>1.4376558188383924E-3</v>
      </c>
      <c r="F31" s="322">
        <v>-2.0604509567567153E-2</v>
      </c>
      <c r="G31" s="322">
        <v>-0.27327160808286638</v>
      </c>
      <c r="H31" s="323">
        <v>1.8717143647405954E-3</v>
      </c>
      <c r="I31" s="174">
        <f>+($B$47*B31)+(1-$B$47)*SUMPRODUCT($C$47:$H$47,C31:H31)</f>
        <v>-1.8278501643327824E-3</v>
      </c>
      <c r="S31" s="78"/>
      <c r="T31" s="81"/>
      <c r="U31" s="81"/>
      <c r="V31" s="81"/>
      <c r="W31" s="81"/>
      <c r="X31" s="81"/>
    </row>
    <row r="32" spans="1:24">
      <c r="A32" s="18" t="s">
        <v>5</v>
      </c>
      <c r="B32" s="21">
        <f t="shared" si="0"/>
        <v>0.03</v>
      </c>
      <c r="C32" s="322">
        <v>2.2858562017300008E-2</v>
      </c>
      <c r="D32" s="322">
        <v>-0.11499037271336665</v>
      </c>
      <c r="E32" s="322">
        <v>0.11551300949463331</v>
      </c>
      <c r="F32" s="322">
        <v>-0.38295246775336667</v>
      </c>
      <c r="G32" s="322">
        <v>-0.30559149395336677</v>
      </c>
      <c r="H32" s="323">
        <v>0.33907962485463328</v>
      </c>
      <c r="I32" s="174">
        <f t="shared" ref="I32:I38" si="1">+($B$47*B32)+(1-$B$48)*SUMPRODUCT($C$47:$H$47,C32:H32)</f>
        <v>2.2858562017300008E-2</v>
      </c>
      <c r="S32" s="78"/>
      <c r="T32" s="81"/>
      <c r="U32" s="81"/>
      <c r="V32" s="81"/>
      <c r="W32" s="81"/>
      <c r="X32" s="81"/>
    </row>
    <row r="33" spans="1:24">
      <c r="A33" s="18" t="s">
        <v>6</v>
      </c>
      <c r="B33" s="21">
        <f t="shared" si="0"/>
        <v>3.1705382280009728E-2</v>
      </c>
      <c r="C33" s="322">
        <v>1.969557072360073E-2</v>
      </c>
      <c r="D33" s="322">
        <v>-5.2376796385311453E-2</v>
      </c>
      <c r="E33" s="322">
        <v>4.0241164278631184E-2</v>
      </c>
      <c r="F33" s="322">
        <v>-0.39829027497479152</v>
      </c>
      <c r="G33" s="322">
        <v>-0.17958808739362325</v>
      </c>
      <c r="H33" s="323">
        <v>0.29097179291301789</v>
      </c>
      <c r="I33" s="174">
        <f t="shared" si="1"/>
        <v>1.969557072360073E-2</v>
      </c>
      <c r="S33" s="78"/>
      <c r="T33" s="81"/>
      <c r="U33" s="81"/>
      <c r="V33" s="81"/>
      <c r="W33" s="81"/>
      <c r="X33" s="81"/>
    </row>
    <row r="34" spans="1:24">
      <c r="A34" s="18" t="s">
        <v>7</v>
      </c>
      <c r="B34" s="21">
        <f t="shared" si="0"/>
        <v>5.7210243741557129E-2</v>
      </c>
      <c r="C34" s="322">
        <v>1.5342489100108013E-2</v>
      </c>
      <c r="D34" s="322">
        <v>-0.17392510433387029</v>
      </c>
      <c r="E34" s="322">
        <v>0.10543931584949295</v>
      </c>
      <c r="F34" s="322">
        <v>-0.54196526383339005</v>
      </c>
      <c r="G34" s="322">
        <v>-0.44602715761849837</v>
      </c>
      <c r="H34" s="323">
        <v>0.49356749913690923</v>
      </c>
      <c r="I34" s="174">
        <f t="shared" si="1"/>
        <v>1.5342489100108013E-2</v>
      </c>
      <c r="J34" s="72"/>
    </row>
    <row r="35" spans="1:24">
      <c r="A35" s="18" t="s">
        <v>8</v>
      </c>
      <c r="B35" s="21">
        <f t="shared" si="0"/>
        <v>5.5668448282861861E-2</v>
      </c>
      <c r="C35" s="322">
        <v>8.9680832159551499E-2</v>
      </c>
      <c r="D35" s="322">
        <v>-3.7808219094456759E-2</v>
      </c>
      <c r="E35" s="322">
        <v>0.15418580946951296</v>
      </c>
      <c r="F35" s="322">
        <v>-0.35751975156032917</v>
      </c>
      <c r="G35" s="322">
        <v>-0.22994700662162446</v>
      </c>
      <c r="H35" s="323">
        <v>0.45979708922708296</v>
      </c>
      <c r="I35" s="174">
        <f t="shared" si="1"/>
        <v>8.9680832159551499E-2</v>
      </c>
      <c r="J35" s="90"/>
      <c r="U35" s="91"/>
    </row>
    <row r="36" spans="1:24">
      <c r="A36" s="18" t="s">
        <v>9</v>
      </c>
      <c r="B36" s="21">
        <f t="shared" si="0"/>
        <v>5.4683067728185694E-2</v>
      </c>
      <c r="C36" s="322">
        <v>6.2036265615280854E-2</v>
      </c>
      <c r="D36" s="322">
        <v>-3.284707730570241E-2</v>
      </c>
      <c r="E36" s="322">
        <v>0.10991050604096422</v>
      </c>
      <c r="F36" s="322">
        <v>-0.527954509512369</v>
      </c>
      <c r="G36" s="322">
        <v>-0.56384711463070247</v>
      </c>
      <c r="H36" s="323">
        <v>0.65436153607763092</v>
      </c>
      <c r="I36" s="174">
        <f t="shared" si="1"/>
        <v>6.2036265615280854E-2</v>
      </c>
      <c r="J36" s="92"/>
      <c r="U36" s="91"/>
    </row>
    <row r="37" spans="1:24">
      <c r="A37" s="18" t="s">
        <v>10</v>
      </c>
      <c r="B37" s="21">
        <f t="shared" si="0"/>
        <v>2.9030049193200475E-2</v>
      </c>
      <c r="C37" s="322">
        <v>1.488056303571629E-2</v>
      </c>
      <c r="D37" s="322">
        <v>-6.8340905073244612E-2</v>
      </c>
      <c r="E37" s="322">
        <v>5.3991297090196705E-2</v>
      </c>
      <c r="F37" s="322">
        <v>-0.22728232022069594</v>
      </c>
      <c r="G37" s="322">
        <v>-3.8464301156549618E-3</v>
      </c>
      <c r="H37" s="323">
        <v>0.31176062949530947</v>
      </c>
      <c r="I37" s="174">
        <f t="shared" si="1"/>
        <v>1.488056303571629E-2</v>
      </c>
      <c r="J37" s="92"/>
      <c r="U37" s="91"/>
    </row>
    <row r="38" spans="1:24" s="254" customFormat="1">
      <c r="A38" s="18" t="s">
        <v>11</v>
      </c>
      <c r="B38" s="21">
        <f t="shared" si="0"/>
        <v>3.8983857987503749E-2</v>
      </c>
      <c r="C38" s="322">
        <v>1.0171029512307597E-3</v>
      </c>
      <c r="D38" s="322">
        <v>-0.14436089700803501</v>
      </c>
      <c r="E38" s="322">
        <v>6.7667954145598314E-2</v>
      </c>
      <c r="F38" s="322">
        <v>-0.42122995880386094</v>
      </c>
      <c r="G38" s="322">
        <v>-0.47665217132586252</v>
      </c>
      <c r="H38" s="323">
        <v>0.43571794524441654</v>
      </c>
      <c r="I38" s="174">
        <f t="shared" si="1"/>
        <v>1.0171029512307597E-3</v>
      </c>
      <c r="J38" s="92"/>
      <c r="U38" s="91"/>
    </row>
    <row r="39" spans="1:24" s="254" customFormat="1">
      <c r="A39" s="18"/>
      <c r="B39" s="21"/>
      <c r="C39" s="322"/>
      <c r="D39" s="322"/>
      <c r="E39" s="322"/>
      <c r="F39" s="322"/>
      <c r="G39" s="322"/>
      <c r="H39" s="323"/>
      <c r="I39" s="174"/>
      <c r="J39" s="92"/>
      <c r="U39" s="91"/>
    </row>
    <row r="40" spans="1:24" s="254" customFormat="1">
      <c r="A40" s="18"/>
      <c r="B40" s="21"/>
      <c r="C40" s="322"/>
      <c r="D40" s="322"/>
      <c r="E40" s="322"/>
      <c r="F40" s="322"/>
      <c r="G40" s="322"/>
      <c r="H40" s="323"/>
      <c r="I40" s="174"/>
      <c r="J40" s="92"/>
      <c r="U40" s="91"/>
    </row>
    <row r="41" spans="1:24" s="254" customFormat="1">
      <c r="A41" s="18"/>
      <c r="B41" s="21"/>
      <c r="C41" s="322"/>
      <c r="D41" s="322"/>
      <c r="E41" s="322"/>
      <c r="F41" s="322"/>
      <c r="G41" s="322"/>
      <c r="H41" s="323"/>
      <c r="I41" s="174"/>
      <c r="J41" s="92"/>
      <c r="U41" s="91"/>
    </row>
    <row r="42" spans="1:24" s="254" customFormat="1">
      <c r="A42" s="18"/>
      <c r="B42" s="21"/>
      <c r="C42" s="322"/>
      <c r="D42" s="322"/>
      <c r="E42" s="322"/>
      <c r="F42" s="322"/>
      <c r="G42" s="322"/>
      <c r="H42" s="323"/>
      <c r="I42" s="174"/>
      <c r="J42" s="92"/>
      <c r="U42" s="91"/>
    </row>
    <row r="43" spans="1:24" s="254" customFormat="1">
      <c r="A43" s="18"/>
      <c r="B43" s="21"/>
      <c r="C43" s="322"/>
      <c r="D43" s="322"/>
      <c r="E43" s="322"/>
      <c r="F43" s="322"/>
      <c r="G43" s="322"/>
      <c r="H43" s="323"/>
      <c r="I43" s="174"/>
      <c r="J43" s="92"/>
      <c r="U43" s="91"/>
    </row>
    <row r="44" spans="1:24" s="254" customFormat="1">
      <c r="A44" s="18"/>
      <c r="B44" s="21"/>
      <c r="C44" s="322"/>
      <c r="D44" s="322"/>
      <c r="E44" s="322"/>
      <c r="F44" s="322"/>
      <c r="G44" s="322"/>
      <c r="H44" s="323"/>
      <c r="I44" s="174"/>
      <c r="J44" s="92"/>
      <c r="U44" s="91"/>
    </row>
    <row r="45" spans="1:24" s="254" customFormat="1" ht="13.5" thickBot="1">
      <c r="A45" s="22"/>
      <c r="B45" s="25"/>
      <c r="C45" s="324"/>
      <c r="D45" s="324"/>
      <c r="E45" s="324"/>
      <c r="F45" s="324"/>
      <c r="G45" s="324"/>
      <c r="H45" s="325"/>
      <c r="I45" s="175"/>
      <c r="J45" s="92"/>
      <c r="U45" s="91"/>
    </row>
    <row r="46" spans="1:24" ht="13.5" thickBot="1">
      <c r="D46" s="94"/>
      <c r="E46" s="94"/>
      <c r="H46" s="80"/>
      <c r="I46" s="80"/>
      <c r="J46" s="80"/>
      <c r="U46" s="91"/>
    </row>
    <row r="47" spans="1:24" ht="13.5" thickBot="1">
      <c r="A47" s="255" t="s">
        <v>123</v>
      </c>
      <c r="B47" s="252">
        <f>Optimalisatie!B17</f>
        <v>0</v>
      </c>
      <c r="C47" s="252">
        <f>Optimalisatie!C17</f>
        <v>1</v>
      </c>
      <c r="D47" s="252">
        <f>Optimalisatie!D17</f>
        <v>0</v>
      </c>
      <c r="E47" s="252">
        <f>Optimalisatie!E17</f>
        <v>0</v>
      </c>
      <c r="F47" s="252">
        <f>Optimalisatie!F17</f>
        <v>0</v>
      </c>
      <c r="G47" s="252">
        <f>Optimalisatie!G17</f>
        <v>0</v>
      </c>
      <c r="H47" s="252">
        <f>Optimalisatie!H17</f>
        <v>0</v>
      </c>
      <c r="I47" s="258">
        <f>+$B$47+((100%-$B$47)*(D47+E47+F47+G47+H47+C47))</f>
        <v>1</v>
      </c>
      <c r="U47" s="91"/>
    </row>
    <row r="48" spans="1:24" ht="13.5" thickBot="1">
      <c r="U48" s="91"/>
    </row>
    <row r="49" spans="1:9" ht="13.5" thickBot="1">
      <c r="A49" s="255" t="s">
        <v>129</v>
      </c>
      <c r="B49" s="266">
        <f>Optimalisatie!B19</f>
        <v>0</v>
      </c>
      <c r="C49" s="265">
        <f>SUMPRODUCT(C31:C38,'Control panel'!$F$3:$F$10)</f>
        <v>2.0828421395182813E-2</v>
      </c>
      <c r="D49" s="265">
        <f>SUMPRODUCT(D31:D38,'Control panel'!$F$3:$F$10)</f>
        <v>-2.1366351369585611E-2</v>
      </c>
      <c r="E49" s="265">
        <f>SUMPRODUCT(E31:E38,'Control panel'!$F$3:$F$10)</f>
        <v>4.2349044828482049E-2</v>
      </c>
      <c r="F49" s="265">
        <f>SUMPRODUCT(F31:F38,'Control panel'!$F$3:$F$10)</f>
        <v>-0.12924528820528863</v>
      </c>
      <c r="G49" s="265">
        <f>SUMPRODUCT(G31:G38,'Control panel'!$F$3:$F$10)</f>
        <v>-0.26579317998801666</v>
      </c>
      <c r="H49" s="265">
        <f>SUMPRODUCT(H31:H38,'Control panel'!$F$3:$F$10)</f>
        <v>0.13958628549123772</v>
      </c>
      <c r="I49" s="267">
        <f>SUMPRODUCT(I31:I38,'Control panel'!$F$3:$F$10)</f>
        <v>2.0828421395182813E-2</v>
      </c>
    </row>
    <row r="52" spans="1:9" ht="13.5" thickBot="1"/>
    <row r="53" spans="1:9" ht="13.5" thickBot="1">
      <c r="A53" s="256" t="s">
        <v>119</v>
      </c>
      <c r="B53" s="257">
        <v>8</v>
      </c>
    </row>
    <row r="54" spans="1:9" ht="13.5" thickBot="1">
      <c r="A54" s="256" t="s">
        <v>144</v>
      </c>
      <c r="B54" s="257">
        <v>8</v>
      </c>
    </row>
    <row r="59" spans="1:9">
      <c r="A59" s="254"/>
      <c r="B59" s="254"/>
      <c r="C59" s="254"/>
      <c r="D59" s="254"/>
      <c r="E59" s="254"/>
      <c r="F59" s="254"/>
      <c r="G59" s="254"/>
      <c r="H59" s="254"/>
      <c r="I59" s="254"/>
    </row>
    <row r="60" spans="1:9">
      <c r="A60" s="254"/>
      <c r="B60" s="254"/>
      <c r="C60" s="254"/>
      <c r="D60" s="254"/>
      <c r="E60" s="254"/>
      <c r="F60" s="254"/>
      <c r="G60" s="254"/>
      <c r="H60" s="254"/>
      <c r="I60" s="254"/>
    </row>
    <row r="61" spans="1:9">
      <c r="A61" s="254"/>
      <c r="B61" s="254"/>
      <c r="C61" s="254"/>
      <c r="D61" s="254"/>
      <c r="E61" s="254"/>
      <c r="F61" s="254"/>
      <c r="G61" s="254"/>
      <c r="H61" s="254"/>
      <c r="I61" s="254"/>
    </row>
    <row r="62" spans="1:9">
      <c r="A62" s="254"/>
      <c r="B62" s="254"/>
      <c r="C62" s="254"/>
      <c r="D62" s="254"/>
      <c r="E62" s="254"/>
      <c r="F62" s="254"/>
      <c r="G62" s="254"/>
      <c r="H62" s="254"/>
      <c r="I62" s="254"/>
    </row>
    <row r="63" spans="1:9">
      <c r="A63" s="254"/>
      <c r="B63" s="254"/>
      <c r="C63" s="254"/>
      <c r="D63" s="254"/>
      <c r="E63" s="254"/>
      <c r="F63" s="254"/>
      <c r="G63" s="254"/>
      <c r="H63" s="254"/>
      <c r="I63" s="254"/>
    </row>
    <row r="64" spans="1:9">
      <c r="A64" s="254"/>
      <c r="B64" s="254"/>
      <c r="C64" s="254"/>
      <c r="D64" s="254"/>
      <c r="E64" s="254"/>
      <c r="F64" s="254"/>
      <c r="G64" s="254"/>
      <c r="H64" s="254"/>
      <c r="I64" s="254"/>
    </row>
    <row r="65" spans="1:9">
      <c r="A65" s="254"/>
      <c r="B65" s="254"/>
      <c r="C65" s="254"/>
      <c r="D65" s="254"/>
      <c r="E65" s="254"/>
      <c r="F65" s="254"/>
      <c r="G65" s="254"/>
      <c r="H65" s="254"/>
      <c r="I65" s="254"/>
    </row>
    <row r="66" spans="1:9">
      <c r="A66" s="254"/>
      <c r="B66" s="254"/>
      <c r="C66" s="254"/>
      <c r="D66" s="254"/>
      <c r="E66" s="254"/>
      <c r="F66" s="254"/>
      <c r="G66" s="254"/>
      <c r="H66" s="254"/>
      <c r="I66" s="254"/>
    </row>
    <row r="67" spans="1:9">
      <c r="A67" s="254"/>
      <c r="B67" s="254"/>
      <c r="C67" s="254"/>
      <c r="D67" s="254"/>
      <c r="E67" s="254"/>
      <c r="F67" s="254"/>
      <c r="G67" s="254"/>
      <c r="H67" s="254"/>
      <c r="I67" s="254"/>
    </row>
    <row r="68" spans="1:9">
      <c r="A68" s="254"/>
      <c r="B68" s="254"/>
      <c r="C68" s="254"/>
      <c r="D68" s="254"/>
      <c r="E68" s="254"/>
      <c r="F68" s="254"/>
      <c r="G68" s="254"/>
      <c r="H68" s="254"/>
      <c r="I68" s="254"/>
    </row>
    <row r="69" spans="1:9">
      <c r="A69" s="254"/>
      <c r="B69" s="254"/>
      <c r="C69" s="254"/>
      <c r="D69" s="254"/>
      <c r="E69" s="254"/>
      <c r="F69" s="254"/>
      <c r="G69" s="254"/>
      <c r="H69" s="254"/>
      <c r="I69" s="254"/>
    </row>
    <row r="70" spans="1:9">
      <c r="A70" s="254"/>
      <c r="B70" s="254"/>
      <c r="C70" s="254"/>
      <c r="D70" s="254"/>
      <c r="E70" s="254"/>
      <c r="F70" s="254"/>
      <c r="G70" s="254"/>
      <c r="H70" s="254"/>
      <c r="I70" s="254"/>
    </row>
    <row r="71" spans="1:9">
      <c r="I71" s="254"/>
    </row>
    <row r="72" spans="1:9">
      <c r="I72" s="254"/>
    </row>
    <row r="73" spans="1:9">
      <c r="I73" s="254"/>
    </row>
    <row r="74" spans="1:9">
      <c r="I74" s="254"/>
    </row>
    <row r="75" spans="1:9">
      <c r="I75" s="254"/>
    </row>
    <row r="76" spans="1:9">
      <c r="I76" s="254"/>
    </row>
    <row r="111" spans="2:2">
      <c r="B111" s="95"/>
    </row>
    <row r="112" spans="2:2">
      <c r="B112" s="95"/>
    </row>
    <row r="114" spans="1:2">
      <c r="B114" s="95"/>
    </row>
    <row r="116" spans="1:2">
      <c r="A116" s="96" t="s">
        <v>81</v>
      </c>
    </row>
    <row r="117" spans="1:2">
      <c r="A117" s="3" t="s">
        <v>58</v>
      </c>
      <c r="B117" s="95">
        <v>0</v>
      </c>
    </row>
    <row r="118" spans="1:2">
      <c r="A118" s="3" t="str">
        <f>A4</f>
        <v>Nominale matching</v>
      </c>
      <c r="B118" s="95">
        <v>1</v>
      </c>
    </row>
    <row r="119" spans="1:2">
      <c r="A119" s="3" t="str">
        <f t="shared" ref="A119:A125" si="2">A5</f>
        <v>High Yield</v>
      </c>
      <c r="B119" s="95">
        <v>2</v>
      </c>
    </row>
    <row r="120" spans="1:2">
      <c r="A120" s="3" t="str">
        <f t="shared" si="2"/>
        <v>Emerging market debt</v>
      </c>
      <c r="B120" s="95">
        <v>3</v>
      </c>
    </row>
    <row r="121" spans="1:2">
      <c r="A121" s="3" t="str">
        <f t="shared" si="2"/>
        <v>Aandelen ontwikkeld</v>
      </c>
      <c r="B121" s="95">
        <v>4</v>
      </c>
    </row>
    <row r="122" spans="1:2">
      <c r="A122" s="3" t="str">
        <f t="shared" si="2"/>
        <v>Aandelen opkomend</v>
      </c>
      <c r="B122" s="95">
        <v>5</v>
      </c>
    </row>
    <row r="123" spans="1:2">
      <c r="A123" s="3" t="str">
        <f t="shared" si="2"/>
        <v>Commodities</v>
      </c>
      <c r="B123" s="95">
        <v>6</v>
      </c>
    </row>
    <row r="124" spans="1:2">
      <c r="A124" s="3" t="str">
        <f t="shared" si="2"/>
        <v>Hedge funds</v>
      </c>
      <c r="B124" s="95">
        <v>7</v>
      </c>
    </row>
    <row r="125" spans="1:2">
      <c r="A125" s="3" t="str">
        <f t="shared" si="2"/>
        <v>Onroerend goed</v>
      </c>
      <c r="B125" s="95">
        <v>8</v>
      </c>
    </row>
    <row r="127" spans="1:2">
      <c r="A127" s="27" t="s">
        <v>59</v>
      </c>
    </row>
    <row r="128" spans="1:2">
      <c r="A128" s="3" t="s">
        <v>45</v>
      </c>
      <c r="B128" s="95">
        <f>VLOOKUP(B21,$A$117:$B$125,2,0)</f>
        <v>0</v>
      </c>
    </row>
    <row r="129" spans="1:2">
      <c r="A129" s="3" t="s">
        <v>87</v>
      </c>
      <c r="B129" s="95">
        <f t="shared" ref="B129:B130" si="3">VLOOKUP(B22,$A$117:$B$125,2,0)</f>
        <v>1</v>
      </c>
    </row>
    <row r="130" spans="1:2">
      <c r="A130" s="3" t="s">
        <v>88</v>
      </c>
      <c r="B130" s="95">
        <f t="shared" si="3"/>
        <v>2</v>
      </c>
    </row>
  </sheetData>
  <mergeCells count="3">
    <mergeCell ref="G24:J24"/>
    <mergeCell ref="T25:X25"/>
    <mergeCell ref="E2:L2"/>
  </mergeCells>
  <dataValidations count="3">
    <dataValidation type="list" allowBlank="1" showInputMessage="1" showErrorMessage="1" sqref="B21">
      <formula1>$A$117:$A$125</formula1>
    </dataValidation>
    <dataValidation type="list" allowBlank="1" showInputMessage="1" showErrorMessage="1" sqref="B22:B23">
      <formula1>$A$118:$A$125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AB129"/>
  <sheetViews>
    <sheetView topLeftCell="A103" workbookViewId="0">
      <selection activeCell="A22" sqref="A22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8">
      <c r="A1" s="37" t="s">
        <v>0</v>
      </c>
    </row>
    <row r="2" spans="1:28" ht="13.5" thickBot="1"/>
    <row r="3" spans="1:28" ht="13.5" thickBot="1">
      <c r="A3" s="38" t="s">
        <v>70</v>
      </c>
      <c r="B3" s="39" t="s">
        <v>1</v>
      </c>
      <c r="C3" s="39" t="s">
        <v>2</v>
      </c>
      <c r="D3" s="332" t="s">
        <v>3</v>
      </c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4"/>
      <c r="U3" s="36" t="s">
        <v>4</v>
      </c>
      <c r="V3" s="36" t="s">
        <v>5</v>
      </c>
      <c r="W3" s="36" t="s">
        <v>6</v>
      </c>
      <c r="X3" s="36" t="s">
        <v>7</v>
      </c>
      <c r="Y3" s="36" t="s">
        <v>8</v>
      </c>
      <c r="Z3" s="36" t="s">
        <v>9</v>
      </c>
      <c r="AA3" s="36" t="s">
        <v>10</v>
      </c>
      <c r="AB3" s="36" t="s">
        <v>11</v>
      </c>
    </row>
    <row r="4" spans="1:28">
      <c r="A4" s="41" t="s">
        <v>4</v>
      </c>
      <c r="B4" s="42">
        <f>Scenarios!B31</f>
        <v>0</v>
      </c>
      <c r="C4" s="42">
        <f>Scenarios!D4</f>
        <v>4.3214826708651545E-2</v>
      </c>
      <c r="D4" s="107">
        <f>Scenarios!E4</f>
        <v>1.0000000000000002</v>
      </c>
      <c r="E4" s="108">
        <f>Scenarios!F4</f>
        <v>0.48758203889173096</v>
      </c>
      <c r="F4" s="108">
        <f>Scenarios!G4</f>
        <v>0.43351903366758959</v>
      </c>
      <c r="G4" s="108">
        <f>Scenarios!H4</f>
        <v>0.22240504783264323</v>
      </c>
      <c r="H4" s="108">
        <f>Scenarios!I4</f>
        <v>0.2729543601339276</v>
      </c>
      <c r="I4" s="108">
        <f>Scenarios!J4</f>
        <v>0.51795492979549662</v>
      </c>
      <c r="J4" s="108">
        <f>Scenarios!K4</f>
        <v>0.22026085078406454</v>
      </c>
      <c r="K4" s="108">
        <f>Scenarios!L4</f>
        <v>0.36266106503892548</v>
      </c>
      <c r="L4" s="108"/>
      <c r="M4" s="108"/>
      <c r="N4" s="108"/>
      <c r="O4" s="108"/>
      <c r="P4" s="108"/>
      <c r="Q4" s="108"/>
      <c r="R4" s="109"/>
      <c r="S4" s="226" t="s">
        <v>120</v>
      </c>
      <c r="U4" s="36">
        <f t="array" ref="U4:AB11">+D4:K11*TRANSPOSE(C4:C11)*C4:C11</f>
        <v>1.8675212474587833E-3</v>
      </c>
      <c r="V4" s="36">
        <v>3.3342160675410709E-3</v>
      </c>
      <c r="W4" s="36">
        <v>3.1501654825561447E-3</v>
      </c>
      <c r="X4" s="36">
        <v>2.7874319988523133E-3</v>
      </c>
      <c r="Y4" s="36">
        <v>3.51210184860851E-3</v>
      </c>
      <c r="Z4" s="36">
        <v>3.2795623337381549E-3</v>
      </c>
      <c r="AA4" s="36">
        <v>3.1959785536966531E-3</v>
      </c>
      <c r="AB4" s="36">
        <v>3.1212956212481151E-3</v>
      </c>
    </row>
    <row r="5" spans="1:28">
      <c r="A5" s="41" t="s">
        <v>5</v>
      </c>
      <c r="B5" s="42">
        <f>Scenarios!B32</f>
        <v>0.03</v>
      </c>
      <c r="C5" s="42">
        <f>Scenarios!D5</f>
        <v>0.15823890359343337</v>
      </c>
      <c r="D5" s="107">
        <f>Scenarios!E5</f>
        <v>0.48758203889173107</v>
      </c>
      <c r="E5" s="108">
        <f>Scenarios!F5</f>
        <v>0.99999999999999978</v>
      </c>
      <c r="F5" s="108">
        <f>Scenarios!G5</f>
        <v>0.90991930291292189</v>
      </c>
      <c r="G5" s="108">
        <f>Scenarios!H5</f>
        <v>0.74890714708117023</v>
      </c>
      <c r="H5" s="108">
        <f>Scenarios!I5</f>
        <v>0.74060441066122751</v>
      </c>
      <c r="I5" s="108">
        <f>Scenarios!J5</f>
        <v>0.88671991368989134</v>
      </c>
      <c r="J5" s="108">
        <f>Scenarios!K5</f>
        <v>0.61760661631655178</v>
      </c>
      <c r="K5" s="108">
        <f>Scenarios!L5</f>
        <v>0.8752768910119606</v>
      </c>
      <c r="L5" s="108"/>
      <c r="M5" s="108"/>
      <c r="N5" s="108"/>
      <c r="O5" s="108"/>
      <c r="P5" s="108"/>
      <c r="Q5" s="108"/>
      <c r="R5" s="109"/>
      <c r="U5" s="36">
        <v>3.3342160675410718E-3</v>
      </c>
      <c r="V5" s="36">
        <v>2.5039550610451898E-2</v>
      </c>
      <c r="W5" s="36">
        <v>2.4210767996325083E-2</v>
      </c>
      <c r="X5" s="36">
        <v>3.4369095734260446E-2</v>
      </c>
      <c r="Y5" s="36">
        <v>3.48934449985751E-2</v>
      </c>
      <c r="Z5" s="36">
        <v>2.0558473763028499E-2</v>
      </c>
      <c r="AA5" s="36">
        <v>3.281398484142084E-2</v>
      </c>
      <c r="AB5" s="36">
        <v>2.75841700957868E-2</v>
      </c>
    </row>
    <row r="6" spans="1:28">
      <c r="A6" s="41" t="s">
        <v>6</v>
      </c>
      <c r="B6" s="42">
        <f>Scenarios!B33</f>
        <v>3.1705382280009728E-2</v>
      </c>
      <c r="C6" s="42">
        <f>Scenarios!D6</f>
        <v>0.168148277471422</v>
      </c>
      <c r="D6" s="107">
        <f>Scenarios!E6</f>
        <v>0.43351903366758976</v>
      </c>
      <c r="E6" s="108">
        <f>Scenarios!F6</f>
        <v>0.90991930291292189</v>
      </c>
      <c r="F6" s="108">
        <f>Scenarios!G6</f>
        <v>1</v>
      </c>
      <c r="G6" s="108">
        <f>Scenarios!H6</f>
        <v>0.78689057691118713</v>
      </c>
      <c r="H6" s="108">
        <f>Scenarios!I6</f>
        <v>0.81542413678900194</v>
      </c>
      <c r="I6" s="108">
        <f>Scenarios!J6</f>
        <v>0.84996791272671834</v>
      </c>
      <c r="J6" s="108">
        <f>Scenarios!K6</f>
        <v>0.63150622997795747</v>
      </c>
      <c r="K6" s="108">
        <f>Scenarios!L6</f>
        <v>0.87979060194508074</v>
      </c>
      <c r="L6" s="108"/>
      <c r="M6" s="108"/>
      <c r="N6" s="108"/>
      <c r="O6" s="108"/>
      <c r="P6" s="108"/>
      <c r="Q6" s="108"/>
      <c r="R6" s="109"/>
      <c r="U6" s="36">
        <v>3.150165482556146E-3</v>
      </c>
      <c r="V6" s="36">
        <v>2.4210767996325083E-2</v>
      </c>
      <c r="W6" s="36">
        <v>2.8273843216606323E-2</v>
      </c>
      <c r="X6" s="36">
        <v>3.8373696184703453E-2</v>
      </c>
      <c r="Y6" s="36">
        <v>4.0824443660549874E-2</v>
      </c>
      <c r="Z6" s="36">
        <v>2.0940454168703701E-2</v>
      </c>
      <c r="AA6" s="36">
        <v>3.5653636318756073E-2</v>
      </c>
      <c r="AB6" s="36">
        <v>2.9462726607530545E-2</v>
      </c>
    </row>
    <row r="7" spans="1:28">
      <c r="A7" s="41" t="s">
        <v>7</v>
      </c>
      <c r="B7" s="42">
        <f>Scenarios!B34</f>
        <v>5.7210243741557129E-2</v>
      </c>
      <c r="C7" s="42">
        <f>Scenarios!D7</f>
        <v>0.29001927694608043</v>
      </c>
      <c r="D7" s="107">
        <f>Scenarios!E7</f>
        <v>0.22240504783264309</v>
      </c>
      <c r="E7" s="108">
        <f>Scenarios!F7</f>
        <v>0.74890714708117023</v>
      </c>
      <c r="F7" s="108">
        <f>Scenarios!G7</f>
        <v>0.78689057691118725</v>
      </c>
      <c r="G7" s="108">
        <f>Scenarios!H7</f>
        <v>1.0000000000000002</v>
      </c>
      <c r="H7" s="108">
        <f>Scenarios!I7</f>
        <v>0.80043789752068695</v>
      </c>
      <c r="I7" s="108">
        <f>Scenarios!J7</f>
        <v>0.6816417645711762</v>
      </c>
      <c r="J7" s="108">
        <f>Scenarios!K7</f>
        <v>0.69656976952020244</v>
      </c>
      <c r="K7" s="108">
        <f>Scenarios!L7</f>
        <v>0.8825588907922528</v>
      </c>
      <c r="L7" s="108"/>
      <c r="M7" s="108"/>
      <c r="N7" s="108"/>
      <c r="O7" s="108"/>
      <c r="P7" s="108"/>
      <c r="Q7" s="108"/>
      <c r="R7" s="109"/>
      <c r="U7" s="36">
        <v>2.7874319988523116E-3</v>
      </c>
      <c r="V7" s="36">
        <v>3.4369095734260446E-2</v>
      </c>
      <c r="W7" s="36">
        <v>3.8373696184703453E-2</v>
      </c>
      <c r="X7" s="36">
        <v>8.4111181000327315E-2</v>
      </c>
      <c r="Y7" s="36">
        <v>6.9119215106557635E-2</v>
      </c>
      <c r="Z7" s="36">
        <v>2.8965044533294161E-2</v>
      </c>
      <c r="AA7" s="36">
        <v>6.7830537133608315E-2</v>
      </c>
      <c r="AB7" s="36">
        <v>5.0976704304249595E-2</v>
      </c>
    </row>
    <row r="8" spans="1:28">
      <c r="A8" s="41" t="s">
        <v>8</v>
      </c>
      <c r="B8" s="42">
        <f>Scenarios!B35</f>
        <v>5.5668448282861861E-2</v>
      </c>
      <c r="C8" s="42">
        <f>Scenarios!D8</f>
        <v>0.29774487154665702</v>
      </c>
      <c r="D8" s="107">
        <f>Scenarios!E8</f>
        <v>0.2729543601339276</v>
      </c>
      <c r="E8" s="108">
        <f>Scenarios!F8</f>
        <v>0.7406044106612274</v>
      </c>
      <c r="F8" s="108">
        <f>Scenarios!G8</f>
        <v>0.81542413678900183</v>
      </c>
      <c r="G8" s="108">
        <f>Scenarios!H8</f>
        <v>0.80043789752068695</v>
      </c>
      <c r="H8" s="108">
        <f>Scenarios!I8</f>
        <v>1</v>
      </c>
      <c r="I8" s="108">
        <f>Scenarios!J8</f>
        <v>0.70370520831484562</v>
      </c>
      <c r="J8" s="108">
        <f>Scenarios!K8</f>
        <v>0.62140003003210531</v>
      </c>
      <c r="K8" s="108">
        <f>Scenarios!L8</f>
        <v>0.77427405839831998</v>
      </c>
      <c r="L8" s="108"/>
      <c r="M8" s="108"/>
      <c r="N8" s="108"/>
      <c r="O8" s="108"/>
      <c r="P8" s="108"/>
      <c r="Q8" s="108"/>
      <c r="R8" s="109"/>
      <c r="U8" s="36">
        <v>3.5121018486085104E-3</v>
      </c>
      <c r="V8" s="36">
        <v>3.4893444998575093E-2</v>
      </c>
      <c r="W8" s="36">
        <v>4.0824443660549867E-2</v>
      </c>
      <c r="X8" s="36">
        <v>6.9119215106557635E-2</v>
      </c>
      <c r="Y8" s="36">
        <v>8.8652008532335291E-2</v>
      </c>
      <c r="Z8" s="36">
        <v>3.0699139209468738E-2</v>
      </c>
      <c r="AA8" s="36">
        <v>6.2122557658197484E-2</v>
      </c>
      <c r="AB8" s="36">
        <v>4.5913478089811721E-2</v>
      </c>
    </row>
    <row r="9" spans="1:28">
      <c r="A9" s="41" t="s">
        <v>9</v>
      </c>
      <c r="B9" s="42">
        <f>Scenarios!B36</f>
        <v>5.4683067728185694E-2</v>
      </c>
      <c r="C9" s="42">
        <f>Scenarios!D9</f>
        <v>0.1465180543940868</v>
      </c>
      <c r="D9" s="107">
        <f>Scenarios!E9</f>
        <v>0.51795492979549662</v>
      </c>
      <c r="E9" s="108">
        <f>Scenarios!F9</f>
        <v>0.88671991368989134</v>
      </c>
      <c r="F9" s="108">
        <f>Scenarios!G9</f>
        <v>0.84996791272671812</v>
      </c>
      <c r="G9" s="108">
        <f>Scenarios!H9</f>
        <v>0.6816417645711762</v>
      </c>
      <c r="H9" s="108">
        <f>Scenarios!I9</f>
        <v>0.70370520831484562</v>
      </c>
      <c r="I9" s="108">
        <f>Scenarios!J9</f>
        <v>1.0000000000000002</v>
      </c>
      <c r="J9" s="108">
        <f>Scenarios!K9</f>
        <v>0.64202094504860974</v>
      </c>
      <c r="K9" s="108">
        <f>Scenarios!L9</f>
        <v>0.82000870971282414</v>
      </c>
      <c r="L9" s="108"/>
      <c r="M9" s="108"/>
      <c r="N9" s="108"/>
      <c r="O9" s="108"/>
      <c r="P9" s="108"/>
      <c r="Q9" s="108"/>
      <c r="R9" s="109"/>
      <c r="U9" s="36">
        <v>3.2795623337381545E-3</v>
      </c>
      <c r="V9" s="36">
        <v>2.0558473763028499E-2</v>
      </c>
      <c r="W9" s="36">
        <v>2.0940454168703698E-2</v>
      </c>
      <c r="X9" s="36">
        <v>2.8965044533294161E-2</v>
      </c>
      <c r="Y9" s="36">
        <v>3.0699139209468738E-2</v>
      </c>
      <c r="Z9" s="36">
        <v>2.1467540263428581E-2</v>
      </c>
      <c r="AA9" s="36">
        <v>3.158450738795341E-2</v>
      </c>
      <c r="AB9" s="36">
        <v>2.3928242587821332E-2</v>
      </c>
    </row>
    <row r="10" spans="1:28">
      <c r="A10" s="41" t="s">
        <v>10</v>
      </c>
      <c r="B10" s="42">
        <f>Scenarios!B37</f>
        <v>2.9030049193200475E-2</v>
      </c>
      <c r="C10" s="42">
        <f>Scenarios!D10</f>
        <v>0.33576372020209261</v>
      </c>
      <c r="D10" s="107">
        <f>Scenarios!E10</f>
        <v>0.2202608507840644</v>
      </c>
      <c r="E10" s="108">
        <f>Scenarios!F10</f>
        <v>0.61760661631655156</v>
      </c>
      <c r="F10" s="108">
        <f>Scenarios!G10</f>
        <v>0.63150622997795758</v>
      </c>
      <c r="G10" s="108">
        <f>Scenarios!H10</f>
        <v>0.69656976952020244</v>
      </c>
      <c r="H10" s="108">
        <f>Scenarios!I10</f>
        <v>0.62140003003210531</v>
      </c>
      <c r="I10" s="108">
        <f>Scenarios!J10</f>
        <v>0.64202094504860974</v>
      </c>
      <c r="J10" s="108">
        <f>Scenarios!K10</f>
        <v>1.0000000000000002</v>
      </c>
      <c r="K10" s="108">
        <f>Scenarios!L10</f>
        <v>0.66415983265504108</v>
      </c>
      <c r="L10" s="108"/>
      <c r="M10" s="108"/>
      <c r="N10" s="108"/>
      <c r="O10" s="108"/>
      <c r="P10" s="108"/>
      <c r="Q10" s="108"/>
      <c r="R10" s="109"/>
      <c r="U10" s="36">
        <v>3.1959785536966514E-3</v>
      </c>
      <c r="V10" s="36">
        <v>3.2813984841420826E-2</v>
      </c>
      <c r="W10" s="36">
        <v>3.565363631875608E-2</v>
      </c>
      <c r="X10" s="36">
        <v>6.7830537133608315E-2</v>
      </c>
      <c r="Y10" s="36">
        <v>6.2122557658197491E-2</v>
      </c>
      <c r="Z10" s="36">
        <v>3.158450738795341E-2</v>
      </c>
      <c r="AA10" s="36">
        <v>0.11273727580394916</v>
      </c>
      <c r="AB10" s="36">
        <v>4.4412740208592372E-2</v>
      </c>
    </row>
    <row r="11" spans="1:28">
      <c r="A11" s="41" t="s">
        <v>11</v>
      </c>
      <c r="B11" s="42">
        <f>Scenarios!B38</f>
        <v>3.8983857987503749E-2</v>
      </c>
      <c r="C11" s="42">
        <f>Scenarios!D11</f>
        <v>0.19915957675666104</v>
      </c>
      <c r="D11" s="107">
        <f>Scenarios!E11</f>
        <v>0.36266106503892553</v>
      </c>
      <c r="E11" s="108">
        <f>Scenarios!F11</f>
        <v>0.8752768910119606</v>
      </c>
      <c r="F11" s="108">
        <f>Scenarios!G11</f>
        <v>0.87979060194508063</v>
      </c>
      <c r="G11" s="108">
        <f>Scenarios!H11</f>
        <v>0.88255889079225258</v>
      </c>
      <c r="H11" s="108">
        <f>Scenarios!I11</f>
        <v>0.77427405839831998</v>
      </c>
      <c r="I11" s="108">
        <f>Scenarios!J11</f>
        <v>0.82000870971282414</v>
      </c>
      <c r="J11" s="108">
        <f>Scenarios!K11</f>
        <v>0.66415983265504108</v>
      </c>
      <c r="K11" s="108">
        <f>Scenarios!L11</f>
        <v>1.0000000000000002</v>
      </c>
      <c r="L11" s="108"/>
      <c r="M11" s="108"/>
      <c r="N11" s="108"/>
      <c r="O11" s="108"/>
      <c r="P11" s="108"/>
      <c r="Q11" s="108"/>
      <c r="R11" s="109"/>
      <c r="U11" s="36">
        <v>3.1212956212481155E-3</v>
      </c>
      <c r="V11" s="36">
        <v>2.75841700957868E-2</v>
      </c>
      <c r="W11" s="36">
        <v>2.9462726607530541E-2</v>
      </c>
      <c r="X11" s="36">
        <v>5.0976704304249582E-2</v>
      </c>
      <c r="Y11" s="36">
        <v>4.5913478089811721E-2</v>
      </c>
      <c r="Z11" s="36">
        <v>2.3928242587821332E-2</v>
      </c>
      <c r="AA11" s="36">
        <v>4.4412740208592365E-2</v>
      </c>
      <c r="AB11" s="36">
        <v>3.9664537013892373E-2</v>
      </c>
    </row>
    <row r="12" spans="1:28">
      <c r="A12" s="41"/>
      <c r="B12" s="42"/>
      <c r="C12" s="42"/>
      <c r="D12" s="107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9"/>
    </row>
    <row r="13" spans="1:28">
      <c r="A13" s="41"/>
      <c r="B13" s="42"/>
      <c r="C13" s="42"/>
      <c r="D13" s="107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9"/>
    </row>
    <row r="14" spans="1:28">
      <c r="A14" s="41"/>
      <c r="B14" s="42"/>
      <c r="C14" s="42"/>
      <c r="D14" s="107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9"/>
    </row>
    <row r="15" spans="1:28">
      <c r="A15" s="41"/>
      <c r="B15" s="42"/>
      <c r="C15" s="42"/>
      <c r="D15" s="107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9"/>
    </row>
    <row r="16" spans="1:28">
      <c r="A16" s="41"/>
      <c r="B16" s="42"/>
      <c r="C16" s="42"/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9"/>
    </row>
    <row r="17" spans="1:19">
      <c r="A17" s="41"/>
      <c r="B17" s="42"/>
      <c r="C17" s="42"/>
      <c r="D17" s="107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9"/>
    </row>
    <row r="18" spans="1:19" ht="13.5" thickBot="1">
      <c r="A18" s="43"/>
      <c r="B18" s="44"/>
      <c r="C18" s="44"/>
      <c r="D18" s="110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2"/>
    </row>
    <row r="20" spans="1:19" ht="13.5" thickBot="1"/>
    <row r="21" spans="1:19" ht="13.5" thickBot="1">
      <c r="A21" s="45" t="str">
        <f>Scenarios!C30</f>
        <v>Base Case</v>
      </c>
      <c r="B21" s="39" t="s">
        <v>1</v>
      </c>
      <c r="C21" s="40" t="s">
        <v>2</v>
      </c>
      <c r="D21" s="332" t="s">
        <v>3</v>
      </c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4"/>
    </row>
    <row r="22" spans="1:19">
      <c r="A22" s="41" t="s">
        <v>4</v>
      </c>
      <c r="B22" s="42">
        <f>Scenarios!C31</f>
        <v>-1.8278501643327824E-3</v>
      </c>
      <c r="C22" s="42">
        <f>C4</f>
        <v>4.3214826708651545E-2</v>
      </c>
      <c r="D22" s="107">
        <f t="shared" ref="D22:K22" si="0">D4</f>
        <v>1.0000000000000002</v>
      </c>
      <c r="E22" s="108">
        <f t="shared" si="0"/>
        <v>0.48758203889173096</v>
      </c>
      <c r="F22" s="108">
        <f t="shared" si="0"/>
        <v>0.43351903366758959</v>
      </c>
      <c r="G22" s="108">
        <f t="shared" si="0"/>
        <v>0.22240504783264323</v>
      </c>
      <c r="H22" s="108">
        <f t="shared" si="0"/>
        <v>0.2729543601339276</v>
      </c>
      <c r="I22" s="108">
        <f t="shared" si="0"/>
        <v>0.51795492979549662</v>
      </c>
      <c r="J22" s="108">
        <f t="shared" si="0"/>
        <v>0.22026085078406454</v>
      </c>
      <c r="K22" s="108">
        <f t="shared" si="0"/>
        <v>0.36266106503892548</v>
      </c>
      <c r="L22" s="108"/>
      <c r="M22" s="108"/>
      <c r="N22" s="108"/>
      <c r="O22" s="108"/>
      <c r="P22" s="108"/>
      <c r="Q22" s="108"/>
      <c r="R22" s="109"/>
      <c r="S22" s="226" t="s">
        <v>120</v>
      </c>
    </row>
    <row r="23" spans="1:19">
      <c r="A23" s="41" t="s">
        <v>5</v>
      </c>
      <c r="B23" s="42">
        <f>Scenarios!C32</f>
        <v>2.2858562017300008E-2</v>
      </c>
      <c r="C23" s="42">
        <f t="shared" ref="C23:K23" si="1">C5</f>
        <v>0.15823890359343337</v>
      </c>
      <c r="D23" s="107">
        <f t="shared" si="1"/>
        <v>0.48758203889173107</v>
      </c>
      <c r="E23" s="108">
        <f t="shared" si="1"/>
        <v>0.99999999999999978</v>
      </c>
      <c r="F23" s="108">
        <f t="shared" si="1"/>
        <v>0.90991930291292189</v>
      </c>
      <c r="G23" s="108">
        <f t="shared" si="1"/>
        <v>0.74890714708117023</v>
      </c>
      <c r="H23" s="108">
        <f t="shared" si="1"/>
        <v>0.74060441066122751</v>
      </c>
      <c r="I23" s="108">
        <f t="shared" si="1"/>
        <v>0.88671991368989134</v>
      </c>
      <c r="J23" s="108">
        <f t="shared" si="1"/>
        <v>0.61760661631655178</v>
      </c>
      <c r="K23" s="108">
        <f t="shared" si="1"/>
        <v>0.8752768910119606</v>
      </c>
      <c r="L23" s="108"/>
      <c r="M23" s="108"/>
      <c r="N23" s="108"/>
      <c r="O23" s="108"/>
      <c r="P23" s="108"/>
      <c r="Q23" s="108"/>
      <c r="R23" s="109"/>
    </row>
    <row r="24" spans="1:19">
      <c r="A24" s="41" t="s">
        <v>6</v>
      </c>
      <c r="B24" s="42">
        <f>Scenarios!C33</f>
        <v>1.969557072360073E-2</v>
      </c>
      <c r="C24" s="42">
        <f t="shared" ref="C24:K24" si="2">C6</f>
        <v>0.168148277471422</v>
      </c>
      <c r="D24" s="107">
        <f t="shared" si="2"/>
        <v>0.43351903366758976</v>
      </c>
      <c r="E24" s="108">
        <f t="shared" si="2"/>
        <v>0.90991930291292189</v>
      </c>
      <c r="F24" s="108">
        <f t="shared" si="2"/>
        <v>1</v>
      </c>
      <c r="G24" s="108">
        <f t="shared" si="2"/>
        <v>0.78689057691118713</v>
      </c>
      <c r="H24" s="108">
        <f t="shared" si="2"/>
        <v>0.81542413678900194</v>
      </c>
      <c r="I24" s="108">
        <f t="shared" si="2"/>
        <v>0.84996791272671834</v>
      </c>
      <c r="J24" s="108">
        <f t="shared" si="2"/>
        <v>0.63150622997795747</v>
      </c>
      <c r="K24" s="108">
        <f t="shared" si="2"/>
        <v>0.87979060194508074</v>
      </c>
      <c r="L24" s="108"/>
      <c r="M24" s="108"/>
      <c r="N24" s="108"/>
      <c r="O24" s="108"/>
      <c r="P24" s="108"/>
      <c r="Q24" s="108"/>
      <c r="R24" s="109"/>
    </row>
    <row r="25" spans="1:19">
      <c r="A25" s="41" t="s">
        <v>7</v>
      </c>
      <c r="B25" s="42">
        <f>Scenarios!C34</f>
        <v>1.5342489100108013E-2</v>
      </c>
      <c r="C25" s="42">
        <f t="shared" ref="C25:K25" si="3">C7</f>
        <v>0.29001927694608043</v>
      </c>
      <c r="D25" s="107">
        <f t="shared" si="3"/>
        <v>0.22240504783264309</v>
      </c>
      <c r="E25" s="108">
        <f t="shared" si="3"/>
        <v>0.74890714708117023</v>
      </c>
      <c r="F25" s="108">
        <f t="shared" si="3"/>
        <v>0.78689057691118725</v>
      </c>
      <c r="G25" s="108">
        <f t="shared" si="3"/>
        <v>1.0000000000000002</v>
      </c>
      <c r="H25" s="108">
        <f t="shared" si="3"/>
        <v>0.80043789752068695</v>
      </c>
      <c r="I25" s="108">
        <f t="shared" si="3"/>
        <v>0.6816417645711762</v>
      </c>
      <c r="J25" s="108">
        <f t="shared" si="3"/>
        <v>0.69656976952020244</v>
      </c>
      <c r="K25" s="108">
        <f t="shared" si="3"/>
        <v>0.8825588907922528</v>
      </c>
      <c r="L25" s="108"/>
      <c r="M25" s="108"/>
      <c r="N25" s="108"/>
      <c r="O25" s="108"/>
      <c r="P25" s="108"/>
      <c r="Q25" s="108"/>
      <c r="R25" s="109"/>
    </row>
    <row r="26" spans="1:19">
      <c r="A26" s="41" t="s">
        <v>8</v>
      </c>
      <c r="B26" s="42">
        <f>Scenarios!C35</f>
        <v>8.9680832159551499E-2</v>
      </c>
      <c r="C26" s="42">
        <f t="shared" ref="C26:K26" si="4">C8</f>
        <v>0.29774487154665702</v>
      </c>
      <c r="D26" s="107">
        <f t="shared" si="4"/>
        <v>0.2729543601339276</v>
      </c>
      <c r="E26" s="108">
        <f t="shared" si="4"/>
        <v>0.7406044106612274</v>
      </c>
      <c r="F26" s="108">
        <f t="shared" si="4"/>
        <v>0.81542413678900183</v>
      </c>
      <c r="G26" s="108">
        <f t="shared" si="4"/>
        <v>0.80043789752068695</v>
      </c>
      <c r="H26" s="108">
        <f t="shared" si="4"/>
        <v>1</v>
      </c>
      <c r="I26" s="108">
        <f t="shared" si="4"/>
        <v>0.70370520831484562</v>
      </c>
      <c r="J26" s="108">
        <f t="shared" si="4"/>
        <v>0.62140003003210531</v>
      </c>
      <c r="K26" s="108">
        <f t="shared" si="4"/>
        <v>0.77427405839831998</v>
      </c>
      <c r="L26" s="108"/>
      <c r="M26" s="108"/>
      <c r="N26" s="108"/>
      <c r="O26" s="108"/>
      <c r="P26" s="108"/>
      <c r="Q26" s="108"/>
      <c r="R26" s="109"/>
    </row>
    <row r="27" spans="1:19">
      <c r="A27" s="41" t="s">
        <v>9</v>
      </c>
      <c r="B27" s="42">
        <f>Scenarios!C36</f>
        <v>6.2036265615280854E-2</v>
      </c>
      <c r="C27" s="42">
        <f t="shared" ref="C27:K27" si="5">C9</f>
        <v>0.1465180543940868</v>
      </c>
      <c r="D27" s="107">
        <f t="shared" si="5"/>
        <v>0.51795492979549662</v>
      </c>
      <c r="E27" s="108">
        <f t="shared" si="5"/>
        <v>0.88671991368989134</v>
      </c>
      <c r="F27" s="108">
        <f t="shared" si="5"/>
        <v>0.84996791272671812</v>
      </c>
      <c r="G27" s="108">
        <f t="shared" si="5"/>
        <v>0.6816417645711762</v>
      </c>
      <c r="H27" s="108">
        <f t="shared" si="5"/>
        <v>0.70370520831484562</v>
      </c>
      <c r="I27" s="108">
        <f t="shared" si="5"/>
        <v>1.0000000000000002</v>
      </c>
      <c r="J27" s="108">
        <f t="shared" si="5"/>
        <v>0.64202094504860974</v>
      </c>
      <c r="K27" s="108">
        <f t="shared" si="5"/>
        <v>0.82000870971282414</v>
      </c>
      <c r="L27" s="108"/>
      <c r="M27" s="108"/>
      <c r="N27" s="108"/>
      <c r="O27" s="108"/>
      <c r="P27" s="108"/>
      <c r="Q27" s="108"/>
      <c r="R27" s="109"/>
    </row>
    <row r="28" spans="1:19">
      <c r="A28" s="41" t="s">
        <v>10</v>
      </c>
      <c r="B28" s="42">
        <f>Scenarios!C37</f>
        <v>1.488056303571629E-2</v>
      </c>
      <c r="C28" s="42">
        <f t="shared" ref="C28:K28" si="6">C10</f>
        <v>0.33576372020209261</v>
      </c>
      <c r="D28" s="107">
        <f t="shared" si="6"/>
        <v>0.2202608507840644</v>
      </c>
      <c r="E28" s="108">
        <f t="shared" si="6"/>
        <v>0.61760661631655156</v>
      </c>
      <c r="F28" s="108">
        <f t="shared" si="6"/>
        <v>0.63150622997795758</v>
      </c>
      <c r="G28" s="108">
        <f t="shared" si="6"/>
        <v>0.69656976952020244</v>
      </c>
      <c r="H28" s="108">
        <f t="shared" si="6"/>
        <v>0.62140003003210531</v>
      </c>
      <c r="I28" s="108">
        <f t="shared" si="6"/>
        <v>0.64202094504860974</v>
      </c>
      <c r="J28" s="108">
        <f t="shared" si="6"/>
        <v>1.0000000000000002</v>
      </c>
      <c r="K28" s="108">
        <f t="shared" si="6"/>
        <v>0.66415983265504108</v>
      </c>
      <c r="L28" s="108"/>
      <c r="M28" s="108"/>
      <c r="N28" s="108"/>
      <c r="O28" s="108"/>
      <c r="P28" s="108"/>
      <c r="Q28" s="108"/>
      <c r="R28" s="109"/>
    </row>
    <row r="29" spans="1:19">
      <c r="A29" s="41" t="s">
        <v>11</v>
      </c>
      <c r="B29" s="42">
        <f>Scenarios!C38</f>
        <v>1.0171029512307597E-3</v>
      </c>
      <c r="C29" s="42">
        <f t="shared" ref="C29:K29" si="7">C11</f>
        <v>0.19915957675666104</v>
      </c>
      <c r="D29" s="107">
        <f t="shared" si="7"/>
        <v>0.36266106503892553</v>
      </c>
      <c r="E29" s="108">
        <f t="shared" si="7"/>
        <v>0.8752768910119606</v>
      </c>
      <c r="F29" s="108">
        <f t="shared" si="7"/>
        <v>0.87979060194508063</v>
      </c>
      <c r="G29" s="108">
        <f t="shared" si="7"/>
        <v>0.88255889079225258</v>
      </c>
      <c r="H29" s="108">
        <f t="shared" si="7"/>
        <v>0.77427405839831998</v>
      </c>
      <c r="I29" s="108">
        <f t="shared" si="7"/>
        <v>0.82000870971282414</v>
      </c>
      <c r="J29" s="108">
        <f t="shared" si="7"/>
        <v>0.66415983265504108</v>
      </c>
      <c r="K29" s="108">
        <f t="shared" si="7"/>
        <v>1.0000000000000002</v>
      </c>
      <c r="L29" s="108"/>
      <c r="M29" s="108"/>
      <c r="N29" s="108"/>
      <c r="O29" s="108"/>
      <c r="P29" s="108"/>
      <c r="Q29" s="108"/>
      <c r="R29" s="109"/>
    </row>
    <row r="30" spans="1:19">
      <c r="A30" s="41"/>
      <c r="B30" s="42"/>
      <c r="C30" s="42"/>
      <c r="D30" s="107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9"/>
    </row>
    <row r="31" spans="1:19">
      <c r="A31" s="41"/>
      <c r="B31" s="42"/>
      <c r="C31" s="42"/>
      <c r="D31" s="107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9"/>
    </row>
    <row r="32" spans="1:19">
      <c r="A32" s="41"/>
      <c r="B32" s="42"/>
      <c r="C32" s="42"/>
      <c r="D32" s="107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9"/>
    </row>
    <row r="33" spans="1:19">
      <c r="A33" s="41"/>
      <c r="B33" s="42"/>
      <c r="C33" s="42"/>
      <c r="D33" s="107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9"/>
    </row>
    <row r="34" spans="1:19">
      <c r="A34" s="41"/>
      <c r="B34" s="42"/>
      <c r="C34" s="42"/>
      <c r="D34" s="107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9"/>
    </row>
    <row r="35" spans="1:19">
      <c r="A35" s="41"/>
      <c r="B35" s="42"/>
      <c r="C35" s="42"/>
      <c r="D35" s="107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9"/>
    </row>
    <row r="36" spans="1:19" ht="13.5" thickBot="1">
      <c r="A36" s="43"/>
      <c r="B36" s="44"/>
      <c r="C36" s="44"/>
      <c r="D36" s="110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2"/>
    </row>
    <row r="38" spans="1:19" ht="13.5" thickBot="1"/>
    <row r="39" spans="1:19" ht="13.5" thickBot="1">
      <c r="A39" s="45" t="str">
        <f>Scenarios!D30</f>
        <v>Base - muddle down</v>
      </c>
      <c r="B39" s="39" t="s">
        <v>1</v>
      </c>
      <c r="C39" s="40" t="s">
        <v>2</v>
      </c>
      <c r="D39" s="332" t="s">
        <v>3</v>
      </c>
      <c r="E39" s="333"/>
      <c r="F39" s="333"/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4"/>
    </row>
    <row r="40" spans="1:19">
      <c r="A40" s="41" t="s">
        <v>4</v>
      </c>
      <c r="B40" s="42">
        <f>Scenarios!D31</f>
        <v>-8.3588621306752015E-3</v>
      </c>
      <c r="C40" s="42">
        <f>C4</f>
        <v>4.3214826708651545E-2</v>
      </c>
      <c r="D40" s="107">
        <f t="shared" ref="D40:K40" si="8">D4</f>
        <v>1.0000000000000002</v>
      </c>
      <c r="E40" s="108">
        <f t="shared" si="8"/>
        <v>0.48758203889173096</v>
      </c>
      <c r="F40" s="108">
        <f t="shared" si="8"/>
        <v>0.43351903366758959</v>
      </c>
      <c r="G40" s="108">
        <f t="shared" si="8"/>
        <v>0.22240504783264323</v>
      </c>
      <c r="H40" s="108">
        <f t="shared" si="8"/>
        <v>0.2729543601339276</v>
      </c>
      <c r="I40" s="108">
        <f t="shared" si="8"/>
        <v>0.51795492979549662</v>
      </c>
      <c r="J40" s="108">
        <f t="shared" si="8"/>
        <v>0.22026085078406454</v>
      </c>
      <c r="K40" s="108">
        <f t="shared" si="8"/>
        <v>0.36266106503892548</v>
      </c>
      <c r="L40" s="108"/>
      <c r="M40" s="108"/>
      <c r="N40" s="108"/>
      <c r="O40" s="108"/>
      <c r="P40" s="108"/>
      <c r="Q40" s="108"/>
      <c r="R40" s="109"/>
      <c r="S40" s="226" t="s">
        <v>120</v>
      </c>
    </row>
    <row r="41" spans="1:19">
      <c r="A41" s="41" t="s">
        <v>5</v>
      </c>
      <c r="B41" s="42">
        <f>Scenarios!D32</f>
        <v>-0.11499037271336665</v>
      </c>
      <c r="C41" s="42">
        <f t="shared" ref="C41:K41" si="9">C5</f>
        <v>0.15823890359343337</v>
      </c>
      <c r="D41" s="107">
        <f t="shared" si="9"/>
        <v>0.48758203889173107</v>
      </c>
      <c r="E41" s="108">
        <f t="shared" si="9"/>
        <v>0.99999999999999978</v>
      </c>
      <c r="F41" s="108">
        <f t="shared" si="9"/>
        <v>0.90991930291292189</v>
      </c>
      <c r="G41" s="108">
        <f t="shared" si="9"/>
        <v>0.74890714708117023</v>
      </c>
      <c r="H41" s="108">
        <f t="shared" si="9"/>
        <v>0.74060441066122751</v>
      </c>
      <c r="I41" s="108">
        <f t="shared" si="9"/>
        <v>0.88671991368989134</v>
      </c>
      <c r="J41" s="108">
        <f t="shared" si="9"/>
        <v>0.61760661631655178</v>
      </c>
      <c r="K41" s="108">
        <f t="shared" si="9"/>
        <v>0.8752768910119606</v>
      </c>
      <c r="L41" s="108"/>
      <c r="M41" s="108"/>
      <c r="N41" s="108"/>
      <c r="O41" s="108"/>
      <c r="P41" s="108"/>
      <c r="Q41" s="108"/>
      <c r="R41" s="109"/>
    </row>
    <row r="42" spans="1:19">
      <c r="A42" s="41" t="s">
        <v>6</v>
      </c>
      <c r="B42" s="42">
        <f>Scenarios!D33</f>
        <v>-5.2376796385311453E-2</v>
      </c>
      <c r="C42" s="42">
        <f t="shared" ref="C42:K42" si="10">C6</f>
        <v>0.168148277471422</v>
      </c>
      <c r="D42" s="107">
        <f t="shared" si="10"/>
        <v>0.43351903366758976</v>
      </c>
      <c r="E42" s="108">
        <f t="shared" si="10"/>
        <v>0.90991930291292189</v>
      </c>
      <c r="F42" s="108">
        <f t="shared" si="10"/>
        <v>1</v>
      </c>
      <c r="G42" s="108">
        <f t="shared" si="10"/>
        <v>0.78689057691118713</v>
      </c>
      <c r="H42" s="108">
        <f t="shared" si="10"/>
        <v>0.81542413678900194</v>
      </c>
      <c r="I42" s="108">
        <f t="shared" si="10"/>
        <v>0.84996791272671834</v>
      </c>
      <c r="J42" s="108">
        <f t="shared" si="10"/>
        <v>0.63150622997795747</v>
      </c>
      <c r="K42" s="108">
        <f t="shared" si="10"/>
        <v>0.87979060194508074</v>
      </c>
      <c r="L42" s="108"/>
      <c r="M42" s="108"/>
      <c r="N42" s="108"/>
      <c r="O42" s="108"/>
      <c r="P42" s="108"/>
      <c r="Q42" s="108"/>
      <c r="R42" s="109"/>
    </row>
    <row r="43" spans="1:19">
      <c r="A43" s="41" t="s">
        <v>7</v>
      </c>
      <c r="B43" s="42">
        <f>Scenarios!D34</f>
        <v>-0.17392510433387029</v>
      </c>
      <c r="C43" s="42">
        <f t="shared" ref="C43:K43" si="11">C7</f>
        <v>0.29001927694608043</v>
      </c>
      <c r="D43" s="107">
        <f t="shared" si="11"/>
        <v>0.22240504783264309</v>
      </c>
      <c r="E43" s="108">
        <f t="shared" si="11"/>
        <v>0.74890714708117023</v>
      </c>
      <c r="F43" s="108">
        <f t="shared" si="11"/>
        <v>0.78689057691118725</v>
      </c>
      <c r="G43" s="108">
        <f t="shared" si="11"/>
        <v>1.0000000000000002</v>
      </c>
      <c r="H43" s="108">
        <f t="shared" si="11"/>
        <v>0.80043789752068695</v>
      </c>
      <c r="I43" s="108">
        <f t="shared" si="11"/>
        <v>0.6816417645711762</v>
      </c>
      <c r="J43" s="108">
        <f t="shared" si="11"/>
        <v>0.69656976952020244</v>
      </c>
      <c r="K43" s="108">
        <f t="shared" si="11"/>
        <v>0.8825588907922528</v>
      </c>
      <c r="L43" s="108"/>
      <c r="M43" s="108"/>
      <c r="N43" s="108"/>
      <c r="O43" s="108"/>
      <c r="P43" s="108"/>
      <c r="Q43" s="108"/>
      <c r="R43" s="109"/>
    </row>
    <row r="44" spans="1:19">
      <c r="A44" s="41" t="s">
        <v>8</v>
      </c>
      <c r="B44" s="42">
        <f>Scenarios!D35</f>
        <v>-3.7808219094456759E-2</v>
      </c>
      <c r="C44" s="42">
        <f t="shared" ref="C44:K44" si="12">C8</f>
        <v>0.29774487154665702</v>
      </c>
      <c r="D44" s="107">
        <f t="shared" si="12"/>
        <v>0.2729543601339276</v>
      </c>
      <c r="E44" s="108">
        <f t="shared" si="12"/>
        <v>0.7406044106612274</v>
      </c>
      <c r="F44" s="108">
        <f t="shared" si="12"/>
        <v>0.81542413678900183</v>
      </c>
      <c r="G44" s="108">
        <f t="shared" si="12"/>
        <v>0.80043789752068695</v>
      </c>
      <c r="H44" s="108">
        <f t="shared" si="12"/>
        <v>1</v>
      </c>
      <c r="I44" s="108">
        <f t="shared" si="12"/>
        <v>0.70370520831484562</v>
      </c>
      <c r="J44" s="108">
        <f t="shared" si="12"/>
        <v>0.62140003003210531</v>
      </c>
      <c r="K44" s="108">
        <f t="shared" si="12"/>
        <v>0.77427405839831998</v>
      </c>
      <c r="L44" s="108"/>
      <c r="M44" s="108"/>
      <c r="N44" s="108"/>
      <c r="O44" s="108"/>
      <c r="P44" s="108"/>
      <c r="Q44" s="108"/>
      <c r="R44" s="109"/>
    </row>
    <row r="45" spans="1:19">
      <c r="A45" s="41" t="s">
        <v>9</v>
      </c>
      <c r="B45" s="42">
        <f>Scenarios!D36</f>
        <v>-3.284707730570241E-2</v>
      </c>
      <c r="C45" s="42">
        <f t="shared" ref="C45:K45" si="13">C9</f>
        <v>0.1465180543940868</v>
      </c>
      <c r="D45" s="107">
        <f t="shared" si="13"/>
        <v>0.51795492979549662</v>
      </c>
      <c r="E45" s="108">
        <f t="shared" si="13"/>
        <v>0.88671991368989134</v>
      </c>
      <c r="F45" s="108">
        <f t="shared" si="13"/>
        <v>0.84996791272671812</v>
      </c>
      <c r="G45" s="108">
        <f t="shared" si="13"/>
        <v>0.6816417645711762</v>
      </c>
      <c r="H45" s="108">
        <f t="shared" si="13"/>
        <v>0.70370520831484562</v>
      </c>
      <c r="I45" s="108">
        <f t="shared" si="13"/>
        <v>1.0000000000000002</v>
      </c>
      <c r="J45" s="108">
        <f t="shared" si="13"/>
        <v>0.64202094504860974</v>
      </c>
      <c r="K45" s="108">
        <f t="shared" si="13"/>
        <v>0.82000870971282414</v>
      </c>
      <c r="L45" s="108"/>
      <c r="M45" s="108"/>
      <c r="N45" s="108"/>
      <c r="O45" s="108"/>
      <c r="P45" s="108"/>
      <c r="Q45" s="108"/>
      <c r="R45" s="109"/>
    </row>
    <row r="46" spans="1:19">
      <c r="A46" s="41" t="s">
        <v>10</v>
      </c>
      <c r="B46" s="42">
        <f>Scenarios!D37</f>
        <v>-6.8340905073244612E-2</v>
      </c>
      <c r="C46" s="42">
        <f t="shared" ref="C46:K46" si="14">C10</f>
        <v>0.33576372020209261</v>
      </c>
      <c r="D46" s="107">
        <f t="shared" si="14"/>
        <v>0.2202608507840644</v>
      </c>
      <c r="E46" s="108">
        <f t="shared" si="14"/>
        <v>0.61760661631655156</v>
      </c>
      <c r="F46" s="108">
        <f t="shared" si="14"/>
        <v>0.63150622997795758</v>
      </c>
      <c r="G46" s="108">
        <f t="shared" si="14"/>
        <v>0.69656976952020244</v>
      </c>
      <c r="H46" s="108">
        <f t="shared" si="14"/>
        <v>0.62140003003210531</v>
      </c>
      <c r="I46" s="108">
        <f t="shared" si="14"/>
        <v>0.64202094504860974</v>
      </c>
      <c r="J46" s="108">
        <f t="shared" si="14"/>
        <v>1.0000000000000002</v>
      </c>
      <c r="K46" s="108">
        <f t="shared" si="14"/>
        <v>0.66415983265504108</v>
      </c>
      <c r="L46" s="108"/>
      <c r="M46" s="108"/>
      <c r="N46" s="108"/>
      <c r="O46" s="108"/>
      <c r="P46" s="108"/>
      <c r="Q46" s="108"/>
      <c r="R46" s="109"/>
    </row>
    <row r="47" spans="1:19">
      <c r="A47" s="41" t="s">
        <v>11</v>
      </c>
      <c r="B47" s="42">
        <f>Scenarios!D38</f>
        <v>-0.14436089700803501</v>
      </c>
      <c r="C47" s="42">
        <f t="shared" ref="C47:K47" si="15">C11</f>
        <v>0.19915957675666104</v>
      </c>
      <c r="D47" s="107">
        <f t="shared" si="15"/>
        <v>0.36266106503892553</v>
      </c>
      <c r="E47" s="108">
        <f t="shared" si="15"/>
        <v>0.8752768910119606</v>
      </c>
      <c r="F47" s="108">
        <f t="shared" si="15"/>
        <v>0.87979060194508063</v>
      </c>
      <c r="G47" s="108">
        <f t="shared" si="15"/>
        <v>0.88255889079225258</v>
      </c>
      <c r="H47" s="108">
        <f t="shared" si="15"/>
        <v>0.77427405839831998</v>
      </c>
      <c r="I47" s="108">
        <f t="shared" si="15"/>
        <v>0.82000870971282414</v>
      </c>
      <c r="J47" s="108">
        <f t="shared" si="15"/>
        <v>0.66415983265504108</v>
      </c>
      <c r="K47" s="108">
        <f t="shared" si="15"/>
        <v>1.0000000000000002</v>
      </c>
      <c r="L47" s="108"/>
      <c r="M47" s="108"/>
      <c r="N47" s="108"/>
      <c r="O47" s="108"/>
      <c r="P47" s="108"/>
      <c r="Q47" s="108"/>
      <c r="R47" s="109"/>
    </row>
    <row r="48" spans="1:19">
      <c r="A48" s="41"/>
      <c r="B48" s="42"/>
      <c r="C48" s="42"/>
      <c r="D48" s="107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9"/>
    </row>
    <row r="49" spans="1:19">
      <c r="A49" s="41"/>
      <c r="B49" s="42"/>
      <c r="C49" s="42"/>
      <c r="D49" s="107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9"/>
    </row>
    <row r="50" spans="1:19">
      <c r="A50" s="41"/>
      <c r="B50" s="42"/>
      <c r="C50" s="42"/>
      <c r="D50" s="107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9"/>
    </row>
    <row r="51" spans="1:19">
      <c r="A51" s="41"/>
      <c r="B51" s="42"/>
      <c r="C51" s="42"/>
      <c r="D51" s="107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9"/>
    </row>
    <row r="52" spans="1:19">
      <c r="A52" s="41"/>
      <c r="B52" s="42"/>
      <c r="C52" s="42"/>
      <c r="D52" s="107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9"/>
    </row>
    <row r="53" spans="1:19">
      <c r="A53" s="41"/>
      <c r="B53" s="42"/>
      <c r="C53" s="42"/>
      <c r="D53" s="107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9"/>
    </row>
    <row r="54" spans="1:19" ht="13.5" thickBot="1">
      <c r="A54" s="43"/>
      <c r="B54" s="44"/>
      <c r="C54" s="44"/>
      <c r="D54" s="110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2"/>
    </row>
    <row r="56" spans="1:19" ht="13.5" thickBot="1"/>
    <row r="57" spans="1:19" ht="13.5" thickBot="1">
      <c r="A57" s="45" t="str">
        <f>Scenarios!E30</f>
        <v>Base - muddle up</v>
      </c>
      <c r="B57" s="39" t="s">
        <v>1</v>
      </c>
      <c r="C57" s="40" t="s">
        <v>2</v>
      </c>
      <c r="D57" s="332" t="s">
        <v>3</v>
      </c>
      <c r="E57" s="333"/>
      <c r="F57" s="333"/>
      <c r="G57" s="333"/>
      <c r="H57" s="333"/>
      <c r="I57" s="333"/>
      <c r="J57" s="333"/>
      <c r="K57" s="333"/>
      <c r="L57" s="333"/>
      <c r="M57" s="333"/>
      <c r="N57" s="333"/>
      <c r="O57" s="333"/>
      <c r="P57" s="333"/>
      <c r="Q57" s="333"/>
      <c r="R57" s="334"/>
    </row>
    <row r="58" spans="1:19">
      <c r="A58" s="41" t="s">
        <v>4</v>
      </c>
      <c r="B58" s="42">
        <f>Scenarios!E31</f>
        <v>1.4376558188383924E-3</v>
      </c>
      <c r="C58" s="42">
        <f t="shared" ref="C58:K58" si="16">C22</f>
        <v>4.3214826708651545E-2</v>
      </c>
      <c r="D58" s="107">
        <f t="shared" si="16"/>
        <v>1.0000000000000002</v>
      </c>
      <c r="E58" s="108">
        <f t="shared" si="16"/>
        <v>0.48758203889173096</v>
      </c>
      <c r="F58" s="108">
        <f t="shared" si="16"/>
        <v>0.43351903366758959</v>
      </c>
      <c r="G58" s="108">
        <f t="shared" si="16"/>
        <v>0.22240504783264323</v>
      </c>
      <c r="H58" s="108">
        <f t="shared" si="16"/>
        <v>0.2729543601339276</v>
      </c>
      <c r="I58" s="108">
        <f t="shared" si="16"/>
        <v>0.51795492979549662</v>
      </c>
      <c r="J58" s="108">
        <f t="shared" si="16"/>
        <v>0.22026085078406454</v>
      </c>
      <c r="K58" s="108">
        <f t="shared" si="16"/>
        <v>0.36266106503892548</v>
      </c>
      <c r="L58" s="108"/>
      <c r="M58" s="108"/>
      <c r="N58" s="108"/>
      <c r="O58" s="108"/>
      <c r="P58" s="108"/>
      <c r="Q58" s="108"/>
      <c r="R58" s="109"/>
      <c r="S58" s="226" t="s">
        <v>120</v>
      </c>
    </row>
    <row r="59" spans="1:19">
      <c r="A59" s="41" t="s">
        <v>5</v>
      </c>
      <c r="B59" s="42">
        <f>Scenarios!E32</f>
        <v>0.11551300949463331</v>
      </c>
      <c r="C59" s="42">
        <f t="shared" ref="C59:K59" si="17">C23</f>
        <v>0.15823890359343337</v>
      </c>
      <c r="D59" s="107">
        <f t="shared" si="17"/>
        <v>0.48758203889173107</v>
      </c>
      <c r="E59" s="108">
        <f t="shared" si="17"/>
        <v>0.99999999999999978</v>
      </c>
      <c r="F59" s="108">
        <f t="shared" si="17"/>
        <v>0.90991930291292189</v>
      </c>
      <c r="G59" s="108">
        <f t="shared" si="17"/>
        <v>0.74890714708117023</v>
      </c>
      <c r="H59" s="108">
        <f t="shared" si="17"/>
        <v>0.74060441066122751</v>
      </c>
      <c r="I59" s="108">
        <f t="shared" si="17"/>
        <v>0.88671991368989134</v>
      </c>
      <c r="J59" s="108">
        <f t="shared" si="17"/>
        <v>0.61760661631655178</v>
      </c>
      <c r="K59" s="108">
        <f t="shared" si="17"/>
        <v>0.8752768910119606</v>
      </c>
      <c r="L59" s="108"/>
      <c r="M59" s="108"/>
      <c r="N59" s="108"/>
      <c r="O59" s="108"/>
      <c r="P59" s="108"/>
      <c r="Q59" s="108"/>
      <c r="R59" s="109"/>
    </row>
    <row r="60" spans="1:19">
      <c r="A60" s="41" t="s">
        <v>6</v>
      </c>
      <c r="B60" s="42">
        <f>Scenarios!E33</f>
        <v>4.0241164278631184E-2</v>
      </c>
      <c r="C60" s="42">
        <f t="shared" ref="C60:K60" si="18">C24</f>
        <v>0.168148277471422</v>
      </c>
      <c r="D60" s="107">
        <f t="shared" si="18"/>
        <v>0.43351903366758976</v>
      </c>
      <c r="E60" s="108">
        <f t="shared" si="18"/>
        <v>0.90991930291292189</v>
      </c>
      <c r="F60" s="108">
        <f t="shared" si="18"/>
        <v>1</v>
      </c>
      <c r="G60" s="108">
        <f t="shared" si="18"/>
        <v>0.78689057691118713</v>
      </c>
      <c r="H60" s="108">
        <f t="shared" si="18"/>
        <v>0.81542413678900194</v>
      </c>
      <c r="I60" s="108">
        <f t="shared" si="18"/>
        <v>0.84996791272671834</v>
      </c>
      <c r="J60" s="108">
        <f t="shared" si="18"/>
        <v>0.63150622997795747</v>
      </c>
      <c r="K60" s="108">
        <f t="shared" si="18"/>
        <v>0.87979060194508074</v>
      </c>
      <c r="L60" s="108"/>
      <c r="M60" s="108"/>
      <c r="N60" s="108"/>
      <c r="O60" s="108"/>
      <c r="P60" s="108"/>
      <c r="Q60" s="108"/>
      <c r="R60" s="109"/>
    </row>
    <row r="61" spans="1:19">
      <c r="A61" s="41" t="s">
        <v>7</v>
      </c>
      <c r="B61" s="42">
        <f>Scenarios!E34</f>
        <v>0.10543931584949295</v>
      </c>
      <c r="C61" s="42">
        <f t="shared" ref="C61:K61" si="19">C25</f>
        <v>0.29001927694608043</v>
      </c>
      <c r="D61" s="107">
        <f t="shared" si="19"/>
        <v>0.22240504783264309</v>
      </c>
      <c r="E61" s="108">
        <f t="shared" si="19"/>
        <v>0.74890714708117023</v>
      </c>
      <c r="F61" s="108">
        <f t="shared" si="19"/>
        <v>0.78689057691118725</v>
      </c>
      <c r="G61" s="108">
        <f t="shared" si="19"/>
        <v>1.0000000000000002</v>
      </c>
      <c r="H61" s="108">
        <f t="shared" si="19"/>
        <v>0.80043789752068695</v>
      </c>
      <c r="I61" s="108">
        <f t="shared" si="19"/>
        <v>0.6816417645711762</v>
      </c>
      <c r="J61" s="108">
        <f t="shared" si="19"/>
        <v>0.69656976952020244</v>
      </c>
      <c r="K61" s="108">
        <f t="shared" si="19"/>
        <v>0.8825588907922528</v>
      </c>
      <c r="L61" s="108"/>
      <c r="M61" s="108"/>
      <c r="N61" s="108"/>
      <c r="O61" s="108"/>
      <c r="P61" s="108"/>
      <c r="Q61" s="108"/>
      <c r="R61" s="109"/>
    </row>
    <row r="62" spans="1:19">
      <c r="A62" s="41" t="s">
        <v>8</v>
      </c>
      <c r="B62" s="42">
        <f>Scenarios!E35</f>
        <v>0.15418580946951296</v>
      </c>
      <c r="C62" s="42">
        <f t="shared" ref="C62:K62" si="20">C26</f>
        <v>0.29774487154665702</v>
      </c>
      <c r="D62" s="107">
        <f t="shared" si="20"/>
        <v>0.2729543601339276</v>
      </c>
      <c r="E62" s="108">
        <f t="shared" si="20"/>
        <v>0.7406044106612274</v>
      </c>
      <c r="F62" s="108">
        <f t="shared" si="20"/>
        <v>0.81542413678900183</v>
      </c>
      <c r="G62" s="108">
        <f t="shared" si="20"/>
        <v>0.80043789752068695</v>
      </c>
      <c r="H62" s="108">
        <f t="shared" si="20"/>
        <v>1</v>
      </c>
      <c r="I62" s="108">
        <f t="shared" si="20"/>
        <v>0.70370520831484562</v>
      </c>
      <c r="J62" s="108">
        <f t="shared" si="20"/>
        <v>0.62140003003210531</v>
      </c>
      <c r="K62" s="108">
        <f t="shared" si="20"/>
        <v>0.77427405839831998</v>
      </c>
      <c r="L62" s="108"/>
      <c r="M62" s="108"/>
      <c r="N62" s="108"/>
      <c r="O62" s="108"/>
      <c r="P62" s="108"/>
      <c r="Q62" s="108"/>
      <c r="R62" s="109"/>
    </row>
    <row r="63" spans="1:19">
      <c r="A63" s="41" t="s">
        <v>9</v>
      </c>
      <c r="B63" s="42">
        <f>Scenarios!E36</f>
        <v>0.10991050604096422</v>
      </c>
      <c r="C63" s="42">
        <f t="shared" ref="C63:K63" si="21">C27</f>
        <v>0.1465180543940868</v>
      </c>
      <c r="D63" s="107">
        <f t="shared" si="21"/>
        <v>0.51795492979549662</v>
      </c>
      <c r="E63" s="108">
        <f t="shared" si="21"/>
        <v>0.88671991368989134</v>
      </c>
      <c r="F63" s="108">
        <f t="shared" si="21"/>
        <v>0.84996791272671812</v>
      </c>
      <c r="G63" s="108">
        <f t="shared" si="21"/>
        <v>0.6816417645711762</v>
      </c>
      <c r="H63" s="108">
        <f t="shared" si="21"/>
        <v>0.70370520831484562</v>
      </c>
      <c r="I63" s="108">
        <f t="shared" si="21"/>
        <v>1.0000000000000002</v>
      </c>
      <c r="J63" s="108">
        <f t="shared" si="21"/>
        <v>0.64202094504860974</v>
      </c>
      <c r="K63" s="108">
        <f t="shared" si="21"/>
        <v>0.82000870971282414</v>
      </c>
      <c r="L63" s="108"/>
      <c r="M63" s="108"/>
      <c r="N63" s="108"/>
      <c r="O63" s="108"/>
      <c r="P63" s="108"/>
      <c r="Q63" s="108"/>
      <c r="R63" s="109"/>
    </row>
    <row r="64" spans="1:19">
      <c r="A64" s="41" t="s">
        <v>10</v>
      </c>
      <c r="B64" s="42">
        <f>Scenarios!E37</f>
        <v>5.3991297090196705E-2</v>
      </c>
      <c r="C64" s="42">
        <f t="shared" ref="C64:K64" si="22">C28</f>
        <v>0.33576372020209261</v>
      </c>
      <c r="D64" s="107">
        <f t="shared" si="22"/>
        <v>0.2202608507840644</v>
      </c>
      <c r="E64" s="108">
        <f t="shared" si="22"/>
        <v>0.61760661631655156</v>
      </c>
      <c r="F64" s="108">
        <f t="shared" si="22"/>
        <v>0.63150622997795758</v>
      </c>
      <c r="G64" s="108">
        <f t="shared" si="22"/>
        <v>0.69656976952020244</v>
      </c>
      <c r="H64" s="108">
        <f t="shared" si="22"/>
        <v>0.62140003003210531</v>
      </c>
      <c r="I64" s="108">
        <f t="shared" si="22"/>
        <v>0.64202094504860974</v>
      </c>
      <c r="J64" s="108">
        <f t="shared" si="22"/>
        <v>1.0000000000000002</v>
      </c>
      <c r="K64" s="108">
        <f t="shared" si="22"/>
        <v>0.66415983265504108</v>
      </c>
      <c r="L64" s="108"/>
      <c r="M64" s="108"/>
      <c r="N64" s="108"/>
      <c r="O64" s="108"/>
      <c r="P64" s="108"/>
      <c r="Q64" s="108"/>
      <c r="R64" s="109"/>
    </row>
    <row r="65" spans="1:19">
      <c r="A65" s="41" t="s">
        <v>11</v>
      </c>
      <c r="B65" s="42">
        <f>Scenarios!E38</f>
        <v>6.7667954145598314E-2</v>
      </c>
      <c r="C65" s="42">
        <f t="shared" ref="C65:K65" si="23">C29</f>
        <v>0.19915957675666104</v>
      </c>
      <c r="D65" s="107">
        <f t="shared" si="23"/>
        <v>0.36266106503892553</v>
      </c>
      <c r="E65" s="108">
        <f t="shared" si="23"/>
        <v>0.8752768910119606</v>
      </c>
      <c r="F65" s="108">
        <f t="shared" si="23"/>
        <v>0.87979060194508063</v>
      </c>
      <c r="G65" s="108">
        <f t="shared" si="23"/>
        <v>0.88255889079225258</v>
      </c>
      <c r="H65" s="108">
        <f t="shared" si="23"/>
        <v>0.77427405839831998</v>
      </c>
      <c r="I65" s="108">
        <f t="shared" si="23"/>
        <v>0.82000870971282414</v>
      </c>
      <c r="J65" s="108">
        <f t="shared" si="23"/>
        <v>0.66415983265504108</v>
      </c>
      <c r="K65" s="108">
        <f t="shared" si="23"/>
        <v>1.0000000000000002</v>
      </c>
      <c r="L65" s="108"/>
      <c r="M65" s="108"/>
      <c r="N65" s="108"/>
      <c r="O65" s="108"/>
      <c r="P65" s="108"/>
      <c r="Q65" s="108"/>
      <c r="R65" s="109"/>
    </row>
    <row r="66" spans="1:19">
      <c r="A66" s="41"/>
      <c r="B66" s="42"/>
      <c r="C66" s="42"/>
      <c r="D66" s="107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9"/>
    </row>
    <row r="67" spans="1:19">
      <c r="A67" s="41"/>
      <c r="B67" s="42"/>
      <c r="C67" s="42"/>
      <c r="D67" s="107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9"/>
    </row>
    <row r="68" spans="1:19">
      <c r="A68" s="41"/>
      <c r="B68" s="42"/>
      <c r="C68" s="42"/>
      <c r="D68" s="107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9"/>
    </row>
    <row r="69" spans="1:19">
      <c r="A69" s="41"/>
      <c r="B69" s="42"/>
      <c r="C69" s="42"/>
      <c r="D69" s="107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9"/>
    </row>
    <row r="70" spans="1:19">
      <c r="A70" s="41"/>
      <c r="B70" s="42"/>
      <c r="C70" s="42"/>
      <c r="D70" s="107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9"/>
    </row>
    <row r="71" spans="1:19">
      <c r="A71" s="41"/>
      <c r="B71" s="42"/>
      <c r="C71" s="42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9"/>
    </row>
    <row r="72" spans="1:19" ht="13.5" thickBot="1">
      <c r="A72" s="43"/>
      <c r="B72" s="44"/>
      <c r="C72" s="44"/>
      <c r="D72" s="110"/>
      <c r="E72" s="111"/>
      <c r="F72" s="111"/>
      <c r="G72" s="111"/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2"/>
    </row>
    <row r="74" spans="1:19" ht="13.5" thickBot="1"/>
    <row r="75" spans="1:19" ht="13.5" thickBot="1">
      <c r="A75" s="45" t="str">
        <f>Scenarios!F30</f>
        <v>Bear case</v>
      </c>
      <c r="B75" s="39" t="s">
        <v>1</v>
      </c>
      <c r="C75" s="221" t="s">
        <v>2</v>
      </c>
      <c r="D75" s="332" t="s">
        <v>3</v>
      </c>
      <c r="E75" s="333"/>
      <c r="F75" s="333"/>
      <c r="G75" s="333"/>
      <c r="H75" s="333"/>
      <c r="I75" s="333"/>
      <c r="J75" s="333"/>
      <c r="K75" s="333"/>
      <c r="L75" s="333"/>
      <c r="M75" s="333"/>
      <c r="N75" s="333"/>
      <c r="O75" s="333"/>
      <c r="P75" s="333"/>
      <c r="Q75" s="333"/>
      <c r="R75" s="334"/>
    </row>
    <row r="76" spans="1:19">
      <c r="A76" s="41" t="s">
        <v>4</v>
      </c>
      <c r="B76" s="42">
        <f>Scenarios!F31</f>
        <v>-2.0604509567567153E-2</v>
      </c>
      <c r="C76" s="42">
        <v>6.2230972955435157E-2</v>
      </c>
      <c r="D76" s="107">
        <v>1</v>
      </c>
      <c r="E76" s="108">
        <v>0.47102969549764873</v>
      </c>
      <c r="F76" s="108">
        <v>0.44102598120003672</v>
      </c>
      <c r="G76" s="108">
        <v>0.1916139221868596</v>
      </c>
      <c r="H76" s="108">
        <v>0.24756676138433611</v>
      </c>
      <c r="I76" s="108">
        <v>0.1747091736012199</v>
      </c>
      <c r="J76" s="108">
        <v>0.43690863222333309</v>
      </c>
      <c r="K76" s="108">
        <v>0.33880552794512614</v>
      </c>
      <c r="L76" s="108"/>
      <c r="M76" s="108"/>
      <c r="N76" s="108"/>
      <c r="O76" s="108"/>
      <c r="P76" s="108"/>
      <c r="Q76" s="108"/>
      <c r="R76" s="109"/>
      <c r="S76" s="36" t="s">
        <v>125</v>
      </c>
    </row>
    <row r="77" spans="1:19">
      <c r="A77" s="41" t="s">
        <v>5</v>
      </c>
      <c r="B77" s="42">
        <f>Scenarios!F32</f>
        <v>-0.38295246775336667</v>
      </c>
      <c r="C77" s="42">
        <v>0.22813368702469963</v>
      </c>
      <c r="D77" s="107">
        <v>0.47102969549764873</v>
      </c>
      <c r="E77" s="108">
        <v>1.0000000000000002</v>
      </c>
      <c r="F77" s="108">
        <v>0.93822360415104178</v>
      </c>
      <c r="G77" s="108">
        <v>0.75326025420376108</v>
      </c>
      <c r="H77" s="108">
        <v>0.73352486795767102</v>
      </c>
      <c r="I77" s="108">
        <v>0.63359529390296199</v>
      </c>
      <c r="J77" s="108">
        <v>0.87098619109423425</v>
      </c>
      <c r="K77" s="108">
        <v>0.87135999187444568</v>
      </c>
      <c r="L77" s="108"/>
      <c r="M77" s="108"/>
      <c r="N77" s="108"/>
      <c r="O77" s="108"/>
      <c r="P77" s="108"/>
      <c r="Q77" s="108"/>
      <c r="R77" s="109"/>
    </row>
    <row r="78" spans="1:19">
      <c r="A78" s="41" t="s">
        <v>6</v>
      </c>
      <c r="B78" s="42">
        <f>Scenarios!F33</f>
        <v>-0.39829027497479152</v>
      </c>
      <c r="C78" s="42">
        <v>0.23612462727275424</v>
      </c>
      <c r="D78" s="107">
        <v>0.44102598120003672</v>
      </c>
      <c r="E78" s="108">
        <v>0.93822360415104189</v>
      </c>
      <c r="F78" s="108">
        <v>1.0000000000000002</v>
      </c>
      <c r="G78" s="108">
        <v>0.79963015318153241</v>
      </c>
      <c r="H78" s="108">
        <v>0.78704984484445428</v>
      </c>
      <c r="I78" s="108">
        <v>0.6705837763066671</v>
      </c>
      <c r="J78" s="108">
        <v>0.87302411710056305</v>
      </c>
      <c r="K78" s="108">
        <v>0.89106747178031864</v>
      </c>
      <c r="L78" s="108"/>
      <c r="M78" s="108"/>
      <c r="N78" s="108"/>
      <c r="O78" s="108"/>
      <c r="P78" s="108"/>
      <c r="Q78" s="108"/>
      <c r="R78" s="109"/>
    </row>
    <row r="79" spans="1:19">
      <c r="A79" s="41" t="s">
        <v>7</v>
      </c>
      <c r="B79" s="42">
        <f>Scenarios!F34</f>
        <v>-0.54196526383339005</v>
      </c>
      <c r="C79" s="42">
        <v>0.41877013863949536</v>
      </c>
      <c r="D79" s="107">
        <v>0.19161392218685974</v>
      </c>
      <c r="E79" s="108">
        <v>0.75326025420376086</v>
      </c>
      <c r="F79" s="108">
        <v>0.79963015318153241</v>
      </c>
      <c r="G79" s="108">
        <v>1</v>
      </c>
      <c r="H79" s="108">
        <v>0.80812183743359234</v>
      </c>
      <c r="I79" s="108">
        <v>0.70238919189824067</v>
      </c>
      <c r="J79" s="108">
        <v>0.80604385760605091</v>
      </c>
      <c r="K79" s="108">
        <v>0.88086813992686197</v>
      </c>
      <c r="L79" s="108"/>
      <c r="M79" s="108"/>
      <c r="N79" s="108"/>
      <c r="O79" s="108"/>
      <c r="P79" s="108"/>
      <c r="Q79" s="108"/>
      <c r="R79" s="109"/>
    </row>
    <row r="80" spans="1:19">
      <c r="A80" s="41" t="s">
        <v>8</v>
      </c>
      <c r="B80" s="42">
        <f>Scenarios!F35</f>
        <v>-0.35751975156032917</v>
      </c>
      <c r="C80" s="42">
        <v>0.43715930361035565</v>
      </c>
      <c r="D80" s="107">
        <v>0.24756676138433592</v>
      </c>
      <c r="E80" s="108">
        <v>0.73352486795767102</v>
      </c>
      <c r="F80" s="108">
        <v>0.78704984484445417</v>
      </c>
      <c r="G80" s="108">
        <v>0.80812183743359234</v>
      </c>
      <c r="H80" s="108">
        <v>1</v>
      </c>
      <c r="I80" s="108">
        <v>0.6227307997578343</v>
      </c>
      <c r="J80" s="108">
        <v>0.64969582874157039</v>
      </c>
      <c r="K80" s="108">
        <v>0.77520880186806285</v>
      </c>
      <c r="L80" s="108"/>
      <c r="M80" s="108"/>
      <c r="N80" s="108"/>
      <c r="O80" s="108"/>
      <c r="P80" s="108"/>
      <c r="Q80" s="108"/>
      <c r="R80" s="109"/>
    </row>
    <row r="81" spans="1:20">
      <c r="A81" s="41" t="s">
        <v>9</v>
      </c>
      <c r="B81" s="42">
        <f>Scenarios!F36</f>
        <v>-0.527954509512369</v>
      </c>
      <c r="C81" s="42">
        <v>0.49612218939856001</v>
      </c>
      <c r="D81" s="107">
        <v>0.17470917360121993</v>
      </c>
      <c r="E81" s="108">
        <v>0.63359529390296199</v>
      </c>
      <c r="F81" s="108">
        <v>0.67058377630666699</v>
      </c>
      <c r="G81" s="108">
        <v>0.70238919189824078</v>
      </c>
      <c r="H81" s="108">
        <v>0.6227307997578343</v>
      </c>
      <c r="I81" s="108">
        <v>0.99999999999999989</v>
      </c>
      <c r="J81" s="108">
        <v>0.64379087144854052</v>
      </c>
      <c r="K81" s="108">
        <v>0.65952840986787564</v>
      </c>
      <c r="L81" s="108"/>
      <c r="M81" s="108"/>
      <c r="N81" s="108"/>
      <c r="O81" s="108"/>
      <c r="P81" s="108"/>
      <c r="Q81" s="108"/>
      <c r="R81" s="109"/>
    </row>
    <row r="82" spans="1:20">
      <c r="A82" s="41" t="s">
        <v>10</v>
      </c>
      <c r="B82" s="42">
        <f>Scenarios!F37</f>
        <v>-0.22728232022069594</v>
      </c>
      <c r="C82" s="42">
        <v>0.22513334484340575</v>
      </c>
      <c r="D82" s="107">
        <v>0.43690863222333315</v>
      </c>
      <c r="E82" s="108">
        <v>0.87098619109423403</v>
      </c>
      <c r="F82" s="108">
        <v>0.87302411710056305</v>
      </c>
      <c r="G82" s="108">
        <v>0.80604385760605068</v>
      </c>
      <c r="H82" s="108">
        <v>0.6496958287415705</v>
      </c>
      <c r="I82" s="108">
        <v>0.64379087144854041</v>
      </c>
      <c r="J82" s="108">
        <v>1.0000000000000002</v>
      </c>
      <c r="K82" s="108">
        <v>0.86491136423250092</v>
      </c>
      <c r="L82" s="108"/>
      <c r="M82" s="108"/>
      <c r="N82" s="108"/>
      <c r="O82" s="108"/>
      <c r="P82" s="108"/>
      <c r="Q82" s="108"/>
      <c r="R82" s="109"/>
    </row>
    <row r="83" spans="1:20">
      <c r="A83" s="41" t="s">
        <v>11</v>
      </c>
      <c r="B83" s="42">
        <f>Scenarios!F38</f>
        <v>-0.42122995880386094</v>
      </c>
      <c r="C83" s="42">
        <v>0.28443486592153544</v>
      </c>
      <c r="D83" s="107">
        <v>0.33880552794512614</v>
      </c>
      <c r="E83" s="108">
        <v>0.87135999187444568</v>
      </c>
      <c r="F83" s="108">
        <v>0.89106747178031853</v>
      </c>
      <c r="G83" s="108">
        <v>0.88086813992686197</v>
      </c>
      <c r="H83" s="108">
        <v>0.77520880186806285</v>
      </c>
      <c r="I83" s="108">
        <v>0.65952840986787553</v>
      </c>
      <c r="J83" s="108">
        <v>0.86491136423250081</v>
      </c>
      <c r="K83" s="108">
        <v>1</v>
      </c>
      <c r="L83" s="108"/>
      <c r="M83" s="108"/>
      <c r="N83" s="108"/>
      <c r="O83" s="108"/>
      <c r="P83" s="108"/>
      <c r="Q83" s="108"/>
      <c r="R83" s="109"/>
    </row>
    <row r="84" spans="1:20">
      <c r="A84" s="41"/>
      <c r="B84" s="42"/>
      <c r="C84" s="42"/>
      <c r="D84" s="107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9"/>
    </row>
    <row r="85" spans="1:20">
      <c r="A85" s="41"/>
      <c r="B85" s="42"/>
      <c r="C85" s="42"/>
      <c r="D85" s="107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9"/>
    </row>
    <row r="86" spans="1:20">
      <c r="A86" s="41"/>
      <c r="B86" s="42"/>
      <c r="C86" s="42"/>
      <c r="D86" s="107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9"/>
    </row>
    <row r="87" spans="1:20">
      <c r="A87" s="41"/>
      <c r="B87" s="42"/>
      <c r="C87" s="42"/>
      <c r="D87" s="107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9"/>
    </row>
    <row r="88" spans="1:20">
      <c r="A88" s="41"/>
      <c r="B88" s="42"/>
      <c r="C88" s="42"/>
      <c r="D88" s="107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9"/>
    </row>
    <row r="89" spans="1:20">
      <c r="A89" s="41"/>
      <c r="B89" s="42"/>
      <c r="C89" s="42"/>
      <c r="D89" s="107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9"/>
    </row>
    <row r="90" spans="1:20" ht="13.5" thickBot="1">
      <c r="A90" s="43"/>
      <c r="B90" s="44"/>
      <c r="C90" s="44"/>
      <c r="D90" s="110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  <c r="P90" s="111"/>
      <c r="Q90" s="111"/>
      <c r="R90" s="112"/>
    </row>
    <row r="91" spans="1:20">
      <c r="A91" s="203"/>
      <c r="B91" s="204"/>
      <c r="C91" s="205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</row>
    <row r="92" spans="1:20" ht="13.5" thickBot="1"/>
    <row r="93" spans="1:20" ht="13.5" thickBot="1">
      <c r="A93" s="45" t="str">
        <f>Scenarios!G30</f>
        <v>Tail risk</v>
      </c>
      <c r="B93" s="39" t="s">
        <v>1</v>
      </c>
      <c r="C93" s="200" t="s">
        <v>2</v>
      </c>
      <c r="D93" s="332" t="s">
        <v>3</v>
      </c>
      <c r="E93" s="333"/>
      <c r="F93" s="333"/>
      <c r="G93" s="333"/>
      <c r="H93" s="333"/>
      <c r="I93" s="333"/>
      <c r="J93" s="333"/>
      <c r="K93" s="333"/>
      <c r="L93" s="333"/>
      <c r="M93" s="333"/>
      <c r="N93" s="333"/>
      <c r="O93" s="333"/>
      <c r="P93" s="333"/>
      <c r="Q93" s="333"/>
      <c r="R93" s="334"/>
      <c r="T93" s="74"/>
    </row>
    <row r="94" spans="1:20">
      <c r="A94" s="41" t="s">
        <v>4</v>
      </c>
      <c r="B94" s="42">
        <f>Scenarios!G31</f>
        <v>-0.27327160808286638</v>
      </c>
      <c r="C94" s="42">
        <v>9.0618112702252188E-2</v>
      </c>
      <c r="D94" s="107">
        <v>1</v>
      </c>
      <c r="E94" s="108">
        <v>0.57085300818064821</v>
      </c>
      <c r="F94" s="108">
        <v>0.51590317152054344</v>
      </c>
      <c r="G94" s="108">
        <v>0.22543235061374906</v>
      </c>
      <c r="H94" s="108">
        <v>0.30482733339870521</v>
      </c>
      <c r="I94" s="108">
        <v>0.1877131252242237</v>
      </c>
      <c r="J94" s="108">
        <v>0.56475392912687616</v>
      </c>
      <c r="K94" s="108">
        <v>0.42620353457974319</v>
      </c>
      <c r="L94" s="108"/>
      <c r="M94" s="108"/>
      <c r="N94" s="108"/>
      <c r="O94" s="108"/>
      <c r="P94" s="108"/>
      <c r="Q94" s="108"/>
      <c r="R94" s="109"/>
      <c r="S94" s="36" t="s">
        <v>121</v>
      </c>
      <c r="T94" s="74"/>
    </row>
    <row r="95" spans="1:20">
      <c r="A95" s="41" t="s">
        <v>5</v>
      </c>
      <c r="B95" s="42">
        <f>Scenarios!G32</f>
        <v>-0.30559149395336677</v>
      </c>
      <c r="C95" s="42">
        <v>0.31486528648887419</v>
      </c>
      <c r="D95" s="107">
        <v>0.57085300818064832</v>
      </c>
      <c r="E95" s="108">
        <v>0.99999999999999978</v>
      </c>
      <c r="F95" s="108">
        <v>0.92670220027648009</v>
      </c>
      <c r="G95" s="108">
        <v>0.70556983049672706</v>
      </c>
      <c r="H95" s="108">
        <v>0.73729250351193587</v>
      </c>
      <c r="I95" s="108">
        <v>0.60792613623167058</v>
      </c>
      <c r="J95" s="108">
        <v>0.86315016289079405</v>
      </c>
      <c r="K95" s="108">
        <v>0.86742743262167787</v>
      </c>
      <c r="L95" s="108"/>
      <c r="M95" s="108"/>
      <c r="N95" s="108"/>
      <c r="O95" s="108"/>
      <c r="P95" s="108"/>
      <c r="Q95" s="108"/>
      <c r="R95" s="109"/>
      <c r="T95" s="74"/>
    </row>
    <row r="96" spans="1:20">
      <c r="A96" s="41" t="s">
        <v>6</v>
      </c>
      <c r="B96" s="42">
        <f>Scenarios!G33</f>
        <v>-0.17958808739362325</v>
      </c>
      <c r="C96" s="42">
        <v>0.33563157880530137</v>
      </c>
      <c r="D96" s="107">
        <v>0.51590317152054366</v>
      </c>
      <c r="E96" s="108">
        <v>0.92670220027648009</v>
      </c>
      <c r="F96" s="108">
        <v>0.99999999999999989</v>
      </c>
      <c r="G96" s="108">
        <v>0.77735373318815371</v>
      </c>
      <c r="H96" s="108">
        <v>0.80713427036091268</v>
      </c>
      <c r="I96" s="108">
        <v>0.67030879727576365</v>
      </c>
      <c r="J96" s="108">
        <v>0.8684724670306897</v>
      </c>
      <c r="K96" s="108">
        <v>0.8890877543808684</v>
      </c>
      <c r="L96" s="108"/>
      <c r="M96" s="108"/>
      <c r="N96" s="108"/>
      <c r="O96" s="108"/>
      <c r="P96" s="108"/>
      <c r="Q96" s="108"/>
      <c r="R96" s="109"/>
      <c r="T96" s="74"/>
    </row>
    <row r="97" spans="1:20">
      <c r="A97" s="41" t="s">
        <v>7</v>
      </c>
      <c r="B97" s="42">
        <f>Scenarios!G34</f>
        <v>-0.44602715761849837</v>
      </c>
      <c r="C97" s="42">
        <v>0.58057822101166678</v>
      </c>
      <c r="D97" s="107">
        <v>0.22543235061374906</v>
      </c>
      <c r="E97" s="108">
        <v>0.70556983049672706</v>
      </c>
      <c r="F97" s="108">
        <v>0.77735373318815371</v>
      </c>
      <c r="G97" s="108">
        <v>1.0000000000000002</v>
      </c>
      <c r="H97" s="108">
        <v>0.82379140885718805</v>
      </c>
      <c r="I97" s="108">
        <v>0.71491859487248288</v>
      </c>
      <c r="J97" s="108">
        <v>0.7945256498620229</v>
      </c>
      <c r="K97" s="108">
        <v>0.86375669090984664</v>
      </c>
      <c r="L97" s="108"/>
      <c r="M97" s="108"/>
      <c r="N97" s="108"/>
      <c r="O97" s="108"/>
      <c r="P97" s="108"/>
      <c r="Q97" s="108"/>
      <c r="R97" s="109"/>
      <c r="T97" s="74"/>
    </row>
    <row r="98" spans="1:20">
      <c r="A98" s="41" t="s">
        <v>8</v>
      </c>
      <c r="B98" s="42">
        <f>Scenarios!G35</f>
        <v>-0.22994700662162446</v>
      </c>
      <c r="C98" s="42">
        <v>0.63397873832777574</v>
      </c>
      <c r="D98" s="107">
        <v>0.30482733339870499</v>
      </c>
      <c r="E98" s="108">
        <v>0.73729250351193587</v>
      </c>
      <c r="F98" s="108">
        <v>0.80713427036091279</v>
      </c>
      <c r="G98" s="108">
        <v>0.82379140885718805</v>
      </c>
      <c r="H98" s="108">
        <v>1</v>
      </c>
      <c r="I98" s="108">
        <v>0.66043271027173578</v>
      </c>
      <c r="J98" s="108">
        <v>0.67907866736685552</v>
      </c>
      <c r="K98" s="108">
        <v>0.79157487896608858</v>
      </c>
      <c r="L98" s="108"/>
      <c r="M98" s="108"/>
      <c r="N98" s="108"/>
      <c r="O98" s="108"/>
      <c r="P98" s="108"/>
      <c r="Q98" s="108"/>
      <c r="R98" s="109"/>
      <c r="T98" s="74"/>
    </row>
    <row r="99" spans="1:20">
      <c r="A99" s="41" t="s">
        <v>9</v>
      </c>
      <c r="B99" s="42">
        <f>Scenarios!G36</f>
        <v>-0.56384711463070247</v>
      </c>
      <c r="C99" s="42">
        <v>0.67038386164030728</v>
      </c>
      <c r="D99" s="107">
        <v>0.18771312522422376</v>
      </c>
      <c r="E99" s="108">
        <v>0.60792613623167069</v>
      </c>
      <c r="F99" s="108">
        <v>0.67030879727576365</v>
      </c>
      <c r="G99" s="108">
        <v>0.71491859487248288</v>
      </c>
      <c r="H99" s="108">
        <v>0.66043271027173578</v>
      </c>
      <c r="I99" s="108">
        <v>1.0000000000000002</v>
      </c>
      <c r="J99" s="108">
        <v>0.64225367758188689</v>
      </c>
      <c r="K99" s="108">
        <v>0.67366535141540462</v>
      </c>
      <c r="L99" s="108"/>
      <c r="M99" s="108"/>
      <c r="N99" s="108"/>
      <c r="O99" s="108"/>
      <c r="P99" s="108"/>
      <c r="Q99" s="108"/>
      <c r="R99" s="109"/>
      <c r="T99" s="74"/>
    </row>
    <row r="100" spans="1:20">
      <c r="A100" s="41" t="s">
        <v>10</v>
      </c>
      <c r="B100" s="42">
        <f>Scenarios!G37</f>
        <v>-3.8464301156549618E-3</v>
      </c>
      <c r="C100" s="42">
        <v>0.29165630729321568</v>
      </c>
      <c r="D100" s="107">
        <v>0.56475392912687616</v>
      </c>
      <c r="E100" s="108">
        <v>0.86315016289079405</v>
      </c>
      <c r="F100" s="108">
        <v>0.86847246703068981</v>
      </c>
      <c r="G100" s="108">
        <v>0.7945256498620229</v>
      </c>
      <c r="H100" s="108">
        <v>0.67907866736685563</v>
      </c>
      <c r="I100" s="108">
        <v>0.64225367758188689</v>
      </c>
      <c r="J100" s="108">
        <v>1</v>
      </c>
      <c r="K100" s="108">
        <v>0.89194847086880591</v>
      </c>
      <c r="L100" s="108"/>
      <c r="M100" s="108"/>
      <c r="N100" s="108"/>
      <c r="O100" s="108"/>
      <c r="P100" s="108"/>
      <c r="Q100" s="108"/>
      <c r="R100" s="109"/>
      <c r="T100" s="74"/>
    </row>
    <row r="101" spans="1:20">
      <c r="A101" s="41" t="s">
        <v>11</v>
      </c>
      <c r="B101" s="42">
        <f>+Scenarios!G38</f>
        <v>-0.47665217132586252</v>
      </c>
      <c r="C101" s="42">
        <v>0.38188039832723164</v>
      </c>
      <c r="D101" s="107">
        <v>0.4262035345797428</v>
      </c>
      <c r="E101" s="108">
        <v>0.86742743262167776</v>
      </c>
      <c r="F101" s="108">
        <v>0.8890877543808684</v>
      </c>
      <c r="G101" s="108">
        <v>0.86375669090984664</v>
      </c>
      <c r="H101" s="108">
        <v>0.79157487896608847</v>
      </c>
      <c r="I101" s="108">
        <v>0.67366535141540462</v>
      </c>
      <c r="J101" s="108">
        <v>0.89194847086880591</v>
      </c>
      <c r="K101" s="108">
        <v>1</v>
      </c>
      <c r="L101" s="108"/>
      <c r="M101" s="108"/>
      <c r="N101" s="108"/>
      <c r="O101" s="108"/>
      <c r="P101" s="108"/>
      <c r="Q101" s="108"/>
      <c r="R101" s="109"/>
    </row>
    <row r="102" spans="1:20">
      <c r="A102" s="41"/>
      <c r="B102" s="42"/>
      <c r="C102" s="42"/>
      <c r="D102" s="107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9"/>
    </row>
    <row r="103" spans="1:20">
      <c r="A103" s="41"/>
      <c r="B103" s="42"/>
      <c r="C103" s="42"/>
      <c r="D103" s="107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9"/>
    </row>
    <row r="104" spans="1:20">
      <c r="A104" s="41"/>
      <c r="B104" s="42"/>
      <c r="C104" s="42"/>
      <c r="D104" s="107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9"/>
    </row>
    <row r="105" spans="1:20">
      <c r="A105" s="41"/>
      <c r="B105" s="42"/>
      <c r="C105" s="42"/>
      <c r="D105" s="107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9"/>
    </row>
    <row r="106" spans="1:20">
      <c r="A106" s="41"/>
      <c r="B106" s="42"/>
      <c r="C106" s="42"/>
      <c r="D106" s="107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9"/>
    </row>
    <row r="107" spans="1:20">
      <c r="A107" s="41"/>
      <c r="B107" s="42"/>
      <c r="C107" s="42"/>
      <c r="D107" s="107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9"/>
    </row>
    <row r="108" spans="1:20" ht="13.5" thickBot="1">
      <c r="A108" s="43"/>
      <c r="B108" s="44"/>
      <c r="C108" s="44"/>
      <c r="D108" s="110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  <c r="P108" s="111"/>
      <c r="Q108" s="111"/>
      <c r="R108" s="112"/>
    </row>
    <row r="109" spans="1:20">
      <c r="A109" s="203"/>
      <c r="B109" s="204"/>
      <c r="C109" s="322"/>
      <c r="D109" s="246"/>
      <c r="E109" s="246"/>
      <c r="F109" s="246"/>
      <c r="G109" s="246"/>
      <c r="H109" s="246"/>
      <c r="I109" s="246"/>
      <c r="J109" s="246"/>
      <c r="K109" s="246"/>
      <c r="L109" s="246"/>
      <c r="M109" s="246"/>
      <c r="N109" s="246"/>
      <c r="O109" s="246"/>
      <c r="P109" s="246"/>
      <c r="Q109" s="246"/>
      <c r="R109" s="246"/>
    </row>
    <row r="110" spans="1:20">
      <c r="A110" s="203"/>
      <c r="B110" s="204"/>
      <c r="C110" s="205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</row>
    <row r="111" spans="1:20" ht="13.5" thickBot="1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T111" s="74"/>
    </row>
    <row r="112" spans="1:20" ht="13.5" thickBot="1">
      <c r="A112" s="45" t="str">
        <f>Scenarios!H30</f>
        <v>Bull case</v>
      </c>
      <c r="B112" s="39" t="s">
        <v>1</v>
      </c>
      <c r="C112" s="200" t="s">
        <v>2</v>
      </c>
      <c r="D112" s="332" t="s">
        <v>3</v>
      </c>
      <c r="E112" s="333"/>
      <c r="F112" s="333"/>
      <c r="G112" s="333"/>
      <c r="H112" s="333"/>
      <c r="I112" s="333"/>
      <c r="J112" s="333"/>
      <c r="K112" s="333"/>
      <c r="L112" s="333"/>
      <c r="M112" s="333"/>
      <c r="N112" s="333"/>
      <c r="O112" s="333"/>
      <c r="P112" s="333"/>
      <c r="Q112" s="333"/>
      <c r="R112" s="334"/>
      <c r="T112" s="74"/>
    </row>
    <row r="113" spans="1:20">
      <c r="A113" s="41" t="s">
        <v>4</v>
      </c>
      <c r="B113" s="42">
        <f>+Scenarios!H31</f>
        <v>1.8717143647405954E-3</v>
      </c>
      <c r="C113" s="42">
        <f>C76</f>
        <v>6.2230972955435157E-2</v>
      </c>
      <c r="D113" s="107">
        <f t="shared" ref="D113:K113" si="24">D76</f>
        <v>1</v>
      </c>
      <c r="E113" s="108">
        <f t="shared" si="24"/>
        <v>0.47102969549764873</v>
      </c>
      <c r="F113" s="108">
        <f t="shared" si="24"/>
        <v>0.44102598120003672</v>
      </c>
      <c r="G113" s="108">
        <f t="shared" si="24"/>
        <v>0.1916139221868596</v>
      </c>
      <c r="H113" s="108">
        <f t="shared" si="24"/>
        <v>0.24756676138433611</v>
      </c>
      <c r="I113" s="108">
        <f t="shared" si="24"/>
        <v>0.1747091736012199</v>
      </c>
      <c r="J113" s="108">
        <f t="shared" si="24"/>
        <v>0.43690863222333309</v>
      </c>
      <c r="K113" s="108">
        <f t="shared" si="24"/>
        <v>0.33880552794512614</v>
      </c>
      <c r="L113" s="108"/>
      <c r="M113" s="108"/>
      <c r="N113" s="108"/>
      <c r="O113" s="108"/>
      <c r="P113" s="108"/>
      <c r="Q113" s="108"/>
      <c r="R113" s="109"/>
      <c r="S113" s="226" t="s">
        <v>122</v>
      </c>
    </row>
    <row r="114" spans="1:20">
      <c r="A114" s="41" t="s">
        <v>5</v>
      </c>
      <c r="B114" s="42">
        <f>+Scenarios!H32</f>
        <v>0.33907962485463328</v>
      </c>
      <c r="C114" s="42">
        <f t="shared" ref="C114:K114" si="25">C77</f>
        <v>0.22813368702469963</v>
      </c>
      <c r="D114" s="107">
        <f t="shared" si="25"/>
        <v>0.47102969549764873</v>
      </c>
      <c r="E114" s="108">
        <f t="shared" si="25"/>
        <v>1.0000000000000002</v>
      </c>
      <c r="F114" s="108">
        <f t="shared" si="25"/>
        <v>0.93822360415104178</v>
      </c>
      <c r="G114" s="108">
        <f t="shared" si="25"/>
        <v>0.75326025420376108</v>
      </c>
      <c r="H114" s="108">
        <f t="shared" si="25"/>
        <v>0.73352486795767102</v>
      </c>
      <c r="I114" s="108">
        <f t="shared" si="25"/>
        <v>0.63359529390296199</v>
      </c>
      <c r="J114" s="108">
        <f t="shared" si="25"/>
        <v>0.87098619109423425</v>
      </c>
      <c r="K114" s="108">
        <f t="shared" si="25"/>
        <v>0.87135999187444568</v>
      </c>
      <c r="L114" s="108"/>
      <c r="M114" s="108"/>
      <c r="N114" s="108"/>
      <c r="O114" s="108"/>
      <c r="P114" s="108"/>
      <c r="Q114" s="108"/>
      <c r="R114" s="109"/>
    </row>
    <row r="115" spans="1:20">
      <c r="A115" s="41" t="s">
        <v>6</v>
      </c>
      <c r="B115" s="42">
        <f>+Scenarios!H33</f>
        <v>0.29097179291301789</v>
      </c>
      <c r="C115" s="42">
        <f t="shared" ref="C115:K115" si="26">C78</f>
        <v>0.23612462727275424</v>
      </c>
      <c r="D115" s="107">
        <f t="shared" si="26"/>
        <v>0.44102598120003672</v>
      </c>
      <c r="E115" s="108">
        <f t="shared" si="26"/>
        <v>0.93822360415104189</v>
      </c>
      <c r="F115" s="108">
        <f t="shared" si="26"/>
        <v>1.0000000000000002</v>
      </c>
      <c r="G115" s="108">
        <f t="shared" si="26"/>
        <v>0.79963015318153241</v>
      </c>
      <c r="H115" s="108">
        <f t="shared" si="26"/>
        <v>0.78704984484445428</v>
      </c>
      <c r="I115" s="108">
        <f t="shared" si="26"/>
        <v>0.6705837763066671</v>
      </c>
      <c r="J115" s="108">
        <f t="shared" si="26"/>
        <v>0.87302411710056305</v>
      </c>
      <c r="K115" s="108">
        <f t="shared" si="26"/>
        <v>0.89106747178031864</v>
      </c>
      <c r="L115" s="108"/>
      <c r="M115" s="108"/>
      <c r="N115" s="108"/>
      <c r="O115" s="108"/>
      <c r="P115" s="108"/>
      <c r="Q115" s="108"/>
      <c r="R115" s="109"/>
    </row>
    <row r="116" spans="1:20">
      <c r="A116" s="41" t="s">
        <v>7</v>
      </c>
      <c r="B116" s="42">
        <f>+Scenarios!H34</f>
        <v>0.49356749913690923</v>
      </c>
      <c r="C116" s="42">
        <f t="shared" ref="C116:K116" si="27">C79</f>
        <v>0.41877013863949536</v>
      </c>
      <c r="D116" s="107">
        <f t="shared" si="27"/>
        <v>0.19161392218685974</v>
      </c>
      <c r="E116" s="108">
        <f t="shared" si="27"/>
        <v>0.75326025420376086</v>
      </c>
      <c r="F116" s="108">
        <f t="shared" si="27"/>
        <v>0.79963015318153241</v>
      </c>
      <c r="G116" s="108">
        <f t="shared" si="27"/>
        <v>1</v>
      </c>
      <c r="H116" s="108">
        <f t="shared" si="27"/>
        <v>0.80812183743359234</v>
      </c>
      <c r="I116" s="108">
        <f t="shared" si="27"/>
        <v>0.70238919189824067</v>
      </c>
      <c r="J116" s="108">
        <f t="shared" si="27"/>
        <v>0.80604385760605091</v>
      </c>
      <c r="K116" s="108">
        <f t="shared" si="27"/>
        <v>0.88086813992686197</v>
      </c>
      <c r="L116" s="108"/>
      <c r="M116" s="108"/>
      <c r="N116" s="108"/>
      <c r="O116" s="108"/>
      <c r="P116" s="108"/>
      <c r="Q116" s="108"/>
      <c r="R116" s="109"/>
    </row>
    <row r="117" spans="1:20">
      <c r="A117" s="41" t="s">
        <v>8</v>
      </c>
      <c r="B117" s="42">
        <f>+Scenarios!H35</f>
        <v>0.45979708922708296</v>
      </c>
      <c r="C117" s="42">
        <f t="shared" ref="C117:K117" si="28">C80</f>
        <v>0.43715930361035565</v>
      </c>
      <c r="D117" s="107">
        <f t="shared" si="28"/>
        <v>0.24756676138433592</v>
      </c>
      <c r="E117" s="108">
        <f t="shared" si="28"/>
        <v>0.73352486795767102</v>
      </c>
      <c r="F117" s="108">
        <f t="shared" si="28"/>
        <v>0.78704984484445417</v>
      </c>
      <c r="G117" s="108">
        <f t="shared" si="28"/>
        <v>0.80812183743359234</v>
      </c>
      <c r="H117" s="108">
        <f t="shared" si="28"/>
        <v>1</v>
      </c>
      <c r="I117" s="108">
        <f t="shared" si="28"/>
        <v>0.6227307997578343</v>
      </c>
      <c r="J117" s="108">
        <f t="shared" si="28"/>
        <v>0.64969582874157039</v>
      </c>
      <c r="K117" s="108">
        <f t="shared" si="28"/>
        <v>0.77520880186806285</v>
      </c>
      <c r="L117" s="108"/>
      <c r="M117" s="108"/>
      <c r="N117" s="108"/>
      <c r="O117" s="108"/>
      <c r="P117" s="108"/>
      <c r="Q117" s="108"/>
      <c r="R117" s="109"/>
    </row>
    <row r="118" spans="1:20">
      <c r="A118" s="41" t="s">
        <v>9</v>
      </c>
      <c r="B118" s="42">
        <f>+Scenarios!H36</f>
        <v>0.65436153607763092</v>
      </c>
      <c r="C118" s="42">
        <f t="shared" ref="C118:K118" si="29">C81</f>
        <v>0.49612218939856001</v>
      </c>
      <c r="D118" s="107">
        <f t="shared" si="29"/>
        <v>0.17470917360121993</v>
      </c>
      <c r="E118" s="108">
        <f t="shared" si="29"/>
        <v>0.63359529390296199</v>
      </c>
      <c r="F118" s="108">
        <f t="shared" si="29"/>
        <v>0.67058377630666699</v>
      </c>
      <c r="G118" s="108">
        <f t="shared" si="29"/>
        <v>0.70238919189824078</v>
      </c>
      <c r="H118" s="108">
        <f t="shared" si="29"/>
        <v>0.6227307997578343</v>
      </c>
      <c r="I118" s="108">
        <f t="shared" si="29"/>
        <v>0.99999999999999989</v>
      </c>
      <c r="J118" s="108">
        <f t="shared" si="29"/>
        <v>0.64379087144854052</v>
      </c>
      <c r="K118" s="108">
        <f t="shared" si="29"/>
        <v>0.65952840986787564</v>
      </c>
      <c r="L118" s="108"/>
      <c r="M118" s="108"/>
      <c r="N118" s="108"/>
      <c r="O118" s="108"/>
      <c r="P118" s="108"/>
      <c r="Q118" s="108"/>
      <c r="R118" s="109"/>
    </row>
    <row r="119" spans="1:20">
      <c r="A119" s="41" t="s">
        <v>10</v>
      </c>
      <c r="B119" s="42">
        <f>+Scenarios!H37</f>
        <v>0.31176062949530947</v>
      </c>
      <c r="C119" s="42">
        <f t="shared" ref="C119:K119" si="30">C82</f>
        <v>0.22513334484340575</v>
      </c>
      <c r="D119" s="107">
        <f t="shared" si="30"/>
        <v>0.43690863222333315</v>
      </c>
      <c r="E119" s="108">
        <f t="shared" si="30"/>
        <v>0.87098619109423403</v>
      </c>
      <c r="F119" s="108">
        <f t="shared" si="30"/>
        <v>0.87302411710056305</v>
      </c>
      <c r="G119" s="108">
        <f t="shared" si="30"/>
        <v>0.80604385760605068</v>
      </c>
      <c r="H119" s="108">
        <f t="shared" si="30"/>
        <v>0.6496958287415705</v>
      </c>
      <c r="I119" s="108">
        <f t="shared" si="30"/>
        <v>0.64379087144854041</v>
      </c>
      <c r="J119" s="108">
        <f t="shared" si="30"/>
        <v>1.0000000000000002</v>
      </c>
      <c r="K119" s="108">
        <f t="shared" si="30"/>
        <v>0.86491136423250092</v>
      </c>
      <c r="L119" s="108"/>
      <c r="M119" s="108"/>
      <c r="N119" s="108"/>
      <c r="O119" s="108"/>
      <c r="P119" s="108"/>
      <c r="Q119" s="108"/>
      <c r="R119" s="109"/>
    </row>
    <row r="120" spans="1:20">
      <c r="A120" s="41" t="s">
        <v>11</v>
      </c>
      <c r="B120" s="42">
        <f>+Scenarios!H38</f>
        <v>0.43571794524441654</v>
      </c>
      <c r="C120" s="42">
        <f t="shared" ref="C120:K120" si="31">C83</f>
        <v>0.28443486592153544</v>
      </c>
      <c r="D120" s="107">
        <f t="shared" si="31"/>
        <v>0.33880552794512614</v>
      </c>
      <c r="E120" s="108">
        <f t="shared" si="31"/>
        <v>0.87135999187444568</v>
      </c>
      <c r="F120" s="108">
        <f t="shared" si="31"/>
        <v>0.89106747178031853</v>
      </c>
      <c r="G120" s="108">
        <f t="shared" si="31"/>
        <v>0.88086813992686197</v>
      </c>
      <c r="H120" s="108">
        <f t="shared" si="31"/>
        <v>0.77520880186806285</v>
      </c>
      <c r="I120" s="108">
        <f t="shared" si="31"/>
        <v>0.65952840986787553</v>
      </c>
      <c r="J120" s="108">
        <f t="shared" si="31"/>
        <v>0.86491136423250081</v>
      </c>
      <c r="K120" s="108">
        <f t="shared" si="31"/>
        <v>1</v>
      </c>
      <c r="L120" s="108"/>
      <c r="M120" s="108"/>
      <c r="N120" s="108"/>
      <c r="O120" s="108"/>
      <c r="P120" s="108"/>
      <c r="Q120" s="108"/>
      <c r="R120" s="109"/>
    </row>
    <row r="121" spans="1:20">
      <c r="A121" s="41"/>
      <c r="B121" s="42"/>
      <c r="C121" s="42"/>
      <c r="D121" s="107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9"/>
      <c r="T121" s="74"/>
    </row>
    <row r="122" spans="1:20">
      <c r="A122" s="41"/>
      <c r="B122" s="42"/>
      <c r="C122" s="42"/>
      <c r="D122" s="107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9"/>
      <c r="T122" s="74"/>
    </row>
    <row r="123" spans="1:20">
      <c r="A123" s="41"/>
      <c r="B123" s="42"/>
      <c r="C123" s="42"/>
      <c r="D123" s="107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9"/>
      <c r="T123" s="74"/>
    </row>
    <row r="124" spans="1:20">
      <c r="A124" s="41"/>
      <c r="B124" s="42"/>
      <c r="C124" s="42"/>
      <c r="D124" s="107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9"/>
      <c r="T124" s="74"/>
    </row>
    <row r="125" spans="1:20">
      <c r="A125" s="41"/>
      <c r="B125" s="42"/>
      <c r="C125" s="42"/>
      <c r="D125" s="107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9"/>
      <c r="T125" s="74"/>
    </row>
    <row r="126" spans="1:20">
      <c r="A126" s="41"/>
      <c r="B126" s="42"/>
      <c r="C126" s="42"/>
      <c r="D126" s="107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9"/>
      <c r="T126" s="74"/>
    </row>
    <row r="127" spans="1:20" ht="13.5" thickBot="1">
      <c r="A127" s="43"/>
      <c r="B127" s="44"/>
      <c r="C127" s="44"/>
      <c r="D127" s="110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  <c r="P127" s="111"/>
      <c r="Q127" s="111"/>
      <c r="R127" s="112"/>
      <c r="T127" s="74"/>
    </row>
    <row r="128" spans="1:20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T128" s="74"/>
    </row>
    <row r="129" spans="1:20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T129" s="74"/>
    </row>
  </sheetData>
  <mergeCells count="7">
    <mergeCell ref="D3:R3"/>
    <mergeCell ref="D21:R21"/>
    <mergeCell ref="D39:R39"/>
    <mergeCell ref="D57:R57"/>
    <mergeCell ref="D75:R75"/>
    <mergeCell ref="D93:R93"/>
    <mergeCell ref="D112:R1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28"/>
  <sheetViews>
    <sheetView tabSelected="1" zoomScale="80" zoomScaleNormal="80" workbookViewId="0">
      <selection activeCell="L5" sqref="L5"/>
    </sheetView>
  </sheetViews>
  <sheetFormatPr defaultRowHeight="15"/>
  <cols>
    <col min="1" max="1" width="32.42578125" style="71" customWidth="1"/>
    <col min="2" max="2" width="19.140625" style="71" customWidth="1"/>
    <col min="3" max="8" width="18.7109375" style="71" customWidth="1"/>
    <col min="9" max="16384" width="9.140625" style="71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35" t="s">
        <v>16</v>
      </c>
      <c r="D2" s="336"/>
      <c r="E2" s="337" t="s">
        <v>17</v>
      </c>
      <c r="F2" s="338"/>
      <c r="G2" s="339" t="s">
        <v>33</v>
      </c>
      <c r="H2" s="340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2" t="s">
        <v>22</v>
      </c>
      <c r="H3" s="13" t="s">
        <v>23</v>
      </c>
    </row>
    <row r="4" spans="1:8">
      <c r="A4" s="14" t="str">
        <f>IF('Absolute visies'!A4&lt;&gt;"",'Absolute visies'!A4,"")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0.59460926292655603</v>
      </c>
      <c r="H4" s="16">
        <f>'Control panel'!E3</f>
        <v>0.99</v>
      </c>
    </row>
    <row r="5" spans="1:8">
      <c r="A5" s="18" t="str">
        <f>IF('Absolute visies'!A5&lt;&gt;"",'Absolute visies'!A5,"")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7.3502607897390396E-2</v>
      </c>
      <c r="H5" s="20">
        <f>'Control panel'!E4</f>
        <v>0.99</v>
      </c>
    </row>
    <row r="6" spans="1:8">
      <c r="A6" s="18" t="str">
        <f>IF('Absolute visies'!A6&lt;&gt;"",'Absolute visies'!A6,"")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8.232448256002324E-2</v>
      </c>
      <c r="H6" s="20">
        <f>'Control panel'!E5</f>
        <v>0.99</v>
      </c>
    </row>
    <row r="7" spans="1:8">
      <c r="A7" s="18" t="str">
        <f>IF('Absolute visies'!A7&lt;&gt;"",'Absolute visies'!A7,"")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9.6683683628085992E-2</v>
      </c>
      <c r="H7" s="20">
        <f>'Control panel'!E6</f>
        <v>0.99</v>
      </c>
    </row>
    <row r="8" spans="1:8">
      <c r="A8" s="18" t="str">
        <f>IF('Absolute visies'!A8&lt;&gt;"",'Absolute visies'!A8,"")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5.1500558015493796E-2</v>
      </c>
      <c r="H8" s="20">
        <f>'Control panel'!E7</f>
        <v>0.99</v>
      </c>
    </row>
    <row r="9" spans="1:8">
      <c r="A9" s="18" t="str">
        <f>IF('Absolute visies'!A9&lt;&gt;"",'Absolute visies'!A9,"")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2.0640227417381859E-2</v>
      </c>
      <c r="H9" s="20">
        <f>'Control panel'!E8</f>
        <v>0.99</v>
      </c>
    </row>
    <row r="10" spans="1:8">
      <c r="A10" s="18" t="str">
        <f>IF('Absolute visies'!A10&lt;&gt;"",'Absolute visies'!A10,"")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3.219705746498288E-2</v>
      </c>
      <c r="H10" s="20">
        <f>'Control panel'!E9</f>
        <v>0.99</v>
      </c>
    </row>
    <row r="11" spans="1:8">
      <c r="A11" s="18" t="str">
        <f>IF('Absolute visies'!A11&lt;&gt;"",'Absolute visies'!A11,"")</f>
        <v>Onroerend goed</v>
      </c>
      <c r="B11" s="19" t="s">
        <v>25</v>
      </c>
      <c r="C11" s="20">
        <f>'Control panel'!C10</f>
        <v>0</v>
      </c>
      <c r="D11" s="20">
        <f>'Control panel'!D10</f>
        <v>1</v>
      </c>
      <c r="E11" s="20">
        <v>0</v>
      </c>
      <c r="F11" s="20">
        <v>1</v>
      </c>
      <c r="G11" s="21">
        <f>'Control panel'!B10</f>
        <v>4.8542120090085711E-2</v>
      </c>
      <c r="H11" s="20">
        <f>'Control panel'!E10</f>
        <v>0.99</v>
      </c>
    </row>
    <row r="12" spans="1:8">
      <c r="A12" s="18" t="str">
        <f>IF('Absolute visies'!A12&lt;&gt;"",'Absolute visies'!A12,"")</f>
        <v/>
      </c>
      <c r="B12" s="19" t="s">
        <v>25</v>
      </c>
      <c r="C12" s="20">
        <f>'Control panel'!C11</f>
        <v>0</v>
      </c>
      <c r="D12" s="20">
        <f>'Control panel'!D11</f>
        <v>0</v>
      </c>
      <c r="E12" s="20">
        <v>0</v>
      </c>
      <c r="F12" s="20">
        <v>1</v>
      </c>
      <c r="G12" s="21">
        <f>'Control panel'!B11</f>
        <v>0</v>
      </c>
      <c r="H12" s="20">
        <f>'Control panel'!E11</f>
        <v>0</v>
      </c>
    </row>
    <row r="13" spans="1:8">
      <c r="A13" s="18" t="str">
        <f>IF('Absolute visies'!A13&lt;&gt;"",'Absolute visies'!A13,"")</f>
        <v/>
      </c>
      <c r="B13" s="19" t="s">
        <v>25</v>
      </c>
      <c r="C13" s="20">
        <f>'Control panel'!C12</f>
        <v>0</v>
      </c>
      <c r="D13" s="20">
        <f>'Control panel'!D12</f>
        <v>0</v>
      </c>
      <c r="E13" s="20">
        <v>0</v>
      </c>
      <c r="F13" s="20">
        <v>1</v>
      </c>
      <c r="G13" s="21">
        <f>'Control panel'!B12</f>
        <v>0</v>
      </c>
      <c r="H13" s="20">
        <f>'Control panel'!E12</f>
        <v>0</v>
      </c>
    </row>
    <row r="14" spans="1:8">
      <c r="A14" s="18" t="str">
        <f>IF('Absolute visies'!A14&lt;&gt;"",'Absolute visies'!A14,"")</f>
        <v/>
      </c>
      <c r="B14" s="19" t="s">
        <v>25</v>
      </c>
      <c r="C14" s="20">
        <f>'Control panel'!C13</f>
        <v>0</v>
      </c>
      <c r="D14" s="20">
        <f>'Control panel'!D13</f>
        <v>0</v>
      </c>
      <c r="E14" s="20">
        <v>0</v>
      </c>
      <c r="F14" s="20">
        <v>1</v>
      </c>
      <c r="G14" s="21">
        <f>'Control panel'!B13</f>
        <v>0</v>
      </c>
      <c r="H14" s="20">
        <f>'Control panel'!E13</f>
        <v>0</v>
      </c>
    </row>
    <row r="15" spans="1:8">
      <c r="A15" s="18" t="str">
        <f>IF('Absolute visies'!A15&lt;&gt;"",'Absolute visies'!A15,"")</f>
        <v/>
      </c>
      <c r="B15" s="19" t="s">
        <v>25</v>
      </c>
      <c r="C15" s="20">
        <f>'Control panel'!C14</f>
        <v>0</v>
      </c>
      <c r="D15" s="20">
        <f>'Control panel'!D14</f>
        <v>0</v>
      </c>
      <c r="E15" s="20">
        <v>0</v>
      </c>
      <c r="F15" s="20">
        <v>1</v>
      </c>
      <c r="G15" s="21">
        <f>'Control panel'!B14</f>
        <v>0</v>
      </c>
      <c r="H15" s="20">
        <f>'Control panel'!E14</f>
        <v>0</v>
      </c>
    </row>
    <row r="16" spans="1:8">
      <c r="A16" s="18" t="str">
        <f>IF('Absolute visies'!A16&lt;&gt;"",'Absolute visies'!A16,"")</f>
        <v/>
      </c>
      <c r="B16" s="19" t="s">
        <v>25</v>
      </c>
      <c r="C16" s="20">
        <f>'Control panel'!C15</f>
        <v>0</v>
      </c>
      <c r="D16" s="20">
        <f>'Control panel'!D15</f>
        <v>0</v>
      </c>
      <c r="E16" s="20">
        <v>0</v>
      </c>
      <c r="F16" s="20">
        <v>1</v>
      </c>
      <c r="G16" s="21">
        <f>'Control panel'!B15</f>
        <v>0</v>
      </c>
      <c r="H16" s="20">
        <f>'Control panel'!E15</f>
        <v>0</v>
      </c>
    </row>
    <row r="17" spans="1:8">
      <c r="A17" s="18" t="str">
        <f>IF('Absolute visies'!A17&lt;&gt;"",'Absolute visies'!A17,"")</f>
        <v/>
      </c>
      <c r="B17" s="19" t="s">
        <v>25</v>
      </c>
      <c r="C17" s="20">
        <f>'Control panel'!C16</f>
        <v>0</v>
      </c>
      <c r="D17" s="20">
        <f>'Control panel'!D16</f>
        <v>0</v>
      </c>
      <c r="E17" s="20">
        <v>0</v>
      </c>
      <c r="F17" s="20">
        <v>1</v>
      </c>
      <c r="G17" s="21">
        <f>'Control panel'!B16</f>
        <v>0</v>
      </c>
      <c r="H17" s="20">
        <f>'Control panel'!E16</f>
        <v>0</v>
      </c>
    </row>
    <row r="18" spans="1:8" ht="15.75" thickBot="1">
      <c r="A18" s="22" t="str">
        <f>IF('Absolute visies'!A18&lt;&gt;"",'Absolute visies'!A18,"")</f>
        <v/>
      </c>
      <c r="B18" s="23" t="s">
        <v>25</v>
      </c>
      <c r="C18" s="24">
        <f>'Control panel'!C17</f>
        <v>0</v>
      </c>
      <c r="D18" s="24">
        <f>'Control panel'!D17</f>
        <v>0</v>
      </c>
      <c r="E18" s="24">
        <v>0</v>
      </c>
      <c r="F18" s="24">
        <v>1</v>
      </c>
      <c r="G18" s="25">
        <f>'Control panel'!B17</f>
        <v>0</v>
      </c>
      <c r="H18" s="24">
        <f>'Control panel'!E17</f>
        <v>0</v>
      </c>
    </row>
    <row r="19" spans="1:8" ht="15.75" thickBot="1">
      <c r="G19" s="26" t="s">
        <v>26</v>
      </c>
      <c r="H19" s="24">
        <f>'Control panel'!E18</f>
        <v>0.99</v>
      </c>
    </row>
    <row r="20" spans="1:8" ht="15.75" thickBot="1">
      <c r="G20" s="28"/>
      <c r="H20" s="6"/>
    </row>
    <row r="21" spans="1:8" ht="15.75" thickBot="1">
      <c r="A21" s="34" t="s">
        <v>32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1">
        <v>0</v>
      </c>
    </row>
    <row r="22" spans="1:8">
      <c r="A22" s="14" t="str">
        <f>IF(A4&lt;&gt;"",A4,"")</f>
        <v>Nominale matching</v>
      </c>
      <c r="B22" s="227">
        <v>0</v>
      </c>
      <c r="C22" s="227">
        <v>0</v>
      </c>
      <c r="D22" s="227">
        <v>0</v>
      </c>
      <c r="E22" s="227">
        <v>0</v>
      </c>
      <c r="F22" s="227">
        <v>0</v>
      </c>
      <c r="G22" s="228">
        <v>0</v>
      </c>
    </row>
    <row r="23" spans="1:8">
      <c r="A23" s="18" t="str">
        <f t="shared" ref="A23:A36" si="0">IF(A5&lt;&gt;"",A5,"")</f>
        <v>High Yield</v>
      </c>
      <c r="B23" s="229">
        <v>0</v>
      </c>
      <c r="C23" s="229">
        <v>0</v>
      </c>
      <c r="D23" s="229">
        <v>0</v>
      </c>
      <c r="E23" s="229">
        <v>0</v>
      </c>
      <c r="F23" s="229">
        <v>0</v>
      </c>
      <c r="G23" s="229">
        <v>0</v>
      </c>
    </row>
    <row r="24" spans="1:8">
      <c r="A24" s="18" t="str">
        <f t="shared" si="0"/>
        <v>Emerging market debt</v>
      </c>
      <c r="B24" s="229">
        <v>0</v>
      </c>
      <c r="C24" s="229">
        <v>0</v>
      </c>
      <c r="D24" s="229">
        <v>0</v>
      </c>
      <c r="E24" s="229">
        <v>0</v>
      </c>
      <c r="F24" s="229">
        <v>0</v>
      </c>
      <c r="G24" s="230">
        <v>0</v>
      </c>
    </row>
    <row r="25" spans="1:8">
      <c r="A25" s="18" t="str">
        <f t="shared" si="0"/>
        <v>Aandelen ontwikkeld</v>
      </c>
      <c r="B25" s="229">
        <v>0</v>
      </c>
      <c r="C25" s="229">
        <v>0</v>
      </c>
      <c r="D25" s="229">
        <v>0</v>
      </c>
      <c r="E25" s="229">
        <v>0</v>
      </c>
      <c r="F25" s="229">
        <v>0</v>
      </c>
      <c r="G25" s="230">
        <v>0</v>
      </c>
    </row>
    <row r="26" spans="1:8">
      <c r="A26" s="18" t="str">
        <f t="shared" si="0"/>
        <v>Aandelen opkomend</v>
      </c>
      <c r="B26" s="229">
        <v>0</v>
      </c>
      <c r="C26" s="229">
        <v>0</v>
      </c>
      <c r="D26" s="229">
        <v>0</v>
      </c>
      <c r="E26" s="229">
        <v>0</v>
      </c>
      <c r="F26" s="229">
        <v>0</v>
      </c>
      <c r="G26" s="230">
        <v>0</v>
      </c>
    </row>
    <row r="27" spans="1:8">
      <c r="A27" s="18" t="str">
        <f t="shared" si="0"/>
        <v>Commodities</v>
      </c>
      <c r="B27" s="229">
        <v>0</v>
      </c>
      <c r="C27" s="229">
        <v>0</v>
      </c>
      <c r="D27" s="229">
        <v>0</v>
      </c>
      <c r="E27" s="229">
        <v>0</v>
      </c>
      <c r="F27" s="229">
        <v>0</v>
      </c>
      <c r="G27" s="230">
        <v>0</v>
      </c>
    </row>
    <row r="28" spans="1:8">
      <c r="A28" s="18" t="str">
        <f t="shared" si="0"/>
        <v>Hedge funds</v>
      </c>
      <c r="B28" s="229">
        <v>0</v>
      </c>
      <c r="C28" s="229">
        <v>0</v>
      </c>
      <c r="D28" s="229">
        <v>0</v>
      </c>
      <c r="E28" s="229">
        <v>0</v>
      </c>
      <c r="F28" s="229">
        <v>0</v>
      </c>
      <c r="G28" s="230">
        <v>0</v>
      </c>
    </row>
    <row r="29" spans="1:8">
      <c r="A29" s="18" t="str">
        <f t="shared" si="0"/>
        <v>Onroerend goed</v>
      </c>
      <c r="B29" s="229">
        <v>0</v>
      </c>
      <c r="C29" s="229">
        <v>0</v>
      </c>
      <c r="D29" s="229">
        <v>0</v>
      </c>
      <c r="E29" s="229">
        <v>0</v>
      </c>
      <c r="F29" s="229">
        <v>0</v>
      </c>
      <c r="G29" s="230">
        <v>0</v>
      </c>
    </row>
    <row r="30" spans="1:8">
      <c r="A30" s="18" t="str">
        <f t="shared" si="0"/>
        <v/>
      </c>
      <c r="B30" s="229">
        <v>0</v>
      </c>
      <c r="C30" s="229">
        <v>0</v>
      </c>
      <c r="D30" s="229">
        <v>0</v>
      </c>
      <c r="E30" s="229">
        <v>0</v>
      </c>
      <c r="F30" s="229">
        <v>0</v>
      </c>
      <c r="G30" s="230">
        <v>0</v>
      </c>
    </row>
    <row r="31" spans="1:8">
      <c r="A31" s="18" t="str">
        <f t="shared" si="0"/>
        <v/>
      </c>
      <c r="B31" s="229">
        <v>0</v>
      </c>
      <c r="C31" s="229">
        <v>0</v>
      </c>
      <c r="D31" s="229">
        <v>0</v>
      </c>
      <c r="E31" s="229">
        <v>0</v>
      </c>
      <c r="F31" s="229">
        <v>0</v>
      </c>
      <c r="G31" s="230">
        <v>0</v>
      </c>
    </row>
    <row r="32" spans="1:8">
      <c r="A32" s="18" t="str">
        <f t="shared" si="0"/>
        <v/>
      </c>
      <c r="B32" s="229">
        <v>0</v>
      </c>
      <c r="C32" s="229">
        <v>0</v>
      </c>
      <c r="D32" s="229">
        <v>0</v>
      </c>
      <c r="E32" s="229">
        <v>0</v>
      </c>
      <c r="F32" s="229">
        <v>0</v>
      </c>
      <c r="G32" s="230">
        <v>0</v>
      </c>
    </row>
    <row r="33" spans="1:7">
      <c r="A33" s="18" t="str">
        <f t="shared" si="0"/>
        <v/>
      </c>
      <c r="B33" s="229">
        <v>0</v>
      </c>
      <c r="C33" s="229">
        <v>0</v>
      </c>
      <c r="D33" s="229">
        <v>0</v>
      </c>
      <c r="E33" s="229">
        <v>0</v>
      </c>
      <c r="F33" s="229">
        <v>0</v>
      </c>
      <c r="G33" s="230">
        <v>0</v>
      </c>
    </row>
    <row r="34" spans="1:7">
      <c r="A34" s="18" t="str">
        <f t="shared" si="0"/>
        <v/>
      </c>
      <c r="B34" s="229">
        <v>0</v>
      </c>
      <c r="C34" s="229">
        <v>0</v>
      </c>
      <c r="D34" s="229">
        <v>0</v>
      </c>
      <c r="E34" s="229">
        <v>0</v>
      </c>
      <c r="F34" s="229">
        <v>0</v>
      </c>
      <c r="G34" s="230">
        <v>0</v>
      </c>
    </row>
    <row r="35" spans="1:7">
      <c r="A35" s="18" t="str">
        <f t="shared" si="0"/>
        <v/>
      </c>
      <c r="B35" s="229">
        <v>0</v>
      </c>
      <c r="C35" s="229">
        <v>0</v>
      </c>
      <c r="D35" s="229">
        <v>0</v>
      </c>
      <c r="E35" s="229">
        <v>0</v>
      </c>
      <c r="F35" s="229">
        <v>0</v>
      </c>
      <c r="G35" s="230">
        <v>0</v>
      </c>
    </row>
    <row r="36" spans="1:7" ht="15.75" thickBot="1">
      <c r="A36" s="22" t="str">
        <f t="shared" si="0"/>
        <v/>
      </c>
      <c r="B36" s="229">
        <v>0</v>
      </c>
      <c r="C36" s="229">
        <v>0</v>
      </c>
      <c r="D36" s="229">
        <v>0</v>
      </c>
      <c r="E36" s="229">
        <v>0</v>
      </c>
      <c r="F36" s="229">
        <v>0</v>
      </c>
      <c r="G36" s="230">
        <v>0</v>
      </c>
    </row>
    <row r="37" spans="1:7" ht="15.75" thickBot="1">
      <c r="A37" s="35" t="s">
        <v>34</v>
      </c>
      <c r="B37" s="32">
        <v>0</v>
      </c>
      <c r="C37" s="32">
        <v>0</v>
      </c>
      <c r="D37" s="32">
        <v>0</v>
      </c>
      <c r="E37" s="32">
        <v>0</v>
      </c>
      <c r="F37" s="32">
        <v>0</v>
      </c>
      <c r="G37" s="33">
        <v>0</v>
      </c>
    </row>
    <row r="114" spans="1:5">
      <c r="A114" s="27" t="s">
        <v>31</v>
      </c>
      <c r="B114" s="3"/>
      <c r="D114" s="27" t="s">
        <v>35</v>
      </c>
      <c r="E114" s="3"/>
    </row>
    <row r="115" spans="1:5">
      <c r="A115" s="3"/>
      <c r="B115" s="3"/>
      <c r="D115" s="3"/>
      <c r="E115" s="3"/>
    </row>
    <row r="116" spans="1:5">
      <c r="A116" s="3" t="s">
        <v>19</v>
      </c>
      <c r="B116" s="3" t="s">
        <v>24</v>
      </c>
      <c r="C116" s="95">
        <v>1</v>
      </c>
      <c r="D116" s="3" t="s">
        <v>36</v>
      </c>
      <c r="E116" s="95">
        <v>1</v>
      </c>
    </row>
    <row r="117" spans="1:5">
      <c r="A117" s="3"/>
      <c r="B117" s="3" t="s">
        <v>25</v>
      </c>
      <c r="C117" s="95">
        <v>2</v>
      </c>
      <c r="D117" s="3" t="s">
        <v>37</v>
      </c>
      <c r="E117" s="95">
        <v>0</v>
      </c>
    </row>
    <row r="120" spans="1:5">
      <c r="A120" s="27" t="s">
        <v>62</v>
      </c>
    </row>
    <row r="121" spans="1:5">
      <c r="A121" s="3" t="str">
        <f>A4</f>
        <v>Nominale matching</v>
      </c>
      <c r="B121" s="95">
        <f>VLOOKUP(B4,$B$116:$C$117,2,0)</f>
        <v>1</v>
      </c>
    </row>
    <row r="122" spans="1:5">
      <c r="A122" s="3" t="str">
        <f>A5</f>
        <v>High Yield</v>
      </c>
      <c r="B122" s="95">
        <f>VLOOKUP(B5,$B$116:$C$117,2,0)</f>
        <v>2</v>
      </c>
    </row>
    <row r="123" spans="1:5">
      <c r="A123" s="3" t="str">
        <f>A6</f>
        <v>Emerging market debt</v>
      </c>
      <c r="B123" s="95">
        <f>VLOOKUP(B6,$B$116:$C$117,2,0)</f>
        <v>2</v>
      </c>
    </row>
    <row r="124" spans="1:5">
      <c r="A124" s="3" t="str">
        <f>A7</f>
        <v>Aandelen ontwikkeld</v>
      </c>
      <c r="B124" s="95">
        <f>VLOOKUP(B7,$B$116:$C$117,2,0)</f>
        <v>2</v>
      </c>
    </row>
    <row r="125" spans="1:5">
      <c r="A125" s="3" t="str">
        <f>A8</f>
        <v>Aandelen opkomend</v>
      </c>
      <c r="B125" s="95">
        <f>VLOOKUP(B8,$B$116:$C$117,2,0)</f>
        <v>2</v>
      </c>
    </row>
    <row r="126" spans="1:5">
      <c r="A126" s="3" t="str">
        <f>A9</f>
        <v>Commodities</v>
      </c>
      <c r="B126" s="95">
        <f>VLOOKUP(B9,$B$116:$C$117,2,0)</f>
        <v>2</v>
      </c>
    </row>
    <row r="127" spans="1:5">
      <c r="A127" s="3" t="str">
        <f>A10</f>
        <v>Hedge funds</v>
      </c>
      <c r="B127" s="95">
        <f>VLOOKUP(B10,$B$116:$C$117,2,0)</f>
        <v>2</v>
      </c>
    </row>
    <row r="128" spans="1:5">
      <c r="A128" s="3" t="str">
        <f t="shared" ref="A128" si="1">A18</f>
        <v/>
      </c>
      <c r="B128" s="95">
        <f>VLOOKUP(B18,$B$116:$C$117,2,0)</f>
        <v>2</v>
      </c>
    </row>
  </sheetData>
  <mergeCells count="3">
    <mergeCell ref="C2:D2"/>
    <mergeCell ref="E2:F2"/>
    <mergeCell ref="G2:H2"/>
  </mergeCells>
  <conditionalFormatting sqref="B4:B18">
    <cfRule type="iconSet" priority="73">
      <iconSet iconSet="3Flags">
        <cfvo type="percent" val="0"/>
        <cfvo type="percent" val="33"/>
        <cfvo type="percent" val="67"/>
      </iconSet>
    </cfRule>
    <cfRule type="colorScale" priority="7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8">
    <cfRule type="iconSet" priority="77">
      <iconSet reverse="1">
        <cfvo type="percent" val="0"/>
        <cfvo type="percent" val="33"/>
        <cfvo type="percent" val="67"/>
      </iconSet>
    </cfRule>
  </conditionalFormatting>
  <conditionalFormatting sqref="D4:D18">
    <cfRule type="iconSet" priority="79">
      <iconSet>
        <cfvo type="percent" val="0"/>
        <cfvo type="percent" val="33"/>
        <cfvo type="percent" val="67"/>
      </iconSet>
    </cfRule>
  </conditionalFormatting>
  <conditionalFormatting sqref="E4:E18">
    <cfRule type="iconSet" priority="81">
      <iconSet reverse="1">
        <cfvo type="percent" val="0"/>
        <cfvo type="percent" val="33"/>
        <cfvo type="percent" val="67"/>
      </iconSet>
    </cfRule>
  </conditionalFormatting>
  <conditionalFormatting sqref="F4:F18">
    <cfRule type="iconSet" priority="83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21:G21">
      <formula1>$E$116:$E$117</formula1>
    </dataValidation>
    <dataValidation type="list" allowBlank="1" showInputMessage="1" showErrorMessage="1" sqref="B4:B18">
      <formula1>$B$116:$B$117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37"/>
  <sheetViews>
    <sheetView zoomScale="80" zoomScaleNormal="80" workbookViewId="0">
      <selection activeCell="E41" sqref="E41"/>
    </sheetView>
  </sheetViews>
  <sheetFormatPr defaultRowHeight="15"/>
  <cols>
    <col min="1" max="1" width="44.7109375" style="71" customWidth="1"/>
    <col min="2" max="9" width="20.7109375" style="71" customWidth="1"/>
    <col min="10" max="16384" width="9.140625" style="71"/>
  </cols>
  <sheetData>
    <row r="1" spans="1:8">
      <c r="A1" s="176" t="s">
        <v>39</v>
      </c>
    </row>
    <row r="2" spans="1:8">
      <c r="C2" s="177"/>
    </row>
    <row r="3" spans="1:8">
      <c r="A3" s="27" t="s">
        <v>40</v>
      </c>
      <c r="B3" s="3"/>
      <c r="C3" s="178"/>
      <c r="D3" s="3"/>
      <c r="E3" s="3"/>
      <c r="F3" s="3"/>
    </row>
    <row r="4" spans="1:8" ht="15.75" thickBot="1">
      <c r="A4" s="179"/>
      <c r="B4" s="201"/>
      <c r="C4" s="201"/>
      <c r="D4" s="201"/>
      <c r="E4" s="201"/>
      <c r="F4" s="201"/>
      <c r="G4" s="201"/>
      <c r="H4" s="201"/>
    </row>
    <row r="5" spans="1:8" ht="15.75" thickBot="1">
      <c r="A5" s="207" t="s">
        <v>38</v>
      </c>
      <c r="B5" s="208" t="str">
        <f>Scenarios!B30</f>
        <v>Evenwicht</v>
      </c>
      <c r="C5" s="180" t="str">
        <f>Scenarios!C30</f>
        <v>Base Case</v>
      </c>
      <c r="D5" s="208" t="str">
        <f>Scenarios!D30</f>
        <v>Base - muddle down</v>
      </c>
      <c r="E5" s="180" t="str">
        <f>Scenarios!E30</f>
        <v>Base - muddle up</v>
      </c>
      <c r="F5" s="208" t="str">
        <f>Scenarios!F30</f>
        <v>Bear case</v>
      </c>
      <c r="G5" s="208" t="str">
        <f>Scenarios!G30</f>
        <v>Tail risk</v>
      </c>
      <c r="H5" s="208" t="str">
        <f>Scenarios!H30</f>
        <v>Bull case</v>
      </c>
    </row>
    <row r="6" spans="1:8">
      <c r="A6" s="181" t="s">
        <v>70</v>
      </c>
      <c r="B6" s="247">
        <v>1</v>
      </c>
      <c r="C6" s="236">
        <v>0</v>
      </c>
      <c r="D6" s="235">
        <v>0</v>
      </c>
      <c r="E6" s="236">
        <v>0</v>
      </c>
      <c r="F6" s="235">
        <v>0</v>
      </c>
      <c r="G6" s="235">
        <v>0</v>
      </c>
      <c r="H6" s="235">
        <v>0</v>
      </c>
    </row>
    <row r="7" spans="1:8">
      <c r="A7" s="181" t="s">
        <v>112</v>
      </c>
      <c r="B7" s="209">
        <v>0</v>
      </c>
      <c r="C7" s="94">
        <v>1</v>
      </c>
      <c r="D7" s="209">
        <v>0</v>
      </c>
      <c r="E7" s="94">
        <v>0</v>
      </c>
      <c r="F7" s="209">
        <v>0</v>
      </c>
      <c r="G7" s="209">
        <v>0</v>
      </c>
      <c r="H7" s="209">
        <v>0</v>
      </c>
    </row>
    <row r="8" spans="1:8">
      <c r="A8" s="181" t="s">
        <v>126</v>
      </c>
      <c r="B8" s="209">
        <v>0</v>
      </c>
      <c r="C8" s="94">
        <v>0</v>
      </c>
      <c r="D8" s="209">
        <v>1</v>
      </c>
      <c r="E8" s="94">
        <v>0</v>
      </c>
      <c r="F8" s="209">
        <v>0</v>
      </c>
      <c r="G8" s="209">
        <v>0</v>
      </c>
      <c r="H8" s="209">
        <v>0</v>
      </c>
    </row>
    <row r="9" spans="1:8">
      <c r="A9" s="181" t="s">
        <v>127</v>
      </c>
      <c r="B9" s="209">
        <v>0</v>
      </c>
      <c r="C9" s="94">
        <v>0</v>
      </c>
      <c r="D9" s="209">
        <v>0</v>
      </c>
      <c r="E9" s="94">
        <v>1</v>
      </c>
      <c r="F9" s="209">
        <v>0</v>
      </c>
      <c r="G9" s="209">
        <v>0</v>
      </c>
      <c r="H9" s="209">
        <v>0</v>
      </c>
    </row>
    <row r="10" spans="1:8">
      <c r="A10" s="181" t="s">
        <v>113</v>
      </c>
      <c r="B10" s="209">
        <v>0</v>
      </c>
      <c r="C10" s="94">
        <v>0</v>
      </c>
      <c r="D10" s="209">
        <v>0</v>
      </c>
      <c r="E10" s="94">
        <v>0</v>
      </c>
      <c r="F10" s="209">
        <v>1</v>
      </c>
      <c r="G10" s="209">
        <v>0</v>
      </c>
      <c r="H10" s="209">
        <v>0</v>
      </c>
    </row>
    <row r="11" spans="1:8">
      <c r="A11" s="181" t="s">
        <v>114</v>
      </c>
      <c r="B11" s="209">
        <v>0</v>
      </c>
      <c r="C11" s="94">
        <v>0</v>
      </c>
      <c r="D11" s="209">
        <v>0</v>
      </c>
      <c r="E11" s="94">
        <v>0</v>
      </c>
      <c r="F11" s="209">
        <v>0</v>
      </c>
      <c r="G11" s="209">
        <v>1</v>
      </c>
      <c r="H11" s="209">
        <v>0</v>
      </c>
    </row>
    <row r="12" spans="1:8">
      <c r="A12" s="181" t="s">
        <v>128</v>
      </c>
      <c r="B12" s="209">
        <v>0</v>
      </c>
      <c r="C12" s="94">
        <v>0</v>
      </c>
      <c r="D12" s="209">
        <v>0</v>
      </c>
      <c r="E12" s="94">
        <v>0</v>
      </c>
      <c r="F12" s="209">
        <v>0</v>
      </c>
      <c r="G12" s="209">
        <v>0</v>
      </c>
      <c r="H12" s="209">
        <v>1</v>
      </c>
    </row>
    <row r="13" spans="1:8">
      <c r="A13" s="181"/>
      <c r="B13" s="209"/>
      <c r="C13" s="94"/>
      <c r="D13" s="209"/>
      <c r="E13" s="94"/>
      <c r="F13" s="209"/>
      <c r="G13" s="209"/>
      <c r="H13" s="209"/>
    </row>
    <row r="14" spans="1:8">
      <c r="A14" s="181"/>
      <c r="B14" s="209"/>
      <c r="C14" s="94"/>
      <c r="D14" s="209"/>
      <c r="E14" s="94"/>
      <c r="F14" s="209"/>
      <c r="G14" s="209"/>
      <c r="H14" s="209"/>
    </row>
    <row r="15" spans="1:8">
      <c r="A15" s="181"/>
      <c r="B15" s="209"/>
      <c r="C15" s="94"/>
      <c r="D15" s="209"/>
      <c r="E15" s="94"/>
      <c r="F15" s="209"/>
      <c r="G15" s="209"/>
      <c r="H15" s="209"/>
    </row>
    <row r="16" spans="1:8" ht="15.75" thickBot="1">
      <c r="A16" s="181"/>
      <c r="B16" s="209"/>
      <c r="C16" s="94"/>
      <c r="D16" s="209"/>
      <c r="E16" s="94"/>
      <c r="F16" s="209"/>
      <c r="G16" s="209"/>
      <c r="H16" s="209"/>
    </row>
    <row r="17" spans="1:9" ht="15.75" thickBot="1">
      <c r="A17" s="202" t="s">
        <v>30</v>
      </c>
      <c r="B17" s="232">
        <v>0</v>
      </c>
      <c r="C17" s="232">
        <v>1</v>
      </c>
      <c r="D17" s="233">
        <v>0</v>
      </c>
      <c r="E17" s="233">
        <v>0</v>
      </c>
      <c r="F17" s="233">
        <v>0</v>
      </c>
      <c r="G17" s="234">
        <v>0</v>
      </c>
      <c r="H17" s="233">
        <v>0</v>
      </c>
    </row>
    <row r="18" spans="1:9">
      <c r="A18" s="206"/>
      <c r="B18" s="86"/>
      <c r="C18" s="86"/>
      <c r="D18" s="86"/>
      <c r="E18" s="86"/>
      <c r="F18" s="86"/>
    </row>
    <row r="19" spans="1:9">
      <c r="A19" s="87" t="s">
        <v>41</v>
      </c>
    </row>
    <row r="20" spans="1:9">
      <c r="A20" s="93" t="s">
        <v>45</v>
      </c>
      <c r="B20" s="69" t="s">
        <v>58</v>
      </c>
    </row>
    <row r="21" spans="1:9" ht="15.75" thickBot="1">
      <c r="A21" s="93"/>
    </row>
    <row r="22" spans="1:9">
      <c r="A22" s="182"/>
      <c r="B22" s="183" t="s">
        <v>43</v>
      </c>
      <c r="C22" s="184"/>
      <c r="D22" s="184"/>
      <c r="E22" s="88"/>
      <c r="F22" s="185"/>
      <c r="G22" s="185"/>
      <c r="H22" s="186"/>
      <c r="I22" s="89" t="s">
        <v>46</v>
      </c>
    </row>
    <row r="23" spans="1:9" ht="15.75" thickBot="1">
      <c r="A23" s="187"/>
      <c r="B23" s="100" t="s">
        <v>42</v>
      </c>
      <c r="C23" s="100" t="s">
        <v>48</v>
      </c>
      <c r="D23" s="100" t="s">
        <v>44</v>
      </c>
      <c r="E23" s="76" t="s">
        <v>48</v>
      </c>
      <c r="F23" s="104" t="s">
        <v>63</v>
      </c>
      <c r="G23" s="104" t="s">
        <v>48</v>
      </c>
      <c r="H23" s="104" t="s">
        <v>14</v>
      </c>
      <c r="I23" s="104" t="s">
        <v>47</v>
      </c>
    </row>
    <row r="24" spans="1:9">
      <c r="A24" s="181" t="str">
        <f t="shared" ref="A24:A29" si="0">A6</f>
        <v>Evenwicht</v>
      </c>
      <c r="B24" s="188">
        <v>0</v>
      </c>
      <c r="C24" s="189">
        <v>0</v>
      </c>
      <c r="D24" s="102">
        <f>D35</f>
        <v>9.3079489831111251E-2</v>
      </c>
      <c r="E24" s="19">
        <v>1</v>
      </c>
      <c r="F24" s="190">
        <v>0.02</v>
      </c>
      <c r="G24" s="29">
        <v>0</v>
      </c>
      <c r="H24" s="29" t="str">
        <f>'Control panel'!B30:B30</f>
        <v>Max rendement</v>
      </c>
      <c r="I24" s="29" t="s">
        <v>60</v>
      </c>
    </row>
    <row r="25" spans="1:9">
      <c r="A25" s="181" t="str">
        <f t="shared" si="0"/>
        <v>Base Case</v>
      </c>
      <c r="B25" s="188">
        <v>0</v>
      </c>
      <c r="C25" s="189">
        <v>0</v>
      </c>
      <c r="D25" s="102">
        <f t="shared" ref="D25:D34" si="1">$D$35</f>
        <v>9.3079489831111251E-2</v>
      </c>
      <c r="E25" s="19">
        <v>1</v>
      </c>
      <c r="F25" s="190">
        <v>0.02</v>
      </c>
      <c r="G25" s="29">
        <v>0</v>
      </c>
      <c r="H25" s="29" t="s">
        <v>49</v>
      </c>
      <c r="I25" s="29" t="s">
        <v>60</v>
      </c>
    </row>
    <row r="26" spans="1:9">
      <c r="A26" s="181" t="str">
        <f t="shared" si="0"/>
        <v>Base - muddle down</v>
      </c>
      <c r="B26" s="188">
        <v>0</v>
      </c>
      <c r="C26" s="189">
        <v>0</v>
      </c>
      <c r="D26" s="102">
        <f t="shared" si="1"/>
        <v>9.3079489831111251E-2</v>
      </c>
      <c r="E26" s="19">
        <v>1</v>
      </c>
      <c r="F26" s="190">
        <v>0.02</v>
      </c>
      <c r="G26" s="29">
        <v>0</v>
      </c>
      <c r="H26" s="29" t="s">
        <v>49</v>
      </c>
      <c r="I26" s="29" t="s">
        <v>60</v>
      </c>
    </row>
    <row r="27" spans="1:9">
      <c r="A27" s="181" t="str">
        <f t="shared" si="0"/>
        <v>Base - muddle up</v>
      </c>
      <c r="B27" s="188">
        <v>0</v>
      </c>
      <c r="C27" s="189">
        <v>0</v>
      </c>
      <c r="D27" s="102">
        <f t="shared" si="1"/>
        <v>9.3079489831111251E-2</v>
      </c>
      <c r="E27" s="19">
        <v>1</v>
      </c>
      <c r="F27" s="190">
        <v>0.02</v>
      </c>
      <c r="G27" s="29">
        <v>0</v>
      </c>
      <c r="H27" s="29" t="s">
        <v>49</v>
      </c>
      <c r="I27" s="29" t="s">
        <v>60</v>
      </c>
    </row>
    <row r="28" spans="1:9">
      <c r="A28" s="181" t="str">
        <f t="shared" si="0"/>
        <v>Bear case</v>
      </c>
      <c r="B28" s="188">
        <v>0</v>
      </c>
      <c r="C28" s="189">
        <v>0</v>
      </c>
      <c r="D28" s="102">
        <f t="shared" si="1"/>
        <v>9.3079489831111251E-2</v>
      </c>
      <c r="E28" s="19">
        <v>1</v>
      </c>
      <c r="F28" s="190">
        <v>0.02</v>
      </c>
      <c r="G28" s="29">
        <v>0</v>
      </c>
      <c r="H28" s="29" t="s">
        <v>49</v>
      </c>
      <c r="I28" s="29" t="s">
        <v>60</v>
      </c>
    </row>
    <row r="29" spans="1:9">
      <c r="A29" s="181" t="str">
        <f t="shared" si="0"/>
        <v>Tail risk</v>
      </c>
      <c r="B29" s="188">
        <v>0</v>
      </c>
      <c r="C29" s="189">
        <v>0</v>
      </c>
      <c r="D29" s="102">
        <f t="shared" si="1"/>
        <v>9.3079489831111251E-2</v>
      </c>
      <c r="E29" s="19">
        <v>1</v>
      </c>
      <c r="F29" s="190">
        <v>0.02</v>
      </c>
      <c r="G29" s="29">
        <v>0</v>
      </c>
      <c r="H29" s="29" t="s">
        <v>49</v>
      </c>
      <c r="I29" s="29" t="s">
        <v>60</v>
      </c>
    </row>
    <row r="30" spans="1:9">
      <c r="A30" s="181" t="str">
        <f t="shared" ref="A30" si="2">A12</f>
        <v>Bull case</v>
      </c>
      <c r="B30" s="188">
        <v>0</v>
      </c>
      <c r="C30" s="189">
        <v>0</v>
      </c>
      <c r="D30" s="102">
        <f t="shared" si="1"/>
        <v>9.3079489831111251E-2</v>
      </c>
      <c r="E30" s="19">
        <v>1</v>
      </c>
      <c r="F30" s="190">
        <v>0.02</v>
      </c>
      <c r="G30" s="29">
        <v>0</v>
      </c>
      <c r="H30" s="29" t="s">
        <v>49</v>
      </c>
      <c r="I30" s="29" t="s">
        <v>60</v>
      </c>
    </row>
    <row r="31" spans="1:9">
      <c r="A31" s="181"/>
      <c r="B31" s="188">
        <v>0</v>
      </c>
      <c r="C31" s="189">
        <v>0</v>
      </c>
      <c r="D31" s="102">
        <f t="shared" si="1"/>
        <v>9.3079489831111251E-2</v>
      </c>
      <c r="E31" s="19">
        <v>1</v>
      </c>
      <c r="F31" s="190">
        <v>0.02</v>
      </c>
      <c r="G31" s="29">
        <v>0</v>
      </c>
      <c r="H31" s="29" t="s">
        <v>49</v>
      </c>
      <c r="I31" s="29" t="s">
        <v>60</v>
      </c>
    </row>
    <row r="32" spans="1:9">
      <c r="A32" s="181"/>
      <c r="B32" s="188">
        <v>0</v>
      </c>
      <c r="C32" s="189">
        <v>0</v>
      </c>
      <c r="D32" s="102">
        <f t="shared" si="1"/>
        <v>9.3079489831111251E-2</v>
      </c>
      <c r="E32" s="19">
        <v>1</v>
      </c>
      <c r="F32" s="190">
        <v>0.02</v>
      </c>
      <c r="G32" s="29">
        <v>0</v>
      </c>
      <c r="H32" s="29" t="s">
        <v>49</v>
      </c>
      <c r="I32" s="29" t="s">
        <v>60</v>
      </c>
    </row>
    <row r="33" spans="1:9">
      <c r="A33" s="181"/>
      <c r="B33" s="188">
        <v>0</v>
      </c>
      <c r="C33" s="189">
        <v>0</v>
      </c>
      <c r="D33" s="102">
        <f t="shared" si="1"/>
        <v>9.3079489831111251E-2</v>
      </c>
      <c r="E33" s="19">
        <v>1</v>
      </c>
      <c r="F33" s="190">
        <v>0.02</v>
      </c>
      <c r="G33" s="29">
        <v>0</v>
      </c>
      <c r="H33" s="29" t="s">
        <v>49</v>
      </c>
      <c r="I33" s="29" t="s">
        <v>60</v>
      </c>
    </row>
    <row r="34" spans="1:9">
      <c r="A34" s="181"/>
      <c r="B34" s="188">
        <v>0</v>
      </c>
      <c r="C34" s="189">
        <v>0</v>
      </c>
      <c r="D34" s="102">
        <f t="shared" si="1"/>
        <v>9.3079489831111251E-2</v>
      </c>
      <c r="E34" s="19">
        <v>1</v>
      </c>
      <c r="F34" s="190">
        <v>0.02</v>
      </c>
      <c r="G34" s="29">
        <v>0</v>
      </c>
      <c r="H34" s="29" t="s">
        <v>49</v>
      </c>
      <c r="I34" s="29" t="s">
        <v>60</v>
      </c>
    </row>
    <row r="35" spans="1:9" ht="15.75" thickBot="1">
      <c r="A35" s="191" t="str">
        <f>A17</f>
        <v>Kansgewogen</v>
      </c>
      <c r="B35" s="192">
        <f>'Control panel'!B33</f>
        <v>0</v>
      </c>
      <c r="C35" s="77">
        <f>'Control panel'!C33</f>
        <v>0</v>
      </c>
      <c r="D35" s="103">
        <f>'Control panel'!B34</f>
        <v>9.3079489831111251E-2</v>
      </c>
      <c r="E35" s="23">
        <f>'Control panel'!C34</f>
        <v>1</v>
      </c>
      <c r="F35" s="193">
        <v>0.02</v>
      </c>
      <c r="G35" s="33">
        <f>'Control panel'!C35</f>
        <v>0</v>
      </c>
      <c r="H35" s="33" t="str">
        <f>'Control panel'!B30</f>
        <v>Max rendement</v>
      </c>
      <c r="I35" s="231" t="s">
        <v>60</v>
      </c>
    </row>
    <row r="37" spans="1:9">
      <c r="A37" s="27" t="s">
        <v>52</v>
      </c>
    </row>
    <row r="38" spans="1:9">
      <c r="A38" s="194" t="s">
        <v>53</v>
      </c>
      <c r="B38" s="105">
        <f>'Control panel'!B38</f>
        <v>0</v>
      </c>
    </row>
    <row r="39" spans="1:9">
      <c r="A39" s="194" t="s">
        <v>54</v>
      </c>
      <c r="B39" s="69">
        <f>'Control panel'!B39</f>
        <v>2</v>
      </c>
    </row>
    <row r="41" spans="1:9">
      <c r="A41" s="27" t="s">
        <v>55</v>
      </c>
    </row>
    <row r="42" spans="1:9">
      <c r="A42" s="195" t="s">
        <v>13</v>
      </c>
      <c r="B42" s="69">
        <f>'Control panel'!B42</f>
        <v>500</v>
      </c>
    </row>
    <row r="43" spans="1:9">
      <c r="A43" s="195" t="s">
        <v>12</v>
      </c>
      <c r="B43" s="69">
        <v>500</v>
      </c>
    </row>
    <row r="108" spans="1:3">
      <c r="A108" s="70" t="s">
        <v>31</v>
      </c>
    </row>
    <row r="109" spans="1:3">
      <c r="A109" s="71" t="s">
        <v>36</v>
      </c>
      <c r="B109" s="171">
        <v>1</v>
      </c>
    </row>
    <row r="110" spans="1:3">
      <c r="A110" s="71" t="s">
        <v>37</v>
      </c>
      <c r="B110" s="171">
        <v>0</v>
      </c>
    </row>
    <row r="112" spans="1:3">
      <c r="A112" s="70" t="s">
        <v>14</v>
      </c>
      <c r="C112" s="196" t="s">
        <v>62</v>
      </c>
    </row>
    <row r="113" spans="1:3">
      <c r="A113" s="71" t="s">
        <v>58</v>
      </c>
      <c r="B113" s="171">
        <v>0</v>
      </c>
      <c r="C113" s="171">
        <f>VLOOKUP(H24,$A$113:$B$116,2,0)</f>
        <v>1</v>
      </c>
    </row>
    <row r="114" spans="1:3">
      <c r="A114" s="71" t="s">
        <v>49</v>
      </c>
      <c r="B114" s="171">
        <v>1</v>
      </c>
      <c r="C114" s="171">
        <f t="shared" ref="C114:C119" si="3">VLOOKUP(H25,$A$113:$B$116,2,0)</f>
        <v>1</v>
      </c>
    </row>
    <row r="115" spans="1:3">
      <c r="A115" s="71" t="s">
        <v>50</v>
      </c>
      <c r="B115" s="171">
        <v>2</v>
      </c>
      <c r="C115" s="171">
        <f t="shared" si="3"/>
        <v>1</v>
      </c>
    </row>
    <row r="116" spans="1:3">
      <c r="A116" s="71" t="s">
        <v>51</v>
      </c>
      <c r="B116" s="171">
        <v>3</v>
      </c>
      <c r="C116" s="171">
        <f t="shared" si="3"/>
        <v>1</v>
      </c>
    </row>
    <row r="117" spans="1:3">
      <c r="C117" s="171">
        <f t="shared" si="3"/>
        <v>1</v>
      </c>
    </row>
    <row r="118" spans="1:3">
      <c r="C118" s="171">
        <f t="shared" si="3"/>
        <v>1</v>
      </c>
    </row>
    <row r="119" spans="1:3">
      <c r="A119" s="70" t="s">
        <v>56</v>
      </c>
      <c r="B119" s="171">
        <v>0</v>
      </c>
      <c r="C119" s="171">
        <f t="shared" si="3"/>
        <v>1</v>
      </c>
    </row>
    <row r="120" spans="1:3">
      <c r="B120" s="171">
        <v>1</v>
      </c>
      <c r="C120" s="171">
        <f>VLOOKUP(H35,$A$113:$B$116,2,0)</f>
        <v>1</v>
      </c>
    </row>
    <row r="121" spans="1:3">
      <c r="B121" s="171">
        <v>2</v>
      </c>
    </row>
    <row r="123" spans="1:3">
      <c r="A123" s="70" t="s">
        <v>57</v>
      </c>
    </row>
    <row r="124" spans="1:3">
      <c r="A124" s="71" t="s">
        <v>58</v>
      </c>
      <c r="B124" s="171">
        <v>0</v>
      </c>
    </row>
    <row r="125" spans="1:3">
      <c r="A125" s="71" t="str">
        <f>'Absolute visies'!A58</f>
        <v>Nominale matching</v>
      </c>
      <c r="B125" s="171">
        <v>1</v>
      </c>
    </row>
    <row r="126" spans="1:3">
      <c r="A126" s="71" t="str">
        <f>'Absolute visies'!A59</f>
        <v>High Yield</v>
      </c>
      <c r="B126" s="171">
        <v>2</v>
      </c>
    </row>
    <row r="127" spans="1:3">
      <c r="A127" s="71" t="str">
        <f>'Absolute visies'!A60</f>
        <v>Emerging market debt</v>
      </c>
      <c r="B127" s="171">
        <v>3</v>
      </c>
    </row>
    <row r="128" spans="1:3">
      <c r="A128" s="71" t="str">
        <f>'Absolute visies'!A61</f>
        <v>Aandelen ontwikkeld</v>
      </c>
      <c r="B128" s="171">
        <v>4</v>
      </c>
    </row>
    <row r="129" spans="1:2">
      <c r="A129" s="71" t="str">
        <f>'Absolute visies'!A62</f>
        <v>Aandelen opkomend</v>
      </c>
      <c r="B129" s="171">
        <v>5</v>
      </c>
    </row>
    <row r="130" spans="1:2">
      <c r="A130" s="71" t="str">
        <f>'Absolute visies'!A63</f>
        <v>Commodities</v>
      </c>
      <c r="B130" s="171">
        <v>6</v>
      </c>
    </row>
    <row r="131" spans="1:2">
      <c r="A131" s="71" t="str">
        <f>'Absolute visies'!A64</f>
        <v>Hedge funds</v>
      </c>
      <c r="B131" s="171">
        <v>7</v>
      </c>
    </row>
    <row r="132" spans="1:2">
      <c r="A132" s="71" t="str">
        <f>'Absolute visies'!A65</f>
        <v>Onroerend goed</v>
      </c>
      <c r="B132" s="171">
        <v>8</v>
      </c>
    </row>
    <row r="134" spans="1:2">
      <c r="A134" s="70" t="s">
        <v>59</v>
      </c>
      <c r="B134" s="171">
        <f>VLOOKUP(B20,A124:B132,2,0)</f>
        <v>0</v>
      </c>
    </row>
    <row r="136" spans="1:2">
      <c r="A136" s="70" t="s">
        <v>46</v>
      </c>
      <c r="B136" s="171" t="s">
        <v>60</v>
      </c>
    </row>
    <row r="137" spans="1:2">
      <c r="B137" s="171" t="s">
        <v>61</v>
      </c>
    </row>
  </sheetData>
  <conditionalFormatting sqref="C24:C35">
    <cfRule type="iconSet" priority="3">
      <iconSet>
        <cfvo type="percent" val="0"/>
        <cfvo type="percent" val="33"/>
        <cfvo type="percent" val="67"/>
      </iconSet>
    </cfRule>
  </conditionalFormatting>
  <conditionalFormatting sqref="E24:E35">
    <cfRule type="iconSet" priority="2">
      <iconSet>
        <cfvo type="percent" val="0"/>
        <cfvo type="percent" val="33"/>
        <cfvo type="percent" val="67"/>
      </iconSet>
    </cfRule>
  </conditionalFormatting>
  <conditionalFormatting sqref="G24:G35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4:I35">
      <formula1>$B$136:$B$137</formula1>
    </dataValidation>
    <dataValidation type="list" allowBlank="1" showInputMessage="1" showErrorMessage="1" sqref="H24:H35">
      <formula1>$A$113:$A$116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4:G35 E24:E35 C24:C35">
      <formula1>aan_uit</formula1>
    </dataValidation>
    <dataValidation type="list" allowBlank="1" showInputMessage="1" showErrorMessage="1" sqref="B39">
      <formula1>$B$119:$B$121</formula1>
    </dataValidation>
    <dataValidation type="list" allowBlank="1" showInputMessage="1" showErrorMessage="1" sqref="B20">
      <formula1>$A$124:$A$132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143"/>
  <sheetViews>
    <sheetView topLeftCell="A112" workbookViewId="0">
      <selection activeCell="A131" sqref="A131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6" t="s">
        <v>69</v>
      </c>
    </row>
    <row r="2" spans="1:30" ht="15.75" thickBot="1">
      <c r="A2" s="47"/>
      <c r="D2" s="341" t="s">
        <v>64</v>
      </c>
      <c r="E2" s="342"/>
      <c r="F2" s="343"/>
      <c r="G2" s="341" t="s">
        <v>65</v>
      </c>
      <c r="H2" s="342"/>
      <c r="I2" s="342"/>
      <c r="J2" s="342"/>
      <c r="K2" s="342"/>
      <c r="L2" s="342"/>
      <c r="M2" s="342"/>
      <c r="N2" s="342"/>
      <c r="O2" s="343"/>
      <c r="R2" s="222" t="s">
        <v>66</v>
      </c>
      <c r="S2" s="48"/>
      <c r="T2" s="48"/>
      <c r="U2" s="48"/>
      <c r="W2" s="48"/>
    </row>
    <row r="3" spans="1:30">
      <c r="A3" s="237" t="s">
        <v>70</v>
      </c>
      <c r="B3" s="238" t="s">
        <v>67</v>
      </c>
      <c r="C3" s="239" t="s">
        <v>2</v>
      </c>
      <c r="D3" s="240">
        <v>0.25</v>
      </c>
      <c r="E3" s="241">
        <v>0.5</v>
      </c>
      <c r="F3" s="242">
        <v>0.75</v>
      </c>
      <c r="G3" s="243">
        <v>0.3213167863826466</v>
      </c>
      <c r="H3" s="243">
        <v>0.27180276812406789</v>
      </c>
      <c r="I3" s="243">
        <v>0.17590732786646612</v>
      </c>
      <c r="J3" s="243">
        <v>0.14021351030769369</v>
      </c>
      <c r="K3" s="243">
        <v>6.8175161863030187E-2</v>
      </c>
      <c r="L3" s="243">
        <v>2.255364377720126E-2</v>
      </c>
      <c r="M3" s="243">
        <v>3.0801678894576412E-5</v>
      </c>
      <c r="N3" s="243">
        <v>0</v>
      </c>
      <c r="O3" s="244">
        <v>0</v>
      </c>
      <c r="R3" s="49" t="str">
        <f>A3</f>
        <v>Evenwicht</v>
      </c>
      <c r="S3" s="49"/>
      <c r="T3" s="50"/>
      <c r="U3" s="49"/>
      <c r="W3" s="49"/>
      <c r="AA3" s="50"/>
      <c r="AB3" s="50"/>
      <c r="AC3" s="50"/>
      <c r="AD3" s="50"/>
    </row>
    <row r="4" spans="1:30">
      <c r="A4" s="51" t="str">
        <f>'Absolute visies'!A4</f>
        <v>Nominale matching</v>
      </c>
      <c r="B4" s="1">
        <v>0.60731781910603744</v>
      </c>
      <c r="C4" s="52">
        <v>1.6293210462292502E-2</v>
      </c>
      <c r="D4" s="53">
        <v>0.594639942656918</v>
      </c>
      <c r="E4" s="1">
        <v>0.60504989539618315</v>
      </c>
      <c r="F4" s="54">
        <v>0.61856240495511805</v>
      </c>
      <c r="G4" s="2">
        <v>-9.4165051819547693E-2</v>
      </c>
      <c r="H4" s="2">
        <v>2.1256080822484244E-2</v>
      </c>
      <c r="I4" s="2">
        <v>-9.6066983157032923E-2</v>
      </c>
      <c r="J4" s="2">
        <v>0.73001365128324014</v>
      </c>
      <c r="K4" s="2">
        <v>0.4123249639465682</v>
      </c>
      <c r="L4" s="2">
        <v>0.14769615630449268</v>
      </c>
      <c r="M4" s="2">
        <v>1</v>
      </c>
      <c r="N4" s="2">
        <v>0.99999999999820532</v>
      </c>
      <c r="O4" s="55"/>
      <c r="R4" s="49" t="str">
        <f>IF(A4&lt;&gt;"",A4,"")</f>
        <v>Nominale matching</v>
      </c>
      <c r="S4" s="50">
        <f>IF($A4="","",D4)</f>
        <v>0.594639942656918</v>
      </c>
      <c r="T4" s="50">
        <f>IF($A4="","",B4-D4)</f>
        <v>1.2677876449119441E-2</v>
      </c>
      <c r="U4" s="50">
        <f>IF($A4="","",F4-B4)</f>
        <v>1.1244585849080613E-2</v>
      </c>
      <c r="W4" s="56"/>
      <c r="AA4" s="50"/>
      <c r="AB4" s="50"/>
      <c r="AC4" s="50"/>
      <c r="AD4" s="50"/>
    </row>
    <row r="5" spans="1:30">
      <c r="A5" s="57" t="str">
        <f>'Absolute visies'!A5</f>
        <v>High Yield</v>
      </c>
      <c r="B5" s="1">
        <v>5.7360801341584354E-2</v>
      </c>
      <c r="C5" s="52">
        <v>3.6285038521449778E-2</v>
      </c>
      <c r="D5" s="53">
        <v>2.956906497505566E-2</v>
      </c>
      <c r="E5" s="1">
        <v>5.1099737427924431E-2</v>
      </c>
      <c r="F5" s="54">
        <v>8.0787156029774376E-2</v>
      </c>
      <c r="G5" s="2">
        <v>-0.45455882792325919</v>
      </c>
      <c r="H5" s="2">
        <v>-0.90857724829978714</v>
      </c>
      <c r="I5" s="2">
        <v>-0.29245621615847339</v>
      </c>
      <c r="J5" s="2">
        <v>-0.76311831344787362</v>
      </c>
      <c r="K5" s="2">
        <v>-0.13116750901254129</v>
      </c>
      <c r="L5" s="2">
        <v>-8.9181233331014076E-2</v>
      </c>
      <c r="M5" s="2">
        <v>0.18868351132060585</v>
      </c>
      <c r="N5" s="2">
        <v>0.99999999999915401</v>
      </c>
      <c r="O5" s="55"/>
      <c r="R5" s="49" t="str">
        <f t="shared" ref="R5:R18" si="0">IF(A5&lt;&gt;"",A5,"")</f>
        <v>High Yield</v>
      </c>
      <c r="S5" s="50">
        <f t="shared" ref="S5:S18" si="1">IF($A5="","",D5)</f>
        <v>2.956906497505566E-2</v>
      </c>
      <c r="T5" s="50">
        <f t="shared" ref="T5:T18" si="2">IF($A5="","",B5-D5)</f>
        <v>2.7791736366528694E-2</v>
      </c>
      <c r="U5" s="50">
        <f t="shared" ref="U5:U18" si="3">IF($A5="","",F5-B5)</f>
        <v>2.3426354688190022E-2</v>
      </c>
      <c r="W5" s="56"/>
      <c r="AA5" s="50"/>
      <c r="AB5" s="50"/>
      <c r="AC5" s="50"/>
      <c r="AD5" s="50"/>
    </row>
    <row r="6" spans="1:30">
      <c r="A6" s="57" t="str">
        <f>'Absolute visies'!A6</f>
        <v>Emerging market debt</v>
      </c>
      <c r="B6" s="1">
        <v>6.4107549519951609E-2</v>
      </c>
      <c r="C6" s="52">
        <v>4.0821511716863441E-2</v>
      </c>
      <c r="D6" s="53">
        <v>3.0979705206558284E-2</v>
      </c>
      <c r="E6" s="1">
        <v>5.8744200696684054E-2</v>
      </c>
      <c r="F6" s="54">
        <v>8.8684136601571067E-2</v>
      </c>
      <c r="G6" s="2">
        <v>1</v>
      </c>
      <c r="H6" s="2">
        <v>1.3146567382149364E-2</v>
      </c>
      <c r="I6" s="2">
        <v>-0.20477934668299469</v>
      </c>
      <c r="J6" s="2">
        <v>-0.4950718775621753</v>
      </c>
      <c r="K6" s="2">
        <v>4.8015067306364484E-2</v>
      </c>
      <c r="L6" s="2">
        <v>-9.1875086146088955E-2</v>
      </c>
      <c r="M6" s="2">
        <v>0.14596002636814631</v>
      </c>
      <c r="N6" s="2">
        <v>0.99999999999920419</v>
      </c>
      <c r="O6" s="55"/>
      <c r="R6" s="49" t="str">
        <f t="shared" si="0"/>
        <v>Emerging market debt</v>
      </c>
      <c r="S6" s="50">
        <f t="shared" si="1"/>
        <v>3.0979705206558284E-2</v>
      </c>
      <c r="T6" s="50">
        <f t="shared" si="2"/>
        <v>3.3127844313393329E-2</v>
      </c>
      <c r="U6" s="50">
        <f t="shared" si="3"/>
        <v>2.4576587081619458E-2</v>
      </c>
      <c r="AA6" s="50"/>
      <c r="AB6" s="50"/>
      <c r="AC6" s="50"/>
      <c r="AD6" s="50"/>
    </row>
    <row r="7" spans="1:30">
      <c r="A7" s="57" t="str">
        <f>'Absolute visies'!A7</f>
        <v>Aandelen ontwikkeld</v>
      </c>
      <c r="B7" s="1">
        <v>8.9565585438851084E-2</v>
      </c>
      <c r="C7" s="52">
        <v>2.5854023941256306E-2</v>
      </c>
      <c r="D7" s="53">
        <v>7.068423209378516E-2</v>
      </c>
      <c r="E7" s="1">
        <v>8.7581814613097636E-2</v>
      </c>
      <c r="F7" s="54">
        <v>0.10724740788076309</v>
      </c>
      <c r="G7" s="2">
        <v>0.12721309584093146</v>
      </c>
      <c r="H7" s="2">
        <v>-0.46065697622309715</v>
      </c>
      <c r="I7" s="2">
        <v>-0.16616762459789722</v>
      </c>
      <c r="J7" s="2">
        <v>1</v>
      </c>
      <c r="K7" s="2">
        <v>-0.47168458939978658</v>
      </c>
      <c r="L7" s="2">
        <v>-0.29083619168946967</v>
      </c>
      <c r="M7" s="2">
        <v>-0.53357594034910116</v>
      </c>
      <c r="N7" s="2">
        <v>1</v>
      </c>
      <c r="O7" s="55"/>
      <c r="R7" s="49" t="str">
        <f t="shared" si="0"/>
        <v>Aandelen ontwikkeld</v>
      </c>
      <c r="S7" s="50">
        <f t="shared" si="1"/>
        <v>7.068423209378516E-2</v>
      </c>
      <c r="T7" s="50">
        <f t="shared" si="2"/>
        <v>1.8881353345065924E-2</v>
      </c>
      <c r="U7" s="50">
        <f t="shared" si="3"/>
        <v>1.7681822441912007E-2</v>
      </c>
      <c r="AA7" s="50"/>
      <c r="AB7" s="50"/>
      <c r="AC7" s="50"/>
      <c r="AD7" s="50"/>
    </row>
    <row r="8" spans="1:30">
      <c r="A8" s="57" t="str">
        <f>'Absolute visies'!A8</f>
        <v>Aandelen opkomend</v>
      </c>
      <c r="B8" s="1">
        <v>5.7876974781299544E-2</v>
      </c>
      <c r="C8" s="52">
        <v>1.9417051031469016E-2</v>
      </c>
      <c r="D8" s="53">
        <v>4.4497817193361995E-2</v>
      </c>
      <c r="E8" s="1">
        <v>5.6835965976206479E-2</v>
      </c>
      <c r="F8" s="54">
        <v>7.2420345062538555E-2</v>
      </c>
      <c r="G8" s="2">
        <v>-0.16677617849666287</v>
      </c>
      <c r="H8" s="2">
        <v>0.14363231282163533</v>
      </c>
      <c r="I8" s="2">
        <v>0.27639204881043677</v>
      </c>
      <c r="J8" s="2">
        <v>-8.2787987834502183E-2</v>
      </c>
      <c r="K8" s="2">
        <v>1</v>
      </c>
      <c r="L8" s="2">
        <v>-0.4254935961771954</v>
      </c>
      <c r="M8" s="2">
        <v>-0.493815568806103</v>
      </c>
      <c r="N8" s="2">
        <v>0.99999999999995426</v>
      </c>
      <c r="O8" s="55"/>
      <c r="R8" s="49" t="str">
        <f t="shared" si="0"/>
        <v>Aandelen opkomend</v>
      </c>
      <c r="S8" s="50">
        <f t="shared" si="1"/>
        <v>4.4497817193361995E-2</v>
      </c>
      <c r="T8" s="50">
        <f t="shared" si="2"/>
        <v>1.3379157587937549E-2</v>
      </c>
      <c r="U8" s="50">
        <f t="shared" si="3"/>
        <v>1.4543370281239011E-2</v>
      </c>
      <c r="AA8" s="50"/>
      <c r="AB8" s="50"/>
      <c r="AC8" s="50"/>
      <c r="AD8" s="50"/>
    </row>
    <row r="9" spans="1:30">
      <c r="A9" s="57" t="str">
        <f>'Absolute visies'!A9</f>
        <v>Commodities</v>
      </c>
      <c r="B9" s="1">
        <v>1.9044213840149846E-2</v>
      </c>
      <c r="C9" s="52">
        <v>1.0778683492170047E-2</v>
      </c>
      <c r="D9" s="53">
        <v>1.0475268344707446E-2</v>
      </c>
      <c r="E9" s="1">
        <v>1.8251523257450344E-2</v>
      </c>
      <c r="F9" s="54">
        <v>2.698097752370987E-2</v>
      </c>
      <c r="G9" s="2">
        <v>-3.0092099028668794E-2</v>
      </c>
      <c r="H9" s="2">
        <v>2.9729322217417538E-2</v>
      </c>
      <c r="I9" s="2">
        <v>2.2445364330665522E-2</v>
      </c>
      <c r="J9" s="2">
        <v>-1.4013119865982979E-2</v>
      </c>
      <c r="K9" s="2">
        <v>0.10711684421900389</v>
      </c>
      <c r="L9" s="2">
        <v>1</v>
      </c>
      <c r="M9" s="2">
        <v>-0.47436535231229715</v>
      </c>
      <c r="N9" s="2">
        <v>0.99999999999993239</v>
      </c>
      <c r="O9" s="55"/>
      <c r="R9" s="49" t="str">
        <f t="shared" si="0"/>
        <v>Commodities</v>
      </c>
      <c r="S9" s="50">
        <f t="shared" si="1"/>
        <v>1.0475268344707446E-2</v>
      </c>
      <c r="T9" s="50">
        <f t="shared" si="2"/>
        <v>8.5689454954424003E-3</v>
      </c>
      <c r="U9" s="50">
        <f t="shared" si="3"/>
        <v>7.936763683560024E-3</v>
      </c>
      <c r="AA9" s="50"/>
      <c r="AB9" s="50"/>
      <c r="AC9" s="50"/>
      <c r="AD9" s="50"/>
    </row>
    <row r="10" spans="1:30">
      <c r="A10" s="57" t="str">
        <f>'Absolute visies'!A10</f>
        <v>Hedge funds</v>
      </c>
      <c r="B10" s="1">
        <v>4.7869888646712648E-2</v>
      </c>
      <c r="C10" s="52">
        <v>2.9476138409447766E-2</v>
      </c>
      <c r="D10" s="53">
        <v>2.5026039095407477E-2</v>
      </c>
      <c r="E10" s="1">
        <v>4.2686224248085249E-2</v>
      </c>
      <c r="F10" s="54">
        <v>6.7124248145192522E-2</v>
      </c>
      <c r="G10" s="2">
        <v>-4.880541570045583E-2</v>
      </c>
      <c r="H10" s="2">
        <v>0.16146994127919898</v>
      </c>
      <c r="I10" s="2">
        <v>1</v>
      </c>
      <c r="J10" s="2">
        <v>-0.17366853730299051</v>
      </c>
      <c r="K10" s="2">
        <v>-0.56280832271636139</v>
      </c>
      <c r="L10" s="2">
        <v>-7.7230381588494726E-2</v>
      </c>
      <c r="M10" s="2">
        <v>0.21420791913881509</v>
      </c>
      <c r="N10" s="2">
        <v>0.99999999999912381</v>
      </c>
      <c r="O10" s="55"/>
      <c r="R10" s="49" t="str">
        <f t="shared" si="0"/>
        <v>Hedge funds</v>
      </c>
      <c r="S10" s="50">
        <f t="shared" si="1"/>
        <v>2.5026039095407477E-2</v>
      </c>
      <c r="T10" s="50">
        <f t="shared" si="2"/>
        <v>2.2843849551305171E-2</v>
      </c>
      <c r="U10" s="50">
        <f t="shared" si="3"/>
        <v>1.9254359498479874E-2</v>
      </c>
      <c r="AA10" s="50"/>
      <c r="AB10" s="50"/>
      <c r="AC10" s="50"/>
      <c r="AD10" s="50"/>
    </row>
    <row r="11" spans="1:30">
      <c r="A11" s="57" t="str">
        <f>'Absolute visies'!A11</f>
        <v>Onroerend goed</v>
      </c>
      <c r="B11" s="1">
        <v>5.6857167325413648E-2</v>
      </c>
      <c r="C11" s="52">
        <v>3.6128198694251164E-2</v>
      </c>
      <c r="D11" s="53">
        <v>2.8910159229896662E-2</v>
      </c>
      <c r="E11" s="1">
        <v>5.1062262979306952E-2</v>
      </c>
      <c r="F11" s="54">
        <v>8.0385762072739758E-2</v>
      </c>
      <c r="G11" s="2">
        <v>-0.33281552287233757</v>
      </c>
      <c r="H11" s="2">
        <v>1</v>
      </c>
      <c r="I11" s="2">
        <v>-0.53936724254470436</v>
      </c>
      <c r="J11" s="2">
        <v>-0.20135381526971713</v>
      </c>
      <c r="K11" s="2">
        <v>-0.40179645434324857</v>
      </c>
      <c r="L11" s="2">
        <v>-0.17307966737223182</v>
      </c>
      <c r="M11" s="2">
        <v>-4.7094595357888874E-2</v>
      </c>
      <c r="N11" s="2">
        <v>0.99999999999942868</v>
      </c>
      <c r="O11" s="55"/>
      <c r="R11" s="49" t="str">
        <f t="shared" si="0"/>
        <v>Onroerend goed</v>
      </c>
      <c r="S11" s="50">
        <f t="shared" si="1"/>
        <v>2.8910159229896662E-2</v>
      </c>
      <c r="T11" s="50">
        <f t="shared" si="2"/>
        <v>2.7947008095516986E-2</v>
      </c>
      <c r="U11" s="50">
        <f t="shared" si="3"/>
        <v>2.3528594747326111E-2</v>
      </c>
    </row>
    <row r="12" spans="1:30">
      <c r="A12" s="57">
        <v>1</v>
      </c>
      <c r="B12" s="1"/>
      <c r="C12" s="52"/>
      <c r="D12" s="53"/>
      <c r="E12" s="1"/>
      <c r="F12" s="54"/>
      <c r="G12" s="2"/>
      <c r="H12" s="2"/>
      <c r="I12" s="2"/>
      <c r="J12" s="2"/>
      <c r="K12" s="2"/>
      <c r="L12" s="2"/>
      <c r="M12" s="2"/>
      <c r="N12" s="2"/>
      <c r="O12" s="55"/>
      <c r="R12" s="49">
        <f t="shared" si="0"/>
        <v>1</v>
      </c>
      <c r="S12" s="50">
        <f t="shared" si="1"/>
        <v>0</v>
      </c>
      <c r="T12" s="50">
        <f t="shared" si="2"/>
        <v>0</v>
      </c>
      <c r="U12" s="50">
        <f t="shared" si="3"/>
        <v>0</v>
      </c>
      <c r="AA12" s="50"/>
      <c r="AB12" s="50"/>
      <c r="AC12" s="50"/>
      <c r="AD12" s="50"/>
    </row>
    <row r="13" spans="1:30">
      <c r="A13" s="57">
        <v>2</v>
      </c>
      <c r="B13" s="1"/>
      <c r="C13" s="52"/>
      <c r="D13" s="53"/>
      <c r="E13" s="1"/>
      <c r="F13" s="54"/>
      <c r="G13" s="2"/>
      <c r="H13" s="2"/>
      <c r="I13" s="2"/>
      <c r="J13" s="2"/>
      <c r="K13" s="2"/>
      <c r="L13" s="2"/>
      <c r="M13" s="2"/>
      <c r="N13" s="2"/>
      <c r="O13" s="55"/>
      <c r="R13" s="49">
        <f t="shared" si="0"/>
        <v>2</v>
      </c>
      <c r="S13" s="50">
        <f t="shared" si="1"/>
        <v>0</v>
      </c>
      <c r="T13" s="50">
        <f t="shared" si="2"/>
        <v>0</v>
      </c>
      <c r="U13" s="50">
        <f t="shared" si="3"/>
        <v>0</v>
      </c>
    </row>
    <row r="14" spans="1:30">
      <c r="A14" s="57">
        <v>3</v>
      </c>
      <c r="B14" s="1"/>
      <c r="C14" s="52"/>
      <c r="D14" s="53"/>
      <c r="E14" s="1"/>
      <c r="F14" s="54"/>
      <c r="G14" s="2"/>
      <c r="H14" s="2"/>
      <c r="I14" s="2"/>
      <c r="J14" s="2"/>
      <c r="K14" s="2"/>
      <c r="L14" s="2"/>
      <c r="M14" s="2"/>
      <c r="N14" s="2"/>
      <c r="O14" s="55"/>
      <c r="R14" s="49">
        <f t="shared" si="0"/>
        <v>3</v>
      </c>
      <c r="S14" s="50">
        <f t="shared" si="1"/>
        <v>0</v>
      </c>
      <c r="T14" s="50">
        <f t="shared" si="2"/>
        <v>0</v>
      </c>
      <c r="U14" s="50">
        <f t="shared" si="3"/>
        <v>0</v>
      </c>
      <c r="AA14" s="50"/>
      <c r="AB14" s="50"/>
      <c r="AC14" s="50"/>
      <c r="AD14" s="50"/>
    </row>
    <row r="15" spans="1:30">
      <c r="A15" s="57">
        <v>4</v>
      </c>
      <c r="B15" s="1"/>
      <c r="C15" s="52"/>
      <c r="D15" s="53"/>
      <c r="E15" s="1"/>
      <c r="F15" s="54"/>
      <c r="G15" s="2"/>
      <c r="H15" s="2"/>
      <c r="I15" s="2"/>
      <c r="J15" s="2"/>
      <c r="K15" s="2"/>
      <c r="L15" s="2"/>
      <c r="M15" s="2"/>
      <c r="N15" s="2"/>
      <c r="O15" s="55"/>
      <c r="R15" s="49">
        <f t="shared" si="0"/>
        <v>4</v>
      </c>
      <c r="S15" s="50">
        <f t="shared" si="1"/>
        <v>0</v>
      </c>
      <c r="T15" s="50">
        <f t="shared" si="2"/>
        <v>0</v>
      </c>
      <c r="U15" s="50">
        <f t="shared" si="3"/>
        <v>0</v>
      </c>
      <c r="AA15" s="50"/>
      <c r="AB15" s="50"/>
      <c r="AC15" s="50"/>
      <c r="AD15" s="50"/>
    </row>
    <row r="16" spans="1:30">
      <c r="A16" s="57">
        <v>5</v>
      </c>
      <c r="B16" s="1"/>
      <c r="C16" s="52"/>
      <c r="D16" s="53"/>
      <c r="E16" s="1"/>
      <c r="F16" s="54"/>
      <c r="G16" s="2"/>
      <c r="H16" s="2"/>
      <c r="I16" s="2"/>
      <c r="J16" s="2"/>
      <c r="K16" s="2"/>
      <c r="L16" s="2"/>
      <c r="M16" s="2"/>
      <c r="N16" s="2"/>
      <c r="O16" s="55"/>
      <c r="R16" s="49">
        <f t="shared" si="0"/>
        <v>5</v>
      </c>
      <c r="S16" s="50">
        <f t="shared" si="1"/>
        <v>0</v>
      </c>
      <c r="T16" s="50">
        <f t="shared" si="2"/>
        <v>0</v>
      </c>
      <c r="U16" s="50">
        <f t="shared" si="3"/>
        <v>0</v>
      </c>
      <c r="AA16" s="50"/>
      <c r="AB16" s="50"/>
      <c r="AC16" s="50"/>
      <c r="AD16" s="50"/>
    </row>
    <row r="17" spans="1:30">
      <c r="A17" s="57">
        <v>6</v>
      </c>
      <c r="B17" s="1"/>
      <c r="C17" s="52"/>
      <c r="D17" s="53"/>
      <c r="E17" s="1"/>
      <c r="F17" s="54"/>
      <c r="G17" s="2"/>
      <c r="H17" s="2"/>
      <c r="I17" s="2"/>
      <c r="J17" s="2"/>
      <c r="K17" s="2"/>
      <c r="L17" s="2"/>
      <c r="M17" s="2"/>
      <c r="N17" s="2"/>
      <c r="O17" s="55"/>
      <c r="R17" s="49">
        <f t="shared" si="0"/>
        <v>6</v>
      </c>
      <c r="S17" s="50">
        <f t="shared" si="1"/>
        <v>0</v>
      </c>
      <c r="T17" s="50">
        <f t="shared" si="2"/>
        <v>0</v>
      </c>
      <c r="U17" s="50">
        <f t="shared" si="3"/>
        <v>0</v>
      </c>
      <c r="AA17" s="50"/>
      <c r="AB17" s="50"/>
      <c r="AC17" s="50"/>
      <c r="AD17" s="50"/>
    </row>
    <row r="18" spans="1:30">
      <c r="A18" s="58">
        <v>7</v>
      </c>
      <c r="B18" s="59"/>
      <c r="C18" s="60"/>
      <c r="D18" s="61"/>
      <c r="E18" s="59"/>
      <c r="F18" s="62"/>
      <c r="G18" s="63"/>
      <c r="H18" s="63"/>
      <c r="I18" s="63"/>
      <c r="J18" s="63"/>
      <c r="K18" s="63"/>
      <c r="L18" s="63"/>
      <c r="M18" s="63"/>
      <c r="N18" s="63"/>
      <c r="O18" s="64"/>
      <c r="R18" s="49">
        <f t="shared" si="0"/>
        <v>7</v>
      </c>
      <c r="S18" s="50">
        <f t="shared" si="1"/>
        <v>0</v>
      </c>
      <c r="T18" s="50">
        <f t="shared" si="2"/>
        <v>0</v>
      </c>
      <c r="U18" s="50">
        <f t="shared" si="3"/>
        <v>0</v>
      </c>
      <c r="AA18" s="50"/>
      <c r="AB18" s="50"/>
      <c r="AC18" s="50"/>
      <c r="AD18" s="50"/>
    </row>
    <row r="19" spans="1:30">
      <c r="S19" s="50"/>
      <c r="T19" s="50"/>
      <c r="AA19" s="50"/>
      <c r="AB19" s="50"/>
      <c r="AC19" s="50"/>
      <c r="AD19" s="50"/>
    </row>
    <row r="20" spans="1:30">
      <c r="A20" s="46" t="s">
        <v>68</v>
      </c>
      <c r="D20" s="341" t="s">
        <v>64</v>
      </c>
      <c r="E20" s="342"/>
      <c r="F20" s="343"/>
      <c r="G20" s="341" t="s">
        <v>65</v>
      </c>
      <c r="H20" s="342"/>
      <c r="I20" s="342"/>
      <c r="J20" s="342"/>
      <c r="K20" s="342"/>
      <c r="L20" s="342"/>
      <c r="M20" s="342"/>
      <c r="N20" s="342"/>
      <c r="O20" s="343"/>
      <c r="AA20" s="50"/>
      <c r="AB20" s="50"/>
      <c r="AC20" s="50"/>
      <c r="AD20" s="50"/>
    </row>
    <row r="21" spans="1:30">
      <c r="A21" s="237" t="str">
        <f>Optimalisatie!A25</f>
        <v>Base Case</v>
      </c>
      <c r="B21" s="238" t="s">
        <v>1</v>
      </c>
      <c r="C21" s="239" t="s">
        <v>2</v>
      </c>
      <c r="D21" s="240">
        <v>0.25</v>
      </c>
      <c r="E21" s="241">
        <v>0.5</v>
      </c>
      <c r="F21" s="242">
        <v>0.75</v>
      </c>
      <c r="G21" s="243">
        <v>0.36755255560759514</v>
      </c>
      <c r="H21" s="243">
        <v>0.27179436647699395</v>
      </c>
      <c r="I21" s="243">
        <v>0.18383106223418022</v>
      </c>
      <c r="J21" s="243">
        <v>0.14758575501358506</v>
      </c>
      <c r="K21" s="243">
        <v>1.6665972032628207E-2</v>
      </c>
      <c r="L21" s="243">
        <v>9.5332000169112696E-3</v>
      </c>
      <c r="M21" s="243">
        <v>3.037088618111472E-3</v>
      </c>
      <c r="N21" s="243">
        <v>0</v>
      </c>
      <c r="O21" s="244">
        <v>0</v>
      </c>
      <c r="R21" s="49" t="str">
        <f>A21</f>
        <v>Base Case</v>
      </c>
      <c r="S21" s="49"/>
      <c r="T21" s="50"/>
      <c r="U21" s="49"/>
    </row>
    <row r="22" spans="1:30">
      <c r="A22" s="57" t="str">
        <f>IF(A4="","",A4)</f>
        <v>Nominale matching</v>
      </c>
      <c r="B22" s="248">
        <v>0.68826537185477332</v>
      </c>
      <c r="C22" s="52">
        <v>1.4047802046478774E-2</v>
      </c>
      <c r="D22" s="53">
        <v>0.67764273190372148</v>
      </c>
      <c r="E22" s="1">
        <v>0.6875043865921604</v>
      </c>
      <c r="F22" s="54">
        <v>0.69814035454004952</v>
      </c>
      <c r="G22" s="2">
        <v>-0.64794703330648828</v>
      </c>
      <c r="H22" s="2">
        <v>-2.6666864056712154E-2</v>
      </c>
      <c r="I22" s="2">
        <v>-0.47184439746734097</v>
      </c>
      <c r="J22" s="2">
        <v>-0.21416377349837337</v>
      </c>
      <c r="K22" s="2">
        <v>-0.1887844276100098</v>
      </c>
      <c r="L22" s="2">
        <v>0.21330503197790426</v>
      </c>
      <c r="M22" s="2">
        <v>1</v>
      </c>
      <c r="N22" s="2">
        <v>1</v>
      </c>
      <c r="O22" s="55"/>
      <c r="R22" s="49" t="str">
        <f>IF(A22&lt;&gt;"",A22,"")</f>
        <v>Nominale matching</v>
      </c>
      <c r="S22" s="50">
        <f>IF($A22="","",D22)</f>
        <v>0.67764273190372148</v>
      </c>
      <c r="T22" s="50">
        <f>IF($A22="","",B22-D22)</f>
        <v>1.0622639951051838E-2</v>
      </c>
      <c r="U22" s="50">
        <f>IF($A22="","",F22-B22)</f>
        <v>9.8749826852762013E-3</v>
      </c>
    </row>
    <row r="23" spans="1:30">
      <c r="A23" s="57" t="str">
        <f t="shared" ref="A23:A36" si="4">IF(A5="","",A5)</f>
        <v>High Yield</v>
      </c>
      <c r="B23" s="248">
        <v>2.6830485720431192E-2</v>
      </c>
      <c r="C23" s="52">
        <v>2.1413514856082727E-2</v>
      </c>
      <c r="D23" s="53">
        <v>1.0322506661368216E-2</v>
      </c>
      <c r="E23" s="1">
        <v>2.2755613202059669E-2</v>
      </c>
      <c r="F23" s="54">
        <v>3.8992792958619842E-2</v>
      </c>
      <c r="G23" s="2">
        <v>1</v>
      </c>
      <c r="H23" s="2">
        <v>-0.76393552082384186</v>
      </c>
      <c r="I23" s="2">
        <v>-0.23931497808462965</v>
      </c>
      <c r="J23" s="2">
        <v>-8.5240700711535958E-2</v>
      </c>
      <c r="K23" s="2">
        <v>-0.14918067000895413</v>
      </c>
      <c r="L23" s="2">
        <v>-8.2993121881214729E-2</v>
      </c>
      <c r="M23" s="2">
        <v>0.24826066350518297</v>
      </c>
      <c r="N23" s="2">
        <v>0.99999999999998823</v>
      </c>
      <c r="O23" s="55"/>
      <c r="R23" s="49" t="str">
        <f t="shared" ref="R23:R36" si="5">IF(A23&lt;&gt;"",A23,"")</f>
        <v>High Yield</v>
      </c>
      <c r="S23" s="50">
        <f t="shared" ref="S23:S36" si="6">IF($A23="","",D23)</f>
        <v>1.0322506661368216E-2</v>
      </c>
      <c r="T23" s="50">
        <f t="shared" ref="T23:T36" si="7">IF($A23="","",B23-D23)</f>
        <v>1.6507979059062976E-2</v>
      </c>
      <c r="U23" s="50">
        <f t="shared" ref="U23:U36" si="8">IF($A23="","",F23-B23)</f>
        <v>1.216230723818865E-2</v>
      </c>
    </row>
    <row r="24" spans="1:30">
      <c r="A24" s="57" t="str">
        <f t="shared" si="4"/>
        <v>Emerging market debt</v>
      </c>
      <c r="B24" s="248">
        <v>1.8907938156090032E-2</v>
      </c>
      <c r="C24" s="52">
        <v>1.4920699171500422E-2</v>
      </c>
      <c r="D24" s="53">
        <v>6.9400769786467252E-3</v>
      </c>
      <c r="E24" s="1">
        <v>1.5720839309487929E-2</v>
      </c>
      <c r="F24" s="54">
        <v>2.7610428716640364E-2</v>
      </c>
      <c r="G24" s="2">
        <v>6.8440061022617613E-2</v>
      </c>
      <c r="H24" s="2">
        <v>0.36987406735014644</v>
      </c>
      <c r="I24" s="2">
        <v>9.5976684433697668E-2</v>
      </c>
      <c r="J24" s="2">
        <v>1</v>
      </c>
      <c r="K24" s="2">
        <v>-0.15622835777619901</v>
      </c>
      <c r="L24" s="2">
        <v>-8.0576937951689034E-2</v>
      </c>
      <c r="M24" s="2">
        <v>0.2094378096182023</v>
      </c>
      <c r="N24" s="2">
        <v>0.99999999999998723</v>
      </c>
      <c r="O24" s="55"/>
      <c r="R24" s="49" t="str">
        <f t="shared" si="5"/>
        <v>Emerging market debt</v>
      </c>
      <c r="S24" s="50">
        <f t="shared" si="6"/>
        <v>6.9400769786467252E-3</v>
      </c>
      <c r="T24" s="50">
        <f t="shared" si="7"/>
        <v>1.1967861177443306E-2</v>
      </c>
      <c r="U24" s="50">
        <f t="shared" si="8"/>
        <v>8.7024905605503321E-3</v>
      </c>
    </row>
    <row r="25" spans="1:30">
      <c r="A25" s="57" t="str">
        <f t="shared" si="4"/>
        <v>Aandelen ontwikkeld</v>
      </c>
      <c r="B25" s="248">
        <v>3.2741343678820293E-3</v>
      </c>
      <c r="C25" s="52">
        <v>3.4888540540170751E-3</v>
      </c>
      <c r="D25" s="53">
        <v>7.1246281901709359E-4</v>
      </c>
      <c r="E25" s="1">
        <v>2.1466975117409482E-3</v>
      </c>
      <c r="F25" s="54">
        <v>4.6348149393100353E-3</v>
      </c>
      <c r="G25" s="2">
        <v>-4.2003566791551442E-3</v>
      </c>
      <c r="H25" s="2">
        <v>-7.523514340498241E-3</v>
      </c>
      <c r="I25" s="2">
        <v>-2.1273156738850153E-2</v>
      </c>
      <c r="J25" s="2">
        <v>-6.5785004054229662E-3</v>
      </c>
      <c r="K25" s="2">
        <v>3.1942727857654854E-2</v>
      </c>
      <c r="L25" s="2">
        <v>1</v>
      </c>
      <c r="M25" s="2">
        <v>-0.68410417986193917</v>
      </c>
      <c r="N25" s="2">
        <v>0.99999999999998124</v>
      </c>
      <c r="O25" s="55"/>
      <c r="R25" s="49" t="str">
        <f t="shared" si="5"/>
        <v>Aandelen ontwikkeld</v>
      </c>
      <c r="S25" s="50">
        <f t="shared" si="6"/>
        <v>7.1246281901709359E-4</v>
      </c>
      <c r="T25" s="50">
        <f t="shared" si="7"/>
        <v>2.5616715488649359E-3</v>
      </c>
      <c r="U25" s="50">
        <f t="shared" si="8"/>
        <v>1.360680571428006E-3</v>
      </c>
      <c r="AA25" s="50"/>
      <c r="AB25" s="50"/>
      <c r="AC25" s="50"/>
      <c r="AD25" s="50"/>
    </row>
    <row r="26" spans="1:30">
      <c r="A26" s="57" t="str">
        <f t="shared" si="4"/>
        <v>Aandelen opkomend</v>
      </c>
      <c r="B26" s="248">
        <v>0.21630430799206796</v>
      </c>
      <c r="C26" s="52">
        <v>1.57758444948078E-2</v>
      </c>
      <c r="D26" s="53">
        <v>0.20554083364705478</v>
      </c>
      <c r="E26" s="1">
        <v>0.21595368075403765</v>
      </c>
      <c r="F26" s="54">
        <v>0.22720189345405734</v>
      </c>
      <c r="G26" s="2">
        <v>-0.65177205430522844</v>
      </c>
      <c r="H26" s="2">
        <v>-0.72133596453391591</v>
      </c>
      <c r="I26" s="2">
        <v>-2.4426803909819252E-3</v>
      </c>
      <c r="J26" s="2">
        <v>3.9505472460431804E-2</v>
      </c>
      <c r="K26" s="2">
        <v>-0.1783009841562169</v>
      </c>
      <c r="L26" s="2">
        <v>-0.4863738370290957</v>
      </c>
      <c r="M26" s="2">
        <v>-0.75968149367944382</v>
      </c>
      <c r="N26" s="2">
        <v>0.99999999999997191</v>
      </c>
      <c r="O26" s="55"/>
      <c r="R26" s="49" t="str">
        <f t="shared" si="5"/>
        <v>Aandelen opkomend</v>
      </c>
      <c r="S26" s="50">
        <f t="shared" si="6"/>
        <v>0.20554083364705478</v>
      </c>
      <c r="T26" s="50">
        <f t="shared" si="7"/>
        <v>1.076347434501318E-2</v>
      </c>
      <c r="U26" s="50">
        <f t="shared" si="8"/>
        <v>1.0897585461989379E-2</v>
      </c>
      <c r="AA26" s="50"/>
      <c r="AB26" s="50"/>
      <c r="AC26" s="50"/>
      <c r="AD26" s="50"/>
    </row>
    <row r="27" spans="1:30">
      <c r="A27" s="57" t="str">
        <f t="shared" si="4"/>
        <v>Commodities</v>
      </c>
      <c r="B27" s="248">
        <v>2.1919991319578894E-2</v>
      </c>
      <c r="C27" s="52">
        <v>1.6778667680274684E-2</v>
      </c>
      <c r="D27" s="53">
        <v>8.1937312581441824E-3</v>
      </c>
      <c r="E27" s="1">
        <v>1.8719564699394391E-2</v>
      </c>
      <c r="F27" s="54">
        <v>3.2141512585768792E-2</v>
      </c>
      <c r="G27" s="2">
        <v>0.24892712702983771</v>
      </c>
      <c r="H27" s="2">
        <v>1</v>
      </c>
      <c r="I27" s="2">
        <v>-0.37233519807733512</v>
      </c>
      <c r="J27" s="2">
        <v>-0.36294737637311147</v>
      </c>
      <c r="K27" s="2">
        <v>-0.1739187256707336</v>
      </c>
      <c r="L27" s="2">
        <v>-0.36589201805686755</v>
      </c>
      <c r="M27" s="2">
        <v>-0.46041970482656064</v>
      </c>
      <c r="N27" s="2">
        <v>0.99999999999997713</v>
      </c>
      <c r="O27" s="55"/>
      <c r="R27" s="49" t="str">
        <f t="shared" si="5"/>
        <v>Commodities</v>
      </c>
      <c r="S27" s="50">
        <f t="shared" si="6"/>
        <v>8.1937312581441824E-3</v>
      </c>
      <c r="T27" s="50">
        <f t="shared" si="7"/>
        <v>1.3726260061434712E-2</v>
      </c>
      <c r="U27" s="50">
        <f t="shared" si="8"/>
        <v>1.0221521266189897E-2</v>
      </c>
      <c r="AA27" s="50"/>
      <c r="AB27" s="50"/>
      <c r="AC27" s="50"/>
      <c r="AD27" s="50"/>
    </row>
    <row r="28" spans="1:30">
      <c r="A28" s="57" t="str">
        <f t="shared" si="4"/>
        <v>Hedge funds</v>
      </c>
      <c r="B28" s="248">
        <v>1.9289812340493772E-2</v>
      </c>
      <c r="C28" s="52">
        <v>1.5702878304318189E-2</v>
      </c>
      <c r="D28" s="53">
        <v>7.7119224218432127E-3</v>
      </c>
      <c r="E28" s="1">
        <v>1.6068826630845235E-2</v>
      </c>
      <c r="F28" s="54">
        <v>2.6998722205379893E-2</v>
      </c>
      <c r="G28" s="2">
        <v>1.837656144622947E-2</v>
      </c>
      <c r="H28" s="2">
        <v>0.13939554958071881</v>
      </c>
      <c r="I28" s="2">
        <v>1</v>
      </c>
      <c r="J28" s="2">
        <v>-0.35240545395055584</v>
      </c>
      <c r="K28" s="2">
        <v>-0.18552956263554302</v>
      </c>
      <c r="L28" s="2">
        <v>-2.5700985439004332E-2</v>
      </c>
      <c r="M28" s="2">
        <v>0.32191696027929334</v>
      </c>
      <c r="N28" s="2">
        <v>0.99999999999998979</v>
      </c>
      <c r="O28" s="55"/>
      <c r="R28" s="49" t="str">
        <f t="shared" si="5"/>
        <v>Hedge funds</v>
      </c>
      <c r="S28" s="50">
        <f t="shared" si="6"/>
        <v>7.7119224218432127E-3</v>
      </c>
      <c r="T28" s="50">
        <f t="shared" si="7"/>
        <v>1.1577889918650559E-2</v>
      </c>
      <c r="U28" s="50">
        <f t="shared" si="8"/>
        <v>7.708909864886121E-3</v>
      </c>
      <c r="AA28" s="50"/>
      <c r="AB28" s="50"/>
      <c r="AC28" s="50"/>
      <c r="AD28" s="50"/>
    </row>
    <row r="29" spans="1:30">
      <c r="A29" s="57" t="str">
        <f t="shared" si="4"/>
        <v>Onroerend goed</v>
      </c>
      <c r="B29" s="248">
        <v>5.2079582486821777E-3</v>
      </c>
      <c r="C29" s="52">
        <v>4.9705219212622231E-3</v>
      </c>
      <c r="D29" s="53">
        <v>1.3782708666761111E-3</v>
      </c>
      <c r="E29" s="1">
        <v>4.0632016468354366E-3</v>
      </c>
      <c r="F29" s="54">
        <v>7.7523141332489299E-3</v>
      </c>
      <c r="G29" s="2">
        <v>-3.1824305207812716E-2</v>
      </c>
      <c r="H29" s="2">
        <v>1.0192246824102465E-2</v>
      </c>
      <c r="I29" s="2">
        <v>1.1233726325439997E-2</v>
      </c>
      <c r="J29" s="2">
        <v>-1.8169667521432061E-2</v>
      </c>
      <c r="K29" s="2">
        <v>1</v>
      </c>
      <c r="L29" s="2">
        <v>-0.17176813162004034</v>
      </c>
      <c r="M29" s="2">
        <v>0.12458994496523076</v>
      </c>
      <c r="N29" s="2">
        <v>0.99999999999998734</v>
      </c>
      <c r="O29" s="55"/>
      <c r="R29" s="49" t="str">
        <f t="shared" si="5"/>
        <v>Onroerend goed</v>
      </c>
      <c r="S29" s="50">
        <f t="shared" si="6"/>
        <v>1.3782708666761111E-3</v>
      </c>
      <c r="T29" s="50">
        <f t="shared" si="7"/>
        <v>3.8296873820060666E-3</v>
      </c>
      <c r="U29" s="50">
        <f t="shared" si="8"/>
        <v>2.5443558845667522E-3</v>
      </c>
      <c r="AA29" s="50"/>
      <c r="AB29" s="50"/>
      <c r="AC29" s="50"/>
      <c r="AD29" s="50"/>
    </row>
    <row r="30" spans="1:30">
      <c r="A30" s="57">
        <f t="shared" si="4"/>
        <v>1</v>
      </c>
      <c r="B30" s="1"/>
      <c r="C30" s="52"/>
      <c r="D30" s="53"/>
      <c r="E30" s="1"/>
      <c r="F30" s="54"/>
      <c r="G30" s="2"/>
      <c r="H30" s="2"/>
      <c r="I30" s="2"/>
      <c r="J30" s="2"/>
      <c r="K30" s="2"/>
      <c r="L30" s="2"/>
      <c r="M30" s="2"/>
      <c r="N30" s="2"/>
      <c r="O30" s="55"/>
      <c r="R30" s="49">
        <f t="shared" si="5"/>
        <v>1</v>
      </c>
      <c r="S30" s="50">
        <f t="shared" si="6"/>
        <v>0</v>
      </c>
      <c r="T30" s="50">
        <f t="shared" si="7"/>
        <v>0</v>
      </c>
      <c r="U30" s="50">
        <f t="shared" si="8"/>
        <v>0</v>
      </c>
      <c r="AA30" s="50"/>
      <c r="AB30" s="50"/>
      <c r="AC30" s="50"/>
      <c r="AD30" s="50"/>
    </row>
    <row r="31" spans="1:30">
      <c r="A31" s="57">
        <f t="shared" si="4"/>
        <v>2</v>
      </c>
      <c r="B31" s="1"/>
      <c r="C31" s="52"/>
      <c r="D31" s="53"/>
      <c r="E31" s="1"/>
      <c r="F31" s="54"/>
      <c r="G31" s="2"/>
      <c r="H31" s="2"/>
      <c r="I31" s="2"/>
      <c r="J31" s="2"/>
      <c r="K31" s="2"/>
      <c r="L31" s="2"/>
      <c r="M31" s="2"/>
      <c r="N31" s="2"/>
      <c r="O31" s="55"/>
      <c r="R31" s="49">
        <f t="shared" si="5"/>
        <v>2</v>
      </c>
      <c r="S31" s="50">
        <f t="shared" si="6"/>
        <v>0</v>
      </c>
      <c r="T31" s="50">
        <f t="shared" si="7"/>
        <v>0</v>
      </c>
      <c r="U31" s="50">
        <f t="shared" si="8"/>
        <v>0</v>
      </c>
      <c r="AA31" s="50"/>
      <c r="AB31" s="50"/>
      <c r="AC31" s="50"/>
      <c r="AD31" s="50"/>
    </row>
    <row r="32" spans="1:30">
      <c r="A32" s="57">
        <f t="shared" si="4"/>
        <v>3</v>
      </c>
      <c r="B32" s="1"/>
      <c r="C32" s="52"/>
      <c r="D32" s="53"/>
      <c r="E32" s="1"/>
      <c r="F32" s="54"/>
      <c r="G32" s="2"/>
      <c r="H32" s="2"/>
      <c r="I32" s="2"/>
      <c r="J32" s="2"/>
      <c r="K32" s="2"/>
      <c r="L32" s="2"/>
      <c r="M32" s="2"/>
      <c r="N32" s="2"/>
      <c r="O32" s="55"/>
      <c r="R32" s="49">
        <f t="shared" si="5"/>
        <v>3</v>
      </c>
      <c r="S32" s="50">
        <f t="shared" si="6"/>
        <v>0</v>
      </c>
      <c r="T32" s="50">
        <f t="shared" si="7"/>
        <v>0</v>
      </c>
      <c r="U32" s="50">
        <f t="shared" si="8"/>
        <v>0</v>
      </c>
    </row>
    <row r="33" spans="1:30">
      <c r="A33" s="57">
        <f t="shared" si="4"/>
        <v>4</v>
      </c>
      <c r="B33" s="1"/>
      <c r="C33" s="52"/>
      <c r="D33" s="53"/>
      <c r="E33" s="1"/>
      <c r="F33" s="54"/>
      <c r="G33" s="2"/>
      <c r="H33" s="2"/>
      <c r="I33" s="2"/>
      <c r="J33" s="2"/>
      <c r="K33" s="2"/>
      <c r="L33" s="2"/>
      <c r="M33" s="2"/>
      <c r="N33" s="2"/>
      <c r="O33" s="55"/>
      <c r="R33" s="49">
        <f t="shared" si="5"/>
        <v>4</v>
      </c>
      <c r="S33" s="50">
        <f t="shared" si="6"/>
        <v>0</v>
      </c>
      <c r="T33" s="50">
        <f t="shared" si="7"/>
        <v>0</v>
      </c>
      <c r="U33" s="50">
        <f t="shared" si="8"/>
        <v>0</v>
      </c>
    </row>
    <row r="34" spans="1:30">
      <c r="A34" s="57">
        <f t="shared" si="4"/>
        <v>5</v>
      </c>
      <c r="B34" s="1"/>
      <c r="C34" s="52"/>
      <c r="D34" s="53"/>
      <c r="E34" s="1"/>
      <c r="F34" s="54"/>
      <c r="G34" s="2"/>
      <c r="H34" s="2"/>
      <c r="I34" s="2"/>
      <c r="J34" s="2"/>
      <c r="K34" s="2"/>
      <c r="L34" s="2"/>
      <c r="M34" s="2"/>
      <c r="N34" s="2"/>
      <c r="O34" s="55"/>
      <c r="R34" s="49">
        <f t="shared" si="5"/>
        <v>5</v>
      </c>
      <c r="S34" s="50">
        <f t="shared" si="6"/>
        <v>0</v>
      </c>
      <c r="T34" s="50">
        <f t="shared" si="7"/>
        <v>0</v>
      </c>
      <c r="U34" s="50">
        <f t="shared" si="8"/>
        <v>0</v>
      </c>
    </row>
    <row r="35" spans="1:30">
      <c r="A35" s="57">
        <f t="shared" si="4"/>
        <v>6</v>
      </c>
      <c r="B35" s="1"/>
      <c r="C35" s="52"/>
      <c r="D35" s="53"/>
      <c r="E35" s="1"/>
      <c r="F35" s="54"/>
      <c r="G35" s="2"/>
      <c r="H35" s="2"/>
      <c r="I35" s="2"/>
      <c r="J35" s="2"/>
      <c r="K35" s="2"/>
      <c r="L35" s="2"/>
      <c r="M35" s="2"/>
      <c r="N35" s="2"/>
      <c r="O35" s="55"/>
      <c r="R35" s="49">
        <f t="shared" si="5"/>
        <v>6</v>
      </c>
      <c r="S35" s="50">
        <f t="shared" si="6"/>
        <v>0</v>
      </c>
      <c r="T35" s="50">
        <f t="shared" si="7"/>
        <v>0</v>
      </c>
      <c r="U35" s="50">
        <f t="shared" si="8"/>
        <v>0</v>
      </c>
    </row>
    <row r="36" spans="1:30">
      <c r="A36" s="58">
        <f t="shared" si="4"/>
        <v>7</v>
      </c>
      <c r="B36" s="59"/>
      <c r="C36" s="60"/>
      <c r="D36" s="61"/>
      <c r="E36" s="59"/>
      <c r="F36" s="62"/>
      <c r="G36" s="63"/>
      <c r="H36" s="63"/>
      <c r="I36" s="63"/>
      <c r="J36" s="63"/>
      <c r="K36" s="63"/>
      <c r="L36" s="63"/>
      <c r="M36" s="63"/>
      <c r="N36" s="63"/>
      <c r="O36" s="64"/>
      <c r="R36" s="49">
        <f t="shared" si="5"/>
        <v>7</v>
      </c>
      <c r="S36" s="50">
        <f t="shared" si="6"/>
        <v>0</v>
      </c>
      <c r="T36" s="50">
        <f t="shared" si="7"/>
        <v>0</v>
      </c>
      <c r="U36" s="50">
        <f t="shared" si="8"/>
        <v>0</v>
      </c>
      <c r="AA36" s="50"/>
      <c r="AB36" s="50"/>
      <c r="AC36" s="50"/>
      <c r="AD36" s="50"/>
    </row>
    <row r="37" spans="1:30">
      <c r="A37" s="65"/>
      <c r="B37" s="1"/>
      <c r="C37" s="1"/>
      <c r="D37" s="1"/>
      <c r="E37" s="1"/>
      <c r="F37" s="66"/>
      <c r="G37" s="66"/>
      <c r="H37" s="66"/>
      <c r="I37" s="66"/>
      <c r="J37" s="66"/>
      <c r="K37" s="66"/>
      <c r="L37" s="66"/>
      <c r="M37" s="66"/>
      <c r="N37" s="66"/>
      <c r="O37" s="66"/>
      <c r="AA37" s="50"/>
      <c r="AB37" s="50"/>
      <c r="AC37" s="50"/>
      <c r="AD37" s="50"/>
    </row>
    <row r="38" spans="1:30">
      <c r="D38" s="341" t="s">
        <v>64</v>
      </c>
      <c r="E38" s="342"/>
      <c r="F38" s="343"/>
      <c r="G38" s="341" t="s">
        <v>65</v>
      </c>
      <c r="H38" s="342"/>
      <c r="I38" s="342"/>
      <c r="J38" s="342"/>
      <c r="K38" s="342"/>
      <c r="L38" s="342"/>
      <c r="M38" s="342"/>
      <c r="N38" s="342"/>
      <c r="O38" s="343"/>
      <c r="AA38" s="50"/>
      <c r="AB38" s="50"/>
      <c r="AC38" s="50"/>
      <c r="AD38" s="50"/>
    </row>
    <row r="39" spans="1:30">
      <c r="A39" s="237" t="str">
        <f>Optimalisatie!A26</f>
        <v>Base - muddle down</v>
      </c>
      <c r="B39" s="238" t="s">
        <v>1</v>
      </c>
      <c r="C39" s="239" t="s">
        <v>2</v>
      </c>
      <c r="D39" s="240">
        <v>0.25</v>
      </c>
      <c r="E39" s="241">
        <v>0.5</v>
      </c>
      <c r="F39" s="242">
        <v>0.75</v>
      </c>
      <c r="G39" s="243">
        <v>0.56583969114479671</v>
      </c>
      <c r="H39" s="243">
        <v>0.23274116525217725</v>
      </c>
      <c r="I39" s="243">
        <v>0.12135208557155241</v>
      </c>
      <c r="J39" s="243">
        <v>6.2936086141971215E-2</v>
      </c>
      <c r="K39" s="243">
        <v>1.0121938470190495E-2</v>
      </c>
      <c r="L39" s="243">
        <v>4.4677911033821349E-3</v>
      </c>
      <c r="M39" s="243">
        <v>2.5412423159317798E-3</v>
      </c>
      <c r="N39" s="243">
        <v>1.1102230246251565E-16</v>
      </c>
      <c r="O39" s="244">
        <v>0</v>
      </c>
      <c r="R39" s="49" t="str">
        <f>A39</f>
        <v>Base - muddle down</v>
      </c>
      <c r="S39" s="49"/>
      <c r="T39" s="50"/>
      <c r="U39" s="49"/>
      <c r="AA39" s="50"/>
      <c r="AB39" s="50"/>
      <c r="AC39" s="50"/>
      <c r="AD39" s="50"/>
    </row>
    <row r="40" spans="1:30">
      <c r="A40" s="57" t="str">
        <f>IF(A22="","",A22)</f>
        <v>Nominale matching</v>
      </c>
      <c r="B40" s="1">
        <v>0.98874630568629251</v>
      </c>
      <c r="C40" s="52">
        <v>4.3089814540401023E-3</v>
      </c>
      <c r="D40" s="53">
        <v>0.98583998324989874</v>
      </c>
      <c r="E40" s="1">
        <v>0.98902649999594383</v>
      </c>
      <c r="F40" s="54">
        <v>0.99174654334058232</v>
      </c>
      <c r="G40" s="66">
        <v>1</v>
      </c>
      <c r="H40" s="66">
        <v>-0.29286822472490132</v>
      </c>
      <c r="I40" s="66">
        <v>-0.29527564384699667</v>
      </c>
      <c r="J40" s="66">
        <v>-0.20657694774607527</v>
      </c>
      <c r="K40" s="66">
        <v>-0.23754152715836882</v>
      </c>
      <c r="L40" s="66">
        <v>-0.17134475537481247</v>
      </c>
      <c r="M40" s="2">
        <v>-0.12233828618511748</v>
      </c>
      <c r="N40" s="2">
        <v>1</v>
      </c>
      <c r="O40" s="67"/>
      <c r="R40" s="49" t="str">
        <f>IF(A40&lt;&gt;"",A40,"")</f>
        <v>Nominale matching</v>
      </c>
      <c r="S40" s="50">
        <f>IF($A40="","",D40)</f>
        <v>0.98583998324989874</v>
      </c>
      <c r="T40" s="50">
        <f>IF($A40="","",B40-D40)</f>
        <v>2.9063224363937712E-3</v>
      </c>
      <c r="U40" s="50">
        <f>IF($A40="","",F40-B40)</f>
        <v>3.0002376542898057E-3</v>
      </c>
      <c r="AA40" s="50"/>
      <c r="AB40" s="50"/>
      <c r="AC40" s="50"/>
      <c r="AD40" s="50"/>
    </row>
    <row r="41" spans="1:30">
      <c r="A41" s="57" t="str">
        <f t="shared" ref="A41:A54" si="9">IF(A23="","",A23)</f>
        <v>High Yield</v>
      </c>
      <c r="B41" s="1">
        <v>5.3983418794042288E-4</v>
      </c>
      <c r="C41" s="52">
        <v>6.3124702690928864E-4</v>
      </c>
      <c r="D41" s="53">
        <v>6.9953967816596327E-5</v>
      </c>
      <c r="E41" s="1">
        <v>2.9807270842851895E-4</v>
      </c>
      <c r="F41" s="54">
        <v>7.8850239512693525E-4</v>
      </c>
      <c r="G41" s="66">
        <v>1.0415793748000097E-2</v>
      </c>
      <c r="H41" s="66">
        <v>6.5030554358150123E-3</v>
      </c>
      <c r="I41" s="66">
        <v>1.9046829682408128E-3</v>
      </c>
      <c r="J41" s="66">
        <v>6.0178183772718486E-3</v>
      </c>
      <c r="K41" s="66">
        <v>1</v>
      </c>
      <c r="L41" s="66">
        <v>-0.2976508738996656</v>
      </c>
      <c r="M41" s="2">
        <v>-0.15063282583710269</v>
      </c>
      <c r="N41" s="2">
        <v>0.99999999999999456</v>
      </c>
      <c r="O41" s="67"/>
      <c r="R41" s="49" t="str">
        <f t="shared" ref="R41:R54" si="10">IF(A41&lt;&gt;"",A41,"")</f>
        <v>High Yield</v>
      </c>
      <c r="S41" s="50">
        <f t="shared" ref="S41:S54" si="11">IF($A41="","",D41)</f>
        <v>6.9953967816596327E-5</v>
      </c>
      <c r="T41" s="50">
        <f t="shared" ref="T41:T54" si="12">IF($A41="","",B41-D41)</f>
        <v>4.6988022012382655E-4</v>
      </c>
      <c r="U41" s="50">
        <f t="shared" ref="U41:U54" si="13">IF($A41="","",F41-B41)</f>
        <v>2.4866820718651237E-4</v>
      </c>
      <c r="AA41" s="50"/>
      <c r="AB41" s="50"/>
      <c r="AC41" s="50"/>
      <c r="AD41" s="50"/>
    </row>
    <row r="42" spans="1:30">
      <c r="A42" s="57" t="str">
        <f t="shared" si="9"/>
        <v>Emerging market debt</v>
      </c>
      <c r="B42" s="1">
        <v>2.4677362101824351E-3</v>
      </c>
      <c r="C42" s="52">
        <v>2.1144884805935063E-3</v>
      </c>
      <c r="D42" s="53">
        <v>8.2891928928253045E-4</v>
      </c>
      <c r="E42" s="1">
        <v>1.9649653358171397E-3</v>
      </c>
      <c r="F42" s="54">
        <v>3.6047959562491667E-3</v>
      </c>
      <c r="G42" s="66">
        <v>-5.4546267976195446E-2</v>
      </c>
      <c r="H42" s="66">
        <v>7.2840201468963847E-2</v>
      </c>
      <c r="I42" s="66">
        <v>1</v>
      </c>
      <c r="J42" s="66">
        <v>-0.32481708114292807</v>
      </c>
      <c r="K42" s="66">
        <v>-0.23054834909612607</v>
      </c>
      <c r="L42" s="66">
        <v>-0.16985293425578163</v>
      </c>
      <c r="M42" s="2">
        <v>-0.11821316678457405</v>
      </c>
      <c r="N42" s="2">
        <v>0.99999999999999867</v>
      </c>
      <c r="O42" s="67"/>
      <c r="R42" s="49" t="str">
        <f t="shared" si="10"/>
        <v>Emerging market debt</v>
      </c>
      <c r="S42" s="50">
        <f t="shared" si="11"/>
        <v>8.2891928928253045E-4</v>
      </c>
      <c r="T42" s="50">
        <f t="shared" si="12"/>
        <v>1.6388169208999047E-3</v>
      </c>
      <c r="U42" s="50">
        <f t="shared" si="13"/>
        <v>1.1370597460667316E-3</v>
      </c>
      <c r="AA42" s="50"/>
      <c r="AB42" s="50"/>
      <c r="AC42" s="50"/>
      <c r="AD42" s="50"/>
    </row>
    <row r="43" spans="1:30">
      <c r="A43" s="57" t="str">
        <f t="shared" si="9"/>
        <v>Aandelen ontwikkeld</v>
      </c>
      <c r="B43" s="1">
        <v>2.2382305661599851E-4</v>
      </c>
      <c r="C43" s="52">
        <v>3.3011881147629644E-4</v>
      </c>
      <c r="D43" s="53">
        <v>1.0618280619734834E-5</v>
      </c>
      <c r="E43" s="1">
        <v>8.9154885703505608E-5</v>
      </c>
      <c r="F43" s="54">
        <v>3.0543734696208676E-4</v>
      </c>
      <c r="G43" s="66">
        <v>7.1843376693361931E-3</v>
      </c>
      <c r="H43" s="66">
        <v>-5.7253224349072028E-3</v>
      </c>
      <c r="I43" s="66">
        <v>1.9481370028701626E-3</v>
      </c>
      <c r="J43" s="66">
        <v>-4.0786965323980212E-3</v>
      </c>
      <c r="K43" s="66">
        <v>4.4326189662477644E-2</v>
      </c>
      <c r="L43" s="66">
        <v>0.12561656797117493</v>
      </c>
      <c r="M43" s="2">
        <v>1</v>
      </c>
      <c r="N43" s="2">
        <v>0.99999999999998779</v>
      </c>
      <c r="O43" s="67"/>
      <c r="R43" s="49" t="str">
        <f t="shared" si="10"/>
        <v>Aandelen ontwikkeld</v>
      </c>
      <c r="S43" s="50">
        <f t="shared" si="11"/>
        <v>1.0618280619734834E-5</v>
      </c>
      <c r="T43" s="50">
        <f t="shared" si="12"/>
        <v>2.1320477599626368E-4</v>
      </c>
      <c r="U43" s="50">
        <f t="shared" si="13"/>
        <v>8.1614290346088245E-5</v>
      </c>
    </row>
    <row r="44" spans="1:30">
      <c r="A44" s="57" t="str">
        <f t="shared" si="9"/>
        <v>Aandelen opkomend</v>
      </c>
      <c r="B44" s="1">
        <v>2.7945635325398697E-3</v>
      </c>
      <c r="C44" s="52">
        <v>2.9138042077944126E-3</v>
      </c>
      <c r="D44" s="53">
        <v>5.9686425979311292E-4</v>
      </c>
      <c r="E44" s="1">
        <v>1.9107678424736007E-3</v>
      </c>
      <c r="F44" s="54">
        <v>3.8473005285744656E-3</v>
      </c>
      <c r="G44" s="66">
        <v>-0.25798223946628385</v>
      </c>
      <c r="H44" s="66">
        <v>1</v>
      </c>
      <c r="I44" s="66">
        <v>-0.44308327393559294</v>
      </c>
      <c r="J44" s="66">
        <v>-0.24841351452215843</v>
      </c>
      <c r="K44" s="66">
        <v>-0.22740263600029778</v>
      </c>
      <c r="L44" s="66">
        <v>-0.16081583720656706</v>
      </c>
      <c r="M44" s="2">
        <v>-0.11217141190774994</v>
      </c>
      <c r="N44" s="2">
        <v>0.99999999999999822</v>
      </c>
      <c r="O44" s="67"/>
      <c r="R44" s="49" t="str">
        <f t="shared" si="10"/>
        <v>Aandelen opkomend</v>
      </c>
      <c r="S44" s="50">
        <f t="shared" si="11"/>
        <v>5.9686425979311292E-4</v>
      </c>
      <c r="T44" s="50">
        <f t="shared" si="12"/>
        <v>2.1976992727467566E-3</v>
      </c>
      <c r="U44" s="50">
        <f t="shared" si="13"/>
        <v>1.0527369960345958E-3</v>
      </c>
    </row>
    <row r="45" spans="1:30">
      <c r="A45" s="57" t="str">
        <f t="shared" si="9"/>
        <v>Commodities</v>
      </c>
      <c r="B45" s="1">
        <v>3.4296628164615867E-3</v>
      </c>
      <c r="C45" s="52">
        <v>3.610847594989257E-3</v>
      </c>
      <c r="D45" s="53">
        <v>8.5539599465490803E-4</v>
      </c>
      <c r="E45" s="1">
        <v>2.1653432840008785E-3</v>
      </c>
      <c r="F45" s="54">
        <v>4.7596257060916608E-3</v>
      </c>
      <c r="G45" s="66">
        <v>-0.68486307830575111</v>
      </c>
      <c r="H45" s="66">
        <v>-0.81132491493872971</v>
      </c>
      <c r="I45" s="66">
        <v>-0.34694110889601626</v>
      </c>
      <c r="J45" s="66">
        <v>-0.22377513311351635</v>
      </c>
      <c r="K45" s="66">
        <v>-0.21612665838383663</v>
      </c>
      <c r="L45" s="66">
        <v>-0.16023886234502799</v>
      </c>
      <c r="M45" s="2">
        <v>-0.11732582550574465</v>
      </c>
      <c r="N45" s="2">
        <v>0.999999999999999</v>
      </c>
      <c r="O45" s="67"/>
      <c r="R45" s="49" t="str">
        <f t="shared" si="10"/>
        <v>Commodities</v>
      </c>
      <c r="S45" s="50">
        <f t="shared" si="11"/>
        <v>8.5539599465490803E-4</v>
      </c>
      <c r="T45" s="50">
        <f t="shared" si="12"/>
        <v>2.5742668218066787E-3</v>
      </c>
      <c r="U45" s="50">
        <f t="shared" si="13"/>
        <v>1.3299628896300741E-3</v>
      </c>
    </row>
    <row r="46" spans="1:30">
      <c r="A46" s="57" t="str">
        <f t="shared" si="9"/>
        <v>Hedge funds</v>
      </c>
      <c r="B46" s="1">
        <v>1.4644551327594518E-3</v>
      </c>
      <c r="C46" s="52">
        <v>1.5664710178168535E-3</v>
      </c>
      <c r="D46" s="53">
        <v>2.7130748688418329E-4</v>
      </c>
      <c r="E46" s="1">
        <v>9.9758910603579484E-4</v>
      </c>
      <c r="F46" s="54">
        <v>2.1300655713371568E-3</v>
      </c>
      <c r="G46" s="66">
        <v>-2.8529266288916399E-2</v>
      </c>
      <c r="H46" s="66">
        <v>2.9955586923181225E-2</v>
      </c>
      <c r="I46" s="66">
        <v>7.6102974048048166E-2</v>
      </c>
      <c r="J46" s="66">
        <v>1</v>
      </c>
      <c r="K46" s="66">
        <v>-0.23481515082777485</v>
      </c>
      <c r="L46" s="66">
        <v>-0.16571330488931862</v>
      </c>
      <c r="M46" s="2">
        <v>-0.11236549306423409</v>
      </c>
      <c r="N46" s="2">
        <v>0.99999999999999933</v>
      </c>
      <c r="O46" s="67"/>
      <c r="R46" s="49" t="str">
        <f t="shared" si="10"/>
        <v>Hedge funds</v>
      </c>
      <c r="S46" s="50">
        <f t="shared" si="11"/>
        <v>2.7130748688418329E-4</v>
      </c>
      <c r="T46" s="50">
        <f t="shared" si="12"/>
        <v>1.1931476458752685E-3</v>
      </c>
      <c r="U46" s="50">
        <f t="shared" si="13"/>
        <v>6.6561043857770504E-4</v>
      </c>
    </row>
    <row r="47" spans="1:30">
      <c r="A47" s="57" t="str">
        <f t="shared" si="9"/>
        <v>Onroerend goed</v>
      </c>
      <c r="B47" s="248">
        <v>3.3361937720683245E-4</v>
      </c>
      <c r="C47" s="52">
        <v>4.2943736439242809E-4</v>
      </c>
      <c r="D47" s="53">
        <v>3.9232877773353833E-5</v>
      </c>
      <c r="E47" s="1">
        <v>1.6510260877188097E-4</v>
      </c>
      <c r="F47" s="54">
        <v>4.7394339893715501E-4</v>
      </c>
      <c r="G47" s="2">
        <v>8.3207206198097003E-3</v>
      </c>
      <c r="H47" s="2">
        <v>6.1961827057971613E-4</v>
      </c>
      <c r="I47" s="2">
        <v>5.3442326594471566E-3</v>
      </c>
      <c r="J47" s="2">
        <v>1.6435546798038148E-3</v>
      </c>
      <c r="K47" s="2">
        <v>0.10210813180393152</v>
      </c>
      <c r="L47" s="2">
        <v>1</v>
      </c>
      <c r="M47" s="2">
        <v>-0.26695299071546691</v>
      </c>
      <c r="N47" s="2">
        <v>0.99999999999999822</v>
      </c>
      <c r="O47" s="55"/>
      <c r="R47" s="49" t="str">
        <f t="shared" si="10"/>
        <v>Onroerend goed</v>
      </c>
      <c r="S47" s="50">
        <f t="shared" si="11"/>
        <v>3.9232877773353833E-5</v>
      </c>
      <c r="T47" s="50">
        <f t="shared" si="12"/>
        <v>2.9438649943347862E-4</v>
      </c>
      <c r="U47" s="50">
        <f t="shared" si="13"/>
        <v>1.4032402173032256E-4</v>
      </c>
      <c r="AA47" s="50"/>
      <c r="AB47" s="50"/>
      <c r="AC47" s="50"/>
      <c r="AD47" s="50"/>
    </row>
    <row r="48" spans="1:30">
      <c r="A48" s="57">
        <f t="shared" si="9"/>
        <v>1</v>
      </c>
      <c r="B48" s="1"/>
      <c r="C48" s="52"/>
      <c r="D48" s="53"/>
      <c r="E48" s="1"/>
      <c r="F48" s="54"/>
      <c r="G48" s="2"/>
      <c r="H48" s="2"/>
      <c r="I48" s="2"/>
      <c r="J48" s="2"/>
      <c r="K48" s="2"/>
      <c r="L48" s="2"/>
      <c r="M48" s="2"/>
      <c r="N48" s="2"/>
      <c r="O48" s="55"/>
      <c r="R48" s="49">
        <f t="shared" si="10"/>
        <v>1</v>
      </c>
      <c r="S48" s="50">
        <f t="shared" si="11"/>
        <v>0</v>
      </c>
      <c r="T48" s="50">
        <f t="shared" si="12"/>
        <v>0</v>
      </c>
      <c r="U48" s="50">
        <f t="shared" si="13"/>
        <v>0</v>
      </c>
      <c r="AA48" s="50"/>
      <c r="AB48" s="50"/>
      <c r="AC48" s="50"/>
      <c r="AD48" s="50"/>
    </row>
    <row r="49" spans="1:36">
      <c r="A49" s="57">
        <f t="shared" si="9"/>
        <v>2</v>
      </c>
      <c r="B49" s="1"/>
      <c r="C49" s="52"/>
      <c r="D49" s="53"/>
      <c r="E49" s="1"/>
      <c r="F49" s="54"/>
      <c r="G49" s="2"/>
      <c r="H49" s="2"/>
      <c r="I49" s="2"/>
      <c r="J49" s="2"/>
      <c r="K49" s="2"/>
      <c r="L49" s="2"/>
      <c r="M49" s="2"/>
      <c r="N49" s="2"/>
      <c r="O49" s="55"/>
      <c r="R49" s="49">
        <f t="shared" si="10"/>
        <v>2</v>
      </c>
      <c r="S49" s="50">
        <f t="shared" si="11"/>
        <v>0</v>
      </c>
      <c r="T49" s="50">
        <f t="shared" si="12"/>
        <v>0</v>
      </c>
      <c r="U49" s="50">
        <f t="shared" si="13"/>
        <v>0</v>
      </c>
      <c r="AA49" s="50"/>
      <c r="AB49" s="50"/>
      <c r="AC49" s="50"/>
      <c r="AD49" s="50"/>
    </row>
    <row r="50" spans="1:36">
      <c r="A50" s="57">
        <f t="shared" si="9"/>
        <v>3</v>
      </c>
      <c r="B50" s="1"/>
      <c r="C50" s="52"/>
      <c r="D50" s="53"/>
      <c r="E50" s="1"/>
      <c r="F50" s="54"/>
      <c r="G50" s="2"/>
      <c r="H50" s="2"/>
      <c r="I50" s="2"/>
      <c r="J50" s="2"/>
      <c r="K50" s="2"/>
      <c r="L50" s="2"/>
      <c r="M50" s="2"/>
      <c r="N50" s="2"/>
      <c r="O50" s="55"/>
      <c r="R50" s="49">
        <f t="shared" si="10"/>
        <v>3</v>
      </c>
      <c r="S50" s="50">
        <f t="shared" si="11"/>
        <v>0</v>
      </c>
      <c r="T50" s="50">
        <f t="shared" si="12"/>
        <v>0</v>
      </c>
      <c r="U50" s="50">
        <f t="shared" si="13"/>
        <v>0</v>
      </c>
      <c r="AA50" s="50"/>
      <c r="AB50" s="50"/>
      <c r="AC50" s="50"/>
      <c r="AD50" s="50"/>
    </row>
    <row r="51" spans="1:36">
      <c r="A51" s="57">
        <f t="shared" si="9"/>
        <v>4</v>
      </c>
      <c r="B51" s="1"/>
      <c r="C51" s="52"/>
      <c r="D51" s="53"/>
      <c r="E51" s="1"/>
      <c r="F51" s="54"/>
      <c r="G51" s="2"/>
      <c r="H51" s="2"/>
      <c r="I51" s="2"/>
      <c r="J51" s="2"/>
      <c r="K51" s="2"/>
      <c r="L51" s="2"/>
      <c r="M51" s="2"/>
      <c r="N51" s="2"/>
      <c r="O51" s="55"/>
      <c r="R51" s="49">
        <f t="shared" si="10"/>
        <v>4</v>
      </c>
      <c r="S51" s="50">
        <f t="shared" si="11"/>
        <v>0</v>
      </c>
      <c r="T51" s="50">
        <f t="shared" si="12"/>
        <v>0</v>
      </c>
      <c r="U51" s="50">
        <f t="shared" si="13"/>
        <v>0</v>
      </c>
      <c r="AA51" s="50"/>
      <c r="AB51" s="50"/>
      <c r="AC51" s="50"/>
      <c r="AD51" s="50"/>
    </row>
    <row r="52" spans="1:36">
      <c r="A52" s="57">
        <f t="shared" si="9"/>
        <v>5</v>
      </c>
      <c r="B52" s="1"/>
      <c r="C52" s="52"/>
      <c r="D52" s="53"/>
      <c r="E52" s="1"/>
      <c r="F52" s="54"/>
      <c r="G52" s="2"/>
      <c r="H52" s="2"/>
      <c r="I52" s="2"/>
      <c r="J52" s="2"/>
      <c r="K52" s="2"/>
      <c r="L52" s="2"/>
      <c r="M52" s="2"/>
      <c r="N52" s="2"/>
      <c r="O52" s="55"/>
      <c r="R52" s="49">
        <f t="shared" si="10"/>
        <v>5</v>
      </c>
      <c r="S52" s="50">
        <f t="shared" si="11"/>
        <v>0</v>
      </c>
      <c r="T52" s="50">
        <f t="shared" si="12"/>
        <v>0</v>
      </c>
      <c r="U52" s="50">
        <f t="shared" si="13"/>
        <v>0</v>
      </c>
      <c r="AA52" s="50"/>
      <c r="AB52" s="50"/>
      <c r="AC52" s="50"/>
      <c r="AD52" s="50"/>
    </row>
    <row r="53" spans="1:36">
      <c r="A53" s="57">
        <f t="shared" si="9"/>
        <v>6</v>
      </c>
      <c r="B53" s="1"/>
      <c r="C53" s="52"/>
      <c r="D53" s="53"/>
      <c r="E53" s="1"/>
      <c r="F53" s="54"/>
      <c r="G53" s="2"/>
      <c r="H53" s="2"/>
      <c r="I53" s="2"/>
      <c r="J53" s="2"/>
      <c r="K53" s="2"/>
      <c r="L53" s="2"/>
      <c r="M53" s="2"/>
      <c r="N53" s="2"/>
      <c r="O53" s="55"/>
      <c r="R53" s="49">
        <f t="shared" si="10"/>
        <v>6</v>
      </c>
      <c r="S53" s="50">
        <f t="shared" si="11"/>
        <v>0</v>
      </c>
      <c r="T53" s="50">
        <f t="shared" si="12"/>
        <v>0</v>
      </c>
      <c r="U53" s="50">
        <f t="shared" si="13"/>
        <v>0</v>
      </c>
      <c r="AA53" s="50"/>
      <c r="AB53" s="50"/>
      <c r="AC53" s="50"/>
      <c r="AD53" s="50"/>
    </row>
    <row r="54" spans="1:36">
      <c r="A54" s="58">
        <f t="shared" si="9"/>
        <v>7</v>
      </c>
      <c r="B54" s="59"/>
      <c r="C54" s="60"/>
      <c r="D54" s="61"/>
      <c r="E54" s="59"/>
      <c r="F54" s="62"/>
      <c r="G54" s="63"/>
      <c r="H54" s="63"/>
      <c r="I54" s="63"/>
      <c r="J54" s="63"/>
      <c r="K54" s="63"/>
      <c r="L54" s="63"/>
      <c r="M54" s="63"/>
      <c r="N54" s="63"/>
      <c r="O54" s="64"/>
      <c r="R54" s="49">
        <f t="shared" si="10"/>
        <v>7</v>
      </c>
      <c r="S54" s="50">
        <f t="shared" si="11"/>
        <v>0</v>
      </c>
      <c r="T54" s="50">
        <f t="shared" si="12"/>
        <v>0</v>
      </c>
      <c r="U54" s="50">
        <f t="shared" si="13"/>
        <v>0</v>
      </c>
    </row>
    <row r="55" spans="1:36">
      <c r="A55" s="65"/>
      <c r="B55" s="1"/>
      <c r="C55" s="1"/>
      <c r="D55" s="1"/>
      <c r="E55" s="1"/>
      <c r="F55" s="66"/>
      <c r="G55" s="66"/>
      <c r="H55" s="66"/>
      <c r="I55" s="66"/>
      <c r="J55" s="66"/>
      <c r="K55" s="66"/>
      <c r="L55" s="66"/>
      <c r="M55" s="66"/>
      <c r="N55" s="66"/>
      <c r="O55" s="66"/>
    </row>
    <row r="56" spans="1:36">
      <c r="D56" s="341" t="s">
        <v>64</v>
      </c>
      <c r="E56" s="342"/>
      <c r="F56" s="343"/>
      <c r="G56" s="341" t="s">
        <v>65</v>
      </c>
      <c r="H56" s="342"/>
      <c r="I56" s="342"/>
      <c r="J56" s="342"/>
      <c r="K56" s="342"/>
      <c r="L56" s="342"/>
      <c r="M56" s="342"/>
      <c r="N56" s="342"/>
      <c r="O56" s="343"/>
    </row>
    <row r="57" spans="1:36">
      <c r="A57" s="237" t="str">
        <f>Optimalisatie!A27</f>
        <v>Base - muddle up</v>
      </c>
      <c r="B57" s="238" t="s">
        <v>1</v>
      </c>
      <c r="C57" s="239" t="s">
        <v>2</v>
      </c>
      <c r="D57" s="240">
        <v>0.25</v>
      </c>
      <c r="E57" s="241">
        <v>0.5</v>
      </c>
      <c r="F57" s="242">
        <v>0.75</v>
      </c>
      <c r="G57" s="243">
        <v>0.78473612001114956</v>
      </c>
      <c r="H57" s="243">
        <v>8.9571532603147208E-2</v>
      </c>
      <c r="I57" s="243">
        <v>4.8421336116358904E-2</v>
      </c>
      <c r="J57" s="243">
        <v>3.0606502139534753E-2</v>
      </c>
      <c r="K57" s="243">
        <v>2.3728617977374578E-2</v>
      </c>
      <c r="L57" s="243">
        <v>2.0789101465250148E-2</v>
      </c>
      <c r="M57" s="243">
        <v>2.1467896871925074E-3</v>
      </c>
      <c r="N57" s="243">
        <v>0</v>
      </c>
      <c r="O57" s="244">
        <v>-2.2204460492503131E-16</v>
      </c>
      <c r="R57" s="49" t="str">
        <f>A57</f>
        <v>Base - muddle up</v>
      </c>
      <c r="S57" s="49"/>
      <c r="T57" s="50"/>
      <c r="U57" s="49"/>
    </row>
    <row r="58" spans="1:36">
      <c r="A58" s="57" t="str">
        <f>IF(A40="","",A40)</f>
        <v>Nominale matching</v>
      </c>
      <c r="B58" s="1">
        <v>0.51919341292926224</v>
      </c>
      <c r="C58" s="52">
        <v>1.3796340701110878E-2</v>
      </c>
      <c r="D58" s="53">
        <v>0.50911355862856555</v>
      </c>
      <c r="E58" s="1">
        <v>0.51729425164980247</v>
      </c>
      <c r="F58" s="54">
        <v>0.52716674700880384</v>
      </c>
      <c r="G58" s="2">
        <v>-0.31828168487611136</v>
      </c>
      <c r="H58" s="2">
        <v>-0.36641796035316426</v>
      </c>
      <c r="I58" s="2">
        <v>-0.13085048524308349</v>
      </c>
      <c r="J58" s="2">
        <v>-0.27128333237372143</v>
      </c>
      <c r="K58" s="2">
        <v>-0.29795073350383622</v>
      </c>
      <c r="L58" s="2">
        <v>0.14380872714995149</v>
      </c>
      <c r="M58" s="2">
        <v>1</v>
      </c>
      <c r="N58" s="2">
        <v>0.99999999999993261</v>
      </c>
      <c r="O58" s="55"/>
      <c r="R58" s="49" t="str">
        <f>IF(A58&lt;&gt;"",A58,"")</f>
        <v>Nominale matching</v>
      </c>
      <c r="S58" s="50">
        <f>IF($A58="","",D58)</f>
        <v>0.50911355862856555</v>
      </c>
      <c r="T58" s="50">
        <f>IF($A58="","",B58-D58)</f>
        <v>1.0079854300696689E-2</v>
      </c>
      <c r="U58" s="50">
        <f>IF($A58="","",F58-B58)</f>
        <v>7.9733340795415941E-3</v>
      </c>
      <c r="AA58" s="50"/>
      <c r="AB58" s="50"/>
      <c r="AC58" s="50"/>
      <c r="AD58" s="50"/>
      <c r="AF58" s="68"/>
      <c r="AG58" s="68"/>
      <c r="AH58" s="68"/>
      <c r="AJ58" s="50"/>
    </row>
    <row r="59" spans="1:36">
      <c r="A59" s="57" t="str">
        <f t="shared" ref="A59:A72" si="14">IF(A41="","",A41)</f>
        <v>High Yield</v>
      </c>
      <c r="B59" s="1">
        <v>0.40582527313838357</v>
      </c>
      <c r="C59" s="52">
        <v>3.9768150370641166E-2</v>
      </c>
      <c r="D59" s="53">
        <v>0.37889391525315558</v>
      </c>
      <c r="E59" s="1">
        <v>0.40699081443609314</v>
      </c>
      <c r="F59" s="54">
        <v>0.43475292290200146</v>
      </c>
      <c r="G59" s="2">
        <v>1</v>
      </c>
      <c r="H59" s="2">
        <v>-0.36030969559690806</v>
      </c>
      <c r="I59" s="2">
        <v>0.49982157390896059</v>
      </c>
      <c r="J59" s="2">
        <v>7.5715689749644752E-2</v>
      </c>
      <c r="K59" s="2">
        <v>-6.7252063763228148E-2</v>
      </c>
      <c r="L59" s="2">
        <v>2.5665937029706244E-2</v>
      </c>
      <c r="M59" s="2">
        <v>5.7792687967283173E-2</v>
      </c>
      <c r="N59" s="2">
        <v>0.99999999999997602</v>
      </c>
      <c r="O59" s="55"/>
      <c r="R59" s="49" t="str">
        <f t="shared" ref="R59:R72" si="15">IF(A59&lt;&gt;"",A59,"")</f>
        <v>High Yield</v>
      </c>
      <c r="S59" s="50">
        <f t="shared" ref="S59:S72" si="16">IF($A59="","",D59)</f>
        <v>0.37889391525315558</v>
      </c>
      <c r="T59" s="50">
        <f t="shared" ref="T59:T72" si="17">IF($A59="","",B59-D59)</f>
        <v>2.6931357885227991E-2</v>
      </c>
      <c r="U59" s="50">
        <f t="shared" ref="U59:U72" si="18">IF($A59="","",F59-B59)</f>
        <v>2.8927649763617891E-2</v>
      </c>
      <c r="AA59" s="50"/>
      <c r="AB59" s="50"/>
      <c r="AC59" s="50"/>
      <c r="AD59" s="50"/>
      <c r="AF59" s="68"/>
      <c r="AG59" s="68"/>
      <c r="AH59" s="68"/>
      <c r="AJ59" s="50"/>
    </row>
    <row r="60" spans="1:36">
      <c r="A60" s="57" t="str">
        <f t="shared" si="14"/>
        <v>Emerging market debt</v>
      </c>
      <c r="B60" s="1">
        <v>8.2724163770650748E-3</v>
      </c>
      <c r="C60" s="52">
        <v>7.7137907688901129E-3</v>
      </c>
      <c r="D60" s="53">
        <v>2.2666100112872537E-3</v>
      </c>
      <c r="E60" s="1">
        <v>6.2123840574982402E-3</v>
      </c>
      <c r="F60" s="54">
        <v>1.2273088603747526E-2</v>
      </c>
      <c r="G60" s="2">
        <v>-5.836531041273036E-3</v>
      </c>
      <c r="H60" s="2">
        <v>4.0126399603182733E-2</v>
      </c>
      <c r="I60" s="2">
        <v>-0.4105317713842157</v>
      </c>
      <c r="J60" s="2">
        <v>-0.13573916333635655</v>
      </c>
      <c r="K60" s="2">
        <v>1</v>
      </c>
      <c r="L60" s="2">
        <v>-0.41271296946161823</v>
      </c>
      <c r="M60" s="2">
        <v>0.15114029334196263</v>
      </c>
      <c r="N60" s="2">
        <v>0.99999999999997014</v>
      </c>
      <c r="O60" s="55"/>
      <c r="R60" s="49" t="str">
        <f t="shared" si="15"/>
        <v>Emerging market debt</v>
      </c>
      <c r="S60" s="50">
        <f t="shared" si="16"/>
        <v>2.2666100112872537E-3</v>
      </c>
      <c r="T60" s="50">
        <f t="shared" si="17"/>
        <v>6.005806365777821E-3</v>
      </c>
      <c r="U60" s="50">
        <f t="shared" si="18"/>
        <v>4.0006722266824508E-3</v>
      </c>
      <c r="AA60" s="50"/>
      <c r="AB60" s="50"/>
      <c r="AC60" s="50"/>
      <c r="AD60" s="50"/>
      <c r="AF60" s="68"/>
      <c r="AG60" s="68"/>
      <c r="AH60" s="68"/>
      <c r="AJ60" s="50"/>
    </row>
    <row r="61" spans="1:36">
      <c r="A61" s="57" t="str">
        <f t="shared" si="14"/>
        <v>Aandelen ontwikkeld</v>
      </c>
      <c r="B61" s="1">
        <v>7.1571205215372243E-3</v>
      </c>
      <c r="C61" s="52">
        <v>7.5276042733563942E-3</v>
      </c>
      <c r="D61" s="53">
        <v>1.6068085046861062E-3</v>
      </c>
      <c r="E61" s="1">
        <v>4.9974934493622128E-3</v>
      </c>
      <c r="F61" s="54">
        <v>9.8594691715662534E-3</v>
      </c>
      <c r="G61" s="2">
        <v>-3.4134899356545102E-2</v>
      </c>
      <c r="H61" s="2">
        <v>7.0910371527518362E-2</v>
      </c>
      <c r="I61" s="2">
        <v>-0.41953837275886724</v>
      </c>
      <c r="J61" s="2">
        <v>-0.54691501769891071</v>
      </c>
      <c r="K61" s="2">
        <v>-0.50484444546944129</v>
      </c>
      <c r="L61" s="2">
        <v>-0.81465987852789123</v>
      </c>
      <c r="M61" s="2">
        <v>-0.43551468484846839</v>
      </c>
      <c r="N61" s="2">
        <v>0.99999999999999434</v>
      </c>
      <c r="O61" s="55"/>
      <c r="R61" s="49" t="str">
        <f t="shared" si="15"/>
        <v>Aandelen ontwikkeld</v>
      </c>
      <c r="S61" s="50">
        <f t="shared" si="16"/>
        <v>1.6068085046861062E-3</v>
      </c>
      <c r="T61" s="50">
        <f t="shared" si="17"/>
        <v>5.5503120168511177E-3</v>
      </c>
      <c r="U61" s="50">
        <f t="shared" si="18"/>
        <v>2.7023486500290291E-3</v>
      </c>
      <c r="AA61" s="50"/>
      <c r="AB61" s="50"/>
      <c r="AC61" s="50"/>
      <c r="AD61" s="50"/>
      <c r="AF61" s="68"/>
      <c r="AG61" s="68"/>
      <c r="AH61" s="68"/>
      <c r="AJ61" s="50"/>
    </row>
    <row r="62" spans="1:36">
      <c r="A62" s="57" t="str">
        <f t="shared" si="14"/>
        <v>Aandelen opkomend</v>
      </c>
      <c r="B62" s="1">
        <v>2.8420183711950858E-2</v>
      </c>
      <c r="C62" s="52">
        <v>2.3347119850164449E-2</v>
      </c>
      <c r="D62" s="53">
        <v>8.571407108877091E-3</v>
      </c>
      <c r="E62" s="1">
        <v>2.3294134570135766E-2</v>
      </c>
      <c r="F62" s="54">
        <v>4.2965399829219889E-2</v>
      </c>
      <c r="G62" s="2">
        <v>-0.53972979865550674</v>
      </c>
      <c r="H62" s="2">
        <v>-0.56723516197612422</v>
      </c>
      <c r="I62" s="2">
        <v>1</v>
      </c>
      <c r="J62" s="2">
        <v>0.31840379863613744</v>
      </c>
      <c r="K62" s="2">
        <v>8.3780480788887876E-2</v>
      </c>
      <c r="L62" s="2">
        <v>-3.72741744967214E-2</v>
      </c>
      <c r="M62" s="2">
        <v>-0.45179674513117768</v>
      </c>
      <c r="N62" s="2">
        <v>1</v>
      </c>
      <c r="O62" s="55"/>
      <c r="R62" s="49" t="str">
        <f t="shared" si="15"/>
        <v>Aandelen opkomend</v>
      </c>
      <c r="S62" s="50">
        <f t="shared" si="16"/>
        <v>8.571407108877091E-3</v>
      </c>
      <c r="T62" s="50">
        <f t="shared" si="17"/>
        <v>1.9848776603073767E-2</v>
      </c>
      <c r="U62" s="50">
        <f t="shared" si="18"/>
        <v>1.4545216117269031E-2</v>
      </c>
      <c r="AA62" s="50"/>
      <c r="AB62" s="50"/>
      <c r="AC62" s="50"/>
      <c r="AD62" s="50"/>
      <c r="AF62" s="68"/>
      <c r="AG62" s="68"/>
      <c r="AH62" s="68"/>
      <c r="AJ62" s="50"/>
    </row>
    <row r="63" spans="1:36">
      <c r="A63" s="57" t="str">
        <f t="shared" si="14"/>
        <v>Commodities</v>
      </c>
      <c r="B63" s="1">
        <v>6.6507213964025228E-3</v>
      </c>
      <c r="C63" s="52">
        <v>7.3360581329039842E-3</v>
      </c>
      <c r="D63" s="53">
        <v>1.0906389759657493E-3</v>
      </c>
      <c r="E63" s="1">
        <v>4.2217987980129289E-3</v>
      </c>
      <c r="F63" s="54">
        <v>9.6598170348546307E-3</v>
      </c>
      <c r="G63" s="2">
        <v>-2.6673896953445859E-2</v>
      </c>
      <c r="H63" s="2">
        <v>6.2535541828396407E-2</v>
      </c>
      <c r="I63" s="2">
        <v>-0.46279986705650739</v>
      </c>
      <c r="J63" s="2">
        <v>-0.50402762365274312</v>
      </c>
      <c r="K63" s="2">
        <v>6.2386053713755288E-2</v>
      </c>
      <c r="L63" s="2">
        <v>1</v>
      </c>
      <c r="M63" s="2">
        <v>-0.46098359788004423</v>
      </c>
      <c r="N63" s="2">
        <v>0.99999999999999345</v>
      </c>
      <c r="O63" s="55"/>
      <c r="R63" s="49" t="str">
        <f t="shared" si="15"/>
        <v>Commodities</v>
      </c>
      <c r="S63" s="50">
        <f t="shared" si="16"/>
        <v>1.0906389759657493E-3</v>
      </c>
      <c r="T63" s="50">
        <f t="shared" si="17"/>
        <v>5.5600824204367731E-3</v>
      </c>
      <c r="U63" s="50">
        <f t="shared" si="18"/>
        <v>3.0090956384521078E-3</v>
      </c>
      <c r="AA63" s="50"/>
      <c r="AB63" s="50"/>
      <c r="AC63" s="50"/>
      <c r="AD63" s="50"/>
      <c r="AF63" s="68"/>
      <c r="AG63" s="68"/>
      <c r="AH63" s="68"/>
      <c r="AJ63" s="50"/>
    </row>
    <row r="64" spans="1:36">
      <c r="A64" s="57" t="str">
        <f t="shared" si="14"/>
        <v>Hedge funds</v>
      </c>
      <c r="B64" s="1">
        <v>1.5171537011054845E-2</v>
      </c>
      <c r="C64" s="52">
        <v>1.3749157236249705E-2</v>
      </c>
      <c r="D64" s="53">
        <v>4.2830035655040321E-3</v>
      </c>
      <c r="E64" s="1">
        <v>1.0797753035406157E-2</v>
      </c>
      <c r="F64" s="54">
        <v>2.2292460987159837E-2</v>
      </c>
      <c r="G64" s="2">
        <v>-5.5791532128062718E-2</v>
      </c>
      <c r="H64" s="2">
        <v>1</v>
      </c>
      <c r="I64" s="2">
        <v>0.89097017371403919</v>
      </c>
      <c r="J64" s="2">
        <v>6.3845648675946234E-2</v>
      </c>
      <c r="K64" s="2">
        <v>-6.9200859640538917E-2</v>
      </c>
      <c r="L64" s="2">
        <v>4.6763585830907999E-2</v>
      </c>
      <c r="M64" s="2">
        <v>0.1908051372988154</v>
      </c>
      <c r="N64" s="2">
        <v>0.99999999999996891</v>
      </c>
      <c r="O64" s="55"/>
      <c r="R64" s="49" t="str">
        <f t="shared" si="15"/>
        <v>Hedge funds</v>
      </c>
      <c r="S64" s="50">
        <f t="shared" si="16"/>
        <v>4.2830035655040321E-3</v>
      </c>
      <c r="T64" s="50">
        <f t="shared" si="17"/>
        <v>1.0888533445550814E-2</v>
      </c>
      <c r="U64" s="50">
        <f t="shared" si="18"/>
        <v>7.1209239761049915E-3</v>
      </c>
      <c r="AA64" s="50"/>
      <c r="AB64" s="50"/>
      <c r="AC64" s="50"/>
      <c r="AD64" s="50"/>
      <c r="AF64" s="68"/>
      <c r="AG64" s="68"/>
      <c r="AH64" s="68"/>
      <c r="AJ64" s="50"/>
    </row>
    <row r="65" spans="1:36">
      <c r="A65" s="57" t="str">
        <f t="shared" si="14"/>
        <v>Onroerend goed</v>
      </c>
      <c r="B65" s="248">
        <v>9.3093349143433188E-3</v>
      </c>
      <c r="C65" s="52">
        <v>9.3959202172887567E-3</v>
      </c>
      <c r="D65" s="53">
        <v>2.0364506154393973E-3</v>
      </c>
      <c r="E65" s="1">
        <v>6.5098900141358157E-3</v>
      </c>
      <c r="F65" s="54">
        <v>1.4102646165763063E-2</v>
      </c>
      <c r="G65" s="2">
        <v>-1.9551656989054936E-2</v>
      </c>
      <c r="H65" s="2">
        <v>0.1203905049671013</v>
      </c>
      <c r="I65" s="2">
        <v>-0.96707125118033388</v>
      </c>
      <c r="J65" s="2">
        <v>1</v>
      </c>
      <c r="K65" s="2">
        <v>-0.20691843212559966</v>
      </c>
      <c r="L65" s="2">
        <v>4.8408772475667633E-2</v>
      </c>
      <c r="M65" s="2">
        <v>-5.1443090748298934E-2</v>
      </c>
      <c r="N65" s="2">
        <v>0.99999999999997813</v>
      </c>
      <c r="O65" s="55"/>
      <c r="R65" s="49" t="str">
        <f t="shared" si="15"/>
        <v>Onroerend goed</v>
      </c>
      <c r="S65" s="50">
        <f t="shared" si="16"/>
        <v>2.0364506154393973E-3</v>
      </c>
      <c r="T65" s="50">
        <f t="shared" si="17"/>
        <v>7.272884298903921E-3</v>
      </c>
      <c r="U65" s="50">
        <f t="shared" si="18"/>
        <v>4.7933112514197442E-3</v>
      </c>
    </row>
    <row r="66" spans="1:36">
      <c r="A66" s="57">
        <f t="shared" si="14"/>
        <v>1</v>
      </c>
      <c r="B66" s="1"/>
      <c r="C66" s="52"/>
      <c r="D66" s="53"/>
      <c r="E66" s="1"/>
      <c r="F66" s="54"/>
      <c r="G66" s="2"/>
      <c r="H66" s="2"/>
      <c r="I66" s="2"/>
      <c r="J66" s="2"/>
      <c r="K66" s="2"/>
      <c r="L66" s="2"/>
      <c r="M66" s="2"/>
      <c r="N66" s="2"/>
      <c r="O66" s="55"/>
      <c r="R66" s="49">
        <f t="shared" si="15"/>
        <v>1</v>
      </c>
      <c r="S66" s="50">
        <f t="shared" si="16"/>
        <v>0</v>
      </c>
      <c r="T66" s="50">
        <f t="shared" si="17"/>
        <v>0</v>
      </c>
      <c r="U66" s="50">
        <f t="shared" si="18"/>
        <v>0</v>
      </c>
    </row>
    <row r="67" spans="1:36">
      <c r="A67" s="57">
        <f t="shared" si="14"/>
        <v>2</v>
      </c>
      <c r="B67" s="1"/>
      <c r="C67" s="52"/>
      <c r="D67" s="53"/>
      <c r="E67" s="1"/>
      <c r="F67" s="54"/>
      <c r="G67" s="2"/>
      <c r="H67" s="2"/>
      <c r="I67" s="2"/>
      <c r="J67" s="2"/>
      <c r="K67" s="2"/>
      <c r="L67" s="2"/>
      <c r="M67" s="2"/>
      <c r="N67" s="2"/>
      <c r="O67" s="55"/>
      <c r="R67" s="49">
        <f t="shared" si="15"/>
        <v>2</v>
      </c>
      <c r="S67" s="50">
        <f t="shared" si="16"/>
        <v>0</v>
      </c>
      <c r="T67" s="50">
        <f t="shared" si="17"/>
        <v>0</v>
      </c>
      <c r="U67" s="50">
        <f t="shared" si="18"/>
        <v>0</v>
      </c>
    </row>
    <row r="68" spans="1:36">
      <c r="A68" s="57">
        <f t="shared" si="14"/>
        <v>3</v>
      </c>
      <c r="B68" s="1"/>
      <c r="C68" s="52"/>
      <c r="D68" s="53"/>
      <c r="E68" s="1"/>
      <c r="F68" s="54"/>
      <c r="G68" s="2"/>
      <c r="H68" s="2"/>
      <c r="I68" s="2"/>
      <c r="J68" s="2"/>
      <c r="K68" s="2"/>
      <c r="L68" s="2"/>
      <c r="M68" s="2"/>
      <c r="N68" s="2"/>
      <c r="O68" s="55"/>
      <c r="R68" s="49">
        <f t="shared" si="15"/>
        <v>3</v>
      </c>
      <c r="S68" s="50">
        <f t="shared" si="16"/>
        <v>0</v>
      </c>
      <c r="T68" s="50">
        <f t="shared" si="17"/>
        <v>0</v>
      </c>
      <c r="U68" s="50">
        <f t="shared" si="18"/>
        <v>0</v>
      </c>
    </row>
    <row r="69" spans="1:36">
      <c r="A69" s="57">
        <f t="shared" si="14"/>
        <v>4</v>
      </c>
      <c r="B69" s="1"/>
      <c r="C69" s="52"/>
      <c r="D69" s="53"/>
      <c r="E69" s="1"/>
      <c r="F69" s="54"/>
      <c r="G69" s="2"/>
      <c r="H69" s="2"/>
      <c r="I69" s="2"/>
      <c r="J69" s="2"/>
      <c r="K69" s="2"/>
      <c r="L69" s="2"/>
      <c r="M69" s="2"/>
      <c r="N69" s="2"/>
      <c r="O69" s="55"/>
      <c r="R69" s="49">
        <f t="shared" si="15"/>
        <v>4</v>
      </c>
      <c r="S69" s="50">
        <f t="shared" si="16"/>
        <v>0</v>
      </c>
      <c r="T69" s="50">
        <f t="shared" si="17"/>
        <v>0</v>
      </c>
      <c r="U69" s="50">
        <f t="shared" si="18"/>
        <v>0</v>
      </c>
      <c r="AA69" s="50"/>
      <c r="AB69" s="50"/>
      <c r="AC69" s="50"/>
      <c r="AD69" s="50"/>
    </row>
    <row r="70" spans="1:36">
      <c r="A70" s="57">
        <f t="shared" si="14"/>
        <v>5</v>
      </c>
      <c r="B70" s="1"/>
      <c r="C70" s="52"/>
      <c r="D70" s="53"/>
      <c r="E70" s="1"/>
      <c r="F70" s="54"/>
      <c r="G70" s="2"/>
      <c r="H70" s="2"/>
      <c r="I70" s="2"/>
      <c r="J70" s="2"/>
      <c r="K70" s="2"/>
      <c r="L70" s="2"/>
      <c r="M70" s="2"/>
      <c r="N70" s="2"/>
      <c r="O70" s="55"/>
      <c r="R70" s="49">
        <f t="shared" si="15"/>
        <v>5</v>
      </c>
      <c r="S70" s="50">
        <f t="shared" si="16"/>
        <v>0</v>
      </c>
      <c r="T70" s="50">
        <f t="shared" si="17"/>
        <v>0</v>
      </c>
      <c r="U70" s="50">
        <f t="shared" si="18"/>
        <v>0</v>
      </c>
      <c r="AA70" s="50"/>
      <c r="AB70" s="50"/>
      <c r="AC70" s="50"/>
      <c r="AD70" s="50"/>
    </row>
    <row r="71" spans="1:36">
      <c r="A71" s="57">
        <f t="shared" si="14"/>
        <v>6</v>
      </c>
      <c r="B71" s="1"/>
      <c r="C71" s="52"/>
      <c r="D71" s="53"/>
      <c r="E71" s="1"/>
      <c r="F71" s="54"/>
      <c r="G71" s="2"/>
      <c r="H71" s="2"/>
      <c r="I71" s="2"/>
      <c r="J71" s="2"/>
      <c r="K71" s="2"/>
      <c r="L71" s="2"/>
      <c r="M71" s="2"/>
      <c r="N71" s="2"/>
      <c r="O71" s="55"/>
      <c r="R71" s="49">
        <f t="shared" si="15"/>
        <v>6</v>
      </c>
      <c r="S71" s="50">
        <f t="shared" si="16"/>
        <v>0</v>
      </c>
      <c r="T71" s="50">
        <f t="shared" si="17"/>
        <v>0</v>
      </c>
      <c r="U71" s="50">
        <f t="shared" si="18"/>
        <v>0</v>
      </c>
      <c r="AA71" s="50"/>
      <c r="AB71" s="50"/>
      <c r="AC71" s="50"/>
      <c r="AD71" s="50"/>
    </row>
    <row r="72" spans="1:36">
      <c r="A72" s="58">
        <f t="shared" si="14"/>
        <v>7</v>
      </c>
      <c r="B72" s="59"/>
      <c r="C72" s="60"/>
      <c r="D72" s="61"/>
      <c r="E72" s="59"/>
      <c r="F72" s="62"/>
      <c r="G72" s="63"/>
      <c r="H72" s="63"/>
      <c r="I72" s="63"/>
      <c r="J72" s="63"/>
      <c r="K72" s="63"/>
      <c r="L72" s="63"/>
      <c r="M72" s="63"/>
      <c r="N72" s="63"/>
      <c r="O72" s="64"/>
      <c r="R72" s="49">
        <f t="shared" si="15"/>
        <v>7</v>
      </c>
      <c r="S72" s="50">
        <f t="shared" si="16"/>
        <v>0</v>
      </c>
      <c r="T72" s="50">
        <f t="shared" si="17"/>
        <v>0</v>
      </c>
      <c r="U72" s="50">
        <f t="shared" si="18"/>
        <v>0</v>
      </c>
      <c r="AA72" s="50"/>
      <c r="AB72" s="50"/>
      <c r="AC72" s="50"/>
      <c r="AD72" s="50"/>
    </row>
    <row r="73" spans="1:36">
      <c r="A73" s="65"/>
      <c r="B73" s="1"/>
      <c r="C73" s="1"/>
      <c r="D73" s="1"/>
      <c r="E73" s="1"/>
      <c r="F73" s="66"/>
      <c r="G73" s="66"/>
      <c r="H73" s="66"/>
      <c r="I73" s="66"/>
      <c r="J73" s="66"/>
      <c r="K73" s="66"/>
      <c r="L73" s="66"/>
      <c r="M73" s="66"/>
      <c r="N73" s="66"/>
      <c r="O73" s="66"/>
      <c r="AA73" s="50"/>
      <c r="AB73" s="50"/>
      <c r="AC73" s="50"/>
      <c r="AD73" s="50"/>
    </row>
    <row r="74" spans="1:36">
      <c r="D74" s="341" t="s">
        <v>64</v>
      </c>
      <c r="E74" s="342"/>
      <c r="F74" s="343"/>
      <c r="G74" s="341" t="s">
        <v>65</v>
      </c>
      <c r="H74" s="342"/>
      <c r="I74" s="342"/>
      <c r="J74" s="342"/>
      <c r="K74" s="342"/>
      <c r="L74" s="342"/>
      <c r="M74" s="342"/>
      <c r="N74" s="342"/>
      <c r="O74" s="343"/>
      <c r="AA74" s="50"/>
      <c r="AB74" s="50"/>
      <c r="AC74" s="50"/>
      <c r="AD74" s="50"/>
    </row>
    <row r="75" spans="1:36">
      <c r="A75" s="237" t="str">
        <f>Optimalisatie!A28</f>
        <v>Bear case</v>
      </c>
      <c r="B75" s="238" t="s">
        <v>1</v>
      </c>
      <c r="C75" s="239" t="s">
        <v>2</v>
      </c>
      <c r="D75" s="240">
        <v>0.25</v>
      </c>
      <c r="E75" s="241">
        <v>0.5</v>
      </c>
      <c r="F75" s="242">
        <v>0.75</v>
      </c>
      <c r="G75" s="243">
        <v>0.6023427868571295</v>
      </c>
      <c r="H75" s="243">
        <v>0.14795941495534592</v>
      </c>
      <c r="I75" s="243">
        <v>8.0537114617000305E-2</v>
      </c>
      <c r="J75" s="243">
        <v>7.1061295599950891E-2</v>
      </c>
      <c r="K75" s="243">
        <v>5.311394740765385E-2</v>
      </c>
      <c r="L75" s="243">
        <v>2.3857391780433446E-2</v>
      </c>
      <c r="M75" s="243">
        <v>2.1128048782483644E-2</v>
      </c>
      <c r="N75" s="243">
        <v>0</v>
      </c>
      <c r="O75" s="244">
        <v>1.1102230246251565E-16</v>
      </c>
      <c r="R75" s="49" t="str">
        <f>A75</f>
        <v>Bear case</v>
      </c>
      <c r="S75" s="49"/>
      <c r="T75" s="50"/>
      <c r="U75" s="49"/>
      <c r="AA75" s="50"/>
      <c r="AB75" s="50"/>
      <c r="AC75" s="50"/>
      <c r="AD75" s="50"/>
    </row>
    <row r="76" spans="1:36">
      <c r="A76" s="57" t="str">
        <f>IF(A58="","",A58)</f>
        <v>Nominale matching</v>
      </c>
      <c r="B76" s="1">
        <v>0.99955803493411044</v>
      </c>
      <c r="C76" s="52">
        <v>2.3999796356669463E-4</v>
      </c>
      <c r="D76" s="53">
        <v>0.99939888199458637</v>
      </c>
      <c r="E76" s="1">
        <v>0.99957344073104526</v>
      </c>
      <c r="F76" s="54">
        <v>0.99974933627087248</v>
      </c>
      <c r="G76" s="66">
        <v>1</v>
      </c>
      <c r="H76" s="66">
        <v>0.69096065585458</v>
      </c>
      <c r="I76" s="66">
        <v>4.8325897879879162E-2</v>
      </c>
      <c r="J76" s="66">
        <v>-5.9673323855208821E-2</v>
      </c>
      <c r="K76" s="66">
        <v>-9.931573898133586E-2</v>
      </c>
      <c r="L76" s="66">
        <v>-0.2565539298555547</v>
      </c>
      <c r="M76" s="2">
        <v>-1.2790786655613541E-2</v>
      </c>
      <c r="N76" s="2">
        <v>0.99999999999993039</v>
      </c>
      <c r="O76" s="67"/>
      <c r="R76" s="49" t="str">
        <f>IF(A76&lt;&gt;"",A76,"")</f>
        <v>Nominale matching</v>
      </c>
      <c r="S76" s="50">
        <f>IF($A76="","",D76)</f>
        <v>0.99939888199458637</v>
      </c>
      <c r="T76" s="50">
        <f>IF($A76="","",B76-D76)</f>
        <v>1.591529395240654E-4</v>
      </c>
      <c r="U76" s="50">
        <f>IF($A76="","",F76-B76)</f>
        <v>1.9130133676203975E-4</v>
      </c>
    </row>
    <row r="77" spans="1:36">
      <c r="A77" s="57" t="str">
        <f t="shared" ref="A77:A90" si="19">IF(A59="","",A59)</f>
        <v>High Yield</v>
      </c>
      <c r="B77" s="1">
        <v>5.7242546860375721E-5</v>
      </c>
      <c r="C77" s="52">
        <v>9.5254319664139214E-5</v>
      </c>
      <c r="D77" s="53">
        <v>8.5925070683015273E-7</v>
      </c>
      <c r="E77" s="1">
        <v>1.4891705398161286E-5</v>
      </c>
      <c r="F77" s="54">
        <v>6.7985673258474762E-5</v>
      </c>
      <c r="G77" s="66">
        <v>-6.8696291123930858E-2</v>
      </c>
      <c r="H77" s="66">
        <v>-0.28343988739334763</v>
      </c>
      <c r="I77" s="66">
        <v>-0.12194634018949056</v>
      </c>
      <c r="J77" s="66">
        <v>1</v>
      </c>
      <c r="K77" s="66">
        <v>-0.23829880461457392</v>
      </c>
      <c r="L77" s="66">
        <v>-0.3023145854632639</v>
      </c>
      <c r="M77" s="2">
        <v>-8.1206031318967434E-2</v>
      </c>
      <c r="N77" s="2">
        <v>0.99999999999991684</v>
      </c>
      <c r="O77" s="67"/>
      <c r="R77" s="49" t="str">
        <f t="shared" ref="R77:R90" si="20">IF(A77&lt;&gt;"",A77,"")</f>
        <v>High Yield</v>
      </c>
      <c r="S77" s="50">
        <f t="shared" ref="S77:S90" si="21">IF($A77="","",D77)</f>
        <v>8.5925070683015273E-7</v>
      </c>
      <c r="T77" s="50">
        <f t="shared" ref="T77:T90" si="22">IF($A77="","",B77-D77)</f>
        <v>5.6383296153545567E-5</v>
      </c>
      <c r="U77" s="50">
        <f t="shared" ref="U77:U90" si="23">IF($A77="","",F77-B77)</f>
        <v>1.0743126398099041E-5</v>
      </c>
    </row>
    <row r="78" spans="1:36">
      <c r="A78" s="57" t="str">
        <f t="shared" si="19"/>
        <v>Emerging market debt</v>
      </c>
      <c r="B78" s="1">
        <v>6.6326374397549775E-5</v>
      </c>
      <c r="C78" s="52">
        <v>1.0130096167745963E-4</v>
      </c>
      <c r="D78" s="53">
        <v>2.156548513140996E-6</v>
      </c>
      <c r="E78" s="1">
        <v>1.9741343208601153E-5</v>
      </c>
      <c r="F78" s="54">
        <v>8.5581235313396609E-5</v>
      </c>
      <c r="G78" s="66">
        <v>-5.1608474544155576E-2</v>
      </c>
      <c r="H78" s="66">
        <v>-0.4812626963927204</v>
      </c>
      <c r="I78" s="66">
        <v>-0.96708490597406449</v>
      </c>
      <c r="J78" s="66">
        <v>-0.47881269029140522</v>
      </c>
      <c r="K78" s="66">
        <v>-0.29437250928696762</v>
      </c>
      <c r="L78" s="66">
        <v>-0.33273835443127514</v>
      </c>
      <c r="M78" s="2">
        <v>-6.4319367722053128E-2</v>
      </c>
      <c r="N78" s="2">
        <v>0.99999999999994638</v>
      </c>
      <c r="O78" s="67"/>
      <c r="R78" s="49" t="str">
        <f t="shared" si="20"/>
        <v>Emerging market debt</v>
      </c>
      <c r="S78" s="50">
        <f t="shared" si="21"/>
        <v>2.156548513140996E-6</v>
      </c>
      <c r="T78" s="50">
        <f t="shared" si="22"/>
        <v>6.4169825884408783E-5</v>
      </c>
      <c r="U78" s="50">
        <f t="shared" si="23"/>
        <v>1.9254860915846834E-5</v>
      </c>
    </row>
    <row r="79" spans="1:36">
      <c r="A79" s="57" t="str">
        <f t="shared" si="19"/>
        <v>Aandelen ontwikkeld</v>
      </c>
      <c r="B79" s="1">
        <v>3.2430217128612392E-5</v>
      </c>
      <c r="C79" s="52">
        <v>5.3562733293512947E-5</v>
      </c>
      <c r="D79" s="53">
        <v>3.9133689800341935E-7</v>
      </c>
      <c r="E79" s="1">
        <v>6.4801988509215236E-6</v>
      </c>
      <c r="F79" s="54">
        <v>4.5768591486284972E-5</v>
      </c>
      <c r="G79" s="66">
        <v>8.5201172440357575E-3</v>
      </c>
      <c r="H79" s="66">
        <v>-6.390338301043974E-2</v>
      </c>
      <c r="I79" s="66">
        <v>4.2112663403523008E-2</v>
      </c>
      <c r="J79" s="66">
        <v>-3.3565690677207063E-2</v>
      </c>
      <c r="K79" s="66">
        <v>5.5776717151043827E-2</v>
      </c>
      <c r="L79" s="66">
        <v>1</v>
      </c>
      <c r="M79" s="2">
        <v>-0.86161282505825376</v>
      </c>
      <c r="N79" s="2">
        <v>1</v>
      </c>
      <c r="O79" s="67"/>
      <c r="R79" s="49" t="str">
        <f t="shared" si="20"/>
        <v>Aandelen ontwikkeld</v>
      </c>
      <c r="S79" s="50">
        <f t="shared" si="21"/>
        <v>3.9133689800341935E-7</v>
      </c>
      <c r="T79" s="50">
        <f t="shared" si="22"/>
        <v>3.203888023060897E-5</v>
      </c>
      <c r="U79" s="50">
        <f t="shared" si="23"/>
        <v>1.3338374357672581E-5</v>
      </c>
    </row>
    <row r="80" spans="1:36">
      <c r="A80" s="57" t="str">
        <f t="shared" si="19"/>
        <v>Aandelen opkomend</v>
      </c>
      <c r="B80" s="1">
        <v>5.6987260943355982E-5</v>
      </c>
      <c r="C80" s="52">
        <v>1.04554001857243E-4</v>
      </c>
      <c r="D80" s="53">
        <v>6.2384886395721793E-7</v>
      </c>
      <c r="E80" s="1">
        <v>1.0342847628219801E-5</v>
      </c>
      <c r="F80" s="54">
        <v>5.5832162387827743E-5</v>
      </c>
      <c r="G80" s="66">
        <v>-7.0907363961801737E-2</v>
      </c>
      <c r="H80" s="66">
        <v>-0.5805937189510314</v>
      </c>
      <c r="I80" s="66">
        <v>1</v>
      </c>
      <c r="J80" s="66">
        <v>-0.33104656023264423</v>
      </c>
      <c r="K80" s="66">
        <v>-0.30560113469810718</v>
      </c>
      <c r="L80" s="66">
        <v>-0.34090389586299613</v>
      </c>
      <c r="M80" s="2">
        <v>1.1683616724311193E-2</v>
      </c>
      <c r="N80" s="2">
        <v>0.9999999999999114</v>
      </c>
      <c r="O80" s="67"/>
      <c r="R80" s="49" t="str">
        <f t="shared" si="20"/>
        <v>Aandelen opkomend</v>
      </c>
      <c r="S80" s="50">
        <f t="shared" si="21"/>
        <v>6.2384886395721793E-7</v>
      </c>
      <c r="T80" s="50">
        <f t="shared" si="22"/>
        <v>5.6363412079398764E-5</v>
      </c>
      <c r="U80" s="50">
        <f t="shared" si="23"/>
        <v>-1.1550985555282387E-6</v>
      </c>
      <c r="AA80" s="50"/>
      <c r="AB80" s="50"/>
      <c r="AC80" s="50"/>
      <c r="AD80" s="50"/>
      <c r="AF80" s="68"/>
      <c r="AG80" s="68"/>
      <c r="AH80" s="68"/>
      <c r="AJ80" s="50"/>
    </row>
    <row r="81" spans="1:36">
      <c r="A81" s="57" t="str">
        <f t="shared" si="19"/>
        <v>Commodities</v>
      </c>
      <c r="B81" s="1">
        <v>2.8958856485736442E-5</v>
      </c>
      <c r="C81" s="52">
        <v>5.2875634281833488E-5</v>
      </c>
      <c r="D81" s="53">
        <v>2.1982705378033417E-7</v>
      </c>
      <c r="E81" s="1">
        <v>5.3718485281657599E-6</v>
      </c>
      <c r="F81" s="54">
        <v>3.0546992704133612E-5</v>
      </c>
      <c r="G81" s="66">
        <v>-9.0839943440096157E-3</v>
      </c>
      <c r="H81" s="66">
        <v>-5.6963025241695928E-2</v>
      </c>
      <c r="I81" s="66">
        <v>-4.5469199588476443E-2</v>
      </c>
      <c r="J81" s="66">
        <v>2.2302436616765526E-2</v>
      </c>
      <c r="K81" s="66">
        <v>-2.699249604496513E-2</v>
      </c>
      <c r="L81" s="66">
        <v>0.82265553891501453</v>
      </c>
      <c r="M81" s="2">
        <v>1</v>
      </c>
      <c r="N81" s="2">
        <v>0.99999999999982647</v>
      </c>
      <c r="O81" s="67"/>
      <c r="R81" s="49" t="str">
        <f t="shared" si="20"/>
        <v>Commodities</v>
      </c>
      <c r="S81" s="50">
        <f t="shared" si="21"/>
        <v>2.1982705378033417E-7</v>
      </c>
      <c r="T81" s="50">
        <f t="shared" si="22"/>
        <v>2.8739029431956106E-5</v>
      </c>
      <c r="U81" s="50">
        <f t="shared" si="23"/>
        <v>1.5881362183971703E-6</v>
      </c>
      <c r="AA81" s="50"/>
      <c r="AB81" s="50"/>
      <c r="AC81" s="50"/>
      <c r="AD81" s="50"/>
      <c r="AF81" s="68"/>
      <c r="AG81" s="68"/>
      <c r="AH81" s="68"/>
      <c r="AJ81" s="50"/>
    </row>
    <row r="82" spans="1:36">
      <c r="A82" s="57" t="str">
        <f t="shared" si="19"/>
        <v>Hedge funds</v>
      </c>
      <c r="B82" s="1">
        <v>1.5068187799607263E-4</v>
      </c>
      <c r="C82" s="52">
        <v>2.0537750910191557E-4</v>
      </c>
      <c r="D82" s="53">
        <v>8.1569843070521738E-6</v>
      </c>
      <c r="E82" s="1">
        <v>6.6241968669462125E-5</v>
      </c>
      <c r="F82" s="54">
        <v>2.179213944237812E-4</v>
      </c>
      <c r="G82" s="66">
        <v>-0.78224952353379174</v>
      </c>
      <c r="H82" s="66">
        <v>1</v>
      </c>
      <c r="I82" s="66">
        <v>4.6719688130269908E-2</v>
      </c>
      <c r="J82" s="66">
        <v>-0.10257841614364369</v>
      </c>
      <c r="K82" s="66">
        <v>-9.1196033525075132E-2</v>
      </c>
      <c r="L82" s="66">
        <v>-0.23545072145022844</v>
      </c>
      <c r="M82" s="2">
        <v>-2.824431370797988E-2</v>
      </c>
      <c r="N82" s="2">
        <v>0.99999999999993738</v>
      </c>
      <c r="O82" s="67"/>
      <c r="R82" s="49" t="str">
        <f t="shared" si="20"/>
        <v>Hedge funds</v>
      </c>
      <c r="S82" s="50">
        <f t="shared" si="21"/>
        <v>8.1569843070521738E-6</v>
      </c>
      <c r="T82" s="50">
        <f t="shared" si="22"/>
        <v>1.4252489368902046E-4</v>
      </c>
      <c r="U82" s="50">
        <f t="shared" si="23"/>
        <v>6.7239516427708564E-5</v>
      </c>
      <c r="AA82" s="50"/>
      <c r="AB82" s="50"/>
      <c r="AC82" s="50"/>
      <c r="AD82" s="50"/>
      <c r="AF82" s="68"/>
      <c r="AG82" s="68"/>
      <c r="AH82" s="68"/>
      <c r="AJ82" s="50"/>
    </row>
    <row r="83" spans="1:36">
      <c r="A83" s="57" t="str">
        <f t="shared" si="19"/>
        <v>Onroerend goed</v>
      </c>
      <c r="B83" s="248">
        <v>4.9337932077139163E-5</v>
      </c>
      <c r="C83" s="52">
        <v>8.2024796222268157E-5</v>
      </c>
      <c r="D83" s="53">
        <v>6.4188448483772404E-7</v>
      </c>
      <c r="E83" s="1">
        <v>1.2862720749863311E-5</v>
      </c>
      <c r="F83" s="54">
        <v>5.9134684380613995E-5</v>
      </c>
      <c r="G83" s="2">
        <v>-2.5974469736344749E-2</v>
      </c>
      <c r="H83" s="2">
        <v>-0.22479794486536686</v>
      </c>
      <c r="I83" s="2">
        <v>-2.6578036616163162E-3</v>
      </c>
      <c r="J83" s="2">
        <v>-1.6625755416636499E-2</v>
      </c>
      <c r="K83" s="2">
        <v>1</v>
      </c>
      <c r="L83" s="2">
        <v>-0.35469405185169484</v>
      </c>
      <c r="M83" s="2">
        <v>3.6489707738722545E-2</v>
      </c>
      <c r="N83" s="2">
        <v>0.99999999999990119</v>
      </c>
      <c r="O83" s="55"/>
      <c r="R83" s="49" t="str">
        <f t="shared" si="20"/>
        <v>Onroerend goed</v>
      </c>
      <c r="S83" s="50">
        <f t="shared" si="21"/>
        <v>6.4188448483772404E-7</v>
      </c>
      <c r="T83" s="50">
        <f t="shared" si="22"/>
        <v>4.869604759230144E-5</v>
      </c>
      <c r="U83" s="50">
        <f t="shared" si="23"/>
        <v>9.7967523034748317E-6</v>
      </c>
      <c r="AA83" s="50"/>
      <c r="AB83" s="50"/>
      <c r="AC83" s="50"/>
      <c r="AD83" s="50"/>
      <c r="AF83" s="68"/>
      <c r="AG83" s="68"/>
      <c r="AH83" s="68"/>
      <c r="AJ83" s="50"/>
    </row>
    <row r="84" spans="1:36">
      <c r="A84" s="57">
        <f t="shared" si="19"/>
        <v>1</v>
      </c>
      <c r="B84" s="1"/>
      <c r="C84" s="52"/>
      <c r="D84" s="53"/>
      <c r="E84" s="1"/>
      <c r="F84" s="54"/>
      <c r="G84" s="2"/>
      <c r="H84" s="2"/>
      <c r="I84" s="2"/>
      <c r="J84" s="2"/>
      <c r="K84" s="2"/>
      <c r="L84" s="2"/>
      <c r="M84" s="2"/>
      <c r="N84" s="2"/>
      <c r="O84" s="55"/>
      <c r="R84" s="49">
        <f t="shared" si="20"/>
        <v>1</v>
      </c>
      <c r="S84" s="50">
        <f t="shared" si="21"/>
        <v>0</v>
      </c>
      <c r="T84" s="50">
        <f t="shared" si="22"/>
        <v>0</v>
      </c>
      <c r="U84" s="50">
        <f t="shared" si="23"/>
        <v>0</v>
      </c>
      <c r="AA84" s="50"/>
      <c r="AB84" s="50"/>
      <c r="AC84" s="50"/>
      <c r="AD84" s="50"/>
      <c r="AF84" s="68"/>
      <c r="AG84" s="68"/>
      <c r="AH84" s="68"/>
      <c r="AJ84" s="50"/>
    </row>
    <row r="85" spans="1:36">
      <c r="A85" s="57">
        <f t="shared" si="19"/>
        <v>2</v>
      </c>
      <c r="B85" s="1"/>
      <c r="C85" s="52"/>
      <c r="D85" s="53"/>
      <c r="E85" s="1"/>
      <c r="F85" s="54"/>
      <c r="G85" s="2"/>
      <c r="H85" s="2"/>
      <c r="I85" s="2"/>
      <c r="J85" s="2"/>
      <c r="K85" s="2"/>
      <c r="L85" s="2"/>
      <c r="M85" s="2"/>
      <c r="N85" s="2"/>
      <c r="O85" s="55"/>
      <c r="R85" s="49">
        <f t="shared" si="20"/>
        <v>2</v>
      </c>
      <c r="S85" s="50">
        <f t="shared" si="21"/>
        <v>0</v>
      </c>
      <c r="T85" s="50">
        <f t="shared" si="22"/>
        <v>0</v>
      </c>
      <c r="U85" s="50">
        <f t="shared" si="23"/>
        <v>0</v>
      </c>
      <c r="AA85" s="50"/>
      <c r="AB85" s="50"/>
      <c r="AC85" s="50"/>
      <c r="AD85" s="50"/>
      <c r="AF85" s="68"/>
      <c r="AG85" s="68"/>
      <c r="AH85" s="68"/>
      <c r="AJ85" s="50"/>
    </row>
    <row r="86" spans="1:36">
      <c r="A86" s="57">
        <f t="shared" si="19"/>
        <v>3</v>
      </c>
      <c r="B86" s="1"/>
      <c r="C86" s="52"/>
      <c r="D86" s="53"/>
      <c r="E86" s="1"/>
      <c r="F86" s="54"/>
      <c r="G86" s="2"/>
      <c r="H86" s="2"/>
      <c r="I86" s="2"/>
      <c r="J86" s="2"/>
      <c r="K86" s="2"/>
      <c r="L86" s="2"/>
      <c r="M86" s="2"/>
      <c r="N86" s="2"/>
      <c r="O86" s="55"/>
      <c r="R86" s="49">
        <f t="shared" si="20"/>
        <v>3</v>
      </c>
      <c r="S86" s="50">
        <f t="shared" si="21"/>
        <v>0</v>
      </c>
      <c r="T86" s="50">
        <f t="shared" si="22"/>
        <v>0</v>
      </c>
      <c r="U86" s="50">
        <f t="shared" si="23"/>
        <v>0</v>
      </c>
      <c r="AA86" s="50"/>
      <c r="AB86" s="50"/>
      <c r="AC86" s="50"/>
      <c r="AD86" s="50"/>
      <c r="AF86" s="68"/>
      <c r="AG86" s="68"/>
      <c r="AH86" s="68"/>
      <c r="AJ86" s="50"/>
    </row>
    <row r="87" spans="1:36">
      <c r="A87" s="57">
        <f t="shared" si="19"/>
        <v>4</v>
      </c>
      <c r="B87" s="1"/>
      <c r="C87" s="52"/>
      <c r="D87" s="53"/>
      <c r="E87" s="1"/>
      <c r="F87" s="54"/>
      <c r="G87" s="2"/>
      <c r="H87" s="2"/>
      <c r="I87" s="2"/>
      <c r="J87" s="2"/>
      <c r="K87" s="2"/>
      <c r="L87" s="2"/>
      <c r="M87" s="2"/>
      <c r="N87" s="2"/>
      <c r="O87" s="55"/>
      <c r="R87" s="49">
        <f t="shared" si="20"/>
        <v>4</v>
      </c>
      <c r="S87" s="50">
        <f t="shared" si="21"/>
        <v>0</v>
      </c>
      <c r="T87" s="50">
        <f t="shared" si="22"/>
        <v>0</v>
      </c>
      <c r="U87" s="50">
        <f t="shared" si="23"/>
        <v>0</v>
      </c>
    </row>
    <row r="88" spans="1:36">
      <c r="A88" s="57">
        <f t="shared" si="19"/>
        <v>5</v>
      </c>
      <c r="B88" s="1"/>
      <c r="C88" s="52"/>
      <c r="D88" s="53"/>
      <c r="E88" s="1"/>
      <c r="F88" s="54"/>
      <c r="G88" s="2"/>
      <c r="H88" s="2"/>
      <c r="I88" s="2"/>
      <c r="J88" s="2"/>
      <c r="K88" s="2"/>
      <c r="L88" s="2"/>
      <c r="M88" s="2"/>
      <c r="N88" s="2"/>
      <c r="O88" s="55"/>
      <c r="R88" s="49">
        <f t="shared" si="20"/>
        <v>5</v>
      </c>
      <c r="S88" s="50">
        <f t="shared" si="21"/>
        <v>0</v>
      </c>
      <c r="T88" s="50">
        <f t="shared" si="22"/>
        <v>0</v>
      </c>
      <c r="U88" s="50">
        <f t="shared" si="23"/>
        <v>0</v>
      </c>
    </row>
    <row r="89" spans="1:36">
      <c r="A89" s="57">
        <f t="shared" si="19"/>
        <v>6</v>
      </c>
      <c r="B89" s="1"/>
      <c r="C89" s="52"/>
      <c r="D89" s="53"/>
      <c r="E89" s="1"/>
      <c r="F89" s="54"/>
      <c r="G89" s="2"/>
      <c r="H89" s="2"/>
      <c r="I89" s="2"/>
      <c r="J89" s="2"/>
      <c r="K89" s="2"/>
      <c r="L89" s="2"/>
      <c r="M89" s="2"/>
      <c r="N89" s="2"/>
      <c r="O89" s="55"/>
      <c r="R89" s="49">
        <f t="shared" si="20"/>
        <v>6</v>
      </c>
      <c r="S89" s="50">
        <f t="shared" si="21"/>
        <v>0</v>
      </c>
      <c r="T89" s="50">
        <f t="shared" si="22"/>
        <v>0</v>
      </c>
      <c r="U89" s="50">
        <f t="shared" si="23"/>
        <v>0</v>
      </c>
    </row>
    <row r="90" spans="1:36">
      <c r="A90" s="58">
        <f t="shared" si="19"/>
        <v>7</v>
      </c>
      <c r="B90" s="59"/>
      <c r="C90" s="60"/>
      <c r="D90" s="61"/>
      <c r="E90" s="59"/>
      <c r="F90" s="62"/>
      <c r="G90" s="63"/>
      <c r="H90" s="63"/>
      <c r="I90" s="63"/>
      <c r="J90" s="63"/>
      <c r="K90" s="63"/>
      <c r="L90" s="63"/>
      <c r="M90" s="63"/>
      <c r="N90" s="63"/>
      <c r="O90" s="64"/>
      <c r="R90" s="49">
        <f t="shared" si="20"/>
        <v>7</v>
      </c>
      <c r="S90" s="50">
        <f t="shared" si="21"/>
        <v>0</v>
      </c>
      <c r="T90" s="50">
        <f t="shared" si="22"/>
        <v>0</v>
      </c>
      <c r="U90" s="50">
        <f t="shared" si="23"/>
        <v>0</v>
      </c>
    </row>
    <row r="91" spans="1:36">
      <c r="A91" s="65"/>
      <c r="B91" s="1"/>
      <c r="C91" s="1"/>
      <c r="D91" s="1"/>
      <c r="E91" s="1"/>
      <c r="F91" s="66"/>
      <c r="G91" s="66"/>
      <c r="H91" s="66"/>
      <c r="I91" s="66"/>
      <c r="J91" s="66"/>
      <c r="K91" s="66"/>
      <c r="L91" s="66"/>
      <c r="M91" s="66"/>
      <c r="N91" s="66"/>
      <c r="O91" s="66"/>
    </row>
    <row r="92" spans="1:36">
      <c r="D92" s="341" t="s">
        <v>64</v>
      </c>
      <c r="E92" s="342"/>
      <c r="F92" s="343"/>
      <c r="G92" s="341" t="s">
        <v>65</v>
      </c>
      <c r="H92" s="342"/>
      <c r="I92" s="342"/>
      <c r="J92" s="342"/>
      <c r="K92" s="342"/>
      <c r="L92" s="342"/>
      <c r="M92" s="342"/>
      <c r="N92" s="342"/>
      <c r="O92" s="343"/>
    </row>
    <row r="93" spans="1:36">
      <c r="A93" s="237" t="str">
        <f>Optimalisatie!A11</f>
        <v>Tail risk</v>
      </c>
      <c r="B93" s="238" t="s">
        <v>1</v>
      </c>
      <c r="C93" s="239" t="s">
        <v>2</v>
      </c>
      <c r="D93" s="240">
        <v>0.25</v>
      </c>
      <c r="E93" s="241">
        <v>0.5</v>
      </c>
      <c r="F93" s="242">
        <v>0.75</v>
      </c>
      <c r="G93" s="243">
        <v>0.54899594411367736</v>
      </c>
      <c r="H93" s="243">
        <v>0.22980979408419422</v>
      </c>
      <c r="I93" s="243">
        <v>8.3940842665532034E-2</v>
      </c>
      <c r="J93" s="243">
        <v>5.3785005818080212E-2</v>
      </c>
      <c r="K93" s="243">
        <v>3.5962823700069202E-2</v>
      </c>
      <c r="L93" s="243">
        <v>2.8719022797180305E-2</v>
      </c>
      <c r="M93" s="243">
        <v>1.8786566821264783E-2</v>
      </c>
      <c r="N93" s="243">
        <v>0</v>
      </c>
      <c r="O93" s="244"/>
      <c r="R93" s="49" t="str">
        <f>A93</f>
        <v>Tail risk</v>
      </c>
      <c r="S93" s="49"/>
      <c r="T93" s="50"/>
      <c r="U93" s="49"/>
    </row>
    <row r="94" spans="1:36">
      <c r="A94" s="57" t="str">
        <f>IF(A76="","",A76)</f>
        <v>Nominale matching</v>
      </c>
      <c r="B94" s="1">
        <v>0.97131108132672761</v>
      </c>
      <c r="C94" s="52">
        <v>5.7389266946415675E-4</v>
      </c>
      <c r="D94" s="53">
        <v>0.97085898215615662</v>
      </c>
      <c r="E94" s="1">
        <v>0.97121766014521504</v>
      </c>
      <c r="F94" s="54">
        <v>0.9716870765592811</v>
      </c>
      <c r="G94" s="2">
        <v>-0.76923150392479067</v>
      </c>
      <c r="H94" s="2">
        <v>-0.84770576064582637</v>
      </c>
      <c r="I94" s="2">
        <v>-0.43929000873735102</v>
      </c>
      <c r="J94" s="2">
        <v>-0.2293071337023328</v>
      </c>
      <c r="K94" s="2">
        <v>-6.6413512514834183E-2</v>
      </c>
      <c r="L94" s="2">
        <v>-9.6244423580041677E-2</v>
      </c>
      <c r="M94" s="2">
        <v>-8.1092948331120671E-2</v>
      </c>
      <c r="N94" s="2">
        <v>0.99999999999994815</v>
      </c>
      <c r="O94" s="67"/>
      <c r="R94" s="49" t="str">
        <f>IF(A94&lt;&gt;"",A94,"")</f>
        <v>Nominale matching</v>
      </c>
      <c r="S94" s="50">
        <f>IF($A94="","",D94)</f>
        <v>0.97085898215615662</v>
      </c>
      <c r="T94" s="50">
        <f>IF($A94="","",B94-D94)</f>
        <v>4.5209917057098536E-4</v>
      </c>
      <c r="U94" s="50">
        <f>IF($A94="","",F94-B94)</f>
        <v>3.7599523255349432E-4</v>
      </c>
    </row>
    <row r="95" spans="1:36">
      <c r="A95" s="57" t="str">
        <f t="shared" ref="A95:A108" si="24">IF(A77="","",A77)</f>
        <v>High Yield</v>
      </c>
      <c r="B95" s="1">
        <v>1.4956741788953512E-4</v>
      </c>
      <c r="C95" s="52">
        <v>2.6186261175539099E-4</v>
      </c>
      <c r="D95" s="53">
        <v>2.0654177966407715E-6</v>
      </c>
      <c r="E95" s="1">
        <v>2.4408393145907364E-5</v>
      </c>
      <c r="F95" s="54">
        <v>1.6693108247810523E-4</v>
      </c>
      <c r="G95" s="2">
        <v>-1.4450116437994782E-2</v>
      </c>
      <c r="H95" s="2">
        <v>0.10889043735512512</v>
      </c>
      <c r="I95" s="2">
        <v>1</v>
      </c>
      <c r="J95" s="2">
        <v>-0.7281880150549439</v>
      </c>
      <c r="K95" s="2">
        <v>-0.23178020359257218</v>
      </c>
      <c r="L95" s="2">
        <v>-0.14852083316422482</v>
      </c>
      <c r="M95" s="2">
        <v>-0.15778795659619074</v>
      </c>
      <c r="N95" s="2">
        <v>0.99999999999992628</v>
      </c>
      <c r="O95" s="67"/>
      <c r="R95" s="49" t="str">
        <f t="shared" ref="R95:R108" si="25">IF(A95&lt;&gt;"",A95,"")</f>
        <v>High Yield</v>
      </c>
      <c r="S95" s="50">
        <f t="shared" ref="S95:S108" si="26">IF($A95="","",D95)</f>
        <v>2.0654177966407715E-6</v>
      </c>
      <c r="T95" s="50">
        <f t="shared" ref="T95:T108" si="27">IF($A95="","",B95-D95)</f>
        <v>1.4750200009289435E-4</v>
      </c>
      <c r="U95" s="50">
        <f t="shared" ref="U95:U108" si="28">IF($A95="","",F95-B95)</f>
        <v>1.7363664588570106E-5</v>
      </c>
    </row>
    <row r="96" spans="1:36">
      <c r="A96" s="57" t="str">
        <f t="shared" si="24"/>
        <v>Emerging market debt</v>
      </c>
      <c r="B96" s="1">
        <v>2.727771845681999E-4</v>
      </c>
      <c r="C96" s="52">
        <v>4.2929075896322129E-4</v>
      </c>
      <c r="D96" s="53">
        <v>5.1995595844144948E-6</v>
      </c>
      <c r="E96" s="1">
        <v>7.4156882999610793E-5</v>
      </c>
      <c r="F96" s="54">
        <v>3.8813291319571183E-4</v>
      </c>
      <c r="G96" s="2">
        <v>-0.24564783063103832</v>
      </c>
      <c r="H96" s="2">
        <v>1</v>
      </c>
      <c r="I96" s="2">
        <v>-0.7005572541498819</v>
      </c>
      <c r="J96" s="2">
        <v>-0.23929246537080073</v>
      </c>
      <c r="K96" s="2">
        <v>-0.11871522372452541</v>
      </c>
      <c r="L96" s="2">
        <v>-0.14508078356378995</v>
      </c>
      <c r="M96" s="2">
        <v>-0.12685914723633995</v>
      </c>
      <c r="N96" s="2">
        <v>0.99999999999994837</v>
      </c>
      <c r="O96" s="67"/>
      <c r="R96" s="49" t="str">
        <f t="shared" si="25"/>
        <v>Emerging market debt</v>
      </c>
      <c r="S96" s="50">
        <f t="shared" si="26"/>
        <v>5.1995595844144948E-6</v>
      </c>
      <c r="T96" s="50">
        <f t="shared" si="27"/>
        <v>2.6757762498378539E-4</v>
      </c>
      <c r="U96" s="50">
        <f t="shared" si="28"/>
        <v>1.1535572862751193E-4</v>
      </c>
    </row>
    <row r="97" spans="1:21">
      <c r="A97" s="57" t="str">
        <f t="shared" si="24"/>
        <v>Aandelen ontwikkeld</v>
      </c>
      <c r="B97" s="1">
        <v>1.0550354473981381E-4</v>
      </c>
      <c r="C97" s="52">
        <v>1.9203674323508822E-4</v>
      </c>
      <c r="D97" s="53">
        <v>7.2256643396430018E-7</v>
      </c>
      <c r="E97" s="1">
        <v>1.293869192734745E-5</v>
      </c>
      <c r="F97" s="54">
        <v>1.1574652533925643E-4</v>
      </c>
      <c r="G97" s="2">
        <v>3.5771423545704707E-2</v>
      </c>
      <c r="H97" s="2">
        <v>3.9389463415576052E-2</v>
      </c>
      <c r="I97" s="2">
        <v>0.19146108045048366</v>
      </c>
      <c r="J97" s="2">
        <v>0.22471663922248383</v>
      </c>
      <c r="K97" s="2">
        <v>1</v>
      </c>
      <c r="L97" s="2">
        <v>-0.28561640054430643</v>
      </c>
      <c r="M97" s="2">
        <v>-9.7244423322539991E-2</v>
      </c>
      <c r="N97" s="2">
        <v>1</v>
      </c>
      <c r="O97" s="67"/>
      <c r="R97" s="49" t="str">
        <f t="shared" si="25"/>
        <v>Aandelen ontwikkeld</v>
      </c>
      <c r="S97" s="50">
        <f t="shared" si="26"/>
        <v>7.2256643396430018E-7</v>
      </c>
      <c r="T97" s="50">
        <f t="shared" si="27"/>
        <v>1.0478097830584951E-4</v>
      </c>
      <c r="U97" s="50">
        <f t="shared" si="28"/>
        <v>1.0242980599442617E-5</v>
      </c>
    </row>
    <row r="98" spans="1:21">
      <c r="A98" s="57" t="str">
        <f t="shared" si="24"/>
        <v>Aandelen opkomend</v>
      </c>
      <c r="B98" s="1">
        <v>1.2960883218187506E-4</v>
      </c>
      <c r="C98" s="52">
        <v>2.2293075436894582E-4</v>
      </c>
      <c r="D98" s="53">
        <v>7.3969088339958012E-7</v>
      </c>
      <c r="E98" s="1">
        <v>2.5931114678986982E-5</v>
      </c>
      <c r="F98" s="54">
        <v>1.6460305233111924E-4</v>
      </c>
      <c r="G98" s="2">
        <v>-5.9648376999323155E-2</v>
      </c>
      <c r="H98" s="2">
        <v>2.8171841561250442E-2</v>
      </c>
      <c r="I98" s="2">
        <v>0.30933912759385068</v>
      </c>
      <c r="J98" s="2">
        <v>1</v>
      </c>
      <c r="K98" s="2">
        <v>-0.47492322226874945</v>
      </c>
      <c r="L98" s="2">
        <v>-0.25285954597700194</v>
      </c>
      <c r="M98" s="2">
        <v>-0.19117816712336411</v>
      </c>
      <c r="N98" s="2">
        <v>0.99999999999995071</v>
      </c>
      <c r="O98" s="67"/>
      <c r="R98" s="49" t="str">
        <f t="shared" si="25"/>
        <v>Aandelen opkomend</v>
      </c>
      <c r="S98" s="50">
        <f t="shared" si="26"/>
        <v>7.3969088339958012E-7</v>
      </c>
      <c r="T98" s="50">
        <f t="shared" si="27"/>
        <v>1.2886914129847549E-4</v>
      </c>
      <c r="U98" s="50">
        <f t="shared" si="28"/>
        <v>3.4994220149244182E-5</v>
      </c>
    </row>
    <row r="99" spans="1:21">
      <c r="A99" s="57" t="str">
        <f t="shared" si="24"/>
        <v>Commodities</v>
      </c>
      <c r="B99" s="1">
        <v>7.2144939249040976E-5</v>
      </c>
      <c r="C99" s="52">
        <v>1.3947717469855729E-4</v>
      </c>
      <c r="D99" s="53">
        <v>2.3921207700786719E-7</v>
      </c>
      <c r="E99" s="1">
        <v>7.4933126474303153E-6</v>
      </c>
      <c r="F99" s="54">
        <v>7.0176100408125472E-5</v>
      </c>
      <c r="G99" s="2">
        <v>3.901268597045638E-2</v>
      </c>
      <c r="H99" s="2">
        <v>3.6230872366361543E-2</v>
      </c>
      <c r="I99" s="2">
        <v>5.7153068161485465E-2</v>
      </c>
      <c r="J99" s="2">
        <v>4.6852666721664757E-2</v>
      </c>
      <c r="K99" s="2">
        <v>-5.2344944028149952E-2</v>
      </c>
      <c r="L99" s="2">
        <v>6.1603963454243703E-2</v>
      </c>
      <c r="M99" s="2">
        <v>1</v>
      </c>
      <c r="N99" s="2">
        <v>0.99999999999992517</v>
      </c>
      <c r="O99" s="67"/>
      <c r="R99" s="49" t="str">
        <f t="shared" si="25"/>
        <v>Commodities</v>
      </c>
      <c r="S99" s="50">
        <f t="shared" si="26"/>
        <v>2.3921207700786719E-7</v>
      </c>
      <c r="T99" s="50">
        <f t="shared" si="27"/>
        <v>7.1905727172033102E-5</v>
      </c>
      <c r="U99" s="50">
        <f t="shared" si="28"/>
        <v>-1.9688388409155037E-6</v>
      </c>
    </row>
    <row r="100" spans="1:21">
      <c r="A100" s="57" t="str">
        <f t="shared" si="24"/>
        <v>Hedge funds</v>
      </c>
      <c r="B100" s="1">
        <v>2.7871970220202862E-2</v>
      </c>
      <c r="C100" s="52">
        <v>6.3930670163097442E-4</v>
      </c>
      <c r="D100" s="53">
        <v>2.7407870127975669E-2</v>
      </c>
      <c r="E100" s="1">
        <v>2.7855232333330093E-2</v>
      </c>
      <c r="F100" s="54">
        <v>2.8310074476288846E-2</v>
      </c>
      <c r="G100" s="2">
        <v>1</v>
      </c>
      <c r="H100" s="2">
        <v>-0.40659343728276859</v>
      </c>
      <c r="I100" s="2">
        <v>-0.48716309736511004</v>
      </c>
      <c r="J100" s="2">
        <v>-0.19765630099391529</v>
      </c>
      <c r="K100" s="2">
        <v>-0.14694989124971203</v>
      </c>
      <c r="L100" s="2">
        <v>-0.1332819766248311</v>
      </c>
      <c r="M100" s="2">
        <v>-0.13983563064989835</v>
      </c>
      <c r="N100" s="2">
        <v>0.99999999999995914</v>
      </c>
      <c r="O100" s="67"/>
      <c r="R100" s="49" t="str">
        <f t="shared" si="25"/>
        <v>Hedge funds</v>
      </c>
      <c r="S100" s="50">
        <f t="shared" si="26"/>
        <v>2.7407870127975669E-2</v>
      </c>
      <c r="T100" s="50">
        <f t="shared" si="27"/>
        <v>4.6410009222719317E-4</v>
      </c>
      <c r="U100" s="50">
        <f t="shared" si="28"/>
        <v>4.3810425608598394E-4</v>
      </c>
    </row>
    <row r="101" spans="1:21">
      <c r="A101" s="57" t="str">
        <f t="shared" si="24"/>
        <v>Onroerend goed</v>
      </c>
      <c r="B101" s="248">
        <v>8.7346534441515105E-5</v>
      </c>
      <c r="C101" s="52">
        <v>1.6908376723145965E-4</v>
      </c>
      <c r="D101" s="53">
        <v>2.6083394873045783E-7</v>
      </c>
      <c r="E101" s="1">
        <v>8.8450921202049265E-6</v>
      </c>
      <c r="F101" s="54">
        <v>8.6215777506210118E-5</v>
      </c>
      <c r="G101" s="2">
        <v>1.4193718476974098E-2</v>
      </c>
      <c r="H101" s="2">
        <v>4.1616583230289481E-2</v>
      </c>
      <c r="I101" s="2">
        <v>6.9057084046543843E-2</v>
      </c>
      <c r="J101" s="2">
        <v>0.12287460917782203</v>
      </c>
      <c r="K101" s="2">
        <v>9.1126997378491434E-2</v>
      </c>
      <c r="L101" s="2">
        <v>1</v>
      </c>
      <c r="M101" s="2">
        <v>-0.20600172674052605</v>
      </c>
      <c r="N101" s="2">
        <v>0.99999999999991496</v>
      </c>
      <c r="O101" s="55"/>
      <c r="R101" s="49" t="str">
        <f t="shared" si="25"/>
        <v>Onroerend goed</v>
      </c>
      <c r="S101" s="50">
        <f t="shared" si="26"/>
        <v>2.6083394873045783E-7</v>
      </c>
      <c r="T101" s="50">
        <f t="shared" si="27"/>
        <v>8.7085700492784652E-5</v>
      </c>
      <c r="U101" s="50">
        <f t="shared" si="28"/>
        <v>-1.1307569353049873E-6</v>
      </c>
    </row>
    <row r="102" spans="1:21">
      <c r="A102" s="57">
        <f t="shared" si="24"/>
        <v>1</v>
      </c>
      <c r="B102" s="1"/>
      <c r="C102" s="52"/>
      <c r="D102" s="53"/>
      <c r="E102" s="1"/>
      <c r="F102" s="54"/>
      <c r="G102" s="2"/>
      <c r="H102" s="2"/>
      <c r="I102" s="2"/>
      <c r="J102" s="2"/>
      <c r="K102" s="2"/>
      <c r="L102" s="2"/>
      <c r="M102" s="2"/>
      <c r="N102" s="2"/>
      <c r="O102" s="55"/>
      <c r="R102" s="49">
        <f t="shared" si="25"/>
        <v>1</v>
      </c>
      <c r="S102" s="50">
        <f t="shared" si="26"/>
        <v>0</v>
      </c>
      <c r="T102" s="50">
        <f t="shared" si="27"/>
        <v>0</v>
      </c>
      <c r="U102" s="50">
        <f t="shared" si="28"/>
        <v>0</v>
      </c>
    </row>
    <row r="103" spans="1:21">
      <c r="A103" s="57">
        <f t="shared" si="24"/>
        <v>2</v>
      </c>
      <c r="B103" s="1"/>
      <c r="C103" s="52"/>
      <c r="D103" s="53"/>
      <c r="E103" s="1"/>
      <c r="F103" s="54"/>
      <c r="G103" s="2"/>
      <c r="H103" s="2"/>
      <c r="I103" s="2"/>
      <c r="J103" s="2"/>
      <c r="K103" s="2"/>
      <c r="L103" s="2"/>
      <c r="M103" s="2"/>
      <c r="N103" s="2"/>
      <c r="O103" s="55"/>
      <c r="R103" s="49">
        <f t="shared" si="25"/>
        <v>2</v>
      </c>
      <c r="S103" s="50">
        <f t="shared" si="26"/>
        <v>0</v>
      </c>
      <c r="T103" s="50">
        <f t="shared" si="27"/>
        <v>0</v>
      </c>
      <c r="U103" s="50">
        <f t="shared" si="28"/>
        <v>0</v>
      </c>
    </row>
    <row r="104" spans="1:21">
      <c r="A104" s="57">
        <f t="shared" si="24"/>
        <v>3</v>
      </c>
      <c r="B104" s="1"/>
      <c r="C104" s="52"/>
      <c r="D104" s="53"/>
      <c r="E104" s="1"/>
      <c r="F104" s="54"/>
      <c r="G104" s="2"/>
      <c r="H104" s="2"/>
      <c r="I104" s="2"/>
      <c r="J104" s="2"/>
      <c r="K104" s="2"/>
      <c r="L104" s="2"/>
      <c r="M104" s="2"/>
      <c r="N104" s="2"/>
      <c r="O104" s="55"/>
      <c r="R104" s="49">
        <f t="shared" si="25"/>
        <v>3</v>
      </c>
      <c r="S104" s="50">
        <f t="shared" si="26"/>
        <v>0</v>
      </c>
      <c r="T104" s="50">
        <f t="shared" si="27"/>
        <v>0</v>
      </c>
      <c r="U104" s="50">
        <f t="shared" si="28"/>
        <v>0</v>
      </c>
    </row>
    <row r="105" spans="1:21">
      <c r="A105" s="57">
        <f t="shared" si="24"/>
        <v>4</v>
      </c>
      <c r="B105" s="1"/>
      <c r="C105" s="52"/>
      <c r="D105" s="53"/>
      <c r="E105" s="1"/>
      <c r="F105" s="54"/>
      <c r="G105" s="2"/>
      <c r="H105" s="2"/>
      <c r="I105" s="2"/>
      <c r="J105" s="2"/>
      <c r="K105" s="2"/>
      <c r="L105" s="2"/>
      <c r="M105" s="2"/>
      <c r="N105" s="2"/>
      <c r="O105" s="55"/>
      <c r="R105" s="49">
        <f t="shared" si="25"/>
        <v>4</v>
      </c>
      <c r="S105" s="50">
        <f t="shared" si="26"/>
        <v>0</v>
      </c>
      <c r="T105" s="50">
        <f t="shared" si="27"/>
        <v>0</v>
      </c>
      <c r="U105" s="50">
        <f t="shared" si="28"/>
        <v>0</v>
      </c>
    </row>
    <row r="106" spans="1:21">
      <c r="A106" s="57">
        <f t="shared" si="24"/>
        <v>5</v>
      </c>
      <c r="B106" s="1"/>
      <c r="C106" s="52"/>
      <c r="D106" s="53"/>
      <c r="E106" s="1"/>
      <c r="F106" s="54"/>
      <c r="G106" s="2"/>
      <c r="H106" s="2"/>
      <c r="I106" s="2"/>
      <c r="J106" s="2"/>
      <c r="K106" s="2"/>
      <c r="L106" s="2"/>
      <c r="M106" s="2"/>
      <c r="N106" s="2"/>
      <c r="O106" s="55"/>
      <c r="R106" s="49">
        <f t="shared" si="25"/>
        <v>5</v>
      </c>
      <c r="S106" s="50">
        <f t="shared" si="26"/>
        <v>0</v>
      </c>
      <c r="T106" s="50">
        <f t="shared" si="27"/>
        <v>0</v>
      </c>
      <c r="U106" s="50">
        <f t="shared" si="28"/>
        <v>0</v>
      </c>
    </row>
    <row r="107" spans="1:21">
      <c r="A107" s="57">
        <f t="shared" si="24"/>
        <v>6</v>
      </c>
      <c r="B107" s="1"/>
      <c r="C107" s="52"/>
      <c r="D107" s="53"/>
      <c r="E107" s="1"/>
      <c r="F107" s="54"/>
      <c r="G107" s="2"/>
      <c r="H107" s="2"/>
      <c r="I107" s="2"/>
      <c r="J107" s="2"/>
      <c r="K107" s="2"/>
      <c r="L107" s="2"/>
      <c r="M107" s="2"/>
      <c r="N107" s="2"/>
      <c r="O107" s="55"/>
      <c r="R107" s="49">
        <f t="shared" si="25"/>
        <v>6</v>
      </c>
      <c r="S107" s="50">
        <f t="shared" si="26"/>
        <v>0</v>
      </c>
      <c r="T107" s="50">
        <f t="shared" si="27"/>
        <v>0</v>
      </c>
      <c r="U107" s="50">
        <f t="shared" si="28"/>
        <v>0</v>
      </c>
    </row>
    <row r="108" spans="1:21">
      <c r="A108" s="58">
        <f t="shared" si="24"/>
        <v>7</v>
      </c>
      <c r="B108" s="59"/>
      <c r="C108" s="60"/>
      <c r="D108" s="61"/>
      <c r="E108" s="59"/>
      <c r="F108" s="62"/>
      <c r="G108" s="63"/>
      <c r="H108" s="63"/>
      <c r="I108" s="63"/>
      <c r="J108" s="63"/>
      <c r="K108" s="63"/>
      <c r="L108" s="63"/>
      <c r="M108" s="63"/>
      <c r="N108" s="63"/>
      <c r="O108" s="64"/>
      <c r="R108" s="49">
        <f t="shared" si="25"/>
        <v>7</v>
      </c>
      <c r="S108" s="50">
        <f t="shared" si="26"/>
        <v>0</v>
      </c>
      <c r="T108" s="50">
        <f t="shared" si="27"/>
        <v>0</v>
      </c>
      <c r="U108" s="50">
        <f t="shared" si="28"/>
        <v>0</v>
      </c>
    </row>
    <row r="110" spans="1:21">
      <c r="A110" s="237" t="str">
        <f>Optimalisatie!A12</f>
        <v>Bull case</v>
      </c>
      <c r="B110" s="238" t="s">
        <v>1</v>
      </c>
      <c r="C110" s="239" t="s">
        <v>2</v>
      </c>
      <c r="D110" s="240">
        <v>0.25</v>
      </c>
      <c r="E110" s="241">
        <v>0.5</v>
      </c>
      <c r="F110" s="242">
        <v>0.75</v>
      </c>
      <c r="G110" s="243">
        <v>0.58539534314057529</v>
      </c>
      <c r="H110" s="243">
        <v>0.26320804478762583</v>
      </c>
      <c r="I110" s="243">
        <v>0.12326190286156979</v>
      </c>
      <c r="J110" s="243">
        <v>1.5350194927764904E-2</v>
      </c>
      <c r="K110" s="243">
        <v>8.9675243998481591E-3</v>
      </c>
      <c r="L110" s="243">
        <v>3.5656147703442276E-3</v>
      </c>
      <c r="M110" s="243">
        <v>2.5137511227202314E-4</v>
      </c>
      <c r="N110" s="243">
        <v>0</v>
      </c>
      <c r="O110" s="244">
        <v>1.1102230246251565E-16</v>
      </c>
      <c r="R110" s="49" t="str">
        <f>A110</f>
        <v>Bull case</v>
      </c>
      <c r="S110" s="49"/>
      <c r="T110" s="50"/>
      <c r="U110" s="49"/>
    </row>
    <row r="111" spans="1:21">
      <c r="A111" s="57" t="str">
        <f>IF(A93="","",A93)</f>
        <v>Tail risk</v>
      </c>
      <c r="B111" s="1">
        <v>0.7671565657336431</v>
      </c>
      <c r="C111" s="52">
        <v>1.1942663831333114E-2</v>
      </c>
      <c r="D111" s="53">
        <v>0.75840785479411144</v>
      </c>
      <c r="E111" s="1">
        <v>0.76760299770487816</v>
      </c>
      <c r="F111" s="54">
        <v>0.77544250587713193</v>
      </c>
      <c r="G111" s="66">
        <v>-0.18662178387855938</v>
      </c>
      <c r="H111" s="66">
        <v>-0.11568433238731782</v>
      </c>
      <c r="I111" s="66">
        <v>0.79137598282776289</v>
      </c>
      <c r="J111" s="66">
        <v>-0.25167034347473771</v>
      </c>
      <c r="K111" s="66">
        <v>0.11242791317687512</v>
      </c>
      <c r="L111" s="66">
        <v>0.12537989237677294</v>
      </c>
      <c r="M111" s="2">
        <v>1</v>
      </c>
      <c r="N111" s="2">
        <v>0.99999999999970202</v>
      </c>
      <c r="O111" s="67"/>
      <c r="R111" s="49" t="str">
        <f>IF(A111&lt;&gt;"",A111,"")</f>
        <v>Tail risk</v>
      </c>
      <c r="S111" s="50">
        <f>IF($A111="","",D111)</f>
        <v>0.75840785479411144</v>
      </c>
      <c r="T111" s="50">
        <f>IF($A111="","",B111-D111)</f>
        <v>8.7487109395316676E-3</v>
      </c>
      <c r="U111" s="50">
        <f>IF($A111="","",F111-B111)</f>
        <v>8.2859401434888236E-3</v>
      </c>
    </row>
    <row r="112" spans="1:21">
      <c r="A112" s="57" t="str">
        <f t="shared" ref="A112:A125" si="29">IF(A94="","",A94)</f>
        <v>Nominale matching</v>
      </c>
      <c r="B112" s="1">
        <v>4.4827771385490406E-2</v>
      </c>
      <c r="C112" s="52">
        <v>3.6971302994879392E-2</v>
      </c>
      <c r="D112" s="53">
        <v>1.2360189417174695E-2</v>
      </c>
      <c r="E112" s="1">
        <v>3.7277636771400613E-2</v>
      </c>
      <c r="F112" s="54">
        <v>6.9120826861957613E-2</v>
      </c>
      <c r="G112" s="66">
        <v>1</v>
      </c>
      <c r="H112" s="66">
        <v>-0.44344430329844803</v>
      </c>
      <c r="I112" s="66">
        <v>-0.52048136613913387</v>
      </c>
      <c r="J112" s="66">
        <v>-0.15498751478717621</v>
      </c>
      <c r="K112" s="66">
        <v>-0.16151966475641286</v>
      </c>
      <c r="L112" s="66">
        <v>-0.10719050208704846</v>
      </c>
      <c r="M112" s="2">
        <v>0.14036673449644702</v>
      </c>
      <c r="N112" s="2">
        <v>0.99999999999986089</v>
      </c>
      <c r="O112" s="67"/>
      <c r="R112" s="49" t="str">
        <f t="shared" ref="R112:R125" si="30">IF(A112&lt;&gt;"",A112,"")</f>
        <v>Nominale matching</v>
      </c>
      <c r="S112" s="50">
        <f t="shared" ref="S112:S125" si="31">IF($A112="","",D112)</f>
        <v>1.2360189417174695E-2</v>
      </c>
      <c r="T112" s="50">
        <f t="shared" ref="T112:T125" si="32">IF($A112="","",B112-D112)</f>
        <v>3.2467581968315715E-2</v>
      </c>
      <c r="U112" s="50">
        <f t="shared" ref="U112:U125" si="33">IF($A112="","",F112-B112)</f>
        <v>2.4293055476467207E-2</v>
      </c>
    </row>
    <row r="113" spans="1:21">
      <c r="A113" s="57" t="str">
        <f t="shared" si="29"/>
        <v>High Yield</v>
      </c>
      <c r="B113" s="1">
        <v>6.2365114959844151E-3</v>
      </c>
      <c r="C113" s="52">
        <v>6.8444660357324175E-3</v>
      </c>
      <c r="D113" s="53">
        <v>1.0621388990513137E-3</v>
      </c>
      <c r="E113" s="1">
        <v>3.8544921902625758E-3</v>
      </c>
      <c r="F113" s="54">
        <v>9.476727174440187E-3</v>
      </c>
      <c r="G113" s="66">
        <v>-2.7438946739708717E-2</v>
      </c>
      <c r="H113" s="66">
        <v>-4.3499884547976873E-3</v>
      </c>
      <c r="I113" s="66">
        <v>7.4627736667331454E-2</v>
      </c>
      <c r="J113" s="66">
        <v>1</v>
      </c>
      <c r="K113" s="66">
        <v>-0.10087070755211475</v>
      </c>
      <c r="L113" s="66">
        <v>-0.12032730764924936</v>
      </c>
      <c r="M113" s="2">
        <v>0.14863416278649749</v>
      </c>
      <c r="N113" s="2">
        <v>0.99999999999985356</v>
      </c>
      <c r="O113" s="67"/>
      <c r="R113" s="49" t="str">
        <f t="shared" si="30"/>
        <v>High Yield</v>
      </c>
      <c r="S113" s="50">
        <f t="shared" si="31"/>
        <v>1.0621388990513137E-3</v>
      </c>
      <c r="T113" s="50">
        <f t="shared" si="32"/>
        <v>5.1743725969331019E-3</v>
      </c>
      <c r="U113" s="50">
        <f t="shared" si="33"/>
        <v>3.2402156784557719E-3</v>
      </c>
    </row>
    <row r="114" spans="1:21">
      <c r="A114" s="57" t="str">
        <f t="shared" si="29"/>
        <v>Emerging market debt</v>
      </c>
      <c r="B114" s="1">
        <v>4.1459469470689955E-3</v>
      </c>
      <c r="C114" s="52">
        <v>5.000218749117203E-3</v>
      </c>
      <c r="D114" s="53">
        <v>4.4209219064715404E-4</v>
      </c>
      <c r="E114" s="1">
        <v>2.411276769861876E-3</v>
      </c>
      <c r="F114" s="54">
        <v>5.8690926996465848E-3</v>
      </c>
      <c r="G114" s="66">
        <v>3.0621470650896592E-3</v>
      </c>
      <c r="H114" s="66">
        <v>-1.1724188621614142E-2</v>
      </c>
      <c r="I114" s="66">
        <v>0.1089098836568724</v>
      </c>
      <c r="J114" s="66">
        <v>-6.2363522208110228E-2</v>
      </c>
      <c r="K114" s="66">
        <v>1</v>
      </c>
      <c r="L114" s="66">
        <v>-0.30660077121836143</v>
      </c>
      <c r="M114" s="2">
        <v>-0.38582446106153145</v>
      </c>
      <c r="N114" s="2">
        <v>0.99999999999995204</v>
      </c>
      <c r="O114" s="67"/>
      <c r="R114" s="49" t="str">
        <f t="shared" si="30"/>
        <v>Emerging market debt</v>
      </c>
      <c r="S114" s="50">
        <f t="shared" si="31"/>
        <v>4.4209219064715404E-4</v>
      </c>
      <c r="T114" s="50">
        <f t="shared" si="32"/>
        <v>3.7038547564218413E-3</v>
      </c>
      <c r="U114" s="50">
        <f t="shared" si="33"/>
        <v>1.7231457525775894E-3</v>
      </c>
    </row>
    <row r="115" spans="1:21">
      <c r="A115" s="57" t="str">
        <f t="shared" si="29"/>
        <v>Aandelen ontwikkeld</v>
      </c>
      <c r="B115" s="1">
        <v>2.3123625245597451E-3</v>
      </c>
      <c r="C115" s="52">
        <v>3.1337958614329389E-3</v>
      </c>
      <c r="D115" s="53">
        <v>1.8605205761158372E-4</v>
      </c>
      <c r="E115" s="1">
        <v>1.0111193270517572E-3</v>
      </c>
      <c r="F115" s="54">
        <v>3.0941839335464206E-3</v>
      </c>
      <c r="G115" s="66">
        <v>5.2664943919769158E-4</v>
      </c>
      <c r="H115" s="66">
        <v>2.6757635755974953E-3</v>
      </c>
      <c r="I115" s="66">
        <v>2.2132912886620972E-2</v>
      </c>
      <c r="J115" s="66">
        <v>5.9684993440672976E-3</v>
      </c>
      <c r="K115" s="66">
        <v>3.5188494258238737E-2</v>
      </c>
      <c r="L115" s="66">
        <v>1</v>
      </c>
      <c r="M115" s="2">
        <v>-0.40826955607263071</v>
      </c>
      <c r="N115" s="2">
        <v>0.99999999999994915</v>
      </c>
      <c r="O115" s="67"/>
      <c r="R115" s="49" t="str">
        <f t="shared" si="30"/>
        <v>Aandelen ontwikkeld</v>
      </c>
      <c r="S115" s="50">
        <f t="shared" si="31"/>
        <v>1.8605205761158372E-4</v>
      </c>
      <c r="T115" s="50">
        <f t="shared" si="32"/>
        <v>2.1263104669481613E-3</v>
      </c>
      <c r="U115" s="50">
        <f t="shared" si="33"/>
        <v>7.8182140898667551E-4</v>
      </c>
    </row>
    <row r="116" spans="1:21">
      <c r="A116" s="57" t="str">
        <f t="shared" si="29"/>
        <v>Aandelen opkomend</v>
      </c>
      <c r="B116" s="1">
        <v>4.2185469991822926E-2</v>
      </c>
      <c r="C116" s="52">
        <v>1.2555739376332677E-2</v>
      </c>
      <c r="D116" s="53">
        <v>3.3471564496997688E-2</v>
      </c>
      <c r="E116" s="1">
        <v>4.171520199742481E-2</v>
      </c>
      <c r="F116" s="54">
        <v>5.0798395656031989E-2</v>
      </c>
      <c r="G116" s="66">
        <v>1.7305115414473198E-2</v>
      </c>
      <c r="H116" s="66">
        <v>0.10125512101010845</v>
      </c>
      <c r="I116" s="66">
        <v>1</v>
      </c>
      <c r="J116" s="66">
        <v>-0.19927838017617777</v>
      </c>
      <c r="K116" s="66">
        <v>-0.53905066556541803</v>
      </c>
      <c r="L116" s="66">
        <v>-0.33160067195764947</v>
      </c>
      <c r="M116" s="2">
        <v>-0.61168240108868688</v>
      </c>
      <c r="N116" s="2">
        <v>1</v>
      </c>
      <c r="O116" s="67"/>
      <c r="R116" s="49" t="str">
        <f t="shared" si="30"/>
        <v>Aandelen opkomend</v>
      </c>
      <c r="S116" s="50">
        <f t="shared" si="31"/>
        <v>3.3471564496997688E-2</v>
      </c>
      <c r="T116" s="50">
        <f t="shared" si="32"/>
        <v>8.7139054948252373E-3</v>
      </c>
      <c r="U116" s="50">
        <f t="shared" si="33"/>
        <v>8.6129256642090632E-3</v>
      </c>
    </row>
    <row r="117" spans="1:21">
      <c r="A117" s="57" t="str">
        <f t="shared" si="29"/>
        <v>Commodities</v>
      </c>
      <c r="B117" s="1">
        <v>3.1427168178447699E-2</v>
      </c>
      <c r="C117" s="52">
        <v>2.5933669618165518E-2</v>
      </c>
      <c r="D117" s="53">
        <v>9.9661423848603353E-3</v>
      </c>
      <c r="E117" s="1">
        <v>2.4977639557738421E-2</v>
      </c>
      <c r="F117" s="54">
        <v>4.8483234721429805E-2</v>
      </c>
      <c r="G117" s="66">
        <v>-4.3025075476012262E-3</v>
      </c>
      <c r="H117" s="66">
        <v>1</v>
      </c>
      <c r="I117" s="66">
        <v>-0.66700480720487521</v>
      </c>
      <c r="J117" s="66">
        <v>-0.16523329361199027</v>
      </c>
      <c r="K117" s="66">
        <v>-0.11504896099074768</v>
      </c>
      <c r="L117" s="66">
        <v>-9.3892409862632267E-2</v>
      </c>
      <c r="M117" s="2">
        <v>0.1954717449021415</v>
      </c>
      <c r="N117" s="2">
        <v>0.99999999999985101</v>
      </c>
      <c r="O117" s="67"/>
      <c r="R117" s="49" t="str">
        <f t="shared" si="30"/>
        <v>Commodities</v>
      </c>
      <c r="S117" s="50">
        <f t="shared" si="31"/>
        <v>9.9661423848603353E-3</v>
      </c>
      <c r="T117" s="50">
        <f t="shared" si="32"/>
        <v>2.1461025793587364E-2</v>
      </c>
      <c r="U117" s="50">
        <f t="shared" si="33"/>
        <v>1.7056066542982105E-2</v>
      </c>
    </row>
    <row r="118" spans="1:21">
      <c r="A118" s="57" t="str">
        <f t="shared" si="29"/>
        <v>Hedge funds</v>
      </c>
      <c r="B118" s="248">
        <v>0.10170820374298233</v>
      </c>
      <c r="C118" s="52">
        <v>3.229612373933078E-2</v>
      </c>
      <c r="D118" s="53">
        <v>8.0713381720623756E-2</v>
      </c>
      <c r="E118" s="1">
        <v>0.10236240381048037</v>
      </c>
      <c r="F118" s="54">
        <v>0.1240521099113045</v>
      </c>
      <c r="G118" s="2">
        <v>-0.80253067375289144</v>
      </c>
      <c r="H118" s="2">
        <v>-0.52872807182352866</v>
      </c>
      <c r="I118" s="2">
        <v>-0.80956034269457855</v>
      </c>
      <c r="J118" s="2">
        <v>-0.17243544508586972</v>
      </c>
      <c r="K118" s="2">
        <v>-0.23112640857041442</v>
      </c>
      <c r="L118" s="2">
        <v>-0.16576822960182142</v>
      </c>
      <c r="M118" s="2">
        <v>-7.8696223961916334E-2</v>
      </c>
      <c r="N118" s="2">
        <v>0.9999999999999013</v>
      </c>
      <c r="O118" s="55"/>
      <c r="R118" s="49" t="str">
        <f t="shared" si="30"/>
        <v>Hedge funds</v>
      </c>
      <c r="S118" s="50">
        <f t="shared" si="31"/>
        <v>8.0713381720623756E-2</v>
      </c>
      <c r="T118" s="50">
        <f t="shared" si="32"/>
        <v>2.099482202235857E-2</v>
      </c>
      <c r="U118" s="50">
        <f t="shared" si="33"/>
        <v>2.2343906168322172E-2</v>
      </c>
    </row>
    <row r="119" spans="1:21">
      <c r="A119" s="57" t="str">
        <f t="shared" si="29"/>
        <v>Onroerend goed</v>
      </c>
      <c r="B119" s="1"/>
      <c r="C119" s="52"/>
      <c r="D119" s="53"/>
      <c r="E119" s="1"/>
      <c r="F119" s="54"/>
      <c r="G119" s="2"/>
      <c r="H119" s="2"/>
      <c r="I119" s="2"/>
      <c r="J119" s="2"/>
      <c r="K119" s="2"/>
      <c r="L119" s="2"/>
      <c r="M119" s="2"/>
      <c r="N119" s="2"/>
      <c r="O119" s="55"/>
      <c r="R119" s="49" t="str">
        <f t="shared" si="30"/>
        <v>Onroerend goed</v>
      </c>
      <c r="S119" s="50">
        <f t="shared" si="31"/>
        <v>0</v>
      </c>
      <c r="T119" s="50">
        <f t="shared" si="32"/>
        <v>0</v>
      </c>
      <c r="U119" s="50">
        <f t="shared" si="33"/>
        <v>0</v>
      </c>
    </row>
    <row r="120" spans="1:21">
      <c r="A120" s="57">
        <f t="shared" si="29"/>
        <v>1</v>
      </c>
      <c r="B120" s="1"/>
      <c r="C120" s="52"/>
      <c r="D120" s="53"/>
      <c r="E120" s="1"/>
      <c r="F120" s="54"/>
      <c r="G120" s="2"/>
      <c r="H120" s="2"/>
      <c r="I120" s="2"/>
      <c r="J120" s="2"/>
      <c r="K120" s="2"/>
      <c r="L120" s="2"/>
      <c r="M120" s="2"/>
      <c r="N120" s="2"/>
      <c r="O120" s="55"/>
      <c r="R120" s="49">
        <f t="shared" si="30"/>
        <v>1</v>
      </c>
      <c r="S120" s="50">
        <f t="shared" si="31"/>
        <v>0</v>
      </c>
      <c r="T120" s="50">
        <f t="shared" si="32"/>
        <v>0</v>
      </c>
      <c r="U120" s="50">
        <f t="shared" si="33"/>
        <v>0</v>
      </c>
    </row>
    <row r="121" spans="1:21">
      <c r="A121" s="57">
        <f t="shared" si="29"/>
        <v>2</v>
      </c>
      <c r="B121" s="1"/>
      <c r="C121" s="52"/>
      <c r="D121" s="53"/>
      <c r="E121" s="1"/>
      <c r="F121" s="54"/>
      <c r="G121" s="2"/>
      <c r="H121" s="2"/>
      <c r="I121" s="2"/>
      <c r="J121" s="2"/>
      <c r="K121" s="2"/>
      <c r="L121" s="2"/>
      <c r="M121" s="2"/>
      <c r="N121" s="2"/>
      <c r="O121" s="55"/>
      <c r="R121" s="49">
        <f t="shared" si="30"/>
        <v>2</v>
      </c>
      <c r="S121" s="50">
        <f t="shared" si="31"/>
        <v>0</v>
      </c>
      <c r="T121" s="50">
        <f t="shared" si="32"/>
        <v>0</v>
      </c>
      <c r="U121" s="50">
        <f t="shared" si="33"/>
        <v>0</v>
      </c>
    </row>
    <row r="122" spans="1:21">
      <c r="A122" s="57">
        <f t="shared" si="29"/>
        <v>3</v>
      </c>
      <c r="B122" s="1"/>
      <c r="C122" s="52"/>
      <c r="D122" s="53"/>
      <c r="E122" s="1"/>
      <c r="F122" s="54"/>
      <c r="G122" s="2"/>
      <c r="H122" s="2"/>
      <c r="I122" s="2"/>
      <c r="J122" s="2"/>
      <c r="K122" s="2"/>
      <c r="L122" s="2"/>
      <c r="M122" s="2"/>
      <c r="N122" s="2"/>
      <c r="O122" s="55"/>
      <c r="R122" s="49">
        <f t="shared" si="30"/>
        <v>3</v>
      </c>
      <c r="S122" s="50">
        <f t="shared" si="31"/>
        <v>0</v>
      </c>
      <c r="T122" s="50">
        <f t="shared" si="32"/>
        <v>0</v>
      </c>
      <c r="U122" s="50">
        <f t="shared" si="33"/>
        <v>0</v>
      </c>
    </row>
    <row r="123" spans="1:21">
      <c r="A123" s="57">
        <f t="shared" si="29"/>
        <v>4</v>
      </c>
      <c r="B123" s="1"/>
      <c r="C123" s="52"/>
      <c r="D123" s="53"/>
      <c r="E123" s="1"/>
      <c r="F123" s="54"/>
      <c r="G123" s="2"/>
      <c r="H123" s="2"/>
      <c r="I123" s="2"/>
      <c r="J123" s="2"/>
      <c r="K123" s="2"/>
      <c r="L123" s="2"/>
      <c r="M123" s="2"/>
      <c r="N123" s="2"/>
      <c r="O123" s="55"/>
      <c r="R123" s="49">
        <f t="shared" si="30"/>
        <v>4</v>
      </c>
      <c r="S123" s="50">
        <f t="shared" si="31"/>
        <v>0</v>
      </c>
      <c r="T123" s="50">
        <f t="shared" si="32"/>
        <v>0</v>
      </c>
      <c r="U123" s="50">
        <f t="shared" si="33"/>
        <v>0</v>
      </c>
    </row>
    <row r="124" spans="1:21">
      <c r="A124" s="57">
        <f t="shared" si="29"/>
        <v>5</v>
      </c>
      <c r="B124" s="1"/>
      <c r="C124" s="52"/>
      <c r="D124" s="53"/>
      <c r="E124" s="1"/>
      <c r="F124" s="54"/>
      <c r="G124" s="2"/>
      <c r="H124" s="2"/>
      <c r="I124" s="2"/>
      <c r="J124" s="2"/>
      <c r="K124" s="2"/>
      <c r="L124" s="2"/>
      <c r="M124" s="2"/>
      <c r="N124" s="2"/>
      <c r="O124" s="55"/>
      <c r="R124" s="49">
        <f t="shared" si="30"/>
        <v>5</v>
      </c>
      <c r="S124" s="50">
        <f t="shared" si="31"/>
        <v>0</v>
      </c>
      <c r="T124" s="50">
        <f t="shared" si="32"/>
        <v>0</v>
      </c>
      <c r="U124" s="50">
        <f t="shared" si="33"/>
        <v>0</v>
      </c>
    </row>
    <row r="125" spans="1:21">
      <c r="A125" s="58">
        <f t="shared" si="29"/>
        <v>6</v>
      </c>
      <c r="B125" s="59"/>
      <c r="C125" s="60"/>
      <c r="D125" s="61"/>
      <c r="E125" s="59"/>
      <c r="F125" s="62"/>
      <c r="G125" s="63"/>
      <c r="H125" s="63"/>
      <c r="I125" s="63"/>
      <c r="J125" s="63"/>
      <c r="K125" s="63"/>
      <c r="L125" s="63"/>
      <c r="M125" s="63"/>
      <c r="N125" s="63"/>
      <c r="O125" s="64"/>
      <c r="R125" s="49">
        <f t="shared" si="30"/>
        <v>6</v>
      </c>
      <c r="S125" s="50">
        <f t="shared" si="31"/>
        <v>0</v>
      </c>
      <c r="T125" s="50">
        <f t="shared" si="32"/>
        <v>0</v>
      </c>
      <c r="U125" s="50">
        <f t="shared" si="33"/>
        <v>0</v>
      </c>
    </row>
    <row r="126" spans="1:21">
      <c r="A126" s="65"/>
      <c r="B126" s="1"/>
      <c r="C126" s="1"/>
      <c r="D126" s="1"/>
      <c r="E126" s="1"/>
      <c r="F126" s="66"/>
      <c r="G126" s="66"/>
      <c r="H126" s="66"/>
      <c r="I126" s="66"/>
      <c r="J126" s="66"/>
      <c r="K126" s="66"/>
      <c r="L126" s="66"/>
      <c r="M126" s="66"/>
      <c r="N126" s="66"/>
      <c r="O126" s="66"/>
    </row>
    <row r="127" spans="1:21">
      <c r="D127" s="341" t="s">
        <v>64</v>
      </c>
      <c r="E127" s="342"/>
      <c r="F127" s="343"/>
      <c r="G127" s="341" t="s">
        <v>65</v>
      </c>
      <c r="H127" s="342"/>
      <c r="I127" s="342"/>
      <c r="J127" s="342"/>
      <c r="K127" s="342"/>
      <c r="L127" s="342"/>
      <c r="M127" s="342"/>
      <c r="N127" s="342"/>
      <c r="O127" s="343"/>
    </row>
    <row r="128" spans="1:21">
      <c r="A128" s="237" t="str">
        <f>Optimalisatie!A17</f>
        <v>Kansgewogen</v>
      </c>
      <c r="B128" s="238" t="s">
        <v>1</v>
      </c>
      <c r="C128" s="239" t="s">
        <v>2</v>
      </c>
      <c r="D128" s="240">
        <v>0.25</v>
      </c>
      <c r="E128" s="241">
        <v>0.5</v>
      </c>
      <c r="F128" s="242">
        <v>0.75</v>
      </c>
      <c r="G128" s="243">
        <v>0.36755255560759514</v>
      </c>
      <c r="H128" s="243">
        <v>0.27179436647699395</v>
      </c>
      <c r="I128" s="243">
        <v>0.18383106223418022</v>
      </c>
      <c r="J128" s="243">
        <v>0.14758575501358506</v>
      </c>
      <c r="K128" s="243">
        <v>1.6665972032628207E-2</v>
      </c>
      <c r="L128" s="243">
        <v>9.5332000169112696E-3</v>
      </c>
      <c r="M128" s="243">
        <v>3.037088618111472E-3</v>
      </c>
      <c r="N128" s="243">
        <v>0</v>
      </c>
      <c r="O128" s="244"/>
      <c r="R128" s="49" t="str">
        <f>A128</f>
        <v>Kansgewogen</v>
      </c>
      <c r="S128" s="49"/>
      <c r="T128" s="50"/>
      <c r="U128" s="49"/>
    </row>
    <row r="129" spans="1:21">
      <c r="A129" s="57" t="str">
        <f>IF(A111="","",A111)</f>
        <v>Tail risk</v>
      </c>
      <c r="B129" s="248">
        <v>0.68826537185477332</v>
      </c>
      <c r="C129" s="52">
        <v>1.4047802046478774E-2</v>
      </c>
      <c r="D129" s="53">
        <v>0.67764273190372148</v>
      </c>
      <c r="E129" s="1">
        <v>0.6875043865921604</v>
      </c>
      <c r="F129" s="54">
        <v>0.69814035454004952</v>
      </c>
      <c r="G129" s="2">
        <v>-0.64794703330648828</v>
      </c>
      <c r="H129" s="2">
        <v>-2.6666864056712154E-2</v>
      </c>
      <c r="I129" s="2">
        <v>-0.47184439746734097</v>
      </c>
      <c r="J129" s="2">
        <v>-0.21416377349837337</v>
      </c>
      <c r="K129" s="2">
        <v>-0.1887844276100098</v>
      </c>
      <c r="L129" s="2">
        <v>0.21330503197790426</v>
      </c>
      <c r="M129" s="2">
        <v>1</v>
      </c>
      <c r="N129" s="2">
        <v>1</v>
      </c>
      <c r="O129" s="67"/>
      <c r="R129" s="49" t="str">
        <f>IF(A129&lt;&gt;"",A129,"")</f>
        <v>Tail risk</v>
      </c>
      <c r="S129" s="50">
        <f>IF($A129="","",D129)</f>
        <v>0.67764273190372148</v>
      </c>
      <c r="T129" s="50">
        <f>IF($A129="","",B129-D129)</f>
        <v>1.0622639951051838E-2</v>
      </c>
      <c r="U129" s="50">
        <f>IF($A129="","",F129-B129)</f>
        <v>9.8749826852762013E-3</v>
      </c>
    </row>
    <row r="130" spans="1:21">
      <c r="A130" s="57" t="str">
        <f t="shared" ref="A130:A143" si="34">IF(A112="","",A112)</f>
        <v>Nominale matching</v>
      </c>
      <c r="B130" s="248">
        <v>2.6830485720431192E-2</v>
      </c>
      <c r="C130" s="52">
        <v>2.1413514856082727E-2</v>
      </c>
      <c r="D130" s="53">
        <v>1.0322506661368216E-2</v>
      </c>
      <c r="E130" s="1">
        <v>2.2755613202059669E-2</v>
      </c>
      <c r="F130" s="54">
        <v>3.8992792958619842E-2</v>
      </c>
      <c r="G130" s="2">
        <v>1</v>
      </c>
      <c r="H130" s="2">
        <v>-0.76393552082384186</v>
      </c>
      <c r="I130" s="2">
        <v>-0.23931497808462965</v>
      </c>
      <c r="J130" s="2">
        <v>-8.5240700711535958E-2</v>
      </c>
      <c r="K130" s="2">
        <v>-0.14918067000895413</v>
      </c>
      <c r="L130" s="2">
        <v>-8.2993121881214729E-2</v>
      </c>
      <c r="M130" s="2">
        <v>0.24826066350518297</v>
      </c>
      <c r="N130" s="2">
        <v>0.99999999999998823</v>
      </c>
      <c r="O130" s="67"/>
      <c r="R130" s="49" t="str">
        <f t="shared" ref="R130:R143" si="35">IF(A130&lt;&gt;"",A130,"")</f>
        <v>Nominale matching</v>
      </c>
      <c r="S130" s="50">
        <f t="shared" ref="S130:S143" si="36">IF($A130="","",D130)</f>
        <v>1.0322506661368216E-2</v>
      </c>
      <c r="T130" s="50">
        <f t="shared" ref="T130:T143" si="37">IF($A130="","",B130-D130)</f>
        <v>1.6507979059062976E-2</v>
      </c>
      <c r="U130" s="50">
        <f t="shared" ref="U130:U143" si="38">IF($A130="","",F130-B130)</f>
        <v>1.216230723818865E-2</v>
      </c>
    </row>
    <row r="131" spans="1:21">
      <c r="A131" s="57" t="str">
        <f t="shared" si="34"/>
        <v>High Yield</v>
      </c>
      <c r="B131" s="248">
        <v>1.8907938156090032E-2</v>
      </c>
      <c r="C131" s="52">
        <v>1.4920699171500422E-2</v>
      </c>
      <c r="D131" s="53">
        <v>6.9400769786467252E-3</v>
      </c>
      <c r="E131" s="1">
        <v>1.5720839309487929E-2</v>
      </c>
      <c r="F131" s="54">
        <v>2.7610428716640364E-2</v>
      </c>
      <c r="G131" s="2">
        <v>6.8440061022617613E-2</v>
      </c>
      <c r="H131" s="2">
        <v>0.36987406735014644</v>
      </c>
      <c r="I131" s="2">
        <v>9.5976684433697668E-2</v>
      </c>
      <c r="J131" s="2">
        <v>1</v>
      </c>
      <c r="K131" s="2">
        <v>-0.15622835777619901</v>
      </c>
      <c r="L131" s="2">
        <v>-8.0576937951689034E-2</v>
      </c>
      <c r="M131" s="2">
        <v>0.2094378096182023</v>
      </c>
      <c r="N131" s="2">
        <v>0.99999999999998723</v>
      </c>
      <c r="O131" s="67"/>
      <c r="R131" s="49" t="str">
        <f t="shared" si="35"/>
        <v>High Yield</v>
      </c>
      <c r="S131" s="50">
        <f t="shared" si="36"/>
        <v>6.9400769786467252E-3</v>
      </c>
      <c r="T131" s="50">
        <f t="shared" si="37"/>
        <v>1.1967861177443306E-2</v>
      </c>
      <c r="U131" s="50">
        <f t="shared" si="38"/>
        <v>8.7024905605503321E-3</v>
      </c>
    </row>
    <row r="132" spans="1:21">
      <c r="A132" s="57" t="str">
        <f t="shared" si="34"/>
        <v>Emerging market debt</v>
      </c>
      <c r="B132" s="248">
        <v>3.2741343678820293E-3</v>
      </c>
      <c r="C132" s="52">
        <v>3.4888540540170751E-3</v>
      </c>
      <c r="D132" s="53">
        <v>7.1246281901709359E-4</v>
      </c>
      <c r="E132" s="1">
        <v>2.1466975117409482E-3</v>
      </c>
      <c r="F132" s="54">
        <v>4.6348149393100353E-3</v>
      </c>
      <c r="G132" s="2">
        <v>-4.2003566791551442E-3</v>
      </c>
      <c r="H132" s="2">
        <v>-7.523514340498241E-3</v>
      </c>
      <c r="I132" s="2">
        <v>-2.1273156738850153E-2</v>
      </c>
      <c r="J132" s="2">
        <v>-6.5785004054229662E-3</v>
      </c>
      <c r="K132" s="2">
        <v>3.1942727857654854E-2</v>
      </c>
      <c r="L132" s="2">
        <v>1</v>
      </c>
      <c r="M132" s="2">
        <v>-0.68410417986193917</v>
      </c>
      <c r="N132" s="2">
        <v>0.99999999999998124</v>
      </c>
      <c r="O132" s="67"/>
      <c r="R132" s="49" t="str">
        <f t="shared" si="35"/>
        <v>Emerging market debt</v>
      </c>
      <c r="S132" s="50">
        <f t="shared" si="36"/>
        <v>7.1246281901709359E-4</v>
      </c>
      <c r="T132" s="50">
        <f t="shared" si="37"/>
        <v>2.5616715488649359E-3</v>
      </c>
      <c r="U132" s="50">
        <f t="shared" si="38"/>
        <v>1.360680571428006E-3</v>
      </c>
    </row>
    <row r="133" spans="1:21">
      <c r="A133" s="57" t="str">
        <f t="shared" si="34"/>
        <v>Aandelen ontwikkeld</v>
      </c>
      <c r="B133" s="248">
        <v>0.21630430799206796</v>
      </c>
      <c r="C133" s="52">
        <v>1.57758444948078E-2</v>
      </c>
      <c r="D133" s="53">
        <v>0.20554083364705478</v>
      </c>
      <c r="E133" s="1">
        <v>0.21595368075403765</v>
      </c>
      <c r="F133" s="54">
        <v>0.22720189345405734</v>
      </c>
      <c r="G133" s="2">
        <v>-0.65177205430522844</v>
      </c>
      <c r="H133" s="2">
        <v>-0.72133596453391591</v>
      </c>
      <c r="I133" s="2">
        <v>-2.4426803909819252E-3</v>
      </c>
      <c r="J133" s="2">
        <v>3.9505472460431804E-2</v>
      </c>
      <c r="K133" s="2">
        <v>-0.1783009841562169</v>
      </c>
      <c r="L133" s="2">
        <v>-0.4863738370290957</v>
      </c>
      <c r="M133" s="2">
        <v>-0.75968149367944382</v>
      </c>
      <c r="N133" s="2">
        <v>0.99999999999997191</v>
      </c>
      <c r="O133" s="67"/>
      <c r="R133" s="49" t="str">
        <f t="shared" si="35"/>
        <v>Aandelen ontwikkeld</v>
      </c>
      <c r="S133" s="50">
        <f t="shared" si="36"/>
        <v>0.20554083364705478</v>
      </c>
      <c r="T133" s="50">
        <f t="shared" si="37"/>
        <v>1.076347434501318E-2</v>
      </c>
      <c r="U133" s="50">
        <f t="shared" si="38"/>
        <v>1.0897585461989379E-2</v>
      </c>
    </row>
    <row r="134" spans="1:21">
      <c r="A134" s="57" t="str">
        <f t="shared" si="34"/>
        <v>Aandelen opkomend</v>
      </c>
      <c r="B134" s="248">
        <v>2.1919991319578894E-2</v>
      </c>
      <c r="C134" s="52">
        <v>1.6778667680274684E-2</v>
      </c>
      <c r="D134" s="53">
        <v>8.1937312581441824E-3</v>
      </c>
      <c r="E134" s="1">
        <v>1.8719564699394391E-2</v>
      </c>
      <c r="F134" s="54">
        <v>3.2141512585768792E-2</v>
      </c>
      <c r="G134" s="2">
        <v>0.24892712702983771</v>
      </c>
      <c r="H134" s="2">
        <v>1</v>
      </c>
      <c r="I134" s="2">
        <v>-0.37233519807733512</v>
      </c>
      <c r="J134" s="2">
        <v>-0.36294737637311147</v>
      </c>
      <c r="K134" s="2">
        <v>-0.1739187256707336</v>
      </c>
      <c r="L134" s="2">
        <v>-0.36589201805686755</v>
      </c>
      <c r="M134" s="2">
        <v>-0.46041970482656064</v>
      </c>
      <c r="N134" s="2">
        <v>0.99999999999997713</v>
      </c>
      <c r="O134" s="67"/>
      <c r="R134" s="49" t="str">
        <f t="shared" si="35"/>
        <v>Aandelen opkomend</v>
      </c>
      <c r="S134" s="50">
        <f t="shared" si="36"/>
        <v>8.1937312581441824E-3</v>
      </c>
      <c r="T134" s="50">
        <f t="shared" si="37"/>
        <v>1.3726260061434712E-2</v>
      </c>
      <c r="U134" s="50">
        <f t="shared" si="38"/>
        <v>1.0221521266189897E-2</v>
      </c>
    </row>
    <row r="135" spans="1:21">
      <c r="A135" s="57" t="str">
        <f t="shared" si="34"/>
        <v>Commodities</v>
      </c>
      <c r="B135" s="248">
        <v>1.9289812340493772E-2</v>
      </c>
      <c r="C135" s="52">
        <v>1.5702878304318189E-2</v>
      </c>
      <c r="D135" s="53">
        <v>7.7119224218432127E-3</v>
      </c>
      <c r="E135" s="1">
        <v>1.6068826630845235E-2</v>
      </c>
      <c r="F135" s="54">
        <v>2.6998722205379893E-2</v>
      </c>
      <c r="G135" s="2">
        <v>1.837656144622947E-2</v>
      </c>
      <c r="H135" s="2">
        <v>0.13939554958071881</v>
      </c>
      <c r="I135" s="2">
        <v>1</v>
      </c>
      <c r="J135" s="2">
        <v>-0.35240545395055584</v>
      </c>
      <c r="K135" s="2">
        <v>-0.18552956263554302</v>
      </c>
      <c r="L135" s="2">
        <v>-2.5700985439004332E-2</v>
      </c>
      <c r="M135" s="2">
        <v>0.32191696027929334</v>
      </c>
      <c r="N135" s="2">
        <v>0.99999999999998979</v>
      </c>
      <c r="O135" s="67"/>
      <c r="R135" s="49" t="str">
        <f t="shared" si="35"/>
        <v>Commodities</v>
      </c>
      <c r="S135" s="50">
        <f t="shared" si="36"/>
        <v>7.7119224218432127E-3</v>
      </c>
      <c r="T135" s="50">
        <f t="shared" si="37"/>
        <v>1.1577889918650559E-2</v>
      </c>
      <c r="U135" s="50">
        <f t="shared" si="38"/>
        <v>7.708909864886121E-3</v>
      </c>
    </row>
    <row r="136" spans="1:21">
      <c r="A136" s="57" t="str">
        <f t="shared" si="34"/>
        <v>Hedge funds</v>
      </c>
      <c r="B136" s="248">
        <v>5.2079582486821777E-3</v>
      </c>
      <c r="C136" s="52">
        <v>4.9705219212622231E-3</v>
      </c>
      <c r="D136" s="53">
        <v>1.3782708666761111E-3</v>
      </c>
      <c r="E136" s="1">
        <v>4.0632016468354366E-3</v>
      </c>
      <c r="F136" s="54">
        <v>7.7523141332489299E-3</v>
      </c>
      <c r="G136" s="2">
        <v>-3.1824305207812716E-2</v>
      </c>
      <c r="H136" s="2">
        <v>1.0192246824102465E-2</v>
      </c>
      <c r="I136" s="2">
        <v>1.1233726325439997E-2</v>
      </c>
      <c r="J136" s="2">
        <v>-1.8169667521432061E-2</v>
      </c>
      <c r="K136" s="2">
        <v>1</v>
      </c>
      <c r="L136" s="2">
        <v>-0.17176813162004034</v>
      </c>
      <c r="M136" s="2">
        <v>0.12458994496523076</v>
      </c>
      <c r="N136" s="2">
        <v>0.99999999999998734</v>
      </c>
      <c r="O136" s="55"/>
      <c r="R136" s="49" t="str">
        <f t="shared" si="35"/>
        <v>Hedge funds</v>
      </c>
      <c r="S136" s="50">
        <f t="shared" si="36"/>
        <v>1.3782708666761111E-3</v>
      </c>
      <c r="T136" s="50">
        <f t="shared" si="37"/>
        <v>3.8296873820060666E-3</v>
      </c>
      <c r="U136" s="50">
        <f t="shared" si="38"/>
        <v>2.5443558845667522E-3</v>
      </c>
    </row>
    <row r="137" spans="1:21">
      <c r="A137" s="57" t="str">
        <f t="shared" si="34"/>
        <v>Onroerend goed</v>
      </c>
      <c r="B137" s="1"/>
      <c r="C137" s="52"/>
      <c r="D137" s="53"/>
      <c r="E137" s="1"/>
      <c r="F137" s="54"/>
      <c r="G137" s="2"/>
      <c r="H137" s="2"/>
      <c r="I137" s="2"/>
      <c r="J137" s="2"/>
      <c r="K137" s="2"/>
      <c r="L137" s="2"/>
      <c r="M137" s="2"/>
      <c r="N137" s="2"/>
      <c r="O137" s="55"/>
      <c r="R137" s="49" t="str">
        <f t="shared" si="35"/>
        <v>Onroerend goed</v>
      </c>
      <c r="S137" s="50">
        <f t="shared" si="36"/>
        <v>0</v>
      </c>
      <c r="T137" s="50">
        <f t="shared" si="37"/>
        <v>0</v>
      </c>
      <c r="U137" s="50">
        <f t="shared" si="38"/>
        <v>0</v>
      </c>
    </row>
    <row r="138" spans="1:21">
      <c r="A138" s="57">
        <f t="shared" si="34"/>
        <v>1</v>
      </c>
      <c r="B138" s="1"/>
      <c r="C138" s="52"/>
      <c r="D138" s="53"/>
      <c r="E138" s="1"/>
      <c r="F138" s="54"/>
      <c r="G138" s="2"/>
      <c r="H138" s="2"/>
      <c r="I138" s="2"/>
      <c r="J138" s="2"/>
      <c r="K138" s="2"/>
      <c r="L138" s="2"/>
      <c r="M138" s="2"/>
      <c r="N138" s="2"/>
      <c r="O138" s="55"/>
      <c r="R138" s="49">
        <f t="shared" si="35"/>
        <v>1</v>
      </c>
      <c r="S138" s="50">
        <f t="shared" si="36"/>
        <v>0</v>
      </c>
      <c r="T138" s="50">
        <f t="shared" si="37"/>
        <v>0</v>
      </c>
      <c r="U138" s="50">
        <f t="shared" si="38"/>
        <v>0</v>
      </c>
    </row>
    <row r="139" spans="1:21">
      <c r="A139" s="57">
        <f t="shared" si="34"/>
        <v>2</v>
      </c>
      <c r="B139" s="1"/>
      <c r="C139" s="52"/>
      <c r="D139" s="53"/>
      <c r="E139" s="1"/>
      <c r="F139" s="54"/>
      <c r="G139" s="2"/>
      <c r="H139" s="2"/>
      <c r="I139" s="2"/>
      <c r="J139" s="2"/>
      <c r="K139" s="2"/>
      <c r="L139" s="2"/>
      <c r="M139" s="2"/>
      <c r="N139" s="2"/>
      <c r="O139" s="55"/>
      <c r="R139" s="49">
        <f t="shared" si="35"/>
        <v>2</v>
      </c>
      <c r="S139" s="50">
        <f t="shared" si="36"/>
        <v>0</v>
      </c>
      <c r="T139" s="50">
        <f t="shared" si="37"/>
        <v>0</v>
      </c>
      <c r="U139" s="50">
        <f t="shared" si="38"/>
        <v>0</v>
      </c>
    </row>
    <row r="140" spans="1:21">
      <c r="A140" s="57">
        <f t="shared" si="34"/>
        <v>3</v>
      </c>
      <c r="B140" s="1"/>
      <c r="C140" s="52"/>
      <c r="D140" s="53"/>
      <c r="E140" s="1"/>
      <c r="F140" s="54"/>
      <c r="G140" s="2"/>
      <c r="H140" s="2"/>
      <c r="I140" s="2"/>
      <c r="J140" s="2"/>
      <c r="K140" s="2"/>
      <c r="L140" s="2"/>
      <c r="M140" s="2"/>
      <c r="N140" s="2"/>
      <c r="O140" s="55"/>
      <c r="R140" s="49">
        <f t="shared" si="35"/>
        <v>3</v>
      </c>
      <c r="S140" s="50">
        <f t="shared" si="36"/>
        <v>0</v>
      </c>
      <c r="T140" s="50">
        <f t="shared" si="37"/>
        <v>0</v>
      </c>
      <c r="U140" s="50">
        <f t="shared" si="38"/>
        <v>0</v>
      </c>
    </row>
    <row r="141" spans="1:21">
      <c r="A141" s="57">
        <f t="shared" si="34"/>
        <v>4</v>
      </c>
      <c r="B141" s="1"/>
      <c r="C141" s="52"/>
      <c r="D141" s="53"/>
      <c r="E141" s="1"/>
      <c r="F141" s="54"/>
      <c r="G141" s="2"/>
      <c r="H141" s="2"/>
      <c r="I141" s="2"/>
      <c r="J141" s="2"/>
      <c r="K141" s="2"/>
      <c r="L141" s="2"/>
      <c r="M141" s="2"/>
      <c r="N141" s="2"/>
      <c r="O141" s="55"/>
      <c r="R141" s="49">
        <f t="shared" si="35"/>
        <v>4</v>
      </c>
      <c r="S141" s="50">
        <f t="shared" si="36"/>
        <v>0</v>
      </c>
      <c r="T141" s="50">
        <f t="shared" si="37"/>
        <v>0</v>
      </c>
      <c r="U141" s="50">
        <f t="shared" si="38"/>
        <v>0</v>
      </c>
    </row>
    <row r="142" spans="1:21">
      <c r="A142" s="57">
        <f t="shared" si="34"/>
        <v>5</v>
      </c>
      <c r="B142" s="1"/>
      <c r="C142" s="52"/>
      <c r="D142" s="53"/>
      <c r="E142" s="1"/>
      <c r="F142" s="54"/>
      <c r="G142" s="2"/>
      <c r="H142" s="2"/>
      <c r="I142" s="2"/>
      <c r="J142" s="2"/>
      <c r="K142" s="2"/>
      <c r="L142" s="2"/>
      <c r="M142" s="2"/>
      <c r="N142" s="2"/>
      <c r="O142" s="55"/>
      <c r="R142" s="49">
        <f t="shared" si="35"/>
        <v>5</v>
      </c>
      <c r="S142" s="50">
        <f t="shared" si="36"/>
        <v>0</v>
      </c>
      <c r="T142" s="50">
        <f t="shared" si="37"/>
        <v>0</v>
      </c>
      <c r="U142" s="50">
        <f t="shared" si="38"/>
        <v>0</v>
      </c>
    </row>
    <row r="143" spans="1:21">
      <c r="A143" s="58">
        <f t="shared" si="34"/>
        <v>6</v>
      </c>
      <c r="B143" s="59"/>
      <c r="C143" s="60"/>
      <c r="D143" s="61"/>
      <c r="E143" s="59"/>
      <c r="F143" s="62"/>
      <c r="G143" s="63"/>
      <c r="H143" s="63"/>
      <c r="I143" s="63"/>
      <c r="J143" s="63"/>
      <c r="K143" s="63"/>
      <c r="L143" s="63"/>
      <c r="M143" s="63"/>
      <c r="N143" s="63"/>
      <c r="O143" s="64"/>
      <c r="R143" s="49">
        <f t="shared" si="35"/>
        <v>6</v>
      </c>
      <c r="S143" s="50">
        <f t="shared" si="36"/>
        <v>0</v>
      </c>
      <c r="T143" s="50">
        <f t="shared" si="37"/>
        <v>0</v>
      </c>
      <c r="U143" s="50">
        <f t="shared" si="38"/>
        <v>0</v>
      </c>
    </row>
  </sheetData>
  <mergeCells count="14">
    <mergeCell ref="D127:F127"/>
    <mergeCell ref="G127:O127"/>
    <mergeCell ref="D2:F2"/>
    <mergeCell ref="G2:O2"/>
    <mergeCell ref="D20:F20"/>
    <mergeCell ref="G20:O20"/>
    <mergeCell ref="D38:F38"/>
    <mergeCell ref="G38:O38"/>
    <mergeCell ref="D56:F56"/>
    <mergeCell ref="G56:O56"/>
    <mergeCell ref="D74:F74"/>
    <mergeCell ref="G74:O74"/>
    <mergeCell ref="D92:F92"/>
    <mergeCell ref="G92:O9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78"/>
  <sheetViews>
    <sheetView workbookViewId="0">
      <selection activeCell="B132" sqref="B132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6" t="s">
        <v>90</v>
      </c>
    </row>
    <row r="2" spans="1:23">
      <c r="A2" s="47"/>
      <c r="D2" s="341" t="s">
        <v>64</v>
      </c>
      <c r="E2" s="342"/>
      <c r="F2" s="343"/>
      <c r="G2" s="341" t="s">
        <v>65</v>
      </c>
      <c r="H2" s="342"/>
      <c r="I2" s="342"/>
      <c r="J2" s="342"/>
      <c r="K2" s="342"/>
      <c r="L2" s="342"/>
      <c r="M2" s="342"/>
      <c r="N2" s="343"/>
    </row>
    <row r="3" spans="1:23">
      <c r="A3" s="237" t="str">
        <f>'Samenvatting mixen'!A3</f>
        <v>Evenwicht</v>
      </c>
      <c r="B3" s="238" t="s">
        <v>67</v>
      </c>
      <c r="C3" s="239" t="s">
        <v>2</v>
      </c>
      <c r="D3" s="240">
        <v>0.25</v>
      </c>
      <c r="E3" s="241">
        <v>0.5</v>
      </c>
      <c r="F3" s="242">
        <v>0.75</v>
      </c>
      <c r="G3" s="243">
        <v>0.32708296038665408</v>
      </c>
      <c r="H3" s="243">
        <v>0.28299701111742004</v>
      </c>
      <c r="I3" s="243">
        <v>0.18215767657383819</v>
      </c>
      <c r="J3" s="243">
        <v>0.12558632970253603</v>
      </c>
      <c r="K3" s="243">
        <v>6.0467552250808132E-2</v>
      </c>
      <c r="L3" s="243">
        <v>2.170846996873943E-2</v>
      </c>
      <c r="M3" s="243">
        <v>-2.2204460492503131E-16</v>
      </c>
      <c r="N3" s="243"/>
      <c r="O3" s="244"/>
      <c r="Q3" s="49" t="str">
        <f>IF(A3&lt;&gt;"",A3,"")</f>
        <v>Evenwicht</v>
      </c>
    </row>
    <row r="4" spans="1:23">
      <c r="A4" s="51" t="str">
        <f>+'Samenvatting mixen'!A5</f>
        <v>High Yield</v>
      </c>
      <c r="B4" s="113">
        <v>0.14529905272766158</v>
      </c>
      <c r="C4" s="114">
        <v>9.0564901441704856E-2</v>
      </c>
      <c r="D4" s="115">
        <v>5.0079637402007111E-2</v>
      </c>
      <c r="E4" s="113">
        <v>0.13082051333152778</v>
      </c>
      <c r="F4" s="116">
        <v>0.24134484267261158</v>
      </c>
      <c r="G4" s="2">
        <v>-0.46960186839962959</v>
      </c>
      <c r="H4" s="2">
        <v>-0.90678478815307373</v>
      </c>
      <c r="I4" s="2">
        <v>-0.34474046021754223</v>
      </c>
      <c r="J4" s="2">
        <v>-0.505633012282238</v>
      </c>
      <c r="K4" s="2">
        <v>-0.2194556351823273</v>
      </c>
      <c r="L4" s="2">
        <v>-0.16567582389787128</v>
      </c>
      <c r="M4" s="2">
        <v>0.99999999999999689</v>
      </c>
      <c r="N4" s="55"/>
      <c r="O4" s="68"/>
      <c r="Q4" s="49" t="str">
        <f t="shared" ref="Q4:Q17" si="0">IF(A4&lt;&gt;"",A4,"")</f>
        <v>High Yield</v>
      </c>
      <c r="R4" s="68">
        <f>D4</f>
        <v>5.0079637402007111E-2</v>
      </c>
      <c r="S4" s="50">
        <f>B4-D4</f>
        <v>9.5219415325654477E-2</v>
      </c>
      <c r="T4" s="50">
        <f>F4-B4</f>
        <v>9.604578994495E-2</v>
      </c>
      <c r="U4" s="50"/>
      <c r="V4" s="50"/>
      <c r="W4" s="50"/>
    </row>
    <row r="5" spans="1:23">
      <c r="A5" s="57" t="str">
        <f>+'Samenvatting mixen'!A6</f>
        <v>Emerging market debt</v>
      </c>
      <c r="B5" s="113">
        <v>0.16180767306648239</v>
      </c>
      <c r="C5" s="114">
        <v>0.10103542535150703</v>
      </c>
      <c r="D5" s="115">
        <v>5.8258056820426632E-2</v>
      </c>
      <c r="E5" s="113">
        <v>0.15048349022316188</v>
      </c>
      <c r="F5" s="116">
        <v>0.27485534004798001</v>
      </c>
      <c r="G5" s="2">
        <v>1</v>
      </c>
      <c r="H5" s="2">
        <v>6.4212454694910909E-2</v>
      </c>
      <c r="I5" s="2">
        <v>-0.21975206078225368</v>
      </c>
      <c r="J5" s="2">
        <v>-0.38857181814278846</v>
      </c>
      <c r="K5" s="2">
        <v>-5.2787256650534159E-2</v>
      </c>
      <c r="L5" s="2">
        <v>-0.14332947203613805</v>
      </c>
      <c r="M5" s="2">
        <v>0.99999999999999689</v>
      </c>
      <c r="N5" s="55"/>
      <c r="O5" s="68"/>
      <c r="Q5" s="49" t="str">
        <f t="shared" si="0"/>
        <v>Emerging market debt</v>
      </c>
      <c r="R5" s="68">
        <f t="shared" ref="R5:R10" si="1">D5</f>
        <v>5.8258056820426632E-2</v>
      </c>
      <c r="S5" s="50">
        <f t="shared" ref="S5:S10" si="2">B5-D5</f>
        <v>0.10354961624605576</v>
      </c>
      <c r="T5" s="50">
        <f t="shared" ref="T5:T10" si="3">F5-B5</f>
        <v>0.11304766698149762</v>
      </c>
      <c r="U5" s="50"/>
      <c r="V5" s="50"/>
      <c r="W5" s="50"/>
    </row>
    <row r="6" spans="1:23">
      <c r="A6" s="57" t="str">
        <f>+'Samenvatting mixen'!A7</f>
        <v>Aandelen ontwikkeld</v>
      </c>
      <c r="B6" s="113">
        <v>0.22989384622893805</v>
      </c>
      <c r="C6" s="114">
        <v>7.233533651670622E-2</v>
      </c>
      <c r="D6" s="115">
        <v>0.15396662576570624</v>
      </c>
      <c r="E6" s="113">
        <v>0.22235475908494812</v>
      </c>
      <c r="F6" s="116">
        <v>0.30467864832059977</v>
      </c>
      <c r="G6" s="2">
        <v>0.15054964189431536</v>
      </c>
      <c r="H6" s="2">
        <v>-0.47963935633998284</v>
      </c>
      <c r="I6" s="2">
        <v>-0.16375934505561568</v>
      </c>
      <c r="J6" s="2">
        <v>1</v>
      </c>
      <c r="K6" s="2">
        <v>1.3134384912086967E-3</v>
      </c>
      <c r="L6" s="2">
        <v>-0.1318791670806401</v>
      </c>
      <c r="M6" s="2">
        <v>0.99999999999999811</v>
      </c>
      <c r="N6" s="55"/>
      <c r="O6" s="68"/>
      <c r="Q6" s="49" t="str">
        <f t="shared" si="0"/>
        <v>Aandelen ontwikkeld</v>
      </c>
      <c r="R6" s="68">
        <f t="shared" si="1"/>
        <v>0.15396662576570624</v>
      </c>
      <c r="S6" s="50">
        <f t="shared" si="2"/>
        <v>7.5927220463231804E-2</v>
      </c>
      <c r="T6" s="50">
        <f t="shared" si="3"/>
        <v>7.4784802091661717E-2</v>
      </c>
      <c r="U6" s="50"/>
      <c r="V6" s="50"/>
      <c r="W6" s="50"/>
    </row>
    <row r="7" spans="1:23">
      <c r="A7" s="57" t="str">
        <f>+'Samenvatting mixen'!A8</f>
        <v>Aandelen opkomend</v>
      </c>
      <c r="B7" s="113">
        <v>0.14813921308287895</v>
      </c>
      <c r="C7" s="114">
        <v>5.1873127452717133E-2</v>
      </c>
      <c r="D7" s="115">
        <v>9.3698180892426E-2</v>
      </c>
      <c r="E7" s="113">
        <v>0.14240152468485093</v>
      </c>
      <c r="F7" s="116">
        <v>0.20104907658828658</v>
      </c>
      <c r="G7" s="2">
        <v>-0.18632994543621631</v>
      </c>
      <c r="H7" s="2">
        <v>0.13683554255824018</v>
      </c>
      <c r="I7" s="2">
        <v>0.28226092399725172</v>
      </c>
      <c r="J7" s="2">
        <v>-0.12579658577525385</v>
      </c>
      <c r="K7" s="2">
        <v>1</v>
      </c>
      <c r="L7" s="2">
        <v>-0.21267361834248258</v>
      </c>
      <c r="M7" s="2">
        <v>0.999999999999998</v>
      </c>
      <c r="N7" s="55"/>
      <c r="O7" s="68"/>
      <c r="Q7" s="49" t="str">
        <f t="shared" si="0"/>
        <v>Aandelen opkomend</v>
      </c>
      <c r="R7" s="68">
        <f t="shared" si="1"/>
        <v>9.3698180892426E-2</v>
      </c>
      <c r="S7" s="50">
        <f t="shared" si="2"/>
        <v>5.4441032190452945E-2</v>
      </c>
      <c r="T7" s="50">
        <f t="shared" si="3"/>
        <v>5.2909863505407634E-2</v>
      </c>
      <c r="U7" s="50"/>
      <c r="V7" s="50"/>
      <c r="W7" s="50"/>
    </row>
    <row r="8" spans="1:23">
      <c r="A8" s="57" t="str">
        <f>+'Samenvatting mixen'!A9</f>
        <v>Commodities</v>
      </c>
      <c r="B8" s="113">
        <v>4.8751548666380831E-2</v>
      </c>
      <c r="C8" s="114">
        <v>2.7986606383317292E-2</v>
      </c>
      <c r="D8" s="115">
        <v>1.8306966375470156E-2</v>
      </c>
      <c r="E8" s="113">
        <v>4.7110720858573096E-2</v>
      </c>
      <c r="F8" s="116">
        <v>7.7768594850945144E-2</v>
      </c>
      <c r="G8" s="2">
        <v>-3.4511381521953682E-2</v>
      </c>
      <c r="H8" s="2">
        <v>2.7066443129214763E-2</v>
      </c>
      <c r="I8" s="2">
        <v>2.0519372060113689E-2</v>
      </c>
      <c r="J8" s="2">
        <v>-2.6172296078970033E-2</v>
      </c>
      <c r="K8" s="2">
        <v>3.676522482288682E-2</v>
      </c>
      <c r="L8" s="2">
        <v>1</v>
      </c>
      <c r="M8" s="2">
        <v>1</v>
      </c>
      <c r="N8" s="55"/>
      <c r="O8" s="68"/>
      <c r="Q8" s="49" t="str">
        <f t="shared" si="0"/>
        <v>Commodities</v>
      </c>
      <c r="R8" s="68">
        <f t="shared" si="1"/>
        <v>1.8306966375470156E-2</v>
      </c>
      <c r="S8" s="50">
        <f t="shared" si="2"/>
        <v>3.0444582290910675E-2</v>
      </c>
      <c r="T8" s="50">
        <f t="shared" si="3"/>
        <v>2.9017046184564313E-2</v>
      </c>
      <c r="U8" s="50"/>
      <c r="V8" s="50"/>
      <c r="W8" s="50"/>
    </row>
    <row r="9" spans="1:23">
      <c r="A9" s="57" t="str">
        <f>+'Samenvatting mixen'!A10</f>
        <v>Hedge funds</v>
      </c>
      <c r="B9" s="113">
        <v>0.12102532966209709</v>
      </c>
      <c r="C9" s="114">
        <v>7.3225335329580629E-2</v>
      </c>
      <c r="D9" s="115">
        <v>4.4402582590501852E-2</v>
      </c>
      <c r="E9" s="113">
        <v>0.10986224611402673</v>
      </c>
      <c r="F9" s="116">
        <v>0.19939409999503965</v>
      </c>
      <c r="G9" s="2">
        <v>-8.1629019941661315E-2</v>
      </c>
      <c r="H9" s="2">
        <v>0.15830970411069084</v>
      </c>
      <c r="I9" s="2">
        <v>1</v>
      </c>
      <c r="J9" s="2">
        <v>-2.1193431266144411E-2</v>
      </c>
      <c r="K9" s="2">
        <v>-0.51447150054108814</v>
      </c>
      <c r="L9" s="2">
        <v>-0.17131427998235388</v>
      </c>
      <c r="M9" s="2">
        <v>0.99999999999999589</v>
      </c>
      <c r="N9" s="55"/>
      <c r="O9" s="68"/>
      <c r="Q9" s="49" t="str">
        <f t="shared" si="0"/>
        <v>Hedge funds</v>
      </c>
      <c r="R9" s="68">
        <f t="shared" si="1"/>
        <v>4.4402582590501852E-2</v>
      </c>
      <c r="S9" s="50">
        <f t="shared" si="2"/>
        <v>7.6622747071595235E-2</v>
      </c>
      <c r="T9" s="50">
        <f t="shared" si="3"/>
        <v>7.8368770332942567E-2</v>
      </c>
      <c r="U9" s="50"/>
      <c r="V9" s="50"/>
      <c r="W9" s="50"/>
    </row>
    <row r="10" spans="1:23">
      <c r="A10" s="57" t="str">
        <f>+'Samenvatting mixen'!A11</f>
        <v>Onroerend goed</v>
      </c>
      <c r="B10" s="113">
        <v>0.14508333656556055</v>
      </c>
      <c r="C10" s="114">
        <v>9.2554147650793755E-2</v>
      </c>
      <c r="D10" s="115">
        <v>4.7363277681969428E-2</v>
      </c>
      <c r="E10" s="113">
        <v>0.1301834982782506</v>
      </c>
      <c r="F10" s="116">
        <v>0.24120962695279358</v>
      </c>
      <c r="G10" s="2">
        <v>-0.37847742659485467</v>
      </c>
      <c r="H10" s="2">
        <v>1</v>
      </c>
      <c r="I10" s="2">
        <v>-0.57452843000195286</v>
      </c>
      <c r="J10" s="2">
        <v>6.7367143545393721E-2</v>
      </c>
      <c r="K10" s="2">
        <v>-0.25136427094014707</v>
      </c>
      <c r="L10" s="2">
        <v>-0.17512763866051689</v>
      </c>
      <c r="M10" s="2">
        <v>0.99999999999999722</v>
      </c>
      <c r="N10" s="55"/>
      <c r="O10" s="68"/>
      <c r="Q10" s="49" t="str">
        <f t="shared" si="0"/>
        <v>Onroerend goed</v>
      </c>
      <c r="R10" s="68">
        <f t="shared" si="1"/>
        <v>4.7363277681969428E-2</v>
      </c>
      <c r="S10" s="50">
        <f t="shared" si="2"/>
        <v>9.7720058883591115E-2</v>
      </c>
      <c r="T10" s="50">
        <f t="shared" si="3"/>
        <v>9.6126290387233027E-2</v>
      </c>
      <c r="U10" s="50"/>
      <c r="V10" s="50"/>
      <c r="W10" s="50"/>
    </row>
    <row r="11" spans="1:23">
      <c r="A11" s="57">
        <f>+'Samenvatting mixen'!A12</f>
        <v>1</v>
      </c>
      <c r="B11" s="113"/>
      <c r="C11" s="114"/>
      <c r="D11" s="115"/>
      <c r="E11" s="113"/>
      <c r="F11" s="116"/>
      <c r="G11" s="2"/>
      <c r="H11" s="2"/>
      <c r="I11" s="2"/>
      <c r="J11" s="2"/>
      <c r="K11" s="2"/>
      <c r="L11" s="2"/>
      <c r="M11" s="2"/>
      <c r="N11" s="55"/>
      <c r="O11" s="68"/>
      <c r="Q11" s="49">
        <f t="shared" si="0"/>
        <v>1</v>
      </c>
      <c r="R11" s="68"/>
      <c r="S11" s="50"/>
      <c r="T11" s="50"/>
    </row>
    <row r="12" spans="1:23">
      <c r="A12" s="57">
        <f>+'Samenvatting mixen'!A13</f>
        <v>2</v>
      </c>
      <c r="B12" s="113"/>
      <c r="C12" s="114"/>
      <c r="D12" s="115"/>
      <c r="E12" s="113"/>
      <c r="F12" s="116"/>
      <c r="G12" s="2"/>
      <c r="H12" s="2"/>
      <c r="I12" s="2"/>
      <c r="J12" s="2"/>
      <c r="K12" s="2"/>
      <c r="L12" s="2"/>
      <c r="M12" s="2"/>
      <c r="N12" s="55"/>
      <c r="O12" s="68"/>
      <c r="Q12" s="49">
        <f t="shared" si="0"/>
        <v>2</v>
      </c>
      <c r="R12" s="68"/>
      <c r="S12" s="50"/>
      <c r="T12" s="50"/>
      <c r="U12" s="46"/>
    </row>
    <row r="13" spans="1:23">
      <c r="A13" s="57">
        <f>+'Samenvatting mixen'!A14</f>
        <v>3</v>
      </c>
      <c r="B13" s="113"/>
      <c r="C13" s="114"/>
      <c r="D13" s="115"/>
      <c r="E13" s="113"/>
      <c r="F13" s="116"/>
      <c r="G13" s="2"/>
      <c r="H13" s="2"/>
      <c r="I13" s="2"/>
      <c r="J13" s="2"/>
      <c r="K13" s="2"/>
      <c r="L13" s="2"/>
      <c r="M13" s="2"/>
      <c r="N13" s="55"/>
      <c r="O13" s="68"/>
      <c r="Q13" s="49">
        <f t="shared" si="0"/>
        <v>3</v>
      </c>
      <c r="R13" s="68"/>
      <c r="S13" s="50"/>
      <c r="T13" s="50"/>
    </row>
    <row r="14" spans="1:23">
      <c r="A14" s="57">
        <f>+'Samenvatting mixen'!A15</f>
        <v>4</v>
      </c>
      <c r="B14" s="113"/>
      <c r="C14" s="114"/>
      <c r="D14" s="115"/>
      <c r="E14" s="113"/>
      <c r="F14" s="116"/>
      <c r="G14" s="2"/>
      <c r="H14" s="2"/>
      <c r="I14" s="2"/>
      <c r="J14" s="2"/>
      <c r="K14" s="2"/>
      <c r="L14" s="2"/>
      <c r="M14" s="2"/>
      <c r="N14" s="55"/>
      <c r="O14" s="68"/>
      <c r="Q14" s="49">
        <f t="shared" si="0"/>
        <v>4</v>
      </c>
      <c r="R14" s="68"/>
      <c r="S14" s="50"/>
      <c r="T14" s="50"/>
      <c r="U14" s="50"/>
    </row>
    <row r="15" spans="1:23">
      <c r="A15" s="57">
        <f>+'Samenvatting mixen'!A16</f>
        <v>5</v>
      </c>
      <c r="B15" s="113"/>
      <c r="C15" s="114"/>
      <c r="D15" s="115"/>
      <c r="E15" s="113"/>
      <c r="F15" s="116"/>
      <c r="G15" s="2"/>
      <c r="H15" s="2"/>
      <c r="I15" s="2"/>
      <c r="J15" s="2"/>
      <c r="K15" s="2"/>
      <c r="L15" s="2"/>
      <c r="M15" s="2"/>
      <c r="N15" s="55"/>
      <c r="O15" s="68"/>
      <c r="Q15" s="49">
        <f t="shared" si="0"/>
        <v>5</v>
      </c>
      <c r="R15" s="68"/>
      <c r="S15" s="50"/>
      <c r="T15" s="50"/>
      <c r="U15" s="50"/>
    </row>
    <row r="16" spans="1:23">
      <c r="A16" s="57">
        <f>+'Samenvatting mixen'!A17</f>
        <v>6</v>
      </c>
      <c r="B16" s="113"/>
      <c r="C16" s="114"/>
      <c r="D16" s="115"/>
      <c r="E16" s="113"/>
      <c r="F16" s="116"/>
      <c r="G16" s="2"/>
      <c r="H16" s="2"/>
      <c r="I16" s="2"/>
      <c r="J16" s="2"/>
      <c r="K16" s="2"/>
      <c r="L16" s="2"/>
      <c r="M16" s="2"/>
      <c r="N16" s="55"/>
      <c r="O16" s="68"/>
      <c r="Q16" s="49">
        <f t="shared" si="0"/>
        <v>6</v>
      </c>
      <c r="R16" s="68"/>
      <c r="S16" s="50"/>
      <c r="T16" s="50"/>
      <c r="U16" s="50"/>
    </row>
    <row r="17" spans="1:24">
      <c r="A17" s="58">
        <f>+'Samenvatting mixen'!A18</f>
        <v>7</v>
      </c>
      <c r="B17" s="117"/>
      <c r="C17" s="118"/>
      <c r="D17" s="119"/>
      <c r="E17" s="117"/>
      <c r="F17" s="120"/>
      <c r="G17" s="63"/>
      <c r="H17" s="63"/>
      <c r="I17" s="63"/>
      <c r="J17" s="63"/>
      <c r="K17" s="63"/>
      <c r="L17" s="63"/>
      <c r="M17" s="63"/>
      <c r="N17" s="64"/>
      <c r="O17" s="68"/>
      <c r="Q17" s="49">
        <f t="shared" si="0"/>
        <v>7</v>
      </c>
      <c r="R17" s="68"/>
      <c r="S17" s="50"/>
      <c r="T17" s="50"/>
      <c r="U17" s="50"/>
    </row>
    <row r="18" spans="1:24">
      <c r="U18" s="50"/>
    </row>
    <row r="19" spans="1:24">
      <c r="A19" s="46" t="s">
        <v>68</v>
      </c>
      <c r="D19" s="341" t="s">
        <v>64</v>
      </c>
      <c r="E19" s="342"/>
      <c r="F19" s="343"/>
      <c r="G19" s="341" t="s">
        <v>65</v>
      </c>
      <c r="H19" s="342"/>
      <c r="I19" s="342"/>
      <c r="J19" s="342"/>
      <c r="K19" s="342"/>
      <c r="L19" s="342"/>
      <c r="M19" s="342"/>
      <c r="N19" s="343"/>
      <c r="T19" s="46"/>
      <c r="U19" s="50"/>
    </row>
    <row r="20" spans="1:24">
      <c r="A20" s="237" t="str">
        <f>'Samenvatting mixen'!A21</f>
        <v>Base Case</v>
      </c>
      <c r="B20" s="238" t="s">
        <v>1</v>
      </c>
      <c r="C20" s="239" t="s">
        <v>2</v>
      </c>
      <c r="D20" s="240">
        <v>0.25</v>
      </c>
      <c r="E20" s="241">
        <v>0.5</v>
      </c>
      <c r="F20" s="242">
        <v>0.75</v>
      </c>
      <c r="G20" s="243">
        <v>0.43044378481328993</v>
      </c>
      <c r="H20" s="243">
        <v>0.25310190774427987</v>
      </c>
      <c r="I20" s="243">
        <v>0.15707363511591332</v>
      </c>
      <c r="J20" s="243">
        <v>0.13400419430292188</v>
      </c>
      <c r="K20" s="243">
        <v>1.6894554399498718E-2</v>
      </c>
      <c r="L20" s="243">
        <v>8.481923624096166E-3</v>
      </c>
      <c r="M20" s="243">
        <v>0</v>
      </c>
      <c r="N20" s="243"/>
      <c r="O20" s="244"/>
      <c r="Q20" s="49" t="str">
        <f>A20</f>
        <v>Base Case</v>
      </c>
      <c r="U20" s="50"/>
    </row>
    <row r="21" spans="1:24">
      <c r="A21" s="51" t="str">
        <f>IF(A4="","",A4)</f>
        <v>High Yield</v>
      </c>
      <c r="B21" s="113">
        <v>8.4423305856709374E-2</v>
      </c>
      <c r="C21" s="114">
        <v>6.5075729448316577E-2</v>
      </c>
      <c r="D21" s="115">
        <v>1.8833350886589353E-2</v>
      </c>
      <c r="E21" s="113">
        <v>7.2851346350122859E-2</v>
      </c>
      <c r="F21" s="116">
        <v>0.14626361672573523</v>
      </c>
      <c r="G21" s="2">
        <v>-0.51211700848998987</v>
      </c>
      <c r="H21" s="2">
        <v>1</v>
      </c>
      <c r="I21" s="2">
        <v>-6.5490560037129456E-2</v>
      </c>
      <c r="J21" s="2">
        <v>-6.4497653712035682E-2</v>
      </c>
      <c r="K21" s="2">
        <v>-0.18596082565811087</v>
      </c>
      <c r="L21" s="2">
        <v>-0.16017123271027817</v>
      </c>
      <c r="M21" s="2">
        <v>0.99999999999999911</v>
      </c>
      <c r="N21" s="55"/>
      <c r="Q21" s="49" t="str">
        <f t="shared" ref="Q21:Q27" si="4">A21</f>
        <v>High Yield</v>
      </c>
      <c r="R21" s="68">
        <f>D21</f>
        <v>1.8833350886589353E-2</v>
      </c>
      <c r="S21" s="50">
        <f>B21-D21</f>
        <v>6.5589954970120018E-2</v>
      </c>
      <c r="T21" s="50">
        <f>F21-B21</f>
        <v>6.1840310869025861E-2</v>
      </c>
    </row>
    <row r="22" spans="1:24">
      <c r="A22" s="57" t="str">
        <f t="shared" ref="A22:A34" si="5">IF(A5="","",A5)</f>
        <v>Emerging market debt</v>
      </c>
      <c r="B22" s="113">
        <v>6.0078266145246716E-2</v>
      </c>
      <c r="C22" s="114">
        <v>4.6583338000718337E-2</v>
      </c>
      <c r="D22" s="115">
        <v>1.4539096547584025E-2</v>
      </c>
      <c r="E22" s="113">
        <v>5.0244699471967968E-2</v>
      </c>
      <c r="F22" s="116">
        <v>0.11156154066195093</v>
      </c>
      <c r="G22" s="2">
        <v>-0.11291439776855985</v>
      </c>
      <c r="H22" s="2">
        <v>-0.338129993014886</v>
      </c>
      <c r="I22" s="2">
        <v>-0.32028431501066834</v>
      </c>
      <c r="J22" s="2">
        <v>1</v>
      </c>
      <c r="K22" s="2">
        <v>-0.19617629977745812</v>
      </c>
      <c r="L22" s="2">
        <v>-0.14816878996274832</v>
      </c>
      <c r="M22" s="2">
        <v>0.99999999999999911</v>
      </c>
      <c r="N22" s="55"/>
      <c r="Q22" s="49" t="str">
        <f t="shared" si="4"/>
        <v>Emerging market debt</v>
      </c>
      <c r="R22" s="68">
        <f t="shared" ref="R22:R27" si="6">D22</f>
        <v>1.4539096547584025E-2</v>
      </c>
      <c r="S22" s="50">
        <f t="shared" ref="S22:S27" si="7">B22-D22</f>
        <v>4.5539169597662688E-2</v>
      </c>
      <c r="T22" s="50">
        <f t="shared" ref="T22:T27" si="8">F22-B22</f>
        <v>5.148327451670421E-2</v>
      </c>
    </row>
    <row r="23" spans="1:24">
      <c r="A23" s="57" t="str">
        <f t="shared" si="5"/>
        <v>Aandelen ontwikkeld</v>
      </c>
      <c r="B23" s="113">
        <v>1.0564791729147817E-2</v>
      </c>
      <c r="C23" s="114">
        <v>1.1447879796181167E-2</v>
      </c>
      <c r="D23" s="115">
        <v>1.0369453171366512E-3</v>
      </c>
      <c r="E23" s="113">
        <v>6.9873885340826537E-3</v>
      </c>
      <c r="F23" s="116">
        <v>2.0330037080902037E-2</v>
      </c>
      <c r="G23" s="2">
        <v>6.3958815029369915E-3</v>
      </c>
      <c r="H23" s="2">
        <v>8.3410569798108465E-3</v>
      </c>
      <c r="I23" s="2">
        <v>-1.2664241767134245E-2</v>
      </c>
      <c r="J23" s="2">
        <v>-1.0224681761997229E-2</v>
      </c>
      <c r="K23" s="2">
        <v>6.6508832654647909E-2</v>
      </c>
      <c r="L23" s="2">
        <v>1</v>
      </c>
      <c r="M23" s="2">
        <v>0.99999999999999789</v>
      </c>
      <c r="N23" s="55"/>
      <c r="Q23" s="49" t="str">
        <f t="shared" si="4"/>
        <v>Aandelen ontwikkeld</v>
      </c>
      <c r="R23" s="68">
        <f t="shared" si="6"/>
        <v>1.0369453171366512E-3</v>
      </c>
      <c r="S23" s="50">
        <f t="shared" si="7"/>
        <v>9.527846412011166E-3</v>
      </c>
      <c r="T23" s="50">
        <f t="shared" si="8"/>
        <v>9.76524535175422E-3</v>
      </c>
    </row>
    <row r="24" spans="1:24">
      <c r="A24" s="57" t="str">
        <f t="shared" si="5"/>
        <v>Aandelen opkomend</v>
      </c>
      <c r="B24" s="113">
        <v>0.69675021679219462</v>
      </c>
      <c r="C24" s="114">
        <v>7.5901477839361714E-2</v>
      </c>
      <c r="D24" s="115">
        <v>0.62402832097326888</v>
      </c>
      <c r="E24" s="113">
        <v>0.6883004824338721</v>
      </c>
      <c r="F24" s="116">
        <v>0.7747916609748613</v>
      </c>
      <c r="G24" s="2">
        <v>1</v>
      </c>
      <c r="H24" s="2">
        <v>0.24298917102800729</v>
      </c>
      <c r="I24" s="2">
        <v>-0.17345038723216524</v>
      </c>
      <c r="J24" s="2">
        <v>-0.17087576399282736</v>
      </c>
      <c r="K24" s="2">
        <v>-0.23217295674181931</v>
      </c>
      <c r="L24" s="2">
        <v>-0.16282093648666496</v>
      </c>
      <c r="M24" s="2">
        <v>0.99999999999999933</v>
      </c>
      <c r="N24" s="55"/>
      <c r="Q24" s="49" t="str">
        <f t="shared" si="4"/>
        <v>Aandelen opkomend</v>
      </c>
      <c r="R24" s="68">
        <f t="shared" si="6"/>
        <v>0.62402832097326888</v>
      </c>
      <c r="S24" s="50">
        <f t="shared" si="7"/>
        <v>7.2721895818925741E-2</v>
      </c>
      <c r="T24" s="50">
        <f t="shared" si="8"/>
        <v>7.8041444182666675E-2</v>
      </c>
      <c r="U24" s="50"/>
    </row>
    <row r="25" spans="1:24">
      <c r="A25" s="57" t="str">
        <f t="shared" si="5"/>
        <v>Commodities</v>
      </c>
      <c r="B25" s="113">
        <v>7.03766998308228E-2</v>
      </c>
      <c r="C25" s="114">
        <v>5.4200383548560764E-2</v>
      </c>
      <c r="D25" s="115">
        <v>1.5399174538219958E-2</v>
      </c>
      <c r="E25" s="113">
        <v>6.0600035507663859E-2</v>
      </c>
      <c r="F25" s="116">
        <v>0.12108619484671855</v>
      </c>
      <c r="G25" s="2">
        <v>-0.35288195663999733</v>
      </c>
      <c r="H25" s="2">
        <v>-0.61688522565192705</v>
      </c>
      <c r="I25" s="2">
        <v>-0.43802782605267965</v>
      </c>
      <c r="J25" s="2">
        <v>-0.70872019059013369</v>
      </c>
      <c r="K25" s="2">
        <v>-0.22798052910367464</v>
      </c>
      <c r="L25" s="2">
        <v>-0.15784103938965063</v>
      </c>
      <c r="M25" s="2">
        <v>1</v>
      </c>
      <c r="N25" s="55"/>
      <c r="Q25" s="49" t="str">
        <f t="shared" si="4"/>
        <v>Commodities</v>
      </c>
      <c r="R25" s="68">
        <f t="shared" si="6"/>
        <v>1.5399174538219958E-2</v>
      </c>
      <c r="S25" s="50">
        <f t="shared" si="7"/>
        <v>5.4977525292602844E-2</v>
      </c>
      <c r="T25" s="50">
        <f t="shared" si="8"/>
        <v>5.070949501589575E-2</v>
      </c>
      <c r="U25" s="50"/>
      <c r="X25" s="49"/>
    </row>
    <row r="26" spans="1:24">
      <c r="A26" s="57" t="str">
        <f t="shared" si="5"/>
        <v>Hedge funds</v>
      </c>
      <c r="B26" s="113">
        <v>6.1056402408510194E-2</v>
      </c>
      <c r="C26" s="114">
        <v>4.8375161469062275E-2</v>
      </c>
      <c r="D26" s="115">
        <v>1.4868472900995792E-2</v>
      </c>
      <c r="E26" s="113">
        <v>5.1891680218901386E-2</v>
      </c>
      <c r="F26" s="116">
        <v>0.10731451078295165</v>
      </c>
      <c r="G26" s="2">
        <v>-5.0967258925063687E-2</v>
      </c>
      <c r="H26" s="2">
        <v>-0.2705119712600938</v>
      </c>
      <c r="I26" s="2">
        <v>1</v>
      </c>
      <c r="J26" s="2">
        <v>-2.3931083953005961E-2</v>
      </c>
      <c r="K26" s="2">
        <v>-0.2242182213735843</v>
      </c>
      <c r="L26" s="2">
        <v>-0.14037455433918461</v>
      </c>
      <c r="M26" s="2">
        <v>0.99999999999999911</v>
      </c>
      <c r="N26" s="55"/>
      <c r="Q26" s="49" t="str">
        <f t="shared" si="4"/>
        <v>Hedge funds</v>
      </c>
      <c r="R26" s="68">
        <f t="shared" si="6"/>
        <v>1.4868472900995792E-2</v>
      </c>
      <c r="S26" s="50">
        <f t="shared" si="7"/>
        <v>4.6187929507514401E-2</v>
      </c>
      <c r="T26" s="50">
        <f t="shared" si="8"/>
        <v>4.6258108374441456E-2</v>
      </c>
      <c r="U26" s="50"/>
      <c r="V26" s="50"/>
      <c r="W26" s="50"/>
    </row>
    <row r="27" spans="1:24">
      <c r="A27" s="57" t="str">
        <f t="shared" si="5"/>
        <v>Onroerend goed</v>
      </c>
      <c r="B27" s="113">
        <v>1.6750317237368126E-2</v>
      </c>
      <c r="C27" s="114">
        <v>1.6019289774542405E-2</v>
      </c>
      <c r="D27" s="115">
        <v>2.0119114554013277E-3</v>
      </c>
      <c r="E27" s="113">
        <v>1.2843147844626875E-2</v>
      </c>
      <c r="F27" s="116">
        <v>3.2483395052626179E-2</v>
      </c>
      <c r="G27" s="2">
        <v>2.2484740320673859E-2</v>
      </c>
      <c r="H27" s="2">
        <v>-2.5803038080910772E-2</v>
      </c>
      <c r="I27" s="2">
        <v>9.9173300997775909E-3</v>
      </c>
      <c r="J27" s="2">
        <v>-2.1750625990000168E-2</v>
      </c>
      <c r="K27" s="2">
        <v>1</v>
      </c>
      <c r="L27" s="2">
        <v>-0.23062344711147312</v>
      </c>
      <c r="M27" s="2">
        <v>0.99999999999999833</v>
      </c>
      <c r="N27" s="55"/>
      <c r="Q27" s="49" t="str">
        <f t="shared" si="4"/>
        <v>Onroerend goed</v>
      </c>
      <c r="R27" s="68">
        <f t="shared" si="6"/>
        <v>2.0119114554013277E-3</v>
      </c>
      <c r="S27" s="50">
        <f t="shared" si="7"/>
        <v>1.4738405781966798E-2</v>
      </c>
      <c r="T27" s="50">
        <f t="shared" si="8"/>
        <v>1.5733077815258054E-2</v>
      </c>
      <c r="U27" s="50"/>
      <c r="V27" s="50"/>
      <c r="W27" s="50"/>
    </row>
    <row r="28" spans="1:24">
      <c r="A28" s="57">
        <f t="shared" si="5"/>
        <v>1</v>
      </c>
      <c r="B28" s="113"/>
      <c r="C28" s="114"/>
      <c r="D28" s="115"/>
      <c r="E28" s="113"/>
      <c r="F28" s="116"/>
      <c r="G28" s="2"/>
      <c r="H28" s="2"/>
      <c r="I28" s="2"/>
      <c r="J28" s="2"/>
      <c r="K28" s="2"/>
      <c r="L28" s="2"/>
      <c r="M28" s="2"/>
      <c r="N28" s="55"/>
      <c r="Q28" s="49"/>
      <c r="R28" s="68"/>
      <c r="S28" s="50"/>
      <c r="T28" s="50"/>
      <c r="U28" s="50"/>
      <c r="V28" s="50"/>
      <c r="W28" s="50"/>
    </row>
    <row r="29" spans="1:24">
      <c r="A29" s="57">
        <f t="shared" si="5"/>
        <v>2</v>
      </c>
      <c r="B29" s="113"/>
      <c r="C29" s="114"/>
      <c r="D29" s="115"/>
      <c r="E29" s="113"/>
      <c r="F29" s="116"/>
      <c r="G29" s="2"/>
      <c r="H29" s="2"/>
      <c r="I29" s="2"/>
      <c r="J29" s="2"/>
      <c r="K29" s="2"/>
      <c r="L29" s="2"/>
      <c r="M29" s="2"/>
      <c r="N29" s="55"/>
      <c r="Q29" s="49"/>
      <c r="R29" s="68"/>
      <c r="S29" s="50"/>
      <c r="T29" s="50"/>
      <c r="U29" s="50"/>
      <c r="V29" s="50"/>
      <c r="W29" s="50"/>
    </row>
    <row r="30" spans="1:24">
      <c r="A30" s="57">
        <f t="shared" si="5"/>
        <v>3</v>
      </c>
      <c r="B30" s="113"/>
      <c r="C30" s="114"/>
      <c r="D30" s="115"/>
      <c r="E30" s="113"/>
      <c r="F30" s="116"/>
      <c r="G30" s="2"/>
      <c r="H30" s="2"/>
      <c r="I30" s="2"/>
      <c r="J30" s="2"/>
      <c r="K30" s="2"/>
      <c r="L30" s="2"/>
      <c r="M30" s="2"/>
      <c r="N30" s="55"/>
      <c r="Q30" s="49"/>
      <c r="R30" s="68"/>
      <c r="S30" s="50"/>
      <c r="T30" s="50"/>
      <c r="U30" s="50"/>
      <c r="V30" s="50"/>
      <c r="W30" s="50"/>
    </row>
    <row r="31" spans="1:24">
      <c r="A31" s="57">
        <f t="shared" si="5"/>
        <v>4</v>
      </c>
      <c r="B31" s="113"/>
      <c r="C31" s="114"/>
      <c r="D31" s="115"/>
      <c r="E31" s="113"/>
      <c r="F31" s="116"/>
      <c r="G31" s="2"/>
      <c r="H31" s="2"/>
      <c r="I31" s="2"/>
      <c r="J31" s="2"/>
      <c r="K31" s="2"/>
      <c r="L31" s="2"/>
      <c r="M31" s="2"/>
      <c r="N31" s="55"/>
      <c r="Q31" s="49"/>
      <c r="R31" s="68"/>
      <c r="S31" s="50"/>
      <c r="T31" s="50"/>
      <c r="U31" s="50"/>
      <c r="V31" s="50"/>
      <c r="W31" s="50"/>
    </row>
    <row r="32" spans="1:24">
      <c r="A32" s="57">
        <f t="shared" si="5"/>
        <v>5</v>
      </c>
      <c r="B32" s="113"/>
      <c r="C32" s="114"/>
      <c r="D32" s="115"/>
      <c r="E32" s="113"/>
      <c r="F32" s="116"/>
      <c r="G32" s="2"/>
      <c r="H32" s="2"/>
      <c r="I32" s="2"/>
      <c r="J32" s="2"/>
      <c r="K32" s="2"/>
      <c r="L32" s="2"/>
      <c r="M32" s="2"/>
      <c r="N32" s="55"/>
      <c r="Q32" s="49"/>
      <c r="R32" s="68"/>
      <c r="S32" s="50"/>
      <c r="T32" s="50"/>
    </row>
    <row r="33" spans="1:24">
      <c r="A33" s="57">
        <f t="shared" si="5"/>
        <v>6</v>
      </c>
      <c r="B33" s="113"/>
      <c r="C33" s="114"/>
      <c r="D33" s="115"/>
      <c r="E33" s="113"/>
      <c r="F33" s="116"/>
      <c r="G33" s="2"/>
      <c r="H33" s="2"/>
      <c r="I33" s="2"/>
      <c r="J33" s="2"/>
      <c r="K33" s="2"/>
      <c r="L33" s="2"/>
      <c r="M33" s="2"/>
      <c r="N33" s="55"/>
      <c r="Q33" s="49"/>
      <c r="R33" s="68"/>
      <c r="S33" s="50"/>
      <c r="T33" s="50"/>
    </row>
    <row r="34" spans="1:24">
      <c r="A34" s="58">
        <f t="shared" si="5"/>
        <v>7</v>
      </c>
      <c r="B34" s="117"/>
      <c r="C34" s="118"/>
      <c r="D34" s="119"/>
      <c r="E34" s="117"/>
      <c r="F34" s="120"/>
      <c r="G34" s="63"/>
      <c r="H34" s="63"/>
      <c r="I34" s="63"/>
      <c r="J34" s="63"/>
      <c r="K34" s="63"/>
      <c r="L34" s="63"/>
      <c r="M34" s="63"/>
      <c r="N34" s="64"/>
      <c r="Q34" s="49"/>
      <c r="R34" s="68"/>
      <c r="S34" s="50"/>
      <c r="T34" s="50"/>
      <c r="U34" s="50"/>
    </row>
    <row r="35" spans="1:24">
      <c r="A35" s="121"/>
      <c r="B35" s="122"/>
      <c r="C35" s="122"/>
      <c r="D35" s="123"/>
      <c r="E35" s="123"/>
      <c r="F35" s="123"/>
      <c r="G35" s="124"/>
      <c r="H35" s="125"/>
      <c r="I35" s="124"/>
      <c r="J35" s="124"/>
      <c r="K35" s="124"/>
      <c r="L35" s="124"/>
      <c r="M35" s="124"/>
      <c r="N35" s="126"/>
      <c r="U35" s="50"/>
    </row>
    <row r="36" spans="1:24">
      <c r="A36" s="47"/>
      <c r="D36" s="341" t="s">
        <v>64</v>
      </c>
      <c r="E36" s="342"/>
      <c r="F36" s="343"/>
      <c r="G36" s="341" t="s">
        <v>65</v>
      </c>
      <c r="H36" s="342"/>
      <c r="I36" s="342"/>
      <c r="J36" s="342"/>
      <c r="K36" s="342"/>
      <c r="L36" s="342"/>
      <c r="M36" s="342"/>
      <c r="N36" s="343"/>
      <c r="O36" s="65"/>
      <c r="U36" s="50"/>
    </row>
    <row r="37" spans="1:24">
      <c r="A37" s="237" t="str">
        <f>'Samenvatting mixen'!A39</f>
        <v>Base - muddle down</v>
      </c>
      <c r="B37" s="238" t="s">
        <v>67</v>
      </c>
      <c r="C37" s="239" t="s">
        <v>2</v>
      </c>
      <c r="D37" s="240">
        <v>0.25</v>
      </c>
      <c r="E37" s="241">
        <v>0.5</v>
      </c>
      <c r="F37" s="242">
        <v>0.75</v>
      </c>
      <c r="G37" s="243">
        <v>0.42164923640187513</v>
      </c>
      <c r="H37" s="243">
        <v>0.32190115171450628</v>
      </c>
      <c r="I37" s="243">
        <v>0.17286499672924771</v>
      </c>
      <c r="J37" s="243">
        <v>4.7201145163983549E-2</v>
      </c>
      <c r="K37" s="243">
        <v>2.3052636447098429E-2</v>
      </c>
      <c r="L37" s="243">
        <v>1.3330833543284015E-2</v>
      </c>
      <c r="M37" s="243">
        <v>0</v>
      </c>
      <c r="N37" s="243"/>
      <c r="O37" s="244"/>
      <c r="Q37" s="49" t="str">
        <f>A37</f>
        <v>Base - muddle down</v>
      </c>
      <c r="U37" s="50"/>
      <c r="X37" s="49"/>
    </row>
    <row r="38" spans="1:24">
      <c r="A38" s="51" t="str">
        <f>IF(A21="","",A21)</f>
        <v>High Yield</v>
      </c>
      <c r="B38" s="113">
        <v>5.6385392626321841E-2</v>
      </c>
      <c r="C38" s="114">
        <v>7.4061578240274054E-2</v>
      </c>
      <c r="D38" s="115">
        <v>2.6644846451344775E-3</v>
      </c>
      <c r="E38" s="113">
        <v>2.7851843822902851E-2</v>
      </c>
      <c r="F38" s="116">
        <v>0.11427650357859917</v>
      </c>
      <c r="G38" s="2">
        <v>-2.7974174997876976E-2</v>
      </c>
      <c r="H38" s="2">
        <v>1.9415497908621331E-2</v>
      </c>
      <c r="I38" s="2">
        <v>9.357931718961221E-2</v>
      </c>
      <c r="J38" s="2">
        <v>1</v>
      </c>
      <c r="K38" s="2">
        <v>-0.54983785670839835</v>
      </c>
      <c r="L38" s="2">
        <v>-0.22579634316564828</v>
      </c>
      <c r="M38" s="2">
        <v>0.99999999999995381</v>
      </c>
      <c r="N38" s="55"/>
      <c r="O38" s="65"/>
      <c r="Q38" s="49" t="str">
        <f t="shared" ref="Q38:Q44" si="9">A38</f>
        <v>High Yield</v>
      </c>
      <c r="R38" s="68">
        <f>D38</f>
        <v>2.6644846451344775E-3</v>
      </c>
      <c r="S38" s="50">
        <f t="shared" ref="S38:S44" si="10">B38-D38</f>
        <v>5.3720907981187366E-2</v>
      </c>
      <c r="T38" s="50">
        <f t="shared" ref="T38:T44" si="11">F38-B38</f>
        <v>5.7891110952277329E-2</v>
      </c>
      <c r="U38" s="50"/>
      <c r="V38" s="50"/>
      <c r="W38" s="50"/>
    </row>
    <row r="39" spans="1:24">
      <c r="A39" s="57" t="str">
        <f t="shared" ref="A39:A51" si="12">IF(A22="","",A22)</f>
        <v>Emerging market debt</v>
      </c>
      <c r="B39" s="113">
        <v>0.23061091026327749</v>
      </c>
      <c r="C39" s="114">
        <v>0.1884547814145387</v>
      </c>
      <c r="D39" s="115">
        <v>4.4604456313607814E-2</v>
      </c>
      <c r="E39" s="113">
        <v>0.18461462521765243</v>
      </c>
      <c r="F39" s="116">
        <v>0.43493970367659818</v>
      </c>
      <c r="G39" s="2">
        <v>-0.18488194885885054</v>
      </c>
      <c r="H39" s="2">
        <v>1</v>
      </c>
      <c r="I39" s="2">
        <v>-0.47027606329281579</v>
      </c>
      <c r="J39" s="2">
        <v>-0.35751226891029297</v>
      </c>
      <c r="K39" s="2">
        <v>-0.16123089218976724</v>
      </c>
      <c r="L39" s="2">
        <v>-0.1199387232542628</v>
      </c>
      <c r="M39" s="2">
        <v>0.99999999999993827</v>
      </c>
      <c r="N39" s="55"/>
      <c r="O39" s="65"/>
      <c r="Q39" s="49" t="str">
        <f t="shared" si="9"/>
        <v>Emerging market debt</v>
      </c>
      <c r="R39" s="68">
        <f t="shared" ref="R39:R44" si="13">D39</f>
        <v>4.4604456313607814E-2</v>
      </c>
      <c r="S39" s="50">
        <f t="shared" si="10"/>
        <v>0.18600645394966966</v>
      </c>
      <c r="T39" s="50">
        <f t="shared" si="11"/>
        <v>0.20432879341332069</v>
      </c>
      <c r="U39" s="50"/>
      <c r="V39" s="50"/>
      <c r="W39" s="50"/>
    </row>
    <row r="40" spans="1:24">
      <c r="A40" s="57" t="str">
        <f t="shared" si="12"/>
        <v>Aandelen ontwikkeld</v>
      </c>
      <c r="B40" s="113">
        <v>2.5331615574871631E-2</v>
      </c>
      <c r="C40" s="114">
        <v>4.3896011556306111E-2</v>
      </c>
      <c r="D40" s="115">
        <v>2.0108802455083279E-4</v>
      </c>
      <c r="E40" s="113">
        <v>8.1129316202169406E-3</v>
      </c>
      <c r="F40" s="116">
        <v>4.9979216677068651E-2</v>
      </c>
      <c r="G40" s="2">
        <v>-1.0687328922399915E-2</v>
      </c>
      <c r="H40" s="2">
        <v>1.9108225109855367E-2</v>
      </c>
      <c r="I40" s="2">
        <v>1.2665669344128863E-2</v>
      </c>
      <c r="J40" s="2">
        <v>0.16689347387236986</v>
      </c>
      <c r="K40" s="2">
        <v>0.14680634134708953</v>
      </c>
      <c r="L40" s="2">
        <v>1</v>
      </c>
      <c r="M40" s="2">
        <v>1</v>
      </c>
      <c r="N40" s="55"/>
      <c r="O40" s="65"/>
      <c r="P40" s="68"/>
      <c r="Q40" s="49" t="str">
        <f t="shared" si="9"/>
        <v>Aandelen ontwikkeld</v>
      </c>
      <c r="R40" s="68">
        <f t="shared" si="13"/>
        <v>2.0108802455083279E-4</v>
      </c>
      <c r="S40" s="50">
        <f t="shared" si="10"/>
        <v>2.5130527550320799E-2</v>
      </c>
      <c r="T40" s="50">
        <f t="shared" si="11"/>
        <v>2.464760110219702E-2</v>
      </c>
      <c r="U40" s="50"/>
      <c r="V40" s="50"/>
      <c r="W40" s="50"/>
    </row>
    <row r="41" spans="1:24">
      <c r="A41" s="57" t="str">
        <f t="shared" si="12"/>
        <v>Aandelen opkomend</v>
      </c>
      <c r="B41" s="113">
        <v>0.23854952385180506</v>
      </c>
      <c r="C41" s="114">
        <v>0.20628898576144208</v>
      </c>
      <c r="D41" s="115">
        <v>3.4995832401426903E-2</v>
      </c>
      <c r="E41" s="113">
        <v>0.18798451922687887</v>
      </c>
      <c r="F41" s="116">
        <v>0.45553501746772368</v>
      </c>
      <c r="G41" s="2">
        <v>-0.7228961100846476</v>
      </c>
      <c r="H41" s="2">
        <v>-0.76618492116704839</v>
      </c>
      <c r="I41" s="2">
        <v>-0.37204246278957426</v>
      </c>
      <c r="J41" s="2">
        <v>-0.33136171290498295</v>
      </c>
      <c r="K41" s="2">
        <v>-0.13723934803490523</v>
      </c>
      <c r="L41" s="2">
        <v>-0.10789807672569429</v>
      </c>
      <c r="M41" s="2">
        <v>0.99999999999993705</v>
      </c>
      <c r="N41" s="55"/>
      <c r="O41" s="65"/>
      <c r="P41" s="68"/>
      <c r="Q41" s="49" t="str">
        <f t="shared" si="9"/>
        <v>Aandelen opkomend</v>
      </c>
      <c r="R41" s="68">
        <f t="shared" si="13"/>
        <v>3.4995832401426903E-2</v>
      </c>
      <c r="S41" s="50">
        <f t="shared" si="10"/>
        <v>0.20355369145037816</v>
      </c>
      <c r="T41" s="50">
        <f t="shared" si="11"/>
        <v>0.21698549361591862</v>
      </c>
      <c r="U41" s="50"/>
      <c r="V41" s="50"/>
      <c r="W41" s="50"/>
    </row>
    <row r="42" spans="1:24">
      <c r="A42" s="57" t="str">
        <f t="shared" si="12"/>
        <v>Commodities</v>
      </c>
      <c r="B42" s="113">
        <v>0.27637643886711849</v>
      </c>
      <c r="C42" s="114">
        <v>0.22093258042464356</v>
      </c>
      <c r="D42" s="115">
        <v>4.8141114425188959E-2</v>
      </c>
      <c r="E42" s="113">
        <v>0.23192893340347731</v>
      </c>
      <c r="F42" s="116">
        <v>0.51147974231407778</v>
      </c>
      <c r="G42" s="2">
        <v>1</v>
      </c>
      <c r="H42" s="2">
        <v>-0.36571811538906063</v>
      </c>
      <c r="I42" s="2">
        <v>-0.32405154436180433</v>
      </c>
      <c r="J42" s="2">
        <v>-0.28172858062679679</v>
      </c>
      <c r="K42" s="2">
        <v>-0.12166091079570511</v>
      </c>
      <c r="L42" s="2">
        <v>-0.1073851123021583</v>
      </c>
      <c r="M42" s="2">
        <v>0.99999999999993583</v>
      </c>
      <c r="N42" s="55"/>
      <c r="O42" s="65"/>
      <c r="P42" s="68"/>
      <c r="Q42" s="49" t="str">
        <f t="shared" si="9"/>
        <v>Commodities</v>
      </c>
      <c r="R42" s="68">
        <f t="shared" si="13"/>
        <v>4.8141114425188959E-2</v>
      </c>
      <c r="S42" s="50">
        <f t="shared" si="10"/>
        <v>0.22823532444192954</v>
      </c>
      <c r="T42" s="50">
        <f t="shared" si="11"/>
        <v>0.23510330344695929</v>
      </c>
      <c r="U42" s="50"/>
      <c r="V42" s="50"/>
      <c r="W42" s="50"/>
    </row>
    <row r="43" spans="1:24">
      <c r="A43" s="57" t="str">
        <f t="shared" si="12"/>
        <v>Hedge funds</v>
      </c>
      <c r="B43" s="113">
        <v>0.13639962612819073</v>
      </c>
      <c r="C43" s="114">
        <v>0.14051913529412968</v>
      </c>
      <c r="D43" s="115">
        <v>1.0931294419081469E-2</v>
      </c>
      <c r="E43" s="113">
        <v>9.3533763096053046E-2</v>
      </c>
      <c r="F43" s="116">
        <v>0.27366148911594801</v>
      </c>
      <c r="G43" s="2">
        <v>-2.752341537033616E-2</v>
      </c>
      <c r="H43" s="2">
        <v>6.2814605013804828E-2</v>
      </c>
      <c r="I43" s="2">
        <v>1</v>
      </c>
      <c r="J43" s="2">
        <v>-0.49644457046945761</v>
      </c>
      <c r="K43" s="2">
        <v>-0.17683733361834608</v>
      </c>
      <c r="L43" s="2">
        <v>-0.10265969879109872</v>
      </c>
      <c r="M43" s="2">
        <v>0.99999999999993727</v>
      </c>
      <c r="N43" s="55"/>
      <c r="O43" s="65"/>
      <c r="P43" s="68"/>
      <c r="Q43" s="49" t="str">
        <f t="shared" si="9"/>
        <v>Hedge funds</v>
      </c>
      <c r="R43" s="68">
        <f t="shared" si="13"/>
        <v>1.0931294419081469E-2</v>
      </c>
      <c r="S43" s="50">
        <f t="shared" si="10"/>
        <v>0.12546833170910926</v>
      </c>
      <c r="T43" s="50">
        <f t="shared" si="11"/>
        <v>0.13726186298775728</v>
      </c>
      <c r="V43" s="50"/>
      <c r="W43" s="50"/>
    </row>
    <row r="44" spans="1:24">
      <c r="A44" s="57" t="str">
        <f t="shared" si="12"/>
        <v>Onroerend goed</v>
      </c>
      <c r="B44" s="113">
        <v>3.6346492688403606E-2</v>
      </c>
      <c r="C44" s="114">
        <v>5.7269187711333845E-2</v>
      </c>
      <c r="D44" s="115">
        <v>1.0089966271349029E-3</v>
      </c>
      <c r="E44" s="113">
        <v>1.5576465297808401E-2</v>
      </c>
      <c r="F44" s="116">
        <v>6.8949258354875032E-2</v>
      </c>
      <c r="G44" s="2">
        <v>-2.6037021765884846E-2</v>
      </c>
      <c r="H44" s="2">
        <v>3.0564708523823519E-2</v>
      </c>
      <c r="I44" s="2">
        <v>6.0125083910448421E-2</v>
      </c>
      <c r="J44" s="2">
        <v>0.30015365903912411</v>
      </c>
      <c r="K44" s="2">
        <v>1</v>
      </c>
      <c r="L44" s="2">
        <v>-0.33632204576118496</v>
      </c>
      <c r="M44" s="2">
        <v>0.99999999999997025</v>
      </c>
      <c r="N44" s="55"/>
      <c r="O44" s="65"/>
      <c r="P44" s="68"/>
      <c r="Q44" s="49" t="str">
        <f t="shared" si="9"/>
        <v>Onroerend goed</v>
      </c>
      <c r="R44" s="68">
        <f t="shared" si="13"/>
        <v>1.0089966271349029E-3</v>
      </c>
      <c r="S44" s="50">
        <f t="shared" si="10"/>
        <v>3.5337496061268701E-2</v>
      </c>
      <c r="T44" s="50">
        <f t="shared" si="11"/>
        <v>3.2602765666471425E-2</v>
      </c>
      <c r="U44" s="50"/>
    </row>
    <row r="45" spans="1:24">
      <c r="A45" s="57">
        <f t="shared" si="12"/>
        <v>1</v>
      </c>
      <c r="B45" s="113"/>
      <c r="C45" s="114"/>
      <c r="D45" s="115"/>
      <c r="E45" s="113"/>
      <c r="F45" s="116"/>
      <c r="G45" s="2"/>
      <c r="H45" s="2"/>
      <c r="I45" s="2"/>
      <c r="J45" s="2"/>
      <c r="K45" s="2"/>
      <c r="L45" s="2"/>
      <c r="M45" s="2"/>
      <c r="N45" s="55"/>
      <c r="O45" s="65"/>
      <c r="P45" s="68"/>
      <c r="Q45" s="49"/>
      <c r="R45" s="68"/>
      <c r="S45" s="50"/>
      <c r="T45" s="50"/>
      <c r="U45" s="50"/>
    </row>
    <row r="46" spans="1:24">
      <c r="A46" s="57">
        <f t="shared" si="12"/>
        <v>2</v>
      </c>
      <c r="B46" s="113"/>
      <c r="C46" s="114"/>
      <c r="D46" s="115"/>
      <c r="E46" s="113"/>
      <c r="F46" s="116"/>
      <c r="G46" s="2"/>
      <c r="H46" s="2"/>
      <c r="I46" s="2"/>
      <c r="J46" s="2"/>
      <c r="K46" s="2"/>
      <c r="L46" s="2"/>
      <c r="M46" s="2"/>
      <c r="N46" s="55"/>
      <c r="O46" s="65"/>
      <c r="P46" s="68"/>
      <c r="Q46" s="49"/>
      <c r="R46" s="68"/>
      <c r="S46" s="50"/>
      <c r="T46" s="50"/>
      <c r="U46" s="50"/>
    </row>
    <row r="47" spans="1:24">
      <c r="A47" s="57">
        <f t="shared" si="12"/>
        <v>3</v>
      </c>
      <c r="B47" s="113"/>
      <c r="C47" s="114"/>
      <c r="D47" s="115"/>
      <c r="E47" s="113"/>
      <c r="F47" s="116"/>
      <c r="G47" s="2"/>
      <c r="H47" s="2"/>
      <c r="I47" s="2"/>
      <c r="J47" s="2"/>
      <c r="K47" s="2"/>
      <c r="L47" s="2"/>
      <c r="M47" s="2"/>
      <c r="N47" s="55"/>
      <c r="O47" s="65"/>
      <c r="P47" s="68"/>
      <c r="Q47" s="49"/>
      <c r="R47" s="68"/>
      <c r="S47" s="50"/>
      <c r="T47" s="50"/>
      <c r="U47" s="50"/>
    </row>
    <row r="48" spans="1:24">
      <c r="A48" s="57">
        <f t="shared" si="12"/>
        <v>4</v>
      </c>
      <c r="B48" s="113"/>
      <c r="C48" s="114"/>
      <c r="D48" s="115"/>
      <c r="E48" s="113"/>
      <c r="F48" s="116"/>
      <c r="G48" s="2"/>
      <c r="H48" s="2"/>
      <c r="I48" s="2"/>
      <c r="J48" s="2"/>
      <c r="K48" s="2"/>
      <c r="L48" s="2"/>
      <c r="M48" s="2"/>
      <c r="N48" s="55"/>
      <c r="O48" s="65"/>
      <c r="P48" s="68"/>
      <c r="Q48" s="49"/>
      <c r="R48" s="68"/>
      <c r="S48" s="50"/>
      <c r="T48" s="50"/>
      <c r="U48" s="50"/>
    </row>
    <row r="49" spans="1:27">
      <c r="A49" s="57">
        <f t="shared" si="12"/>
        <v>5</v>
      </c>
      <c r="B49" s="113"/>
      <c r="C49" s="114"/>
      <c r="D49" s="115"/>
      <c r="E49" s="113"/>
      <c r="F49" s="116"/>
      <c r="G49" s="2"/>
      <c r="H49" s="2"/>
      <c r="I49" s="2"/>
      <c r="J49" s="2"/>
      <c r="K49" s="2"/>
      <c r="L49" s="2"/>
      <c r="M49" s="2"/>
      <c r="N49" s="55"/>
      <c r="O49" s="65"/>
      <c r="P49" s="68"/>
      <c r="Q49" s="49"/>
      <c r="R49" s="68"/>
      <c r="S49" s="50"/>
      <c r="T49" s="50"/>
      <c r="U49" s="50"/>
      <c r="X49" s="49"/>
    </row>
    <row r="50" spans="1:27">
      <c r="A50" s="57">
        <f t="shared" si="12"/>
        <v>6</v>
      </c>
      <c r="B50" s="113"/>
      <c r="C50" s="114"/>
      <c r="D50" s="115"/>
      <c r="E50" s="113"/>
      <c r="F50" s="116"/>
      <c r="G50" s="2"/>
      <c r="H50" s="2"/>
      <c r="I50" s="2"/>
      <c r="J50" s="2"/>
      <c r="K50" s="2"/>
      <c r="L50" s="2"/>
      <c r="M50" s="2"/>
      <c r="N50" s="55"/>
      <c r="O50" s="65"/>
      <c r="P50" s="68"/>
      <c r="Q50" s="49"/>
      <c r="R50" s="68"/>
      <c r="S50" s="50"/>
      <c r="T50" s="50"/>
      <c r="U50" s="50"/>
      <c r="V50" s="50"/>
      <c r="W50" s="50"/>
    </row>
    <row r="51" spans="1:27">
      <c r="A51" s="58">
        <f t="shared" si="12"/>
        <v>7</v>
      </c>
      <c r="B51" s="117"/>
      <c r="C51" s="118"/>
      <c r="D51" s="119"/>
      <c r="E51" s="117"/>
      <c r="F51" s="120"/>
      <c r="G51" s="63"/>
      <c r="H51" s="63"/>
      <c r="I51" s="63"/>
      <c r="J51" s="63"/>
      <c r="K51" s="63"/>
      <c r="L51" s="63"/>
      <c r="M51" s="63"/>
      <c r="N51" s="64"/>
      <c r="O51" s="65"/>
      <c r="P51" s="68"/>
      <c r="Q51" s="49"/>
      <c r="R51" s="68"/>
      <c r="S51" s="50"/>
      <c r="T51" s="50"/>
      <c r="U51" s="50"/>
      <c r="V51" s="50"/>
      <c r="W51" s="50"/>
    </row>
    <row r="52" spans="1:27">
      <c r="A52" s="65"/>
      <c r="B52" s="113"/>
      <c r="C52" s="113"/>
      <c r="D52" s="113"/>
      <c r="E52" s="113"/>
      <c r="F52" s="113"/>
      <c r="G52" s="66"/>
      <c r="H52" s="66"/>
      <c r="I52" s="66"/>
      <c r="J52" s="66"/>
      <c r="K52" s="66"/>
      <c r="L52" s="66"/>
      <c r="M52" s="66"/>
      <c r="N52" s="66"/>
      <c r="O52" s="65"/>
      <c r="P52" s="68"/>
      <c r="Q52" s="68"/>
      <c r="R52" s="68"/>
      <c r="T52" s="50"/>
      <c r="U52" s="50"/>
      <c r="V52" s="50"/>
      <c r="W52" s="50"/>
    </row>
    <row r="53" spans="1:27">
      <c r="A53" s="47"/>
      <c r="D53" s="341" t="s">
        <v>64</v>
      </c>
      <c r="E53" s="342"/>
      <c r="F53" s="343"/>
      <c r="G53" s="341" t="s">
        <v>65</v>
      </c>
      <c r="H53" s="342"/>
      <c r="I53" s="342"/>
      <c r="J53" s="342"/>
      <c r="K53" s="342"/>
      <c r="L53" s="342"/>
      <c r="M53" s="342"/>
      <c r="N53" s="343"/>
      <c r="O53" s="65"/>
      <c r="W53" s="50"/>
    </row>
    <row r="54" spans="1:27">
      <c r="A54" s="237" t="str">
        <f>'Samenvatting mixen'!A57</f>
        <v>Base - muddle up</v>
      </c>
      <c r="B54" s="238" t="s">
        <v>67</v>
      </c>
      <c r="C54" s="239" t="s">
        <v>2</v>
      </c>
      <c r="D54" s="240">
        <v>0.25</v>
      </c>
      <c r="E54" s="241">
        <v>0.5</v>
      </c>
      <c r="F54" s="242">
        <v>0.75</v>
      </c>
      <c r="G54" s="243">
        <v>0.70293701729596636</v>
      </c>
      <c r="H54" s="243">
        <v>0.13419734540071859</v>
      </c>
      <c r="I54" s="243">
        <v>6.4194072873214436E-2</v>
      </c>
      <c r="J54" s="243">
        <v>3.9704771197183519E-2</v>
      </c>
      <c r="K54" s="243">
        <v>3.1066638599139051E-2</v>
      </c>
      <c r="L54" s="243">
        <v>2.790015463377804E-2</v>
      </c>
      <c r="M54" s="243">
        <v>0</v>
      </c>
      <c r="N54" s="243"/>
      <c r="O54" s="244"/>
      <c r="Q54" s="49" t="str">
        <f>A54</f>
        <v>Base - muddle up</v>
      </c>
      <c r="W54" s="50"/>
    </row>
    <row r="55" spans="1:27">
      <c r="A55" s="51" t="str">
        <f>IF(A38="","",A38)</f>
        <v>High Yield</v>
      </c>
      <c r="B55" s="113">
        <v>0.8426624116455218</v>
      </c>
      <c r="C55" s="114">
        <v>6.3324147794473082E-2</v>
      </c>
      <c r="D55" s="115">
        <v>0.77903077998543779</v>
      </c>
      <c r="E55" s="113">
        <v>0.84177303761947031</v>
      </c>
      <c r="F55" s="116">
        <v>0.90907049976319154</v>
      </c>
      <c r="G55" s="2">
        <v>1</v>
      </c>
      <c r="H55" s="2">
        <v>-0.53642092511936323</v>
      </c>
      <c r="I55" s="2">
        <v>-0.46508261984802884</v>
      </c>
      <c r="J55" s="2">
        <v>0.17946553079158231</v>
      </c>
      <c r="K55" s="2">
        <v>-1.3611996005549902E-2</v>
      </c>
      <c r="L55" s="2">
        <v>-1.6933156960880387E-2</v>
      </c>
      <c r="M55" s="2">
        <v>0.999999999999999</v>
      </c>
      <c r="N55" s="55"/>
      <c r="O55" s="65"/>
      <c r="Q55" s="49" t="str">
        <f t="shared" ref="Q55:Q61" si="14">A55</f>
        <v>High Yield</v>
      </c>
      <c r="R55" s="68">
        <f>D55</f>
        <v>0.77903077998543779</v>
      </c>
      <c r="S55" s="50">
        <f t="shared" ref="S55:S61" si="15">B55-D55</f>
        <v>6.3631631660084009E-2</v>
      </c>
      <c r="T55" s="50">
        <f t="shared" ref="T55:T61" si="16">F55-B55</f>
        <v>6.6408088117669739E-2</v>
      </c>
      <c r="W55" s="50"/>
    </row>
    <row r="56" spans="1:27">
      <c r="A56" s="57" t="str">
        <f t="shared" ref="A56:A68" si="17">IF(A39="","",A39)</f>
        <v>Emerging market debt</v>
      </c>
      <c r="B56" s="113">
        <v>1.7170774840830898E-2</v>
      </c>
      <c r="C56" s="114">
        <v>1.5938531667666397E-2</v>
      </c>
      <c r="D56" s="115">
        <v>2.3757739029686446E-3</v>
      </c>
      <c r="E56" s="113">
        <v>1.2803602609954008E-2</v>
      </c>
      <c r="F56" s="116">
        <v>3.190690018811565E-2</v>
      </c>
      <c r="G56" s="2">
        <v>-1.9646520401758183E-2</v>
      </c>
      <c r="H56" s="2">
        <v>6.7751462024155024E-2</v>
      </c>
      <c r="I56" s="2">
        <v>0.45995928432552369</v>
      </c>
      <c r="J56" s="2">
        <v>-0.58700781946003766</v>
      </c>
      <c r="K56" s="2">
        <v>-0.52427570316821925</v>
      </c>
      <c r="L56" s="2">
        <v>-0.8554775351241044</v>
      </c>
      <c r="M56" s="2">
        <v>0.99999999999999722</v>
      </c>
      <c r="N56" s="55"/>
      <c r="O56" s="65"/>
      <c r="Q56" s="49" t="str">
        <f t="shared" si="14"/>
        <v>Emerging market debt</v>
      </c>
      <c r="R56" s="68">
        <f t="shared" ref="R56:R61" si="18">D56</f>
        <v>2.3757739029686446E-3</v>
      </c>
      <c r="S56" s="50">
        <f t="shared" si="15"/>
        <v>1.4795000937862252E-2</v>
      </c>
      <c r="T56" s="50">
        <f t="shared" si="16"/>
        <v>1.4736125347284752E-2</v>
      </c>
    </row>
    <row r="57" spans="1:27">
      <c r="A57" s="57" t="str">
        <f t="shared" si="17"/>
        <v>Aandelen ontwikkeld</v>
      </c>
      <c r="B57" s="113">
        <v>1.5001204634617285E-2</v>
      </c>
      <c r="C57" s="114">
        <v>1.5919793587230887E-2</v>
      </c>
      <c r="D57" s="115">
        <v>1.2680842259049168E-3</v>
      </c>
      <c r="E57" s="113">
        <v>1.041223759679483E-2</v>
      </c>
      <c r="F57" s="116">
        <v>2.8650771758254409E-2</v>
      </c>
      <c r="G57" s="2">
        <v>-3.8587848126212299E-2</v>
      </c>
      <c r="H57" s="2">
        <v>0.10091263753848556</v>
      </c>
      <c r="I57" s="2">
        <v>0.23808722720339634</v>
      </c>
      <c r="J57" s="2">
        <v>-0.51876524133329793</v>
      </c>
      <c r="K57" s="2">
        <v>1</v>
      </c>
      <c r="L57" s="2">
        <v>-6.4697491077798097E-2</v>
      </c>
      <c r="M57" s="2">
        <v>0.99999999999999767</v>
      </c>
      <c r="N57" s="55"/>
      <c r="O57" s="65"/>
      <c r="Q57" s="49" t="str">
        <f t="shared" si="14"/>
        <v>Aandelen ontwikkeld</v>
      </c>
      <c r="R57" s="68">
        <f t="shared" si="18"/>
        <v>1.2680842259049168E-3</v>
      </c>
      <c r="S57" s="50">
        <f t="shared" si="15"/>
        <v>1.3733120408712367E-2</v>
      </c>
      <c r="T57" s="50">
        <f t="shared" si="16"/>
        <v>1.3649567123637124E-2</v>
      </c>
    </row>
    <row r="58" spans="1:27">
      <c r="A58" s="57" t="str">
        <f t="shared" si="17"/>
        <v>Aandelen opkomend</v>
      </c>
      <c r="B58" s="113">
        <v>6.0430280188752683E-2</v>
      </c>
      <c r="C58" s="114">
        <v>5.1420199719183143E-2</v>
      </c>
      <c r="D58" s="115">
        <v>1.0274814014260966E-2</v>
      </c>
      <c r="E58" s="113">
        <v>4.7909481405706007E-2</v>
      </c>
      <c r="F58" s="116">
        <v>0.11634803703391841</v>
      </c>
      <c r="G58" s="2">
        <v>-0.75052600976664174</v>
      </c>
      <c r="H58" s="2">
        <v>-0.90332896952940334</v>
      </c>
      <c r="I58" s="2">
        <v>-0.53489146614695282</v>
      </c>
      <c r="J58" s="2">
        <v>0.20953519553991864</v>
      </c>
      <c r="K58" s="2">
        <v>-3.1202740479308936E-2</v>
      </c>
      <c r="L58" s="2">
        <v>-2.3678713069217958E-2</v>
      </c>
      <c r="M58" s="2">
        <v>1</v>
      </c>
      <c r="N58" s="55"/>
      <c r="O58" s="65"/>
      <c r="Q58" s="49" t="str">
        <f t="shared" si="14"/>
        <v>Aandelen opkomend</v>
      </c>
      <c r="R58" s="68">
        <f t="shared" si="18"/>
        <v>1.0274814014260966E-2</v>
      </c>
      <c r="S58" s="50">
        <f t="shared" si="15"/>
        <v>5.0155466174491715E-2</v>
      </c>
      <c r="T58" s="50">
        <f t="shared" si="16"/>
        <v>5.5917756845165728E-2</v>
      </c>
    </row>
    <row r="59" spans="1:27">
      <c r="A59" s="57" t="str">
        <f t="shared" si="17"/>
        <v>Commodities</v>
      </c>
      <c r="B59" s="113">
        <v>1.3931585674244058E-2</v>
      </c>
      <c r="C59" s="114">
        <v>1.5447840976686561E-2</v>
      </c>
      <c r="D59" s="115">
        <v>9.0060427614049073E-4</v>
      </c>
      <c r="E59" s="113">
        <v>8.8696531592736844E-3</v>
      </c>
      <c r="F59" s="116">
        <v>2.7734076489779248E-2</v>
      </c>
      <c r="G59" s="2">
        <v>-2.7762218404775916E-2</v>
      </c>
      <c r="H59" s="2">
        <v>9.7014803328054636E-2</v>
      </c>
      <c r="I59" s="2">
        <v>0.29219803089016505</v>
      </c>
      <c r="J59" s="2">
        <v>-0.53912905842762593</v>
      </c>
      <c r="K59" s="2">
        <v>-0.39016091778317274</v>
      </c>
      <c r="L59" s="2">
        <v>1</v>
      </c>
      <c r="M59" s="2">
        <v>0.99999999999999889</v>
      </c>
      <c r="N59" s="55"/>
      <c r="O59" s="65"/>
      <c r="P59" s="68"/>
      <c r="Q59" s="49" t="str">
        <f t="shared" si="14"/>
        <v>Commodities</v>
      </c>
      <c r="R59" s="68">
        <f t="shared" si="18"/>
        <v>9.0060427614049073E-4</v>
      </c>
      <c r="S59" s="50">
        <f t="shared" si="15"/>
        <v>1.3030981398103568E-2</v>
      </c>
      <c r="T59" s="50">
        <f t="shared" si="16"/>
        <v>1.380249081553519E-2</v>
      </c>
    </row>
    <row r="60" spans="1:27">
      <c r="A60" s="57" t="str">
        <f t="shared" si="17"/>
        <v>Hedge funds</v>
      </c>
      <c r="B60" s="113">
        <v>3.143851901275474E-2</v>
      </c>
      <c r="C60" s="114">
        <v>2.8250382669501195E-2</v>
      </c>
      <c r="D60" s="115">
        <v>5.3160617417833669E-3</v>
      </c>
      <c r="E60" s="113">
        <v>2.278025542339969E-2</v>
      </c>
      <c r="F60" s="116">
        <v>5.9767588185810572E-2</v>
      </c>
      <c r="G60" s="2">
        <v>-0.12734249426438068</v>
      </c>
      <c r="H60" s="2">
        <v>1</v>
      </c>
      <c r="I60" s="2">
        <v>-0.99027045642410094</v>
      </c>
      <c r="J60" s="2">
        <v>0.25590139288945796</v>
      </c>
      <c r="K60" s="2">
        <v>-6.7724646006746797E-2</v>
      </c>
      <c r="L60" s="2">
        <v>-6.8012211586200633E-2</v>
      </c>
      <c r="M60" s="2">
        <v>0.99999999999999845</v>
      </c>
      <c r="N60" s="55"/>
      <c r="O60" s="65"/>
      <c r="P60" s="68"/>
      <c r="Q60" s="49" t="str">
        <f t="shared" si="14"/>
        <v>Hedge funds</v>
      </c>
      <c r="R60" s="68">
        <f t="shared" si="18"/>
        <v>5.3160617417833669E-3</v>
      </c>
      <c r="S60" s="50">
        <f t="shared" si="15"/>
        <v>2.6122457270971372E-2</v>
      </c>
      <c r="T60" s="50">
        <f t="shared" si="16"/>
        <v>2.8329069173055832E-2</v>
      </c>
    </row>
    <row r="61" spans="1:27">
      <c r="A61" s="57" t="str">
        <f t="shared" si="17"/>
        <v>Onroerend goed</v>
      </c>
      <c r="B61" s="113">
        <v>1.936522400327851E-2</v>
      </c>
      <c r="C61" s="114">
        <v>1.954668051102619E-2</v>
      </c>
      <c r="D61" s="115">
        <v>2.0305890202978552E-3</v>
      </c>
      <c r="E61" s="113">
        <v>1.3670248686928659E-2</v>
      </c>
      <c r="F61" s="116">
        <v>3.6448381275052982E-2</v>
      </c>
      <c r="G61" s="2">
        <v>-3.6134909036230664E-2</v>
      </c>
      <c r="H61" s="2">
        <v>0.17407099175807342</v>
      </c>
      <c r="I61" s="2">
        <v>1</v>
      </c>
      <c r="J61" s="2">
        <v>1</v>
      </c>
      <c r="K61" s="2">
        <v>2.6976003442997665E-2</v>
      </c>
      <c r="L61" s="2">
        <v>2.8799107818200022E-2</v>
      </c>
      <c r="M61" s="2">
        <v>0.99999999999999756</v>
      </c>
      <c r="N61" s="55"/>
      <c r="O61" s="65"/>
      <c r="P61" s="68"/>
      <c r="Q61" s="49" t="str">
        <f t="shared" si="14"/>
        <v>Onroerend goed</v>
      </c>
      <c r="R61" s="68">
        <f t="shared" si="18"/>
        <v>2.0305890202978552E-3</v>
      </c>
      <c r="S61" s="50">
        <f t="shared" si="15"/>
        <v>1.7334634982980653E-2</v>
      </c>
      <c r="T61" s="50">
        <f t="shared" si="16"/>
        <v>1.7083157271774473E-2</v>
      </c>
      <c r="V61" s="50"/>
      <c r="W61" s="50"/>
      <c r="Y61" s="127"/>
      <c r="Z61" s="127"/>
      <c r="AA61" s="127"/>
    </row>
    <row r="62" spans="1:27">
      <c r="A62" s="57">
        <f t="shared" si="17"/>
        <v>1</v>
      </c>
      <c r="B62" s="113"/>
      <c r="C62" s="114"/>
      <c r="D62" s="115"/>
      <c r="E62" s="113"/>
      <c r="F62" s="116"/>
      <c r="G62" s="2"/>
      <c r="H62" s="2"/>
      <c r="I62" s="2"/>
      <c r="J62" s="2"/>
      <c r="K62" s="2"/>
      <c r="L62" s="2"/>
      <c r="M62" s="2"/>
      <c r="N62" s="55"/>
      <c r="O62" s="65"/>
      <c r="P62" s="68"/>
      <c r="Q62" s="49"/>
      <c r="R62" s="68"/>
      <c r="S62" s="50"/>
      <c r="T62" s="50"/>
      <c r="U62" s="50"/>
      <c r="V62" s="50">
        <f t="shared" ref="V62:V68" si="19">O4</f>
        <v>0</v>
      </c>
      <c r="W62" s="50"/>
    </row>
    <row r="63" spans="1:27">
      <c r="A63" s="57">
        <f t="shared" si="17"/>
        <v>2</v>
      </c>
      <c r="B63" s="113"/>
      <c r="C63" s="114"/>
      <c r="D63" s="115"/>
      <c r="E63" s="113"/>
      <c r="F63" s="116"/>
      <c r="G63" s="2"/>
      <c r="H63" s="2"/>
      <c r="I63" s="2"/>
      <c r="J63" s="2"/>
      <c r="K63" s="2"/>
      <c r="L63" s="2"/>
      <c r="M63" s="2"/>
      <c r="N63" s="55"/>
      <c r="O63" s="65"/>
      <c r="P63" s="68"/>
      <c r="Q63" s="49"/>
      <c r="R63" s="68"/>
      <c r="S63" s="50"/>
      <c r="T63" s="50"/>
      <c r="U63" s="50"/>
      <c r="V63" s="50">
        <f t="shared" si="19"/>
        <v>0</v>
      </c>
      <c r="W63" s="50"/>
    </row>
    <row r="64" spans="1:27">
      <c r="A64" s="57">
        <f t="shared" si="17"/>
        <v>3</v>
      </c>
      <c r="B64" s="113"/>
      <c r="C64" s="114"/>
      <c r="D64" s="115"/>
      <c r="E64" s="113"/>
      <c r="F64" s="116"/>
      <c r="G64" s="2"/>
      <c r="H64" s="2"/>
      <c r="I64" s="2"/>
      <c r="J64" s="2"/>
      <c r="K64" s="2"/>
      <c r="L64" s="2"/>
      <c r="M64" s="2"/>
      <c r="N64" s="55"/>
      <c r="O64" s="65"/>
      <c r="P64" s="68"/>
      <c r="Q64" s="49"/>
      <c r="R64" s="68"/>
      <c r="S64" s="50"/>
      <c r="T64" s="50"/>
      <c r="U64" s="50"/>
      <c r="V64" s="50">
        <f t="shared" si="19"/>
        <v>0</v>
      </c>
    </row>
    <row r="65" spans="1:24">
      <c r="A65" s="57">
        <f t="shared" si="17"/>
        <v>4</v>
      </c>
      <c r="B65" s="113"/>
      <c r="C65" s="114"/>
      <c r="D65" s="115"/>
      <c r="E65" s="113"/>
      <c r="F65" s="116"/>
      <c r="G65" s="2"/>
      <c r="H65" s="2"/>
      <c r="I65" s="2"/>
      <c r="J65" s="2"/>
      <c r="K65" s="2"/>
      <c r="L65" s="2"/>
      <c r="M65" s="2"/>
      <c r="N65" s="55"/>
      <c r="O65" s="65"/>
      <c r="P65" s="68"/>
      <c r="Q65" s="49"/>
      <c r="R65" s="68"/>
      <c r="S65" s="50"/>
      <c r="T65" s="50"/>
      <c r="U65" s="50"/>
      <c r="V65" s="50">
        <f t="shared" si="19"/>
        <v>0</v>
      </c>
    </row>
    <row r="66" spans="1:24">
      <c r="A66" s="57">
        <f t="shared" si="17"/>
        <v>5</v>
      </c>
      <c r="B66" s="113"/>
      <c r="C66" s="114"/>
      <c r="D66" s="115"/>
      <c r="E66" s="113"/>
      <c r="F66" s="116"/>
      <c r="G66" s="2"/>
      <c r="H66" s="2"/>
      <c r="I66" s="2"/>
      <c r="J66" s="2"/>
      <c r="K66" s="2"/>
      <c r="L66" s="2"/>
      <c r="M66" s="2"/>
      <c r="N66" s="55"/>
      <c r="O66" s="65"/>
      <c r="P66" s="68"/>
      <c r="Q66" s="49"/>
      <c r="R66" s="68"/>
      <c r="S66" s="50"/>
      <c r="T66" s="50"/>
      <c r="U66" s="50"/>
      <c r="V66" s="50">
        <f t="shared" si="19"/>
        <v>0</v>
      </c>
    </row>
    <row r="67" spans="1:24">
      <c r="A67" s="57">
        <f t="shared" si="17"/>
        <v>6</v>
      </c>
      <c r="B67" s="113"/>
      <c r="C67" s="114"/>
      <c r="D67" s="115"/>
      <c r="E67" s="113"/>
      <c r="F67" s="116"/>
      <c r="G67" s="2"/>
      <c r="H67" s="2"/>
      <c r="I67" s="2"/>
      <c r="J67" s="2"/>
      <c r="K67" s="2"/>
      <c r="L67" s="2"/>
      <c r="M67" s="2"/>
      <c r="N67" s="55"/>
      <c r="O67" s="65"/>
      <c r="P67" s="68"/>
      <c r="Q67" s="49"/>
      <c r="R67" s="68"/>
      <c r="S67" s="50"/>
      <c r="T67" s="50"/>
      <c r="U67" s="50"/>
      <c r="V67" s="50">
        <f t="shared" si="19"/>
        <v>0</v>
      </c>
    </row>
    <row r="68" spans="1:24">
      <c r="A68" s="58">
        <f t="shared" si="17"/>
        <v>7</v>
      </c>
      <c r="B68" s="117"/>
      <c r="C68" s="118"/>
      <c r="D68" s="119"/>
      <c r="E68" s="117"/>
      <c r="F68" s="120"/>
      <c r="G68" s="63"/>
      <c r="H68" s="63"/>
      <c r="I68" s="63"/>
      <c r="J68" s="63"/>
      <c r="K68" s="63"/>
      <c r="L68" s="63"/>
      <c r="M68" s="63"/>
      <c r="N68" s="64"/>
      <c r="O68" s="65"/>
      <c r="P68" s="68"/>
      <c r="Q68" s="49"/>
      <c r="R68" s="68"/>
      <c r="S68" s="50"/>
      <c r="T68" s="50"/>
      <c r="U68" s="50"/>
      <c r="V68" s="50">
        <f t="shared" si="19"/>
        <v>0</v>
      </c>
    </row>
    <row r="69" spans="1:24">
      <c r="A69" s="65"/>
      <c r="B69" s="113"/>
      <c r="C69" s="113"/>
      <c r="D69" s="113"/>
      <c r="E69" s="113"/>
      <c r="F69" s="113"/>
      <c r="G69" s="2"/>
      <c r="H69" s="2"/>
      <c r="I69" s="2"/>
      <c r="J69" s="2"/>
      <c r="K69" s="2"/>
      <c r="L69" s="2"/>
      <c r="M69" s="2"/>
      <c r="N69" s="2"/>
      <c r="O69" s="65"/>
      <c r="P69" s="68"/>
      <c r="Q69" s="68"/>
      <c r="R69" s="68"/>
      <c r="T69" s="50"/>
      <c r="X69" s="49"/>
    </row>
    <row r="70" spans="1:24">
      <c r="A70" s="65"/>
      <c r="B70" s="113"/>
      <c r="C70" s="113"/>
      <c r="D70" s="113"/>
      <c r="E70" s="113"/>
      <c r="F70" s="113"/>
      <c r="G70" s="2"/>
      <c r="H70" s="2"/>
      <c r="I70" s="2"/>
      <c r="J70" s="2"/>
      <c r="K70" s="2"/>
      <c r="L70" s="2"/>
      <c r="M70" s="2"/>
      <c r="N70" s="66"/>
      <c r="O70" s="65"/>
      <c r="P70" s="68"/>
      <c r="Q70" s="68"/>
      <c r="R70" s="68"/>
      <c r="T70" s="50"/>
      <c r="U70" s="50"/>
      <c r="V70" s="50"/>
      <c r="W70" s="50"/>
    </row>
    <row r="71" spans="1:24">
      <c r="A71" s="47"/>
      <c r="D71" s="341" t="s">
        <v>64</v>
      </c>
      <c r="E71" s="342"/>
      <c r="F71" s="343"/>
      <c r="G71" s="341" t="s">
        <v>65</v>
      </c>
      <c r="H71" s="342"/>
      <c r="I71" s="342"/>
      <c r="J71" s="342"/>
      <c r="K71" s="342"/>
      <c r="L71" s="342"/>
      <c r="M71" s="342"/>
      <c r="N71" s="343"/>
      <c r="O71" s="65"/>
      <c r="P71" s="68"/>
      <c r="U71" s="50"/>
      <c r="V71" s="50"/>
      <c r="W71" s="50"/>
    </row>
    <row r="72" spans="1:24">
      <c r="A72" s="237" t="str">
        <f>'Samenvatting mixen'!A75</f>
        <v>Bear case</v>
      </c>
      <c r="B72" s="238" t="s">
        <v>67</v>
      </c>
      <c r="C72" s="239" t="s">
        <v>2</v>
      </c>
      <c r="D72" s="240">
        <v>0.25</v>
      </c>
      <c r="E72" s="241">
        <v>0.5</v>
      </c>
      <c r="F72" s="242">
        <v>0.75</v>
      </c>
      <c r="G72" s="243">
        <v>0.33072216630115148</v>
      </c>
      <c r="H72" s="243">
        <v>0.18340495006939472</v>
      </c>
      <c r="I72" s="243">
        <v>0.16359249339854742</v>
      </c>
      <c r="J72" s="243">
        <v>0.14430827782756062</v>
      </c>
      <c r="K72" s="243">
        <v>9.9234286705659258E-2</v>
      </c>
      <c r="L72" s="243">
        <v>7.8737825697688058E-2</v>
      </c>
      <c r="M72" s="243">
        <v>0</v>
      </c>
      <c r="N72" s="243"/>
      <c r="O72" s="244"/>
      <c r="Q72" s="49" t="str">
        <f t="shared" ref="Q72:Q79" si="20">A72</f>
        <v>Bear case</v>
      </c>
      <c r="U72" s="50"/>
      <c r="V72" s="50"/>
      <c r="W72" s="50"/>
    </row>
    <row r="73" spans="1:24">
      <c r="A73" s="51" t="str">
        <f>IF(A55="","",A55)</f>
        <v>High Yield</v>
      </c>
      <c r="B73" s="113">
        <v>0.13396309370659504</v>
      </c>
      <c r="C73" s="114">
        <v>0.19489025505028396</v>
      </c>
      <c r="D73" s="115">
        <v>5.5960805758461499E-4</v>
      </c>
      <c r="E73" s="113">
        <v>4.0476531971334731E-2</v>
      </c>
      <c r="F73" s="116">
        <v>0.33033637439890412</v>
      </c>
      <c r="G73" s="2">
        <v>-0.1491892232340164</v>
      </c>
      <c r="H73" s="2">
        <v>-0.20080067491640044</v>
      </c>
      <c r="I73" s="2">
        <v>1</v>
      </c>
      <c r="J73" s="2">
        <v>-0.33485543048479266</v>
      </c>
      <c r="K73" s="2">
        <v>-0.220838425765296</v>
      </c>
      <c r="L73" s="2">
        <v>-0.15899793177338375</v>
      </c>
      <c r="M73" s="2">
        <v>0.99999999999624833</v>
      </c>
      <c r="N73" s="55"/>
      <c r="O73" s="65"/>
      <c r="Q73" s="49" t="str">
        <f t="shared" si="20"/>
        <v>High Yield</v>
      </c>
      <c r="R73" s="68">
        <f t="shared" ref="R73:R79" si="21">D73</f>
        <v>5.5960805758461499E-4</v>
      </c>
      <c r="S73" s="50">
        <f t="shared" ref="S73:S79" si="22">B73-D73</f>
        <v>0.13340348564901042</v>
      </c>
      <c r="T73" s="50">
        <f t="shared" ref="T73:T79" si="23">F73-B73</f>
        <v>0.19637328069230908</v>
      </c>
      <c r="W73" s="50"/>
    </row>
    <row r="74" spans="1:24">
      <c r="A74" s="57" t="str">
        <f t="shared" ref="A74:A86" si="24">IF(A56="","",A56)</f>
        <v>Emerging market debt</v>
      </c>
      <c r="B74" s="113">
        <v>0.15976790900490428</v>
      </c>
      <c r="C74" s="114">
        <v>0.20922672400479625</v>
      </c>
      <c r="D74" s="115">
        <v>1.4541947185270439E-3</v>
      </c>
      <c r="E74" s="113">
        <v>6.548001905865844E-2</v>
      </c>
      <c r="F74" s="116">
        <v>0.3810638895979227</v>
      </c>
      <c r="G74" s="2">
        <v>-0.29390595235228645</v>
      </c>
      <c r="H74" s="2">
        <v>1</v>
      </c>
      <c r="I74" s="2">
        <v>-0.2632453305827247</v>
      </c>
      <c r="J74" s="2">
        <v>-0.26635440442032648</v>
      </c>
      <c r="K74" s="2">
        <v>-0.21163177067761182</v>
      </c>
      <c r="L74" s="2">
        <v>-0.18202246279881901</v>
      </c>
      <c r="M74" s="2">
        <v>0.99999999999584077</v>
      </c>
      <c r="N74" s="55"/>
      <c r="O74" s="65"/>
      <c r="Q74" s="49" t="str">
        <f t="shared" si="20"/>
        <v>Emerging market debt</v>
      </c>
      <c r="R74" s="68">
        <f t="shared" si="21"/>
        <v>1.4541947185270439E-3</v>
      </c>
      <c r="S74" s="50">
        <f t="shared" si="22"/>
        <v>0.15831371428637725</v>
      </c>
      <c r="T74" s="50">
        <f t="shared" si="23"/>
        <v>0.22129598059301842</v>
      </c>
      <c r="W74" s="50"/>
    </row>
    <row r="75" spans="1:24">
      <c r="A75" s="57" t="str">
        <f t="shared" si="24"/>
        <v>Aandelen ontwikkeld</v>
      </c>
      <c r="B75" s="113">
        <v>9.1643720491987796E-2</v>
      </c>
      <c r="C75" s="114">
        <v>0.15387379264744819</v>
      </c>
      <c r="D75" s="115">
        <v>1.5488172897141941E-4</v>
      </c>
      <c r="E75" s="113">
        <v>1.5963634208927675E-2</v>
      </c>
      <c r="F75" s="116">
        <v>0.2183126354204285</v>
      </c>
      <c r="G75" s="2">
        <v>-0.10932918847002179</v>
      </c>
      <c r="H75" s="2">
        <v>-0.12529624489305374</v>
      </c>
      <c r="I75" s="2">
        <v>-7.6485320397197118E-2</v>
      </c>
      <c r="J75" s="2">
        <v>4.3997315372711718E-2</v>
      </c>
      <c r="K75" s="2">
        <v>1</v>
      </c>
      <c r="L75" s="2">
        <v>-0.37541313585057712</v>
      </c>
      <c r="M75" s="2">
        <v>0.99999999999661737</v>
      </c>
      <c r="N75" s="55"/>
      <c r="O75" s="65"/>
      <c r="Q75" s="49" t="str">
        <f t="shared" si="20"/>
        <v>Aandelen ontwikkeld</v>
      </c>
      <c r="R75" s="68">
        <f t="shared" si="21"/>
        <v>1.5488172897141941E-4</v>
      </c>
      <c r="S75" s="50">
        <f t="shared" si="22"/>
        <v>9.1488838763016375E-2</v>
      </c>
      <c r="T75" s="50">
        <f t="shared" si="23"/>
        <v>0.12666891492844071</v>
      </c>
      <c r="W75" s="50"/>
    </row>
    <row r="76" spans="1:24">
      <c r="A76" s="57" t="str">
        <f t="shared" si="24"/>
        <v>Aandelen opkomend</v>
      </c>
      <c r="B76" s="113">
        <v>0.13038155824052852</v>
      </c>
      <c r="C76" s="114">
        <v>0.19811152716596536</v>
      </c>
      <c r="D76" s="115">
        <v>2.3181304689240333E-4</v>
      </c>
      <c r="E76" s="113">
        <v>3.157261590604557E-2</v>
      </c>
      <c r="F76" s="116">
        <v>0.29541901037062773</v>
      </c>
      <c r="G76" s="2">
        <v>-0.19803736789728998</v>
      </c>
      <c r="H76" s="2">
        <v>-0.7246857947212505</v>
      </c>
      <c r="I76" s="2">
        <v>-0.63609932613195175</v>
      </c>
      <c r="J76" s="2">
        <v>-0.39010345675505653</v>
      </c>
      <c r="K76" s="2">
        <v>-0.37488996490907811</v>
      </c>
      <c r="L76" s="2">
        <v>-0.10141138367638713</v>
      </c>
      <c r="M76" s="2">
        <v>0.99999999999634859</v>
      </c>
      <c r="N76" s="55"/>
      <c r="O76" s="65"/>
      <c r="Q76" s="49" t="str">
        <f t="shared" si="20"/>
        <v>Aandelen opkomend</v>
      </c>
      <c r="R76" s="68">
        <f t="shared" si="21"/>
        <v>2.3181304689240333E-4</v>
      </c>
      <c r="S76" s="50">
        <f t="shared" si="22"/>
        <v>0.13014974519363612</v>
      </c>
      <c r="T76" s="50">
        <f t="shared" si="23"/>
        <v>0.16503745213009921</v>
      </c>
    </row>
    <row r="77" spans="1:24">
      <c r="A77" s="57" t="str">
        <f t="shared" si="24"/>
        <v>Commodities</v>
      </c>
      <c r="B77" s="113">
        <v>7.9147411546874533E-2</v>
      </c>
      <c r="C77" s="114">
        <v>0.13791561524058818</v>
      </c>
      <c r="D77" s="115">
        <v>7.3483736182134175E-5</v>
      </c>
      <c r="E77" s="113">
        <v>1.6550422049859619E-2</v>
      </c>
      <c r="F77" s="116">
        <v>0.18196027501030537</v>
      </c>
      <c r="G77" s="2">
        <v>-6.2925226314328328E-2</v>
      </c>
      <c r="H77" s="2">
        <v>3.1513161276038933E-2</v>
      </c>
      <c r="I77" s="2">
        <v>1.4271476309311871E-2</v>
      </c>
      <c r="J77" s="2">
        <v>-3.6326382162459966E-2</v>
      </c>
      <c r="K77" s="2">
        <v>0.22587920926901461</v>
      </c>
      <c r="L77" s="2">
        <v>1</v>
      </c>
      <c r="M77" s="2">
        <v>1</v>
      </c>
      <c r="N77" s="55"/>
      <c r="O77" s="65"/>
      <c r="Q77" s="49" t="str">
        <f t="shared" si="20"/>
        <v>Commodities</v>
      </c>
      <c r="R77" s="68">
        <f t="shared" si="21"/>
        <v>7.3483736182134175E-5</v>
      </c>
      <c r="S77" s="50">
        <f t="shared" si="22"/>
        <v>7.9073927810692404E-2</v>
      </c>
      <c r="T77" s="50">
        <f t="shared" si="23"/>
        <v>0.10281286346343084</v>
      </c>
    </row>
    <row r="78" spans="1:24">
      <c r="A78" s="57" t="str">
        <f t="shared" si="24"/>
        <v>Hedge funds</v>
      </c>
      <c r="B78" s="113">
        <v>0.28391288727009667</v>
      </c>
      <c r="C78" s="114">
        <v>0.27673784982512439</v>
      </c>
      <c r="D78" s="115">
        <v>7.5702200424828097E-3</v>
      </c>
      <c r="E78" s="113">
        <v>0.19026048589104794</v>
      </c>
      <c r="F78" s="116">
        <v>0.61466044725107793</v>
      </c>
      <c r="G78" s="2">
        <v>1</v>
      </c>
      <c r="H78" s="2">
        <v>9.465105331391109E-2</v>
      </c>
      <c r="I78" s="2">
        <v>-5.7971139224534889E-2</v>
      </c>
      <c r="J78" s="2">
        <v>-1.6357641550195114E-2</v>
      </c>
      <c r="K78" s="2">
        <v>-0.10445460446955565</v>
      </c>
      <c r="L78" s="2">
        <v>-9.2205634593928054E-2</v>
      </c>
      <c r="M78" s="2">
        <v>0.99999999999590472</v>
      </c>
      <c r="N78" s="55"/>
      <c r="O78" s="65"/>
      <c r="P78" s="68"/>
      <c r="Q78" s="49" t="str">
        <f t="shared" si="20"/>
        <v>Hedge funds</v>
      </c>
      <c r="R78" s="68">
        <f t="shared" si="21"/>
        <v>7.5702200424828097E-3</v>
      </c>
      <c r="S78" s="50">
        <f t="shared" si="22"/>
        <v>0.27634266722761386</v>
      </c>
      <c r="T78" s="50">
        <f t="shared" si="23"/>
        <v>0.33074755998098126</v>
      </c>
    </row>
    <row r="79" spans="1:24">
      <c r="A79" s="57" t="str">
        <f t="shared" si="24"/>
        <v>Onroerend goed</v>
      </c>
      <c r="B79" s="117">
        <v>0.12118341973849027</v>
      </c>
      <c r="C79" s="118">
        <v>0.18581044093807356</v>
      </c>
      <c r="D79" s="119">
        <v>3.1333733405562643E-4</v>
      </c>
      <c r="E79" s="117">
        <v>3.4353574217261457E-2</v>
      </c>
      <c r="F79" s="120">
        <v>0.24695535623727582</v>
      </c>
      <c r="G79" s="63">
        <v>-0.18661304173150653</v>
      </c>
      <c r="H79" s="63">
        <v>-7.5381500058792239E-2</v>
      </c>
      <c r="I79" s="63">
        <v>1.9529640027004497E-2</v>
      </c>
      <c r="J79" s="63">
        <v>1</v>
      </c>
      <c r="K79" s="63">
        <v>-0.31406444344872203</v>
      </c>
      <c r="L79" s="63">
        <v>-8.9949451310599726E-2</v>
      </c>
      <c r="M79" s="63">
        <v>0.99999999999641143</v>
      </c>
      <c r="N79" s="64"/>
      <c r="O79" s="65"/>
      <c r="P79" s="68"/>
      <c r="Q79" s="49" t="str">
        <f t="shared" si="20"/>
        <v>Onroerend goed</v>
      </c>
      <c r="R79" s="68">
        <f t="shared" si="21"/>
        <v>3.1333733405562643E-4</v>
      </c>
      <c r="S79" s="50">
        <f t="shared" si="22"/>
        <v>0.12087008240443464</v>
      </c>
      <c r="T79" s="50">
        <f t="shared" si="23"/>
        <v>0.12577193649878554</v>
      </c>
    </row>
    <row r="80" spans="1:24">
      <c r="A80" s="57">
        <f t="shared" si="24"/>
        <v>1</v>
      </c>
      <c r="B80" s="113"/>
      <c r="C80" s="114"/>
      <c r="D80" s="115"/>
      <c r="E80" s="113"/>
      <c r="F80" s="116"/>
      <c r="G80" s="2"/>
      <c r="H80" s="2"/>
      <c r="I80" s="2"/>
      <c r="J80" s="2"/>
      <c r="K80" s="2"/>
      <c r="L80" s="2"/>
      <c r="M80" s="2"/>
      <c r="N80" s="55"/>
      <c r="O80" s="65"/>
      <c r="P80" s="68"/>
      <c r="Q80" s="68"/>
      <c r="R80" s="68"/>
      <c r="T80" s="50"/>
    </row>
    <row r="81" spans="1:27">
      <c r="A81" s="57">
        <f t="shared" si="24"/>
        <v>2</v>
      </c>
      <c r="B81" s="113"/>
      <c r="C81" s="114"/>
      <c r="D81" s="115"/>
      <c r="E81" s="113"/>
      <c r="F81" s="116"/>
      <c r="G81" s="2"/>
      <c r="H81" s="2"/>
      <c r="I81" s="2"/>
      <c r="J81" s="2"/>
      <c r="K81" s="2"/>
      <c r="L81" s="2"/>
      <c r="M81" s="2"/>
      <c r="N81" s="55"/>
      <c r="O81" s="65"/>
      <c r="P81" s="68"/>
      <c r="U81" s="50"/>
      <c r="V81" s="50"/>
    </row>
    <row r="82" spans="1:27">
      <c r="A82" s="57">
        <f t="shared" si="24"/>
        <v>3</v>
      </c>
      <c r="B82" s="113"/>
      <c r="C82" s="114"/>
      <c r="D82" s="115"/>
      <c r="E82" s="113"/>
      <c r="F82" s="116"/>
      <c r="G82" s="2"/>
      <c r="H82" s="2"/>
      <c r="I82" s="2"/>
      <c r="J82" s="2"/>
      <c r="K82" s="2"/>
      <c r="L82" s="2"/>
      <c r="M82" s="2"/>
      <c r="N82" s="55"/>
      <c r="O82" s="65"/>
      <c r="P82" s="68"/>
      <c r="U82" s="50"/>
      <c r="V82" s="50"/>
    </row>
    <row r="83" spans="1:27">
      <c r="A83" s="57">
        <f t="shared" si="24"/>
        <v>4</v>
      </c>
      <c r="B83" s="113"/>
      <c r="C83" s="114"/>
      <c r="D83" s="115"/>
      <c r="E83" s="113"/>
      <c r="F83" s="116"/>
      <c r="G83" s="2"/>
      <c r="H83" s="2"/>
      <c r="I83" s="2"/>
      <c r="J83" s="2"/>
      <c r="K83" s="2"/>
      <c r="L83" s="2"/>
      <c r="M83" s="2"/>
      <c r="N83" s="55"/>
      <c r="O83" s="65"/>
      <c r="P83" s="68"/>
      <c r="U83" s="50"/>
      <c r="V83" s="50"/>
    </row>
    <row r="84" spans="1:27">
      <c r="A84" s="57">
        <f t="shared" si="24"/>
        <v>5</v>
      </c>
      <c r="B84" s="113"/>
      <c r="C84" s="114"/>
      <c r="D84" s="115"/>
      <c r="E84" s="113"/>
      <c r="F84" s="116"/>
      <c r="G84" s="2"/>
      <c r="H84" s="2"/>
      <c r="I84" s="2"/>
      <c r="J84" s="2"/>
      <c r="K84" s="2"/>
      <c r="L84" s="2"/>
      <c r="M84" s="2"/>
      <c r="N84" s="55"/>
      <c r="O84" s="65"/>
      <c r="U84" s="50"/>
      <c r="V84" s="50"/>
    </row>
    <row r="85" spans="1:27">
      <c r="A85" s="57">
        <f t="shared" si="24"/>
        <v>6</v>
      </c>
      <c r="B85" s="113"/>
      <c r="C85" s="114"/>
      <c r="D85" s="115"/>
      <c r="E85" s="113"/>
      <c r="F85" s="116"/>
      <c r="G85" s="2"/>
      <c r="H85" s="2"/>
      <c r="I85" s="2"/>
      <c r="J85" s="2"/>
      <c r="K85" s="2"/>
      <c r="L85" s="2"/>
      <c r="M85" s="2"/>
      <c r="N85" s="55"/>
      <c r="O85" s="65"/>
      <c r="U85" s="50"/>
      <c r="V85" s="50"/>
    </row>
    <row r="86" spans="1:27">
      <c r="A86" s="58">
        <f t="shared" si="24"/>
        <v>7</v>
      </c>
      <c r="B86" s="117"/>
      <c r="C86" s="118"/>
      <c r="D86" s="119"/>
      <c r="E86" s="117"/>
      <c r="F86" s="120"/>
      <c r="G86" s="63"/>
      <c r="H86" s="63"/>
      <c r="I86" s="63"/>
      <c r="J86" s="63"/>
      <c r="K86" s="63"/>
      <c r="L86" s="63"/>
      <c r="M86" s="63"/>
      <c r="N86" s="64"/>
      <c r="O86" s="65"/>
      <c r="U86" s="50"/>
      <c r="V86" s="50"/>
    </row>
    <row r="87" spans="1:27">
      <c r="A87" s="65"/>
      <c r="B87" s="113"/>
      <c r="C87" s="113"/>
      <c r="D87" s="113"/>
      <c r="E87" s="113"/>
      <c r="F87" s="113"/>
      <c r="G87" s="66"/>
      <c r="H87" s="66"/>
      <c r="I87" s="66"/>
      <c r="J87" s="66"/>
      <c r="K87" s="66"/>
      <c r="L87" s="66"/>
      <c r="M87" s="66"/>
      <c r="N87" s="66"/>
      <c r="O87" s="65"/>
      <c r="U87" s="50"/>
      <c r="V87" s="50"/>
    </row>
    <row r="88" spans="1:27">
      <c r="A88" s="47"/>
      <c r="D88" s="341" t="s">
        <v>64</v>
      </c>
      <c r="E88" s="342"/>
      <c r="F88" s="343"/>
      <c r="G88" s="341" t="s">
        <v>65</v>
      </c>
      <c r="H88" s="342"/>
      <c r="I88" s="342"/>
      <c r="J88" s="342"/>
      <c r="K88" s="342"/>
      <c r="L88" s="342"/>
      <c r="M88" s="342"/>
      <c r="N88" s="343"/>
      <c r="O88" s="65"/>
      <c r="U88" s="50"/>
      <c r="V88" s="50"/>
      <c r="W88" s="50"/>
      <c r="Y88" s="127"/>
      <c r="Z88" s="127"/>
      <c r="AA88" s="127"/>
    </row>
    <row r="89" spans="1:27">
      <c r="A89" s="237" t="str">
        <f>'Samenvatting mixen'!A93</f>
        <v>Tail risk</v>
      </c>
      <c r="B89" s="238" t="s">
        <v>67</v>
      </c>
      <c r="C89" s="239" t="s">
        <v>2</v>
      </c>
      <c r="D89" s="240">
        <v>0.25</v>
      </c>
      <c r="E89" s="241">
        <v>0.5</v>
      </c>
      <c r="F89" s="242">
        <v>0.75</v>
      </c>
      <c r="G89" s="243">
        <v>0.59967526210091626</v>
      </c>
      <c r="H89" s="243">
        <v>0.16105465068388369</v>
      </c>
      <c r="I89" s="243">
        <v>9.4014259096458774E-2</v>
      </c>
      <c r="J89" s="243">
        <v>6.3287705207192957E-2</v>
      </c>
      <c r="K89" s="243">
        <v>4.9193959860148961E-2</v>
      </c>
      <c r="L89" s="243">
        <v>3.2774163051398464E-2</v>
      </c>
      <c r="M89" s="243">
        <v>-2.2204460492503131E-16</v>
      </c>
      <c r="N89" s="243"/>
      <c r="O89" s="244"/>
      <c r="P89" s="68"/>
      <c r="Q89" s="49" t="str">
        <f t="shared" ref="Q89:Q96" si="25">A89</f>
        <v>Tail risk</v>
      </c>
      <c r="U89" s="50"/>
      <c r="V89" s="50"/>
      <c r="W89" s="50"/>
      <c r="Y89" s="127"/>
      <c r="Z89" s="127"/>
      <c r="AA89" s="127"/>
    </row>
    <row r="90" spans="1:27">
      <c r="A90" s="51" t="str">
        <f>IF(A73="","",A73)</f>
        <v>High Yield</v>
      </c>
      <c r="B90" s="113">
        <v>5.1887710784206172E-3</v>
      </c>
      <c r="C90" s="114">
        <v>9.0495182178541803E-3</v>
      </c>
      <c r="D90" s="115">
        <v>4.6159836022729199E-6</v>
      </c>
      <c r="E90" s="113">
        <v>8.4819343771919619E-4</v>
      </c>
      <c r="F90" s="116">
        <v>1.1909076232852967E-2</v>
      </c>
      <c r="G90" s="2">
        <v>-0.12357151540445833</v>
      </c>
      <c r="H90" s="2">
        <v>-0.83575560225395151</v>
      </c>
      <c r="I90" s="2">
        <v>-0.90425790501214509</v>
      </c>
      <c r="J90" s="2">
        <v>-0.33573067683235935</v>
      </c>
      <c r="K90" s="2">
        <v>-0.16341952162926437</v>
      </c>
      <c r="L90" s="2">
        <v>-0.16225559442128132</v>
      </c>
      <c r="M90" s="2">
        <v>0.99999999999999922</v>
      </c>
      <c r="N90" s="55"/>
      <c r="O90" s="65"/>
      <c r="P90" s="68"/>
      <c r="Q90" s="49" t="str">
        <f t="shared" si="25"/>
        <v>High Yield</v>
      </c>
      <c r="R90" s="68">
        <f t="shared" ref="R90:R96" si="26">D90</f>
        <v>4.6159836022729199E-6</v>
      </c>
      <c r="S90" s="50">
        <f t="shared" ref="S90:S96" si="27">B90-D90</f>
        <v>5.1841550948183443E-3</v>
      </c>
      <c r="T90" s="50">
        <f t="shared" ref="T90:T96" si="28">F90-B90</f>
        <v>6.7203051544323499E-3</v>
      </c>
      <c r="U90" s="50"/>
      <c r="V90" s="50"/>
      <c r="W90" s="50"/>
      <c r="Y90" s="127"/>
      <c r="Z90" s="127"/>
      <c r="AA90" s="127"/>
    </row>
    <row r="91" spans="1:27">
      <c r="A91" s="57" t="str">
        <f t="shared" ref="A91:A103" si="29">IF(A74="","",A74)</f>
        <v>Emerging market debt</v>
      </c>
      <c r="B91" s="113">
        <v>9.4768302135608516E-3</v>
      </c>
      <c r="C91" s="114">
        <v>1.4859202940136904E-2</v>
      </c>
      <c r="D91" s="115">
        <v>2.2768861518397508E-5</v>
      </c>
      <c r="E91" s="113">
        <v>2.5736803532111674E-3</v>
      </c>
      <c r="F91" s="116">
        <v>2.0912017089591443E-2</v>
      </c>
      <c r="G91" s="2">
        <v>-0.71049989530070456</v>
      </c>
      <c r="H91" s="2">
        <v>1</v>
      </c>
      <c r="I91" s="2">
        <v>-0.24799109622884657</v>
      </c>
      <c r="J91" s="2">
        <v>-0.14789598225491205</v>
      </c>
      <c r="K91" s="2">
        <v>-0.14767796902739644</v>
      </c>
      <c r="L91" s="2">
        <v>-0.11429616357266111</v>
      </c>
      <c r="M91" s="2">
        <v>0.99999999999999856</v>
      </c>
      <c r="N91" s="55"/>
      <c r="O91" s="65"/>
      <c r="P91" s="68"/>
      <c r="Q91" s="49" t="str">
        <f t="shared" si="25"/>
        <v>Emerging market debt</v>
      </c>
      <c r="R91" s="68">
        <f t="shared" si="26"/>
        <v>2.2768861518397508E-5</v>
      </c>
      <c r="S91" s="50">
        <f t="shared" si="27"/>
        <v>9.4540613520424539E-3</v>
      </c>
      <c r="T91" s="50">
        <f t="shared" si="28"/>
        <v>1.1435186876030592E-2</v>
      </c>
      <c r="U91" s="50"/>
      <c r="V91" s="50"/>
      <c r="W91" s="50"/>
      <c r="Y91" s="127"/>
      <c r="Z91" s="127"/>
      <c r="AA91" s="127"/>
    </row>
    <row r="92" spans="1:27">
      <c r="A92" s="57" t="str">
        <f t="shared" si="29"/>
        <v>Aandelen ontwikkeld</v>
      </c>
      <c r="B92" s="113">
        <v>3.6526199355181076E-3</v>
      </c>
      <c r="C92" s="114">
        <v>6.618068796179313E-3</v>
      </c>
      <c r="D92" s="115">
        <v>2.6604343216694769E-6</v>
      </c>
      <c r="E92" s="113">
        <v>4.4294627455326429E-4</v>
      </c>
      <c r="F92" s="116">
        <v>7.4601469431453647E-3</v>
      </c>
      <c r="G92" s="2">
        <v>-3.3206297138438041E-2</v>
      </c>
      <c r="H92" s="2">
        <v>-0.22467154273528314</v>
      </c>
      <c r="I92" s="2">
        <v>0.19414798044552603</v>
      </c>
      <c r="J92" s="2">
        <v>1</v>
      </c>
      <c r="K92" s="2">
        <v>-0.44661127002854201</v>
      </c>
      <c r="L92" s="2">
        <v>-0.15101998478832113</v>
      </c>
      <c r="M92" s="2">
        <v>0.99999999999999833</v>
      </c>
      <c r="N92" s="55"/>
      <c r="O92" s="65"/>
      <c r="Q92" s="49" t="str">
        <f t="shared" si="25"/>
        <v>Aandelen ontwikkeld</v>
      </c>
      <c r="R92" s="68">
        <f t="shared" si="26"/>
        <v>2.6604343216694769E-6</v>
      </c>
      <c r="S92" s="50">
        <f t="shared" si="27"/>
        <v>3.649959501196438E-3</v>
      </c>
      <c r="T92" s="50">
        <f t="shared" si="28"/>
        <v>3.8075270076272571E-3</v>
      </c>
    </row>
    <row r="93" spans="1:27">
      <c r="A93" s="57" t="str">
        <f t="shared" si="29"/>
        <v>Aandelen opkomend</v>
      </c>
      <c r="B93" s="113">
        <v>4.5207016499571517E-3</v>
      </c>
      <c r="C93" s="114">
        <v>7.7848444643006109E-3</v>
      </c>
      <c r="D93" s="115">
        <v>1.5290916276457137E-6</v>
      </c>
      <c r="E93" s="113">
        <v>9.1577081609134337E-4</v>
      </c>
      <c r="F93" s="116">
        <v>9.4262399480168693E-3</v>
      </c>
      <c r="G93" s="2">
        <v>-7.9833891401296167E-2</v>
      </c>
      <c r="H93" s="2">
        <v>-0.33845799629992118</v>
      </c>
      <c r="I93" s="2">
        <v>1</v>
      </c>
      <c r="J93" s="2">
        <v>-0.58961845446248018</v>
      </c>
      <c r="K93" s="2">
        <v>-0.24561280177032266</v>
      </c>
      <c r="L93" s="2">
        <v>-0.16849868692467132</v>
      </c>
      <c r="M93" s="2">
        <v>0.99999999999999956</v>
      </c>
      <c r="N93" s="55"/>
      <c r="O93" s="65"/>
      <c r="Q93" s="49" t="str">
        <f t="shared" si="25"/>
        <v>Aandelen opkomend</v>
      </c>
      <c r="R93" s="68">
        <f t="shared" si="26"/>
        <v>1.5290916276457137E-6</v>
      </c>
      <c r="S93" s="50">
        <f t="shared" si="27"/>
        <v>4.519172558329506E-3</v>
      </c>
      <c r="T93" s="50">
        <f t="shared" si="28"/>
        <v>4.9055382980597176E-3</v>
      </c>
    </row>
    <row r="94" spans="1:27">
      <c r="A94" s="57" t="str">
        <f t="shared" si="29"/>
        <v>Commodities</v>
      </c>
      <c r="B94" s="113">
        <v>2.4932766860609572E-3</v>
      </c>
      <c r="C94" s="114">
        <v>4.796497234397885E-3</v>
      </c>
      <c r="D94" s="115">
        <v>6.8329861077130865E-7</v>
      </c>
      <c r="E94" s="113">
        <v>2.6293959270141465E-4</v>
      </c>
      <c r="F94" s="116">
        <v>5.2933601233894276E-3</v>
      </c>
      <c r="G94" s="2">
        <v>-1.7181022105102289E-2</v>
      </c>
      <c r="H94" s="2">
        <v>-7.5408593222203169E-2</v>
      </c>
      <c r="I94" s="2">
        <v>3.5321851488517263E-2</v>
      </c>
      <c r="J94" s="2">
        <v>2.2315553036356784E-2</v>
      </c>
      <c r="K94" s="2">
        <v>0.12502385788732576</v>
      </c>
      <c r="L94" s="2">
        <v>1</v>
      </c>
      <c r="M94" s="2">
        <v>0.99999999999999545</v>
      </c>
      <c r="N94" s="55"/>
      <c r="O94" s="65"/>
      <c r="Q94" s="49" t="str">
        <f t="shared" si="25"/>
        <v>Commodities</v>
      </c>
      <c r="R94" s="68">
        <f t="shared" si="26"/>
        <v>6.8329861077130865E-7</v>
      </c>
      <c r="S94" s="50">
        <f t="shared" si="27"/>
        <v>2.4925933874501861E-3</v>
      </c>
      <c r="T94" s="50">
        <f t="shared" si="28"/>
        <v>2.8000834373284704E-3</v>
      </c>
    </row>
    <row r="95" spans="1:27">
      <c r="A95" s="57" t="str">
        <f t="shared" si="29"/>
        <v>Hedge funds</v>
      </c>
      <c r="B95" s="113">
        <v>0.97163880909874989</v>
      </c>
      <c r="C95" s="114">
        <v>1.8314163028754531E-2</v>
      </c>
      <c r="D95" s="115">
        <v>0.9533889933980052</v>
      </c>
      <c r="E95" s="113">
        <v>0.97381844281932206</v>
      </c>
      <c r="F95" s="116">
        <v>0.99007659800641412</v>
      </c>
      <c r="G95" s="2">
        <v>1</v>
      </c>
      <c r="H95" s="2">
        <v>0.5680982693438732</v>
      </c>
      <c r="I95" s="2">
        <v>-0.19678128470203379</v>
      </c>
      <c r="J95" s="2">
        <v>-0.15277491025436069</v>
      </c>
      <c r="K95" s="2">
        <v>-0.12170229543179892</v>
      </c>
      <c r="L95" s="2">
        <v>-0.1129339702694894</v>
      </c>
      <c r="M95" s="2">
        <v>1</v>
      </c>
      <c r="N95" s="55"/>
      <c r="O95" s="65"/>
      <c r="Q95" s="49" t="str">
        <f t="shared" si="25"/>
        <v>Hedge funds</v>
      </c>
      <c r="R95" s="68">
        <f t="shared" si="26"/>
        <v>0.9533889933980052</v>
      </c>
      <c r="S95" s="50">
        <f t="shared" si="27"/>
        <v>1.8249815700744687E-2</v>
      </c>
      <c r="T95" s="50">
        <f t="shared" si="28"/>
        <v>1.8437788907664232E-2</v>
      </c>
      <c r="V95" s="50"/>
    </row>
    <row r="96" spans="1:27">
      <c r="A96" s="57" t="str">
        <f t="shared" si="29"/>
        <v>Onroerend goed</v>
      </c>
      <c r="B96" s="117">
        <v>3.0289913377291229E-3</v>
      </c>
      <c r="C96" s="118">
        <v>5.8365993022687739E-3</v>
      </c>
      <c r="D96" s="119">
        <v>1.244816471186795E-6</v>
      </c>
      <c r="E96" s="117">
        <v>3.1221647213819685E-4</v>
      </c>
      <c r="F96" s="120">
        <v>6.7684718085439348E-3</v>
      </c>
      <c r="G96" s="63">
        <v>-3.5707378650002418E-2</v>
      </c>
      <c r="H96" s="63">
        <v>-9.3804534832514247E-2</v>
      </c>
      <c r="I96" s="63">
        <v>0.11956045400898277</v>
      </c>
      <c r="J96" s="63">
        <v>0.203704470767757</v>
      </c>
      <c r="K96" s="63">
        <v>1</v>
      </c>
      <c r="L96" s="63">
        <v>-0.29099560002357261</v>
      </c>
      <c r="M96" s="63">
        <v>0.999999999999998</v>
      </c>
      <c r="N96" s="64"/>
      <c r="O96" s="65"/>
      <c r="Q96" s="49" t="str">
        <f t="shared" si="25"/>
        <v>Onroerend goed</v>
      </c>
      <c r="R96" s="68">
        <f t="shared" si="26"/>
        <v>1.244816471186795E-6</v>
      </c>
      <c r="S96" s="50">
        <f t="shared" si="27"/>
        <v>3.0277465212579361E-3</v>
      </c>
      <c r="T96" s="50">
        <f t="shared" si="28"/>
        <v>3.7394804708148119E-3</v>
      </c>
      <c r="U96" s="50"/>
      <c r="V96" s="50">
        <f t="shared" ref="V96:V101" si="30">O39</f>
        <v>0</v>
      </c>
    </row>
    <row r="97" spans="1:22">
      <c r="A97" s="57">
        <f t="shared" si="29"/>
        <v>1</v>
      </c>
      <c r="B97" s="113"/>
      <c r="C97" s="114"/>
      <c r="D97" s="115"/>
      <c r="E97" s="113"/>
      <c r="F97" s="116"/>
      <c r="G97" s="2"/>
      <c r="H97" s="2"/>
      <c r="I97" s="2"/>
      <c r="J97" s="2"/>
      <c r="K97" s="2"/>
      <c r="L97" s="2"/>
      <c r="M97" s="2"/>
      <c r="N97" s="55"/>
      <c r="O97" s="65"/>
      <c r="U97" s="50"/>
      <c r="V97" s="50">
        <f t="shared" si="30"/>
        <v>0</v>
      </c>
    </row>
    <row r="98" spans="1:22">
      <c r="A98" s="57">
        <f t="shared" si="29"/>
        <v>2</v>
      </c>
      <c r="B98" s="113"/>
      <c r="C98" s="114"/>
      <c r="D98" s="115"/>
      <c r="E98" s="113"/>
      <c r="F98" s="116"/>
      <c r="G98" s="2"/>
      <c r="H98" s="2"/>
      <c r="I98" s="2"/>
      <c r="J98" s="2"/>
      <c r="K98" s="2"/>
      <c r="L98" s="2"/>
      <c r="M98" s="2"/>
      <c r="N98" s="55"/>
      <c r="O98" s="65"/>
      <c r="P98" s="68"/>
      <c r="U98" s="50"/>
      <c r="V98" s="50">
        <f t="shared" si="30"/>
        <v>0</v>
      </c>
    </row>
    <row r="99" spans="1:22">
      <c r="A99" s="57">
        <f t="shared" si="29"/>
        <v>3</v>
      </c>
      <c r="B99" s="113"/>
      <c r="C99" s="114"/>
      <c r="D99" s="115"/>
      <c r="E99" s="113"/>
      <c r="F99" s="116"/>
      <c r="G99" s="2"/>
      <c r="H99" s="2"/>
      <c r="I99" s="2"/>
      <c r="J99" s="2"/>
      <c r="K99" s="2"/>
      <c r="L99" s="2"/>
      <c r="M99" s="2"/>
      <c r="N99" s="55"/>
      <c r="O99" s="65"/>
      <c r="P99" s="68"/>
      <c r="Q99" s="68"/>
      <c r="R99" s="68"/>
      <c r="T99" s="50"/>
      <c r="U99" s="50"/>
      <c r="V99" s="50">
        <f t="shared" si="30"/>
        <v>0</v>
      </c>
    </row>
    <row r="100" spans="1:22">
      <c r="A100" s="57">
        <f t="shared" si="29"/>
        <v>4</v>
      </c>
      <c r="B100" s="113"/>
      <c r="C100" s="114"/>
      <c r="D100" s="115"/>
      <c r="E100" s="113"/>
      <c r="F100" s="116"/>
      <c r="G100" s="2"/>
      <c r="H100" s="2"/>
      <c r="I100" s="2"/>
      <c r="J100" s="2"/>
      <c r="K100" s="2"/>
      <c r="L100" s="2"/>
      <c r="M100" s="2"/>
      <c r="N100" s="55"/>
      <c r="O100" s="65"/>
      <c r="P100" s="68"/>
      <c r="Q100" s="68"/>
      <c r="R100" s="68"/>
      <c r="T100" s="50"/>
      <c r="U100" s="50"/>
      <c r="V100" s="50">
        <f t="shared" si="30"/>
        <v>0</v>
      </c>
    </row>
    <row r="101" spans="1:22">
      <c r="A101" s="57">
        <f t="shared" si="29"/>
        <v>5</v>
      </c>
      <c r="B101" s="113"/>
      <c r="C101" s="114"/>
      <c r="D101" s="115"/>
      <c r="E101" s="113"/>
      <c r="F101" s="116"/>
      <c r="G101" s="2"/>
      <c r="H101" s="2"/>
      <c r="I101" s="2"/>
      <c r="J101" s="2"/>
      <c r="K101" s="2"/>
      <c r="L101" s="2"/>
      <c r="M101" s="2"/>
      <c r="N101" s="55"/>
      <c r="O101" s="65"/>
      <c r="P101" s="68"/>
      <c r="U101" s="50"/>
      <c r="V101" s="50">
        <f t="shared" si="30"/>
        <v>0</v>
      </c>
    </row>
    <row r="102" spans="1:22">
      <c r="A102" s="57">
        <f t="shared" si="29"/>
        <v>6</v>
      </c>
      <c r="B102" s="113"/>
      <c r="C102" s="114"/>
      <c r="D102" s="115"/>
      <c r="E102" s="113"/>
      <c r="F102" s="116"/>
      <c r="G102" s="2"/>
      <c r="H102" s="2"/>
      <c r="I102" s="2"/>
      <c r="J102" s="2"/>
      <c r="K102" s="2"/>
      <c r="L102" s="2"/>
      <c r="M102" s="2"/>
      <c r="N102" s="55"/>
      <c r="O102" s="65"/>
      <c r="P102" s="68"/>
      <c r="U102" s="50"/>
      <c r="V102" s="50">
        <f>O52</f>
        <v>0</v>
      </c>
    </row>
    <row r="103" spans="1:22">
      <c r="A103" s="58">
        <f t="shared" si="29"/>
        <v>7</v>
      </c>
      <c r="B103" s="117"/>
      <c r="C103" s="118"/>
      <c r="D103" s="119"/>
      <c r="E103" s="117"/>
      <c r="F103" s="120"/>
      <c r="G103" s="63"/>
      <c r="H103" s="63"/>
      <c r="I103" s="63"/>
      <c r="J103" s="63"/>
      <c r="K103" s="63"/>
      <c r="L103" s="63"/>
      <c r="M103" s="63"/>
      <c r="N103" s="64"/>
      <c r="O103" s="65"/>
      <c r="P103" s="68"/>
    </row>
    <row r="104" spans="1:22">
      <c r="A104" s="65"/>
      <c r="B104" s="113"/>
      <c r="C104" s="113"/>
      <c r="D104" s="113"/>
      <c r="E104" s="113"/>
      <c r="F104" s="113"/>
      <c r="G104" s="66"/>
      <c r="H104" s="66"/>
      <c r="I104" s="66"/>
      <c r="J104" s="66"/>
      <c r="K104" s="66"/>
      <c r="L104" s="66"/>
      <c r="M104" s="66"/>
      <c r="N104" s="66"/>
      <c r="O104" s="65"/>
    </row>
    <row r="105" spans="1:22">
      <c r="A105" s="47"/>
      <c r="D105" s="341" t="s">
        <v>64</v>
      </c>
      <c r="E105" s="342"/>
      <c r="F105" s="343"/>
      <c r="G105" s="341" t="s">
        <v>65</v>
      </c>
      <c r="H105" s="342"/>
      <c r="I105" s="342"/>
      <c r="J105" s="342"/>
      <c r="K105" s="342"/>
      <c r="L105" s="342"/>
      <c r="M105" s="342"/>
      <c r="N105" s="343"/>
      <c r="O105" s="65"/>
    </row>
    <row r="106" spans="1:22">
      <c r="A106" s="237" t="str">
        <f>'Samenvatting mixen'!A110</f>
        <v>Bull case</v>
      </c>
      <c r="B106" s="238" t="s">
        <v>67</v>
      </c>
      <c r="C106" s="239" t="s">
        <v>2</v>
      </c>
      <c r="D106" s="240">
        <v>0.25</v>
      </c>
      <c r="E106" s="241">
        <v>0.5</v>
      </c>
      <c r="F106" s="242">
        <v>0.75</v>
      </c>
      <c r="G106" s="243">
        <v>0.61416435845218831</v>
      </c>
      <c r="H106" s="243">
        <v>0.26929958195171544</v>
      </c>
      <c r="I106" s="243">
        <v>8.7465086058942765E-2</v>
      </c>
      <c r="J106" s="243">
        <v>1.6407852928975952E-2</v>
      </c>
      <c r="K106" s="243">
        <v>9.1190787735757617E-3</v>
      </c>
      <c r="L106" s="243">
        <v>3.5440418346045499E-3</v>
      </c>
      <c r="M106" s="243">
        <v>0</v>
      </c>
      <c r="N106" s="243"/>
      <c r="O106" s="244"/>
      <c r="Q106" s="49" t="str">
        <f t="shared" ref="Q106:Q113" si="31">A106</f>
        <v>Bull case</v>
      </c>
    </row>
    <row r="107" spans="1:22">
      <c r="A107" s="51" t="str">
        <f>IF(A90="","",A90)</f>
        <v>High Yield</v>
      </c>
      <c r="B107" s="113">
        <v>0.18839787710477079</v>
      </c>
      <c r="C107" s="114">
        <v>0.15110474620188749</v>
      </c>
      <c r="D107" s="115">
        <v>2.734641594412103E-2</v>
      </c>
      <c r="E107" s="113">
        <v>0.15975148786202076</v>
      </c>
      <c r="F107" s="116">
        <v>0.35538471685452167</v>
      </c>
      <c r="G107" s="2">
        <v>1</v>
      </c>
      <c r="H107" s="2">
        <v>-0.53481908986752813</v>
      </c>
      <c r="I107" s="2">
        <v>-0.35156135157745516</v>
      </c>
      <c r="J107" s="2">
        <v>-0.20314691864354997</v>
      </c>
      <c r="K107" s="2">
        <v>-0.17785433021648928</v>
      </c>
      <c r="L107" s="2">
        <v>-0.16137161162787028</v>
      </c>
      <c r="M107" s="2">
        <v>0.99999999999999967</v>
      </c>
      <c r="N107" s="55"/>
      <c r="O107" s="65"/>
      <c r="Q107" s="49" t="str">
        <f t="shared" si="31"/>
        <v>High Yield</v>
      </c>
      <c r="R107" s="68">
        <f t="shared" ref="R107:R113" si="32">D107</f>
        <v>2.734641594412103E-2</v>
      </c>
      <c r="S107" s="50">
        <f t="shared" ref="S107:S113" si="33">B107-D107</f>
        <v>0.16105146116064978</v>
      </c>
      <c r="T107" s="50">
        <f t="shared" ref="T107:T113" si="34">F107-B107</f>
        <v>0.16698683974975087</v>
      </c>
    </row>
    <row r="108" spans="1:22">
      <c r="A108" s="57" t="str">
        <f t="shared" ref="A108:A120" si="35">IF(A91="","",A91)</f>
        <v>Emerging market debt</v>
      </c>
      <c r="B108" s="113">
        <v>2.691110716448954E-2</v>
      </c>
      <c r="C108" s="114">
        <v>2.9593848287070904E-2</v>
      </c>
      <c r="D108" s="115">
        <v>2.0283727020592589E-3</v>
      </c>
      <c r="E108" s="113">
        <v>1.6799398316919591E-2</v>
      </c>
      <c r="F108" s="116">
        <v>5.2119950552563521E-2</v>
      </c>
      <c r="G108" s="2">
        <v>-3.299436760592004E-2</v>
      </c>
      <c r="H108" s="2">
        <v>-2.5586200167595522E-3</v>
      </c>
      <c r="I108" s="2">
        <v>0.10355475113733996</v>
      </c>
      <c r="J108" s="2">
        <v>1</v>
      </c>
      <c r="K108" s="2">
        <v>-0.20767989275260215</v>
      </c>
      <c r="L108" s="2">
        <v>-0.18622040336243342</v>
      </c>
      <c r="M108" s="2">
        <v>0.99999999999999789</v>
      </c>
      <c r="N108" s="55"/>
      <c r="O108" s="65"/>
      <c r="Q108" s="49" t="str">
        <f t="shared" si="31"/>
        <v>Emerging market debt</v>
      </c>
      <c r="R108" s="68">
        <f t="shared" si="32"/>
        <v>2.0283727020592589E-3</v>
      </c>
      <c r="S108" s="50">
        <f t="shared" si="33"/>
        <v>2.4882734462430282E-2</v>
      </c>
      <c r="T108" s="50">
        <f t="shared" si="34"/>
        <v>2.5208843388073981E-2</v>
      </c>
    </row>
    <row r="109" spans="1:22">
      <c r="A109" s="57" t="str">
        <f t="shared" si="35"/>
        <v>Aandelen ontwikkeld</v>
      </c>
      <c r="B109" s="113">
        <v>1.8128020153409415E-2</v>
      </c>
      <c r="C109" s="114">
        <v>2.2321153417537046E-2</v>
      </c>
      <c r="D109" s="115">
        <v>6.3306534133877412E-4</v>
      </c>
      <c r="E109" s="113">
        <v>1.0344894999299305E-2</v>
      </c>
      <c r="F109" s="116">
        <v>3.671539771050622E-2</v>
      </c>
      <c r="G109" s="2">
        <v>1.1742297579212951E-3</v>
      </c>
      <c r="H109" s="2">
        <v>-1.2709749833930998E-2</v>
      </c>
      <c r="I109" s="2">
        <v>8.4715847594641694E-2</v>
      </c>
      <c r="J109" s="2">
        <v>1.175224820393392E-3</v>
      </c>
      <c r="K109" s="2">
        <v>1</v>
      </c>
      <c r="L109" s="2">
        <v>-0.14759968361168493</v>
      </c>
      <c r="M109" s="2">
        <v>0.99999999999999745</v>
      </c>
      <c r="N109" s="55"/>
      <c r="O109" s="65"/>
      <c r="Q109" s="49" t="str">
        <f t="shared" si="31"/>
        <v>Aandelen ontwikkeld</v>
      </c>
      <c r="R109" s="68">
        <f t="shared" si="32"/>
        <v>6.3306534133877412E-4</v>
      </c>
      <c r="S109" s="50">
        <f t="shared" si="33"/>
        <v>1.749495481207064E-2</v>
      </c>
      <c r="T109" s="50">
        <f t="shared" si="34"/>
        <v>1.8587377557096805E-2</v>
      </c>
    </row>
    <row r="110" spans="1:22">
      <c r="A110" s="57" t="str">
        <f t="shared" si="35"/>
        <v>Aandelen opkomend</v>
      </c>
      <c r="B110" s="113">
        <v>1.0014326927817651E-2</v>
      </c>
      <c r="C110" s="114">
        <v>1.3709944112180846E-2</v>
      </c>
      <c r="D110" s="115">
        <v>2.5278964762569348E-4</v>
      </c>
      <c r="E110" s="113">
        <v>4.3820037462377753E-3</v>
      </c>
      <c r="F110" s="116">
        <v>2.0291349101529105E-2</v>
      </c>
      <c r="G110" s="2">
        <v>-6.7002435795152191E-4</v>
      </c>
      <c r="H110" s="2">
        <v>2.9033876285388762E-3</v>
      </c>
      <c r="I110" s="2">
        <v>1.7293967301040269E-2</v>
      </c>
      <c r="J110" s="2">
        <v>1.5070310138669317E-2</v>
      </c>
      <c r="K110" s="2">
        <v>-2.088872334103713E-2</v>
      </c>
      <c r="L110" s="2">
        <v>1</v>
      </c>
      <c r="M110" s="2">
        <v>0.99999999999999589</v>
      </c>
      <c r="N110" s="55"/>
      <c r="O110" s="65"/>
      <c r="Q110" s="49" t="str">
        <f t="shared" si="31"/>
        <v>Aandelen opkomend</v>
      </c>
      <c r="R110" s="68">
        <f t="shared" si="32"/>
        <v>2.5278964762569348E-4</v>
      </c>
      <c r="S110" s="50">
        <f t="shared" si="33"/>
        <v>9.7615372801919571E-3</v>
      </c>
      <c r="T110" s="50">
        <f t="shared" si="34"/>
        <v>1.0277022173711453E-2</v>
      </c>
    </row>
    <row r="111" spans="1:22">
      <c r="A111" s="57" t="str">
        <f t="shared" si="35"/>
        <v>Commodities</v>
      </c>
      <c r="B111" s="113">
        <v>0.18354765839784778</v>
      </c>
      <c r="C111" s="114">
        <v>6.1387708588523736E-2</v>
      </c>
      <c r="D111" s="115">
        <v>0.12343011303816416</v>
      </c>
      <c r="E111" s="113">
        <v>0.17989791056265009</v>
      </c>
      <c r="F111" s="116">
        <v>0.24493434569514672</v>
      </c>
      <c r="G111" s="2">
        <v>-1.1516281306266933E-2</v>
      </c>
      <c r="H111" s="2">
        <v>7.8053029701666277E-2</v>
      </c>
      <c r="I111" s="2">
        <v>1</v>
      </c>
      <c r="J111" s="2">
        <v>-0.36511319860687813</v>
      </c>
      <c r="K111" s="2">
        <v>-0.26490102649447123</v>
      </c>
      <c r="L111" s="2">
        <v>-0.1807080886492943</v>
      </c>
      <c r="M111" s="2">
        <v>1</v>
      </c>
      <c r="N111" s="55"/>
      <c r="O111" s="65"/>
      <c r="Q111" s="49" t="str">
        <f t="shared" si="31"/>
        <v>Commodities</v>
      </c>
      <c r="R111" s="68">
        <f t="shared" si="32"/>
        <v>0.12343011303816416</v>
      </c>
      <c r="S111" s="50">
        <f t="shared" si="33"/>
        <v>6.0117545359683625E-2</v>
      </c>
      <c r="T111" s="50">
        <f t="shared" si="34"/>
        <v>6.1386687297298931E-2</v>
      </c>
    </row>
    <row r="112" spans="1:22">
      <c r="A112" s="57" t="str">
        <f t="shared" si="35"/>
        <v>Hedge funds</v>
      </c>
      <c r="B112" s="113">
        <v>0.13268786406110133</v>
      </c>
      <c r="C112" s="114">
        <v>0.10652183034516294</v>
      </c>
      <c r="D112" s="115">
        <v>2.3783196516416753E-2</v>
      </c>
      <c r="E112" s="113">
        <v>0.10919261399113213</v>
      </c>
      <c r="F112" s="116">
        <v>0.24673602017305857</v>
      </c>
      <c r="G112" s="2">
        <v>1.8383753237337985E-2</v>
      </c>
      <c r="H112" s="2">
        <v>1</v>
      </c>
      <c r="I112" s="2">
        <v>-0.46911074985947637</v>
      </c>
      <c r="J112" s="2">
        <v>-0.20605317462391029</v>
      </c>
      <c r="K112" s="2">
        <v>-0.15461051589987712</v>
      </c>
      <c r="L112" s="2">
        <v>-0.16298609717576837</v>
      </c>
      <c r="M112" s="2">
        <v>0.99999999999999856</v>
      </c>
      <c r="N112" s="55"/>
      <c r="O112" s="65"/>
      <c r="Q112" s="49" t="str">
        <f t="shared" si="31"/>
        <v>Hedge funds</v>
      </c>
      <c r="R112" s="68">
        <f t="shared" si="32"/>
        <v>2.3783196516416753E-2</v>
      </c>
      <c r="S112" s="50">
        <f t="shared" si="33"/>
        <v>0.10890466754468459</v>
      </c>
      <c r="T112" s="50">
        <f t="shared" si="34"/>
        <v>0.11404815611195723</v>
      </c>
    </row>
    <row r="113" spans="1:20">
      <c r="A113" s="57" t="str">
        <f t="shared" si="35"/>
        <v>Onroerend goed</v>
      </c>
      <c r="B113" s="113">
        <v>0.4403131461905635</v>
      </c>
      <c r="C113" s="114">
        <v>0.14802228316199259</v>
      </c>
      <c r="D113" s="115">
        <v>0.28685131931716368</v>
      </c>
      <c r="E113" s="113">
        <v>0.43602366516499902</v>
      </c>
      <c r="F113" s="116">
        <v>0.59217393360403359</v>
      </c>
      <c r="G113" s="2">
        <v>-0.97437730972512082</v>
      </c>
      <c r="H113" s="2">
        <v>-0.53086895761198616</v>
      </c>
      <c r="I113" s="2">
        <v>-0.38489246459609089</v>
      </c>
      <c r="J113" s="2">
        <v>-0.24193224308472322</v>
      </c>
      <c r="K113" s="2">
        <v>-0.17406551129552084</v>
      </c>
      <c r="L113" s="2">
        <v>-0.1611141155729453</v>
      </c>
      <c r="M113" s="2">
        <v>0.99999999999999978</v>
      </c>
      <c r="N113" s="55"/>
      <c r="O113" s="65"/>
      <c r="Q113" s="49" t="str">
        <f t="shared" si="31"/>
        <v>Onroerend goed</v>
      </c>
      <c r="R113" s="68">
        <f t="shared" si="32"/>
        <v>0.28685131931716368</v>
      </c>
      <c r="S113" s="50">
        <f t="shared" si="33"/>
        <v>0.15346182687339982</v>
      </c>
      <c r="T113" s="50">
        <f t="shared" si="34"/>
        <v>0.15186078741347009</v>
      </c>
    </row>
    <row r="114" spans="1:20">
      <c r="A114" s="57">
        <f t="shared" si="35"/>
        <v>1</v>
      </c>
      <c r="B114" s="113"/>
      <c r="C114" s="114"/>
      <c r="D114" s="115"/>
      <c r="E114" s="113"/>
      <c r="F114" s="116"/>
      <c r="G114" s="2"/>
      <c r="H114" s="2"/>
      <c r="I114" s="2"/>
      <c r="J114" s="2"/>
      <c r="K114" s="2"/>
      <c r="L114" s="2"/>
      <c r="M114" s="2"/>
      <c r="N114" s="55"/>
      <c r="O114" s="65"/>
    </row>
    <row r="115" spans="1:20">
      <c r="A115" s="57">
        <f t="shared" si="35"/>
        <v>2</v>
      </c>
      <c r="B115" s="113"/>
      <c r="C115" s="114"/>
      <c r="D115" s="115"/>
      <c r="E115" s="113"/>
      <c r="F115" s="116"/>
      <c r="G115" s="2"/>
      <c r="H115" s="2"/>
      <c r="I115" s="2"/>
      <c r="J115" s="2"/>
      <c r="K115" s="2"/>
      <c r="L115" s="2"/>
      <c r="M115" s="2"/>
      <c r="N115" s="55"/>
      <c r="O115" s="65"/>
      <c r="Q115" s="49"/>
      <c r="R115" s="68"/>
      <c r="S115" s="50"/>
      <c r="T115" s="50"/>
    </row>
    <row r="116" spans="1:20">
      <c r="A116" s="57">
        <f t="shared" si="35"/>
        <v>3</v>
      </c>
      <c r="B116" s="113"/>
      <c r="C116" s="114"/>
      <c r="D116" s="115"/>
      <c r="E116" s="113"/>
      <c r="F116" s="116"/>
      <c r="G116" s="2"/>
      <c r="H116" s="2"/>
      <c r="I116" s="2"/>
      <c r="J116" s="2"/>
      <c r="K116" s="2"/>
      <c r="L116" s="2"/>
      <c r="M116" s="2"/>
      <c r="N116" s="55"/>
      <c r="P116" s="68"/>
      <c r="Q116" s="68"/>
      <c r="R116" s="68"/>
      <c r="T116" s="50"/>
    </row>
    <row r="117" spans="1:20">
      <c r="A117" s="57">
        <f t="shared" si="35"/>
        <v>4</v>
      </c>
      <c r="B117" s="113"/>
      <c r="C117" s="114"/>
      <c r="D117" s="115"/>
      <c r="E117" s="113"/>
      <c r="F117" s="116"/>
      <c r="G117" s="2"/>
      <c r="H117" s="2"/>
      <c r="I117" s="2"/>
      <c r="J117" s="2"/>
      <c r="K117" s="2"/>
      <c r="L117" s="2"/>
      <c r="M117" s="2"/>
      <c r="N117" s="55"/>
      <c r="O117" s="65"/>
      <c r="P117" s="68"/>
      <c r="Q117" s="68"/>
      <c r="R117" s="68"/>
      <c r="T117" s="50"/>
    </row>
    <row r="118" spans="1:20">
      <c r="A118" s="57">
        <f t="shared" si="35"/>
        <v>5</v>
      </c>
      <c r="B118" s="113"/>
      <c r="C118" s="114"/>
      <c r="D118" s="115"/>
      <c r="E118" s="113"/>
      <c r="F118" s="116"/>
      <c r="G118" s="2"/>
      <c r="H118" s="2"/>
      <c r="I118" s="2"/>
      <c r="J118" s="2"/>
      <c r="K118" s="2"/>
      <c r="L118" s="2"/>
      <c r="M118" s="2"/>
      <c r="N118" s="55"/>
      <c r="O118" s="65"/>
      <c r="P118" s="68"/>
      <c r="Q118" s="68"/>
      <c r="R118" s="68"/>
      <c r="T118" s="50"/>
    </row>
    <row r="119" spans="1:20">
      <c r="A119" s="57">
        <f t="shared" si="35"/>
        <v>6</v>
      </c>
      <c r="B119" s="113"/>
      <c r="C119" s="114"/>
      <c r="D119" s="115"/>
      <c r="E119" s="113"/>
      <c r="F119" s="116"/>
      <c r="G119" s="2"/>
      <c r="H119" s="2"/>
      <c r="I119" s="2"/>
      <c r="J119" s="2"/>
      <c r="K119" s="2"/>
      <c r="L119" s="2"/>
      <c r="M119" s="2"/>
      <c r="N119" s="55"/>
      <c r="O119" s="65"/>
      <c r="P119" s="68"/>
      <c r="Q119" s="68"/>
      <c r="R119" s="68"/>
      <c r="T119" s="50"/>
    </row>
    <row r="120" spans="1:20">
      <c r="A120" s="58">
        <f t="shared" si="35"/>
        <v>7</v>
      </c>
      <c r="B120" s="117"/>
      <c r="C120" s="118"/>
      <c r="D120" s="119"/>
      <c r="E120" s="117"/>
      <c r="F120" s="120"/>
      <c r="G120" s="63"/>
      <c r="H120" s="63"/>
      <c r="I120" s="63"/>
      <c r="J120" s="63"/>
      <c r="K120" s="63"/>
      <c r="L120" s="63"/>
      <c r="M120" s="63"/>
      <c r="N120" s="64"/>
      <c r="O120" s="65"/>
    </row>
    <row r="121" spans="1:20">
      <c r="A121" s="65"/>
      <c r="B121" s="113"/>
      <c r="C121" s="113"/>
      <c r="D121" s="113"/>
      <c r="E121" s="113"/>
      <c r="F121" s="113"/>
      <c r="G121" s="66"/>
      <c r="H121" s="66"/>
      <c r="I121" s="66"/>
      <c r="J121" s="66"/>
      <c r="K121" s="66"/>
      <c r="L121" s="66"/>
      <c r="M121" s="66"/>
      <c r="N121" s="66"/>
      <c r="O121" s="65"/>
    </row>
    <row r="122" spans="1:20">
      <c r="A122" s="47"/>
      <c r="D122" s="341" t="s">
        <v>64</v>
      </c>
      <c r="E122" s="342"/>
      <c r="F122" s="343"/>
      <c r="G122" s="341" t="s">
        <v>65</v>
      </c>
      <c r="H122" s="342"/>
      <c r="I122" s="342"/>
      <c r="J122" s="342"/>
      <c r="K122" s="342"/>
      <c r="L122" s="342"/>
      <c r="M122" s="342"/>
      <c r="N122" s="343"/>
      <c r="O122" s="65"/>
    </row>
    <row r="123" spans="1:20">
      <c r="A123" s="237" t="str">
        <f>'Samenvatting mixen'!A128</f>
        <v>Kansgewogen</v>
      </c>
      <c r="B123" s="238" t="s">
        <v>67</v>
      </c>
      <c r="C123" s="239" t="s">
        <v>2</v>
      </c>
      <c r="D123" s="240">
        <v>0.25</v>
      </c>
      <c r="E123" s="241">
        <v>0.5</v>
      </c>
      <c r="F123" s="242">
        <v>0.75</v>
      </c>
      <c r="G123" s="243">
        <v>0.43044378481328993</v>
      </c>
      <c r="H123" s="243">
        <v>0.25310190774427987</v>
      </c>
      <c r="I123" s="243">
        <v>0.15707363511591332</v>
      </c>
      <c r="J123" s="243">
        <v>0.13400419430292188</v>
      </c>
      <c r="K123" s="243">
        <v>1.6894554399498718E-2</v>
      </c>
      <c r="L123" s="243">
        <v>8.481923624096166E-3</v>
      </c>
      <c r="M123" s="243">
        <v>0</v>
      </c>
      <c r="N123" s="243"/>
      <c r="O123" s="244"/>
      <c r="Q123" s="49" t="str">
        <f t="shared" ref="Q123:Q130" si="36">A123</f>
        <v>Kansgewogen</v>
      </c>
    </row>
    <row r="124" spans="1:20">
      <c r="A124" s="51" t="str">
        <f>IF(A107="","",A107)</f>
        <v>High Yield</v>
      </c>
      <c r="B124" s="113">
        <v>8.4423305856709374E-2</v>
      </c>
      <c r="C124" s="114">
        <v>6.5075729448316577E-2</v>
      </c>
      <c r="D124" s="115">
        <v>1.8833350886589353E-2</v>
      </c>
      <c r="E124" s="113">
        <v>7.2851346350122859E-2</v>
      </c>
      <c r="F124" s="116">
        <v>0.14626361672573523</v>
      </c>
      <c r="G124" s="2">
        <v>-0.51211700848998987</v>
      </c>
      <c r="H124" s="2">
        <v>1</v>
      </c>
      <c r="I124" s="2">
        <v>-6.5490560037129456E-2</v>
      </c>
      <c r="J124" s="2">
        <v>-6.4497653712035682E-2</v>
      </c>
      <c r="K124" s="2">
        <v>-0.18596082565811087</v>
      </c>
      <c r="L124" s="2">
        <v>-0.16017123271027817</v>
      </c>
      <c r="M124" s="2">
        <v>0.99999999999999911</v>
      </c>
      <c r="N124" s="55"/>
      <c r="O124" s="65"/>
      <c r="Q124" s="49" t="str">
        <f t="shared" si="36"/>
        <v>High Yield</v>
      </c>
      <c r="R124" s="68">
        <f t="shared" ref="R124:R130" si="37">D124</f>
        <v>1.8833350886589353E-2</v>
      </c>
      <c r="S124" s="50">
        <f t="shared" ref="S124:S130" si="38">B124-D124</f>
        <v>6.5589954970120018E-2</v>
      </c>
      <c r="T124" s="50">
        <f t="shared" ref="T124:T130" si="39">F124-B124</f>
        <v>6.1840310869025861E-2</v>
      </c>
    </row>
    <row r="125" spans="1:20">
      <c r="A125" s="57" t="str">
        <f t="shared" ref="A125:A137" si="40">IF(A108="","",A108)</f>
        <v>Emerging market debt</v>
      </c>
      <c r="B125" s="113">
        <v>6.0078266145246716E-2</v>
      </c>
      <c r="C125" s="114">
        <v>4.6583338000718337E-2</v>
      </c>
      <c r="D125" s="115">
        <v>1.4539096547584025E-2</v>
      </c>
      <c r="E125" s="113">
        <v>5.0244699471967968E-2</v>
      </c>
      <c r="F125" s="116">
        <v>0.11156154066195093</v>
      </c>
      <c r="G125" s="2">
        <v>-0.11291439776855985</v>
      </c>
      <c r="H125" s="2">
        <v>-0.338129993014886</v>
      </c>
      <c r="I125" s="2">
        <v>-0.32028431501066834</v>
      </c>
      <c r="J125" s="2">
        <v>1</v>
      </c>
      <c r="K125" s="2">
        <v>-0.19617629977745812</v>
      </c>
      <c r="L125" s="2">
        <v>-0.14816878996274832</v>
      </c>
      <c r="M125" s="2">
        <v>0.99999999999999911</v>
      </c>
      <c r="N125" s="55"/>
      <c r="O125" s="65"/>
      <c r="Q125" s="49" t="str">
        <f t="shared" si="36"/>
        <v>Emerging market debt</v>
      </c>
      <c r="R125" s="68">
        <f t="shared" si="37"/>
        <v>1.4539096547584025E-2</v>
      </c>
      <c r="S125" s="50">
        <f t="shared" si="38"/>
        <v>4.5539169597662688E-2</v>
      </c>
      <c r="T125" s="50">
        <f t="shared" si="39"/>
        <v>5.148327451670421E-2</v>
      </c>
    </row>
    <row r="126" spans="1:20">
      <c r="A126" s="57" t="str">
        <f t="shared" si="40"/>
        <v>Aandelen ontwikkeld</v>
      </c>
      <c r="B126" s="113">
        <v>1.0564791729147817E-2</v>
      </c>
      <c r="C126" s="114">
        <v>1.1447879796181167E-2</v>
      </c>
      <c r="D126" s="115">
        <v>1.0369453171366512E-3</v>
      </c>
      <c r="E126" s="113">
        <v>6.9873885340826537E-3</v>
      </c>
      <c r="F126" s="116">
        <v>2.0330037080902037E-2</v>
      </c>
      <c r="G126" s="2">
        <v>6.3958815029369915E-3</v>
      </c>
      <c r="H126" s="2">
        <v>8.3410569798108465E-3</v>
      </c>
      <c r="I126" s="2">
        <v>-1.2664241767134245E-2</v>
      </c>
      <c r="J126" s="2">
        <v>-1.0224681761997229E-2</v>
      </c>
      <c r="K126" s="2">
        <v>6.6508832654647909E-2</v>
      </c>
      <c r="L126" s="2">
        <v>1</v>
      </c>
      <c r="M126" s="2">
        <v>0.99999999999999789</v>
      </c>
      <c r="N126" s="55"/>
      <c r="O126" s="65"/>
      <c r="Q126" s="49" t="str">
        <f t="shared" si="36"/>
        <v>Aandelen ontwikkeld</v>
      </c>
      <c r="R126" s="68">
        <f t="shared" si="37"/>
        <v>1.0369453171366512E-3</v>
      </c>
      <c r="S126" s="50">
        <f t="shared" si="38"/>
        <v>9.527846412011166E-3</v>
      </c>
      <c r="T126" s="50">
        <f t="shared" si="39"/>
        <v>9.76524535175422E-3</v>
      </c>
    </row>
    <row r="127" spans="1:20">
      <c r="A127" s="57" t="str">
        <f t="shared" si="40"/>
        <v>Aandelen opkomend</v>
      </c>
      <c r="B127" s="113">
        <v>0.69675021679219462</v>
      </c>
      <c r="C127" s="114">
        <v>7.5901477839361714E-2</v>
      </c>
      <c r="D127" s="115">
        <v>0.62402832097326888</v>
      </c>
      <c r="E127" s="113">
        <v>0.6883004824338721</v>
      </c>
      <c r="F127" s="116">
        <v>0.7747916609748613</v>
      </c>
      <c r="G127" s="2">
        <v>1</v>
      </c>
      <c r="H127" s="2">
        <v>0.24298917102800729</v>
      </c>
      <c r="I127" s="2">
        <v>-0.17345038723216524</v>
      </c>
      <c r="J127" s="2">
        <v>-0.17087576399282736</v>
      </c>
      <c r="K127" s="2">
        <v>-0.23217295674181931</v>
      </c>
      <c r="L127" s="2">
        <v>-0.16282093648666496</v>
      </c>
      <c r="M127" s="2">
        <v>0.99999999999999933</v>
      </c>
      <c r="N127" s="55"/>
      <c r="O127" s="65"/>
      <c r="Q127" s="49" t="str">
        <f t="shared" si="36"/>
        <v>Aandelen opkomend</v>
      </c>
      <c r="R127" s="68">
        <f t="shared" si="37"/>
        <v>0.62402832097326888</v>
      </c>
      <c r="S127" s="50">
        <f t="shared" si="38"/>
        <v>7.2721895818925741E-2</v>
      </c>
      <c r="T127" s="50">
        <f t="shared" si="39"/>
        <v>7.8041444182666675E-2</v>
      </c>
    </row>
    <row r="128" spans="1:20">
      <c r="A128" s="57" t="str">
        <f t="shared" si="40"/>
        <v>Commodities</v>
      </c>
      <c r="B128" s="113">
        <v>7.03766998308228E-2</v>
      </c>
      <c r="C128" s="114">
        <v>5.4200383548560764E-2</v>
      </c>
      <c r="D128" s="115">
        <v>1.5399174538219958E-2</v>
      </c>
      <c r="E128" s="113">
        <v>6.0600035507663859E-2</v>
      </c>
      <c r="F128" s="116">
        <v>0.12108619484671855</v>
      </c>
      <c r="G128" s="2">
        <v>-0.35288195663999733</v>
      </c>
      <c r="H128" s="2">
        <v>-0.61688522565192705</v>
      </c>
      <c r="I128" s="2">
        <v>-0.43802782605267965</v>
      </c>
      <c r="J128" s="2">
        <v>-0.70872019059013369</v>
      </c>
      <c r="K128" s="2">
        <v>-0.22798052910367464</v>
      </c>
      <c r="L128" s="2">
        <v>-0.15784103938965063</v>
      </c>
      <c r="M128" s="2">
        <v>1</v>
      </c>
      <c r="N128" s="55"/>
      <c r="O128" s="65"/>
      <c r="Q128" s="49" t="str">
        <f t="shared" si="36"/>
        <v>Commodities</v>
      </c>
      <c r="R128" s="68">
        <f t="shared" si="37"/>
        <v>1.5399174538219958E-2</v>
      </c>
      <c r="S128" s="50">
        <f t="shared" si="38"/>
        <v>5.4977525292602844E-2</v>
      </c>
      <c r="T128" s="50">
        <f t="shared" si="39"/>
        <v>5.070949501589575E-2</v>
      </c>
    </row>
    <row r="129" spans="1:20">
      <c r="A129" s="57" t="str">
        <f t="shared" si="40"/>
        <v>Hedge funds</v>
      </c>
      <c r="B129" s="113">
        <v>6.1056402408510194E-2</v>
      </c>
      <c r="C129" s="114">
        <v>4.8375161469062275E-2</v>
      </c>
      <c r="D129" s="115">
        <v>1.4868472900995792E-2</v>
      </c>
      <c r="E129" s="113">
        <v>5.1891680218901386E-2</v>
      </c>
      <c r="F129" s="116">
        <v>0.10731451078295165</v>
      </c>
      <c r="G129" s="2">
        <v>-5.0967258925063687E-2</v>
      </c>
      <c r="H129" s="2">
        <v>-0.2705119712600938</v>
      </c>
      <c r="I129" s="2">
        <v>1</v>
      </c>
      <c r="J129" s="2">
        <v>-2.3931083953005961E-2</v>
      </c>
      <c r="K129" s="2">
        <v>-0.2242182213735843</v>
      </c>
      <c r="L129" s="2">
        <v>-0.14037455433918461</v>
      </c>
      <c r="M129" s="2">
        <v>0.99999999999999911</v>
      </c>
      <c r="N129" s="55"/>
      <c r="O129" s="65"/>
      <c r="Q129" s="49" t="str">
        <f t="shared" si="36"/>
        <v>Hedge funds</v>
      </c>
      <c r="R129" s="68">
        <f t="shared" si="37"/>
        <v>1.4868472900995792E-2</v>
      </c>
      <c r="S129" s="50">
        <f t="shared" si="38"/>
        <v>4.6187929507514401E-2</v>
      </c>
      <c r="T129" s="50">
        <f t="shared" si="39"/>
        <v>4.6258108374441456E-2</v>
      </c>
    </row>
    <row r="130" spans="1:20">
      <c r="A130" s="57" t="str">
        <f t="shared" si="40"/>
        <v>Onroerend goed</v>
      </c>
      <c r="B130" s="113">
        <v>1.6750317237368126E-2</v>
      </c>
      <c r="C130" s="114">
        <v>1.6019289774542405E-2</v>
      </c>
      <c r="D130" s="115">
        <v>2.0119114554013277E-3</v>
      </c>
      <c r="E130" s="113">
        <v>1.2843147844626875E-2</v>
      </c>
      <c r="F130" s="116">
        <v>3.2483395052626179E-2</v>
      </c>
      <c r="G130" s="2">
        <v>2.2484740320673859E-2</v>
      </c>
      <c r="H130" s="2">
        <v>-2.5803038080910772E-2</v>
      </c>
      <c r="I130" s="2">
        <v>9.9173300997775909E-3</v>
      </c>
      <c r="J130" s="2">
        <v>-2.1750625990000168E-2</v>
      </c>
      <c r="K130" s="2">
        <v>1</v>
      </c>
      <c r="L130" s="2">
        <v>-0.23062344711147312</v>
      </c>
      <c r="M130" s="2">
        <v>0.99999999999999833</v>
      </c>
      <c r="N130" s="55"/>
      <c r="O130" s="65"/>
      <c r="Q130" s="49" t="str">
        <f t="shared" si="36"/>
        <v>Onroerend goed</v>
      </c>
      <c r="R130" s="68">
        <f t="shared" si="37"/>
        <v>2.0119114554013277E-3</v>
      </c>
      <c r="S130" s="50">
        <f t="shared" si="38"/>
        <v>1.4738405781966798E-2</v>
      </c>
      <c r="T130" s="50">
        <f t="shared" si="39"/>
        <v>1.5733077815258054E-2</v>
      </c>
    </row>
    <row r="131" spans="1:20">
      <c r="A131" s="57">
        <f t="shared" si="40"/>
        <v>1</v>
      </c>
      <c r="B131" s="113"/>
      <c r="C131" s="114"/>
      <c r="D131" s="115"/>
      <c r="E131" s="113"/>
      <c r="F131" s="116"/>
      <c r="G131" s="2"/>
      <c r="H131" s="2"/>
      <c r="I131" s="2"/>
      <c r="J131" s="2"/>
      <c r="K131" s="2"/>
      <c r="L131" s="2"/>
      <c r="M131" s="2"/>
      <c r="N131" s="55"/>
      <c r="O131" s="65"/>
    </row>
    <row r="132" spans="1:20">
      <c r="A132" s="57">
        <f t="shared" si="40"/>
        <v>2</v>
      </c>
      <c r="B132" s="113"/>
      <c r="C132" s="114"/>
      <c r="D132" s="115"/>
      <c r="E132" s="113"/>
      <c r="F132" s="116"/>
      <c r="G132" s="2"/>
      <c r="H132" s="2"/>
      <c r="I132" s="2"/>
      <c r="J132" s="2"/>
      <c r="K132" s="2"/>
      <c r="L132" s="2"/>
      <c r="M132" s="2"/>
      <c r="N132" s="55"/>
      <c r="O132" s="65"/>
    </row>
    <row r="133" spans="1:20">
      <c r="A133" s="57">
        <f t="shared" si="40"/>
        <v>3</v>
      </c>
      <c r="B133" s="113"/>
      <c r="C133" s="114"/>
      <c r="D133" s="115"/>
      <c r="E133" s="113"/>
      <c r="F133" s="116"/>
      <c r="G133" s="2"/>
      <c r="H133" s="2"/>
      <c r="I133" s="2"/>
      <c r="J133" s="2"/>
      <c r="K133" s="2"/>
      <c r="L133" s="2"/>
      <c r="M133" s="2"/>
      <c r="N133" s="55"/>
      <c r="O133" s="65"/>
    </row>
    <row r="134" spans="1:20">
      <c r="A134" s="57">
        <f t="shared" si="40"/>
        <v>4</v>
      </c>
      <c r="B134" s="113"/>
      <c r="C134" s="114"/>
      <c r="D134" s="115"/>
      <c r="E134" s="113"/>
      <c r="F134" s="116"/>
      <c r="G134" s="2"/>
      <c r="H134" s="2"/>
      <c r="I134" s="2"/>
      <c r="J134" s="2"/>
      <c r="K134" s="2"/>
      <c r="L134" s="2"/>
      <c r="M134" s="2"/>
      <c r="N134" s="55"/>
      <c r="O134" s="65"/>
    </row>
    <row r="135" spans="1:20">
      <c r="A135" s="57">
        <f t="shared" si="40"/>
        <v>5</v>
      </c>
      <c r="B135" s="113"/>
      <c r="C135" s="114"/>
      <c r="D135" s="115"/>
      <c r="E135" s="113"/>
      <c r="F135" s="116"/>
      <c r="G135" s="2"/>
      <c r="H135" s="2"/>
      <c r="I135" s="2"/>
      <c r="J135" s="2"/>
      <c r="K135" s="2"/>
      <c r="L135" s="2"/>
      <c r="M135" s="2"/>
      <c r="N135" s="55"/>
      <c r="O135" s="65"/>
    </row>
    <row r="136" spans="1:20">
      <c r="A136" s="57">
        <f t="shared" si="40"/>
        <v>6</v>
      </c>
      <c r="B136" s="113"/>
      <c r="C136" s="114"/>
      <c r="D136" s="115"/>
      <c r="E136" s="113"/>
      <c r="F136" s="116"/>
      <c r="G136" s="2"/>
      <c r="H136" s="2"/>
      <c r="I136" s="2"/>
      <c r="J136" s="2"/>
      <c r="K136" s="2"/>
      <c r="L136" s="2"/>
      <c r="M136" s="2"/>
      <c r="N136" s="55"/>
      <c r="O136" s="65"/>
    </row>
    <row r="137" spans="1:20">
      <c r="A137" s="58">
        <f t="shared" si="40"/>
        <v>7</v>
      </c>
      <c r="B137" s="117"/>
      <c r="C137" s="118"/>
      <c r="D137" s="119"/>
      <c r="E137" s="117"/>
      <c r="F137" s="120"/>
      <c r="G137" s="63"/>
      <c r="H137" s="63"/>
      <c r="I137" s="63"/>
      <c r="J137" s="63"/>
      <c r="K137" s="63"/>
      <c r="L137" s="63"/>
      <c r="M137" s="63"/>
      <c r="N137" s="64"/>
      <c r="O137" s="65"/>
    </row>
    <row r="138" spans="1:20">
      <c r="A138" s="65"/>
      <c r="B138" s="113"/>
      <c r="C138" s="113"/>
      <c r="D138" s="113"/>
      <c r="E138" s="113"/>
      <c r="F138" s="113"/>
      <c r="G138" s="66"/>
      <c r="H138" s="66"/>
      <c r="I138" s="66"/>
      <c r="J138" s="66"/>
      <c r="K138" s="66"/>
      <c r="L138" s="66"/>
      <c r="M138" s="66"/>
      <c r="N138" s="66"/>
      <c r="O138" s="65"/>
    </row>
    <row r="139" spans="1:20">
      <c r="A139" s="65"/>
      <c r="B139" s="113"/>
      <c r="C139" s="113"/>
      <c r="D139" s="113"/>
      <c r="E139" s="113"/>
      <c r="F139" s="113"/>
      <c r="G139" s="66"/>
      <c r="H139" s="66"/>
      <c r="I139" s="66"/>
      <c r="J139" s="66"/>
      <c r="K139" s="66"/>
      <c r="L139" s="66"/>
      <c r="M139" s="66"/>
      <c r="N139" s="66"/>
      <c r="O139" s="65"/>
    </row>
    <row r="140" spans="1:20">
      <c r="A140" s="65"/>
      <c r="B140" s="113"/>
      <c r="C140" s="113"/>
      <c r="D140" s="113"/>
      <c r="E140" s="113"/>
      <c r="F140" s="113"/>
      <c r="G140" s="66"/>
      <c r="H140" s="66"/>
      <c r="I140" s="66"/>
      <c r="J140" s="66"/>
      <c r="K140" s="66"/>
      <c r="L140" s="66"/>
      <c r="M140" s="66"/>
      <c r="N140" s="66"/>
      <c r="O140" s="65"/>
    </row>
    <row r="141" spans="1:20">
      <c r="A141" s="65"/>
      <c r="B141" s="113"/>
      <c r="C141" s="113"/>
      <c r="D141" s="113"/>
      <c r="E141" s="113"/>
      <c r="F141" s="113"/>
      <c r="G141" s="66"/>
      <c r="H141" s="66"/>
      <c r="I141" s="66"/>
      <c r="J141" s="66"/>
      <c r="K141" s="66"/>
      <c r="L141" s="66"/>
      <c r="M141" s="66"/>
      <c r="N141" s="66"/>
      <c r="O141" s="65"/>
    </row>
    <row r="142" spans="1:20">
      <c r="A142" s="65"/>
      <c r="B142" s="113"/>
      <c r="C142" s="113"/>
      <c r="D142" s="113"/>
      <c r="E142" s="113"/>
      <c r="F142" s="113"/>
      <c r="G142" s="66"/>
      <c r="H142" s="66"/>
      <c r="I142" s="66"/>
      <c r="J142" s="66"/>
      <c r="K142" s="66"/>
      <c r="L142" s="66"/>
      <c r="M142" s="66"/>
      <c r="N142" s="66"/>
      <c r="O142" s="65"/>
    </row>
    <row r="143" spans="1:20">
      <c r="A143" s="65"/>
      <c r="B143" s="113"/>
      <c r="C143" s="113"/>
      <c r="D143" s="113"/>
      <c r="E143" s="113"/>
      <c r="F143" s="113"/>
      <c r="G143" s="66"/>
      <c r="H143" s="66"/>
      <c r="I143" s="66"/>
      <c r="J143" s="66"/>
      <c r="K143" s="66"/>
      <c r="L143" s="66"/>
      <c r="M143" s="66"/>
      <c r="N143" s="66"/>
      <c r="O143" s="65"/>
    </row>
    <row r="144" spans="1:20">
      <c r="A144" s="65"/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</row>
    <row r="145" spans="1:14">
      <c r="A145" s="65"/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</row>
    <row r="146" spans="1:14">
      <c r="A146" s="65"/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</row>
    <row r="147" spans="1:14">
      <c r="A147" s="65"/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</row>
    <row r="148" spans="1:14">
      <c r="A148" s="65"/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</row>
    <row r="149" spans="1:14">
      <c r="A149" s="65"/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</row>
    <row r="150" spans="1:14">
      <c r="A150" s="65"/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</row>
    <row r="160" spans="1:14">
      <c r="A160" s="57" t="s">
        <v>5</v>
      </c>
      <c r="B160" s="128">
        <f>A172/SUM($A$172:$A$178)</f>
        <v>0.16317857772190714</v>
      </c>
    </row>
    <row r="161" spans="1:2">
      <c r="A161" s="57" t="s">
        <v>6</v>
      </c>
      <c r="B161" s="128">
        <f t="shared" ref="B161:B166" si="41">A173/SUM($A$172:$A$178)</f>
        <v>0.19290379455136406</v>
      </c>
    </row>
    <row r="162" spans="1:2">
      <c r="A162" s="57" t="s">
        <v>7</v>
      </c>
      <c r="B162" s="128">
        <f t="shared" si="41"/>
        <v>0.25645812312142269</v>
      </c>
    </row>
    <row r="163" spans="1:2">
      <c r="A163" s="57" t="s">
        <v>8</v>
      </c>
      <c r="B163" s="128">
        <f t="shared" si="41"/>
        <v>9.7041462553314958E-2</v>
      </c>
    </row>
    <row r="164" spans="1:2">
      <c r="A164" s="57" t="s">
        <v>9</v>
      </c>
      <c r="B164" s="128">
        <f t="shared" si="41"/>
        <v>5.6755052286840531E-2</v>
      </c>
    </row>
    <row r="165" spans="1:2">
      <c r="A165" s="57" t="s">
        <v>10</v>
      </c>
      <c r="B165" s="128">
        <f t="shared" si="41"/>
        <v>7.9154326422916976E-2</v>
      </c>
    </row>
    <row r="166" spans="1:2">
      <c r="A166" s="58" t="s">
        <v>11</v>
      </c>
      <c r="B166" s="128">
        <f t="shared" si="41"/>
        <v>0.15450866334223365</v>
      </c>
    </row>
    <row r="172" spans="1:2">
      <c r="A172">
        <v>8.1589288860953568E-2</v>
      </c>
    </row>
    <row r="173" spans="1:2">
      <c r="A173">
        <v>9.6451897275682028E-2</v>
      </c>
    </row>
    <row r="174" spans="1:2">
      <c r="A174">
        <v>0.12822906156071134</v>
      </c>
    </row>
    <row r="175" spans="1:2">
      <c r="A175">
        <v>4.8520731276657479E-2</v>
      </c>
    </row>
    <row r="176" spans="1:2">
      <c r="A176">
        <v>2.8377526143420265E-2</v>
      </c>
    </row>
    <row r="177" spans="1:1">
      <c r="A177">
        <v>3.9577163211458488E-2</v>
      </c>
    </row>
    <row r="178" spans="1:1">
      <c r="A178">
        <v>7.7254331671116824E-2</v>
      </c>
    </row>
  </sheetData>
  <mergeCells count="16">
    <mergeCell ref="D105:F105"/>
    <mergeCell ref="G105:N105"/>
    <mergeCell ref="D122:F122"/>
    <mergeCell ref="G122:N122"/>
    <mergeCell ref="D53:F53"/>
    <mergeCell ref="G53:N53"/>
    <mergeCell ref="D71:F71"/>
    <mergeCell ref="G71:N71"/>
    <mergeCell ref="D88:F88"/>
    <mergeCell ref="G88:N88"/>
    <mergeCell ref="D2:F2"/>
    <mergeCell ref="G2:N2"/>
    <mergeCell ref="D19:F19"/>
    <mergeCell ref="G19:N19"/>
    <mergeCell ref="D36:F36"/>
    <mergeCell ref="G36:N3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zoomScale="85" zoomScaleNormal="85" workbookViewId="0">
      <selection activeCell="L23" sqref="L23"/>
    </sheetView>
  </sheetViews>
  <sheetFormatPr defaultRowHeight="15" outlineLevelCol="1"/>
  <cols>
    <col min="1" max="1" width="9.140625" style="294"/>
    <col min="2" max="2" width="22.28515625" style="294" bestFit="1" customWidth="1"/>
    <col min="3" max="4" width="12.7109375" style="294" customWidth="1"/>
    <col min="5" max="6" width="12.7109375" style="294" customWidth="1" outlineLevel="1"/>
    <col min="7" max="10" width="12.7109375" style="294" customWidth="1"/>
    <col min="11" max="11" width="21" style="206" customWidth="1"/>
    <col min="12" max="12" width="18.140625" style="294" bestFit="1" customWidth="1"/>
    <col min="13" max="13" width="26.85546875" style="294" customWidth="1"/>
    <col min="14" max="17" width="9.140625" style="294"/>
    <col min="18" max="18" width="10.85546875" style="294" customWidth="1"/>
    <col min="19" max="37" width="9.140625" style="206"/>
    <col min="38" max="16384" width="9.140625" style="294"/>
  </cols>
  <sheetData>
    <row r="1" spans="1:18">
      <c r="A1" s="206"/>
      <c r="B1" s="206"/>
      <c r="C1" s="206"/>
      <c r="D1" s="206"/>
      <c r="E1" s="206"/>
      <c r="F1" s="206"/>
      <c r="G1" s="206"/>
      <c r="H1" s="206"/>
      <c r="I1" s="206"/>
      <c r="J1" s="206"/>
      <c r="L1" s="206"/>
      <c r="M1" s="206"/>
      <c r="N1" s="206"/>
      <c r="O1" s="206"/>
      <c r="P1" s="206"/>
      <c r="Q1" s="206"/>
      <c r="R1" s="206"/>
    </row>
    <row r="2" spans="1:18">
      <c r="A2" s="206"/>
      <c r="B2" s="318" t="s">
        <v>115</v>
      </c>
      <c r="C2" s="279" t="s">
        <v>70</v>
      </c>
      <c r="D2" s="268" t="s">
        <v>112</v>
      </c>
      <c r="E2" s="268" t="s">
        <v>147</v>
      </c>
      <c r="F2" s="268" t="s">
        <v>148</v>
      </c>
      <c r="G2" s="268" t="s">
        <v>113</v>
      </c>
      <c r="H2" s="268" t="s">
        <v>114</v>
      </c>
      <c r="I2" s="268" t="s">
        <v>128</v>
      </c>
      <c r="J2" s="279" t="s">
        <v>130</v>
      </c>
      <c r="L2" s="206"/>
      <c r="M2" s="206"/>
      <c r="N2" s="206"/>
      <c r="O2" s="206"/>
      <c r="P2" s="206"/>
      <c r="Q2" s="206"/>
      <c r="R2" s="206"/>
    </row>
    <row r="3" spans="1:18">
      <c r="A3" s="206"/>
      <c r="B3" s="319" t="s">
        <v>4</v>
      </c>
      <c r="C3" s="280">
        <f>+Scenarios!B31</f>
        <v>0</v>
      </c>
      <c r="D3" s="81">
        <f>+Scenarios!C31</f>
        <v>-1.8278501643327824E-3</v>
      </c>
      <c r="E3" s="81">
        <f>+Scenarios!D31</f>
        <v>-8.3588621306752015E-3</v>
      </c>
      <c r="F3" s="81">
        <f>+Scenarios!E31</f>
        <v>1.4376558188383924E-3</v>
      </c>
      <c r="G3" s="81">
        <f>+Scenarios!F31</f>
        <v>-2.0604509567567153E-2</v>
      </c>
      <c r="H3" s="81">
        <f>+Scenarios!G31</f>
        <v>-0.27327160808286638</v>
      </c>
      <c r="I3" s="81">
        <f>+Scenarios!H31</f>
        <v>1.8717143647405954E-3</v>
      </c>
      <c r="J3" s="280">
        <f>Scenarios!D4</f>
        <v>4.3214826708651545E-2</v>
      </c>
      <c r="L3" s="206"/>
      <c r="M3" s="206"/>
      <c r="N3" s="206"/>
      <c r="O3" s="206"/>
      <c r="P3" s="206"/>
      <c r="Q3" s="206"/>
      <c r="R3" s="206"/>
    </row>
    <row r="4" spans="1:18" ht="15.75">
      <c r="A4" s="206"/>
      <c r="B4" s="319" t="s">
        <v>5</v>
      </c>
      <c r="C4" s="280">
        <f>+Scenarios!B32</f>
        <v>0.03</v>
      </c>
      <c r="D4" s="81">
        <f>+Scenarios!C32</f>
        <v>2.2858562017300008E-2</v>
      </c>
      <c r="E4" s="81">
        <f>+Scenarios!D32</f>
        <v>-0.11499037271336665</v>
      </c>
      <c r="F4" s="81">
        <f>+Scenarios!E32</f>
        <v>0.11551300949463331</v>
      </c>
      <c r="G4" s="81">
        <f>+Scenarios!F32</f>
        <v>-0.38295246775336667</v>
      </c>
      <c r="H4" s="81">
        <f>+Scenarios!G32</f>
        <v>-0.30559149395336677</v>
      </c>
      <c r="I4" s="81">
        <f>+Scenarios!H32</f>
        <v>0.33907962485463328</v>
      </c>
      <c r="J4" s="280">
        <f>Scenarios!D5</f>
        <v>0.15823890359343337</v>
      </c>
      <c r="L4" s="206"/>
      <c r="M4" s="308" t="s">
        <v>131</v>
      </c>
      <c r="N4" s="309" t="s">
        <v>132</v>
      </c>
      <c r="O4" s="309" t="s">
        <v>91</v>
      </c>
      <c r="P4" s="309" t="s">
        <v>92</v>
      </c>
      <c r="Q4" s="309" t="s">
        <v>133</v>
      </c>
      <c r="R4" s="310" t="s">
        <v>145</v>
      </c>
    </row>
    <row r="5" spans="1:18" ht="15.75">
      <c r="A5" s="206"/>
      <c r="B5" s="319" t="s">
        <v>6</v>
      </c>
      <c r="C5" s="280">
        <f>+Scenarios!B33</f>
        <v>3.1705382280009728E-2</v>
      </c>
      <c r="D5" s="81">
        <f>+Scenarios!C33</f>
        <v>1.969557072360073E-2</v>
      </c>
      <c r="E5" s="81">
        <f>+Scenarios!D33</f>
        <v>-5.2376796385311453E-2</v>
      </c>
      <c r="F5" s="81">
        <f>+Scenarios!E33</f>
        <v>4.0241164278631184E-2</v>
      </c>
      <c r="G5" s="81">
        <f>+Scenarios!F33</f>
        <v>-0.39829027497479152</v>
      </c>
      <c r="H5" s="81">
        <f>+Scenarios!G33</f>
        <v>-0.17958808739362325</v>
      </c>
      <c r="I5" s="81">
        <f>+Scenarios!H33</f>
        <v>0.29097179291301789</v>
      </c>
      <c r="J5" s="280">
        <f>Scenarios!D6</f>
        <v>0.168148277471422</v>
      </c>
      <c r="L5" s="206"/>
      <c r="M5" s="311"/>
      <c r="N5" s="312"/>
      <c r="O5" s="312"/>
      <c r="P5" s="312"/>
      <c r="Q5" s="312"/>
      <c r="R5" s="313"/>
    </row>
    <row r="6" spans="1:18" ht="15.75">
      <c r="A6" s="206"/>
      <c r="B6" s="319" t="s">
        <v>7</v>
      </c>
      <c r="C6" s="280">
        <f>+Scenarios!B34</f>
        <v>5.7210243741557129E-2</v>
      </c>
      <c r="D6" s="81">
        <f>+Scenarios!C34</f>
        <v>1.5342489100108013E-2</v>
      </c>
      <c r="E6" s="81">
        <f>+Scenarios!D34</f>
        <v>-0.17392510433387029</v>
      </c>
      <c r="F6" s="81">
        <f>+Scenarios!E34</f>
        <v>0.10543931584949295</v>
      </c>
      <c r="G6" s="81">
        <f>+Scenarios!F34</f>
        <v>-0.54196526383339005</v>
      </c>
      <c r="H6" s="81">
        <f>+Scenarios!G34</f>
        <v>-0.44602715761849837</v>
      </c>
      <c r="I6" s="81">
        <f>+Scenarios!H34</f>
        <v>0.49356749913690923</v>
      </c>
      <c r="J6" s="280">
        <f>Scenarios!D7</f>
        <v>0.29001927694608043</v>
      </c>
      <c r="L6" s="206"/>
      <c r="M6" s="306" t="s">
        <v>4</v>
      </c>
      <c r="N6" s="301">
        <f>+'Control panel'!$B3</f>
        <v>0.59460926292655603</v>
      </c>
      <c r="O6" s="301">
        <f>+'Control panel'!$C3</f>
        <v>0</v>
      </c>
      <c r="P6" s="301">
        <f>+'Control panel'!$D3</f>
        <v>1</v>
      </c>
      <c r="Q6" s="301">
        <f>+'Control panel'!$F3</f>
        <v>0.68826537185477332</v>
      </c>
      <c r="R6" s="303">
        <f t="shared" ref="R6:R13" si="0">+Q6-N6</f>
        <v>9.3656108928217296E-2</v>
      </c>
    </row>
    <row r="7" spans="1:18" ht="15.75">
      <c r="A7" s="206"/>
      <c r="B7" s="319" t="s">
        <v>8</v>
      </c>
      <c r="C7" s="280">
        <f>+Scenarios!B35</f>
        <v>5.5668448282861861E-2</v>
      </c>
      <c r="D7" s="81">
        <f>+Scenarios!C35</f>
        <v>8.9680832159551499E-2</v>
      </c>
      <c r="E7" s="81">
        <f>+Scenarios!D35</f>
        <v>-3.7808219094456759E-2</v>
      </c>
      <c r="F7" s="81">
        <f>+Scenarios!E35</f>
        <v>0.15418580946951296</v>
      </c>
      <c r="G7" s="81">
        <f>+Scenarios!F35</f>
        <v>-0.35751975156032917</v>
      </c>
      <c r="H7" s="81">
        <f>+Scenarios!G35</f>
        <v>-0.22994700662162446</v>
      </c>
      <c r="I7" s="81">
        <f>+Scenarios!H35</f>
        <v>0.45979708922708296</v>
      </c>
      <c r="J7" s="280">
        <f>Scenarios!D8</f>
        <v>0.29774487154665702</v>
      </c>
      <c r="L7" s="206"/>
      <c r="M7" s="306" t="s">
        <v>5</v>
      </c>
      <c r="N7" s="301">
        <f>+'Control panel'!$B4</f>
        <v>7.3502607897390396E-2</v>
      </c>
      <c r="O7" s="301">
        <f>+'Control panel'!$C4</f>
        <v>0</v>
      </c>
      <c r="P7" s="301">
        <f>+'Control panel'!$D4</f>
        <v>1</v>
      </c>
      <c r="Q7" s="301">
        <f>+'Control panel'!$F4</f>
        <v>2.6830485720431192E-2</v>
      </c>
      <c r="R7" s="303">
        <f t="shared" si="0"/>
        <v>-4.6672122176959208E-2</v>
      </c>
    </row>
    <row r="8" spans="1:18" ht="15.75">
      <c r="A8" s="206"/>
      <c r="B8" s="319" t="s">
        <v>9</v>
      </c>
      <c r="C8" s="280">
        <f>+Scenarios!B36</f>
        <v>5.4683067728185694E-2</v>
      </c>
      <c r="D8" s="81">
        <f>+Scenarios!C36</f>
        <v>6.2036265615280854E-2</v>
      </c>
      <c r="E8" s="81">
        <f>+Scenarios!D36</f>
        <v>-3.284707730570241E-2</v>
      </c>
      <c r="F8" s="81">
        <f>+Scenarios!E36</f>
        <v>0.10991050604096422</v>
      </c>
      <c r="G8" s="81">
        <f>+Scenarios!F36</f>
        <v>-0.527954509512369</v>
      </c>
      <c r="H8" s="81">
        <f>+Scenarios!G36</f>
        <v>-0.56384711463070247</v>
      </c>
      <c r="I8" s="81">
        <f>+Scenarios!H36</f>
        <v>0.65436153607763092</v>
      </c>
      <c r="J8" s="280">
        <f>Scenarios!D9</f>
        <v>0.1465180543940868</v>
      </c>
      <c r="L8" s="206"/>
      <c r="M8" s="306" t="s">
        <v>6</v>
      </c>
      <c r="N8" s="301">
        <f>+'Control panel'!$B5</f>
        <v>8.232448256002324E-2</v>
      </c>
      <c r="O8" s="301">
        <f>+'Control panel'!$C5</f>
        <v>0</v>
      </c>
      <c r="P8" s="301">
        <f>+'Control panel'!$D5</f>
        <v>1</v>
      </c>
      <c r="Q8" s="301">
        <f>+'Control panel'!$F5</f>
        <v>1.8907938156090032E-2</v>
      </c>
      <c r="R8" s="304">
        <f t="shared" si="0"/>
        <v>-6.3416544403933212E-2</v>
      </c>
    </row>
    <row r="9" spans="1:18" ht="15.75">
      <c r="A9" s="206"/>
      <c r="B9" s="319" t="s">
        <v>10</v>
      </c>
      <c r="C9" s="280">
        <f>+Scenarios!B37</f>
        <v>2.9030049193200475E-2</v>
      </c>
      <c r="D9" s="81">
        <f>+Scenarios!C37</f>
        <v>1.488056303571629E-2</v>
      </c>
      <c r="E9" s="81">
        <f>+Scenarios!D37</f>
        <v>-6.8340905073244612E-2</v>
      </c>
      <c r="F9" s="81">
        <f>+Scenarios!E37</f>
        <v>5.3991297090196705E-2</v>
      </c>
      <c r="G9" s="81">
        <f>+Scenarios!F37</f>
        <v>-0.22728232022069594</v>
      </c>
      <c r="H9" s="81">
        <f>+Scenarios!G37</f>
        <v>-3.8464301156549618E-3</v>
      </c>
      <c r="I9" s="81">
        <f>+Scenarios!H37</f>
        <v>0.31176062949530947</v>
      </c>
      <c r="J9" s="280">
        <f>Scenarios!D10</f>
        <v>0.33576372020209261</v>
      </c>
      <c r="L9" s="206"/>
      <c r="M9" s="306" t="s">
        <v>7</v>
      </c>
      <c r="N9" s="301">
        <f>+'Control panel'!$B6</f>
        <v>9.6683683628085992E-2</v>
      </c>
      <c r="O9" s="301">
        <f>+'Control panel'!$C6</f>
        <v>0</v>
      </c>
      <c r="P9" s="301">
        <f>+'Control panel'!$D6</f>
        <v>1</v>
      </c>
      <c r="Q9" s="301">
        <f>+'Control panel'!$F6</f>
        <v>3.2741343678820293E-3</v>
      </c>
      <c r="R9" s="304">
        <f t="shared" si="0"/>
        <v>-9.3409549260203964E-2</v>
      </c>
    </row>
    <row r="10" spans="1:18" ht="15.75">
      <c r="A10" s="206"/>
      <c r="B10" s="320" t="s">
        <v>11</v>
      </c>
      <c r="C10" s="281">
        <f>+Scenarios!B38</f>
        <v>3.8983857987503749E-2</v>
      </c>
      <c r="D10" s="271">
        <f>+Scenarios!C38</f>
        <v>1.0171029512307597E-3</v>
      </c>
      <c r="E10" s="271">
        <f>+Scenarios!D38</f>
        <v>-0.14436089700803501</v>
      </c>
      <c r="F10" s="271">
        <f>+Scenarios!E38</f>
        <v>6.7667954145598314E-2</v>
      </c>
      <c r="G10" s="271">
        <f>+Scenarios!F38</f>
        <v>-0.42122995880386094</v>
      </c>
      <c r="H10" s="271">
        <f>+Scenarios!G38</f>
        <v>-0.47665217132586252</v>
      </c>
      <c r="I10" s="271">
        <f>+Scenarios!H38</f>
        <v>0.43571794524441654</v>
      </c>
      <c r="J10" s="281">
        <f>Scenarios!D11</f>
        <v>0.19915957675666104</v>
      </c>
      <c r="L10" s="206"/>
      <c r="M10" s="306" t="s">
        <v>8</v>
      </c>
      <c r="N10" s="301">
        <f>+'Control panel'!$B7</f>
        <v>5.1500558015493796E-2</v>
      </c>
      <c r="O10" s="301">
        <f>+'Control panel'!$C7</f>
        <v>0</v>
      </c>
      <c r="P10" s="301">
        <f>+'Control panel'!$D7</f>
        <v>1</v>
      </c>
      <c r="Q10" s="301">
        <f>+'Control panel'!$F7</f>
        <v>0.21630430799206796</v>
      </c>
      <c r="R10" s="303">
        <f t="shared" si="0"/>
        <v>0.16480374997657415</v>
      </c>
    </row>
    <row r="11" spans="1:18" ht="15.75">
      <c r="A11" s="206"/>
      <c r="B11" s="80"/>
      <c r="C11" s="80"/>
      <c r="D11" s="80"/>
      <c r="E11" s="80"/>
      <c r="F11" s="80"/>
      <c r="G11" s="80"/>
      <c r="H11" s="80"/>
      <c r="I11" s="80"/>
      <c r="J11" s="80"/>
      <c r="L11" s="206"/>
      <c r="M11" s="306" t="s">
        <v>9</v>
      </c>
      <c r="N11" s="301">
        <f>+'Control panel'!$B8</f>
        <v>2.0640227417381859E-2</v>
      </c>
      <c r="O11" s="301">
        <f>+'Control panel'!$C8</f>
        <v>0</v>
      </c>
      <c r="P11" s="301">
        <f>+'Control panel'!$D8</f>
        <v>1</v>
      </c>
      <c r="Q11" s="301">
        <f>+'Control panel'!$F8</f>
        <v>2.1919991319578894E-2</v>
      </c>
      <c r="R11" s="304">
        <f t="shared" si="0"/>
        <v>1.2797639021970356E-3</v>
      </c>
    </row>
    <row r="12" spans="1:18" ht="15.75">
      <c r="A12" s="206"/>
      <c r="B12" s="282" t="s">
        <v>123</v>
      </c>
      <c r="C12" s="287">
        <f>+Scenarios!B47</f>
        <v>0</v>
      </c>
      <c r="D12" s="273">
        <f>+Scenarios!C47</f>
        <v>1</v>
      </c>
      <c r="E12" s="273">
        <f>+Scenarios!D47</f>
        <v>0</v>
      </c>
      <c r="F12" s="273">
        <f>+Scenarios!E47</f>
        <v>0</v>
      </c>
      <c r="G12" s="273">
        <f>+Scenarios!F47</f>
        <v>0</v>
      </c>
      <c r="H12" s="273">
        <f>+Scenarios!G47</f>
        <v>0</v>
      </c>
      <c r="I12" s="288">
        <f>+Scenarios!H47</f>
        <v>0</v>
      </c>
      <c r="J12" s="289">
        <f>+Scenarios!I47</f>
        <v>1</v>
      </c>
      <c r="L12" s="206"/>
      <c r="M12" s="306" t="s">
        <v>10</v>
      </c>
      <c r="N12" s="301">
        <f>+'Control panel'!$B9</f>
        <v>3.219705746498288E-2</v>
      </c>
      <c r="O12" s="301">
        <f>+'Control panel'!$C9</f>
        <v>0</v>
      </c>
      <c r="P12" s="301">
        <f>+'Control panel'!$D9</f>
        <v>1</v>
      </c>
      <c r="Q12" s="301">
        <f>+'Control panel'!$F9</f>
        <v>1.9289812340493772E-2</v>
      </c>
      <c r="R12" s="303">
        <f t="shared" si="0"/>
        <v>-1.2907245124489108E-2</v>
      </c>
    </row>
    <row r="13" spans="1:18" ht="15.75">
      <c r="A13" s="206"/>
      <c r="B13" s="80"/>
      <c r="C13" s="80"/>
      <c r="D13" s="80"/>
      <c r="E13" s="80"/>
      <c r="F13" s="80"/>
      <c r="G13" s="80"/>
      <c r="H13" s="80"/>
      <c r="I13" s="80"/>
      <c r="J13" s="80"/>
      <c r="L13" s="206"/>
      <c r="M13" s="306" t="s">
        <v>11</v>
      </c>
      <c r="N13" s="301">
        <f>+'Control panel'!$B10</f>
        <v>4.8542120090085711E-2</v>
      </c>
      <c r="O13" s="301">
        <f>+'Control panel'!$C10</f>
        <v>0</v>
      </c>
      <c r="P13" s="301">
        <f>+'Control panel'!$D10</f>
        <v>1</v>
      </c>
      <c r="Q13" s="301">
        <f>+'Control panel'!$F10</f>
        <v>5.2079582486821777E-3</v>
      </c>
      <c r="R13" s="303">
        <f t="shared" si="0"/>
        <v>-4.3334161841403533E-2</v>
      </c>
    </row>
    <row r="14" spans="1:18" ht="15.75">
      <c r="A14" s="206"/>
      <c r="B14" s="282" t="s">
        <v>129</v>
      </c>
      <c r="C14" s="287">
        <f>+Scenarios!B49</f>
        <v>0</v>
      </c>
      <c r="D14" s="274">
        <f>+Scenarios!C49</f>
        <v>2.0828421395182813E-2</v>
      </c>
      <c r="E14" s="274">
        <f>+Scenarios!D49</f>
        <v>-2.1366351369585611E-2</v>
      </c>
      <c r="F14" s="274">
        <f>+Scenarios!E49</f>
        <v>4.2349044828482049E-2</v>
      </c>
      <c r="G14" s="274">
        <f>+Scenarios!F49</f>
        <v>-0.12924528820528863</v>
      </c>
      <c r="H14" s="274">
        <f>+Scenarios!G49</f>
        <v>-0.26579317998801666</v>
      </c>
      <c r="I14" s="275">
        <f>+Scenarios!H49</f>
        <v>0.13958628549123772</v>
      </c>
      <c r="J14" s="283">
        <f>+Scenarios!I49</f>
        <v>2.0828421395182813E-2</v>
      </c>
      <c r="L14" s="206"/>
      <c r="M14" s="307"/>
      <c r="N14" s="302"/>
      <c r="O14" s="302"/>
      <c r="P14" s="302"/>
      <c r="Q14" s="302"/>
      <c r="R14" s="305"/>
    </row>
    <row r="15" spans="1:18">
      <c r="A15" s="206"/>
      <c r="B15" s="206"/>
      <c r="C15" s="206"/>
      <c r="D15" s="206"/>
      <c r="E15" s="206"/>
      <c r="F15" s="206"/>
      <c r="G15" s="206"/>
      <c r="H15" s="206"/>
      <c r="I15" s="206"/>
      <c r="J15" s="206"/>
      <c r="L15" s="206"/>
      <c r="M15" s="206"/>
      <c r="N15" s="206"/>
      <c r="O15" s="206"/>
      <c r="P15" s="206"/>
      <c r="Q15" s="206"/>
      <c r="R15" s="206"/>
    </row>
    <row r="16" spans="1:18" ht="6.75" customHeight="1">
      <c r="A16" s="206"/>
      <c r="B16" s="206"/>
      <c r="C16" s="206"/>
      <c r="D16" s="206"/>
      <c r="E16" s="206"/>
      <c r="F16" s="206"/>
      <c r="G16" s="206"/>
      <c r="H16" s="206"/>
      <c r="I16" s="206"/>
      <c r="J16" s="206"/>
      <c r="L16" s="206"/>
      <c r="M16" s="206"/>
      <c r="N16" s="206"/>
      <c r="O16" s="206"/>
      <c r="P16" s="206"/>
      <c r="Q16" s="206"/>
      <c r="R16" s="206"/>
    </row>
    <row r="17" spans="1:18">
      <c r="A17" s="206"/>
      <c r="B17" s="206"/>
      <c r="C17" s="206"/>
      <c r="D17" s="206"/>
      <c r="E17" s="206"/>
      <c r="F17" s="206"/>
      <c r="G17" s="206"/>
      <c r="H17" s="206"/>
      <c r="I17" s="206"/>
      <c r="J17" s="206"/>
      <c r="L17" s="206"/>
      <c r="M17" s="206"/>
      <c r="N17" s="206"/>
      <c r="O17" s="206"/>
      <c r="P17" s="206"/>
      <c r="Q17" s="206"/>
      <c r="R17" s="206"/>
    </row>
    <row r="18" spans="1:18" ht="4.5" customHeight="1">
      <c r="A18" s="206"/>
      <c r="B18" s="206"/>
      <c r="C18" s="206"/>
      <c r="D18" s="206"/>
      <c r="E18" s="206"/>
      <c r="F18" s="206"/>
      <c r="G18" s="206"/>
      <c r="H18" s="206"/>
      <c r="I18" s="206"/>
      <c r="J18" s="206"/>
      <c r="L18" s="206"/>
      <c r="M18" s="206"/>
      <c r="N18" s="206"/>
      <c r="O18" s="206"/>
      <c r="P18" s="206"/>
      <c r="Q18" s="206"/>
      <c r="R18" s="206"/>
    </row>
    <row r="19" spans="1:18">
      <c r="A19" s="206"/>
      <c r="B19" s="318" t="s">
        <v>101</v>
      </c>
      <c r="C19" s="279" t="s">
        <v>70</v>
      </c>
      <c r="D19" s="284" t="s">
        <v>112</v>
      </c>
      <c r="E19" s="268" t="s">
        <v>147</v>
      </c>
      <c r="F19" s="268" t="s">
        <v>148</v>
      </c>
      <c r="G19" s="268" t="s">
        <v>113</v>
      </c>
      <c r="H19" s="268" t="s">
        <v>114</v>
      </c>
      <c r="I19" s="268" t="s">
        <v>128</v>
      </c>
      <c r="J19" s="269" t="s">
        <v>146</v>
      </c>
      <c r="L19" s="206"/>
      <c r="M19" s="206"/>
      <c r="N19" s="206"/>
      <c r="O19" s="206"/>
      <c r="P19" s="206"/>
      <c r="Q19" s="206"/>
      <c r="R19" s="206"/>
    </row>
    <row r="20" spans="1:18">
      <c r="A20" s="206"/>
      <c r="B20" s="319" t="s">
        <v>4</v>
      </c>
      <c r="C20" s="280">
        <f>'Samenvatting mixen'!B4</f>
        <v>0.60731781910603744</v>
      </c>
      <c r="D20" s="285">
        <f>'Samenvatting mixen'!B22</f>
        <v>0.68826537185477332</v>
      </c>
      <c r="E20" s="81">
        <f>'Samenvatting mixen'!B40</f>
        <v>0.98874630568629251</v>
      </c>
      <c r="F20" s="81">
        <f>'Samenvatting mixen'!B58</f>
        <v>0.51919341292926224</v>
      </c>
      <c r="G20" s="81">
        <f>'Samenvatting mixen'!B76</f>
        <v>0.99955803493411044</v>
      </c>
      <c r="H20" s="81">
        <f>'Samenvatting mixen'!B94</f>
        <v>0.97131108132672761</v>
      </c>
      <c r="I20" s="81">
        <f>'Samenvatting mixen'!B111</f>
        <v>0.7671565657336431</v>
      </c>
      <c r="J20" s="270">
        <f>'[4]Control panel'!F3</f>
        <v>0.99933044801477622</v>
      </c>
      <c r="L20" s="206"/>
      <c r="M20" s="206"/>
      <c r="N20" s="206"/>
      <c r="O20" s="206"/>
      <c r="P20" s="206"/>
      <c r="Q20" s="206"/>
      <c r="R20" s="206"/>
    </row>
    <row r="21" spans="1:18">
      <c r="A21" s="206"/>
      <c r="B21" s="319" t="s">
        <v>5</v>
      </c>
      <c r="C21" s="280">
        <f>'Samenvatting mixen'!B5</f>
        <v>5.7360801341584354E-2</v>
      </c>
      <c r="D21" s="285">
        <f>'Samenvatting mixen'!B23</f>
        <v>2.6830485720431192E-2</v>
      </c>
      <c r="E21" s="81">
        <f>'Samenvatting mixen'!B41</f>
        <v>5.3983418794042288E-4</v>
      </c>
      <c r="F21" s="81">
        <f>'Samenvatting mixen'!B59</f>
        <v>0.40582527313838357</v>
      </c>
      <c r="G21" s="81">
        <f>'Samenvatting mixen'!B77</f>
        <v>5.7242546860375721E-5</v>
      </c>
      <c r="H21" s="81">
        <f>'Samenvatting mixen'!B95</f>
        <v>1.4956741788953512E-4</v>
      </c>
      <c r="I21" s="81">
        <f>'Samenvatting mixen'!B112</f>
        <v>4.4827771385490406E-2</v>
      </c>
      <c r="J21" s="270">
        <f>'[4]Control panel'!F4</f>
        <v>5.9498856944343162E-5</v>
      </c>
      <c r="L21" s="206"/>
      <c r="M21" s="206"/>
      <c r="N21" s="206"/>
      <c r="O21" s="206"/>
      <c r="P21" s="206"/>
      <c r="Q21" s="206"/>
      <c r="R21" s="206"/>
    </row>
    <row r="22" spans="1:18">
      <c r="A22" s="206"/>
      <c r="B22" s="319" t="s">
        <v>6</v>
      </c>
      <c r="C22" s="280">
        <f>'Samenvatting mixen'!B6</f>
        <v>6.4107549519951609E-2</v>
      </c>
      <c r="D22" s="285">
        <f>'Samenvatting mixen'!B24</f>
        <v>1.8907938156090032E-2</v>
      </c>
      <c r="E22" s="81">
        <f>'Samenvatting mixen'!B42</f>
        <v>2.4677362101824351E-3</v>
      </c>
      <c r="F22" s="81">
        <f>'Samenvatting mixen'!B60</f>
        <v>8.2724163770650748E-3</v>
      </c>
      <c r="G22" s="81">
        <f>'Samenvatting mixen'!B78</f>
        <v>6.6326374397549775E-5</v>
      </c>
      <c r="H22" s="81">
        <f>'Samenvatting mixen'!B96</f>
        <v>2.727771845681999E-4</v>
      </c>
      <c r="I22" s="81">
        <f>'Samenvatting mixen'!B113</f>
        <v>6.2365114959844151E-3</v>
      </c>
      <c r="J22" s="270">
        <f>'[4]Control panel'!F5</f>
        <v>8.6775571303158883E-5</v>
      </c>
      <c r="L22" s="206"/>
      <c r="M22" s="206"/>
      <c r="N22" s="206"/>
      <c r="O22" s="206"/>
      <c r="P22" s="206"/>
      <c r="Q22" s="206"/>
      <c r="R22" s="206"/>
    </row>
    <row r="23" spans="1:18">
      <c r="A23" s="206"/>
      <c r="B23" s="319" t="s">
        <v>7</v>
      </c>
      <c r="C23" s="280">
        <f>'Samenvatting mixen'!B7</f>
        <v>8.9565585438851084E-2</v>
      </c>
      <c r="D23" s="285">
        <f>'Samenvatting mixen'!B25</f>
        <v>3.2741343678820293E-3</v>
      </c>
      <c r="E23" s="81">
        <f>'Samenvatting mixen'!B43</f>
        <v>2.2382305661599851E-4</v>
      </c>
      <c r="F23" s="81">
        <f>'Samenvatting mixen'!B61</f>
        <v>7.1571205215372243E-3</v>
      </c>
      <c r="G23" s="81">
        <f>'Samenvatting mixen'!B79</f>
        <v>3.2430217128612392E-5</v>
      </c>
      <c r="H23" s="81">
        <f>'Samenvatting mixen'!B97</f>
        <v>1.0550354473981381E-4</v>
      </c>
      <c r="I23" s="81">
        <f>'Samenvatting mixen'!B114</f>
        <v>4.1459469470689955E-3</v>
      </c>
      <c r="J23" s="270">
        <f>'[4]Control panel'!F6</f>
        <v>3.3196657987390124E-5</v>
      </c>
      <c r="L23" s="206"/>
      <c r="M23" s="206"/>
      <c r="N23" s="206"/>
      <c r="O23" s="206"/>
      <c r="P23" s="206"/>
      <c r="Q23" s="206"/>
      <c r="R23" s="206"/>
    </row>
    <row r="24" spans="1:18">
      <c r="A24" s="206"/>
      <c r="B24" s="319" t="s">
        <v>8</v>
      </c>
      <c r="C24" s="280">
        <f>'Samenvatting mixen'!B8</f>
        <v>5.7876974781299544E-2</v>
      </c>
      <c r="D24" s="285">
        <f>'Samenvatting mixen'!B26</f>
        <v>0.21630430799206796</v>
      </c>
      <c r="E24" s="81">
        <f>'Samenvatting mixen'!B44</f>
        <v>2.7945635325398697E-3</v>
      </c>
      <c r="F24" s="81">
        <f>'Samenvatting mixen'!B62</f>
        <v>2.8420183711950858E-2</v>
      </c>
      <c r="G24" s="81">
        <f>'Samenvatting mixen'!B80</f>
        <v>5.6987260943355982E-5</v>
      </c>
      <c r="H24" s="81">
        <f>'Samenvatting mixen'!B98</f>
        <v>1.2960883218187506E-4</v>
      </c>
      <c r="I24" s="81">
        <f>'Samenvatting mixen'!B115</f>
        <v>2.3123625245597451E-3</v>
      </c>
      <c r="J24" s="270">
        <f>'[4]Control panel'!F7</f>
        <v>4.8644439396432552E-5</v>
      </c>
      <c r="L24" s="206"/>
      <c r="M24" s="206"/>
      <c r="N24" s="206"/>
      <c r="O24" s="206"/>
      <c r="P24" s="206"/>
      <c r="Q24" s="206"/>
      <c r="R24" s="206"/>
    </row>
    <row r="25" spans="1:18">
      <c r="A25" s="206"/>
      <c r="B25" s="319" t="s">
        <v>9</v>
      </c>
      <c r="C25" s="280">
        <f>'Samenvatting mixen'!B9</f>
        <v>1.9044213840149846E-2</v>
      </c>
      <c r="D25" s="285">
        <f>'Samenvatting mixen'!B27</f>
        <v>2.1919991319578894E-2</v>
      </c>
      <c r="E25" s="81">
        <f>'Samenvatting mixen'!B45</f>
        <v>3.4296628164615867E-3</v>
      </c>
      <c r="F25" s="81">
        <f>'Samenvatting mixen'!B63</f>
        <v>6.6507213964025228E-3</v>
      </c>
      <c r="G25" s="81">
        <f>'Samenvatting mixen'!B81</f>
        <v>2.8958856485736442E-5</v>
      </c>
      <c r="H25" s="81">
        <f>'Samenvatting mixen'!B99</f>
        <v>7.2144939249040976E-5</v>
      </c>
      <c r="I25" s="81">
        <f>'Samenvatting mixen'!B116</f>
        <v>4.2185469991822926E-2</v>
      </c>
      <c r="J25" s="270">
        <f>'[4]Control panel'!F8</f>
        <v>2.3467442398853234E-4</v>
      </c>
      <c r="L25" s="206"/>
      <c r="M25" s="206"/>
      <c r="N25" s="206"/>
      <c r="O25" s="206"/>
      <c r="P25" s="206"/>
      <c r="Q25" s="206"/>
      <c r="R25" s="206"/>
    </row>
    <row r="26" spans="1:18">
      <c r="A26" s="206"/>
      <c r="B26" s="319" t="s">
        <v>10</v>
      </c>
      <c r="C26" s="280">
        <f>'Samenvatting mixen'!B10</f>
        <v>4.7869888646712648E-2</v>
      </c>
      <c r="D26" s="285">
        <f>'Samenvatting mixen'!B28</f>
        <v>1.9289812340493772E-2</v>
      </c>
      <c r="E26" s="81">
        <f>'Samenvatting mixen'!B46</f>
        <v>1.4644551327594518E-3</v>
      </c>
      <c r="F26" s="81">
        <f>'Samenvatting mixen'!B64</f>
        <v>1.5171537011054845E-2</v>
      </c>
      <c r="G26" s="81">
        <f>'Samenvatting mixen'!B82</f>
        <v>1.5068187799607263E-4</v>
      </c>
      <c r="H26" s="81">
        <f>'Samenvatting mixen'!B100</f>
        <v>2.7871970220202862E-2</v>
      </c>
      <c r="I26" s="81">
        <f>'Samenvatting mixen'!B117</f>
        <v>3.1427168178447699E-2</v>
      </c>
      <c r="J26" s="270">
        <f>'[4]Control panel'!F9</f>
        <v>1.5994064696340217E-4</v>
      </c>
      <c r="L26" s="206"/>
      <c r="M26" s="206"/>
      <c r="N26" s="206"/>
      <c r="O26" s="206"/>
      <c r="P26" s="206"/>
      <c r="Q26" s="206"/>
      <c r="R26" s="206"/>
    </row>
    <row r="27" spans="1:18">
      <c r="A27" s="206"/>
      <c r="B27" s="320" t="s">
        <v>11</v>
      </c>
      <c r="C27" s="281">
        <f>'Samenvatting mixen'!B11</f>
        <v>5.6857167325413648E-2</v>
      </c>
      <c r="D27" s="286">
        <f>'Samenvatting mixen'!B29</f>
        <v>5.2079582486821777E-3</v>
      </c>
      <c r="E27" s="271">
        <f>'Samenvatting mixen'!B47</f>
        <v>3.3361937720683245E-4</v>
      </c>
      <c r="F27" s="271">
        <f>'Samenvatting mixen'!B65</f>
        <v>9.3093349143433188E-3</v>
      </c>
      <c r="G27" s="271">
        <f>'Samenvatting mixen'!B83</f>
        <v>4.9337932077139163E-5</v>
      </c>
      <c r="H27" s="271">
        <f>'Samenvatting mixen'!B101</f>
        <v>8.7346534441515105E-5</v>
      </c>
      <c r="I27" s="271">
        <f>'Samenvatting mixen'!B118</f>
        <v>0.10170820374298233</v>
      </c>
      <c r="J27" s="272">
        <f>'[4]Control panel'!F10</f>
        <v>4.6821388640572115E-5</v>
      </c>
      <c r="L27" s="206"/>
      <c r="M27" s="206"/>
      <c r="N27" s="206"/>
      <c r="O27" s="206"/>
      <c r="P27" s="206"/>
      <c r="Q27" s="206"/>
      <c r="R27" s="206"/>
    </row>
    <row r="28" spans="1:18">
      <c r="A28" s="206"/>
      <c r="B28" s="206"/>
      <c r="C28" s="206"/>
      <c r="D28" s="206"/>
      <c r="E28" s="206"/>
      <c r="F28" s="206"/>
      <c r="G28" s="206"/>
      <c r="H28" s="206"/>
      <c r="I28" s="206"/>
      <c r="J28" s="206"/>
      <c r="L28" s="206"/>
      <c r="M28" s="206"/>
      <c r="N28" s="206"/>
      <c r="O28" s="206"/>
      <c r="P28" s="206"/>
      <c r="Q28" s="206"/>
      <c r="R28" s="206"/>
    </row>
    <row r="29" spans="1:18">
      <c r="A29" s="206"/>
      <c r="B29" s="206"/>
      <c r="C29" s="206"/>
      <c r="D29" s="206"/>
      <c r="E29" s="206"/>
      <c r="F29" s="206"/>
      <c r="G29" s="206"/>
      <c r="H29" s="206"/>
      <c r="I29" s="206"/>
      <c r="J29" s="206"/>
      <c r="L29" s="206"/>
      <c r="M29" s="206"/>
      <c r="N29" s="206"/>
      <c r="O29" s="206"/>
      <c r="P29" s="206"/>
      <c r="Q29" s="206"/>
      <c r="R29" s="206"/>
    </row>
    <row r="30" spans="1:18">
      <c r="A30" s="206"/>
      <c r="B30" s="206"/>
      <c r="C30" s="206"/>
      <c r="D30" s="206"/>
      <c r="E30" s="206"/>
      <c r="F30" s="206"/>
      <c r="G30" s="206"/>
      <c r="H30" s="206"/>
      <c r="I30" s="206"/>
      <c r="J30" s="206"/>
      <c r="L30" s="206"/>
      <c r="M30" s="206"/>
      <c r="N30" s="206"/>
      <c r="O30" s="206"/>
      <c r="P30" s="206"/>
      <c r="Q30" s="206"/>
      <c r="R30" s="206"/>
    </row>
    <row r="31" spans="1:18">
      <c r="A31" s="206"/>
      <c r="B31" s="206"/>
      <c r="C31" s="206"/>
      <c r="D31" s="206"/>
      <c r="E31" s="206"/>
      <c r="F31" s="206"/>
      <c r="G31" s="206"/>
      <c r="H31" s="206"/>
      <c r="I31" s="206"/>
      <c r="J31" s="206"/>
      <c r="L31" s="206"/>
      <c r="M31" s="206"/>
      <c r="N31" s="206"/>
      <c r="O31" s="206"/>
      <c r="P31" s="206"/>
      <c r="Q31" s="206"/>
      <c r="R31" s="206"/>
    </row>
    <row r="32" spans="1:18">
      <c r="A32" s="206"/>
      <c r="B32" s="206"/>
      <c r="C32" s="206"/>
      <c r="D32" s="206"/>
      <c r="E32" s="206"/>
      <c r="F32" s="206"/>
      <c r="G32" s="206"/>
      <c r="H32" s="206"/>
      <c r="I32" s="206"/>
      <c r="J32" s="206"/>
      <c r="L32" s="206"/>
      <c r="M32" s="206"/>
      <c r="N32" s="206"/>
      <c r="O32" s="206"/>
      <c r="P32" s="206"/>
      <c r="Q32" s="206"/>
      <c r="R32" s="206"/>
    </row>
    <row r="33" spans="1:18">
      <c r="A33" s="206"/>
      <c r="B33" s="206"/>
      <c r="C33" s="206"/>
      <c r="D33" s="206"/>
      <c r="E33" s="206"/>
      <c r="F33" s="206"/>
      <c r="G33" s="206"/>
      <c r="H33" s="206"/>
      <c r="I33" s="206"/>
      <c r="J33" s="206"/>
      <c r="L33" s="206"/>
      <c r="M33" s="206"/>
      <c r="N33" s="206"/>
      <c r="O33" s="206"/>
      <c r="P33" s="206"/>
      <c r="Q33" s="206"/>
      <c r="R33" s="206"/>
    </row>
    <row r="34" spans="1:18">
      <c r="A34" s="206"/>
      <c r="B34" s="206"/>
      <c r="C34" s="206"/>
      <c r="D34" s="206"/>
      <c r="E34" s="206"/>
      <c r="F34" s="206"/>
      <c r="G34" s="206"/>
      <c r="H34" s="206"/>
      <c r="I34" s="206"/>
      <c r="J34" s="206"/>
      <c r="L34" s="206"/>
      <c r="M34" s="206"/>
      <c r="N34" s="206"/>
      <c r="O34" s="206"/>
      <c r="P34" s="206"/>
      <c r="Q34" s="206"/>
      <c r="R34" s="206"/>
    </row>
    <row r="35" spans="1:18">
      <c r="A35" s="206"/>
      <c r="B35" s="206"/>
      <c r="C35" s="206"/>
      <c r="D35" s="206"/>
      <c r="E35" s="206"/>
      <c r="F35" s="206"/>
      <c r="G35" s="206"/>
      <c r="H35" s="206"/>
      <c r="I35" s="206"/>
      <c r="J35" s="206"/>
      <c r="L35" s="206"/>
      <c r="M35" s="206"/>
      <c r="N35" s="206"/>
      <c r="O35" s="206"/>
      <c r="P35" s="206"/>
      <c r="Q35" s="206"/>
      <c r="R35" s="206"/>
    </row>
    <row r="36" spans="1:18">
      <c r="A36" s="206"/>
      <c r="B36" s="206"/>
      <c r="C36" s="206"/>
      <c r="D36" s="206"/>
      <c r="E36" s="206"/>
      <c r="F36" s="206"/>
      <c r="G36" s="206"/>
      <c r="H36" s="206"/>
      <c r="I36" s="206"/>
      <c r="J36" s="206"/>
      <c r="L36" s="206"/>
      <c r="M36" s="206"/>
      <c r="N36" s="206"/>
      <c r="O36" s="206"/>
      <c r="P36" s="206"/>
      <c r="Q36" s="206"/>
      <c r="R36" s="206"/>
    </row>
    <row r="37" spans="1:18">
      <c r="A37" s="206"/>
      <c r="B37" s="206"/>
      <c r="C37" s="206"/>
      <c r="D37" s="206"/>
      <c r="E37" s="206"/>
      <c r="F37" s="206"/>
      <c r="G37" s="206"/>
      <c r="H37" s="206"/>
      <c r="I37" s="206"/>
      <c r="J37" s="206"/>
      <c r="L37" s="206"/>
      <c r="M37" s="206"/>
      <c r="N37" s="206"/>
      <c r="O37" s="206"/>
      <c r="P37" s="206"/>
      <c r="Q37" s="206"/>
      <c r="R37" s="206"/>
    </row>
    <row r="38" spans="1:18">
      <c r="A38" s="206"/>
      <c r="B38" s="206"/>
      <c r="C38" s="206"/>
      <c r="D38" s="206"/>
      <c r="E38" s="206"/>
      <c r="F38" s="206"/>
      <c r="G38" s="206"/>
      <c r="H38" s="206"/>
      <c r="I38" s="206"/>
      <c r="J38" s="206"/>
      <c r="L38" s="206"/>
      <c r="M38" s="206"/>
      <c r="N38" s="206"/>
      <c r="O38" s="206"/>
      <c r="P38" s="206"/>
      <c r="Q38" s="206"/>
      <c r="R38" s="206"/>
    </row>
    <row r="39" spans="1:18">
      <c r="A39" s="206"/>
      <c r="B39" s="206"/>
      <c r="C39" s="206"/>
      <c r="D39" s="206"/>
      <c r="E39" s="206"/>
      <c r="F39" s="206"/>
      <c r="G39" s="206"/>
      <c r="H39" s="206"/>
      <c r="I39" s="206"/>
      <c r="J39" s="206"/>
      <c r="L39" s="206"/>
      <c r="M39" s="206"/>
      <c r="N39" s="206"/>
      <c r="O39" s="206"/>
      <c r="P39" s="206"/>
      <c r="Q39" s="206"/>
      <c r="R39" s="206"/>
    </row>
    <row r="40" spans="1:18">
      <c r="A40" s="206"/>
      <c r="B40" s="206"/>
      <c r="C40" s="206"/>
      <c r="D40" s="206"/>
      <c r="E40" s="206"/>
      <c r="F40" s="206"/>
      <c r="G40" s="206"/>
      <c r="H40" s="206"/>
      <c r="I40" s="206"/>
      <c r="J40" s="206"/>
      <c r="L40" s="206"/>
      <c r="M40" s="206"/>
      <c r="N40" s="206"/>
      <c r="O40" s="206"/>
      <c r="P40" s="206"/>
      <c r="Q40" s="206"/>
      <c r="R40" s="206"/>
    </row>
    <row r="41" spans="1:18">
      <c r="A41" s="206"/>
      <c r="B41" s="206"/>
      <c r="C41" s="206"/>
      <c r="D41" s="206"/>
      <c r="E41" s="206"/>
      <c r="F41" s="206"/>
      <c r="G41" s="206"/>
      <c r="H41" s="206"/>
      <c r="I41" s="206"/>
      <c r="J41" s="206"/>
      <c r="L41" s="206"/>
      <c r="M41" s="206"/>
      <c r="N41" s="206"/>
      <c r="O41" s="206"/>
      <c r="P41" s="206"/>
      <c r="Q41" s="206"/>
      <c r="R41" s="206"/>
    </row>
    <row r="42" spans="1:18">
      <c r="A42" s="206"/>
      <c r="B42" s="206"/>
      <c r="C42" s="206"/>
      <c r="D42" s="206"/>
      <c r="E42" s="206"/>
      <c r="F42" s="206"/>
      <c r="G42" s="206"/>
      <c r="H42" s="206"/>
      <c r="I42" s="206"/>
      <c r="J42" s="206"/>
      <c r="L42" s="206"/>
      <c r="M42" s="206"/>
      <c r="N42" s="206"/>
      <c r="O42" s="206"/>
      <c r="P42" s="206"/>
      <c r="Q42" s="206"/>
      <c r="R42" s="206"/>
    </row>
    <row r="43" spans="1:18">
      <c r="A43" s="206"/>
      <c r="B43" s="206"/>
      <c r="C43" s="206"/>
      <c r="D43" s="206"/>
      <c r="E43" s="206"/>
      <c r="F43" s="206"/>
      <c r="G43" s="206"/>
      <c r="H43" s="206"/>
      <c r="I43" s="206"/>
      <c r="J43" s="206"/>
      <c r="L43" s="206"/>
      <c r="M43" s="206"/>
      <c r="N43" s="206"/>
      <c r="O43" s="206"/>
      <c r="P43" s="206"/>
      <c r="Q43" s="206"/>
      <c r="R43" s="206"/>
    </row>
    <row r="44" spans="1:18">
      <c r="A44" s="206"/>
      <c r="B44" s="206"/>
      <c r="C44" s="206"/>
      <c r="D44" s="206"/>
      <c r="E44" s="206"/>
      <c r="F44" s="206"/>
      <c r="G44" s="206"/>
      <c r="H44" s="206"/>
      <c r="I44" s="206"/>
      <c r="J44" s="206"/>
      <c r="L44" s="206"/>
      <c r="M44" s="206"/>
      <c r="N44" s="206"/>
      <c r="O44" s="206"/>
      <c r="P44" s="206"/>
      <c r="Q44" s="206"/>
      <c r="R44" s="206"/>
    </row>
    <row r="45" spans="1:18">
      <c r="A45" s="206"/>
      <c r="B45" s="206"/>
      <c r="C45" s="206"/>
      <c r="D45" s="206"/>
      <c r="E45" s="206"/>
      <c r="F45" s="206"/>
      <c r="G45" s="206"/>
      <c r="H45" s="206"/>
      <c r="I45" s="206"/>
      <c r="J45" s="206"/>
      <c r="L45" s="206"/>
      <c r="M45" s="206"/>
      <c r="N45" s="206"/>
      <c r="O45" s="206"/>
      <c r="P45" s="206"/>
      <c r="Q45" s="206"/>
      <c r="R45" s="206"/>
    </row>
    <row r="46" spans="1:18">
      <c r="A46" s="206"/>
      <c r="B46" s="206"/>
      <c r="C46" s="206"/>
      <c r="D46" s="206"/>
      <c r="E46" s="206"/>
      <c r="F46" s="206"/>
      <c r="G46" s="206"/>
      <c r="H46" s="206"/>
      <c r="I46" s="206"/>
      <c r="J46" s="206"/>
      <c r="L46" s="206"/>
      <c r="M46" s="206"/>
      <c r="N46" s="206"/>
      <c r="O46" s="206"/>
      <c r="P46" s="206"/>
      <c r="Q46" s="206"/>
      <c r="R46" s="206"/>
    </row>
    <row r="47" spans="1:18">
      <c r="A47" s="206"/>
      <c r="B47" s="206"/>
      <c r="C47" s="206"/>
      <c r="D47" s="206"/>
      <c r="E47" s="206"/>
      <c r="F47" s="206"/>
      <c r="G47" s="206"/>
      <c r="H47" s="206"/>
      <c r="I47" s="206"/>
      <c r="J47" s="206"/>
      <c r="L47" s="206"/>
      <c r="M47" s="206"/>
      <c r="N47" s="206"/>
      <c r="O47" s="206"/>
      <c r="P47" s="206"/>
      <c r="Q47" s="206"/>
      <c r="R47" s="206"/>
    </row>
    <row r="48" spans="1:18">
      <c r="A48" s="206"/>
      <c r="B48" s="206"/>
      <c r="C48" s="344" t="s">
        <v>135</v>
      </c>
      <c r="D48" s="345"/>
      <c r="E48" s="344" t="s">
        <v>134</v>
      </c>
      <c r="F48" s="345"/>
      <c r="G48" s="345"/>
      <c r="H48" s="346"/>
      <c r="I48" s="206"/>
      <c r="J48" s="206"/>
      <c r="L48" s="206"/>
      <c r="M48" s="206"/>
      <c r="N48" s="206"/>
      <c r="O48" s="206"/>
      <c r="P48" s="206"/>
      <c r="Q48" s="206"/>
      <c r="R48" s="206"/>
    </row>
    <row r="49" spans="1:18" ht="51.75">
      <c r="A49" s="206"/>
      <c r="B49" s="276"/>
      <c r="C49" s="290" t="s">
        <v>136</v>
      </c>
      <c r="D49" s="291" t="s">
        <v>137</v>
      </c>
      <c r="E49" s="291"/>
      <c r="F49" s="291"/>
      <c r="G49" s="290" t="s">
        <v>139</v>
      </c>
      <c r="H49" s="291" t="s">
        <v>138</v>
      </c>
      <c r="I49" s="269" t="s">
        <v>140</v>
      </c>
      <c r="J49" s="298" t="s">
        <v>141</v>
      </c>
      <c r="K49" s="298" t="s">
        <v>142</v>
      </c>
      <c r="L49" s="206"/>
      <c r="M49" s="206"/>
      <c r="N49" s="206"/>
      <c r="O49" s="206"/>
      <c r="P49" s="206"/>
      <c r="Q49" s="206"/>
      <c r="R49" s="206"/>
    </row>
    <row r="50" spans="1:18">
      <c r="A50" s="206"/>
      <c r="B50" s="277" t="s">
        <v>4</v>
      </c>
      <c r="C50" s="299">
        <v>4.4499999999999998E-2</v>
      </c>
      <c r="D50" s="299">
        <v>9.3000000000000096E-3</v>
      </c>
      <c r="E50" s="81"/>
      <c r="F50" s="81"/>
      <c r="G50" s="299">
        <v>-8.7300000000000003E-2</v>
      </c>
      <c r="H50" s="299">
        <f>+Scenarios!C31</f>
        <v>-1.8278501643327824E-3</v>
      </c>
      <c r="I50" s="314">
        <v>0.1023</v>
      </c>
      <c r="J50" s="315">
        <f t="shared" ref="J50:J57" si="1">+G50/I50</f>
        <v>-0.85337243401759533</v>
      </c>
      <c r="K50" s="293">
        <f t="shared" ref="K50:K57" si="2">+H50/I50</f>
        <v>-1.786754803844362E-2</v>
      </c>
      <c r="L50" s="206"/>
      <c r="M50" s="206"/>
      <c r="N50" s="206"/>
      <c r="O50" s="206"/>
      <c r="P50" s="206"/>
      <c r="Q50" s="206"/>
      <c r="R50" s="206"/>
    </row>
    <row r="51" spans="1:18">
      <c r="A51" s="206"/>
      <c r="B51" s="277" t="s">
        <v>5</v>
      </c>
      <c r="C51" s="280">
        <v>8.5371817899603325E-2</v>
      </c>
      <c r="D51" s="280">
        <v>5.6265360838678849E-2</v>
      </c>
      <c r="E51" s="81"/>
      <c r="F51" s="81"/>
      <c r="G51" s="280">
        <v>-4.6468851830414513E-2</v>
      </c>
      <c r="H51" s="280">
        <f>+Scenarios!C32</f>
        <v>2.2858562017300008E-2</v>
      </c>
      <c r="I51" s="280">
        <f t="shared" ref="I51:I57" si="3">+J4</f>
        <v>0.15823890359343337</v>
      </c>
      <c r="J51" s="316">
        <f t="shared" si="1"/>
        <v>-0.2936626251519534</v>
      </c>
      <c r="K51" s="293">
        <f t="shared" si="2"/>
        <v>0.14445601870467331</v>
      </c>
      <c r="L51" s="206"/>
      <c r="M51" s="206"/>
      <c r="N51" s="206"/>
      <c r="O51" s="206"/>
      <c r="P51" s="206"/>
      <c r="Q51" s="206"/>
      <c r="R51" s="206"/>
    </row>
    <row r="52" spans="1:18">
      <c r="A52" s="206"/>
      <c r="B52" s="277" t="s">
        <v>6</v>
      </c>
      <c r="C52" s="280">
        <v>0.14294511515742836</v>
      </c>
      <c r="D52" s="280">
        <v>4.8236186870114238E-2</v>
      </c>
      <c r="E52" s="81"/>
      <c r="F52" s="81"/>
      <c r="G52" s="280">
        <v>1.1104445427410514E-2</v>
      </c>
      <c r="H52" s="280">
        <f>+Scenarios!C33</f>
        <v>1.969557072360073E-2</v>
      </c>
      <c r="I52" s="280">
        <f t="shared" si="3"/>
        <v>0.168148277471422</v>
      </c>
      <c r="J52" s="316">
        <f t="shared" si="1"/>
        <v>6.6039602631658201E-2</v>
      </c>
      <c r="K52" s="293">
        <f>+H52/I52</f>
        <v>0.1171321587100298</v>
      </c>
      <c r="L52" s="206"/>
      <c r="M52" s="206"/>
      <c r="N52" s="206"/>
      <c r="O52" s="206"/>
      <c r="P52" s="206"/>
      <c r="Q52" s="206"/>
      <c r="R52" s="206"/>
    </row>
    <row r="53" spans="1:18">
      <c r="A53" s="206"/>
      <c r="B53" s="277" t="s">
        <v>7</v>
      </c>
      <c r="C53" s="280">
        <v>7.3688794074914882E-2</v>
      </c>
      <c r="D53" s="280">
        <v>4.4755655663184818E-2</v>
      </c>
      <c r="E53" s="81"/>
      <c r="F53" s="81"/>
      <c r="G53" s="280">
        <v>-5.8151875655102964E-2</v>
      </c>
      <c r="H53" s="280">
        <f>+Scenarios!C34</f>
        <v>1.5342489100108013E-2</v>
      </c>
      <c r="I53" s="280">
        <f t="shared" si="3"/>
        <v>0.29001927694608043</v>
      </c>
      <c r="J53" s="316">
        <f t="shared" si="1"/>
        <v>-0.20051038078380698</v>
      </c>
      <c r="K53" s="293">
        <f>+H53/I53</f>
        <v>5.2901618339530047E-2</v>
      </c>
      <c r="L53" s="206"/>
      <c r="M53" s="206"/>
      <c r="N53" s="206"/>
      <c r="O53" s="206"/>
      <c r="P53" s="206"/>
      <c r="Q53" s="206"/>
      <c r="R53" s="206"/>
    </row>
    <row r="54" spans="1:18">
      <c r="A54" s="206"/>
      <c r="B54" s="277" t="s">
        <v>8</v>
      </c>
      <c r="C54" s="280">
        <v>8.8200075364801303E-2</v>
      </c>
      <c r="D54" s="280">
        <v>0.11547766137672615</v>
      </c>
      <c r="E54" s="81"/>
      <c r="F54" s="81"/>
      <c r="G54" s="280">
        <v>-4.3640594365216501E-2</v>
      </c>
      <c r="H54" s="280">
        <f>+Scenarios!C35</f>
        <v>8.9680832159551499E-2</v>
      </c>
      <c r="I54" s="280">
        <f t="shared" si="3"/>
        <v>0.29774487154665702</v>
      </c>
      <c r="J54" s="316">
        <f t="shared" si="1"/>
        <v>-0.14657043172069534</v>
      </c>
      <c r="K54" s="293">
        <f t="shared" si="2"/>
        <v>0.30120025810586765</v>
      </c>
      <c r="L54" s="206"/>
      <c r="M54" s="206"/>
      <c r="N54" s="206"/>
      <c r="O54" s="206"/>
      <c r="P54" s="206"/>
      <c r="Q54" s="206"/>
      <c r="R54" s="206"/>
    </row>
    <row r="55" spans="1:18">
      <c r="B55" s="277" t="s">
        <v>9</v>
      </c>
      <c r="C55" s="280">
        <v>9.6125190679341666E-2</v>
      </c>
      <c r="D55" s="280">
        <v>8.8245130245983364E-2</v>
      </c>
      <c r="E55" s="81"/>
      <c r="F55" s="81"/>
      <c r="G55" s="280">
        <v>-3.571547905067618E-2</v>
      </c>
      <c r="H55" s="280">
        <f>+Scenarios!C36</f>
        <v>6.2036265615280854E-2</v>
      </c>
      <c r="I55" s="280">
        <f t="shared" si="3"/>
        <v>0.1465180543940868</v>
      </c>
      <c r="J55" s="316">
        <f t="shared" si="1"/>
        <v>-0.2437616251346946</v>
      </c>
      <c r="K55" s="293">
        <f t="shared" si="2"/>
        <v>0.42340355850223821</v>
      </c>
      <c r="L55" s="206"/>
      <c r="M55" s="206"/>
      <c r="N55" s="206"/>
      <c r="O55" s="206"/>
      <c r="P55" s="206"/>
      <c r="Q55" s="206"/>
      <c r="R55" s="206"/>
    </row>
    <row r="56" spans="1:18">
      <c r="B56" s="277" t="s">
        <v>10</v>
      </c>
      <c r="C56" s="280">
        <v>6.2658557549145399E-2</v>
      </c>
      <c r="D56" s="280">
        <v>3.2952299000522406E-2</v>
      </c>
      <c r="E56" s="81"/>
      <c r="F56" s="81"/>
      <c r="G56" s="280">
        <v>-6.9182112180872446E-2</v>
      </c>
      <c r="H56" s="280">
        <f>+Scenarios!C37</f>
        <v>1.488056303571629E-2</v>
      </c>
      <c r="I56" s="280">
        <f t="shared" si="3"/>
        <v>0.33576372020209261</v>
      </c>
      <c r="J56" s="316">
        <f t="shared" si="1"/>
        <v>-0.20604403638139485</v>
      </c>
      <c r="K56" s="293">
        <f t="shared" si="2"/>
        <v>4.4318555401875577E-2</v>
      </c>
      <c r="L56" s="206"/>
      <c r="M56" s="206"/>
      <c r="N56" s="206"/>
      <c r="O56" s="206"/>
      <c r="P56" s="206"/>
      <c r="Q56" s="206"/>
      <c r="R56" s="206"/>
    </row>
    <row r="57" spans="1:18">
      <c r="B57" s="278" t="s">
        <v>11</v>
      </c>
      <c r="C57" s="281">
        <v>7.3464510927495008E-2</v>
      </c>
      <c r="D57" s="281">
        <v>3.9406691481015818E-2</v>
      </c>
      <c r="E57" s="271"/>
      <c r="F57" s="271"/>
      <c r="G57" s="281">
        <v>-5.8376158802522837E-2</v>
      </c>
      <c r="H57" s="281">
        <f>+Scenarios!C38</f>
        <v>1.0171029512307597E-3</v>
      </c>
      <c r="I57" s="281">
        <f t="shared" si="3"/>
        <v>0.19915957675666104</v>
      </c>
      <c r="J57" s="317">
        <f t="shared" si="1"/>
        <v>-0.29311248674648732</v>
      </c>
      <c r="K57" s="296">
        <f t="shared" si="2"/>
        <v>5.1069748580229489E-3</v>
      </c>
      <c r="L57" s="206"/>
      <c r="M57" s="206"/>
      <c r="N57" s="206"/>
      <c r="O57" s="206"/>
      <c r="P57" s="206"/>
      <c r="Q57" s="206"/>
      <c r="R57" s="206"/>
    </row>
    <row r="58" spans="1:18">
      <c r="B58" s="80"/>
      <c r="C58" s="80"/>
      <c r="D58" s="80"/>
      <c r="E58" s="94"/>
      <c r="F58" s="94"/>
      <c r="G58" s="80"/>
      <c r="H58" s="80"/>
      <c r="I58" s="80"/>
      <c r="J58" s="80"/>
      <c r="L58" s="206"/>
      <c r="M58" s="206"/>
      <c r="N58" s="206"/>
      <c r="O58" s="206"/>
      <c r="P58" s="206"/>
      <c r="Q58" s="206"/>
      <c r="R58" s="206"/>
    </row>
    <row r="59" spans="1:18">
      <c r="B59" s="206"/>
      <c r="C59" s="206"/>
      <c r="D59" s="206"/>
      <c r="E59" s="206"/>
      <c r="F59" s="206"/>
      <c r="G59" s="206"/>
      <c r="H59" s="206"/>
      <c r="I59" s="206"/>
      <c r="J59" s="206"/>
      <c r="L59" s="206"/>
      <c r="M59" s="206"/>
      <c r="N59" s="206"/>
      <c r="O59" s="206"/>
      <c r="P59" s="206"/>
      <c r="Q59" s="206"/>
      <c r="R59" s="206"/>
    </row>
    <row r="60" spans="1:18">
      <c r="B60" s="206"/>
      <c r="C60" s="206"/>
      <c r="D60" s="206"/>
      <c r="E60" s="206"/>
      <c r="F60" s="206"/>
      <c r="G60" s="206"/>
      <c r="H60" s="206"/>
      <c r="I60" s="206"/>
      <c r="J60" s="206"/>
      <c r="L60" s="206"/>
      <c r="M60" s="206"/>
      <c r="N60" s="206"/>
      <c r="O60" s="206"/>
      <c r="P60" s="206"/>
      <c r="Q60" s="206"/>
      <c r="R60" s="206"/>
    </row>
    <row r="61" spans="1:18">
      <c r="B61" s="206"/>
      <c r="C61" s="206"/>
      <c r="D61" s="206"/>
      <c r="E61" s="206"/>
      <c r="F61" s="206"/>
      <c r="G61" s="206"/>
      <c r="H61" s="206"/>
      <c r="I61" s="206"/>
      <c r="J61" s="206"/>
      <c r="L61" s="206"/>
      <c r="M61" s="206"/>
      <c r="N61" s="206"/>
      <c r="O61" s="206"/>
      <c r="P61" s="206"/>
      <c r="Q61" s="206"/>
      <c r="R61" s="206"/>
    </row>
    <row r="62" spans="1:18">
      <c r="B62" s="206"/>
      <c r="C62" s="206"/>
      <c r="D62" s="206"/>
      <c r="E62" s="206"/>
      <c r="F62" s="206"/>
      <c r="G62" s="206"/>
      <c r="H62" s="206"/>
      <c r="I62" s="206"/>
      <c r="J62" s="206"/>
      <c r="L62" s="206"/>
      <c r="M62" s="206"/>
      <c r="N62" s="206"/>
      <c r="O62" s="206"/>
      <c r="P62" s="206"/>
      <c r="Q62" s="206"/>
      <c r="R62" s="206"/>
    </row>
    <row r="63" spans="1:18">
      <c r="B63" s="206"/>
      <c r="C63" s="206"/>
      <c r="D63" s="206"/>
      <c r="E63" s="206"/>
      <c r="F63" s="206"/>
      <c r="G63" s="206"/>
      <c r="H63" s="206"/>
      <c r="I63" s="206"/>
      <c r="J63" s="206"/>
      <c r="L63" s="206"/>
      <c r="M63" s="206"/>
      <c r="N63" s="206"/>
      <c r="O63" s="206"/>
      <c r="P63" s="206"/>
      <c r="Q63" s="206"/>
      <c r="R63" s="206"/>
    </row>
    <row r="64" spans="1:18">
      <c r="B64" s="206"/>
      <c r="C64" s="206"/>
      <c r="D64" s="206"/>
      <c r="E64" s="206"/>
      <c r="F64" s="206"/>
      <c r="G64" s="206"/>
      <c r="H64" s="206"/>
      <c r="I64" s="206"/>
      <c r="J64" s="206"/>
      <c r="L64" s="206"/>
      <c r="M64" s="206"/>
      <c r="N64" s="206"/>
      <c r="O64" s="206"/>
      <c r="P64" s="206"/>
      <c r="Q64" s="206"/>
      <c r="R64" s="206"/>
    </row>
    <row r="65" spans="2:13">
      <c r="B65" s="206"/>
      <c r="C65" s="206"/>
      <c r="D65" s="206"/>
      <c r="E65" s="206"/>
      <c r="F65" s="206"/>
      <c r="G65" s="206"/>
      <c r="H65" s="206"/>
      <c r="I65" s="206"/>
      <c r="J65" s="206"/>
      <c r="L65" s="206"/>
      <c r="M65" s="206"/>
    </row>
    <row r="66" spans="2:13">
      <c r="B66" s="206"/>
      <c r="C66" s="206"/>
      <c r="D66" s="206"/>
      <c r="E66" s="206"/>
      <c r="F66" s="206"/>
      <c r="G66" s="206"/>
      <c r="H66" s="206"/>
      <c r="I66" s="206"/>
      <c r="J66" s="206"/>
      <c r="L66" s="206"/>
      <c r="M66" s="206"/>
    </row>
    <row r="67" spans="2:13">
      <c r="B67" s="206"/>
      <c r="C67" s="206"/>
      <c r="D67" s="206"/>
      <c r="E67" s="206"/>
      <c r="F67" s="206"/>
      <c r="G67" s="206"/>
      <c r="H67" s="206"/>
      <c r="I67" s="206"/>
      <c r="J67" s="206"/>
      <c r="L67" s="206"/>
      <c r="M67" s="206"/>
    </row>
    <row r="68" spans="2:13">
      <c r="B68" s="206"/>
      <c r="C68" s="206"/>
      <c r="D68" s="206"/>
      <c r="E68" s="206"/>
      <c r="F68" s="206"/>
      <c r="G68" s="206"/>
      <c r="H68" s="206"/>
      <c r="I68" s="206"/>
      <c r="J68" s="206"/>
      <c r="L68" s="206"/>
      <c r="M68" s="206"/>
    </row>
    <row r="69" spans="2:13">
      <c r="B69" s="206"/>
      <c r="C69" s="206"/>
      <c r="D69" s="206"/>
      <c r="E69" s="206"/>
      <c r="F69" s="206"/>
      <c r="G69" s="206"/>
      <c r="H69" s="206"/>
      <c r="I69" s="206"/>
      <c r="J69" s="206"/>
      <c r="L69" s="206"/>
      <c r="M69" s="206"/>
    </row>
    <row r="70" spans="2:13">
      <c r="B70" s="206"/>
      <c r="C70" s="206"/>
      <c r="D70" s="206"/>
      <c r="E70" s="206"/>
      <c r="F70" s="206"/>
      <c r="G70" s="206"/>
      <c r="H70" s="206"/>
      <c r="I70" s="206"/>
      <c r="J70" s="206"/>
      <c r="L70" s="206"/>
      <c r="M70" s="206"/>
    </row>
    <row r="71" spans="2:13">
      <c r="B71" s="206"/>
      <c r="C71" s="206"/>
      <c r="D71" s="206"/>
      <c r="E71" s="206"/>
      <c r="F71" s="206"/>
      <c r="G71" s="206"/>
      <c r="H71" s="206"/>
      <c r="I71" s="206"/>
      <c r="J71" s="206"/>
      <c r="L71" s="206"/>
      <c r="M71" s="206"/>
    </row>
    <row r="72" spans="2:13">
      <c r="B72" s="206"/>
      <c r="C72" s="206"/>
      <c r="D72" s="206"/>
      <c r="E72" s="206"/>
      <c r="F72" s="206"/>
      <c r="G72" s="206"/>
      <c r="H72" s="206"/>
      <c r="I72" s="206"/>
      <c r="J72" s="206"/>
      <c r="L72" s="206"/>
      <c r="M72" s="206"/>
    </row>
    <row r="73" spans="2:13">
      <c r="B73" s="206"/>
      <c r="C73" s="206"/>
      <c r="D73" s="206"/>
      <c r="E73" s="206"/>
      <c r="F73" s="206"/>
      <c r="G73" s="206"/>
      <c r="H73" s="206"/>
      <c r="I73" s="206"/>
      <c r="J73" s="206"/>
      <c r="L73" s="206"/>
      <c r="M73" s="206"/>
    </row>
    <row r="74" spans="2:13">
      <c r="B74" s="206"/>
      <c r="C74" s="206"/>
      <c r="D74" s="206"/>
      <c r="E74" s="206"/>
      <c r="F74" s="206"/>
      <c r="G74" s="206"/>
      <c r="H74" s="206"/>
      <c r="I74" s="206"/>
      <c r="J74" s="206"/>
      <c r="L74" s="206"/>
      <c r="M74" s="206"/>
    </row>
    <row r="75" spans="2:13">
      <c r="B75" s="206"/>
      <c r="C75" s="206"/>
      <c r="D75" s="206"/>
      <c r="E75" s="206"/>
      <c r="F75" s="206"/>
      <c r="G75" s="206"/>
      <c r="H75" s="206"/>
      <c r="I75" s="206"/>
      <c r="J75" s="206"/>
      <c r="L75" s="206"/>
      <c r="M75" s="206"/>
    </row>
    <row r="76" spans="2:13">
      <c r="B76" s="206"/>
      <c r="C76" s="206"/>
      <c r="D76" s="206"/>
      <c r="E76" s="206"/>
      <c r="F76" s="206"/>
      <c r="G76" s="206"/>
      <c r="H76" s="206"/>
      <c r="I76" s="206"/>
      <c r="J76" s="206"/>
      <c r="L76" s="206"/>
      <c r="M76" s="206"/>
    </row>
    <row r="77" spans="2:13">
      <c r="B77" s="206"/>
      <c r="C77" s="206"/>
      <c r="D77" s="206"/>
      <c r="E77" s="206"/>
      <c r="F77" s="206"/>
      <c r="G77" s="206"/>
      <c r="H77" s="206"/>
      <c r="I77" s="206"/>
      <c r="J77" s="206"/>
      <c r="L77" s="206"/>
      <c r="M77" s="206"/>
    </row>
    <row r="78" spans="2:13">
      <c r="B78" s="206"/>
      <c r="C78" s="206"/>
      <c r="D78" s="206"/>
      <c r="E78" s="206"/>
      <c r="F78" s="206"/>
      <c r="G78" s="206"/>
      <c r="H78" s="206"/>
      <c r="I78" s="206"/>
      <c r="J78" s="206"/>
      <c r="L78" s="206"/>
      <c r="M78" s="206"/>
    </row>
    <row r="79" spans="2:13">
      <c r="M79" s="206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benchNR</vt:lpstr>
      <vt:lpstr>calibratieRendementen</vt:lpstr>
      <vt:lpstr>k</vt:lpstr>
      <vt:lpstr>TrackingErr</vt:lpstr>
      <vt:lpstr>vastNR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2013-01-10T16:07:24Z</dcterms:modified>
</cp:coreProperties>
</file>