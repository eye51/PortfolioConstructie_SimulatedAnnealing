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4415" windowHeight="12165" activeTab="1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H5" i="5"/>
  <c r="A12"/>
  <c r="A11"/>
  <c r="A10"/>
  <c r="A9"/>
  <c r="A8"/>
  <c r="A7"/>
  <c r="A6"/>
  <c r="B33" i="7"/>
  <c r="J26" i="11"/>
  <c r="H26"/>
  <c r="K26"/>
  <c r="B6" i="9"/>
  <c r="B7"/>
  <c r="J5" i="11"/>
  <c r="I28"/>
  <c r="J28"/>
  <c r="J6"/>
  <c r="I29"/>
  <c r="J7"/>
  <c r="I30"/>
  <c r="J30"/>
  <c r="J8"/>
  <c r="I31"/>
  <c r="J9"/>
  <c r="I32"/>
  <c r="J10"/>
  <c r="I33"/>
  <c r="J4"/>
  <c r="I27"/>
  <c r="J27"/>
  <c r="H30"/>
  <c r="H27"/>
  <c r="H28"/>
  <c r="H29"/>
  <c r="H31"/>
  <c r="H32"/>
  <c r="H33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C33" i="7"/>
  <c r="D33"/>
  <c r="F33"/>
  <c r="E33"/>
  <c r="G33"/>
  <c r="H33"/>
  <c r="I33"/>
  <c r="J12" i="11"/>
  <c r="I12"/>
  <c r="H12"/>
  <c r="E12"/>
  <c r="D12"/>
  <c r="C12"/>
  <c r="I10"/>
  <c r="H10"/>
  <c r="G10"/>
  <c r="F10"/>
  <c r="E10"/>
  <c r="D10"/>
  <c r="I9"/>
  <c r="H9"/>
  <c r="G9"/>
  <c r="F9"/>
  <c r="E9"/>
  <c r="D9"/>
  <c r="I8"/>
  <c r="H8"/>
  <c r="G8"/>
  <c r="F8"/>
  <c r="E8"/>
  <c r="D8"/>
  <c r="I7"/>
  <c r="H7"/>
  <c r="G7"/>
  <c r="F7"/>
  <c r="E7"/>
  <c r="D7"/>
  <c r="I6"/>
  <c r="H6"/>
  <c r="G6"/>
  <c r="F6"/>
  <c r="E6"/>
  <c r="D6"/>
  <c r="I5"/>
  <c r="H5"/>
  <c r="G5"/>
  <c r="F5"/>
  <c r="E5"/>
  <c r="D5"/>
  <c r="I4"/>
  <c r="H4"/>
  <c r="G4"/>
  <c r="F4"/>
  <c r="E4"/>
  <c r="D4"/>
  <c r="I3"/>
  <c r="H3"/>
  <c r="G3"/>
  <c r="F3"/>
  <c r="E3"/>
  <c r="D3"/>
  <c r="C10"/>
  <c r="C9"/>
  <c r="C8"/>
  <c r="C7"/>
  <c r="C6"/>
  <c r="C5"/>
  <c r="C4"/>
  <c r="C3"/>
  <c r="E35" i="7"/>
  <c r="F35"/>
  <c r="B31"/>
  <c r="B30"/>
  <c r="B29"/>
  <c r="B28"/>
  <c r="B27"/>
  <c r="B26"/>
  <c r="B25"/>
  <c r="B24"/>
  <c r="G7" i="9"/>
  <c r="G6"/>
  <c r="G3"/>
  <c r="G4"/>
  <c r="G5"/>
  <c r="G8"/>
  <c r="G9"/>
  <c r="G10"/>
  <c r="D10"/>
  <c r="D9"/>
  <c r="C10"/>
  <c r="C9"/>
  <c r="A21" i="5"/>
  <c r="A22"/>
  <c r="A23"/>
  <c r="A24"/>
  <c r="A25"/>
  <c r="A26"/>
  <c r="G5"/>
  <c r="B11" i="9"/>
  <c r="B27"/>
  <c r="D27" i="5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31" i="11"/>
  <c r="K31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27" i="11"/>
  <c r="H28" i="1"/>
  <c r="F30"/>
  <c r="D32"/>
  <c r="K33"/>
  <c r="J32" i="11"/>
  <c r="K32"/>
  <c r="K33"/>
  <c r="J33"/>
  <c r="K29"/>
  <c r="J29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0" i="11"/>
  <c r="K28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  <c r="I31" i="7"/>
  <c r="I30"/>
  <c r="I29"/>
  <c r="I28"/>
  <c r="I27"/>
  <c r="I26"/>
  <c r="I25"/>
  <c r="I24"/>
  <c r="I35"/>
  <c r="J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<sst xmlns="http://schemas.openxmlformats.org/spreadsheetml/2006/main" count="435" uniqueCount="152">
  <si>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</si>
  <si>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</si>
  <si>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</si>
  <si>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</si>
  <si>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</si>
  <si>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</si>
  <si>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</si>
  <si>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</si>
  <si>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</si>
  <si>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</si>
  <si>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</si>
  <si>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</si>
  <si>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</si>
  <si>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</si>
  <si>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</si>
  <si>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</si>
  <si>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</si>
  <si>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</si>
  <si>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</si>
  <si>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</si>
  <si>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</si>
  <si>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</si>
  <si>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</si>
  <si>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</si>
  <si>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</si>
  <si>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</si>
  <si>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</si>
  <si>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</si>
  <si>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</si>
  <si>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</si>
  <si>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</si>
  <si>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</si>
  <si>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</si>
  <si>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</si>
  <si>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</si>
  <si>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</si>
  <si>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</si>
  <si>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</si>
  <si>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</si>
  <si>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</si>
  <si>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</si>
  <si>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</si>
  <si>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</si>
  <si>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</si>
  <si>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</si>
  <si>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</si>
  <si>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</si>
  <si>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</si>
  <si>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</si>
  <si>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</si>
  <si>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</si>
  <si>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</si>
  <si>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</si>
  <si>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</si>
  <si>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</si>
  <si>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</si>
  <si>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</si>
  <si>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</si>
  <si>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</si>
  <si>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</si>
  <si>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</si>
  <si>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</si>
  <si>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</si>
  <si>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</si>
  <si>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</si>
  <si>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</si>
  <si>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</si>
  <si>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</si>
  <si>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</si>
  <si>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</si>
  <si>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</si>
  <si>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</si>
  <si>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</si>
  <si>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</si>
  <si>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</si>
  <si>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</si>
  <si>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</si>
  <si>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</si>
  <si>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</si>
  <si>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</si>
  <si>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</si>
  <si>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</si>
  <si>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</si>
  <si>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</si>
  <si>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</si>
  <si>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</si>
  <si>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</si>
  <si>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</si>
  <si>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</si>
  <si>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</si>
  <si>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</si>
  <si>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</si>
  <si>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</si>
  <si>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</si>
  <si>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</si>
  <si>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</si>
  <si>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</si>
  <si>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</si>
  <si>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</si>
  <si>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</si>
  <si>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</si>
  <si>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</si>
  <si>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</si>
  <si>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</si>
  <si>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</si>
  <si>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</si>
  <si>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</si>
  <si>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</si>
  <si>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</si>
  <si>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</si>
  <si>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</si>
  <si>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</si>
  <si>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</si>
  <si>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</si>
  <si>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</si>
  <si>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</si>
  <si>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</si>
  <si>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</si>
  <si>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</si>
  <si>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</si>
  <si>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</si>
  <si>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</si>
  <si>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</si>
  <si>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</si>
  <si>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</si>
  <si>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</si>
  <si>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</si>
  <si>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</si>
  <si>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</si>
  <si>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</si>
  <si>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</si>
  <si>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</si>
  <si>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</si>
  <si>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</si>
  <si>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</si>
  <si>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</si>
  <si>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</si>
  <si>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</si>
  <si>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</si>
  <si>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</si>
  <si>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</si>
  <si>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</si>
  <si>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</si>
  <si>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</si>
  <si>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</si>
  <si>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</si>
  <si>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</si>
  <si>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</si>
  <si>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</si>
  <si>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leeg</t>
  </si>
  <si>
    <t>Oil Scenario</t>
  </si>
  <si>
    <t>leeg2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</si>
</sst>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9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655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45"/>
          <c:w val="0.5562682138416909"/>
          <c:h val="0.692582184133051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859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0.64766517686265979</c:v>
                </c:pt>
                <c:pt idx="1">
                  <c:v>8.4241886801590157E-2</c:v>
                </c:pt>
                <c:pt idx="2">
                  <c:v>7.9334547678456518E-2</c:v>
                </c:pt>
                <c:pt idx="3">
                  <c:v>7.7910827116559708E-2</c:v>
                </c:pt>
                <c:pt idx="4">
                  <c:v>2.8116666145894708E-2</c:v>
                </c:pt>
                <c:pt idx="5">
                  <c:v>1.9917178397705921E-3</c:v>
                </c:pt>
                <c:pt idx="6">
                  <c:v>3.2197057464982567E-2</c:v>
                </c:pt>
                <c:pt idx="7">
                  <c:v>4.8542120090085746E-2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3995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overlap val="100"/>
        <c:axId val="290980992"/>
        <c:axId val="29098291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290980992"/>
        <c:axId val="290982912"/>
      </c:lineChart>
      <c:catAx>
        <c:axId val="290980992"/>
        <c:scaling>
          <c:orientation val="minMax"/>
        </c:scaling>
        <c:axPos val="b"/>
        <c:tickLblPos val="nextTo"/>
        <c:crossAx val="290982912"/>
        <c:crosses val="autoZero"/>
        <c:auto val="1"/>
        <c:lblAlgn val="ctr"/>
        <c:lblOffset val="100"/>
      </c:catAx>
      <c:valAx>
        <c:axId val="290982912"/>
        <c:scaling>
          <c:orientation val="minMax"/>
        </c:scaling>
        <c:axPos val="l"/>
        <c:majorGridlines/>
        <c:numFmt formatCode="0%" sourceLinked="0"/>
        <c:tickLblPos val="nextTo"/>
        <c:crossAx val="2909809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Oil Scenario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-0.38283826947647942</c:v>
                </c:pt>
                <c:pt idx="2">
                  <c:v>-0.29111355069419037</c:v>
                </c:pt>
                <c:pt idx="3">
                  <c:v>-0.56036820871694393</c:v>
                </c:pt>
                <c:pt idx="4">
                  <c:v>-0.39124920785250294</c:v>
                </c:pt>
                <c:pt idx="5">
                  <c:v>-0.12960886463070243</c:v>
                </c:pt>
                <c:pt idx="6">
                  <c:v>-0.20832260584427478</c:v>
                </c:pt>
                <c:pt idx="7">
                  <c:v>-0.4683750016502275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leeg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leeg2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291073024"/>
        <c:axId val="291087104"/>
      </c:barChart>
      <c:catAx>
        <c:axId val="291073024"/>
        <c:scaling>
          <c:orientation val="minMax"/>
        </c:scaling>
        <c:axPos val="b"/>
        <c:tickLblPos val="nextTo"/>
        <c:crossAx val="291087104"/>
        <c:crosses val="autoZero"/>
        <c:auto val="1"/>
        <c:lblAlgn val="ctr"/>
        <c:lblOffset val="100"/>
      </c:catAx>
      <c:valAx>
        <c:axId val="291087104"/>
        <c:scaling>
          <c:orientation val="minMax"/>
        </c:scaling>
        <c:axPos val="l"/>
        <c:majorGridlines/>
        <c:numFmt formatCode="0.0%" sourceLinked="1"/>
        <c:tickLblPos val="nextTo"/>
        <c:crossAx val="291073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749"/>
          <c:y val="0.30999086720261948"/>
          <c:w val="0.27290015295627634"/>
          <c:h val="0.50313982945017544"/>
        </c:manualLayout>
      </c:layout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195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overlap val="100"/>
        <c:axId val="292563584"/>
        <c:axId val="29258214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292563584"/>
        <c:axId val="292582144"/>
      </c:lineChart>
      <c:catAx>
        <c:axId val="292563584"/>
        <c:scaling>
          <c:orientation val="minMax"/>
        </c:scaling>
        <c:axPos val="b"/>
        <c:numFmt formatCode="General" sourceLinked="1"/>
        <c:tickLblPos val="nextTo"/>
        <c:crossAx val="292582144"/>
        <c:crosses val="autoZero"/>
        <c:auto val="1"/>
        <c:lblAlgn val="ctr"/>
        <c:lblOffset val="100"/>
      </c:catAx>
      <c:valAx>
        <c:axId val="292582144"/>
        <c:scaling>
          <c:orientation val="minMax"/>
        </c:scaling>
        <c:axPos val="l"/>
        <c:majorGridlines/>
        <c:numFmt formatCode="0%" sourceLinked="0"/>
        <c:tickLblPos val="nextTo"/>
        <c:crossAx val="29256358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Oil Scenario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-0.38283826947647942</c:v>
                </c:pt>
                <c:pt idx="2">
                  <c:v>-0.29111355069419037</c:v>
                </c:pt>
                <c:pt idx="3">
                  <c:v>-0.56036820871694393</c:v>
                </c:pt>
                <c:pt idx="4">
                  <c:v>-0.39124920785250294</c:v>
                </c:pt>
                <c:pt idx="5">
                  <c:v>-0.12960886463070243</c:v>
                </c:pt>
                <c:pt idx="6">
                  <c:v>-0.20832260584427478</c:v>
                </c:pt>
                <c:pt idx="7">
                  <c:v>-0.4683750016502275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leeg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leeg2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297677568"/>
        <c:axId val="297679104"/>
      </c:barChart>
      <c:catAx>
        <c:axId val="297677568"/>
        <c:scaling>
          <c:orientation val="minMax"/>
        </c:scaling>
        <c:axPos val="b"/>
        <c:tickLblPos val="nextTo"/>
        <c:crossAx val="297679104"/>
        <c:crosses val="autoZero"/>
        <c:auto val="1"/>
        <c:lblAlgn val="ctr"/>
        <c:lblOffset val="100"/>
      </c:catAx>
      <c:valAx>
        <c:axId val="297679104"/>
        <c:scaling>
          <c:orientation val="minMax"/>
        </c:scaling>
        <c:axPos val="l"/>
        <c:majorGridlines/>
        <c:numFmt formatCode="0.0%" sourceLinked="1"/>
        <c:tickLblPos val="nextTo"/>
        <c:crossAx val="297677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02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0.60685293966378939</c:v>
                </c:pt>
                <c:pt idx="1">
                  <c:v>6.2095766169386016E-2</c:v>
                </c:pt>
                <c:pt idx="2">
                  <c:v>6.0902294935960263E-2</c:v>
                </c:pt>
                <c:pt idx="3">
                  <c:v>8.630029391250367E-2</c:v>
                </c:pt>
                <c:pt idx="4">
                  <c:v>3.2881055445553309E-2</c:v>
                </c:pt>
                <c:pt idx="5">
                  <c:v>2.478558067648472E-3</c:v>
                </c:pt>
                <c:pt idx="6">
                  <c:v>3.1018211961084816E-2</c:v>
                </c:pt>
                <c:pt idx="7">
                  <c:v>5.1207077901219644E-2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1.0627434623271315E-2</c:v>
                </c:pt>
                <c:pt idx="1">
                  <c:v>1.0596741127039358E-2</c:v>
                </c:pt>
                <c:pt idx="2">
                  <c:v>1.1231676436048527E-2</c:v>
                </c:pt>
                <c:pt idx="3">
                  <c:v>9.8702637788123798E-3</c:v>
                </c:pt>
                <c:pt idx="4">
                  <c:v>1.0523976924237843E-2</c:v>
                </c:pt>
                <c:pt idx="5">
                  <c:v>1.0823761399952274E-2</c:v>
                </c:pt>
                <c:pt idx="6">
                  <c:v>1.3265924834332428E-3</c:v>
                </c:pt>
                <c:pt idx="7">
                  <c:v>1.2633551700596893E-3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1.0995985382077245E-2</c:v>
                </c:pt>
                <c:pt idx="1">
                  <c:v>9.2440804779241187E-3</c:v>
                </c:pt>
                <c:pt idx="2">
                  <c:v>1.1060477149590367E-2</c:v>
                </c:pt>
                <c:pt idx="3">
                  <c:v>8.3370980325291194E-3</c:v>
                </c:pt>
                <c:pt idx="4">
                  <c:v>8.6922118370629381E-3</c:v>
                </c:pt>
                <c:pt idx="5">
                  <c:v>7.5752218763469638E-3</c:v>
                </c:pt>
                <c:pt idx="6">
                  <c:v>1.2122777364945228E-3</c:v>
                </c:pt>
                <c:pt idx="7">
                  <c:v>1.3005043670665378E-3</c:v>
                </c:pt>
              </c:numCache>
            </c:numRef>
          </c:val>
        </c:ser>
        <c:gapWidth val="100"/>
        <c:overlap val="100"/>
        <c:axId val="298185088"/>
        <c:axId val="298186624"/>
      </c:barChart>
      <c:catAx>
        <c:axId val="298185088"/>
        <c:scaling>
          <c:orientation val="minMax"/>
        </c:scaling>
        <c:axPos val="l"/>
        <c:numFmt formatCode="0%" sourceLinked="1"/>
        <c:tickLblPos val="nextTo"/>
        <c:crossAx val="298186624"/>
        <c:crosses val="autoZero"/>
        <c:auto val="1"/>
        <c:lblAlgn val="ctr"/>
        <c:lblOffset val="100"/>
      </c:catAx>
      <c:valAx>
        <c:axId val="298186624"/>
        <c:scaling>
          <c:orientation val="minMax"/>
        </c:scaling>
        <c:axPos val="b"/>
        <c:majorGridlines/>
        <c:numFmt formatCode="0%" sourceLinked="0"/>
        <c:tickLblPos val="nextTo"/>
        <c:crossAx val="29818508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298367616"/>
        <c:axId val="298807680"/>
      </c:barChart>
      <c:catAx>
        <c:axId val="298367616"/>
        <c:scaling>
          <c:orientation val="minMax"/>
        </c:scaling>
        <c:axPos val="l"/>
        <c:numFmt formatCode="0%" sourceLinked="1"/>
        <c:tickLblPos val="nextTo"/>
        <c:crossAx val="298807680"/>
        <c:crosses val="autoZero"/>
        <c:auto val="1"/>
        <c:lblAlgn val="ctr"/>
        <c:lblOffset val="100"/>
      </c:catAx>
      <c:valAx>
        <c:axId val="298807680"/>
        <c:scaling>
          <c:orientation val="minMax"/>
        </c:scaling>
        <c:axPos val="b"/>
        <c:majorGridlines/>
        <c:numFmt formatCode="0%" sourceLinked="0"/>
        <c:tickLblPos val="nextTo"/>
        <c:crossAx val="2983676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0.60476908758970749</c:v>
                </c:pt>
                <c:pt idx="1">
                  <c:v>6.3348424639620482E-2</c:v>
                </c:pt>
                <c:pt idx="2">
                  <c:v>6.2083004993910486E-2</c:v>
                </c:pt>
                <c:pt idx="3">
                  <c:v>8.3775798399359142E-2</c:v>
                </c:pt>
                <c:pt idx="4">
                  <c:v>3.3048385575982747E-2</c:v>
                </c:pt>
                <c:pt idx="5">
                  <c:v>2.408825789746221E-3</c:v>
                </c:pt>
                <c:pt idx="6">
                  <c:v>3.1050155747231988E-2</c:v>
                </c:pt>
                <c:pt idx="7">
                  <c:v>5.1344778324763966E-2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1.3053773900445709E-2</c:v>
                </c:pt>
                <c:pt idx="1">
                  <c:v>1.105871129867339E-2</c:v>
                </c:pt>
                <c:pt idx="2">
                  <c:v>1.1189955020740015E-2</c:v>
                </c:pt>
                <c:pt idx="3">
                  <c:v>9.9404367930919363E-3</c:v>
                </c:pt>
                <c:pt idx="4">
                  <c:v>1.0383894180649944E-2</c:v>
                </c:pt>
                <c:pt idx="5">
                  <c:v>9.9763308257913262E-3</c:v>
                </c:pt>
                <c:pt idx="6">
                  <c:v>1.3364137770458667E-3</c:v>
                </c:pt>
                <c:pt idx="7">
                  <c:v>1.2320231432392525E-3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1.2802093324892461E-2</c:v>
                </c:pt>
                <c:pt idx="1">
                  <c:v>1.1487335645452679E-2</c:v>
                </c:pt>
                <c:pt idx="2">
                  <c:v>1.0076950149584291E-2</c:v>
                </c:pt>
                <c:pt idx="3">
                  <c:v>8.4684431067761495E-3</c:v>
                </c:pt>
                <c:pt idx="4">
                  <c:v>8.1118553463236931E-3</c:v>
                </c:pt>
                <c:pt idx="5">
                  <c:v>6.8873780199017725E-3</c:v>
                </c:pt>
                <c:pt idx="6">
                  <c:v>1.2517644609591275E-3</c:v>
                </c:pt>
                <c:pt idx="7">
                  <c:v>1.3368440206196555E-3</c:v>
                </c:pt>
              </c:numCache>
            </c:numRef>
          </c:val>
        </c:ser>
        <c:gapWidth val="100"/>
        <c:overlap val="100"/>
        <c:axId val="315692544"/>
        <c:axId val="315694080"/>
      </c:barChart>
      <c:catAx>
        <c:axId val="315692544"/>
        <c:scaling>
          <c:orientation val="minMax"/>
        </c:scaling>
        <c:axPos val="l"/>
        <c:numFmt formatCode="0%" sourceLinked="1"/>
        <c:tickLblPos val="nextTo"/>
        <c:crossAx val="315694080"/>
        <c:crosses val="autoZero"/>
        <c:auto val="1"/>
        <c:lblAlgn val="ctr"/>
        <c:lblOffset val="100"/>
      </c:catAx>
      <c:valAx>
        <c:axId val="315694080"/>
        <c:scaling>
          <c:orientation val="minMax"/>
        </c:scaling>
        <c:axPos val="b"/>
        <c:majorGridlines/>
        <c:numFmt formatCode="0%" sourceLinked="0"/>
        <c:tickLblPos val="nextTo"/>
        <c:crossAx val="3156925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0.60471850133552607</c:v>
                </c:pt>
                <c:pt idx="1">
                  <c:v>6.3057269484583123E-2</c:v>
                </c:pt>
                <c:pt idx="2">
                  <c:v>6.1422355152492267E-2</c:v>
                </c:pt>
                <c:pt idx="3">
                  <c:v>8.4430354319710604E-2</c:v>
                </c:pt>
                <c:pt idx="4">
                  <c:v>3.3048385575982747E-2</c:v>
                </c:pt>
                <c:pt idx="5">
                  <c:v>2.3746519073681192E-3</c:v>
                </c:pt>
                <c:pt idx="6">
                  <c:v>3.1002466762535742E-2</c:v>
                </c:pt>
                <c:pt idx="7">
                  <c:v>5.1414632363067925E-2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1.3208836477253683E-2</c:v>
                </c:pt>
                <c:pt idx="1">
                  <c:v>1.1371710333177437E-2</c:v>
                </c:pt>
                <c:pt idx="2">
                  <c:v>1.1551605260254297E-2</c:v>
                </c:pt>
                <c:pt idx="3">
                  <c:v>9.734233437946091E-3</c:v>
                </c:pt>
                <c:pt idx="4">
                  <c:v>1.0345971839081008E-2</c:v>
                </c:pt>
                <c:pt idx="5">
                  <c:v>9.7626553252392681E-3</c:v>
                </c:pt>
                <c:pt idx="6">
                  <c:v>1.3525928225672154E-3</c:v>
                </c:pt>
                <c:pt idx="7">
                  <c:v>1.2037776032143635E-3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1.2560771912118907E-2</c:v>
                </c:pt>
                <c:pt idx="1">
                  <c:v>1.1094506519153308E-2</c:v>
                </c:pt>
                <c:pt idx="2">
                  <c:v>1.0297210858554229E-2</c:v>
                </c:pt>
                <c:pt idx="3">
                  <c:v>8.5194051636126034E-3</c:v>
                </c:pt>
                <c:pt idx="4">
                  <c:v>8.2905369596572992E-3</c:v>
                </c:pt>
                <c:pt idx="5">
                  <c:v>6.9691776169714722E-3</c:v>
                </c:pt>
                <c:pt idx="6">
                  <c:v>1.2252370843586907E-3</c:v>
                </c:pt>
                <c:pt idx="7">
                  <c:v>1.3472392470998337E-3</c:v>
                </c:pt>
              </c:numCache>
            </c:numRef>
          </c:val>
        </c:ser>
        <c:gapWidth val="100"/>
        <c:overlap val="100"/>
        <c:axId val="315727872"/>
        <c:axId val="315729408"/>
      </c:barChart>
      <c:catAx>
        <c:axId val="315727872"/>
        <c:scaling>
          <c:orientation val="minMax"/>
        </c:scaling>
        <c:axPos val="l"/>
        <c:tickLblPos val="nextTo"/>
        <c:crossAx val="315729408"/>
        <c:crosses val="autoZero"/>
        <c:auto val="1"/>
        <c:lblAlgn val="ctr"/>
        <c:lblOffset val="100"/>
      </c:catAx>
      <c:valAx>
        <c:axId val="315729408"/>
        <c:scaling>
          <c:orientation val="minMax"/>
        </c:scaling>
        <c:axPos val="b"/>
        <c:majorGridlines/>
        <c:numFmt formatCode="0%" sourceLinked="0"/>
        <c:tickLblPos val="nextTo"/>
        <c:crossAx val="3157278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Oil Scenario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0.64036243826388795</c:v>
                </c:pt>
                <c:pt idx="1">
                  <c:v>6.5136164087107817E-2</c:v>
                </c:pt>
                <c:pt idx="2">
                  <c:v>6.0388808265044266E-2</c:v>
                </c:pt>
                <c:pt idx="3">
                  <c:v>7.7067077497902647E-2</c:v>
                </c:pt>
                <c:pt idx="4">
                  <c:v>2.7372353259341467E-2</c:v>
                </c:pt>
                <c:pt idx="5">
                  <c:v>1.3626635478858817E-3</c:v>
                </c:pt>
                <c:pt idx="6">
                  <c:v>3.0221940113184215E-2</c:v>
                </c:pt>
                <c:pt idx="7">
                  <c:v>4.9894010772433765E-2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3.7364819616344525E-3</c:v>
                </c:pt>
                <c:pt idx="1">
                  <c:v>1.0263914949753122E-2</c:v>
                </c:pt>
                <c:pt idx="2">
                  <c:v>1.0843789601140227E-2</c:v>
                </c:pt>
                <c:pt idx="3">
                  <c:v>6.5789029242889069E-3</c:v>
                </c:pt>
                <c:pt idx="4">
                  <c:v>6.1235134891958753E-3</c:v>
                </c:pt>
                <c:pt idx="5">
                  <c:v>6.3376318586022377E-3</c:v>
                </c:pt>
                <c:pt idx="6">
                  <c:v>2.0487494816841811E-3</c:v>
                </c:pt>
                <c:pt idx="7">
                  <c:v>2.2615599269131398E-3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5.0772630140761832E-3</c:v>
                </c:pt>
                <c:pt idx="1">
                  <c:v>9.408500935595282E-3</c:v>
                </c:pt>
                <c:pt idx="2">
                  <c:v>9.7630622510654352E-3</c:v>
                </c:pt>
                <c:pt idx="3">
                  <c:v>4.4624836958215425E-3</c:v>
                </c:pt>
                <c:pt idx="4">
                  <c:v>4.3416216229610338E-3</c:v>
                </c:pt>
                <c:pt idx="5">
                  <c:v>4.020228676205437E-3</c:v>
                </c:pt>
                <c:pt idx="6">
                  <c:v>1.8954904034134551E-3</c:v>
                </c:pt>
                <c:pt idx="7">
                  <c:v>2.3621130044643723E-3</c:v>
                </c:pt>
              </c:numCache>
            </c:numRef>
          </c:val>
        </c:ser>
        <c:gapWidth val="100"/>
        <c:overlap val="100"/>
        <c:axId val="315783424"/>
        <c:axId val="315789312"/>
      </c:barChart>
      <c:catAx>
        <c:axId val="315783424"/>
        <c:scaling>
          <c:orientation val="minMax"/>
        </c:scaling>
        <c:axPos val="l"/>
        <c:tickLblPos val="nextTo"/>
        <c:crossAx val="315789312"/>
        <c:crosses val="autoZero"/>
        <c:auto val="1"/>
        <c:lblAlgn val="ctr"/>
        <c:lblOffset val="100"/>
      </c:catAx>
      <c:valAx>
        <c:axId val="315789312"/>
        <c:scaling>
          <c:orientation val="minMax"/>
        </c:scaling>
        <c:axPos val="b"/>
        <c:majorGridlines/>
        <c:numFmt formatCode="0%" sourceLinked="0"/>
        <c:tickLblPos val="nextTo"/>
        <c:crossAx val="3157834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leeg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0.6419592023368017</c:v>
                </c:pt>
                <c:pt idx="1">
                  <c:v>6.7171732274939805E-2</c:v>
                </c:pt>
                <c:pt idx="2">
                  <c:v>6.2380022602429697E-2</c:v>
                </c:pt>
                <c:pt idx="3">
                  <c:v>7.6322559949765389E-2</c:v>
                </c:pt>
                <c:pt idx="4">
                  <c:v>2.5092648891391629E-2</c:v>
                </c:pt>
                <c:pt idx="5">
                  <c:v>8.9747257419944739E-4</c:v>
                </c:pt>
                <c:pt idx="6">
                  <c:v>3.0241729031718966E-2</c:v>
                </c:pt>
                <c:pt idx="7">
                  <c:v>4.977871920309368E-2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3.9658005765027537E-3</c:v>
                </c:pt>
                <c:pt idx="1">
                  <c:v>9.6710806235476982E-3</c:v>
                </c:pt>
                <c:pt idx="2">
                  <c:v>1.0576256306587928E-2</c:v>
                </c:pt>
                <c:pt idx="3">
                  <c:v>6.5821392920170779E-3</c:v>
                </c:pt>
                <c:pt idx="4">
                  <c:v>5.3768375917588665E-3</c:v>
                </c:pt>
                <c:pt idx="5">
                  <c:v>5.5218731381193901E-3</c:v>
                </c:pt>
                <c:pt idx="6">
                  <c:v>2.1828075426718087E-3</c:v>
                </c:pt>
                <c:pt idx="7">
                  <c:v>2.2791180644540013E-3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4.279125680505369E-3</c:v>
                </c:pt>
                <c:pt idx="1">
                  <c:v>1.0096083944653819E-2</c:v>
                </c:pt>
                <c:pt idx="2">
                  <c:v>1.0165440531636455E-2</c:v>
                </c:pt>
                <c:pt idx="3">
                  <c:v>4.9017928532658628E-3</c:v>
                </c:pt>
                <c:pt idx="4">
                  <c:v>4.0058324707388238E-3</c:v>
                </c:pt>
                <c:pt idx="5">
                  <c:v>3.8570261254864558E-3</c:v>
                </c:pt>
                <c:pt idx="6">
                  <c:v>2.0099871882604398E-3</c:v>
                </c:pt>
                <c:pt idx="7">
                  <c:v>2.2161421550216595E-3</c:v>
                </c:pt>
              </c:numCache>
            </c:numRef>
          </c:val>
        </c:ser>
        <c:gapWidth val="100"/>
        <c:overlap val="100"/>
        <c:axId val="316805888"/>
        <c:axId val="316807424"/>
      </c:barChart>
      <c:catAx>
        <c:axId val="316805888"/>
        <c:scaling>
          <c:orientation val="minMax"/>
        </c:scaling>
        <c:axPos val="l"/>
        <c:tickLblPos val="nextTo"/>
        <c:crossAx val="316807424"/>
        <c:crosses val="autoZero"/>
        <c:auto val="1"/>
        <c:lblAlgn val="ctr"/>
        <c:lblOffset val="100"/>
      </c:catAx>
      <c:valAx>
        <c:axId val="316807424"/>
        <c:scaling>
          <c:orientation val="minMax"/>
        </c:scaling>
        <c:axPos val="b"/>
        <c:majorGridlines/>
        <c:numFmt formatCode="0%" sourceLinked="0"/>
        <c:tickLblPos val="nextTo"/>
        <c:crossAx val="3168058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0.60818202142087341</c:v>
                </c:pt>
                <c:pt idx="1">
                  <c:v>6.2656826921809072E-2</c:v>
                </c:pt>
                <c:pt idx="2">
                  <c:v>6.1188417939222965E-2</c:v>
                </c:pt>
                <c:pt idx="3">
                  <c:v>8.4082785732898568E-2</c:v>
                </c:pt>
                <c:pt idx="4">
                  <c:v>3.3725118556973493E-2</c:v>
                </c:pt>
                <c:pt idx="5">
                  <c:v>2.4680011516556404E-3</c:v>
                </c:pt>
                <c:pt idx="6">
                  <c:v>3.0974199200639159E-2</c:v>
                </c:pt>
                <c:pt idx="7">
                  <c:v>5.1217794388303033E-2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1.0580570375410714E-2</c:v>
                </c:pt>
                <c:pt idx="1">
                  <c:v>1.0348775943230248E-2</c:v>
                </c:pt>
                <c:pt idx="2">
                  <c:v>1.1660749775092245E-2</c:v>
                </c:pt>
                <c:pt idx="3">
                  <c:v>9.9815665889585597E-3</c:v>
                </c:pt>
                <c:pt idx="4">
                  <c:v>9.872611663870795E-3</c:v>
                </c:pt>
                <c:pt idx="5">
                  <c:v>1.0433828132457294E-2</c:v>
                </c:pt>
                <c:pt idx="6">
                  <c:v>1.3113094408841452E-3</c:v>
                </c:pt>
                <c:pt idx="7">
                  <c:v>1.3154227677204047E-3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1.1794712728568579E-2</c:v>
                </c:pt>
                <c:pt idx="1">
                  <c:v>1.0345739147753122E-2</c:v>
                </c:pt>
                <c:pt idx="2">
                  <c:v>1.0402010914192961E-2</c:v>
                </c:pt>
                <c:pt idx="3">
                  <c:v>8.4398571096428454E-3</c:v>
                </c:pt>
                <c:pt idx="4">
                  <c:v>8.3322191956550495E-3</c:v>
                </c:pt>
                <c:pt idx="5">
                  <c:v>7.2165781101702457E-3</c:v>
                </c:pt>
                <c:pt idx="6">
                  <c:v>1.2239235287996655E-3</c:v>
                </c:pt>
                <c:pt idx="7">
                  <c:v>1.3247213270053543E-3</c:v>
                </c:pt>
              </c:numCache>
            </c:numRef>
          </c:val>
        </c:ser>
        <c:gapWidth val="100"/>
        <c:overlap val="100"/>
        <c:axId val="316857344"/>
        <c:axId val="316936960"/>
      </c:barChart>
      <c:catAx>
        <c:axId val="316857344"/>
        <c:scaling>
          <c:orientation val="minMax"/>
        </c:scaling>
        <c:axPos val="l"/>
        <c:numFmt formatCode="0%" sourceLinked="1"/>
        <c:tickLblPos val="nextTo"/>
        <c:crossAx val="316936960"/>
        <c:crosses val="autoZero"/>
        <c:auto val="1"/>
        <c:lblAlgn val="ctr"/>
        <c:lblOffset val="100"/>
      </c:catAx>
      <c:valAx>
        <c:axId val="316936960"/>
        <c:scaling>
          <c:orientation val="minMax"/>
        </c:scaling>
        <c:axPos val="b"/>
        <c:majorGridlines/>
        <c:numFmt formatCode="0%" sourceLinked="0"/>
        <c:tickLblPos val="nextTo"/>
        <c:crossAx val="3168573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leeg2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0.64036243826388795</c:v>
                </c:pt>
                <c:pt idx="1">
                  <c:v>6.5136164087107817E-2</c:v>
                </c:pt>
                <c:pt idx="2">
                  <c:v>6.0388808265044266E-2</c:v>
                </c:pt>
                <c:pt idx="3">
                  <c:v>7.7067077497902647E-2</c:v>
                </c:pt>
                <c:pt idx="4">
                  <c:v>2.7372353259341467E-2</c:v>
                </c:pt>
                <c:pt idx="5">
                  <c:v>1.3626635478858817E-3</c:v>
                </c:pt>
                <c:pt idx="6">
                  <c:v>3.0221940113184215E-2</c:v>
                </c:pt>
                <c:pt idx="7">
                  <c:v>4.9894010772433765E-2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3.7364819616344525E-3</c:v>
                </c:pt>
                <c:pt idx="1">
                  <c:v>1.0263914949753122E-2</c:v>
                </c:pt>
                <c:pt idx="2">
                  <c:v>1.0843789601140227E-2</c:v>
                </c:pt>
                <c:pt idx="3">
                  <c:v>6.5789029242889069E-3</c:v>
                </c:pt>
                <c:pt idx="4">
                  <c:v>6.1235134891958753E-3</c:v>
                </c:pt>
                <c:pt idx="5">
                  <c:v>6.3376318586022377E-3</c:v>
                </c:pt>
                <c:pt idx="6">
                  <c:v>2.0487494816841811E-3</c:v>
                </c:pt>
                <c:pt idx="7">
                  <c:v>2.2615599269131398E-3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5.0772630140761832E-3</c:v>
                </c:pt>
                <c:pt idx="1">
                  <c:v>9.408500935595282E-3</c:v>
                </c:pt>
                <c:pt idx="2">
                  <c:v>9.7630622510654352E-3</c:v>
                </c:pt>
                <c:pt idx="3">
                  <c:v>4.4624836958215425E-3</c:v>
                </c:pt>
                <c:pt idx="4">
                  <c:v>4.3416216229610338E-3</c:v>
                </c:pt>
                <c:pt idx="5">
                  <c:v>4.020228676205437E-3</c:v>
                </c:pt>
                <c:pt idx="6">
                  <c:v>1.8954904034134551E-3</c:v>
                </c:pt>
                <c:pt idx="7">
                  <c:v>2.3621130044643723E-3</c:v>
                </c:pt>
              </c:numCache>
            </c:numRef>
          </c:val>
        </c:ser>
        <c:gapWidth val="100"/>
        <c:overlap val="100"/>
        <c:axId val="316970496"/>
        <c:axId val="316972032"/>
      </c:barChart>
      <c:catAx>
        <c:axId val="316970496"/>
        <c:scaling>
          <c:orientation val="minMax"/>
        </c:scaling>
        <c:axPos val="l"/>
        <c:tickLblPos val="nextTo"/>
        <c:crossAx val="316972032"/>
        <c:crosses val="autoZero"/>
        <c:auto val="1"/>
        <c:lblAlgn val="ctr"/>
        <c:lblOffset val="100"/>
      </c:catAx>
      <c:valAx>
        <c:axId val="316972032"/>
        <c:scaling>
          <c:orientation val="minMax"/>
        </c:scaling>
        <c:axPos val="b"/>
        <c:majorGridlines/>
        <c:numFmt formatCode="0%" sourceLinked="0"/>
        <c:tickLblPos val="nextTo"/>
        <c:crossAx val="3169704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0.15591226702347599</c:v>
                </c:pt>
                <c:pt idx="1">
                  <c:v>0.15117243403694083</c:v>
                </c:pt>
                <c:pt idx="2">
                  <c:v>0.21791638189222154</c:v>
                </c:pt>
                <c:pt idx="3">
                  <c:v>7.9174992761208901E-2</c:v>
                </c:pt>
                <c:pt idx="4">
                  <c:v>2.8813867615899713E-3</c:v>
                </c:pt>
                <c:pt idx="5">
                  <c:v>7.9265317064865518E-2</c:v>
                </c:pt>
                <c:pt idx="6">
                  <c:v>0.13066865837258154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3.3925688475010179E-2</c:v>
                </c:pt>
                <c:pt idx="1">
                  <c:v>3.7158742851124249E-2</c:v>
                </c:pt>
                <c:pt idx="2">
                  <c:v>3.3716861394432668E-2</c:v>
                </c:pt>
                <c:pt idx="3">
                  <c:v>3.430746473719401E-2</c:v>
                </c:pt>
                <c:pt idx="4">
                  <c:v>3.1775066443636153E-2</c:v>
                </c:pt>
                <c:pt idx="5">
                  <c:v>5.415801426779554E-3</c:v>
                </c:pt>
                <c:pt idx="6">
                  <c:v>6.7089367589387161E-3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3.4940916704987474E-2</c:v>
                </c:pt>
                <c:pt idx="1">
                  <c:v>3.6699058879523377E-2</c:v>
                </c:pt>
                <c:pt idx="2">
                  <c:v>3.3751754397277733E-2</c:v>
                </c:pt>
                <c:pt idx="3">
                  <c:v>3.6468247137871057E-2</c:v>
                </c:pt>
                <c:pt idx="4">
                  <c:v>3.3765432150276338E-2</c:v>
                </c:pt>
                <c:pt idx="5">
                  <c:v>5.4782980494516159E-3</c:v>
                </c:pt>
                <c:pt idx="6">
                  <c:v>7.0067672491181954E-3</c:v>
                </c:pt>
              </c:numCache>
            </c:numRef>
          </c:val>
        </c:ser>
        <c:gapWidth val="101"/>
        <c:overlap val="100"/>
        <c:axId val="358199680"/>
        <c:axId val="358201216"/>
      </c:barChart>
      <c:catAx>
        <c:axId val="358199680"/>
        <c:scaling>
          <c:orientation val="minMax"/>
        </c:scaling>
        <c:axPos val="l"/>
        <c:tickLblPos val="nextTo"/>
        <c:crossAx val="358201216"/>
        <c:crosses val="autoZero"/>
        <c:auto val="1"/>
        <c:lblAlgn val="ctr"/>
        <c:lblOffset val="100"/>
      </c:catAx>
      <c:valAx>
        <c:axId val="358201216"/>
        <c:scaling>
          <c:orientation val="minMax"/>
        </c:scaling>
        <c:axPos val="b"/>
        <c:majorGridlines/>
        <c:numFmt formatCode="0%" sourceLinked="0"/>
        <c:tickLblPos val="nextTo"/>
        <c:crossAx val="3581996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0.15800543959906896</c:v>
                </c:pt>
                <c:pt idx="1">
                  <c:v>0.15672101698410776</c:v>
                </c:pt>
                <c:pt idx="2">
                  <c:v>0.21213711429041712</c:v>
                </c:pt>
                <c:pt idx="3">
                  <c:v>8.0000203258568603E-2</c:v>
                </c:pt>
                <c:pt idx="4">
                  <c:v>2.7079122302411432E-3</c:v>
                </c:pt>
                <c:pt idx="5">
                  <c:v>7.9048680899382232E-2</c:v>
                </c:pt>
                <c:pt idx="6">
                  <c:v>0.13050755333482073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3.6424558075824953E-2</c:v>
                </c:pt>
                <c:pt idx="1">
                  <c:v>3.4719898981420833E-2</c:v>
                </c:pt>
                <c:pt idx="2">
                  <c:v>3.3310455107802145E-2</c:v>
                </c:pt>
                <c:pt idx="3">
                  <c:v>3.3642277798762762E-2</c:v>
                </c:pt>
                <c:pt idx="4">
                  <c:v>2.960210376850907E-2</c:v>
                </c:pt>
                <c:pt idx="5">
                  <c:v>5.853088054881217E-3</c:v>
                </c:pt>
                <c:pt idx="6">
                  <c:v>7.3196976161922223E-3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3.8462013606638173E-2</c:v>
                </c:pt>
                <c:pt idx="1">
                  <c:v>3.5381016470598992E-2</c:v>
                </c:pt>
                <c:pt idx="2">
                  <c:v>3.3481004077312415E-2</c:v>
                </c:pt>
                <c:pt idx="3">
                  <c:v>3.5480699547278408E-2</c:v>
                </c:pt>
                <c:pt idx="4">
                  <c:v>3.0488056684947633E-2</c:v>
                </c:pt>
                <c:pt idx="5">
                  <c:v>5.2977345175024698E-3</c:v>
                </c:pt>
                <c:pt idx="6">
                  <c:v>8.1943232250351328E-3</c:v>
                </c:pt>
              </c:numCache>
            </c:numRef>
          </c:val>
        </c:ser>
        <c:gapWidth val="101"/>
        <c:overlap val="100"/>
        <c:axId val="358218368"/>
        <c:axId val="358228352"/>
      </c:barChart>
      <c:catAx>
        <c:axId val="358218368"/>
        <c:scaling>
          <c:orientation val="minMax"/>
        </c:scaling>
        <c:axPos val="l"/>
        <c:tickLblPos val="nextTo"/>
        <c:crossAx val="358228352"/>
        <c:crosses val="autoZero"/>
        <c:auto val="1"/>
        <c:lblAlgn val="ctr"/>
        <c:lblOffset val="100"/>
      </c:catAx>
      <c:valAx>
        <c:axId val="358228352"/>
        <c:scaling>
          <c:orientation val="minMax"/>
        </c:scaling>
        <c:axPos val="b"/>
        <c:majorGridlines/>
        <c:numFmt formatCode="0%" sourceLinked="0"/>
        <c:tickLblPos val="nextTo"/>
        <c:crossAx val="3582183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0.15666386171058955</c:v>
                </c:pt>
                <c:pt idx="1">
                  <c:v>0.1531095875659336</c:v>
                </c:pt>
                <c:pt idx="2">
                  <c:v>0.21144841406731088</c:v>
                </c:pt>
                <c:pt idx="3">
                  <c:v>8.0444530347486887E-2</c:v>
                </c:pt>
                <c:pt idx="4">
                  <c:v>2.5806631642628928E-3</c:v>
                </c:pt>
                <c:pt idx="5">
                  <c:v>7.9241309425096079E-2</c:v>
                </c:pt>
                <c:pt idx="6">
                  <c:v>0.13083247530454239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3.4586486854214615E-2</c:v>
                </c:pt>
                <c:pt idx="1">
                  <c:v>3.7754387217003527E-2</c:v>
                </c:pt>
                <c:pt idx="2">
                  <c:v>3.5540690978474038E-2</c:v>
                </c:pt>
                <c:pt idx="3">
                  <c:v>3.389065306051306E-2</c:v>
                </c:pt>
                <c:pt idx="4">
                  <c:v>3.1125876513939596E-2</c:v>
                </c:pt>
                <c:pt idx="5">
                  <c:v>5.5838581876639787E-3</c:v>
                </c:pt>
                <c:pt idx="6">
                  <c:v>7.1972056029688536E-3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3.7731106226528754E-2</c:v>
                </c:pt>
                <c:pt idx="1">
                  <c:v>3.6660435434208855E-2</c:v>
                </c:pt>
                <c:pt idx="2">
                  <c:v>3.58792282508828E-2</c:v>
                </c:pt>
                <c:pt idx="3">
                  <c:v>3.5124785360219291E-2</c:v>
                </c:pt>
                <c:pt idx="4">
                  <c:v>3.4313916551780149E-2</c:v>
                </c:pt>
                <c:pt idx="5">
                  <c:v>4.7875958630875098E-3</c:v>
                </c:pt>
                <c:pt idx="6">
                  <c:v>7.7004854224712593E-3</c:v>
                </c:pt>
              </c:numCache>
            </c:numRef>
          </c:val>
        </c:ser>
        <c:gapWidth val="101"/>
        <c:overlap val="100"/>
        <c:axId val="358294656"/>
        <c:axId val="358296192"/>
      </c:barChart>
      <c:catAx>
        <c:axId val="358294656"/>
        <c:scaling>
          <c:orientation val="minMax"/>
        </c:scaling>
        <c:axPos val="l"/>
        <c:tickLblPos val="nextTo"/>
        <c:crossAx val="358296192"/>
        <c:crosses val="autoZero"/>
        <c:auto val="1"/>
        <c:lblAlgn val="ctr"/>
        <c:lblOffset val="100"/>
      </c:catAx>
      <c:valAx>
        <c:axId val="358296192"/>
        <c:scaling>
          <c:orientation val="minMax"/>
        </c:scaling>
        <c:axPos val="b"/>
        <c:majorGridlines/>
        <c:numFmt formatCode="0%" sourceLinked="0"/>
        <c:tickLblPos val="nextTo"/>
        <c:crossAx val="3582946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0.15804053271551496</c:v>
                </c:pt>
                <c:pt idx="1">
                  <c:v>0.15431673719517702</c:v>
                </c:pt>
                <c:pt idx="2">
                  <c:v>0.21272513219910238</c:v>
                </c:pt>
                <c:pt idx="3">
                  <c:v>7.9105381548521508E-2</c:v>
                </c:pt>
                <c:pt idx="4">
                  <c:v>2.5036653011099004E-3</c:v>
                </c:pt>
                <c:pt idx="5">
                  <c:v>7.9331622187145012E-2</c:v>
                </c:pt>
                <c:pt idx="6">
                  <c:v>0.13061712757890034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3.6496026618396071E-2</c:v>
                </c:pt>
                <c:pt idx="1">
                  <c:v>3.6425572441643517E-2</c:v>
                </c:pt>
                <c:pt idx="2">
                  <c:v>3.3980057025242011E-2</c:v>
                </c:pt>
                <c:pt idx="3">
                  <c:v>3.4433544154291992E-2</c:v>
                </c:pt>
                <c:pt idx="4">
                  <c:v>2.9173669333119632E-2</c:v>
                </c:pt>
                <c:pt idx="5">
                  <c:v>5.5004457746054419E-3</c:v>
                </c:pt>
                <c:pt idx="6">
                  <c:v>7.3504859272299494E-3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3.7787529256192026E-2</c:v>
                </c:pt>
                <c:pt idx="1">
                  <c:v>3.6079622799307043E-2</c:v>
                </c:pt>
                <c:pt idx="2">
                  <c:v>3.3795833076245702E-2</c:v>
                </c:pt>
                <c:pt idx="3">
                  <c:v>3.5751703584637071E-2</c:v>
                </c:pt>
                <c:pt idx="4">
                  <c:v>3.0315711668169681E-2</c:v>
                </c:pt>
                <c:pt idx="5">
                  <c:v>4.8442158667475893E-3</c:v>
                </c:pt>
                <c:pt idx="6">
                  <c:v>8.0539606699177868E-3</c:v>
                </c:pt>
              </c:numCache>
            </c:numRef>
          </c:val>
        </c:ser>
        <c:gapWidth val="100"/>
        <c:overlap val="100"/>
        <c:axId val="358325632"/>
        <c:axId val="358331520"/>
      </c:barChart>
      <c:catAx>
        <c:axId val="358325632"/>
        <c:scaling>
          <c:orientation val="minMax"/>
        </c:scaling>
        <c:axPos val="l"/>
        <c:tickLblPos val="nextTo"/>
        <c:crossAx val="358331520"/>
        <c:crosses val="autoZero"/>
        <c:auto val="1"/>
        <c:lblAlgn val="ctr"/>
        <c:lblOffset val="100"/>
      </c:catAx>
      <c:valAx>
        <c:axId val="358331520"/>
        <c:scaling>
          <c:orientation val="minMax"/>
        </c:scaling>
        <c:axPos val="b"/>
        <c:majorGridlines/>
        <c:numFmt formatCode="0%" sourceLinked="0"/>
        <c:tickLblPos val="nextTo"/>
        <c:crossAx val="3583256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Oil Scenario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0.17188510132520307</c:v>
                </c:pt>
                <c:pt idx="1">
                  <c:v>0.15982105006254205</c:v>
                </c:pt>
                <c:pt idx="2">
                  <c:v>0.21245243202556383</c:v>
                </c:pt>
                <c:pt idx="3">
                  <c:v>7.1774901533419214E-2</c:v>
                </c:pt>
                <c:pt idx="4">
                  <c:v>1.597622290655873E-3</c:v>
                </c:pt>
                <c:pt idx="5">
                  <c:v>8.2843890638734013E-2</c:v>
                </c:pt>
                <c:pt idx="6">
                  <c:v>0.13778369406702307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3.9881608372682509E-2</c:v>
                </c:pt>
                <c:pt idx="1">
                  <c:v>4.0259600128725009E-2</c:v>
                </c:pt>
                <c:pt idx="2">
                  <c:v>2.2652701534658759E-2</c:v>
                </c:pt>
                <c:pt idx="3">
                  <c:v>2.2373578654656057E-2</c:v>
                </c:pt>
                <c:pt idx="4">
                  <c:v>2.0039655877445821E-2</c:v>
                </c:pt>
                <c:pt idx="5">
                  <c:v>7.843341184553751E-3</c:v>
                </c:pt>
                <c:pt idx="6">
                  <c:v>8.790822304136775E-3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4.0616387040756208E-2</c:v>
                </c:pt>
                <c:pt idx="1">
                  <c:v>3.8932021631425201E-2</c:v>
                </c:pt>
                <c:pt idx="2">
                  <c:v>2.4861298851470565E-2</c:v>
                </c:pt>
                <c:pt idx="3">
                  <c:v>2.2779961494552803E-2</c:v>
                </c:pt>
                <c:pt idx="4">
                  <c:v>2.0255918301260813E-2</c:v>
                </c:pt>
                <c:pt idx="5">
                  <c:v>7.4783481489028164E-3</c:v>
                </c:pt>
                <c:pt idx="6">
                  <c:v>8.9423264488862064E-3</c:v>
                </c:pt>
              </c:numCache>
            </c:numRef>
          </c:val>
        </c:ser>
        <c:gapWidth val="100"/>
        <c:overlap val="100"/>
        <c:axId val="358365056"/>
        <c:axId val="358366592"/>
      </c:barChart>
      <c:catAx>
        <c:axId val="358365056"/>
        <c:scaling>
          <c:orientation val="minMax"/>
        </c:scaling>
        <c:axPos val="l"/>
        <c:tickLblPos val="nextTo"/>
        <c:crossAx val="358366592"/>
        <c:crosses val="autoZero"/>
        <c:auto val="1"/>
        <c:lblAlgn val="ctr"/>
        <c:lblOffset val="100"/>
      </c:catAx>
      <c:valAx>
        <c:axId val="358366592"/>
        <c:scaling>
          <c:orientation val="minMax"/>
        </c:scaling>
        <c:axPos val="b"/>
        <c:majorGridlines/>
        <c:numFmt formatCode="0%" sourceLinked="0"/>
        <c:tickLblPos val="nextTo"/>
        <c:crossAx val="3583650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358412672"/>
        <c:axId val="358414208"/>
      </c:barChart>
      <c:catAx>
        <c:axId val="358412672"/>
        <c:scaling>
          <c:orientation val="minMax"/>
        </c:scaling>
        <c:axPos val="l"/>
        <c:tickLblPos val="nextTo"/>
        <c:crossAx val="358414208"/>
        <c:crosses val="autoZero"/>
        <c:auto val="1"/>
        <c:lblAlgn val="ctr"/>
        <c:lblOffset val="100"/>
      </c:catAx>
      <c:valAx>
        <c:axId val="358414208"/>
        <c:scaling>
          <c:orientation val="minMax"/>
        </c:scaling>
        <c:axPos val="b"/>
        <c:majorGridlines/>
        <c:numFmt formatCode="0%" sourceLinked="0"/>
        <c:tickLblPos val="nextTo"/>
        <c:crossAx val="3584126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0.23903752199518952</c:v>
                </c:pt>
                <c:pt idx="1">
                  <c:v>0.22518284625998192</c:v>
                </c:pt>
                <c:pt idx="2">
                  <c:v>0.2211444720497463</c:v>
                </c:pt>
                <c:pt idx="3">
                  <c:v>7.9812238420134879E-2</c:v>
                </c:pt>
                <c:pt idx="4">
                  <c:v>5.6563231547459231E-3</c:v>
                </c:pt>
                <c:pt idx="5">
                  <c:v>9.1386738782398502E-2</c:v>
                </c:pt>
                <c:pt idx="6">
                  <c:v>0.13777985933780215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leeg2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0.17188510132520307</c:v>
                </c:pt>
                <c:pt idx="1">
                  <c:v>0.15982105006254205</c:v>
                </c:pt>
                <c:pt idx="2">
                  <c:v>0.21245243202556383</c:v>
                </c:pt>
                <c:pt idx="3">
                  <c:v>7.1774901533419214E-2</c:v>
                </c:pt>
                <c:pt idx="4">
                  <c:v>1.597622290655873E-3</c:v>
                </c:pt>
                <c:pt idx="5">
                  <c:v>8.2843890638734013E-2</c:v>
                </c:pt>
                <c:pt idx="6">
                  <c:v>0.13778369406702307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3.9881608372682509E-2</c:v>
                </c:pt>
                <c:pt idx="1">
                  <c:v>4.0259600128725009E-2</c:v>
                </c:pt>
                <c:pt idx="2">
                  <c:v>2.2652701534658759E-2</c:v>
                </c:pt>
                <c:pt idx="3">
                  <c:v>2.2373578654656057E-2</c:v>
                </c:pt>
                <c:pt idx="4">
                  <c:v>2.0039655877445821E-2</c:v>
                </c:pt>
                <c:pt idx="5">
                  <c:v>7.843341184553751E-3</c:v>
                </c:pt>
                <c:pt idx="6">
                  <c:v>8.790822304136775E-3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4.0616387040756208E-2</c:v>
                </c:pt>
                <c:pt idx="1">
                  <c:v>3.8932021631425201E-2</c:v>
                </c:pt>
                <c:pt idx="2">
                  <c:v>2.4861298851470565E-2</c:v>
                </c:pt>
                <c:pt idx="3">
                  <c:v>2.2779961494552803E-2</c:v>
                </c:pt>
                <c:pt idx="4">
                  <c:v>2.0255918301260813E-2</c:v>
                </c:pt>
                <c:pt idx="5">
                  <c:v>7.4783481489028164E-3</c:v>
                </c:pt>
                <c:pt idx="6">
                  <c:v>8.9423264488862064E-3</c:v>
                </c:pt>
              </c:numCache>
            </c:numRef>
          </c:val>
        </c:ser>
        <c:gapWidth val="100"/>
        <c:overlap val="100"/>
        <c:axId val="358664832"/>
        <c:axId val="358674816"/>
      </c:barChart>
      <c:catAx>
        <c:axId val="358664832"/>
        <c:scaling>
          <c:orientation val="minMax"/>
        </c:scaling>
        <c:axPos val="l"/>
        <c:tickLblPos val="nextTo"/>
        <c:crossAx val="358674816"/>
        <c:crosses val="autoZero"/>
        <c:auto val="1"/>
        <c:lblAlgn val="ctr"/>
        <c:lblOffset val="100"/>
      </c:catAx>
      <c:valAx>
        <c:axId val="358674816"/>
        <c:scaling>
          <c:orientation val="minMax"/>
        </c:scaling>
        <c:axPos val="b"/>
        <c:majorGridlines/>
        <c:numFmt formatCode="0%" sourceLinked="0"/>
        <c:tickLblPos val="nextTo"/>
        <c:crossAx val="3586648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leeg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59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0.17852448409211646</c:v>
                </c:pt>
                <c:pt idx="1">
                  <c:v>0.16415917174241706</c:v>
                </c:pt>
                <c:pt idx="2">
                  <c:v>0.21151913289639354</c:v>
                </c:pt>
                <c:pt idx="3">
                  <c:v>6.7680390268229557E-2</c:v>
                </c:pt>
                <c:pt idx="4">
                  <c:v>8.3472858658562108E-4</c:v>
                </c:pt>
                <c:pt idx="5">
                  <c:v>8.3120073640218201E-2</c:v>
                </c:pt>
                <c:pt idx="6">
                  <c:v>0.13767335042780038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3.8401529057118855E-2</c:v>
                </c:pt>
                <c:pt idx="1">
                  <c:v>4.1891274184214233E-2</c:v>
                </c:pt>
                <c:pt idx="2">
                  <c:v>2.2682896986469858E-2</c:v>
                </c:pt>
                <c:pt idx="3">
                  <c:v>1.8376538021221231E-2</c:v>
                </c:pt>
                <c:pt idx="4">
                  <c:v>1.7282409685357766E-2</c:v>
                </c:pt>
                <c:pt idx="5">
                  <c:v>8.4699321711295822E-3</c:v>
                </c:pt>
                <c:pt idx="6">
                  <c:v>9.3840882407273118E-3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3.9352522701766146E-2</c:v>
                </c:pt>
                <c:pt idx="1">
                  <c:v>4.0690512017014513E-2</c:v>
                </c:pt>
                <c:pt idx="2">
                  <c:v>2.5609282567140706E-2</c:v>
                </c:pt>
                <c:pt idx="3">
                  <c:v>2.0013833715735521E-2</c:v>
                </c:pt>
                <c:pt idx="4">
                  <c:v>1.7194403210012647E-2</c:v>
                </c:pt>
                <c:pt idx="5">
                  <c:v>9.0466009479869131E-3</c:v>
                </c:pt>
                <c:pt idx="6">
                  <c:v>9.5506542432846064E-3</c:v>
                </c:pt>
              </c:numCache>
            </c:numRef>
          </c:val>
        </c:ser>
        <c:gapWidth val="100"/>
        <c:overlap val="100"/>
        <c:axId val="358724736"/>
        <c:axId val="358726272"/>
      </c:barChart>
      <c:catAx>
        <c:axId val="358724736"/>
        <c:scaling>
          <c:orientation val="minMax"/>
        </c:scaling>
        <c:axPos val="l"/>
        <c:tickLblPos val="nextTo"/>
        <c:crossAx val="358726272"/>
        <c:crosses val="autoZero"/>
        <c:auto val="1"/>
        <c:lblAlgn val="ctr"/>
        <c:lblOffset val="100"/>
      </c:catAx>
      <c:valAx>
        <c:axId val="358726272"/>
        <c:scaling>
          <c:orientation val="minMax"/>
        </c:scaling>
        <c:axPos val="b"/>
        <c:majorGridlines/>
        <c:numFmt formatCode="0%" sourceLinked="0"/>
        <c:tickLblPos val="nextTo"/>
        <c:crossAx val="3587247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4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86"/>
          <c:y val="0.18930803620083983"/>
          <c:w val="0.82649258218451005"/>
          <c:h val="0.5331669011441631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overlap val="100"/>
        <c:axId val="360002304"/>
        <c:axId val="36000422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60002304"/>
        <c:axId val="360004224"/>
      </c:lineChart>
      <c:catAx>
        <c:axId val="360002304"/>
        <c:scaling>
          <c:orientation val="minMax"/>
        </c:scaling>
        <c:axPos val="b"/>
        <c:tickLblPos val="nextTo"/>
        <c:crossAx val="360004224"/>
        <c:crosses val="autoZero"/>
        <c:auto val="1"/>
        <c:lblAlgn val="ctr"/>
        <c:lblOffset val="100"/>
      </c:catAx>
      <c:valAx>
        <c:axId val="360004224"/>
        <c:scaling>
          <c:orientation val="minMax"/>
        </c:scaling>
        <c:axPos val="l"/>
        <c:majorGridlines/>
        <c:numFmt formatCode="0%" sourceLinked="0"/>
        <c:tickLblPos val="nextTo"/>
        <c:crossAx val="36000230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overlap val="100"/>
        <c:axId val="360038784"/>
        <c:axId val="36004070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60038784"/>
        <c:axId val="360040704"/>
      </c:lineChart>
      <c:catAx>
        <c:axId val="360038784"/>
        <c:scaling>
          <c:orientation val="minMax"/>
        </c:scaling>
        <c:axPos val="b"/>
        <c:numFmt formatCode="General" sourceLinked="1"/>
        <c:tickLblPos val="nextTo"/>
        <c:crossAx val="360040704"/>
        <c:crosses val="autoZero"/>
        <c:auto val="1"/>
        <c:lblAlgn val="ctr"/>
        <c:lblOffset val="100"/>
      </c:catAx>
      <c:valAx>
        <c:axId val="360040704"/>
        <c:scaling>
          <c:orientation val="minMax"/>
        </c:scaling>
        <c:axPos val="l"/>
        <c:majorGridlines/>
        <c:numFmt formatCode="0%" sourceLinked="0"/>
        <c:tickLblPos val="nextTo"/>
        <c:crossAx val="36003878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1"/>
          <c:w val="0.5562682138416909"/>
          <c:h val="0.692582184133051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929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0.64766517686265979</c:v>
                </c:pt>
                <c:pt idx="1">
                  <c:v>8.4241886801590157E-2</c:v>
                </c:pt>
                <c:pt idx="2">
                  <c:v>7.9334547678456518E-2</c:v>
                </c:pt>
                <c:pt idx="3">
                  <c:v>7.7910827116559708E-2</c:v>
                </c:pt>
                <c:pt idx="4">
                  <c:v>2.8116666145894708E-2</c:v>
                </c:pt>
                <c:pt idx="5">
                  <c:v>1.9917178397705921E-3</c:v>
                </c:pt>
                <c:pt idx="6">
                  <c:v>3.2197057464982567E-2</c:v>
                </c:pt>
                <c:pt idx="7">
                  <c:v>4.8542120090085746E-2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IC'!$C$25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IC'!$C$26:$C$33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IC'!$D$25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IC'!$D$26:$D$33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60166144"/>
        <c:axId val="360167680"/>
      </c:barChart>
      <c:catAx>
        <c:axId val="360166144"/>
        <c:scaling>
          <c:orientation val="minMax"/>
        </c:scaling>
        <c:axPos val="l"/>
        <c:tickLblPos val="nextTo"/>
        <c:crossAx val="360167680"/>
        <c:crosses val="autoZero"/>
        <c:auto val="1"/>
        <c:lblAlgn val="ctr"/>
        <c:lblOffset val="100"/>
      </c:catAx>
      <c:valAx>
        <c:axId val="360167680"/>
        <c:scaling>
          <c:orientation val="minMax"/>
        </c:scaling>
        <c:axPos val="b"/>
        <c:majorGridlines/>
        <c:numFmt formatCode="0.0%" sourceLinked="1"/>
        <c:tickLblPos val="nextTo"/>
        <c:crossAx val="360166144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1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53"/>
          <c:y val="5.1400554097404488E-2"/>
          <c:w val="0.82164348206474425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1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IC'!$I$26:$I$33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IC'!$H$26:$H$33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yVal>
        </c:ser>
        <c:axId val="360303616"/>
        <c:axId val="363377792"/>
      </c:scatterChart>
      <c:valAx>
        <c:axId val="36030361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19"/>
            </c:manualLayout>
          </c:layout>
        </c:title>
        <c:numFmt formatCode="0%" sourceLinked="0"/>
        <c:tickLblPos val="nextTo"/>
        <c:crossAx val="363377792"/>
        <c:crosses val="autoZero"/>
        <c:crossBetween val="midCat"/>
      </c:valAx>
      <c:valAx>
        <c:axId val="3633777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60303616"/>
        <c:crosses val="autoZero"/>
        <c:crossBetween val="midCat"/>
      </c:valAx>
    </c:plotArea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2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58"/>
          <c:y val="5.1400554097404488E-2"/>
          <c:w val="0.821643482064744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58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68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3E-2"/>
                  <c:y val="-6.73369912559799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IC'!$I$26:$I$33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yVal>
        </c:ser>
        <c:axId val="363419520"/>
        <c:axId val="363454464"/>
      </c:scatterChart>
      <c:valAx>
        <c:axId val="36341952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12"/>
            </c:manualLayout>
          </c:layout>
        </c:title>
        <c:numFmt formatCode="0%" sourceLinked="0"/>
        <c:tickLblPos val="nextTo"/>
        <c:crossAx val="363454464"/>
        <c:crosses val="autoZero"/>
        <c:crossBetween val="midCat"/>
      </c:valAx>
      <c:valAx>
        <c:axId val="3634544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63419520"/>
        <c:crosses val="autoZero"/>
        <c:crossBetween val="midCat"/>
      </c:valAx>
    </c:plotArea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IC'!$E$25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IC'!$E$26:$E$33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IC'!$H$25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IC'!$H$26:$H$33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axId val="363561344"/>
        <c:axId val="363562880"/>
      </c:barChart>
      <c:catAx>
        <c:axId val="363561344"/>
        <c:scaling>
          <c:orientation val="minMax"/>
        </c:scaling>
        <c:axPos val="l"/>
        <c:tickLblPos val="none"/>
        <c:crossAx val="363562880"/>
        <c:crosses val="autoZero"/>
        <c:auto val="1"/>
        <c:lblAlgn val="ctr"/>
        <c:lblOffset val="100"/>
      </c:catAx>
      <c:valAx>
        <c:axId val="363562880"/>
        <c:scaling>
          <c:orientation val="minMax"/>
        </c:scaling>
        <c:axPos val="b"/>
        <c:majorGridlines/>
        <c:numFmt formatCode="0.0%" sourceLinked="1"/>
        <c:tickLblPos val="nextTo"/>
        <c:crossAx val="363561344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IC'!$J$25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IC'!$J$26:$J$33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-0.10637087005463072</c:v>
                </c:pt>
                <c:pt idx="6">
                  <c:v>-0.47217465770323874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IC'!$K$25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IC'!$K$26:$K$33</c:f>
              <c:numCache>
                <c:formatCode>#,##0.00_ ;[Red]\-#,##0.00\ </c:formatCode>
                <c:ptCount val="8"/>
                <c:pt idx="0">
                  <c:v>-1.786754803844362E-2</c:v>
                </c:pt>
                <c:pt idx="1">
                  <c:v>0.11220882888871779</c:v>
                </c:pt>
                <c:pt idx="2">
                  <c:v>0.14330125390064163</c:v>
                </c:pt>
                <c:pt idx="3">
                  <c:v>-9.0998956808667642E-3</c:v>
                </c:pt>
                <c:pt idx="4">
                  <c:v>0.25274958911689821</c:v>
                </c:pt>
                <c:pt idx="5">
                  <c:v>0.18476166983717565</c:v>
                </c:pt>
                <c:pt idx="6">
                  <c:v>9.9589225866726583E-2</c:v>
                </c:pt>
                <c:pt idx="7">
                  <c:v>5.1069748580229489E-3</c:v>
                </c:pt>
              </c:numCache>
            </c:numRef>
          </c:val>
        </c:ser>
        <c:axId val="365197568"/>
        <c:axId val="365203456"/>
      </c:barChart>
      <c:catAx>
        <c:axId val="365197568"/>
        <c:scaling>
          <c:orientation val="minMax"/>
        </c:scaling>
        <c:axPos val="l"/>
        <c:tickLblPos val="high"/>
        <c:crossAx val="365203456"/>
        <c:crosses val="autoZero"/>
        <c:auto val="1"/>
        <c:lblAlgn val="ctr"/>
        <c:lblOffset val="100"/>
      </c:catAx>
      <c:valAx>
        <c:axId val="365203456"/>
        <c:scaling>
          <c:orientation val="minMax"/>
        </c:scaling>
        <c:axPos val="b"/>
        <c:majorGridlines/>
        <c:numFmt formatCode="#,##0.00_ ;\-#,##0.00\ " sourceLinked="1"/>
        <c:tickLblPos val="nextTo"/>
        <c:crossAx val="36519756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29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36</xdr:row>
      <xdr:rowOff>17929</xdr:rowOff>
    </xdr:from>
    <xdr:to>
      <xdr:col>4</xdr:col>
      <xdr:colOff>13447</xdr:colOff>
      <xdr:row>51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36</xdr:row>
      <xdr:rowOff>148478</xdr:rowOff>
    </xdr:from>
    <xdr:to>
      <xdr:col>20</xdr:col>
      <xdr:colOff>505946</xdr:colOff>
      <xdr:row>49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36</xdr:row>
      <xdr:rowOff>22412</xdr:rowOff>
    </xdr:from>
    <xdr:to>
      <xdr:col>9</xdr:col>
      <xdr:colOff>930087</xdr:colOff>
      <xdr:row>51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36</xdr:row>
      <xdr:rowOff>56031</xdr:rowOff>
    </xdr:from>
    <xdr:to>
      <xdr:col>12</xdr:col>
      <xdr:colOff>705971</xdr:colOff>
      <xdr:row>52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A2" sqref="A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7" t="s">
        <v>93</v>
      </c>
      <c r="D1" s="367"/>
      <c r="E1" s="368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0.59460926292655603</v>
      </c>
      <c r="C3" s="303">
        <v>0.55000000000000004</v>
      </c>
      <c r="D3" s="218">
        <v>0.65</v>
      </c>
      <c r="E3" s="145">
        <v>0.99</v>
      </c>
      <c r="F3" s="144">
        <f>'Samenvatting mixen'!B81</f>
        <v>0.64766517686265979</v>
      </c>
      <c r="G3" s="144">
        <f>+F3-B3</f>
        <v>5.305591393610376E-2</v>
      </c>
      <c r="H3" s="305"/>
    </row>
    <row r="4" spans="1:24">
      <c r="A4" s="143" t="str">
        <f>Scenarios!A5</f>
        <v>High Yield</v>
      </c>
      <c r="B4" s="218">
        <v>7.3502607897390396E-2</v>
      </c>
      <c r="C4" s="303">
        <v>0.05</v>
      </c>
      <c r="D4" s="218">
        <v>0.15</v>
      </c>
      <c r="E4" s="145">
        <v>0.99</v>
      </c>
      <c r="F4" s="144">
        <f>'Samenvatting mixen'!B82</f>
        <v>8.4241886801590157E-2</v>
      </c>
      <c r="G4" s="144">
        <f t="shared" ref="G4:G10" si="0">+F4-B4</f>
        <v>1.0739278904199762E-2</v>
      </c>
      <c r="H4" s="306"/>
      <c r="W4" s="133" t="str">
        <f>A4</f>
        <v>High Yield</v>
      </c>
      <c r="X4" s="134">
        <f>B4/SUM($B$4:$B$10)</f>
        <v>0.18131299305951845</v>
      </c>
    </row>
    <row r="5" spans="1:24">
      <c r="A5" s="143" t="str">
        <f>Scenarios!A6</f>
        <v>Emerging market debt</v>
      </c>
      <c r="B5" s="218">
        <v>8.232448256002324E-2</v>
      </c>
      <c r="C5" s="303">
        <v>0.05</v>
      </c>
      <c r="D5" s="218">
        <v>0.2</v>
      </c>
      <c r="E5" s="145">
        <v>0.99</v>
      </c>
      <c r="F5" s="144">
        <f>'Samenvatting mixen'!B83</f>
        <v>7.9334547678456518E-2</v>
      </c>
      <c r="G5" s="144">
        <f t="shared" si="0"/>
        <v>-2.989934881566722E-3</v>
      </c>
      <c r="W5" s="133" t="str">
        <f t="shared" ref="W5:W10" si="1">A5</f>
        <v>Emerging market debt</v>
      </c>
      <c r="X5" s="134">
        <f t="shared" ref="X5:X10" si="2">B5/SUM($B$4:$B$10)</f>
        <v>0.20307440459624679</v>
      </c>
    </row>
    <row r="6" spans="1:24">
      <c r="A6" s="143" t="str">
        <f>Scenarios!A7</f>
        <v>Aandelen ontwikkeld</v>
      </c>
      <c r="B6" s="303">
        <f>10.1683683628086%-0.5%</f>
        <v>9.6683683628085992E-2</v>
      </c>
      <c r="C6" s="303">
        <v>7.4999999999999997E-2</v>
      </c>
      <c r="D6" s="218">
        <v>0.3</v>
      </c>
      <c r="E6" s="145">
        <v>0.99</v>
      </c>
      <c r="F6" s="144">
        <f>'Samenvatting mixen'!B84</f>
        <v>7.7910827116559708E-2</v>
      </c>
      <c r="G6" s="144">
        <f t="shared" si="0"/>
        <v>-1.8772856511526284E-2</v>
      </c>
      <c r="H6" s="305"/>
      <c r="W6" s="133" t="str">
        <f t="shared" si="1"/>
        <v>Aandelen ontwikkeld</v>
      </c>
      <c r="X6" s="134">
        <f t="shared" si="2"/>
        <v>0.23849504881649528</v>
      </c>
    </row>
    <row r="7" spans="1:24">
      <c r="A7" s="143" t="str">
        <f>Scenarios!A8</f>
        <v>Aandelen opkomend</v>
      </c>
      <c r="B7" s="303">
        <f>4.65005580154938%+0.5%</f>
        <v>5.1500558015493796E-2</v>
      </c>
      <c r="C7" s="303">
        <v>2.5000000000000001E-2</v>
      </c>
      <c r="D7" s="218">
        <v>0.15</v>
      </c>
      <c r="E7" s="145">
        <v>0.99</v>
      </c>
      <c r="F7" s="144">
        <f>'Samenvatting mixen'!B85</f>
        <v>2.8116666145894708E-2</v>
      </c>
      <c r="G7" s="144">
        <f t="shared" si="0"/>
        <v>-2.3383891869599088E-2</v>
      </c>
      <c r="H7" s="305"/>
      <c r="W7" s="133" t="str">
        <f t="shared" si="1"/>
        <v>Aandelen opkomend</v>
      </c>
      <c r="X7" s="134">
        <f t="shared" si="2"/>
        <v>0.12703930629318633</v>
      </c>
    </row>
    <row r="8" spans="1:24">
      <c r="A8" s="143" t="str">
        <f>Scenarios!A9</f>
        <v>Commodities</v>
      </c>
      <c r="B8" s="218">
        <v>2.0640227417381859E-2</v>
      </c>
      <c r="C8" s="303">
        <v>0</v>
      </c>
      <c r="D8" s="218">
        <v>0.2</v>
      </c>
      <c r="E8" s="145">
        <v>0.99</v>
      </c>
      <c r="F8" s="144">
        <f>'Samenvatting mixen'!B86</f>
        <v>1.9917178397705921E-3</v>
      </c>
      <c r="G8" s="144">
        <f t="shared" si="0"/>
        <v>-1.8648509577611265E-2</v>
      </c>
      <c r="H8" s="305"/>
      <c r="W8" s="133" t="str">
        <f t="shared" si="1"/>
        <v>Commodities</v>
      </c>
      <c r="X8" s="134">
        <f t="shared" si="2"/>
        <v>5.0914403141980299E-2</v>
      </c>
    </row>
    <row r="9" spans="1:24">
      <c r="A9" s="143" t="str">
        <f>Scenarios!A10</f>
        <v>Hedge funds</v>
      </c>
      <c r="B9" s="218">
        <v>3.219705746498288E-2</v>
      </c>
      <c r="C9" s="303">
        <f>B9</f>
        <v>3.219705746498288E-2</v>
      </c>
      <c r="D9" s="218">
        <f>C9</f>
        <v>3.219705746498288E-2</v>
      </c>
      <c r="E9" s="145">
        <v>0.99</v>
      </c>
      <c r="F9" s="144">
        <f>'Samenvatting mixen'!B87</f>
        <v>3.2197057464982567E-2</v>
      </c>
      <c r="G9" s="144">
        <f t="shared" si="0"/>
        <v>-3.1225022567582528E-16</v>
      </c>
      <c r="W9" s="133" t="str">
        <f t="shared" si="1"/>
        <v>Hedge funds</v>
      </c>
      <c r="X9" s="134">
        <f t="shared" si="2"/>
        <v>7.9422282061540547E-2</v>
      </c>
    </row>
    <row r="10" spans="1:24" ht="15.75" thickBot="1">
      <c r="A10" s="139" t="str">
        <f>Scenarios!A11</f>
        <v>Onroerend goed</v>
      </c>
      <c r="B10" s="219">
        <v>4.8542120090085711E-2</v>
      </c>
      <c r="C10" s="304">
        <f>B10</f>
        <v>4.8542120090085711E-2</v>
      </c>
      <c r="D10" s="219">
        <f>C10</f>
        <v>4.8542120090085711E-2</v>
      </c>
      <c r="E10" s="147">
        <v>0.99</v>
      </c>
      <c r="F10" s="146">
        <f>'Samenvatting mixen'!B88</f>
        <v>4.8542120090085746E-2</v>
      </c>
      <c r="G10" s="146">
        <f t="shared" si="0"/>
        <v>0</v>
      </c>
      <c r="W10" s="133" t="str">
        <f t="shared" si="1"/>
        <v>Onroerend goed</v>
      </c>
      <c r="X10" s="134">
        <f t="shared" si="2"/>
        <v>0.11974156203103237</v>
      </c>
    </row>
    <row r="11" spans="1:24" ht="15.75" thickBot="1">
      <c r="A11" s="148" t="s">
        <v>89</v>
      </c>
      <c r="B11" s="149">
        <f>Scenarios!C12</f>
        <v>9.3079489831111251E-2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8.0985727793914886E-2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9.3079489831111251E-2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69" t="s">
        <v>98</v>
      </c>
      <c r="C200" s="367"/>
      <c r="D200" s="367"/>
      <c r="E200" s="368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tabSelected="1" zoomScale="85" zoomScaleNormal="85" workbookViewId="0">
      <selection activeCell="C24" sqref="C24:F3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71" t="s">
        <v>117</v>
      </c>
      <c r="F2" s="371"/>
      <c r="G2" s="371"/>
      <c r="H2" s="371"/>
      <c r="I2" s="371"/>
      <c r="J2" s="371"/>
      <c r="K2" s="371"/>
      <c r="L2" s="372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0.59460926292655603</v>
      </c>
      <c r="C4" s="178">
        <v>0</v>
      </c>
      <c r="D4" s="223">
        <v>4.3214826708651545E-2</v>
      </c>
      <c r="E4" s="220">
        <v>1.0000000000000002</v>
      </c>
      <c r="F4" s="221">
        <v>0.48758203889173096</v>
      </c>
      <c r="G4" s="221">
        <v>0.43351903366758959</v>
      </c>
      <c r="H4" s="221">
        <v>0.22240504783264323</v>
      </c>
      <c r="I4" s="221">
        <v>0.2729543601339276</v>
      </c>
      <c r="J4" s="221">
        <v>0.51795492979549662</v>
      </c>
      <c r="K4" s="221">
        <v>0.22026085078406454</v>
      </c>
      <c r="L4" s="222">
        <v>0.36266106503892548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7.3502607897390396E-2</v>
      </c>
      <c r="C5" s="178">
        <v>0.03</v>
      </c>
      <c r="D5" s="223">
        <v>0.15823890359343337</v>
      </c>
      <c r="E5" s="223">
        <v>0.48758203889173107</v>
      </c>
      <c r="F5" s="224">
        <v>0.99999999999999978</v>
      </c>
      <c r="G5" s="224">
        <v>0.90991930291292189</v>
      </c>
      <c r="H5" s="224">
        <v>0.74890714708117023</v>
      </c>
      <c r="I5" s="224">
        <v>0.74060441066122751</v>
      </c>
      <c r="J5" s="224">
        <v>0.88671991368989134</v>
      </c>
      <c r="K5" s="224">
        <v>0.61760661631655178</v>
      </c>
      <c r="L5" s="225">
        <v>0.8752768910119606</v>
      </c>
      <c r="S5" s="84"/>
      <c r="T5" s="6"/>
      <c r="U5" s="85"/>
    </row>
    <row r="6" spans="1:21">
      <c r="A6" s="102" t="s">
        <v>6</v>
      </c>
      <c r="B6" s="106">
        <f>'Control panel'!B5</f>
        <v>8.232448256002324E-2</v>
      </c>
      <c r="C6" s="178">
        <v>3.1705382280009728E-2</v>
      </c>
      <c r="D6" s="223">
        <v>0.168148277471422</v>
      </c>
      <c r="E6" s="223">
        <v>0.43351903366758976</v>
      </c>
      <c r="F6" s="224">
        <v>0.90991930291292189</v>
      </c>
      <c r="G6" s="224">
        <v>1</v>
      </c>
      <c r="H6" s="224">
        <v>0.78689057691118713</v>
      </c>
      <c r="I6" s="224">
        <v>0.81542413678900194</v>
      </c>
      <c r="J6" s="224">
        <v>0.84996791272671834</v>
      </c>
      <c r="K6" s="224">
        <v>0.63150622997795747</v>
      </c>
      <c r="L6" s="225">
        <v>0.87979060194508074</v>
      </c>
      <c r="S6" s="84"/>
      <c r="T6" s="6"/>
      <c r="U6" s="85"/>
    </row>
    <row r="7" spans="1:21">
      <c r="A7" s="102" t="s">
        <v>7</v>
      </c>
      <c r="B7" s="106">
        <f>'Control panel'!B6</f>
        <v>9.6683683628085992E-2</v>
      </c>
      <c r="C7" s="178">
        <v>5.7210243741557129E-2</v>
      </c>
      <c r="D7" s="223">
        <v>0.29001927694608043</v>
      </c>
      <c r="E7" s="223">
        <v>0.22240504783264309</v>
      </c>
      <c r="F7" s="224">
        <v>0.74890714708117023</v>
      </c>
      <c r="G7" s="224">
        <v>0.78689057691118725</v>
      </c>
      <c r="H7" s="224">
        <v>1.0000000000000002</v>
      </c>
      <c r="I7" s="224">
        <v>0.80043789752068695</v>
      </c>
      <c r="J7" s="224">
        <v>0.6816417645711762</v>
      </c>
      <c r="K7" s="224">
        <v>0.69656976952020244</v>
      </c>
      <c r="L7" s="225">
        <v>0.8825588907922528</v>
      </c>
      <c r="S7" s="84"/>
      <c r="T7" s="6"/>
      <c r="U7" s="85"/>
    </row>
    <row r="8" spans="1:21">
      <c r="A8" s="102" t="s">
        <v>8</v>
      </c>
      <c r="B8" s="106">
        <f>'Control panel'!B7</f>
        <v>5.1500558015493796E-2</v>
      </c>
      <c r="C8" s="178">
        <v>5.5668448282861861E-2</v>
      </c>
      <c r="D8" s="223">
        <v>0.29774487154665702</v>
      </c>
      <c r="E8" s="223">
        <v>0.2729543601339276</v>
      </c>
      <c r="F8" s="224">
        <v>0.7406044106612274</v>
      </c>
      <c r="G8" s="224">
        <v>0.81542413678900183</v>
      </c>
      <c r="H8" s="224">
        <v>0.80043789752068695</v>
      </c>
      <c r="I8" s="224">
        <v>1</v>
      </c>
      <c r="J8" s="224">
        <v>0.70370520831484562</v>
      </c>
      <c r="K8" s="224">
        <v>0.62140003003210531</v>
      </c>
      <c r="L8" s="225">
        <v>0.77427405839831998</v>
      </c>
      <c r="S8" s="84"/>
      <c r="T8" s="6"/>
      <c r="U8" s="85"/>
    </row>
    <row r="9" spans="1:21">
      <c r="A9" s="102" t="s">
        <v>9</v>
      </c>
      <c r="B9" s="106">
        <f>'Control panel'!B8</f>
        <v>2.0640227417381859E-2</v>
      </c>
      <c r="C9" s="178">
        <v>5.4683067728185694E-2</v>
      </c>
      <c r="D9" s="223">
        <v>0.33576372020209261</v>
      </c>
      <c r="E9" s="223">
        <v>0.51795492979549662</v>
      </c>
      <c r="F9" s="224">
        <v>0.88671991368989134</v>
      </c>
      <c r="G9" s="224">
        <v>0.84996791272671812</v>
      </c>
      <c r="H9" s="224">
        <v>0.6816417645711762</v>
      </c>
      <c r="I9" s="224">
        <v>0.70370520831484562</v>
      </c>
      <c r="J9" s="224">
        <v>1.0000000000000002</v>
      </c>
      <c r="K9" s="224">
        <v>0.64202094504860974</v>
      </c>
      <c r="L9" s="225">
        <v>0.82000870971282414</v>
      </c>
      <c r="S9" s="84"/>
      <c r="T9" s="6"/>
      <c r="U9" s="85"/>
    </row>
    <row r="10" spans="1:21">
      <c r="A10" s="102" t="s">
        <v>10</v>
      </c>
      <c r="B10" s="106">
        <f>'Control panel'!B9</f>
        <v>3.219705746498288E-2</v>
      </c>
      <c r="C10" s="178">
        <v>2.9030049193200475E-2</v>
      </c>
      <c r="D10" s="223">
        <v>0.1465180543940868</v>
      </c>
      <c r="E10" s="223">
        <v>0.2202608507840644</v>
      </c>
      <c r="F10" s="224">
        <v>0.61760661631655156</v>
      </c>
      <c r="G10" s="224">
        <v>0.63150622997795758</v>
      </c>
      <c r="H10" s="224">
        <v>0.69656976952020244</v>
      </c>
      <c r="I10" s="224">
        <v>0.62140003003210531</v>
      </c>
      <c r="J10" s="224">
        <v>0.64202094504860974</v>
      </c>
      <c r="K10" s="224">
        <v>1.0000000000000002</v>
      </c>
      <c r="L10" s="225">
        <v>0.66415983265504108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4.8542120090085711E-2</v>
      </c>
      <c r="C11" s="179">
        <v>3.8983857987503749E-2</v>
      </c>
      <c r="D11" s="226">
        <v>0.19915957675666104</v>
      </c>
      <c r="E11" s="226">
        <v>0.36266106503892553</v>
      </c>
      <c r="F11" s="227">
        <v>0.8752768910119606</v>
      </c>
      <c r="G11" s="227">
        <v>0.87979060194508063</v>
      </c>
      <c r="H11" s="227">
        <v>0.88255889079225258</v>
      </c>
      <c r="I11" s="227">
        <v>0.77427405839831998</v>
      </c>
      <c r="J11" s="227">
        <v>0.82000870971282414</v>
      </c>
      <c r="K11" s="227">
        <v>0.66415983265504108</v>
      </c>
      <c r="L11" s="228">
        <v>1.0000000000000002</v>
      </c>
    </row>
    <row r="12" spans="1:21">
      <c r="A12" s="84"/>
      <c r="B12" s="110" t="s">
        <v>89</v>
      </c>
      <c r="C12" s="85">
        <v>9.3079489831111251E-2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70"/>
      <c r="H17" s="370"/>
      <c r="I17" s="370"/>
      <c r="J17" s="370"/>
    </row>
    <row r="18" spans="1:24">
      <c r="D18" s="98"/>
      <c r="E18" s="98"/>
      <c r="S18" s="84"/>
      <c r="T18" s="370"/>
      <c r="U18" s="370"/>
      <c r="V18" s="370"/>
      <c r="W18" s="370"/>
      <c r="X18" s="370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113</v>
      </c>
      <c r="E23" s="288" t="s">
        <v>114</v>
      </c>
      <c r="F23" s="288" t="s">
        <v>150</v>
      </c>
      <c r="G23" s="288" t="s">
        <v>149</v>
      </c>
      <c r="H23" s="289" t="s">
        <v>151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-1.8278501643327824E-3</v>
      </c>
      <c r="D24" s="293">
        <v>-2.0604509567567153E-2</v>
      </c>
      <c r="E24" s="293">
        <v>-0.27327160808286638</v>
      </c>
      <c r="F24" s="293">
        <v>-2.0604509567567153E-2</v>
      </c>
      <c r="G24" s="293">
        <v>0</v>
      </c>
      <c r="H24" s="294">
        <v>0</v>
      </c>
      <c r="I24" s="178">
        <f>+($B$33*B24)+(1-$B$33)*SUMPRODUCT($C$33:$H$33,C24:H24)</f>
        <v>-2.0604509567567153E-2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293">
        <v>1.7755802056853877E-2</v>
      </c>
      <c r="D25" s="293">
        <v>-0.40234371147647946</v>
      </c>
      <c r="E25" s="293">
        <v>-0.41624465647647951</v>
      </c>
      <c r="F25" s="293">
        <v>-0.38283826947647942</v>
      </c>
      <c r="G25" s="293">
        <v>0</v>
      </c>
      <c r="H25" s="294">
        <v>0</v>
      </c>
      <c r="I25" s="178">
        <f t="shared" ref="I25:I31" si="1">+($B$33*B25)+(1-$B$34)*SUMPRODUCT($C$33:$H$33,C25:H25)</f>
        <v>-0.38283826947647942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3.1705382280009728E-2</v>
      </c>
      <c r="C26" s="293">
        <v>2.4095859002887784E-2</v>
      </c>
      <c r="D26" s="293">
        <v>-0.39719411345955147</v>
      </c>
      <c r="E26" s="293">
        <v>-0.17860398021235152</v>
      </c>
      <c r="F26" s="293">
        <v>-0.29111355069419037</v>
      </c>
      <c r="G26" s="293">
        <v>0</v>
      </c>
      <c r="H26" s="294">
        <v>0</v>
      </c>
      <c r="I26" s="178">
        <f t="shared" si="1"/>
        <v>-0.29111355069419037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5.7210243741557129E-2</v>
      </c>
      <c r="C27" s="293">
        <v>-2.6391451656497394E-3</v>
      </c>
      <c r="D27" s="293">
        <v>-0.5628013453934434</v>
      </c>
      <c r="E27" s="293">
        <v>-0.46447856989823566</v>
      </c>
      <c r="F27" s="293">
        <v>-0.56036820871694393</v>
      </c>
      <c r="G27" s="293">
        <v>0</v>
      </c>
      <c r="H27" s="294">
        <v>0</v>
      </c>
      <c r="I27" s="178">
        <f t="shared" si="1"/>
        <v>-0.56036820871694393</v>
      </c>
      <c r="J27" s="76"/>
    </row>
    <row r="28" spans="1:24">
      <c r="A28" s="18" t="s">
        <v>8</v>
      </c>
      <c r="B28" s="21">
        <f t="shared" si="0"/>
        <v>5.5668448282861861E-2</v>
      </c>
      <c r="C28" s="293">
        <v>7.5254893945081197E-2</v>
      </c>
      <c r="D28" s="293">
        <v>-0.39124920785250294</v>
      </c>
      <c r="E28" s="293">
        <v>-0.25955043219214274</v>
      </c>
      <c r="F28" s="293">
        <v>-0.39124920785250294</v>
      </c>
      <c r="G28" s="293">
        <v>0</v>
      </c>
      <c r="H28" s="294">
        <v>0</v>
      </c>
      <c r="I28" s="178">
        <f t="shared" si="1"/>
        <v>-0.39124920785250294</v>
      </c>
      <c r="J28" s="94"/>
      <c r="U28" s="95"/>
    </row>
    <row r="29" spans="1:24">
      <c r="A29" s="18" t="s">
        <v>9</v>
      </c>
      <c r="B29" s="21">
        <f t="shared" si="0"/>
        <v>5.4683067728185694E-2</v>
      </c>
      <c r="C29" s="293">
        <v>6.2036265615280854E-2</v>
      </c>
      <c r="D29" s="293">
        <v>-0.527954509512369</v>
      </c>
      <c r="E29" s="293">
        <v>-0.56384711463070247</v>
      </c>
      <c r="F29" s="293">
        <v>-0.12960886463070243</v>
      </c>
      <c r="G29" s="293">
        <v>0</v>
      </c>
      <c r="H29" s="294">
        <v>0</v>
      </c>
      <c r="I29" s="178">
        <f t="shared" si="1"/>
        <v>-0.12960886463070243</v>
      </c>
      <c r="J29" s="96"/>
      <c r="U29" s="95"/>
    </row>
    <row r="30" spans="1:24">
      <c r="A30" s="18" t="s">
        <v>10</v>
      </c>
      <c r="B30" s="21">
        <f t="shared" si="0"/>
        <v>2.9030049193200475E-2</v>
      </c>
      <c r="C30" s="293">
        <v>1.4591619612606042E-2</v>
      </c>
      <c r="D30" s="293">
        <v>-0.23066484290463032</v>
      </c>
      <c r="E30" s="293">
        <v>-9.3346284848618948E-3</v>
      </c>
      <c r="F30" s="293">
        <v>-0.20832260584427478</v>
      </c>
      <c r="G30" s="293">
        <v>0</v>
      </c>
      <c r="H30" s="294">
        <v>0</v>
      </c>
      <c r="I30" s="178">
        <f t="shared" si="1"/>
        <v>-0.20832260584427478</v>
      </c>
      <c r="J30" s="96"/>
      <c r="U30" s="95"/>
    </row>
    <row r="31" spans="1:24" ht="13.5" thickBot="1">
      <c r="A31" s="22" t="s">
        <v>11</v>
      </c>
      <c r="B31" s="25">
        <f t="shared" si="0"/>
        <v>3.8983857987503749E-2</v>
      </c>
      <c r="C31" s="295">
        <v>1.0171029512307597E-3</v>
      </c>
      <c r="D31" s="295">
        <v>-0.42122995880386094</v>
      </c>
      <c r="E31" s="295">
        <v>-0.47665217132586252</v>
      </c>
      <c r="F31" s="295">
        <v>-0.4683750016502275</v>
      </c>
      <c r="G31" s="295">
        <v>0</v>
      </c>
      <c r="H31" s="296">
        <v>0</v>
      </c>
      <c r="I31" s="179">
        <f t="shared" si="1"/>
        <v>-0.4683750016502275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0</v>
      </c>
      <c r="D33" s="290">
        <f>Optimalisatie!D13</f>
        <v>0</v>
      </c>
      <c r="E33" s="290">
        <f>Optimalisatie!E13</f>
        <v>0</v>
      </c>
      <c r="F33" s="290">
        <f>Optimalisatie!F13</f>
        <v>1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4.7766184737795484E-3</v>
      </c>
      <c r="D35" s="307">
        <f>SUMPRODUCT(D24:D31,'Control panel'!$F$3:$F$10)</f>
        <v>-0.16252483460472297</v>
      </c>
      <c r="E35" s="307">
        <f>SUMPRODUCT(E24:E31,'Control panel'!$F$3:$F$10)</f>
        <v>-0.29427008687412248</v>
      </c>
      <c r="F35" s="307">
        <f>SUMPRODUCT(F24:F31,'Control panel'!$F$3:$F$10)</f>
        <v>-0.15305201212599054</v>
      </c>
      <c r="G35" s="307">
        <f>SUMPRODUCT(G24:G31,'Control panel'!$F$3:$F$10)</f>
        <v>0</v>
      </c>
      <c r="H35" s="307">
        <f>SUMPRODUCT(H24:H31,'Control panel'!$F$3:$F$10)</f>
        <v>0</v>
      </c>
      <c r="I35" s="309">
        <f>SUMPRODUCT(I24:I31,'Control panel'!$F$3:$F$10)</f>
        <v>-0.15305201212599054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4" spans="1:21" ht="13.5" thickBot="1">
      <c r="C44" s="362" t="s">
        <v>148</v>
      </c>
      <c r="D44" s="292"/>
      <c r="E44" s="292"/>
      <c r="F44" s="292"/>
      <c r="G44" s="292"/>
      <c r="H44" s="292"/>
    </row>
    <row r="45" spans="1:21" ht="13.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</row>
    <row r="46" spans="1:21">
      <c r="A46" s="292"/>
      <c r="B46" s="292"/>
      <c r="C46" s="363">
        <v>-1.4699999999999991E-2</v>
      </c>
      <c r="D46" s="363">
        <v>-6.7013877551020395E-2</v>
      </c>
      <c r="E46" s="363">
        <v>1.1456938775510177E-2</v>
      </c>
      <c r="F46" s="363">
        <v>-0.16510239795918369</v>
      </c>
      <c r="G46" s="363">
        <v>-0.18320999999999998</v>
      </c>
      <c r="H46" s="364">
        <v>0.16752704081632647</v>
      </c>
      <c r="I46" s="292"/>
    </row>
    <row r="47" spans="1:21">
      <c r="A47" s="292"/>
      <c r="B47" s="292"/>
      <c r="C47" s="363">
        <v>3.2265360838678848E-2</v>
      </c>
      <c r="D47" s="363">
        <v>-0.12368616059818778</v>
      </c>
      <c r="E47" s="363">
        <v>0.13546958786261218</v>
      </c>
      <c r="F47" s="363">
        <v>-0.42727636278018782</v>
      </c>
      <c r="G47" s="363">
        <v>-0.28955730527018791</v>
      </c>
      <c r="H47" s="364">
        <v>0.43320164362883823</v>
      </c>
      <c r="I47" s="292"/>
    </row>
    <row r="48" spans="1:21">
      <c r="A48" s="292"/>
      <c r="B48" s="292"/>
      <c r="C48" s="363">
        <v>2.4236186870114237E-2</v>
      </c>
      <c r="D48" s="363">
        <v>-6.7436180238797924E-2</v>
      </c>
      <c r="E48" s="363">
        <v>6.48159098579979E-2</v>
      </c>
      <c r="F48" s="363">
        <v>-0.44411555013435638</v>
      </c>
      <c r="G48" s="363">
        <v>-0.17503598994373321</v>
      </c>
      <c r="H48" s="364">
        <v>0.3597367873495057</v>
      </c>
      <c r="I48" s="292"/>
    </row>
    <row r="49" spans="1:9">
      <c r="A49" s="292"/>
      <c r="B49" s="292"/>
      <c r="C49" s="363">
        <v>2.0755655663184817E-2</v>
      </c>
      <c r="D49" s="363">
        <v>-0.1990065948295886</v>
      </c>
      <c r="E49" s="363">
        <v>0.12601639173074106</v>
      </c>
      <c r="F49" s="363">
        <v>-0.5960131127690903</v>
      </c>
      <c r="G49" s="363">
        <v>-0.44397648950276047</v>
      </c>
      <c r="H49" s="364">
        <v>0.56932448936827873</v>
      </c>
      <c r="I49" s="292"/>
    </row>
    <row r="50" spans="1:9">
      <c r="A50" s="292"/>
      <c r="B50" s="292"/>
      <c r="C50" s="363">
        <v>9.1477661376726138E-2</v>
      </c>
      <c r="D50" s="363">
        <v>-5.798793124317593E-2</v>
      </c>
      <c r="E50" s="363">
        <v>0.16697452146920708</v>
      </c>
      <c r="F50" s="363">
        <v>-0.4158933776005499</v>
      </c>
      <c r="G50" s="363">
        <v>-0.23084470950835506</v>
      </c>
      <c r="H50" s="364">
        <v>0.5281990519272417</v>
      </c>
      <c r="I50" s="292"/>
    </row>
    <row r="51" spans="1:9">
      <c r="A51" s="292"/>
      <c r="B51" s="292"/>
      <c r="C51" s="363">
        <v>6.4245130245983356E-2</v>
      </c>
      <c r="D51" s="363">
        <v>-5.0238212674999991E-2</v>
      </c>
      <c r="E51" s="363">
        <v>0.12057598235666664</v>
      </c>
      <c r="F51" s="363">
        <v>-0.58209564488166676</v>
      </c>
      <c r="G51" s="363">
        <v>-0.56163825000000001</v>
      </c>
      <c r="H51" s="364">
        <v>0.73007040070833329</v>
      </c>
      <c r="I51" s="292"/>
    </row>
    <row r="52" spans="1:9">
      <c r="A52" s="292"/>
      <c r="B52" s="292"/>
      <c r="C52" s="363">
        <v>8.9522990005224054E-3</v>
      </c>
      <c r="D52" s="363">
        <v>-9.1898203458908992E-2</v>
      </c>
      <c r="E52" s="363">
        <v>5.9377550230238066E-2</v>
      </c>
      <c r="F52" s="363">
        <v>-0.28730012112357839</v>
      </c>
      <c r="G52" s="363">
        <v>-7.2027289499633539E-3</v>
      </c>
      <c r="H52" s="364">
        <v>0.38180260304629854</v>
      </c>
      <c r="I52" s="292"/>
    </row>
    <row r="53" spans="1:9" ht="13.5" thickBot="1">
      <c r="A53" s="292"/>
      <c r="B53" s="292"/>
      <c r="C53" s="365">
        <v>1.5406691481015818E-2</v>
      </c>
      <c r="D53" s="365">
        <v>-0.15551998169474479</v>
      </c>
      <c r="E53" s="365">
        <v>9.8859756902187484E-2</v>
      </c>
      <c r="F53" s="365">
        <v>-0.46671476635655013</v>
      </c>
      <c r="G53" s="365">
        <v>-0.45056860980638663</v>
      </c>
      <c r="H53" s="366">
        <v>0.54547017892884075</v>
      </c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H52" sqref="H52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4" t="s">
        <v>3</v>
      </c>
      <c r="E3" s="374"/>
      <c r="F3" s="374"/>
      <c r="G3" s="374"/>
      <c r="H3" s="374"/>
      <c r="I3" s="374"/>
      <c r="J3" s="374"/>
      <c r="K3" s="375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4.3214826708651545E-2</v>
      </c>
      <c r="D4" s="111">
        <f>Scenarios!E4</f>
        <v>1.0000000000000002</v>
      </c>
      <c r="E4" s="112">
        <f>Scenarios!F4</f>
        <v>0.48758203889173096</v>
      </c>
      <c r="F4" s="112">
        <f>Scenarios!G4</f>
        <v>0.43351903366758959</v>
      </c>
      <c r="G4" s="112">
        <f>Scenarios!H4</f>
        <v>0.22240504783264323</v>
      </c>
      <c r="H4" s="112">
        <f>Scenarios!I4</f>
        <v>0.2729543601339276</v>
      </c>
      <c r="I4" s="112">
        <f>Scenarios!J4</f>
        <v>0.51795492979549662</v>
      </c>
      <c r="J4" s="112">
        <f>Scenarios!K4</f>
        <v>0.22026085078406454</v>
      </c>
      <c r="K4" s="113">
        <f>Scenarios!L4</f>
        <v>0.36266106503892548</v>
      </c>
      <c r="L4" s="239" t="s">
        <v>120</v>
      </c>
      <c r="N4" s="36">
        <f t="array" ref="N4:U11">+D4:K11*TRANSPOSE(C4:C11)*C4:C11</f>
        <v>1.8675212474587833E-3</v>
      </c>
      <c r="O4" s="36">
        <v>3.3342160675410709E-3</v>
      </c>
      <c r="P4" s="36">
        <v>3.1501654825561447E-3</v>
      </c>
      <c r="Q4" s="36">
        <v>2.7874319988523133E-3</v>
      </c>
      <c r="R4" s="36">
        <v>3.51210184860851E-3</v>
      </c>
      <c r="S4" s="36">
        <v>7.5155110021377708E-3</v>
      </c>
      <c r="T4" s="36">
        <v>1.3946371552323023E-3</v>
      </c>
      <c r="U4" s="36">
        <v>3.1212956212481151E-3</v>
      </c>
    </row>
    <row r="5" spans="1:21">
      <c r="A5" s="41" t="s">
        <v>5</v>
      </c>
      <c r="B5" s="42">
        <f>Scenarios!B25</f>
        <v>0.03</v>
      </c>
      <c r="C5" s="42">
        <f>Scenarios!D5</f>
        <v>0.15823890359343337</v>
      </c>
      <c r="D5" s="111">
        <f>Scenarios!E5</f>
        <v>0.48758203889173107</v>
      </c>
      <c r="E5" s="112">
        <f>Scenarios!F5</f>
        <v>0.99999999999999978</v>
      </c>
      <c r="F5" s="112">
        <f>Scenarios!G5</f>
        <v>0.90991930291292189</v>
      </c>
      <c r="G5" s="112">
        <f>Scenarios!H5</f>
        <v>0.74890714708117023</v>
      </c>
      <c r="H5" s="112">
        <f>Scenarios!I5</f>
        <v>0.74060441066122751</v>
      </c>
      <c r="I5" s="112">
        <f>Scenarios!J5</f>
        <v>0.88671991368989134</v>
      </c>
      <c r="J5" s="112">
        <f>Scenarios!K5</f>
        <v>0.61760661631655178</v>
      </c>
      <c r="K5" s="113">
        <f>Scenarios!L5</f>
        <v>0.8752768910119606</v>
      </c>
      <c r="N5" s="36">
        <v>3.3342160675410718E-3</v>
      </c>
      <c r="O5" s="36">
        <v>2.5039550610451898E-2</v>
      </c>
      <c r="P5" s="36">
        <v>2.4210767996325083E-2</v>
      </c>
      <c r="Q5" s="36">
        <v>3.4369095734260446E-2</v>
      </c>
      <c r="R5" s="36">
        <v>3.48934449985751E-2</v>
      </c>
      <c r="S5" s="36">
        <v>4.7112211944783683E-2</v>
      </c>
      <c r="T5" s="36">
        <v>1.4319120639324133E-2</v>
      </c>
      <c r="U5" s="36">
        <v>2.75841700957868E-2</v>
      </c>
    </row>
    <row r="6" spans="1:21">
      <c r="A6" s="41" t="s">
        <v>6</v>
      </c>
      <c r="B6" s="42">
        <f>Scenarios!B26</f>
        <v>3.1705382280009728E-2</v>
      </c>
      <c r="C6" s="42">
        <f>Scenarios!D6</f>
        <v>0.168148277471422</v>
      </c>
      <c r="D6" s="111">
        <f>Scenarios!E6</f>
        <v>0.43351903366758976</v>
      </c>
      <c r="E6" s="112">
        <f>Scenarios!F6</f>
        <v>0.90991930291292189</v>
      </c>
      <c r="F6" s="112">
        <f>Scenarios!G6</f>
        <v>1</v>
      </c>
      <c r="G6" s="112">
        <f>Scenarios!H6</f>
        <v>0.78689057691118713</v>
      </c>
      <c r="H6" s="112">
        <f>Scenarios!I6</f>
        <v>0.81542413678900194</v>
      </c>
      <c r="I6" s="112">
        <f>Scenarios!J6</f>
        <v>0.84996791272671834</v>
      </c>
      <c r="J6" s="112">
        <f>Scenarios!K6</f>
        <v>0.63150622997795747</v>
      </c>
      <c r="K6" s="113">
        <f>Scenarios!L6</f>
        <v>0.87979060194508074</v>
      </c>
      <c r="N6" s="36">
        <v>3.150165482556146E-3</v>
      </c>
      <c r="O6" s="36">
        <v>2.4210767996325083E-2</v>
      </c>
      <c r="P6" s="36">
        <v>2.8273843216606323E-2</v>
      </c>
      <c r="Q6" s="36">
        <v>3.8373696184703453E-2</v>
      </c>
      <c r="R6" s="36">
        <v>4.0824443660549874E-2</v>
      </c>
      <c r="S6" s="36">
        <v>4.7987565924770659E-2</v>
      </c>
      <c r="T6" s="36">
        <v>1.5558266457002203E-2</v>
      </c>
      <c r="U6" s="36">
        <v>2.9462726607530545E-2</v>
      </c>
    </row>
    <row r="7" spans="1:21">
      <c r="A7" s="41" t="s">
        <v>7</v>
      </c>
      <c r="B7" s="42">
        <f>Scenarios!B27</f>
        <v>5.7210243741557129E-2</v>
      </c>
      <c r="C7" s="42">
        <f>Scenarios!D7</f>
        <v>0.29001927694608043</v>
      </c>
      <c r="D7" s="111">
        <f>Scenarios!E7</f>
        <v>0.22240504783264309</v>
      </c>
      <c r="E7" s="112">
        <f>Scenarios!F7</f>
        <v>0.74890714708117023</v>
      </c>
      <c r="F7" s="112">
        <f>Scenarios!G7</f>
        <v>0.78689057691118725</v>
      </c>
      <c r="G7" s="112">
        <f>Scenarios!H7</f>
        <v>1.0000000000000002</v>
      </c>
      <c r="H7" s="112">
        <f>Scenarios!I7</f>
        <v>0.80043789752068695</v>
      </c>
      <c r="I7" s="112">
        <f>Scenarios!J7</f>
        <v>0.6816417645711762</v>
      </c>
      <c r="J7" s="112">
        <f>Scenarios!K7</f>
        <v>0.69656976952020244</v>
      </c>
      <c r="K7" s="113">
        <f>Scenarios!L7</f>
        <v>0.8825588907922528</v>
      </c>
      <c r="N7" s="36">
        <v>2.7874319988523116E-3</v>
      </c>
      <c r="O7" s="36">
        <v>3.4369095734260446E-2</v>
      </c>
      <c r="P7" s="36">
        <v>3.8373696184703453E-2</v>
      </c>
      <c r="Q7" s="36">
        <v>8.4111181000327315E-2</v>
      </c>
      <c r="R7" s="36">
        <v>6.9119215106557635E-2</v>
      </c>
      <c r="S7" s="36">
        <v>6.6376878593813984E-2</v>
      </c>
      <c r="T7" s="36">
        <v>2.9599381146183188E-2</v>
      </c>
      <c r="U7" s="36">
        <v>5.0976704304249595E-2</v>
      </c>
    </row>
    <row r="8" spans="1:21">
      <c r="A8" s="41" t="s">
        <v>8</v>
      </c>
      <c r="B8" s="42">
        <f>Scenarios!B28</f>
        <v>5.5668448282861861E-2</v>
      </c>
      <c r="C8" s="42">
        <f>Scenarios!D8</f>
        <v>0.29774487154665702</v>
      </c>
      <c r="D8" s="111">
        <f>Scenarios!E8</f>
        <v>0.2729543601339276</v>
      </c>
      <c r="E8" s="112">
        <f>Scenarios!F8</f>
        <v>0.7406044106612274</v>
      </c>
      <c r="F8" s="112">
        <f>Scenarios!G8</f>
        <v>0.81542413678900183</v>
      </c>
      <c r="G8" s="112">
        <f>Scenarios!H8</f>
        <v>0.80043789752068695</v>
      </c>
      <c r="H8" s="112">
        <f>Scenarios!I8</f>
        <v>1</v>
      </c>
      <c r="I8" s="112">
        <f>Scenarios!J8</f>
        <v>0.70370520831484562</v>
      </c>
      <c r="J8" s="112">
        <f>Scenarios!K8</f>
        <v>0.62140003003210531</v>
      </c>
      <c r="K8" s="113">
        <f>Scenarios!L8</f>
        <v>0.77427405839831998</v>
      </c>
      <c r="N8" s="36">
        <v>3.5121018486085104E-3</v>
      </c>
      <c r="O8" s="36">
        <v>3.4893444998575093E-2</v>
      </c>
      <c r="P8" s="36">
        <v>4.0824443660549867E-2</v>
      </c>
      <c r="Q8" s="36">
        <v>6.9119215106557635E-2</v>
      </c>
      <c r="R8" s="36">
        <v>8.8652008532335291E-2</v>
      </c>
      <c r="S8" s="36">
        <v>7.0350764829628737E-2</v>
      </c>
      <c r="T8" s="36">
        <v>2.7108575865746099E-2</v>
      </c>
      <c r="U8" s="36">
        <v>4.5913478089811721E-2</v>
      </c>
    </row>
    <row r="9" spans="1:21">
      <c r="A9" s="41" t="s">
        <v>9</v>
      </c>
      <c r="B9" s="42">
        <f>Scenarios!B29</f>
        <v>5.4683067728185694E-2</v>
      </c>
      <c r="C9" s="42">
        <f>Scenarios!D9</f>
        <v>0.33576372020209261</v>
      </c>
      <c r="D9" s="111">
        <f>Scenarios!E9</f>
        <v>0.51795492979549662</v>
      </c>
      <c r="E9" s="112">
        <f>Scenarios!F9</f>
        <v>0.88671991368989134</v>
      </c>
      <c r="F9" s="112">
        <f>Scenarios!G9</f>
        <v>0.84996791272671812</v>
      </c>
      <c r="G9" s="112">
        <f>Scenarios!H9</f>
        <v>0.6816417645711762</v>
      </c>
      <c r="H9" s="112">
        <f>Scenarios!I9</f>
        <v>0.70370520831484562</v>
      </c>
      <c r="I9" s="112">
        <f>Scenarios!J9</f>
        <v>1.0000000000000002</v>
      </c>
      <c r="J9" s="112">
        <f>Scenarios!K9</f>
        <v>0.64202094504860974</v>
      </c>
      <c r="K9" s="113">
        <f>Scenarios!L9</f>
        <v>0.82000870971282414</v>
      </c>
      <c r="N9" s="36">
        <v>7.5155110021377699E-3</v>
      </c>
      <c r="O9" s="36">
        <v>4.711221194478369E-2</v>
      </c>
      <c r="P9" s="36">
        <v>4.7987565924770645E-2</v>
      </c>
      <c r="Q9" s="36">
        <v>6.6376878593813984E-2</v>
      </c>
      <c r="R9" s="36">
        <v>7.0350764829628737E-2</v>
      </c>
      <c r="S9" s="36">
        <v>0.11273727580394916</v>
      </c>
      <c r="T9" s="36">
        <v>3.158450738795341E-2</v>
      </c>
      <c r="U9" s="36">
        <v>5.4834441956043922E-2</v>
      </c>
    </row>
    <row r="10" spans="1:21">
      <c r="A10" s="41" t="s">
        <v>10</v>
      </c>
      <c r="B10" s="42">
        <f>Scenarios!B30</f>
        <v>2.9030049193200475E-2</v>
      </c>
      <c r="C10" s="42">
        <f>Scenarios!D10</f>
        <v>0.1465180543940868</v>
      </c>
      <c r="D10" s="111">
        <f>Scenarios!E10</f>
        <v>0.2202608507840644</v>
      </c>
      <c r="E10" s="112">
        <f>Scenarios!F10</f>
        <v>0.61760661631655156</v>
      </c>
      <c r="F10" s="112">
        <f>Scenarios!G10</f>
        <v>0.63150622997795758</v>
      </c>
      <c r="G10" s="112">
        <f>Scenarios!H10</f>
        <v>0.69656976952020244</v>
      </c>
      <c r="H10" s="112">
        <f>Scenarios!I10</f>
        <v>0.62140003003210531</v>
      </c>
      <c r="I10" s="112">
        <f>Scenarios!J10</f>
        <v>0.64202094504860974</v>
      </c>
      <c r="J10" s="112">
        <f>Scenarios!K10</f>
        <v>1.0000000000000002</v>
      </c>
      <c r="K10" s="113">
        <f>Scenarios!L10</f>
        <v>0.66415983265504108</v>
      </c>
      <c r="N10" s="36">
        <v>1.3946371552323014E-3</v>
      </c>
      <c r="O10" s="36">
        <v>1.431912063932413E-2</v>
      </c>
      <c r="P10" s="36">
        <v>1.5558266457002206E-2</v>
      </c>
      <c r="Q10" s="36">
        <v>2.9599381146183192E-2</v>
      </c>
      <c r="R10" s="36">
        <v>2.7108575865746099E-2</v>
      </c>
      <c r="S10" s="36">
        <v>3.158450738795341E-2</v>
      </c>
      <c r="T10" s="36">
        <v>2.1467540263428581E-2</v>
      </c>
      <c r="U10" s="36">
        <v>1.9380498529609831E-2</v>
      </c>
    </row>
    <row r="11" spans="1:21" ht="13.5" thickBot="1">
      <c r="A11" s="43" t="s">
        <v>11</v>
      </c>
      <c r="B11" s="44">
        <f>Scenarios!B31</f>
        <v>3.8983857987503749E-2</v>
      </c>
      <c r="C11" s="44">
        <f>Scenarios!D11</f>
        <v>0.19915957675666104</v>
      </c>
      <c r="D11" s="114">
        <f>Scenarios!E11</f>
        <v>0.36266106503892553</v>
      </c>
      <c r="E11" s="115">
        <f>Scenarios!F11</f>
        <v>0.8752768910119606</v>
      </c>
      <c r="F11" s="115">
        <f>Scenarios!G11</f>
        <v>0.87979060194508063</v>
      </c>
      <c r="G11" s="115">
        <f>Scenarios!H11</f>
        <v>0.88255889079225258</v>
      </c>
      <c r="H11" s="115">
        <f>Scenarios!I11</f>
        <v>0.77427405839831998</v>
      </c>
      <c r="I11" s="115">
        <f>Scenarios!J11</f>
        <v>0.82000870971282414</v>
      </c>
      <c r="J11" s="115">
        <f>Scenarios!K11</f>
        <v>0.66415983265504108</v>
      </c>
      <c r="K11" s="116">
        <f>Scenarios!L11</f>
        <v>1.0000000000000002</v>
      </c>
      <c r="N11" s="36">
        <v>3.1212956212481155E-3</v>
      </c>
      <c r="O11" s="36">
        <v>2.75841700957868E-2</v>
      </c>
      <c r="P11" s="36">
        <v>2.9462726607530541E-2</v>
      </c>
      <c r="Q11" s="36">
        <v>5.0976704304249582E-2</v>
      </c>
      <c r="R11" s="36">
        <v>4.5913478089811721E-2</v>
      </c>
      <c r="S11" s="36">
        <v>5.4834441956043915E-2</v>
      </c>
      <c r="T11" s="36">
        <v>1.9380498529609831E-2</v>
      </c>
      <c r="U11" s="36">
        <v>3.9664537013892373E-2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3" t="s">
        <v>3</v>
      </c>
      <c r="E14" s="374"/>
      <c r="F14" s="374"/>
      <c r="G14" s="374"/>
      <c r="H14" s="374"/>
      <c r="I14" s="374"/>
      <c r="J14" s="374"/>
      <c r="K14" s="375"/>
    </row>
    <row r="15" spans="1:21">
      <c r="A15" s="41" t="s">
        <v>4</v>
      </c>
      <c r="B15" s="46">
        <f>Scenarios!C24</f>
        <v>-1.8278501643327824E-3</v>
      </c>
      <c r="C15" s="42">
        <f>C4</f>
        <v>4.3214826708651545E-2</v>
      </c>
      <c r="D15" s="111">
        <f t="shared" ref="D15:K15" si="0">D4</f>
        <v>1.0000000000000002</v>
      </c>
      <c r="E15" s="112">
        <f t="shared" si="0"/>
        <v>0.48758203889173096</v>
      </c>
      <c r="F15" s="112">
        <f t="shared" si="0"/>
        <v>0.43351903366758959</v>
      </c>
      <c r="G15" s="112">
        <f t="shared" si="0"/>
        <v>0.22240504783264323</v>
      </c>
      <c r="H15" s="112">
        <f t="shared" si="0"/>
        <v>0.2729543601339276</v>
      </c>
      <c r="I15" s="112">
        <f t="shared" si="0"/>
        <v>0.51795492979549662</v>
      </c>
      <c r="J15" s="112">
        <f t="shared" si="0"/>
        <v>0.22026085078406454</v>
      </c>
      <c r="K15" s="113">
        <f t="shared" si="0"/>
        <v>0.36266106503892548</v>
      </c>
      <c r="L15" s="239" t="s">
        <v>120</v>
      </c>
    </row>
    <row r="16" spans="1:21">
      <c r="A16" s="41" t="s">
        <v>5</v>
      </c>
      <c r="B16" s="46">
        <f>Scenarios!C25</f>
        <v>1.7755802056853877E-2</v>
      </c>
      <c r="C16" s="42">
        <f t="shared" ref="C16:K16" si="1">C5</f>
        <v>0.15823890359343337</v>
      </c>
      <c r="D16" s="111">
        <f t="shared" si="1"/>
        <v>0.48758203889173107</v>
      </c>
      <c r="E16" s="112">
        <f t="shared" si="1"/>
        <v>0.99999999999999978</v>
      </c>
      <c r="F16" s="112">
        <f t="shared" si="1"/>
        <v>0.90991930291292189</v>
      </c>
      <c r="G16" s="112">
        <f t="shared" si="1"/>
        <v>0.74890714708117023</v>
      </c>
      <c r="H16" s="112">
        <f t="shared" si="1"/>
        <v>0.74060441066122751</v>
      </c>
      <c r="I16" s="112">
        <f t="shared" si="1"/>
        <v>0.88671991368989134</v>
      </c>
      <c r="J16" s="112">
        <f t="shared" si="1"/>
        <v>0.61760661631655178</v>
      </c>
      <c r="K16" s="113">
        <f t="shared" si="1"/>
        <v>0.8752768910119606</v>
      </c>
    </row>
    <row r="17" spans="1:12">
      <c r="A17" s="41" t="s">
        <v>6</v>
      </c>
      <c r="B17" s="46">
        <f>Scenarios!C26</f>
        <v>2.4095859002887784E-2</v>
      </c>
      <c r="C17" s="42">
        <f t="shared" ref="C17:K17" si="2">C6</f>
        <v>0.168148277471422</v>
      </c>
      <c r="D17" s="111">
        <f t="shared" si="2"/>
        <v>0.43351903366758976</v>
      </c>
      <c r="E17" s="112">
        <f t="shared" si="2"/>
        <v>0.90991930291292189</v>
      </c>
      <c r="F17" s="112">
        <f t="shared" si="2"/>
        <v>1</v>
      </c>
      <c r="G17" s="112">
        <f t="shared" si="2"/>
        <v>0.78689057691118713</v>
      </c>
      <c r="H17" s="112">
        <f t="shared" si="2"/>
        <v>0.81542413678900194</v>
      </c>
      <c r="I17" s="112">
        <f t="shared" si="2"/>
        <v>0.84996791272671834</v>
      </c>
      <c r="J17" s="112">
        <f t="shared" si="2"/>
        <v>0.63150622997795747</v>
      </c>
      <c r="K17" s="113">
        <f t="shared" si="2"/>
        <v>0.87979060194508074</v>
      </c>
    </row>
    <row r="18" spans="1:12">
      <c r="A18" s="41" t="s">
        <v>7</v>
      </c>
      <c r="B18" s="46">
        <f>Scenarios!C27</f>
        <v>-2.6391451656497394E-3</v>
      </c>
      <c r="C18" s="42">
        <f t="shared" ref="C18:K18" si="3">C7</f>
        <v>0.29001927694608043</v>
      </c>
      <c r="D18" s="111">
        <f t="shared" si="3"/>
        <v>0.22240504783264309</v>
      </c>
      <c r="E18" s="112">
        <f t="shared" si="3"/>
        <v>0.74890714708117023</v>
      </c>
      <c r="F18" s="112">
        <f t="shared" si="3"/>
        <v>0.78689057691118725</v>
      </c>
      <c r="G18" s="112">
        <f t="shared" si="3"/>
        <v>1.0000000000000002</v>
      </c>
      <c r="H18" s="112">
        <f t="shared" si="3"/>
        <v>0.80043789752068695</v>
      </c>
      <c r="I18" s="112">
        <f t="shared" si="3"/>
        <v>0.6816417645711762</v>
      </c>
      <c r="J18" s="112">
        <f t="shared" si="3"/>
        <v>0.69656976952020244</v>
      </c>
      <c r="K18" s="113">
        <f t="shared" si="3"/>
        <v>0.8825588907922528</v>
      </c>
    </row>
    <row r="19" spans="1:12">
      <c r="A19" s="41" t="s">
        <v>8</v>
      </c>
      <c r="B19" s="46">
        <f>Scenarios!C28</f>
        <v>7.5254893945081197E-2</v>
      </c>
      <c r="C19" s="42">
        <f t="shared" ref="C19:K19" si="4">C8</f>
        <v>0.29774487154665702</v>
      </c>
      <c r="D19" s="111">
        <f t="shared" si="4"/>
        <v>0.2729543601339276</v>
      </c>
      <c r="E19" s="112">
        <f t="shared" si="4"/>
        <v>0.7406044106612274</v>
      </c>
      <c r="F19" s="112">
        <f t="shared" si="4"/>
        <v>0.81542413678900183</v>
      </c>
      <c r="G19" s="112">
        <f t="shared" si="4"/>
        <v>0.80043789752068695</v>
      </c>
      <c r="H19" s="112">
        <f t="shared" si="4"/>
        <v>1</v>
      </c>
      <c r="I19" s="112">
        <f t="shared" si="4"/>
        <v>0.70370520831484562</v>
      </c>
      <c r="J19" s="112">
        <f t="shared" si="4"/>
        <v>0.62140003003210531</v>
      </c>
      <c r="K19" s="113">
        <f t="shared" si="4"/>
        <v>0.77427405839831998</v>
      </c>
    </row>
    <row r="20" spans="1:12">
      <c r="A20" s="41" t="s">
        <v>9</v>
      </c>
      <c r="B20" s="46">
        <f>Scenarios!C29</f>
        <v>6.2036265615280854E-2</v>
      </c>
      <c r="C20" s="42">
        <f t="shared" ref="C20:K20" si="5">C9</f>
        <v>0.33576372020209261</v>
      </c>
      <c r="D20" s="111">
        <f t="shared" si="5"/>
        <v>0.51795492979549662</v>
      </c>
      <c r="E20" s="112">
        <f t="shared" si="5"/>
        <v>0.88671991368989134</v>
      </c>
      <c r="F20" s="112">
        <f t="shared" si="5"/>
        <v>0.84996791272671812</v>
      </c>
      <c r="G20" s="112">
        <f t="shared" si="5"/>
        <v>0.6816417645711762</v>
      </c>
      <c r="H20" s="112">
        <f t="shared" si="5"/>
        <v>0.70370520831484562</v>
      </c>
      <c r="I20" s="112">
        <f t="shared" si="5"/>
        <v>1.0000000000000002</v>
      </c>
      <c r="J20" s="112">
        <f t="shared" si="5"/>
        <v>0.64202094504860974</v>
      </c>
      <c r="K20" s="113">
        <f t="shared" si="5"/>
        <v>0.82000870971282414</v>
      </c>
    </row>
    <row r="21" spans="1:12">
      <c r="A21" s="41" t="s">
        <v>10</v>
      </c>
      <c r="B21" s="46">
        <f>Scenarios!C30</f>
        <v>1.4591619612606042E-2</v>
      </c>
      <c r="C21" s="42">
        <f t="shared" ref="C21:K21" si="6">C10</f>
        <v>0.1465180543940868</v>
      </c>
      <c r="D21" s="111">
        <f t="shared" si="6"/>
        <v>0.2202608507840644</v>
      </c>
      <c r="E21" s="112">
        <f t="shared" si="6"/>
        <v>0.61760661631655156</v>
      </c>
      <c r="F21" s="112">
        <f t="shared" si="6"/>
        <v>0.63150622997795758</v>
      </c>
      <c r="G21" s="112">
        <f t="shared" si="6"/>
        <v>0.69656976952020244</v>
      </c>
      <c r="H21" s="112">
        <f t="shared" si="6"/>
        <v>0.62140003003210531</v>
      </c>
      <c r="I21" s="112">
        <f t="shared" si="6"/>
        <v>0.64202094504860974</v>
      </c>
      <c r="J21" s="112">
        <f t="shared" si="6"/>
        <v>1.0000000000000002</v>
      </c>
      <c r="K21" s="113">
        <f t="shared" si="6"/>
        <v>0.66415983265504108</v>
      </c>
    </row>
    <row r="22" spans="1:12" ht="13.5" thickBot="1">
      <c r="A22" s="43" t="s">
        <v>11</v>
      </c>
      <c r="B22" s="47">
        <f>Scenarios!C31</f>
        <v>1.0171029512307597E-3</v>
      </c>
      <c r="C22" s="44">
        <f t="shared" ref="C22:K22" si="7">C11</f>
        <v>0.19915957675666104</v>
      </c>
      <c r="D22" s="114">
        <f t="shared" si="7"/>
        <v>0.36266106503892553</v>
      </c>
      <c r="E22" s="115">
        <f t="shared" si="7"/>
        <v>0.8752768910119606</v>
      </c>
      <c r="F22" s="115">
        <f t="shared" si="7"/>
        <v>0.87979060194508063</v>
      </c>
      <c r="G22" s="115">
        <f t="shared" si="7"/>
        <v>0.88255889079225258</v>
      </c>
      <c r="H22" s="115">
        <f t="shared" si="7"/>
        <v>0.77427405839831998</v>
      </c>
      <c r="I22" s="115">
        <f t="shared" si="7"/>
        <v>0.82000870971282414</v>
      </c>
      <c r="J22" s="115">
        <f t="shared" si="7"/>
        <v>0.66415983265504108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Bear case</v>
      </c>
      <c r="B25" s="39" t="s">
        <v>1</v>
      </c>
      <c r="C25" s="40" t="s">
        <v>2</v>
      </c>
      <c r="D25" s="373" t="s">
        <v>3</v>
      </c>
      <c r="E25" s="374"/>
      <c r="F25" s="374"/>
      <c r="G25" s="374"/>
      <c r="H25" s="374"/>
      <c r="I25" s="374"/>
      <c r="J25" s="374"/>
      <c r="K25" s="375"/>
    </row>
    <row r="26" spans="1:12">
      <c r="A26" s="41" t="s">
        <v>4</v>
      </c>
      <c r="B26" s="46">
        <f>Scenarios!D24</f>
        <v>-2.0604509567567153E-2</v>
      </c>
      <c r="C26" s="243">
        <f>C4</f>
        <v>4.3214826708651545E-2</v>
      </c>
      <c r="D26" s="249">
        <f t="shared" ref="D26:K26" si="8">D4</f>
        <v>1.0000000000000002</v>
      </c>
      <c r="E26" s="250">
        <f t="shared" si="8"/>
        <v>0.48758203889173096</v>
      </c>
      <c r="F26" s="250">
        <f t="shared" si="8"/>
        <v>0.43351903366758959</v>
      </c>
      <c r="G26" s="250">
        <f t="shared" si="8"/>
        <v>0.22240504783264323</v>
      </c>
      <c r="H26" s="250">
        <f t="shared" si="8"/>
        <v>0.2729543601339276</v>
      </c>
      <c r="I26" s="250">
        <f t="shared" si="8"/>
        <v>0.51795492979549662</v>
      </c>
      <c r="J26" s="250">
        <f t="shared" si="8"/>
        <v>0.22026085078406454</v>
      </c>
      <c r="K26" s="251">
        <f t="shared" si="8"/>
        <v>0.36266106503892548</v>
      </c>
      <c r="L26" s="239" t="s">
        <v>120</v>
      </c>
    </row>
    <row r="27" spans="1:12">
      <c r="A27" s="41" t="s">
        <v>5</v>
      </c>
      <c r="B27" s="46">
        <f>Scenarios!D25</f>
        <v>-0.40234371147647946</v>
      </c>
      <c r="C27" s="243">
        <f t="shared" ref="C27:K27" si="9">C5</f>
        <v>0.15823890359343337</v>
      </c>
      <c r="D27" s="249">
        <f t="shared" si="9"/>
        <v>0.48758203889173107</v>
      </c>
      <c r="E27" s="250">
        <f t="shared" si="9"/>
        <v>0.99999999999999978</v>
      </c>
      <c r="F27" s="250">
        <f t="shared" si="9"/>
        <v>0.90991930291292189</v>
      </c>
      <c r="G27" s="250">
        <f t="shared" si="9"/>
        <v>0.74890714708117023</v>
      </c>
      <c r="H27" s="250">
        <f t="shared" si="9"/>
        <v>0.74060441066122751</v>
      </c>
      <c r="I27" s="250">
        <f t="shared" si="9"/>
        <v>0.88671991368989134</v>
      </c>
      <c r="J27" s="250">
        <f t="shared" si="9"/>
        <v>0.61760661631655178</v>
      </c>
      <c r="K27" s="251">
        <f t="shared" si="9"/>
        <v>0.8752768910119606</v>
      </c>
    </row>
    <row r="28" spans="1:12">
      <c r="A28" s="41" t="s">
        <v>6</v>
      </c>
      <c r="B28" s="46">
        <f>Scenarios!D26</f>
        <v>-0.39719411345955147</v>
      </c>
      <c r="C28" s="243">
        <f t="shared" ref="C28:K28" si="10">C6</f>
        <v>0.168148277471422</v>
      </c>
      <c r="D28" s="249">
        <f t="shared" si="10"/>
        <v>0.43351903366758976</v>
      </c>
      <c r="E28" s="250">
        <f t="shared" si="10"/>
        <v>0.90991930291292189</v>
      </c>
      <c r="F28" s="250">
        <f t="shared" si="10"/>
        <v>1</v>
      </c>
      <c r="G28" s="250">
        <f t="shared" si="10"/>
        <v>0.78689057691118713</v>
      </c>
      <c r="H28" s="250">
        <f t="shared" si="10"/>
        <v>0.81542413678900194</v>
      </c>
      <c r="I28" s="250">
        <f t="shared" si="10"/>
        <v>0.84996791272671834</v>
      </c>
      <c r="J28" s="250">
        <f t="shared" si="10"/>
        <v>0.63150622997795747</v>
      </c>
      <c r="K28" s="251">
        <f t="shared" si="10"/>
        <v>0.87979060194508074</v>
      </c>
    </row>
    <row r="29" spans="1:12">
      <c r="A29" s="41" t="s">
        <v>7</v>
      </c>
      <c r="B29" s="46">
        <f>Scenarios!D27</f>
        <v>-0.5628013453934434</v>
      </c>
      <c r="C29" s="243">
        <f t="shared" ref="C29:K29" si="11">C7</f>
        <v>0.29001927694608043</v>
      </c>
      <c r="D29" s="249">
        <f t="shared" si="11"/>
        <v>0.22240504783264309</v>
      </c>
      <c r="E29" s="250">
        <f t="shared" si="11"/>
        <v>0.74890714708117023</v>
      </c>
      <c r="F29" s="250">
        <f t="shared" si="11"/>
        <v>0.78689057691118725</v>
      </c>
      <c r="G29" s="250">
        <f t="shared" si="11"/>
        <v>1.0000000000000002</v>
      </c>
      <c r="H29" s="250">
        <f t="shared" si="11"/>
        <v>0.80043789752068695</v>
      </c>
      <c r="I29" s="250">
        <f t="shared" si="11"/>
        <v>0.6816417645711762</v>
      </c>
      <c r="J29" s="250">
        <f t="shared" si="11"/>
        <v>0.69656976952020244</v>
      </c>
      <c r="K29" s="251">
        <f t="shared" si="11"/>
        <v>0.8825588907922528</v>
      </c>
    </row>
    <row r="30" spans="1:12">
      <c r="A30" s="41" t="s">
        <v>8</v>
      </c>
      <c r="B30" s="46">
        <f>Scenarios!D28</f>
        <v>-0.39124920785250294</v>
      </c>
      <c r="C30" s="243">
        <f t="shared" ref="C30:K30" si="12">C8</f>
        <v>0.29774487154665702</v>
      </c>
      <c r="D30" s="249">
        <f t="shared" si="12"/>
        <v>0.2729543601339276</v>
      </c>
      <c r="E30" s="250">
        <f t="shared" si="12"/>
        <v>0.7406044106612274</v>
      </c>
      <c r="F30" s="250">
        <f t="shared" si="12"/>
        <v>0.81542413678900183</v>
      </c>
      <c r="G30" s="250">
        <f t="shared" si="12"/>
        <v>0.80043789752068695</v>
      </c>
      <c r="H30" s="250">
        <f t="shared" si="12"/>
        <v>1</v>
      </c>
      <c r="I30" s="250">
        <f t="shared" si="12"/>
        <v>0.70370520831484562</v>
      </c>
      <c r="J30" s="250">
        <f t="shared" si="12"/>
        <v>0.62140003003210531</v>
      </c>
      <c r="K30" s="251">
        <f t="shared" si="12"/>
        <v>0.77427405839831998</v>
      </c>
    </row>
    <row r="31" spans="1:12">
      <c r="A31" s="41" t="s">
        <v>9</v>
      </c>
      <c r="B31" s="46">
        <f>Scenarios!D29</f>
        <v>-0.527954509512369</v>
      </c>
      <c r="C31" s="243">
        <f t="shared" ref="C31:K31" si="13">C9</f>
        <v>0.33576372020209261</v>
      </c>
      <c r="D31" s="249">
        <f t="shared" si="13"/>
        <v>0.51795492979549662</v>
      </c>
      <c r="E31" s="250">
        <f t="shared" si="13"/>
        <v>0.88671991368989134</v>
      </c>
      <c r="F31" s="250">
        <f t="shared" si="13"/>
        <v>0.84996791272671812</v>
      </c>
      <c r="G31" s="250">
        <f t="shared" si="13"/>
        <v>0.6816417645711762</v>
      </c>
      <c r="H31" s="250">
        <f t="shared" si="13"/>
        <v>0.70370520831484562</v>
      </c>
      <c r="I31" s="250">
        <f t="shared" si="13"/>
        <v>1.0000000000000002</v>
      </c>
      <c r="J31" s="250">
        <f t="shared" si="13"/>
        <v>0.64202094504860974</v>
      </c>
      <c r="K31" s="251">
        <f t="shared" si="13"/>
        <v>0.82000870971282414</v>
      </c>
    </row>
    <row r="32" spans="1:12">
      <c r="A32" s="41" t="s">
        <v>10</v>
      </c>
      <c r="B32" s="46">
        <f>Scenarios!D30</f>
        <v>-0.23066484290463032</v>
      </c>
      <c r="C32" s="243">
        <f t="shared" ref="C32:K32" si="14">C10</f>
        <v>0.1465180543940868</v>
      </c>
      <c r="D32" s="249">
        <f t="shared" si="14"/>
        <v>0.2202608507840644</v>
      </c>
      <c r="E32" s="250">
        <f t="shared" si="14"/>
        <v>0.61760661631655156</v>
      </c>
      <c r="F32" s="250">
        <f t="shared" si="14"/>
        <v>0.63150622997795758</v>
      </c>
      <c r="G32" s="250">
        <f t="shared" si="14"/>
        <v>0.69656976952020244</v>
      </c>
      <c r="H32" s="250">
        <f t="shared" si="14"/>
        <v>0.62140003003210531</v>
      </c>
      <c r="I32" s="250">
        <f t="shared" si="14"/>
        <v>0.64202094504860974</v>
      </c>
      <c r="J32" s="250">
        <f t="shared" si="14"/>
        <v>1.0000000000000002</v>
      </c>
      <c r="K32" s="251">
        <f t="shared" si="14"/>
        <v>0.66415983265504108</v>
      </c>
    </row>
    <row r="33" spans="1:12" ht="13.5" thickBot="1">
      <c r="A33" s="43" t="s">
        <v>11</v>
      </c>
      <c r="B33" s="47">
        <f>Scenarios!D31</f>
        <v>-0.42122995880386094</v>
      </c>
      <c r="C33" s="246">
        <f t="shared" ref="C33:K33" si="15">C11</f>
        <v>0.19915957675666104</v>
      </c>
      <c r="D33" s="252">
        <f t="shared" si="15"/>
        <v>0.36266106503892553</v>
      </c>
      <c r="E33" s="253">
        <f t="shared" si="15"/>
        <v>0.8752768910119606</v>
      </c>
      <c r="F33" s="253">
        <f t="shared" si="15"/>
        <v>0.87979060194508063</v>
      </c>
      <c r="G33" s="253">
        <f t="shared" si="15"/>
        <v>0.88255889079225258</v>
      </c>
      <c r="H33" s="253">
        <f t="shared" si="15"/>
        <v>0.77427405839831998</v>
      </c>
      <c r="I33" s="253">
        <f t="shared" si="15"/>
        <v>0.82000870971282414</v>
      </c>
      <c r="J33" s="253">
        <f t="shared" si="15"/>
        <v>0.66415983265504108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Tail risk</v>
      </c>
      <c r="B36" s="39" t="s">
        <v>1</v>
      </c>
      <c r="C36" s="40" t="s">
        <v>2</v>
      </c>
      <c r="D36" s="373" t="s">
        <v>3</v>
      </c>
      <c r="E36" s="374"/>
      <c r="F36" s="374"/>
      <c r="G36" s="374"/>
      <c r="H36" s="374"/>
      <c r="I36" s="374"/>
      <c r="J36" s="374"/>
      <c r="K36" s="375"/>
    </row>
    <row r="37" spans="1:12">
      <c r="A37" s="41" t="s">
        <v>4</v>
      </c>
      <c r="B37" s="46">
        <f>Scenarios!E24</f>
        <v>-0.27327160808286638</v>
      </c>
      <c r="C37" s="243">
        <f t="shared" ref="C37:K37" si="16">C15</f>
        <v>4.3214826708651545E-2</v>
      </c>
      <c r="D37" s="249">
        <f t="shared" si="16"/>
        <v>1.0000000000000002</v>
      </c>
      <c r="E37" s="250">
        <f t="shared" si="16"/>
        <v>0.48758203889173096</v>
      </c>
      <c r="F37" s="250">
        <f t="shared" si="16"/>
        <v>0.43351903366758959</v>
      </c>
      <c r="G37" s="250">
        <f t="shared" si="16"/>
        <v>0.22240504783264323</v>
      </c>
      <c r="H37" s="250">
        <f t="shared" si="16"/>
        <v>0.2729543601339276</v>
      </c>
      <c r="I37" s="250">
        <f t="shared" si="16"/>
        <v>0.51795492979549662</v>
      </c>
      <c r="J37" s="250">
        <f t="shared" si="16"/>
        <v>0.22026085078406454</v>
      </c>
      <c r="K37" s="251">
        <f t="shared" si="16"/>
        <v>0.36266106503892548</v>
      </c>
      <c r="L37" s="239" t="s">
        <v>120</v>
      </c>
    </row>
    <row r="38" spans="1:12">
      <c r="A38" s="41" t="s">
        <v>5</v>
      </c>
      <c r="B38" s="46">
        <f>Scenarios!E25</f>
        <v>-0.41624465647647951</v>
      </c>
      <c r="C38" s="243">
        <f t="shared" ref="C38:K38" si="17">C16</f>
        <v>0.15823890359343337</v>
      </c>
      <c r="D38" s="249">
        <f t="shared" si="17"/>
        <v>0.48758203889173107</v>
      </c>
      <c r="E38" s="250">
        <f t="shared" si="17"/>
        <v>0.99999999999999978</v>
      </c>
      <c r="F38" s="250">
        <f t="shared" si="17"/>
        <v>0.90991930291292189</v>
      </c>
      <c r="G38" s="250">
        <f t="shared" si="17"/>
        <v>0.74890714708117023</v>
      </c>
      <c r="H38" s="250">
        <f t="shared" si="17"/>
        <v>0.74060441066122751</v>
      </c>
      <c r="I38" s="250">
        <f t="shared" si="17"/>
        <v>0.88671991368989134</v>
      </c>
      <c r="J38" s="250">
        <f t="shared" si="17"/>
        <v>0.61760661631655178</v>
      </c>
      <c r="K38" s="251">
        <f t="shared" si="17"/>
        <v>0.8752768910119606</v>
      </c>
    </row>
    <row r="39" spans="1:12">
      <c r="A39" s="41" t="s">
        <v>6</v>
      </c>
      <c r="B39" s="46">
        <f>Scenarios!E26</f>
        <v>-0.17860398021235152</v>
      </c>
      <c r="C39" s="243">
        <f t="shared" ref="C39:K39" si="18">C17</f>
        <v>0.168148277471422</v>
      </c>
      <c r="D39" s="249">
        <f t="shared" si="18"/>
        <v>0.43351903366758976</v>
      </c>
      <c r="E39" s="250">
        <f t="shared" si="18"/>
        <v>0.90991930291292189</v>
      </c>
      <c r="F39" s="250">
        <f t="shared" si="18"/>
        <v>1</v>
      </c>
      <c r="G39" s="250">
        <f t="shared" si="18"/>
        <v>0.78689057691118713</v>
      </c>
      <c r="H39" s="250">
        <f t="shared" si="18"/>
        <v>0.81542413678900194</v>
      </c>
      <c r="I39" s="250">
        <f t="shared" si="18"/>
        <v>0.84996791272671834</v>
      </c>
      <c r="J39" s="250">
        <f t="shared" si="18"/>
        <v>0.63150622997795747</v>
      </c>
      <c r="K39" s="251">
        <f t="shared" si="18"/>
        <v>0.87979060194508074</v>
      </c>
    </row>
    <row r="40" spans="1:12">
      <c r="A40" s="41" t="s">
        <v>7</v>
      </c>
      <c r="B40" s="46">
        <f>Scenarios!E27</f>
        <v>-0.46447856989823566</v>
      </c>
      <c r="C40" s="243">
        <f t="shared" ref="C40:K40" si="19">C18</f>
        <v>0.29001927694608043</v>
      </c>
      <c r="D40" s="249">
        <f t="shared" si="19"/>
        <v>0.22240504783264309</v>
      </c>
      <c r="E40" s="250">
        <f t="shared" si="19"/>
        <v>0.74890714708117023</v>
      </c>
      <c r="F40" s="250">
        <f t="shared" si="19"/>
        <v>0.78689057691118725</v>
      </c>
      <c r="G40" s="250">
        <f t="shared" si="19"/>
        <v>1.0000000000000002</v>
      </c>
      <c r="H40" s="250">
        <f t="shared" si="19"/>
        <v>0.80043789752068695</v>
      </c>
      <c r="I40" s="250">
        <f t="shared" si="19"/>
        <v>0.6816417645711762</v>
      </c>
      <c r="J40" s="250">
        <f t="shared" si="19"/>
        <v>0.69656976952020244</v>
      </c>
      <c r="K40" s="251">
        <f t="shared" si="19"/>
        <v>0.8825588907922528</v>
      </c>
    </row>
    <row r="41" spans="1:12">
      <c r="A41" s="41" t="s">
        <v>8</v>
      </c>
      <c r="B41" s="46">
        <f>Scenarios!E28</f>
        <v>-0.25955043219214274</v>
      </c>
      <c r="C41" s="243">
        <f t="shared" ref="C41:K41" si="20">C19</f>
        <v>0.29774487154665702</v>
      </c>
      <c r="D41" s="249">
        <f t="shared" si="20"/>
        <v>0.2729543601339276</v>
      </c>
      <c r="E41" s="250">
        <f t="shared" si="20"/>
        <v>0.7406044106612274</v>
      </c>
      <c r="F41" s="250">
        <f t="shared" si="20"/>
        <v>0.81542413678900183</v>
      </c>
      <c r="G41" s="250">
        <f t="shared" si="20"/>
        <v>0.80043789752068695</v>
      </c>
      <c r="H41" s="250">
        <f t="shared" si="20"/>
        <v>1</v>
      </c>
      <c r="I41" s="250">
        <f t="shared" si="20"/>
        <v>0.70370520831484562</v>
      </c>
      <c r="J41" s="250">
        <f t="shared" si="20"/>
        <v>0.62140003003210531</v>
      </c>
      <c r="K41" s="251">
        <f t="shared" si="20"/>
        <v>0.77427405839831998</v>
      </c>
    </row>
    <row r="42" spans="1:12">
      <c r="A42" s="41" t="s">
        <v>9</v>
      </c>
      <c r="B42" s="46">
        <f>Scenarios!E29</f>
        <v>-0.56384711463070247</v>
      </c>
      <c r="C42" s="243">
        <f t="shared" ref="C42:K42" si="21">C20</f>
        <v>0.33576372020209261</v>
      </c>
      <c r="D42" s="249">
        <f t="shared" si="21"/>
        <v>0.51795492979549662</v>
      </c>
      <c r="E42" s="250">
        <f t="shared" si="21"/>
        <v>0.88671991368989134</v>
      </c>
      <c r="F42" s="250">
        <f t="shared" si="21"/>
        <v>0.84996791272671812</v>
      </c>
      <c r="G42" s="250">
        <f t="shared" si="21"/>
        <v>0.6816417645711762</v>
      </c>
      <c r="H42" s="250">
        <f t="shared" si="21"/>
        <v>0.70370520831484562</v>
      </c>
      <c r="I42" s="250">
        <f t="shared" si="21"/>
        <v>1.0000000000000002</v>
      </c>
      <c r="J42" s="250">
        <f t="shared" si="21"/>
        <v>0.64202094504860974</v>
      </c>
      <c r="K42" s="251">
        <f t="shared" si="21"/>
        <v>0.82000870971282414</v>
      </c>
    </row>
    <row r="43" spans="1:12">
      <c r="A43" s="41" t="s">
        <v>10</v>
      </c>
      <c r="B43" s="46">
        <f>Scenarios!E30</f>
        <v>-9.3346284848618948E-3</v>
      </c>
      <c r="C43" s="243">
        <f t="shared" ref="C43:K43" si="22">C21</f>
        <v>0.1465180543940868</v>
      </c>
      <c r="D43" s="249">
        <f t="shared" si="22"/>
        <v>0.2202608507840644</v>
      </c>
      <c r="E43" s="250">
        <f t="shared" si="22"/>
        <v>0.61760661631655156</v>
      </c>
      <c r="F43" s="250">
        <f t="shared" si="22"/>
        <v>0.63150622997795758</v>
      </c>
      <c r="G43" s="250">
        <f t="shared" si="22"/>
        <v>0.69656976952020244</v>
      </c>
      <c r="H43" s="250">
        <f t="shared" si="22"/>
        <v>0.62140003003210531</v>
      </c>
      <c r="I43" s="250">
        <f t="shared" si="22"/>
        <v>0.64202094504860974</v>
      </c>
      <c r="J43" s="250">
        <f t="shared" si="22"/>
        <v>1.0000000000000002</v>
      </c>
      <c r="K43" s="251">
        <f t="shared" si="22"/>
        <v>0.66415983265504108</v>
      </c>
    </row>
    <row r="44" spans="1:12" ht="13.5" thickBot="1">
      <c r="A44" s="43" t="s">
        <v>11</v>
      </c>
      <c r="B44" s="47">
        <f>Scenarios!E31</f>
        <v>-0.47665217132586252</v>
      </c>
      <c r="C44" s="246">
        <f t="shared" ref="C44:K44" si="23">C22</f>
        <v>0.19915957675666104</v>
      </c>
      <c r="D44" s="252">
        <f t="shared" si="23"/>
        <v>0.36266106503892553</v>
      </c>
      <c r="E44" s="253">
        <f t="shared" si="23"/>
        <v>0.8752768910119606</v>
      </c>
      <c r="F44" s="253">
        <f t="shared" si="23"/>
        <v>0.87979060194508063</v>
      </c>
      <c r="G44" s="253">
        <f t="shared" si="23"/>
        <v>0.88255889079225258</v>
      </c>
      <c r="H44" s="253">
        <f t="shared" si="23"/>
        <v>0.77427405839831998</v>
      </c>
      <c r="I44" s="253">
        <f t="shared" si="23"/>
        <v>0.82000870971282414</v>
      </c>
      <c r="J44" s="253">
        <f t="shared" si="23"/>
        <v>0.66415983265504108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Oil Scenario</v>
      </c>
      <c r="B47" s="39" t="s">
        <v>1</v>
      </c>
      <c r="C47" s="232" t="s">
        <v>2</v>
      </c>
      <c r="D47" s="376" t="s">
        <v>3</v>
      </c>
      <c r="E47" s="377"/>
      <c r="F47" s="377"/>
      <c r="G47" s="377"/>
      <c r="H47" s="377"/>
      <c r="I47" s="377"/>
      <c r="J47" s="377"/>
      <c r="K47" s="378"/>
    </row>
    <row r="48" spans="1:12">
      <c r="A48" s="41" t="s">
        <v>4</v>
      </c>
      <c r="B48" s="230">
        <f>Scenarios!F24</f>
        <v>-2.0604509567567153E-2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-0.38283826947647942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-0.29111355069419037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-0.56036820871694393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-0.39124920785250294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-0.12960886463070243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-0.20832260584427478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-0.4683750016502275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leeg</v>
      </c>
      <c r="B58" s="39" t="s">
        <v>1</v>
      </c>
      <c r="C58" s="204" t="s">
        <v>2</v>
      </c>
      <c r="D58" s="373" t="s">
        <v>3</v>
      </c>
      <c r="E58" s="374"/>
      <c r="F58" s="374"/>
      <c r="G58" s="374"/>
      <c r="H58" s="374"/>
      <c r="I58" s="374"/>
      <c r="J58" s="374"/>
      <c r="K58" s="375"/>
      <c r="M58" s="78"/>
    </row>
    <row r="59" spans="1:13">
      <c r="A59" s="41" t="s">
        <v>4</v>
      </c>
      <c r="B59" s="46">
        <f>Scenarios!G24</f>
        <v>0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0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0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0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0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0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0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0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leeg2</v>
      </c>
      <c r="B69" s="39" t="s">
        <v>1</v>
      </c>
      <c r="C69" s="204" t="s">
        <v>2</v>
      </c>
      <c r="D69" s="373" t="s">
        <v>3</v>
      </c>
      <c r="E69" s="374"/>
      <c r="F69" s="374"/>
      <c r="G69" s="374"/>
      <c r="H69" s="374"/>
      <c r="I69" s="374"/>
      <c r="J69" s="374"/>
      <c r="K69" s="375"/>
      <c r="M69" s="78"/>
    </row>
    <row r="70" spans="1:13">
      <c r="A70" s="41" t="s">
        <v>4</v>
      </c>
      <c r="B70" s="46">
        <f>+Scenarios!H24</f>
        <v>0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9" t="s">
        <v>16</v>
      </c>
      <c r="D2" s="380"/>
      <c r="E2" s="381" t="s">
        <v>17</v>
      </c>
      <c r="F2" s="382"/>
      <c r="G2" s="383" t="s">
        <v>33</v>
      </c>
      <c r="H2" s="384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0.2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3.219705746498288E-2</v>
      </c>
      <c r="D10" s="20">
        <f>'Control panel'!D9</f>
        <v>3.219705746498288E-2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4.8542120090085711E-2</v>
      </c>
      <c r="D11" s="24">
        <f>'Control panel'!D10</f>
        <v>4.8542120090085711E-2</v>
      </c>
      <c r="E11" s="24">
        <v>0</v>
      </c>
      <c r="F11" s="24">
        <v>1</v>
      </c>
      <c r="G11" s="25">
        <f>'Control panel'!B10</f>
        <v>4.8542120090085711E-2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9" sqref="C49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Bear case</v>
      </c>
      <c r="E5" s="184" t="str">
        <f>Scenarios!E23</f>
        <v>Tail risk</v>
      </c>
      <c r="F5" s="213" t="str">
        <f>Scenarios!F23</f>
        <v>Oil Scenario</v>
      </c>
      <c r="G5" s="213" t="str">
        <f>Scenarios!G23</f>
        <v>leeg</v>
      </c>
      <c r="H5" s="213" t="str">
        <f>Scenarios!H23</f>
        <v>leeg2</v>
      </c>
    </row>
    <row r="6" spans="1:8">
      <c r="A6" s="185" t="str">
        <f>+B5</f>
        <v>Evenwicht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tr">
        <f>+C5</f>
        <v>Base Case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tr">
        <f>+D5</f>
        <v>Bear case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tr">
        <f>+E5</f>
        <v>Tail risk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tr">
        <f>+F5</f>
        <v>Oil Scenario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tr">
        <f>+G5</f>
        <v>leeg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tr">
        <f>+H5</f>
        <v>leeg2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0</v>
      </c>
      <c r="D13" s="262">
        <v>0</v>
      </c>
      <c r="E13" s="262">
        <v>0</v>
      </c>
      <c r="F13" s="262">
        <v>1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9.3079489831111251E-2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9.3079489831111251E-2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Bear case</v>
      </c>
      <c r="B22" s="192">
        <v>0</v>
      </c>
      <c r="C22" s="193">
        <v>0</v>
      </c>
      <c r="D22" s="106">
        <f t="shared" si="1"/>
        <v>9.3079489831111251E-2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Tail risk</v>
      </c>
      <c r="B23" s="192">
        <v>0</v>
      </c>
      <c r="C23" s="193">
        <v>0</v>
      </c>
      <c r="D23" s="106">
        <f t="shared" si="1"/>
        <v>9.3079489831111251E-2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Oil Scenario</v>
      </c>
      <c r="B24" s="192">
        <v>0</v>
      </c>
      <c r="C24" s="193">
        <v>0</v>
      </c>
      <c r="D24" s="106">
        <f t="shared" si="1"/>
        <v>9.3079489831111251E-2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leeg</v>
      </c>
      <c r="B25" s="192">
        <v>0</v>
      </c>
      <c r="C25" s="193">
        <v>0</v>
      </c>
      <c r="D25" s="106">
        <f t="shared" si="1"/>
        <v>9.3079489831111251E-2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leeg2</v>
      </c>
      <c r="B26" s="192">
        <v>0</v>
      </c>
      <c r="C26" s="193">
        <v>0</v>
      </c>
      <c r="D26" s="106">
        <f t="shared" si="1"/>
        <v>9.3079489831111251E-2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9.3079489831111251E-2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5" t="s">
        <v>64</v>
      </c>
      <c r="E2" s="386"/>
      <c r="F2" s="387"/>
      <c r="G2" s="385" t="s">
        <v>65</v>
      </c>
      <c r="H2" s="386"/>
      <c r="I2" s="386"/>
      <c r="J2" s="386"/>
      <c r="K2" s="386"/>
      <c r="L2" s="386"/>
      <c r="M2" s="386"/>
      <c r="N2" s="386"/>
      <c r="O2" s="387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0.30184231648041604</v>
      </c>
      <c r="H3" s="272">
        <v>0.19114908775817652</v>
      </c>
      <c r="I3" s="272">
        <v>0.18084421435759235</v>
      </c>
      <c r="J3" s="272">
        <v>0.17386213914748505</v>
      </c>
      <c r="K3" s="272">
        <v>0.14701570086259763</v>
      </c>
      <c r="L3" s="272">
        <v>3.022551678291685E-3</v>
      </c>
      <c r="M3" s="272">
        <v>2.2639897154379529E-3</v>
      </c>
      <c r="N3" s="272">
        <v>2.2204460492503131E-16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0.61748037428706071</v>
      </c>
      <c r="C4" s="54">
        <v>1.5263465005885612E-2</v>
      </c>
      <c r="D4" s="55">
        <v>0.60685293966378939</v>
      </c>
      <c r="E4" s="1">
        <v>0.61700940281110694</v>
      </c>
      <c r="F4" s="56">
        <v>0.62847635966913795</v>
      </c>
      <c r="G4" s="2">
        <v>1</v>
      </c>
      <c r="H4" s="2">
        <v>-0.19894787038504308</v>
      </c>
      <c r="I4" s="2">
        <v>6.4053520240324457E-2</v>
      </c>
      <c r="J4" s="2">
        <v>-2.3667666701631507E-2</v>
      </c>
      <c r="K4" s="2">
        <v>0.77340454871573039</v>
      </c>
      <c r="L4" s="2">
        <v>-0.31298596206628204</v>
      </c>
      <c r="M4" s="2">
        <v>-2.4223304589071188E-3</v>
      </c>
      <c r="N4" s="2">
        <v>0.99999999999999256</v>
      </c>
      <c r="O4" s="57"/>
      <c r="R4" s="51" t="str">
        <f>A4</f>
        <v>Nominale matching</v>
      </c>
      <c r="S4" s="52">
        <f>D4</f>
        <v>0.60685293966378939</v>
      </c>
      <c r="T4" s="52">
        <f>B4-D4</f>
        <v>1.0627434623271315E-2</v>
      </c>
      <c r="U4" s="52">
        <f>F4-B4</f>
        <v>1.0995985382077245E-2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7.2692507296425374E-2</v>
      </c>
      <c r="C5" s="54">
        <v>1.2810382846317031E-2</v>
      </c>
      <c r="D5" s="55">
        <v>6.2095766169386016E-2</v>
      </c>
      <c r="E5" s="1">
        <v>7.2175893060312982E-2</v>
      </c>
      <c r="F5" s="56">
        <v>8.1936587774349492E-2</v>
      </c>
      <c r="G5" s="2">
        <v>-0.44547279929768258</v>
      </c>
      <c r="H5" s="2">
        <v>0.62527886511131392</v>
      </c>
      <c r="I5" s="2">
        <v>-0.78615219096842259</v>
      </c>
      <c r="J5" s="2">
        <v>0.46361344358804607</v>
      </c>
      <c r="K5" s="2">
        <v>1</v>
      </c>
      <c r="L5" s="2">
        <v>-0.31289051365072362</v>
      </c>
      <c r="M5" s="2">
        <v>-7.3263614466257598E-3</v>
      </c>
      <c r="N5" s="2">
        <v>0.99999999999999278</v>
      </c>
      <c r="O5" s="57"/>
      <c r="R5" s="51" t="str">
        <f t="shared" ref="R5:R11" si="0">A5</f>
        <v>High Yield</v>
      </c>
      <c r="S5" s="52">
        <f t="shared" ref="S5:S11" si="1">D5</f>
        <v>6.2095766169386016E-2</v>
      </c>
      <c r="T5" s="52">
        <f t="shared" ref="T5:T11" si="2">B5-D5</f>
        <v>1.0596741127039358E-2</v>
      </c>
      <c r="U5" s="52">
        <f t="shared" ref="U5:U11" si="3">F5-B5</f>
        <v>9.2440804779241187E-3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7.213397137200879E-2</v>
      </c>
      <c r="C6" s="54">
        <v>1.3373335487871008E-2</v>
      </c>
      <c r="D6" s="55">
        <v>6.0902294935960263E-2</v>
      </c>
      <c r="E6" s="1">
        <v>7.0846036556658692E-2</v>
      </c>
      <c r="F6" s="56">
        <v>8.3194448521599157E-2</v>
      </c>
      <c r="G6" s="2">
        <v>-0.55679217458375041</v>
      </c>
      <c r="H6" s="2">
        <v>-0.75819252581442032</v>
      </c>
      <c r="I6" s="2">
        <v>0.81823549815528629</v>
      </c>
      <c r="J6" s="2">
        <v>-0.46248002149818906</v>
      </c>
      <c r="K6" s="2">
        <v>0.58719414958045391</v>
      </c>
      <c r="L6" s="2">
        <v>-0.33919289635474004</v>
      </c>
      <c r="M6" s="2">
        <v>7.7382361150601479E-3</v>
      </c>
      <c r="N6" s="2">
        <v>0.99999999999999256</v>
      </c>
      <c r="O6" s="57"/>
      <c r="R6" s="51" t="str">
        <f t="shared" si="0"/>
        <v>Emerging market debt</v>
      </c>
      <c r="S6" s="52">
        <f t="shared" si="1"/>
        <v>6.0902294935960263E-2</v>
      </c>
      <c r="T6" s="52">
        <f t="shared" si="2"/>
        <v>1.1231676436048527E-2</v>
      </c>
      <c r="U6" s="52">
        <f t="shared" si="3"/>
        <v>1.1060477149590367E-2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9.617055769131605E-2</v>
      </c>
      <c r="C7" s="54">
        <v>1.2094026965042625E-2</v>
      </c>
      <c r="D7" s="55">
        <v>8.630029391250367E-2</v>
      </c>
      <c r="E7" s="1">
        <v>9.5510152106202645E-2</v>
      </c>
      <c r="F7" s="56">
        <v>0.10450765572384517</v>
      </c>
      <c r="G7" s="2">
        <v>-2.6292506938762169E-2</v>
      </c>
      <c r="H7" s="2">
        <v>-0.65785019235261122</v>
      </c>
      <c r="I7" s="2">
        <v>-0.18082600498152357</v>
      </c>
      <c r="J7" s="2">
        <v>1</v>
      </c>
      <c r="K7" s="2">
        <v>-0.92781032984346434</v>
      </c>
      <c r="L7" s="2">
        <v>-0.32604558522395499</v>
      </c>
      <c r="M7" s="2">
        <v>-1.4614805054091518E-2</v>
      </c>
      <c r="N7" s="2">
        <v>0.99999999999999356</v>
      </c>
      <c r="O7" s="57"/>
      <c r="R7" s="51" t="str">
        <f t="shared" si="0"/>
        <v>Aandelen ontwikkeld</v>
      </c>
      <c r="S7" s="52">
        <f t="shared" si="1"/>
        <v>8.630029391250367E-2</v>
      </c>
      <c r="T7" s="52">
        <f t="shared" si="2"/>
        <v>9.8702637788123798E-3</v>
      </c>
      <c r="U7" s="52">
        <f t="shared" si="3"/>
        <v>8.3370980325291194E-3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4.3405032369791152E-2</v>
      </c>
      <c r="C8" s="54">
        <v>1.2467484415933349E-2</v>
      </c>
      <c r="D8" s="55">
        <v>3.2881055445553309E-2</v>
      </c>
      <c r="E8" s="1">
        <v>4.1017630646776451E-2</v>
      </c>
      <c r="F8" s="56">
        <v>5.209724420685409E-2</v>
      </c>
      <c r="G8" s="2">
        <v>3.7995278321145048E-2</v>
      </c>
      <c r="H8" s="2">
        <v>1</v>
      </c>
      <c r="I8" s="2">
        <v>1</v>
      </c>
      <c r="J8" s="2">
        <v>6.4072026763867113E-3</v>
      </c>
      <c r="K8" s="2">
        <v>-0.64121877326546339</v>
      </c>
      <c r="L8" s="2">
        <v>-0.33590017718624932</v>
      </c>
      <c r="M8" s="2">
        <v>-1.524125013975936E-2</v>
      </c>
      <c r="N8" s="2">
        <v>0.99999999999999223</v>
      </c>
      <c r="O8" s="57"/>
      <c r="R8" s="51" t="str">
        <f t="shared" si="0"/>
        <v>Aandelen opkomend</v>
      </c>
      <c r="S8" s="52">
        <f t="shared" si="1"/>
        <v>3.2881055445553309E-2</v>
      </c>
      <c r="T8" s="52">
        <f t="shared" si="2"/>
        <v>1.0523976924237843E-2</v>
      </c>
      <c r="U8" s="52">
        <f t="shared" si="3"/>
        <v>8.6922118370629381E-3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1.3302319467600746E-2</v>
      </c>
      <c r="C9" s="54">
        <v>1.2123100908667628E-2</v>
      </c>
      <c r="D9" s="55">
        <v>2.478558067648472E-3</v>
      </c>
      <c r="E9" s="1">
        <v>1.0581296054531951E-2</v>
      </c>
      <c r="F9" s="56">
        <v>2.087754134394771E-2</v>
      </c>
      <c r="G9" s="2">
        <v>1.3608377149644099E-3</v>
      </c>
      <c r="H9" s="2">
        <v>-6.1939562097140669E-3</v>
      </c>
      <c r="I9" s="2">
        <v>-0.94037737880452688</v>
      </c>
      <c r="J9" s="2">
        <v>-0.97721413231381182</v>
      </c>
      <c r="K9" s="2">
        <v>-0.77599711774303803</v>
      </c>
      <c r="L9" s="2">
        <v>-0.3232490745958489</v>
      </c>
      <c r="M9" s="2">
        <v>-5.7123780314110705E-3</v>
      </c>
      <c r="N9" s="2">
        <v>0.99999999999999201</v>
      </c>
      <c r="O9" s="57"/>
      <c r="R9" s="51" t="str">
        <f t="shared" si="0"/>
        <v>Commodities</v>
      </c>
      <c r="S9" s="52">
        <f t="shared" si="1"/>
        <v>2.478558067648472E-3</v>
      </c>
      <c r="T9" s="52">
        <f t="shared" si="2"/>
        <v>1.0823761399952274E-2</v>
      </c>
      <c r="U9" s="52">
        <f t="shared" si="3"/>
        <v>7.5752218763469638E-3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3.2344804444518059E-2</v>
      </c>
      <c r="C10" s="54">
        <v>1.5458253259830021E-3</v>
      </c>
      <c r="D10" s="55">
        <v>3.1018211961084816E-2</v>
      </c>
      <c r="E10" s="1">
        <v>3.2245392337776305E-2</v>
      </c>
      <c r="F10" s="56">
        <v>3.3557082181012582E-2</v>
      </c>
      <c r="G10" s="2">
        <v>-7.3727649293441541E-3</v>
      </c>
      <c r="H10" s="2">
        <v>-1.0014165723082866E-2</v>
      </c>
      <c r="I10" s="2">
        <v>1.5173099054190649E-2</v>
      </c>
      <c r="J10" s="2">
        <v>-1.1570970302559451E-2</v>
      </c>
      <c r="K10" s="2">
        <v>3.8407140800251018E-3</v>
      </c>
      <c r="L10" s="2">
        <v>1</v>
      </c>
      <c r="M10" s="2">
        <v>-0.96242111098426752</v>
      </c>
      <c r="N10" s="2">
        <v>0.99999999999999745</v>
      </c>
      <c r="O10" s="57"/>
      <c r="R10" s="51" t="str">
        <f t="shared" si="0"/>
        <v>Hedge funds</v>
      </c>
      <c r="S10" s="52">
        <f t="shared" si="1"/>
        <v>3.1018211961084816E-2</v>
      </c>
      <c r="T10" s="52">
        <f t="shared" si="2"/>
        <v>1.3265924834332428E-3</v>
      </c>
      <c r="U10" s="52">
        <f t="shared" si="3"/>
        <v>1.2122777364945228E-3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5.2470433071279333E-2</v>
      </c>
      <c r="C11" s="62">
        <v>1.5310942961659034E-3</v>
      </c>
      <c r="D11" s="63">
        <v>5.1207077901219644E-2</v>
      </c>
      <c r="E11" s="61">
        <v>5.2355481964277459E-2</v>
      </c>
      <c r="F11" s="64">
        <v>5.3770937438345871E-2</v>
      </c>
      <c r="G11" s="65">
        <v>-3.4258702865699996E-3</v>
      </c>
      <c r="H11" s="65">
        <v>5.9198453735583986E-3</v>
      </c>
      <c r="I11" s="65">
        <v>9.8934573046713433E-3</v>
      </c>
      <c r="J11" s="65">
        <v>4.9121445517585601E-3</v>
      </c>
      <c r="K11" s="65">
        <v>-1.9413191524244422E-2</v>
      </c>
      <c r="L11" s="65">
        <v>0.95026420907778708</v>
      </c>
      <c r="M11" s="65">
        <v>1</v>
      </c>
      <c r="N11" s="65">
        <v>1</v>
      </c>
      <c r="O11" s="66"/>
      <c r="R11" s="51" t="str">
        <f t="shared" si="0"/>
        <v>Onroerend goed</v>
      </c>
      <c r="S11" s="52">
        <f t="shared" si="1"/>
        <v>5.1207077901219644E-2</v>
      </c>
      <c r="T11" s="52">
        <f t="shared" si="2"/>
        <v>1.2633551700596893E-3</v>
      </c>
      <c r="U11" s="52">
        <f t="shared" si="3"/>
        <v>1.3005043670665378E-3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5" t="s">
        <v>64</v>
      </c>
      <c r="E13" s="386"/>
      <c r="F13" s="387"/>
      <c r="G13" s="385" t="s">
        <v>65</v>
      </c>
      <c r="H13" s="386"/>
      <c r="I13" s="386"/>
      <c r="J13" s="386"/>
      <c r="K13" s="386"/>
      <c r="L13" s="386"/>
      <c r="M13" s="386"/>
      <c r="N13" s="386"/>
      <c r="O13" s="387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0.33983544843365199</v>
      </c>
      <c r="H14" s="272">
        <v>0.18559252338396648</v>
      </c>
      <c r="I14" s="272">
        <v>0.16501196009188368</v>
      </c>
      <c r="J14" s="272">
        <v>0.15351927166904689</v>
      </c>
      <c r="K14" s="272">
        <v>0.15090182590563728</v>
      </c>
      <c r="L14" s="272">
        <v>2.8717190867515452E-3</v>
      </c>
      <c r="M14" s="272">
        <v>2.2672514290674739E-3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0.6178228614901532</v>
      </c>
      <c r="C15" s="54">
        <v>1.6333360734249111E-2</v>
      </c>
      <c r="D15" s="55">
        <v>0.60476908758970749</v>
      </c>
      <c r="E15" s="1">
        <v>0.61784351567238183</v>
      </c>
      <c r="F15" s="56">
        <v>0.63062495481504566</v>
      </c>
      <c r="G15" s="2">
        <v>1</v>
      </c>
      <c r="H15" s="2">
        <v>0.21501825904892857</v>
      </c>
      <c r="I15" s="2">
        <v>-0.20240526582110399</v>
      </c>
      <c r="J15" s="2">
        <v>0.50117684273184326</v>
      </c>
      <c r="K15" s="2">
        <v>-0.13532161901832965</v>
      </c>
      <c r="L15" s="2">
        <v>-0.33756835319382267</v>
      </c>
      <c r="M15" s="2">
        <v>-6.7194615332987215E-3</v>
      </c>
      <c r="N15" s="2">
        <v>0.99999999999998801</v>
      </c>
      <c r="O15" s="57"/>
      <c r="R15" s="51" t="str">
        <f>A15</f>
        <v>Nominale matching</v>
      </c>
      <c r="S15" s="52">
        <f>D15</f>
        <v>0.60476908758970749</v>
      </c>
      <c r="T15" s="52">
        <f>B15-D15</f>
        <v>1.3053773900445709E-2</v>
      </c>
      <c r="U15" s="52">
        <f>F15-B15</f>
        <v>1.2802093324892461E-2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7.4407135938293872E-2</v>
      </c>
      <c r="C16" s="54">
        <v>1.3822458050817958E-2</v>
      </c>
      <c r="D16" s="55">
        <v>6.3348424639620482E-2</v>
      </c>
      <c r="E16" s="1">
        <v>7.3864395892250079E-2</v>
      </c>
      <c r="F16" s="56">
        <v>8.5894471583746551E-2</v>
      </c>
      <c r="G16" s="2">
        <v>-0.53087290163900702</v>
      </c>
      <c r="H16" s="2">
        <v>1</v>
      </c>
      <c r="I16" s="2">
        <v>-0.46877666249606759</v>
      </c>
      <c r="J16" s="2">
        <v>9.1627236291129434E-3</v>
      </c>
      <c r="K16" s="2">
        <v>-3.6262031205156045E-2</v>
      </c>
      <c r="L16" s="2">
        <v>-0.3341233176869256</v>
      </c>
      <c r="M16" s="2">
        <v>-4.9911501770772701E-3</v>
      </c>
      <c r="N16" s="2">
        <v>0.99999999999998812</v>
      </c>
      <c r="O16" s="57"/>
      <c r="R16" s="51" t="str">
        <f t="shared" ref="R16:R22" si="5">A16</f>
        <v>High Yield</v>
      </c>
      <c r="S16" s="52">
        <f t="shared" ref="S16:S22" si="6">D16</f>
        <v>6.3348424639620482E-2</v>
      </c>
      <c r="T16" s="52">
        <f t="shared" ref="T16:T22" si="7">B16-D16</f>
        <v>1.105871129867339E-2</v>
      </c>
      <c r="U16" s="52">
        <f t="shared" ref="U16:U22" si="8">F16-B16</f>
        <v>1.1487335645452679E-2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7.3272960014650501E-2</v>
      </c>
      <c r="C17" s="54">
        <v>1.3247993420656487E-2</v>
      </c>
      <c r="D17" s="55">
        <v>6.2083004993910486E-2</v>
      </c>
      <c r="E17" s="1">
        <v>7.2894810568840951E-2</v>
      </c>
      <c r="F17" s="56">
        <v>8.3349910164234792E-2</v>
      </c>
      <c r="G17" s="2">
        <v>-0.4918473023487826</v>
      </c>
      <c r="H17" s="2">
        <v>-0.67557580709683696</v>
      </c>
      <c r="I17" s="2">
        <v>4.9962978389094276E-2</v>
      </c>
      <c r="J17" s="2">
        <v>1</v>
      </c>
      <c r="K17" s="2">
        <v>-0.12081709415328851</v>
      </c>
      <c r="L17" s="2">
        <v>-0.31895142895374956</v>
      </c>
      <c r="M17" s="2">
        <v>-1.6812569166197677E-2</v>
      </c>
      <c r="N17" s="2">
        <v>0.99999999999998834</v>
      </c>
      <c r="O17" s="57"/>
      <c r="R17" s="51" t="str">
        <f t="shared" si="5"/>
        <v>Emerging market debt</v>
      </c>
      <c r="S17" s="52">
        <f t="shared" si="6"/>
        <v>6.2083004993910486E-2</v>
      </c>
      <c r="T17" s="52">
        <f t="shared" si="7"/>
        <v>1.1189955020740015E-2</v>
      </c>
      <c r="U17" s="52">
        <f t="shared" si="8"/>
        <v>1.0076950149584291E-2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9.3716235192451078E-2</v>
      </c>
      <c r="C18" s="54">
        <v>1.182262187478157E-2</v>
      </c>
      <c r="D18" s="55">
        <v>8.3775798399359142E-2</v>
      </c>
      <c r="E18" s="1">
        <v>9.2634926929897998E-2</v>
      </c>
      <c r="F18" s="56">
        <v>0.10218467829922723</v>
      </c>
      <c r="G18" s="2">
        <v>-1.6021756391827211E-2</v>
      </c>
      <c r="H18" s="2">
        <v>-0.5010535957339507</v>
      </c>
      <c r="I18" s="2">
        <v>-0.16050099311258012</v>
      </c>
      <c r="J18" s="2">
        <v>-0.86063259487641974</v>
      </c>
      <c r="K18" s="2">
        <v>-0.76983937216362186</v>
      </c>
      <c r="L18" s="2">
        <v>-0.32487720809688853</v>
      </c>
      <c r="M18" s="2">
        <v>-3.8889946479039729E-3</v>
      </c>
      <c r="N18" s="2">
        <v>0.99999999999998812</v>
      </c>
      <c r="O18" s="57"/>
      <c r="R18" s="51" t="str">
        <f t="shared" si="5"/>
        <v>Aandelen ontwikkeld</v>
      </c>
      <c r="S18" s="52">
        <f t="shared" si="6"/>
        <v>8.3775798399359142E-2</v>
      </c>
      <c r="T18" s="52">
        <f t="shared" si="7"/>
        <v>9.9404367930919363E-3</v>
      </c>
      <c r="U18" s="52">
        <f t="shared" si="8"/>
        <v>8.4684431067761495E-3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4.3432279756632691E-2</v>
      </c>
      <c r="C19" s="54">
        <v>1.2135604280428581E-2</v>
      </c>
      <c r="D19" s="55">
        <v>3.3048385575982747E-2</v>
      </c>
      <c r="E19" s="1">
        <v>4.1769539839862549E-2</v>
      </c>
      <c r="F19" s="56">
        <v>5.1544135102956384E-2</v>
      </c>
      <c r="G19" s="2">
        <v>-1.4470131056647127E-2</v>
      </c>
      <c r="H19" s="2">
        <v>0.37134446092949902</v>
      </c>
      <c r="I19" s="2">
        <v>1</v>
      </c>
      <c r="J19" s="2">
        <v>-0.18488340154621935</v>
      </c>
      <c r="K19" s="2">
        <v>6.0045788000687265E-2</v>
      </c>
      <c r="L19" s="2">
        <v>-0.33792444502023372</v>
      </c>
      <c r="M19" s="2">
        <v>8.9197937248651736E-3</v>
      </c>
      <c r="N19" s="2">
        <v>0.99999999999998923</v>
      </c>
      <c r="O19" s="57"/>
      <c r="R19" s="51" t="str">
        <f t="shared" si="5"/>
        <v>Aandelen opkomend</v>
      </c>
      <c r="S19" s="52">
        <f t="shared" si="6"/>
        <v>3.3048385575982747E-2</v>
      </c>
      <c r="T19" s="52">
        <f t="shared" si="7"/>
        <v>1.0383894180649944E-2</v>
      </c>
      <c r="U19" s="52">
        <f t="shared" si="8"/>
        <v>8.1118553463236931E-3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1.2385156615537548E-2</v>
      </c>
      <c r="C20" s="54">
        <v>1.1756140332567649E-2</v>
      </c>
      <c r="D20" s="55">
        <v>2.408825789746221E-3</v>
      </c>
      <c r="E20" s="1">
        <v>9.1229161564928031E-3</v>
      </c>
      <c r="F20" s="56">
        <v>1.927253463543932E-2</v>
      </c>
      <c r="G20" s="2">
        <v>4.5134841726096851E-2</v>
      </c>
      <c r="H20" s="2">
        <v>-0.42435810619558423</v>
      </c>
      <c r="I20" s="2">
        <v>-0.22204754743558372</v>
      </c>
      <c r="J20" s="2">
        <v>-0.46228334496132945</v>
      </c>
      <c r="K20" s="2">
        <v>1</v>
      </c>
      <c r="L20" s="2">
        <v>-0.32846737060742065</v>
      </c>
      <c r="M20" s="2">
        <v>9.7496296897404376E-3</v>
      </c>
      <c r="N20" s="2">
        <v>0.99999999999998801</v>
      </c>
      <c r="O20" s="57"/>
      <c r="R20" s="51" t="str">
        <f t="shared" si="5"/>
        <v>Commodities</v>
      </c>
      <c r="S20" s="52">
        <f t="shared" si="6"/>
        <v>2.408825789746221E-3</v>
      </c>
      <c r="T20" s="52">
        <f t="shared" si="7"/>
        <v>9.9763308257913262E-3</v>
      </c>
      <c r="U20" s="52">
        <f t="shared" si="8"/>
        <v>6.8873780199017725E-3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3.2386569524277854E-2</v>
      </c>
      <c r="C21" s="54">
        <v>1.5370680517321298E-3</v>
      </c>
      <c r="D21" s="55">
        <v>3.1050155747231988E-2</v>
      </c>
      <c r="E21" s="1">
        <v>3.2347870017827532E-2</v>
      </c>
      <c r="F21" s="56">
        <v>3.3638333985236982E-2</v>
      </c>
      <c r="G21" s="2">
        <v>1.7085090594440417E-3</v>
      </c>
      <c r="H21" s="2">
        <v>4.2179933978580397E-3</v>
      </c>
      <c r="I21" s="2">
        <v>-3.2841507188277755E-3</v>
      </c>
      <c r="J21" s="2">
        <v>1.033594345028855E-2</v>
      </c>
      <c r="K21" s="2">
        <v>-7.1674894721849066E-3</v>
      </c>
      <c r="L21" s="2">
        <v>0.98191212355902957</v>
      </c>
      <c r="M21" s="2">
        <v>1</v>
      </c>
      <c r="N21" s="2">
        <v>0.9999999999999869</v>
      </c>
      <c r="O21" s="57"/>
      <c r="R21" s="51" t="str">
        <f t="shared" si="5"/>
        <v>Hedge funds</v>
      </c>
      <c r="S21" s="52">
        <f t="shared" si="6"/>
        <v>3.1050155747231988E-2</v>
      </c>
      <c r="T21" s="52">
        <f t="shared" si="7"/>
        <v>1.3364137770458667E-3</v>
      </c>
      <c r="U21" s="52">
        <f t="shared" si="8"/>
        <v>1.2517644609591275E-3</v>
      </c>
    </row>
    <row r="22" spans="1:30">
      <c r="A22" s="60" t="str">
        <f t="shared" si="4"/>
        <v>Onroerend goed</v>
      </c>
      <c r="B22" s="286">
        <v>5.2576801468003219E-2</v>
      </c>
      <c r="C22" s="62">
        <v>1.5496869315372137E-3</v>
      </c>
      <c r="D22" s="63">
        <v>5.1344778324763966E-2</v>
      </c>
      <c r="E22" s="61">
        <v>5.250081779517396E-2</v>
      </c>
      <c r="F22" s="64">
        <v>5.3913645488622874E-2</v>
      </c>
      <c r="G22" s="65">
        <v>6.3687406507233254E-3</v>
      </c>
      <c r="H22" s="65">
        <v>1.0406795650085619E-2</v>
      </c>
      <c r="I22" s="65">
        <v>7.0516411950681821E-3</v>
      </c>
      <c r="J22" s="65">
        <v>-1.2876168427276066E-2</v>
      </c>
      <c r="K22" s="65">
        <v>9.3618180118933934E-3</v>
      </c>
      <c r="L22" s="65">
        <v>1</v>
      </c>
      <c r="M22" s="65">
        <v>-0.98625724789011548</v>
      </c>
      <c r="N22" s="65">
        <v>1</v>
      </c>
      <c r="O22" s="66"/>
      <c r="R22" s="51" t="str">
        <f t="shared" si="5"/>
        <v>Onroerend goed</v>
      </c>
      <c r="S22" s="52">
        <f t="shared" si="6"/>
        <v>5.1344778324763966E-2</v>
      </c>
      <c r="T22" s="52">
        <f t="shared" si="7"/>
        <v>1.2320231432392525E-3</v>
      </c>
      <c r="U22" s="52">
        <f t="shared" si="8"/>
        <v>1.3368440206196555E-3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5" t="s">
        <v>64</v>
      </c>
      <c r="E24" s="386"/>
      <c r="F24" s="387"/>
      <c r="G24" s="385" t="s">
        <v>65</v>
      </c>
      <c r="H24" s="386"/>
      <c r="I24" s="386"/>
      <c r="J24" s="386"/>
      <c r="K24" s="386"/>
      <c r="L24" s="386"/>
      <c r="M24" s="386"/>
      <c r="N24" s="386"/>
      <c r="O24" s="387"/>
    </row>
    <row r="25" spans="1:30">
      <c r="A25" s="266" t="str">
        <f>Optimalisatie!A22</f>
        <v>Bear case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0.30854686137818521</v>
      </c>
      <c r="H25" s="272">
        <v>0.18801857898814978</v>
      </c>
      <c r="I25" s="272">
        <v>0.17647237046831155</v>
      </c>
      <c r="J25" s="272">
        <v>0.17163854930526468</v>
      </c>
      <c r="K25" s="272">
        <v>0.15027465990766353</v>
      </c>
      <c r="L25" s="272">
        <v>2.6932237066614739E-3</v>
      </c>
      <c r="M25" s="272">
        <v>2.3557562457635628E-3</v>
      </c>
      <c r="N25" s="272">
        <v>0</v>
      </c>
      <c r="O25" s="273">
        <v>0</v>
      </c>
      <c r="R25" s="51" t="str">
        <f>A25</f>
        <v>Bear case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0.61876259179628412</v>
      </c>
      <c r="C26" s="54">
        <v>1.5597214440949631E-2</v>
      </c>
      <c r="D26" s="55">
        <v>0.60818202142087341</v>
      </c>
      <c r="E26" s="1">
        <v>0.61783225752593274</v>
      </c>
      <c r="F26" s="56">
        <v>0.6305573045248527</v>
      </c>
      <c r="G26" s="68">
        <v>1</v>
      </c>
      <c r="H26" s="68">
        <v>6.8512610216758474E-2</v>
      </c>
      <c r="I26" s="68">
        <v>7.7315891192565017E-2</v>
      </c>
      <c r="J26" s="68">
        <v>1.5116964377873977E-2</v>
      </c>
      <c r="K26" s="68">
        <v>0.78849653042394929</v>
      </c>
      <c r="L26" s="68">
        <v>-0.2950604499001982</v>
      </c>
      <c r="M26" s="2">
        <v>-3.1714767943661841E-2</v>
      </c>
      <c r="N26" s="2">
        <v>0.99999999999999867</v>
      </c>
      <c r="O26" s="69"/>
      <c r="R26" s="51" t="str">
        <f>A26</f>
        <v>Nominale matching</v>
      </c>
      <c r="S26" s="52">
        <f>D26</f>
        <v>0.60818202142087341</v>
      </c>
      <c r="T26" s="52">
        <f>B26-D26</f>
        <v>1.0580570375410714E-2</v>
      </c>
      <c r="U26" s="52">
        <f>F26-B26</f>
        <v>1.1794712728568579E-2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7.3005602865039321E-2</v>
      </c>
      <c r="C27" s="54">
        <v>1.3253452128044645E-2</v>
      </c>
      <c r="D27" s="55">
        <v>6.2656826921809072E-2</v>
      </c>
      <c r="E27" s="1">
        <v>7.1583370635410037E-2</v>
      </c>
      <c r="F27" s="56">
        <v>8.3351342012792443E-2</v>
      </c>
      <c r="G27" s="68">
        <v>-0.50341553548762663</v>
      </c>
      <c r="H27" s="68">
        <v>-0.81780533431586666</v>
      </c>
      <c r="I27" s="68">
        <v>-0.11141443406179753</v>
      </c>
      <c r="J27" s="68">
        <v>-0.19662935567304199</v>
      </c>
      <c r="K27" s="68">
        <v>1</v>
      </c>
      <c r="L27" s="68">
        <v>-0.29756286532690185</v>
      </c>
      <c r="M27" s="2">
        <v>-3.8279333804761437E-2</v>
      </c>
      <c r="N27" s="2">
        <v>1</v>
      </c>
      <c r="O27" s="69"/>
      <c r="R27" s="51" t="str">
        <f t="shared" ref="R27:R33" si="10">A27</f>
        <v>High Yield</v>
      </c>
      <c r="S27" s="52">
        <f t="shared" ref="S27:S33" si="11">D27</f>
        <v>6.2656826921809072E-2</v>
      </c>
      <c r="T27" s="52">
        <f t="shared" ref="T27:T33" si="12">B27-D27</f>
        <v>1.0348775943230248E-2</v>
      </c>
      <c r="U27" s="52">
        <f t="shared" ref="U27:U33" si="13">F27-B27</f>
        <v>1.0345739147753122E-2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7.2849167714315211E-2</v>
      </c>
      <c r="C28" s="54">
        <v>1.3526226902534876E-2</v>
      </c>
      <c r="D28" s="55">
        <v>6.1188417939222965E-2</v>
      </c>
      <c r="E28" s="1">
        <v>7.2488236751466692E-2</v>
      </c>
      <c r="F28" s="56">
        <v>8.3251178628508171E-2</v>
      </c>
      <c r="G28" s="68">
        <v>-0.49706209527095008</v>
      </c>
      <c r="H28" s="68">
        <v>1</v>
      </c>
      <c r="I28" s="68">
        <v>0.12550060864236573</v>
      </c>
      <c r="J28" s="68">
        <v>0.16505310938667206</v>
      </c>
      <c r="K28" s="68">
        <v>0.58346457763080162</v>
      </c>
      <c r="L28" s="68">
        <v>-0.28032986511355273</v>
      </c>
      <c r="M28" s="2">
        <v>-3.8990476862828659E-2</v>
      </c>
      <c r="N28" s="2">
        <v>0.99999999999999878</v>
      </c>
      <c r="O28" s="69"/>
      <c r="R28" s="51" t="str">
        <f t="shared" si="10"/>
        <v>Emerging market debt</v>
      </c>
      <c r="S28" s="52">
        <f t="shared" si="11"/>
        <v>6.1188417939222965E-2</v>
      </c>
      <c r="T28" s="52">
        <f t="shared" si="12"/>
        <v>1.1660749775092245E-2</v>
      </c>
      <c r="U28" s="52">
        <f t="shared" si="13"/>
        <v>1.0402010914192961E-2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9.4064352321857128E-2</v>
      </c>
      <c r="C29" s="54">
        <v>1.2226334482911393E-2</v>
      </c>
      <c r="D29" s="55">
        <v>8.4082785732898568E-2</v>
      </c>
      <c r="E29" s="1">
        <v>9.274576088406844E-2</v>
      </c>
      <c r="F29" s="56">
        <v>0.10250420943149997</v>
      </c>
      <c r="G29" s="68">
        <v>4.3841988009888554E-2</v>
      </c>
      <c r="H29" s="68">
        <v>0.17651016350188975</v>
      </c>
      <c r="I29" s="68">
        <v>-0.68179426796683118</v>
      </c>
      <c r="J29" s="68">
        <v>-0.80985029041943835</v>
      </c>
      <c r="K29" s="68">
        <v>-0.79654217612983846</v>
      </c>
      <c r="L29" s="68">
        <v>-0.2859911340655642</v>
      </c>
      <c r="M29" s="2">
        <v>-3.4193563458217315E-2</v>
      </c>
      <c r="N29" s="2">
        <v>0.99999999999999845</v>
      </c>
      <c r="O29" s="69"/>
      <c r="R29" s="51" t="str">
        <f t="shared" si="10"/>
        <v>Aandelen ontwikkeld</v>
      </c>
      <c r="S29" s="52">
        <f t="shared" si="11"/>
        <v>8.4082785732898568E-2</v>
      </c>
      <c r="T29" s="52">
        <f t="shared" si="12"/>
        <v>9.9815665889585597E-3</v>
      </c>
      <c r="U29" s="52">
        <f t="shared" si="13"/>
        <v>8.4398571096428454E-3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4.3597730220844289E-2</v>
      </c>
      <c r="C30" s="54">
        <v>1.2229919321428353E-2</v>
      </c>
      <c r="D30" s="55">
        <v>3.3725118556973493E-2</v>
      </c>
      <c r="E30" s="1">
        <v>4.1925019587459561E-2</v>
      </c>
      <c r="F30" s="56">
        <v>5.1929949416499338E-2</v>
      </c>
      <c r="G30" s="68">
        <v>-4.2949910406431195E-2</v>
      </c>
      <c r="H30" s="68">
        <v>-0.19301261694166671</v>
      </c>
      <c r="I30" s="68">
        <v>1</v>
      </c>
      <c r="J30" s="68">
        <v>-0.17503787230265286</v>
      </c>
      <c r="K30" s="68">
        <v>-0.86341800553412329</v>
      </c>
      <c r="L30" s="68">
        <v>-0.30674837573238234</v>
      </c>
      <c r="M30" s="2">
        <v>-1.3254804910503402E-2</v>
      </c>
      <c r="N30" s="2">
        <v>0.99999999999999978</v>
      </c>
      <c r="O30" s="69"/>
      <c r="R30" s="51" t="str">
        <f t="shared" si="10"/>
        <v>Aandelen opkomend</v>
      </c>
      <c r="S30" s="52">
        <f t="shared" si="11"/>
        <v>3.3725118556973493E-2</v>
      </c>
      <c r="T30" s="52">
        <f t="shared" si="12"/>
        <v>9.872611663870795E-3</v>
      </c>
      <c r="U30" s="52">
        <f t="shared" si="13"/>
        <v>8.3322191956550495E-3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1.2901829284112935E-2</v>
      </c>
      <c r="C31" s="54">
        <v>1.220574835126295E-2</v>
      </c>
      <c r="D31" s="55">
        <v>2.4680011516556404E-3</v>
      </c>
      <c r="E31" s="1">
        <v>9.6181982332263927E-3</v>
      </c>
      <c r="F31" s="56">
        <v>2.011840739428318E-2</v>
      </c>
      <c r="G31" s="68">
        <v>-4.0822940045630576E-3</v>
      </c>
      <c r="H31" s="68">
        <v>-0.21771230675682915</v>
      </c>
      <c r="I31" s="68">
        <v>-0.4209297397835266</v>
      </c>
      <c r="J31" s="68">
        <v>1</v>
      </c>
      <c r="K31" s="68">
        <v>-0.70777656487889784</v>
      </c>
      <c r="L31" s="68">
        <v>-0.29446399865619277</v>
      </c>
      <c r="M31" s="2">
        <v>-2.9268439546476621E-2</v>
      </c>
      <c r="N31" s="2">
        <v>0.99999999999999911</v>
      </c>
      <c r="O31" s="69"/>
      <c r="R31" s="51" t="str">
        <f t="shared" si="10"/>
        <v>Commodities</v>
      </c>
      <c r="S31" s="52">
        <f t="shared" si="11"/>
        <v>2.4680011516556404E-3</v>
      </c>
      <c r="T31" s="52">
        <f t="shared" si="12"/>
        <v>1.0433828132457294E-2</v>
      </c>
      <c r="U31" s="52">
        <f t="shared" si="13"/>
        <v>7.2165781101702457E-3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3.2285508641523304E-2</v>
      </c>
      <c r="C32" s="54">
        <v>1.5113230820440284E-3</v>
      </c>
      <c r="D32" s="55">
        <v>3.0974199200639159E-2</v>
      </c>
      <c r="E32" s="1">
        <v>3.2235335942539078E-2</v>
      </c>
      <c r="F32" s="56">
        <v>3.350943217032297E-2</v>
      </c>
      <c r="G32" s="68">
        <v>-1.7302939474465148E-3</v>
      </c>
      <c r="H32" s="68">
        <v>-3.5641708592692714E-3</v>
      </c>
      <c r="I32" s="68">
        <v>-5.5548583662920403E-3</v>
      </c>
      <c r="J32" s="68">
        <v>-1.4220844645384392E-4</v>
      </c>
      <c r="K32" s="68">
        <v>1.278699120636391E-2</v>
      </c>
      <c r="L32" s="68">
        <v>0.76015668879480358</v>
      </c>
      <c r="M32" s="2">
        <v>1</v>
      </c>
      <c r="N32" s="2">
        <v>0.99999999999999178</v>
      </c>
      <c r="O32" s="69"/>
      <c r="R32" s="51" t="str">
        <f t="shared" si="10"/>
        <v>Hedge funds</v>
      </c>
      <c r="S32" s="52">
        <f t="shared" si="11"/>
        <v>3.0974199200639159E-2</v>
      </c>
      <c r="T32" s="52">
        <f t="shared" si="12"/>
        <v>1.3113094408841452E-3</v>
      </c>
      <c r="U32" s="52">
        <f t="shared" si="13"/>
        <v>1.2239235287996655E-3</v>
      </c>
    </row>
    <row r="33" spans="1:30">
      <c r="A33" s="60" t="str">
        <f t="shared" si="9"/>
        <v>Onroerend goed</v>
      </c>
      <c r="B33" s="61">
        <v>5.2533217156023437E-2</v>
      </c>
      <c r="C33" s="62">
        <v>1.5528968730999888E-3</v>
      </c>
      <c r="D33" s="63">
        <v>5.1217794388303033E-2</v>
      </c>
      <c r="E33" s="61">
        <v>5.2420631603584712E-2</v>
      </c>
      <c r="F33" s="64">
        <v>5.3857938483028792E-2</v>
      </c>
      <c r="G33" s="70">
        <v>5.3981411071295643E-3</v>
      </c>
      <c r="H33" s="70">
        <v>-1.2928344845015314E-2</v>
      </c>
      <c r="I33" s="70">
        <v>1.6876800343516046E-2</v>
      </c>
      <c r="J33" s="70">
        <v>1.4896530770412816E-3</v>
      </c>
      <c r="K33" s="70">
        <v>-1.701135271825642E-2</v>
      </c>
      <c r="L33" s="70">
        <v>1</v>
      </c>
      <c r="M33" s="65">
        <v>-0.81429861347354804</v>
      </c>
      <c r="N33" s="65">
        <v>0.99999999999999323</v>
      </c>
      <c r="O33" s="71"/>
      <c r="R33" s="51" t="str">
        <f t="shared" si="10"/>
        <v>Onroerend goed</v>
      </c>
      <c r="S33" s="52">
        <f t="shared" si="11"/>
        <v>5.1217794388303033E-2</v>
      </c>
      <c r="T33" s="52">
        <f t="shared" si="12"/>
        <v>1.3154227677204047E-3</v>
      </c>
      <c r="U33" s="52">
        <f t="shared" si="13"/>
        <v>1.3247213270053543E-3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5" t="s">
        <v>64</v>
      </c>
      <c r="E35" s="386"/>
      <c r="F35" s="387"/>
      <c r="G35" s="385" t="s">
        <v>65</v>
      </c>
      <c r="H35" s="386"/>
      <c r="I35" s="386"/>
      <c r="J35" s="386"/>
      <c r="K35" s="386"/>
      <c r="L35" s="386"/>
      <c r="M35" s="386"/>
      <c r="N35" s="386"/>
      <c r="O35" s="387"/>
    </row>
    <row r="36" spans="1:30">
      <c r="A36" s="266" t="str">
        <f>Optimalisatie!A23</f>
        <v>Tail risk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0.33078083918987766</v>
      </c>
      <c r="H36" s="272">
        <v>0.18970077026086452</v>
      </c>
      <c r="I36" s="272">
        <v>0.16931159311503896</v>
      </c>
      <c r="J36" s="272">
        <v>0.15677122546729605</v>
      </c>
      <c r="K36" s="272">
        <v>0.14836951240785201</v>
      </c>
      <c r="L36" s="272">
        <v>2.7940097851079093E-3</v>
      </c>
      <c r="M36" s="272">
        <v>2.2720497739594503E-3</v>
      </c>
      <c r="N36" s="272">
        <v>0</v>
      </c>
      <c r="O36" s="273">
        <v>-2.2204460492503131E-16</v>
      </c>
      <c r="R36" s="51" t="str">
        <f>A36</f>
        <v>Tail risk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0.61792733781277975</v>
      </c>
      <c r="C37" s="54">
        <v>1.6108701914240384E-2</v>
      </c>
      <c r="D37" s="55">
        <v>0.60471850133552607</v>
      </c>
      <c r="E37" s="1">
        <v>0.61825595753199292</v>
      </c>
      <c r="F37" s="56">
        <v>0.63048810972489866</v>
      </c>
      <c r="G37" s="2">
        <v>1</v>
      </c>
      <c r="H37" s="2">
        <v>0.140118487659385</v>
      </c>
      <c r="I37" s="2">
        <v>-0.26311554933543674</v>
      </c>
      <c r="J37" s="2">
        <v>-0.4827264502433925</v>
      </c>
      <c r="K37" s="2">
        <v>-0.12124780004002725</v>
      </c>
      <c r="L37" s="2">
        <v>-0.32001741607666417</v>
      </c>
      <c r="M37" s="2">
        <v>-1.3402210346212074E-2</v>
      </c>
      <c r="N37" s="2">
        <v>0.99999999999997335</v>
      </c>
      <c r="O37" s="57"/>
      <c r="R37" s="51" t="str">
        <f>A37</f>
        <v>Nominale matching</v>
      </c>
      <c r="S37" s="52">
        <f>D37</f>
        <v>0.60471850133552607</v>
      </c>
      <c r="T37" s="52">
        <f>B37-D37</f>
        <v>1.3208836477253683E-2</v>
      </c>
      <c r="U37" s="52">
        <f>F37-B37</f>
        <v>1.2560771912118907E-2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7.442897981776056E-2</v>
      </c>
      <c r="C38" s="54">
        <v>1.3887867889173389E-2</v>
      </c>
      <c r="D38" s="55">
        <v>6.3057269484583123E-2</v>
      </c>
      <c r="E38" s="1">
        <v>7.398625530480829E-2</v>
      </c>
      <c r="F38" s="56">
        <v>8.5523486336913868E-2</v>
      </c>
      <c r="G38" s="2">
        <v>-0.55381217956114737</v>
      </c>
      <c r="H38" s="2">
        <v>1</v>
      </c>
      <c r="I38" s="2">
        <v>-0.52421131415241906</v>
      </c>
      <c r="J38" s="2">
        <v>-0.1624791860405729</v>
      </c>
      <c r="K38" s="2">
        <v>8.1058624259430834E-2</v>
      </c>
      <c r="L38" s="2">
        <v>-0.316760774431602</v>
      </c>
      <c r="M38" s="2">
        <v>-1.7639466285648931E-2</v>
      </c>
      <c r="N38" s="2">
        <v>0.9999999999999738</v>
      </c>
      <c r="O38" s="57"/>
      <c r="R38" s="51" t="str">
        <f t="shared" ref="R38:R44" si="15">A38</f>
        <v>High Yield</v>
      </c>
      <c r="S38" s="52">
        <f t="shared" ref="S38:S44" si="16">D38</f>
        <v>6.3057269484583123E-2</v>
      </c>
      <c r="T38" s="52">
        <f t="shared" ref="T38:T44" si="17">B38-D38</f>
        <v>1.1371710333177437E-2</v>
      </c>
      <c r="U38" s="52">
        <f t="shared" ref="U38:U44" si="18">F38-B38</f>
        <v>1.1094506519153308E-2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7.2973960412746564E-2</v>
      </c>
      <c r="C39" s="54">
        <v>1.3414003708536465E-2</v>
      </c>
      <c r="D39" s="55">
        <v>6.1422355152492267E-2</v>
      </c>
      <c r="E39" s="1">
        <v>7.2781706229903639E-2</v>
      </c>
      <c r="F39" s="56">
        <v>8.3271171271300792E-2</v>
      </c>
      <c r="G39" s="2">
        <v>-0.48122463163240248</v>
      </c>
      <c r="H39" s="2">
        <v>-0.95266313371277545</v>
      </c>
      <c r="I39" s="2">
        <v>-2.868290477459056E-2</v>
      </c>
      <c r="J39" s="2">
        <v>-0.73749929863613739</v>
      </c>
      <c r="K39" s="2">
        <v>-0.23530894263267432</v>
      </c>
      <c r="L39" s="2">
        <v>-0.30784882746519199</v>
      </c>
      <c r="M39" s="2">
        <v>-2.2011862250506019E-2</v>
      </c>
      <c r="N39" s="2">
        <v>0.99999999999997358</v>
      </c>
      <c r="O39" s="57"/>
      <c r="R39" s="51" t="str">
        <f t="shared" si="15"/>
        <v>Emerging market debt</v>
      </c>
      <c r="S39" s="52">
        <f t="shared" si="16"/>
        <v>6.1422355152492267E-2</v>
      </c>
      <c r="T39" s="52">
        <f t="shared" si="17"/>
        <v>1.1551605260254297E-2</v>
      </c>
      <c r="U39" s="52">
        <f t="shared" si="18"/>
        <v>1.0297210858554229E-2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9.4164587757656695E-2</v>
      </c>
      <c r="C40" s="54">
        <v>1.1732396643294231E-2</v>
      </c>
      <c r="D40" s="55">
        <v>8.4430354319710604E-2</v>
      </c>
      <c r="E40" s="1">
        <v>9.3494910858411745E-2</v>
      </c>
      <c r="F40" s="56">
        <v>0.1026839929212693</v>
      </c>
      <c r="G40" s="2">
        <v>9.7114974491141325E-3</v>
      </c>
      <c r="H40" s="2">
        <v>-0.2490724961599006</v>
      </c>
      <c r="I40" s="2">
        <v>-0.15010158844953284</v>
      </c>
      <c r="J40" s="2">
        <v>1</v>
      </c>
      <c r="K40" s="2">
        <v>-0.67131267391535088</v>
      </c>
      <c r="L40" s="2">
        <v>-0.31136732092480834</v>
      </c>
      <c r="M40" s="2">
        <v>-1.9404935498040236E-2</v>
      </c>
      <c r="N40" s="2">
        <v>0.99999999999997358</v>
      </c>
      <c r="O40" s="57"/>
      <c r="R40" s="51" t="str">
        <f t="shared" si="15"/>
        <v>Aandelen ontwikkeld</v>
      </c>
      <c r="S40" s="52">
        <f t="shared" si="16"/>
        <v>8.4430354319710604E-2</v>
      </c>
      <c r="T40" s="52">
        <f t="shared" si="17"/>
        <v>9.734233437946091E-3</v>
      </c>
      <c r="U40" s="52">
        <f t="shared" si="18"/>
        <v>8.5194051636126034E-3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4.3394357415063756E-2</v>
      </c>
      <c r="C41" s="54">
        <v>1.2318488845538525E-2</v>
      </c>
      <c r="D41" s="55">
        <v>3.3048385575982747E-2</v>
      </c>
      <c r="E41" s="1">
        <v>4.1672639710827339E-2</v>
      </c>
      <c r="F41" s="56">
        <v>5.1684894374721055E-2</v>
      </c>
      <c r="G41" s="2">
        <v>-3.7248893320785806E-2</v>
      </c>
      <c r="H41" s="2">
        <v>0.4786632897576617</v>
      </c>
      <c r="I41" s="2">
        <v>1</v>
      </c>
      <c r="J41" s="2">
        <v>-6.4809322543808084E-2</v>
      </c>
      <c r="K41" s="2">
        <v>-5.5898231722744322E-2</v>
      </c>
      <c r="L41" s="2">
        <v>-0.32628878803258754</v>
      </c>
      <c r="M41" s="2">
        <v>-6.0452108738467247E-3</v>
      </c>
      <c r="N41" s="2">
        <v>0.99999999999997369</v>
      </c>
      <c r="O41" s="57"/>
      <c r="R41" s="51" t="str">
        <f t="shared" si="15"/>
        <v>Aandelen opkomend</v>
      </c>
      <c r="S41" s="52">
        <f t="shared" si="16"/>
        <v>3.3048385575982747E-2</v>
      </c>
      <c r="T41" s="52">
        <f t="shared" si="17"/>
        <v>1.0345971839081008E-2</v>
      </c>
      <c r="U41" s="52">
        <f t="shared" si="18"/>
        <v>8.2905369596572992E-3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1.2137307232607386E-2</v>
      </c>
      <c r="C42" s="54">
        <v>1.167104009279122E-2</v>
      </c>
      <c r="D42" s="55">
        <v>2.3746519073681192E-3</v>
      </c>
      <c r="E42" s="1">
        <v>8.9965468207969836E-3</v>
      </c>
      <c r="F42" s="56">
        <v>1.9106484849578859E-2</v>
      </c>
      <c r="G42" s="2">
        <v>5.7252686400574182E-2</v>
      </c>
      <c r="H42" s="2">
        <v>-0.42873997223465349</v>
      </c>
      <c r="I42" s="2">
        <v>-4.1151605073413491E-2</v>
      </c>
      <c r="J42" s="2">
        <v>0.44871351453360203</v>
      </c>
      <c r="K42" s="2">
        <v>1</v>
      </c>
      <c r="L42" s="2">
        <v>-0.31646957412053484</v>
      </c>
      <c r="M42" s="2">
        <v>1.4612501205042453E-3</v>
      </c>
      <c r="N42" s="2">
        <v>0.9999999999999748</v>
      </c>
      <c r="O42" s="57"/>
      <c r="R42" s="51" t="str">
        <f t="shared" si="15"/>
        <v>Commodities</v>
      </c>
      <c r="S42" s="52">
        <f t="shared" si="16"/>
        <v>2.3746519073681192E-3</v>
      </c>
      <c r="T42" s="52">
        <f t="shared" si="17"/>
        <v>9.7626553252392681E-3</v>
      </c>
      <c r="U42" s="52">
        <f t="shared" si="18"/>
        <v>6.9691776169714722E-3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3.2355059585102958E-2</v>
      </c>
      <c r="C43" s="54">
        <v>1.5201204946358783E-3</v>
      </c>
      <c r="D43" s="55">
        <v>3.1002466762535742E-2</v>
      </c>
      <c r="E43" s="1">
        <v>3.2306347125641628E-2</v>
      </c>
      <c r="F43" s="56">
        <v>3.3580296669461648E-2</v>
      </c>
      <c r="G43" s="2">
        <v>-1.1275549916559483E-3</v>
      </c>
      <c r="H43" s="2">
        <v>4.1744338538403109E-3</v>
      </c>
      <c r="I43" s="2">
        <v>-1.824514700781327E-3</v>
      </c>
      <c r="J43" s="2">
        <v>-4.3260325962163667E-3</v>
      </c>
      <c r="K43" s="2">
        <v>-9.2047674991805085E-3</v>
      </c>
      <c r="L43" s="2">
        <v>0.89875270105134097</v>
      </c>
      <c r="M43" s="2">
        <v>1</v>
      </c>
      <c r="N43" s="2">
        <v>0.99999999999999878</v>
      </c>
      <c r="O43" s="57"/>
      <c r="R43" s="51" t="str">
        <f t="shared" si="15"/>
        <v>Hedge funds</v>
      </c>
      <c r="S43" s="52">
        <f t="shared" si="16"/>
        <v>3.1002466762535742E-2</v>
      </c>
      <c r="T43" s="52">
        <f t="shared" si="17"/>
        <v>1.3525928225672154E-3</v>
      </c>
      <c r="U43" s="52">
        <f t="shared" si="18"/>
        <v>1.2252370843586907E-3</v>
      </c>
    </row>
    <row r="44" spans="1:30">
      <c r="A44" s="60" t="str">
        <f t="shared" si="14"/>
        <v>Onroerend goed</v>
      </c>
      <c r="B44" s="61">
        <v>5.2618409966282288E-2</v>
      </c>
      <c r="C44" s="62">
        <v>1.5436127928527346E-3</v>
      </c>
      <c r="D44" s="63">
        <v>5.1414632363067925E-2</v>
      </c>
      <c r="E44" s="61">
        <v>5.2575118965847184E-2</v>
      </c>
      <c r="F44" s="64">
        <v>5.3965649213382122E-2</v>
      </c>
      <c r="G44" s="65">
        <v>6.4490756563030625E-3</v>
      </c>
      <c r="H44" s="65">
        <v>7.5193908364416563E-3</v>
      </c>
      <c r="I44" s="65">
        <v>9.0874764861742299E-3</v>
      </c>
      <c r="J44" s="65">
        <v>3.1267755265240436E-3</v>
      </c>
      <c r="K44" s="65">
        <v>1.1913791550546279E-2</v>
      </c>
      <c r="L44" s="65">
        <v>1</v>
      </c>
      <c r="M44" s="65">
        <v>-0.92295756486625069</v>
      </c>
      <c r="N44" s="65">
        <v>1</v>
      </c>
      <c r="O44" s="66"/>
      <c r="R44" s="51" t="str">
        <f t="shared" si="15"/>
        <v>Onroerend goed</v>
      </c>
      <c r="S44" s="52">
        <f t="shared" si="16"/>
        <v>5.1414632363067925E-2</v>
      </c>
      <c r="T44" s="52">
        <f t="shared" si="17"/>
        <v>1.2037776032143635E-3</v>
      </c>
      <c r="U44" s="52">
        <f t="shared" si="18"/>
        <v>1.3472392470998337E-3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5" t="s">
        <v>64</v>
      </c>
      <c r="E46" s="386"/>
      <c r="F46" s="387"/>
      <c r="G46" s="385" t="s">
        <v>65</v>
      </c>
      <c r="H46" s="386"/>
      <c r="I46" s="386"/>
      <c r="J46" s="386"/>
      <c r="K46" s="386"/>
      <c r="L46" s="386"/>
      <c r="M46" s="386"/>
      <c r="N46" s="386"/>
      <c r="O46" s="387"/>
    </row>
    <row r="47" spans="1:30">
      <c r="A47" s="266" t="str">
        <f>Optimalisatie!A24</f>
        <v>Oil Scenario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0.42146364250886559</v>
      </c>
      <c r="H47" s="272">
        <v>0.23108925975175099</v>
      </c>
      <c r="I47" s="272">
        <v>0.13309210276519401</v>
      </c>
      <c r="J47" s="272">
        <v>0.11271696724575986</v>
      </c>
      <c r="K47" s="272">
        <v>7.2115535396062969E-2</v>
      </c>
      <c r="L47" s="272">
        <v>1.6838091096886609E-2</v>
      </c>
      <c r="M47" s="272">
        <v>1.2684401235482645E-2</v>
      </c>
      <c r="N47" s="272">
        <v>0</v>
      </c>
      <c r="O47" s="273">
        <v>1.1102230246251565E-16</v>
      </c>
      <c r="R47" s="51" t="str">
        <f>A47</f>
        <v>Oil Scenario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0.6440989202255224</v>
      </c>
      <c r="C48" s="54">
        <v>6.6028156602029727E-3</v>
      </c>
      <c r="D48" s="55">
        <v>0.64036243826388795</v>
      </c>
      <c r="E48" s="1">
        <v>0.6453257022625889</v>
      </c>
      <c r="F48" s="56">
        <v>0.64917618323959858</v>
      </c>
      <c r="G48" s="68">
        <v>1.5402169411313121E-2</v>
      </c>
      <c r="H48" s="68">
        <v>-0.37485518584183153</v>
      </c>
      <c r="I48" s="68">
        <v>-1.6385944417755097E-2</v>
      </c>
      <c r="J48" s="68">
        <v>0.11692652245265649</v>
      </c>
      <c r="K48" s="68">
        <v>1</v>
      </c>
      <c r="L48" s="68">
        <v>-0.14723775054013385</v>
      </c>
      <c r="M48" s="2">
        <v>-6.6905277149850909E-2</v>
      </c>
      <c r="N48" s="2">
        <v>1</v>
      </c>
      <c r="O48" s="69"/>
      <c r="R48" s="51" t="str">
        <f>A48</f>
        <v>Nominale matching</v>
      </c>
      <c r="S48" s="52">
        <f>D48</f>
        <v>0.64036243826388795</v>
      </c>
      <c r="T48" s="52">
        <f>B48-D48</f>
        <v>3.7364819616344525E-3</v>
      </c>
      <c r="U48" s="52">
        <f>F48-B48</f>
        <v>5.0772630140761832E-3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7.540007903686094E-2</v>
      </c>
      <c r="C49" s="54">
        <v>1.3387057059944899E-2</v>
      </c>
      <c r="D49" s="55">
        <v>6.5136164087107817E-2</v>
      </c>
      <c r="E49" s="1">
        <v>7.514702412793052E-2</v>
      </c>
      <c r="F49" s="56">
        <v>8.4808579972456222E-2</v>
      </c>
      <c r="G49" s="68">
        <v>-0.98890924157528692</v>
      </c>
      <c r="H49" s="68">
        <v>1</v>
      </c>
      <c r="I49" s="68">
        <v>-8.9467982847304568E-3</v>
      </c>
      <c r="J49" s="68">
        <v>-0.10172290584055049</v>
      </c>
      <c r="K49" s="68">
        <v>-6.2633871992223405E-3</v>
      </c>
      <c r="L49" s="68">
        <v>-0.20250642772009683</v>
      </c>
      <c r="M49" s="2">
        <v>-8.1712092176416118E-2</v>
      </c>
      <c r="N49" s="2">
        <v>0.99999999999999967</v>
      </c>
      <c r="O49" s="69"/>
      <c r="R49" s="51" t="str">
        <f t="shared" ref="R49:R55" si="20">A49</f>
        <v>High Yield</v>
      </c>
      <c r="S49" s="52">
        <f t="shared" ref="S49:S55" si="21">D49</f>
        <v>6.5136164087107817E-2</v>
      </c>
      <c r="T49" s="52">
        <f t="shared" ref="T49:T55" si="22">B49-D49</f>
        <v>1.0263914949753122E-2</v>
      </c>
      <c r="U49" s="52">
        <f t="shared" ref="U49:U55" si="23">F49-B49</f>
        <v>9.408500935595282E-3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7.1232597866184494E-2</v>
      </c>
      <c r="C50" s="54">
        <v>1.3388485889646839E-2</v>
      </c>
      <c r="D50" s="55">
        <v>6.0388808265044266E-2</v>
      </c>
      <c r="E50" s="1">
        <v>6.9579284151471257E-2</v>
      </c>
      <c r="F50" s="56">
        <v>8.0995660117249929E-2</v>
      </c>
      <c r="G50" s="68">
        <v>1</v>
      </c>
      <c r="H50" s="68">
        <v>0.96741482539642543</v>
      </c>
      <c r="I50" s="68">
        <v>4.8864814751798831E-2</v>
      </c>
      <c r="J50" s="68">
        <v>-0.10594394213519091</v>
      </c>
      <c r="K50" s="68">
        <v>-3.3137060321925933E-2</v>
      </c>
      <c r="L50" s="68">
        <v>-0.2301564886057029</v>
      </c>
      <c r="M50" s="2">
        <v>-8.2950282862511285E-2</v>
      </c>
      <c r="N50" s="2">
        <v>0.99999999999999944</v>
      </c>
      <c r="O50" s="69"/>
      <c r="R50" s="51" t="str">
        <f t="shared" si="20"/>
        <v>Emerging market debt</v>
      </c>
      <c r="S50" s="52">
        <f t="shared" si="21"/>
        <v>6.0388808265044266E-2</v>
      </c>
      <c r="T50" s="52">
        <f t="shared" si="22"/>
        <v>1.0843789601140227E-2</v>
      </c>
      <c r="U50" s="52">
        <f t="shared" si="23"/>
        <v>9.7630622510654352E-3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8.3645980422191554E-2</v>
      </c>
      <c r="C51" s="54">
        <v>8.5734347640072216E-3</v>
      </c>
      <c r="D51" s="55">
        <v>7.7067077497902647E-2</v>
      </c>
      <c r="E51" s="1">
        <v>8.1962570486032754E-2</v>
      </c>
      <c r="F51" s="56">
        <v>8.8108464118013097E-2</v>
      </c>
      <c r="G51" s="68">
        <v>-5.2409536942838494E-2</v>
      </c>
      <c r="H51" s="68">
        <v>-0.60366858420061986</v>
      </c>
      <c r="I51" s="68">
        <v>1</v>
      </c>
      <c r="J51" s="68">
        <v>-0.25213397780815594</v>
      </c>
      <c r="K51" s="68">
        <v>-0.25598774553631759</v>
      </c>
      <c r="L51" s="68">
        <v>-0.27818806162033521</v>
      </c>
      <c r="M51" s="2">
        <v>-9.4048951158432939E-2</v>
      </c>
      <c r="N51" s="2">
        <v>0.99999999999999878</v>
      </c>
      <c r="O51" s="69"/>
      <c r="R51" s="51" t="str">
        <f t="shared" si="20"/>
        <v>Aandelen ontwikkeld</v>
      </c>
      <c r="S51" s="52">
        <f t="shared" si="21"/>
        <v>7.7067077497902647E-2</v>
      </c>
      <c r="T51" s="52">
        <f t="shared" si="22"/>
        <v>6.5789029242889069E-3</v>
      </c>
      <c r="U51" s="52">
        <f t="shared" si="23"/>
        <v>4.4624836958215425E-3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3.3495866748537342E-2</v>
      </c>
      <c r="C52" s="54">
        <v>8.4302954227125637E-3</v>
      </c>
      <c r="D52" s="55">
        <v>2.7372353259341467E-2</v>
      </c>
      <c r="E52" s="1">
        <v>3.2162572178056452E-2</v>
      </c>
      <c r="F52" s="56">
        <v>3.7837488371498376E-2</v>
      </c>
      <c r="G52" s="68">
        <v>7.9386689597787247E-3</v>
      </c>
      <c r="H52" s="68">
        <v>-0.61684448251323842</v>
      </c>
      <c r="I52" s="68">
        <v>-0.77919677044584812</v>
      </c>
      <c r="J52" s="68">
        <v>-0.65706337864357311</v>
      </c>
      <c r="K52" s="68">
        <v>-0.24008742735504238</v>
      </c>
      <c r="L52" s="68">
        <v>-0.27510366523175789</v>
      </c>
      <c r="M52" s="2">
        <v>-7.3229931196995515E-2</v>
      </c>
      <c r="N52" s="2">
        <v>1</v>
      </c>
      <c r="O52" s="69"/>
      <c r="R52" s="51" t="str">
        <f t="shared" si="20"/>
        <v>Aandelen opkomend</v>
      </c>
      <c r="S52" s="52">
        <f t="shared" si="21"/>
        <v>2.7372353259341467E-2</v>
      </c>
      <c r="T52" s="52">
        <f t="shared" si="22"/>
        <v>6.1235134891958753E-3</v>
      </c>
      <c r="U52" s="52">
        <f t="shared" si="23"/>
        <v>4.3416216229610338E-3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7.7002954064881194E-3</v>
      </c>
      <c r="C53" s="54">
        <v>7.6441054196596534E-3</v>
      </c>
      <c r="D53" s="55">
        <v>1.3626635478858817E-3</v>
      </c>
      <c r="E53" s="1">
        <v>5.5537109544391708E-3</v>
      </c>
      <c r="F53" s="56">
        <v>1.1720524082693556E-2</v>
      </c>
      <c r="G53" s="68">
        <v>-4.4904810506997839E-3</v>
      </c>
      <c r="H53" s="68">
        <v>-0.30930459336252569</v>
      </c>
      <c r="I53" s="68">
        <v>-0.25355347434309067</v>
      </c>
      <c r="J53" s="68">
        <v>1</v>
      </c>
      <c r="K53" s="68">
        <v>-0.34322027831491059</v>
      </c>
      <c r="L53" s="68">
        <v>-0.28134338731658193</v>
      </c>
      <c r="M53" s="2">
        <v>-7.3999534578410547E-2</v>
      </c>
      <c r="N53" s="2">
        <v>0.99999999999999944</v>
      </c>
      <c r="O53" s="69"/>
      <c r="R53" s="51" t="str">
        <f t="shared" si="20"/>
        <v>Commodities</v>
      </c>
      <c r="S53" s="52">
        <f t="shared" si="21"/>
        <v>1.3626635478858817E-3</v>
      </c>
      <c r="T53" s="52">
        <f t="shared" si="22"/>
        <v>6.3376318586022377E-3</v>
      </c>
      <c r="U53" s="52">
        <f t="shared" si="23"/>
        <v>4.020228676205437E-3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3.2270689594868396E-2</v>
      </c>
      <c r="C54" s="54">
        <v>2.6967236743138481E-3</v>
      </c>
      <c r="D54" s="55">
        <v>3.0221940113184215E-2</v>
      </c>
      <c r="E54" s="1">
        <v>3.2261589176703652E-2</v>
      </c>
      <c r="F54" s="56">
        <v>3.4166179998281851E-2</v>
      </c>
      <c r="G54" s="68">
        <v>6.7702640930182084E-3</v>
      </c>
      <c r="H54" s="68">
        <v>-1.3770267263825608E-2</v>
      </c>
      <c r="I54" s="68">
        <v>1.6573944582797921E-2</v>
      </c>
      <c r="J54" s="68">
        <v>-4.6753825392962609E-3</v>
      </c>
      <c r="K54" s="68">
        <v>-4.410576034381062E-2</v>
      </c>
      <c r="L54" s="68">
        <v>0.41453578103461414</v>
      </c>
      <c r="M54" s="2">
        <v>1</v>
      </c>
      <c r="N54" s="2">
        <v>0.99999999999999689</v>
      </c>
      <c r="O54" s="69"/>
      <c r="R54" s="51" t="str">
        <f t="shared" si="20"/>
        <v>Hedge funds</v>
      </c>
      <c r="S54" s="52">
        <f t="shared" si="21"/>
        <v>3.0221940113184215E-2</v>
      </c>
      <c r="T54" s="52">
        <f t="shared" si="22"/>
        <v>2.0487494816841811E-3</v>
      </c>
      <c r="U54" s="52">
        <f t="shared" si="23"/>
        <v>1.8954904034134551E-3</v>
      </c>
    </row>
    <row r="55" spans="1:36">
      <c r="A55" s="60" t="str">
        <f t="shared" si="19"/>
        <v>Onroerend goed</v>
      </c>
      <c r="B55" s="61">
        <v>5.2155570699346905E-2</v>
      </c>
      <c r="C55" s="62">
        <v>2.9858983419538253E-3</v>
      </c>
      <c r="D55" s="63">
        <v>4.9894010772433765E-2</v>
      </c>
      <c r="E55" s="61">
        <v>5.2141431844894989E-2</v>
      </c>
      <c r="F55" s="64">
        <v>5.4517683703811277E-2</v>
      </c>
      <c r="G55" s="70">
        <v>1.5698157104715414E-2</v>
      </c>
      <c r="H55" s="70">
        <v>-4.8971712214384823E-2</v>
      </c>
      <c r="I55" s="70">
        <v>-7.3557718431712443E-3</v>
      </c>
      <c r="J55" s="70">
        <v>4.6130645141106734E-3</v>
      </c>
      <c r="K55" s="70">
        <v>-7.7198340928771689E-2</v>
      </c>
      <c r="L55" s="70">
        <v>1</v>
      </c>
      <c r="M55" s="65">
        <v>-0.52715393087738305</v>
      </c>
      <c r="N55" s="65">
        <v>0.999999999999995</v>
      </c>
      <c r="O55" s="71"/>
      <c r="R55" s="51" t="str">
        <f t="shared" si="20"/>
        <v>Onroerend goed</v>
      </c>
      <c r="S55" s="52">
        <f t="shared" si="21"/>
        <v>4.9894010772433765E-2</v>
      </c>
      <c r="T55" s="52">
        <f t="shared" si="22"/>
        <v>2.2615599269131398E-3</v>
      </c>
      <c r="U55" s="52">
        <f t="shared" si="23"/>
        <v>2.3621130044643723E-3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5" t="s">
        <v>64</v>
      </c>
      <c r="E57" s="386"/>
      <c r="F57" s="387"/>
      <c r="G57" s="385" t="s">
        <v>65</v>
      </c>
      <c r="H57" s="386"/>
      <c r="I57" s="386"/>
      <c r="J57" s="386"/>
      <c r="K57" s="386"/>
      <c r="L57" s="386"/>
      <c r="M57" s="386"/>
      <c r="N57" s="386"/>
      <c r="O57" s="387"/>
    </row>
    <row r="58" spans="1:36">
      <c r="A58" s="266" t="str">
        <f>Optimalisatie!A11</f>
        <v>leeg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0.48525639205225035</v>
      </c>
      <c r="H58" s="272">
        <v>0.2022649377128598</v>
      </c>
      <c r="I58" s="272">
        <v>0.11840236450431241</v>
      </c>
      <c r="J58" s="272">
        <v>9.3334107152994283E-2</v>
      </c>
      <c r="K58" s="272">
        <v>6.4770334854695855E-2</v>
      </c>
      <c r="L58" s="272">
        <v>2.0144719573762404E-2</v>
      </c>
      <c r="M58" s="272">
        <v>1.5827144149122452E-2</v>
      </c>
      <c r="N58" s="272">
        <v>0</v>
      </c>
      <c r="O58" s="273"/>
      <c r="R58" s="51" t="str">
        <f>A58</f>
        <v>leeg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0.64592500291330446</v>
      </c>
      <c r="C59" s="54">
        <v>5.7593843508388825E-3</v>
      </c>
      <c r="D59" s="55">
        <v>0.6419592023368017</v>
      </c>
      <c r="E59" s="1">
        <v>0.6467454495343854</v>
      </c>
      <c r="F59" s="56">
        <v>0.65020412859380983</v>
      </c>
      <c r="G59" s="2">
        <v>5.2164976992862995E-2</v>
      </c>
      <c r="H59" s="2">
        <v>-0.30234125254939609</v>
      </c>
      <c r="I59" s="2">
        <v>-8.7628267737026477E-2</v>
      </c>
      <c r="J59" s="2">
        <v>-3.4022819496102953E-2</v>
      </c>
      <c r="K59" s="2">
        <v>1</v>
      </c>
      <c r="L59" s="2">
        <v>-0.33811916148531707</v>
      </c>
      <c r="M59" s="2">
        <v>-6.3501870364951031E-3</v>
      </c>
      <c r="N59" s="2">
        <v>0.99999999999999933</v>
      </c>
      <c r="O59" s="69"/>
      <c r="R59" s="51" t="str">
        <f>A59</f>
        <v>Nominale matching</v>
      </c>
      <c r="S59" s="52">
        <f>D59</f>
        <v>0.6419592023368017</v>
      </c>
      <c r="T59" s="52">
        <f>B59-D59</f>
        <v>3.9658005765027537E-3</v>
      </c>
      <c r="U59" s="52">
        <f>F59-B59</f>
        <v>4.279125680505369E-3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7.6842812898487503E-2</v>
      </c>
      <c r="C60" s="54">
        <v>1.2913375379299834E-2</v>
      </c>
      <c r="D60" s="55">
        <v>6.7171732274939805E-2</v>
      </c>
      <c r="E60" s="1">
        <v>7.6626535915945149E-2</v>
      </c>
      <c r="F60" s="56">
        <v>8.6938896843141322E-2</v>
      </c>
      <c r="G60" s="2">
        <v>-0.94154761923873098</v>
      </c>
      <c r="H60" s="2">
        <v>1</v>
      </c>
      <c r="I60" s="2">
        <v>0.21632387675004705</v>
      </c>
      <c r="J60" s="2">
        <v>6.1300356398380331E-3</v>
      </c>
      <c r="K60" s="2">
        <v>-2.7116909992033485E-2</v>
      </c>
      <c r="L60" s="2">
        <v>-0.29326200913761702</v>
      </c>
      <c r="M60" s="2">
        <v>-2.5127739801941423E-2</v>
      </c>
      <c r="N60" s="2">
        <v>0.99999999999999933</v>
      </c>
      <c r="O60" s="69"/>
      <c r="R60" s="51" t="str">
        <f t="shared" ref="R60:R66" si="25">A60</f>
        <v>High Yield</v>
      </c>
      <c r="S60" s="52">
        <f t="shared" ref="S60:S66" si="26">D60</f>
        <v>6.7171732274939805E-2</v>
      </c>
      <c r="T60" s="52">
        <f t="shared" ref="T60:T66" si="27">B60-D60</f>
        <v>9.6710806235476982E-3</v>
      </c>
      <c r="U60" s="52">
        <f t="shared" ref="U60:U66" si="28">F60-B60</f>
        <v>1.0096083944653819E-2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7.2956278909017624E-2</v>
      </c>
      <c r="C61" s="54">
        <v>1.3285695582132273E-2</v>
      </c>
      <c r="D61" s="55">
        <v>6.2380022602429697E-2</v>
      </c>
      <c r="E61" s="1">
        <v>7.2458358890980096E-2</v>
      </c>
      <c r="F61" s="56">
        <v>8.3121719440654079E-2</v>
      </c>
      <c r="G61" s="2">
        <v>1</v>
      </c>
      <c r="H61" s="2">
        <v>0.91878107751016369</v>
      </c>
      <c r="I61" s="2">
        <v>0.1791562991151274</v>
      </c>
      <c r="J61" s="2">
        <v>3.2300247573707315E-2</v>
      </c>
      <c r="K61" s="2">
        <v>-0.10220939848904785</v>
      </c>
      <c r="L61" s="2">
        <v>-0.26412650939732796</v>
      </c>
      <c r="M61" s="2">
        <v>-2.6690965711175321E-2</v>
      </c>
      <c r="N61" s="2">
        <v>0.99999999999999978</v>
      </c>
      <c r="O61" s="69"/>
      <c r="R61" s="51" t="str">
        <f t="shared" si="25"/>
        <v>Emerging market debt</v>
      </c>
      <c r="S61" s="52">
        <f t="shared" si="26"/>
        <v>6.2380022602429697E-2</v>
      </c>
      <c r="T61" s="52">
        <f t="shared" si="27"/>
        <v>1.0576256306587928E-2</v>
      </c>
      <c r="U61" s="52">
        <f t="shared" si="28"/>
        <v>1.0165440531636455E-2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8.2904699241782467E-2</v>
      </c>
      <c r="C62" s="54">
        <v>8.0369614870678951E-3</v>
      </c>
      <c r="D62" s="55">
        <v>7.6322559949765389E-2</v>
      </c>
      <c r="E62" s="1">
        <v>8.1870941994287377E-2</v>
      </c>
      <c r="F62" s="56">
        <v>8.780649209504833E-2</v>
      </c>
      <c r="G62" s="2">
        <v>-1.565994969150545E-2</v>
      </c>
      <c r="H62" s="2">
        <v>-0.83710992043004229</v>
      </c>
      <c r="I62" s="2">
        <v>1</v>
      </c>
      <c r="J62" s="2">
        <v>1.2343020963836611E-2</v>
      </c>
      <c r="K62" s="2">
        <v>-0.26462629999851567</v>
      </c>
      <c r="L62" s="2">
        <v>-0.34213948868545013</v>
      </c>
      <c r="M62" s="2">
        <v>1.4478854720173608E-2</v>
      </c>
      <c r="N62" s="2">
        <v>0.99999999999999922</v>
      </c>
      <c r="O62" s="69"/>
      <c r="R62" s="51" t="str">
        <f t="shared" si="25"/>
        <v>Aandelen ontwikkeld</v>
      </c>
      <c r="S62" s="52">
        <f t="shared" si="26"/>
        <v>7.6322559949765389E-2</v>
      </c>
      <c r="T62" s="52">
        <f t="shared" si="27"/>
        <v>6.5821392920170779E-3</v>
      </c>
      <c r="U62" s="52">
        <f t="shared" si="28"/>
        <v>4.9017928532658628E-3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3.0469486483150496E-2</v>
      </c>
      <c r="C63" s="54">
        <v>6.9455893246663531E-3</v>
      </c>
      <c r="D63" s="55">
        <v>2.5092648891391629E-2</v>
      </c>
      <c r="E63" s="1">
        <v>2.9057049899731471E-2</v>
      </c>
      <c r="F63" s="56">
        <v>3.447531895388932E-2</v>
      </c>
      <c r="G63" s="2">
        <v>-4.7121146461310395E-2</v>
      </c>
      <c r="H63" s="2">
        <v>-0.35225103768790789</v>
      </c>
      <c r="I63" s="2">
        <v>-0.63452653021409577</v>
      </c>
      <c r="J63" s="2">
        <v>1</v>
      </c>
      <c r="K63" s="2">
        <v>-0.27340322656595339</v>
      </c>
      <c r="L63" s="2">
        <v>-0.34305301887753142</v>
      </c>
      <c r="M63" s="2">
        <v>2.8716153789614091E-2</v>
      </c>
      <c r="N63" s="2">
        <v>1</v>
      </c>
      <c r="O63" s="69"/>
      <c r="R63" s="51" t="str">
        <f t="shared" si="25"/>
        <v>Aandelen opkomend</v>
      </c>
      <c r="S63" s="52">
        <f t="shared" si="26"/>
        <v>2.5092648891391629E-2</v>
      </c>
      <c r="T63" s="52">
        <f t="shared" si="27"/>
        <v>5.3768375917588665E-3</v>
      </c>
      <c r="U63" s="52">
        <f t="shared" si="28"/>
        <v>4.0058324707388238E-3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6.4193457123188375E-3</v>
      </c>
      <c r="C64" s="54">
        <v>6.8256017052259919E-3</v>
      </c>
      <c r="D64" s="55">
        <v>8.9747257419944739E-4</v>
      </c>
      <c r="E64" s="1">
        <v>3.9909974206604306E-3</v>
      </c>
      <c r="F64" s="56">
        <v>1.0276371837805293E-2</v>
      </c>
      <c r="G64" s="2">
        <v>-2.2696583384822274E-2</v>
      </c>
      <c r="H64" s="2">
        <v>-0.32391301408611495</v>
      </c>
      <c r="I64" s="2">
        <v>-0.62793078342737285</v>
      </c>
      <c r="J64" s="2">
        <v>-0.97350807318067611</v>
      </c>
      <c r="K64" s="2">
        <v>-0.32270738889405404</v>
      </c>
      <c r="L64" s="2">
        <v>-0.39917848846879139</v>
      </c>
      <c r="M64" s="2">
        <v>-2.4203260367713568E-3</v>
      </c>
      <c r="N64" s="2">
        <v>0.99999999999999978</v>
      </c>
      <c r="O64" s="69"/>
      <c r="R64" s="51" t="str">
        <f t="shared" si="25"/>
        <v>Commodities</v>
      </c>
      <c r="S64" s="52">
        <f t="shared" si="26"/>
        <v>8.9747257419944739E-4</v>
      </c>
      <c r="T64" s="52">
        <f t="shared" si="27"/>
        <v>5.5218731381193901E-3</v>
      </c>
      <c r="U64" s="52">
        <f t="shared" si="28"/>
        <v>3.8570261254864558E-3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3.2424536574390775E-2</v>
      </c>
      <c r="C65" s="54">
        <v>2.9323585436961935E-3</v>
      </c>
      <c r="D65" s="55">
        <v>3.0241729031718966E-2</v>
      </c>
      <c r="E65" s="1">
        <v>3.2240921384611029E-2</v>
      </c>
      <c r="F65" s="56">
        <v>3.4434523762651215E-2</v>
      </c>
      <c r="G65" s="2">
        <v>-9.9940143901804026E-3</v>
      </c>
      <c r="H65" s="2">
        <v>-1.623554267698471E-2</v>
      </c>
      <c r="I65" s="2">
        <v>-1.6504215424360189E-2</v>
      </c>
      <c r="J65" s="2">
        <v>-3.6790576493458224E-2</v>
      </c>
      <c r="K65" s="2">
        <v>2.0570488172807918E-3</v>
      </c>
      <c r="L65" s="2">
        <v>0.97987867605204004</v>
      </c>
      <c r="M65" s="2">
        <v>1</v>
      </c>
      <c r="N65" s="2">
        <v>0.99999999999999778</v>
      </c>
      <c r="O65" s="69"/>
      <c r="R65" s="51" t="str">
        <f t="shared" si="25"/>
        <v>Hedge funds</v>
      </c>
      <c r="S65" s="52">
        <f t="shared" si="26"/>
        <v>3.0241729031718966E-2</v>
      </c>
      <c r="T65" s="52">
        <f t="shared" si="27"/>
        <v>2.1828075426718087E-3</v>
      </c>
      <c r="U65" s="52">
        <f t="shared" si="28"/>
        <v>2.0099871882604398E-3</v>
      </c>
    </row>
    <row r="66" spans="1:36">
      <c r="A66" s="60" t="str">
        <f t="shared" si="24"/>
        <v>Onroerend goed</v>
      </c>
      <c r="B66" s="61">
        <v>5.2057837267547681E-2</v>
      </c>
      <c r="C66" s="62">
        <v>2.9842516176391705E-3</v>
      </c>
      <c r="D66" s="63">
        <v>4.977871920309368E-2</v>
      </c>
      <c r="E66" s="61">
        <v>5.2217275080340186E-2</v>
      </c>
      <c r="F66" s="64">
        <v>5.4273979422569341E-2</v>
      </c>
      <c r="G66" s="65">
        <v>-1.5145663826313393E-2</v>
      </c>
      <c r="H66" s="65">
        <v>-8.693031007971791E-2</v>
      </c>
      <c r="I66" s="65">
        <v>-2.889037906231879E-2</v>
      </c>
      <c r="J66" s="65">
        <v>-6.4518350071457601E-3</v>
      </c>
      <c r="K66" s="65">
        <v>-1.1993824877676404E-2</v>
      </c>
      <c r="L66" s="65">
        <v>1</v>
      </c>
      <c r="M66" s="65">
        <v>-0.98260578992340586</v>
      </c>
      <c r="N66" s="65">
        <v>0.99999999999999656</v>
      </c>
      <c r="O66" s="71"/>
      <c r="R66" s="51" t="str">
        <f t="shared" si="25"/>
        <v>Onroerend goed</v>
      </c>
      <c r="S66" s="52">
        <f t="shared" si="26"/>
        <v>4.977871920309368E-2</v>
      </c>
      <c r="T66" s="52">
        <f t="shared" si="27"/>
        <v>2.2791180644540013E-3</v>
      </c>
      <c r="U66" s="52">
        <f t="shared" si="28"/>
        <v>2.2161421550216595E-3</v>
      </c>
    </row>
    <row r="69" spans="1:36">
      <c r="A69" s="266" t="str">
        <f>Optimalisatie!A12</f>
        <v>leeg2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0.42146364250886559</v>
      </c>
      <c r="H69" s="272">
        <v>0.23108925975175099</v>
      </c>
      <c r="I69" s="272">
        <v>0.13309210276519401</v>
      </c>
      <c r="J69" s="272">
        <v>0.11271696724575986</v>
      </c>
      <c r="K69" s="272">
        <v>7.2115535396062969E-2</v>
      </c>
      <c r="L69" s="272">
        <v>1.6838091096886609E-2</v>
      </c>
      <c r="M69" s="272">
        <v>1.2684401235482645E-2</v>
      </c>
      <c r="N69" s="272">
        <v>0</v>
      </c>
      <c r="O69" s="273">
        <v>1.1102230246251565E-16</v>
      </c>
      <c r="R69" s="51" t="str">
        <f>A69</f>
        <v>leeg2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0.6440989202255224</v>
      </c>
      <c r="C70" s="54">
        <v>6.6028156602029727E-3</v>
      </c>
      <c r="D70" s="55">
        <v>0.64036243826388795</v>
      </c>
      <c r="E70" s="1">
        <v>0.6453257022625889</v>
      </c>
      <c r="F70" s="56">
        <v>0.64917618323959858</v>
      </c>
      <c r="G70" s="68">
        <v>1.5402169411313121E-2</v>
      </c>
      <c r="H70" s="68">
        <v>-0.37485518584183153</v>
      </c>
      <c r="I70" s="68">
        <v>-1.6385944417755097E-2</v>
      </c>
      <c r="J70" s="68">
        <v>0.11692652245265649</v>
      </c>
      <c r="K70" s="68">
        <v>1</v>
      </c>
      <c r="L70" s="68">
        <v>-0.14723775054013385</v>
      </c>
      <c r="M70" s="2">
        <v>-6.6905277149850909E-2</v>
      </c>
      <c r="N70" s="2">
        <v>1</v>
      </c>
      <c r="O70" s="69"/>
      <c r="R70" s="51" t="str">
        <f>A70</f>
        <v>Nominale matching</v>
      </c>
      <c r="S70" s="52">
        <f>D70</f>
        <v>0.64036243826388795</v>
      </c>
      <c r="T70" s="52">
        <f>B70-D70</f>
        <v>3.7364819616344525E-3</v>
      </c>
      <c r="U70" s="52">
        <f>F70-B70</f>
        <v>5.0772630140761832E-3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7.540007903686094E-2</v>
      </c>
      <c r="C71" s="54">
        <v>1.3387057059944899E-2</v>
      </c>
      <c r="D71" s="55">
        <v>6.5136164087107817E-2</v>
      </c>
      <c r="E71" s="1">
        <v>7.514702412793052E-2</v>
      </c>
      <c r="F71" s="56">
        <v>8.4808579972456222E-2</v>
      </c>
      <c r="G71" s="68">
        <v>-0.98890924157528692</v>
      </c>
      <c r="H71" s="68">
        <v>1</v>
      </c>
      <c r="I71" s="68">
        <v>-8.9467982847304568E-3</v>
      </c>
      <c r="J71" s="68">
        <v>-0.10172290584055049</v>
      </c>
      <c r="K71" s="68">
        <v>-6.2633871992223405E-3</v>
      </c>
      <c r="L71" s="68">
        <v>-0.20250642772009683</v>
      </c>
      <c r="M71" s="2">
        <v>-8.1712092176416118E-2</v>
      </c>
      <c r="N71" s="2">
        <v>0.99999999999999967</v>
      </c>
      <c r="O71" s="69"/>
      <c r="R71" s="51" t="str">
        <f t="shared" ref="R71:R77" si="30">A71</f>
        <v>High Yield</v>
      </c>
      <c r="S71" s="52">
        <f t="shared" ref="S71:S77" si="31">D71</f>
        <v>6.5136164087107817E-2</v>
      </c>
      <c r="T71" s="52">
        <f t="shared" ref="T71:T77" si="32">B71-D71</f>
        <v>1.0263914949753122E-2</v>
      </c>
      <c r="U71" s="52">
        <f t="shared" ref="U71:U77" si="33">F71-B71</f>
        <v>9.408500935595282E-3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7.1232597866184494E-2</v>
      </c>
      <c r="C72" s="54">
        <v>1.3388485889646839E-2</v>
      </c>
      <c r="D72" s="55">
        <v>6.0388808265044266E-2</v>
      </c>
      <c r="E72" s="1">
        <v>6.9579284151471257E-2</v>
      </c>
      <c r="F72" s="56">
        <v>8.0995660117249929E-2</v>
      </c>
      <c r="G72" s="68">
        <v>1</v>
      </c>
      <c r="H72" s="68">
        <v>0.96741482539642543</v>
      </c>
      <c r="I72" s="68">
        <v>4.8864814751798831E-2</v>
      </c>
      <c r="J72" s="68">
        <v>-0.10594394213519091</v>
      </c>
      <c r="K72" s="68">
        <v>-3.3137060321925933E-2</v>
      </c>
      <c r="L72" s="68">
        <v>-0.2301564886057029</v>
      </c>
      <c r="M72" s="2">
        <v>-8.2950282862511285E-2</v>
      </c>
      <c r="N72" s="2">
        <v>0.99999999999999944</v>
      </c>
      <c r="O72" s="69"/>
      <c r="R72" s="51" t="str">
        <f t="shared" si="30"/>
        <v>Emerging market debt</v>
      </c>
      <c r="S72" s="52">
        <f t="shared" si="31"/>
        <v>6.0388808265044266E-2</v>
      </c>
      <c r="T72" s="52">
        <f t="shared" si="32"/>
        <v>1.0843789601140227E-2</v>
      </c>
      <c r="U72" s="52">
        <f t="shared" si="33"/>
        <v>9.7630622510654352E-3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8.3645980422191554E-2</v>
      </c>
      <c r="C73" s="54">
        <v>8.5734347640072216E-3</v>
      </c>
      <c r="D73" s="55">
        <v>7.7067077497902647E-2</v>
      </c>
      <c r="E73" s="1">
        <v>8.1962570486032754E-2</v>
      </c>
      <c r="F73" s="56">
        <v>8.8108464118013097E-2</v>
      </c>
      <c r="G73" s="68">
        <v>-5.2409536942838494E-2</v>
      </c>
      <c r="H73" s="68">
        <v>-0.60366858420061986</v>
      </c>
      <c r="I73" s="68">
        <v>1</v>
      </c>
      <c r="J73" s="68">
        <v>-0.25213397780815594</v>
      </c>
      <c r="K73" s="68">
        <v>-0.25598774553631759</v>
      </c>
      <c r="L73" s="68">
        <v>-0.27818806162033521</v>
      </c>
      <c r="M73" s="2">
        <v>-9.4048951158432939E-2</v>
      </c>
      <c r="N73" s="2">
        <v>0.99999999999999878</v>
      </c>
      <c r="O73" s="69"/>
      <c r="R73" s="51" t="str">
        <f t="shared" si="30"/>
        <v>Aandelen ontwikkeld</v>
      </c>
      <c r="S73" s="52">
        <f t="shared" si="31"/>
        <v>7.7067077497902647E-2</v>
      </c>
      <c r="T73" s="52">
        <f t="shared" si="32"/>
        <v>6.5789029242889069E-3</v>
      </c>
      <c r="U73" s="52">
        <f t="shared" si="33"/>
        <v>4.4624836958215425E-3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3.3495866748537342E-2</v>
      </c>
      <c r="C74" s="54">
        <v>8.4302954227125637E-3</v>
      </c>
      <c r="D74" s="55">
        <v>2.7372353259341467E-2</v>
      </c>
      <c r="E74" s="1">
        <v>3.2162572178056452E-2</v>
      </c>
      <c r="F74" s="56">
        <v>3.7837488371498376E-2</v>
      </c>
      <c r="G74" s="68">
        <v>7.9386689597787247E-3</v>
      </c>
      <c r="H74" s="68">
        <v>-0.61684448251323842</v>
      </c>
      <c r="I74" s="68">
        <v>-0.77919677044584812</v>
      </c>
      <c r="J74" s="68">
        <v>-0.65706337864357311</v>
      </c>
      <c r="K74" s="68">
        <v>-0.24008742735504238</v>
      </c>
      <c r="L74" s="68">
        <v>-0.27510366523175789</v>
      </c>
      <c r="M74" s="2">
        <v>-7.3229931196995515E-2</v>
      </c>
      <c r="N74" s="2">
        <v>1</v>
      </c>
      <c r="O74" s="69"/>
      <c r="R74" s="51" t="str">
        <f t="shared" si="30"/>
        <v>Aandelen opkomend</v>
      </c>
      <c r="S74" s="52">
        <f t="shared" si="31"/>
        <v>2.7372353259341467E-2</v>
      </c>
      <c r="T74" s="52">
        <f t="shared" si="32"/>
        <v>6.1235134891958753E-3</v>
      </c>
      <c r="U74" s="52">
        <f t="shared" si="33"/>
        <v>4.3416216229610338E-3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7.7002954064881194E-3</v>
      </c>
      <c r="C75" s="54">
        <v>7.6441054196596534E-3</v>
      </c>
      <c r="D75" s="55">
        <v>1.3626635478858817E-3</v>
      </c>
      <c r="E75" s="1">
        <v>5.5537109544391708E-3</v>
      </c>
      <c r="F75" s="56">
        <v>1.1720524082693556E-2</v>
      </c>
      <c r="G75" s="68">
        <v>-4.4904810506997839E-3</v>
      </c>
      <c r="H75" s="68">
        <v>-0.30930459336252569</v>
      </c>
      <c r="I75" s="68">
        <v>-0.25355347434309067</v>
      </c>
      <c r="J75" s="68">
        <v>1</v>
      </c>
      <c r="K75" s="68">
        <v>-0.34322027831491059</v>
      </c>
      <c r="L75" s="68">
        <v>-0.28134338731658193</v>
      </c>
      <c r="M75" s="2">
        <v>-7.3999534578410547E-2</v>
      </c>
      <c r="N75" s="2">
        <v>0.99999999999999944</v>
      </c>
      <c r="O75" s="69"/>
      <c r="R75" s="51" t="str">
        <f t="shared" si="30"/>
        <v>Commodities</v>
      </c>
      <c r="S75" s="52">
        <f t="shared" si="31"/>
        <v>1.3626635478858817E-3</v>
      </c>
      <c r="T75" s="52">
        <f t="shared" si="32"/>
        <v>6.3376318586022377E-3</v>
      </c>
      <c r="U75" s="52">
        <f t="shared" si="33"/>
        <v>4.020228676205437E-3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3.2270689594868396E-2</v>
      </c>
      <c r="C76" s="54">
        <v>2.6967236743138481E-3</v>
      </c>
      <c r="D76" s="55">
        <v>3.0221940113184215E-2</v>
      </c>
      <c r="E76" s="1">
        <v>3.2261589176703652E-2</v>
      </c>
      <c r="F76" s="56">
        <v>3.4166179998281851E-2</v>
      </c>
      <c r="G76" s="68">
        <v>6.7702640930182084E-3</v>
      </c>
      <c r="H76" s="68">
        <v>-1.3770267263825608E-2</v>
      </c>
      <c r="I76" s="68">
        <v>1.6573944582797921E-2</v>
      </c>
      <c r="J76" s="68">
        <v>-4.6753825392962609E-3</v>
      </c>
      <c r="K76" s="68">
        <v>-4.410576034381062E-2</v>
      </c>
      <c r="L76" s="68">
        <v>0.41453578103461414</v>
      </c>
      <c r="M76" s="2">
        <v>1</v>
      </c>
      <c r="N76" s="2">
        <v>0.99999999999999689</v>
      </c>
      <c r="O76" s="69"/>
      <c r="R76" s="51" t="str">
        <f t="shared" si="30"/>
        <v>Hedge funds</v>
      </c>
      <c r="S76" s="52">
        <f t="shared" si="31"/>
        <v>3.0221940113184215E-2</v>
      </c>
      <c r="T76" s="52">
        <f t="shared" si="32"/>
        <v>2.0487494816841811E-3</v>
      </c>
      <c r="U76" s="52">
        <f t="shared" si="33"/>
        <v>1.8954904034134551E-3</v>
      </c>
    </row>
    <row r="77" spans="1:36">
      <c r="A77" s="60" t="str">
        <f t="shared" si="29"/>
        <v>Onroerend goed</v>
      </c>
      <c r="B77" s="61">
        <v>5.2155570699346905E-2</v>
      </c>
      <c r="C77" s="62">
        <v>2.9858983419538253E-3</v>
      </c>
      <c r="D77" s="63">
        <v>4.9894010772433765E-2</v>
      </c>
      <c r="E77" s="61">
        <v>5.2141431844894989E-2</v>
      </c>
      <c r="F77" s="64">
        <v>5.4517683703811277E-2</v>
      </c>
      <c r="G77" s="70">
        <v>1.5698157104715414E-2</v>
      </c>
      <c r="H77" s="70">
        <v>-4.8971712214384823E-2</v>
      </c>
      <c r="I77" s="70">
        <v>-7.3557718431712443E-3</v>
      </c>
      <c r="J77" s="70">
        <v>4.6130645141106734E-3</v>
      </c>
      <c r="K77" s="70">
        <v>-7.7198340928771689E-2</v>
      </c>
      <c r="L77" s="70">
        <v>1</v>
      </c>
      <c r="M77" s="65">
        <v>-0.52715393087738305</v>
      </c>
      <c r="N77" s="65">
        <v>0.999999999999995</v>
      </c>
      <c r="O77" s="71"/>
      <c r="R77" s="51" t="str">
        <f t="shared" si="30"/>
        <v>Onroerend goed</v>
      </c>
      <c r="S77" s="52">
        <f t="shared" si="31"/>
        <v>4.9894010772433765E-2</v>
      </c>
      <c r="T77" s="52">
        <f t="shared" si="32"/>
        <v>2.2615599269131398E-3</v>
      </c>
      <c r="U77" s="52">
        <f t="shared" si="33"/>
        <v>2.3621130044643723E-3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5" t="s">
        <v>64</v>
      </c>
      <c r="E79" s="386"/>
      <c r="F79" s="387"/>
      <c r="G79" s="385" t="s">
        <v>65</v>
      </c>
      <c r="H79" s="386"/>
      <c r="I79" s="386"/>
      <c r="J79" s="386"/>
      <c r="K79" s="386"/>
      <c r="L79" s="386"/>
      <c r="M79" s="386"/>
      <c r="N79" s="386"/>
      <c r="O79" s="387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0.92305592957443661</v>
      </c>
      <c r="H80" s="272">
        <v>3.7064077084081326E-2</v>
      </c>
      <c r="I80" s="272">
        <v>1.85566636555341E-2</v>
      </c>
      <c r="J80" s="272">
        <v>1.2844168012279944E-2</v>
      </c>
      <c r="K80" s="272">
        <v>8.4791616736694664E-3</v>
      </c>
      <c r="L80" s="272">
        <v>0</v>
      </c>
      <c r="M80" s="272" t="s">
        <v>147</v>
      </c>
      <c r="N80" s="272" t="s">
        <v>147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0.64766517686265979</v>
      </c>
      <c r="C81" s="54">
        <v>2.5495195171585518E-3</v>
      </c>
      <c r="D81" s="55">
        <v>0.64595771324157536</v>
      </c>
      <c r="E81" s="1">
        <v>0.64826144771266647</v>
      </c>
      <c r="F81" s="56">
        <v>0.64970065829171808</v>
      </c>
      <c r="G81" s="2">
        <v>-1.6483341620526955E-2</v>
      </c>
      <c r="H81" s="2">
        <v>-0.57970079247163475</v>
      </c>
      <c r="I81" s="2">
        <v>7.1517703773399305E-2</v>
      </c>
      <c r="J81" s="2">
        <v>0.26957048691200708</v>
      </c>
      <c r="K81" s="2">
        <v>1</v>
      </c>
      <c r="L81" s="2">
        <v>0.99999999999999711</v>
      </c>
      <c r="M81" s="2" t="s">
        <v>147</v>
      </c>
      <c r="N81" s="2" t="s">
        <v>147</v>
      </c>
      <c r="O81" s="69"/>
      <c r="R81" s="51" t="str">
        <f>A81</f>
        <v>Nominale matching</v>
      </c>
      <c r="S81" s="52">
        <f>D81</f>
        <v>0.64595771324157536</v>
      </c>
      <c r="T81" s="52">
        <f>B81-D81</f>
        <v>1.7074636210844263E-3</v>
      </c>
      <c r="U81" s="52">
        <f>F81-B81</f>
        <v>2.0354814290582945E-3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8.4241886801590157E-2</v>
      </c>
      <c r="C82" s="54">
        <v>1.7132271236015094E-2</v>
      </c>
      <c r="D82" s="55">
        <v>7.1103052121758742E-2</v>
      </c>
      <c r="E82" s="1">
        <v>8.4383358509610346E-2</v>
      </c>
      <c r="F82" s="56">
        <v>9.7622623597682437E-2</v>
      </c>
      <c r="G82" s="2">
        <v>1</v>
      </c>
      <c r="H82" s="2">
        <v>0.99005231363440993</v>
      </c>
      <c r="I82" s="2">
        <v>-5.5308831310676536E-2</v>
      </c>
      <c r="J82" s="2">
        <v>-0.1009529243729157</v>
      </c>
      <c r="K82" s="2">
        <v>6.9758257852044162E-2</v>
      </c>
      <c r="L82" s="2">
        <v>0.99999999999999967</v>
      </c>
      <c r="M82" s="2" t="s">
        <v>147</v>
      </c>
      <c r="N82" s="2" t="s">
        <v>147</v>
      </c>
      <c r="O82" s="69"/>
      <c r="R82" s="51" t="str">
        <f t="shared" ref="R82:R88" si="35">A82</f>
        <v>High Yield</v>
      </c>
      <c r="S82" s="52">
        <f t="shared" ref="S82:S88" si="36">D82</f>
        <v>7.1103052121758742E-2</v>
      </c>
      <c r="T82" s="52">
        <f t="shared" ref="T82:T88" si="37">B82-D82</f>
        <v>1.3138834679831415E-2</v>
      </c>
      <c r="U82" s="52">
        <f t="shared" ref="U82:U88" si="38">F82-B82</f>
        <v>1.338073679609228E-2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7.9334547678456518E-2</v>
      </c>
      <c r="C83" s="54">
        <v>1.7043974511421849E-2</v>
      </c>
      <c r="D83" s="55">
        <v>6.5985570622912437E-2</v>
      </c>
      <c r="E83" s="1">
        <v>7.8219485328115679E-2</v>
      </c>
      <c r="F83" s="56">
        <v>9.1925196513761798E-2</v>
      </c>
      <c r="G83" s="2">
        <v>-0.99445543543233261</v>
      </c>
      <c r="H83" s="2">
        <v>1</v>
      </c>
      <c r="I83" s="2">
        <v>-6.2309033791841981E-2</v>
      </c>
      <c r="J83" s="2">
        <v>-0.10355169828838409</v>
      </c>
      <c r="K83" s="2">
        <v>4.9151001833410111E-2</v>
      </c>
      <c r="L83" s="2">
        <v>1</v>
      </c>
      <c r="M83" s="2" t="s">
        <v>147</v>
      </c>
      <c r="N83" s="2" t="s">
        <v>147</v>
      </c>
      <c r="O83" s="69"/>
      <c r="R83" s="51" t="str">
        <f t="shared" si="35"/>
        <v>Emerging market debt</v>
      </c>
      <c r="S83" s="52">
        <f t="shared" si="36"/>
        <v>6.5985570622912437E-2</v>
      </c>
      <c r="T83" s="52">
        <f t="shared" si="37"/>
        <v>1.3348977055544081E-2</v>
      </c>
      <c r="U83" s="52">
        <f t="shared" si="38"/>
        <v>1.2590648835305279E-2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7.7910827116559708E-2</v>
      </c>
      <c r="C84" s="54">
        <v>3.0676907571575204E-3</v>
      </c>
      <c r="D84" s="55">
        <v>7.5407437891429313E-2</v>
      </c>
      <c r="E84" s="1">
        <v>7.7268054510879841E-2</v>
      </c>
      <c r="F84" s="56">
        <v>7.9657754924356089E-2</v>
      </c>
      <c r="G84" s="2">
        <v>-1.4059489006950935E-4</v>
      </c>
      <c r="H84" s="2">
        <v>-0.47269102793258294</v>
      </c>
      <c r="I84" s="2">
        <v>1</v>
      </c>
      <c r="J84" s="2">
        <v>-0.50524266751987734</v>
      </c>
      <c r="K84" s="2">
        <v>-0.31409637155062159</v>
      </c>
      <c r="L84" s="2">
        <v>0.99999999999999234</v>
      </c>
      <c r="M84" s="2" t="s">
        <v>147</v>
      </c>
      <c r="N84" s="2" t="s">
        <v>147</v>
      </c>
      <c r="O84" s="69"/>
      <c r="R84" s="51" t="str">
        <f t="shared" si="35"/>
        <v>Aandelen ontwikkeld</v>
      </c>
      <c r="S84" s="52">
        <f t="shared" si="36"/>
        <v>7.5407437891429313E-2</v>
      </c>
      <c r="T84" s="52">
        <f t="shared" si="37"/>
        <v>2.5033892251303952E-3</v>
      </c>
      <c r="U84" s="52">
        <f t="shared" si="38"/>
        <v>1.7469278077963807E-3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2.8116666145894708E-2</v>
      </c>
      <c r="C85" s="54">
        <v>3.2144263889301197E-3</v>
      </c>
      <c r="D85" s="55">
        <v>2.5589274678429148E-2</v>
      </c>
      <c r="E85" s="1">
        <v>2.728872820479368E-2</v>
      </c>
      <c r="F85" s="56">
        <v>3.0282425234615572E-2</v>
      </c>
      <c r="G85" s="2">
        <v>5.5978196183787618E-3</v>
      </c>
      <c r="H85" s="2">
        <v>-0.67867141552025501</v>
      </c>
      <c r="I85" s="2">
        <v>-0.91537787899420175</v>
      </c>
      <c r="J85" s="2">
        <v>-0.55982319673082592</v>
      </c>
      <c r="K85" s="2">
        <v>-0.24918175550834859</v>
      </c>
      <c r="L85" s="2">
        <v>0.99999999999999167</v>
      </c>
      <c r="M85" s="2" t="s">
        <v>147</v>
      </c>
      <c r="N85" s="2" t="s">
        <v>147</v>
      </c>
      <c r="O85" s="69"/>
      <c r="R85" s="51" t="str">
        <f t="shared" si="35"/>
        <v>Aandelen opkomend</v>
      </c>
      <c r="S85" s="52">
        <f t="shared" si="36"/>
        <v>2.5589274678429148E-2</v>
      </c>
      <c r="T85" s="52">
        <f t="shared" si="37"/>
        <v>2.5273914674655597E-3</v>
      </c>
      <c r="U85" s="52">
        <f t="shared" si="38"/>
        <v>2.1657590887208637E-3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1.9917178397705921E-3</v>
      </c>
      <c r="C86" s="54">
        <v>2.5249307810921041E-3</v>
      </c>
      <c r="D86" s="55">
        <v>8.9271252252749768E-5</v>
      </c>
      <c r="E86" s="1">
        <v>8.1666478839083746E-4</v>
      </c>
      <c r="F86" s="56">
        <v>3.0894775315710252E-3</v>
      </c>
      <c r="G86" s="2">
        <v>5.4815523245502146E-3</v>
      </c>
      <c r="H86" s="2">
        <v>-0.25898907770995144</v>
      </c>
      <c r="I86" s="2">
        <v>-3.8521959676678943E-2</v>
      </c>
      <c r="J86" s="2">
        <v>1</v>
      </c>
      <c r="K86" s="2">
        <v>-0.55563113262649189</v>
      </c>
      <c r="L86" s="2">
        <v>0.99999999999998834</v>
      </c>
      <c r="M86" s="2" t="s">
        <v>147</v>
      </c>
      <c r="N86" s="2" t="s">
        <v>147</v>
      </c>
      <c r="O86" s="69"/>
      <c r="R86" s="51" t="str">
        <f t="shared" si="35"/>
        <v>Commodities</v>
      </c>
      <c r="S86" s="52">
        <f t="shared" si="36"/>
        <v>8.9271252252749768E-5</v>
      </c>
      <c r="T86" s="52">
        <f t="shared" si="37"/>
        <v>1.9024465875178422E-3</v>
      </c>
      <c r="U86" s="52">
        <f t="shared" si="38"/>
        <v>1.0977596918004331E-3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3.2197057464982567E-2</v>
      </c>
      <c r="C87" s="54">
        <v>3.1256294505883375E-16</v>
      </c>
      <c r="D87" s="55">
        <v>3.219705746498288E-2</v>
      </c>
      <c r="E87" s="1">
        <v>3.219705746498288E-2</v>
      </c>
      <c r="F87" s="56">
        <v>3.219705746498288E-2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 t="s">
        <v>147</v>
      </c>
      <c r="N87" s="2" t="s">
        <v>147</v>
      </c>
      <c r="O87" s="69"/>
      <c r="R87" s="51" t="str">
        <f t="shared" si="35"/>
        <v>Hedge funds</v>
      </c>
      <c r="S87" s="52">
        <f t="shared" si="36"/>
        <v>3.219705746498288E-2</v>
      </c>
      <c r="T87" s="52">
        <f t="shared" si="37"/>
        <v>-3.1225022567582528E-16</v>
      </c>
      <c r="U87" s="52">
        <f t="shared" si="38"/>
        <v>3.1225022567582528E-16</v>
      </c>
    </row>
    <row r="88" spans="1:36">
      <c r="A88" s="60" t="str">
        <f t="shared" si="34"/>
        <v>Onroerend goed</v>
      </c>
      <c r="B88" s="286">
        <v>4.8542120090085746E-2</v>
      </c>
      <c r="C88" s="62">
        <v>3.4729216117648195E-17</v>
      </c>
      <c r="D88" s="63">
        <v>4.8542120090085711E-2</v>
      </c>
      <c r="E88" s="61">
        <v>4.8542120090085711E-2</v>
      </c>
      <c r="F88" s="64">
        <v>4.8542120090085711E-2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0</v>
      </c>
      <c r="M88" s="65" t="s">
        <v>147</v>
      </c>
      <c r="N88" s="65" t="s">
        <v>147</v>
      </c>
      <c r="O88" s="71"/>
      <c r="R88" s="51" t="str">
        <f t="shared" si="35"/>
        <v>Onroerend goed</v>
      </c>
      <c r="S88" s="52">
        <f t="shared" si="36"/>
        <v>4.8542120090085711E-2</v>
      </c>
      <c r="T88" s="52">
        <f t="shared" si="37"/>
        <v>0</v>
      </c>
      <c r="U88" s="52">
        <f t="shared" si="38"/>
        <v>0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5" t="s">
        <v>64</v>
      </c>
      <c r="E2" s="386"/>
      <c r="F2" s="387"/>
      <c r="G2" s="385" t="s">
        <v>65</v>
      </c>
      <c r="H2" s="386"/>
      <c r="I2" s="386"/>
      <c r="J2" s="386"/>
      <c r="K2" s="386"/>
      <c r="L2" s="386"/>
      <c r="M2" s="386"/>
      <c r="N2" s="387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0.26268081849095948</v>
      </c>
      <c r="H3" s="272">
        <v>0.24804330622008219</v>
      </c>
      <c r="I3" s="272">
        <v>0.24455546075922341</v>
      </c>
      <c r="J3" s="272">
        <v>0.22824547800340056</v>
      </c>
      <c r="K3" s="272">
        <v>1.3316592649287973E-2</v>
      </c>
      <c r="L3" s="272">
        <v>3.1583438770468319E-3</v>
      </c>
      <c r="M3" s="272">
        <v>-4.4408920985006262E-16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0.18983795549848617</v>
      </c>
      <c r="C4" s="118">
        <v>3.1466758010248487E-2</v>
      </c>
      <c r="D4" s="119">
        <v>0.15591226702347599</v>
      </c>
      <c r="E4" s="117">
        <v>0.18826300323099188</v>
      </c>
      <c r="F4" s="120">
        <v>0.22477887220347365</v>
      </c>
      <c r="G4" s="2">
        <v>-0.38459254550045607</v>
      </c>
      <c r="H4" s="2">
        <v>-0.11296562330270077</v>
      </c>
      <c r="I4" s="2">
        <v>-0.67996959882272334</v>
      </c>
      <c r="J4" s="2">
        <v>1</v>
      </c>
      <c r="K4" s="2">
        <v>-0.29070363391938536</v>
      </c>
      <c r="L4" s="2">
        <v>-4.9008090303535333E-2</v>
      </c>
      <c r="M4" s="2">
        <v>0.9999999999999859</v>
      </c>
      <c r="N4" s="57"/>
      <c r="O4" s="72"/>
      <c r="Q4" s="72" t="str">
        <f>A4</f>
        <v>High Yield</v>
      </c>
      <c r="R4" s="72">
        <f>D4</f>
        <v>0.15591226702347599</v>
      </c>
      <c r="S4" s="52">
        <f>B4-D4</f>
        <v>3.3925688475010179E-2</v>
      </c>
      <c r="T4" s="52">
        <f>F4-B4</f>
        <v>3.4940916704987474E-2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0.18833117688806508</v>
      </c>
      <c r="C5" s="118">
        <v>3.2706589475002996E-2</v>
      </c>
      <c r="D5" s="119">
        <v>0.15117243403694083</v>
      </c>
      <c r="E5" s="117">
        <v>0.18508631814801299</v>
      </c>
      <c r="F5" s="120">
        <v>0.22503023576758846</v>
      </c>
      <c r="G5" s="2">
        <v>1</v>
      </c>
      <c r="H5" s="2">
        <v>-0.5092556881718221</v>
      </c>
      <c r="I5" s="2">
        <v>0.63031119609876196</v>
      </c>
      <c r="J5" s="2">
        <v>0.18827071941383855</v>
      </c>
      <c r="K5" s="2">
        <v>-0.30381153835717101</v>
      </c>
      <c r="L5" s="2">
        <v>-6.6371691917229539E-2</v>
      </c>
      <c r="M5" s="2">
        <v>0.99999999999998535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0.15117243403694083</v>
      </c>
      <c r="S5" s="52">
        <f t="shared" ref="S5:S10" si="2">B5-D5</f>
        <v>3.7158742851124249E-2</v>
      </c>
      <c r="T5" s="52">
        <f t="shared" ref="T5:T10" si="3">F5-B5</f>
        <v>3.6699058879523377E-2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0.25163324328665421</v>
      </c>
      <c r="C6" s="118">
        <v>3.1766341459788218E-2</v>
      </c>
      <c r="D6" s="119">
        <v>0.21791638189222154</v>
      </c>
      <c r="E6" s="117">
        <v>0.24967421170773457</v>
      </c>
      <c r="F6" s="120">
        <v>0.28538499768393194</v>
      </c>
      <c r="G6" s="2">
        <v>0.39371500878590709</v>
      </c>
      <c r="H6" s="2">
        <v>1</v>
      </c>
      <c r="I6" s="2">
        <v>-7.3249750181512502E-2</v>
      </c>
      <c r="J6" s="2">
        <v>-0.12593050504837441</v>
      </c>
      <c r="K6" s="2">
        <v>-0.39152050037136576</v>
      </c>
      <c r="L6" s="2">
        <v>-4.2074134957427692E-2</v>
      </c>
      <c r="M6" s="2">
        <v>0.99999999999998535</v>
      </c>
      <c r="N6" s="57"/>
      <c r="O6" s="72"/>
      <c r="Q6" s="72" t="str">
        <f t="shared" si="0"/>
        <v>Aandelen ontwikkeld</v>
      </c>
      <c r="R6" s="72">
        <f t="shared" si="1"/>
        <v>0.21791638189222154</v>
      </c>
      <c r="S6" s="52">
        <f t="shared" si="2"/>
        <v>3.3716861394432668E-2</v>
      </c>
      <c r="T6" s="52">
        <f t="shared" si="3"/>
        <v>3.3751754397277733E-2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0.11348245749840291</v>
      </c>
      <c r="C7" s="118">
        <v>3.226678006439089E-2</v>
      </c>
      <c r="D7" s="119">
        <v>7.9174992761208901E-2</v>
      </c>
      <c r="E7" s="117">
        <v>0.10701866106728081</v>
      </c>
      <c r="F7" s="120">
        <v>0.14995070463627397</v>
      </c>
      <c r="G7" s="2">
        <v>-0.92956356727855327</v>
      </c>
      <c r="H7" s="2">
        <v>-4.6997154585707683E-2</v>
      </c>
      <c r="I7" s="2">
        <v>1</v>
      </c>
      <c r="J7" s="2">
        <v>-0.19965358613990164</v>
      </c>
      <c r="K7" s="2">
        <v>-0.35727632947465143</v>
      </c>
      <c r="L7" s="2">
        <v>-4.5065001258843669E-2</v>
      </c>
      <c r="M7" s="2">
        <v>0.9999999999999859</v>
      </c>
      <c r="N7" s="57"/>
      <c r="O7" s="72"/>
      <c r="Q7" s="72" t="str">
        <f t="shared" si="0"/>
        <v>Aandelen opkomend</v>
      </c>
      <c r="R7" s="72">
        <f t="shared" si="1"/>
        <v>7.9174992761208901E-2</v>
      </c>
      <c r="S7" s="52">
        <f t="shared" si="2"/>
        <v>3.430746473719401E-2</v>
      </c>
      <c r="T7" s="52">
        <f t="shared" si="3"/>
        <v>3.6468247137871057E-2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3.4656453205226125E-2</v>
      </c>
      <c r="C8" s="118">
        <v>3.14777913655803E-2</v>
      </c>
      <c r="D8" s="119">
        <v>2.8813867615899713E-3</v>
      </c>
      <c r="E8" s="117">
        <v>2.8345511325445723E-2</v>
      </c>
      <c r="F8" s="120">
        <v>6.8421885355502463E-2</v>
      </c>
      <c r="G8" s="2">
        <v>-7.2981184698309207E-2</v>
      </c>
      <c r="H8" s="2">
        <v>-0.39718475346414994</v>
      </c>
      <c r="I8" s="2">
        <v>-0.91431262099647204</v>
      </c>
      <c r="J8" s="2">
        <v>-0.82300093006270636</v>
      </c>
      <c r="K8" s="2">
        <v>-0.3184049750092417</v>
      </c>
      <c r="L8" s="2">
        <v>-5.2168525876889998E-2</v>
      </c>
      <c r="M8" s="2">
        <v>0.99999999999998535</v>
      </c>
      <c r="N8" s="57"/>
      <c r="O8" s="72"/>
      <c r="Q8" s="72" t="str">
        <f t="shared" si="0"/>
        <v>Commodities</v>
      </c>
      <c r="R8" s="72">
        <f t="shared" si="1"/>
        <v>2.8813867615899713E-3</v>
      </c>
      <c r="S8" s="52">
        <f t="shared" si="2"/>
        <v>3.1775066443636153E-2</v>
      </c>
      <c r="T8" s="52">
        <f t="shared" si="3"/>
        <v>3.3765432150276338E-2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8.4681118491645072E-2</v>
      </c>
      <c r="C9" s="118">
        <v>5.1067906567348279E-3</v>
      </c>
      <c r="D9" s="119">
        <v>7.9265317064865518E-2</v>
      </c>
      <c r="E9" s="117">
        <v>8.4357867941800224E-2</v>
      </c>
      <c r="F9" s="120">
        <v>9.0159416541096687E-2</v>
      </c>
      <c r="G9" s="2">
        <v>7.7282485075493871E-3</v>
      </c>
      <c r="H9" s="2">
        <v>1.6839635445902133E-2</v>
      </c>
      <c r="I9" s="2">
        <v>1.7496384126017454E-2</v>
      </c>
      <c r="J9" s="2">
        <v>-1.4498757854040851E-2</v>
      </c>
      <c r="K9" s="2">
        <v>0.6617169771318</v>
      </c>
      <c r="L9" s="2">
        <v>1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7.9265317064865518E-2</v>
      </c>
      <c r="S9" s="52">
        <f t="shared" si="2"/>
        <v>5.415801426779554E-3</v>
      </c>
      <c r="T9" s="52">
        <f t="shared" si="3"/>
        <v>5.4782980494516159E-3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0.13737759513152026</v>
      </c>
      <c r="C10" s="122">
        <v>6.5717229693522897E-3</v>
      </c>
      <c r="D10" s="123">
        <v>0.13066865837258154</v>
      </c>
      <c r="E10" s="121">
        <v>0.13707674458002053</v>
      </c>
      <c r="F10" s="124">
        <v>0.14438436238063845</v>
      </c>
      <c r="G10" s="65">
        <v>-1.4305959816136728E-2</v>
      </c>
      <c r="H10" s="65">
        <v>4.9563584078478752E-2</v>
      </c>
      <c r="I10" s="65">
        <v>1.9724389775928077E-2</v>
      </c>
      <c r="J10" s="65">
        <v>-2.5186940308815534E-2</v>
      </c>
      <c r="K10" s="65">
        <v>1</v>
      </c>
      <c r="L10" s="65">
        <v>-0.74531255568608357</v>
      </c>
      <c r="M10" s="65">
        <v>0.99999999999999112</v>
      </c>
      <c r="N10" s="66"/>
      <c r="O10" s="72"/>
      <c r="Q10" s="72" t="str">
        <f t="shared" si="0"/>
        <v>Onroerend goed</v>
      </c>
      <c r="R10" s="72">
        <f t="shared" si="1"/>
        <v>0.13066865837258154</v>
      </c>
      <c r="S10" s="52">
        <f t="shared" si="2"/>
        <v>6.7089367589387161E-3</v>
      </c>
      <c r="T10" s="52">
        <f t="shared" si="3"/>
        <v>7.0067672491181954E-3</v>
      </c>
      <c r="U10" s="52"/>
      <c r="V10" s="52"/>
      <c r="W10" s="52"/>
    </row>
    <row r="12" spans="1:23">
      <c r="A12" s="48" t="s">
        <v>68</v>
      </c>
      <c r="D12" s="385" t="s">
        <v>64</v>
      </c>
      <c r="E12" s="386"/>
      <c r="F12" s="387"/>
      <c r="G12" s="385" t="s">
        <v>65</v>
      </c>
      <c r="H12" s="386"/>
      <c r="I12" s="386"/>
      <c r="J12" s="386"/>
      <c r="K12" s="386"/>
      <c r="L12" s="386"/>
      <c r="M12" s="386"/>
      <c r="N12" s="387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0.28278850261210975</v>
      </c>
      <c r="H13" s="272">
        <v>0.2509621057522331</v>
      </c>
      <c r="I13" s="272">
        <v>0.22929519213301019</v>
      </c>
      <c r="J13" s="272">
        <v>0.21696268730691948</v>
      </c>
      <c r="K13" s="272">
        <v>1.6724812709737469E-2</v>
      </c>
      <c r="L13" s="272">
        <v>3.2666994859881227E-3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0.19442999767489391</v>
      </c>
      <c r="C14" s="118">
        <v>3.375532250803203E-2</v>
      </c>
      <c r="D14" s="119">
        <v>0.15800543959906896</v>
      </c>
      <c r="E14" s="117">
        <v>0.19556765313588811</v>
      </c>
      <c r="F14" s="120">
        <v>0.23289201128153209</v>
      </c>
      <c r="G14" s="2">
        <v>1</v>
      </c>
      <c r="H14" s="2">
        <v>-0.17707144414363282</v>
      </c>
      <c r="I14" s="2">
        <v>-0.5769817408192357</v>
      </c>
      <c r="J14" s="2">
        <v>-4.2838914231609314E-2</v>
      </c>
      <c r="K14" s="2">
        <v>-0.30530682659634295</v>
      </c>
      <c r="L14" s="2">
        <v>-5.5914101836241487E-2</v>
      </c>
      <c r="M14" s="2">
        <v>0.9999999999999869</v>
      </c>
      <c r="N14" s="57"/>
      <c r="Q14" s="51" t="str">
        <f t="shared" ref="Q14:Q20" si="4">A14</f>
        <v>High Yield</v>
      </c>
      <c r="R14" s="72">
        <f>D14</f>
        <v>0.15800543959906896</v>
      </c>
      <c r="S14" s="52">
        <f>B14-D14</f>
        <v>3.6424558075824953E-2</v>
      </c>
      <c r="T14" s="52">
        <f>F14-B14</f>
        <v>3.8462013606638173E-2</v>
      </c>
      <c r="U14" s="52"/>
    </row>
    <row r="15" spans="1:23">
      <c r="A15" s="59" t="str">
        <f t="shared" ref="A15:A20" si="5">A5</f>
        <v>Emerging market debt</v>
      </c>
      <c r="B15" s="117">
        <v>0.19144091596552859</v>
      </c>
      <c r="C15" s="118">
        <v>3.1993853993830132E-2</v>
      </c>
      <c r="D15" s="119">
        <v>0.15672101698410776</v>
      </c>
      <c r="E15" s="117">
        <v>0.19185141710139741</v>
      </c>
      <c r="F15" s="120">
        <v>0.22682193243612758</v>
      </c>
      <c r="G15" s="2">
        <v>0.10974345925503357</v>
      </c>
      <c r="H15" s="2">
        <v>1</v>
      </c>
      <c r="I15" s="2">
        <v>0.82253159098472617</v>
      </c>
      <c r="J15" s="2">
        <v>-0.18894792661797888</v>
      </c>
      <c r="K15" s="2">
        <v>-0.27528112132106269</v>
      </c>
      <c r="L15" s="2">
        <v>-6.3900201093783388E-2</v>
      </c>
      <c r="M15" s="2">
        <v>0.99999999999998634</v>
      </c>
      <c r="N15" s="57"/>
      <c r="Q15" s="51" t="str">
        <f t="shared" si="4"/>
        <v>Emerging market debt</v>
      </c>
      <c r="R15" s="72">
        <f t="shared" ref="R15:R20" si="6">D15</f>
        <v>0.15672101698410776</v>
      </c>
      <c r="S15" s="52">
        <f t="shared" ref="S15:S20" si="7">B15-D15</f>
        <v>3.4719898981420833E-2</v>
      </c>
      <c r="T15" s="52">
        <f t="shared" ref="T15:T20" si="8">F15-B15</f>
        <v>3.5381016470598992E-2</v>
      </c>
      <c r="U15" s="52"/>
    </row>
    <row r="16" spans="1:23">
      <c r="A16" s="59" t="str">
        <f t="shared" si="5"/>
        <v>Aandelen ontwikkeld</v>
      </c>
      <c r="B16" s="117">
        <v>0.24544756939821927</v>
      </c>
      <c r="C16" s="118">
        <v>3.0961551699821455E-2</v>
      </c>
      <c r="D16" s="119">
        <v>0.21213711429041712</v>
      </c>
      <c r="E16" s="117">
        <v>0.24239642133587117</v>
      </c>
      <c r="F16" s="120">
        <v>0.27892857347553168</v>
      </c>
      <c r="G16" s="2">
        <v>-0.57938506497380149</v>
      </c>
      <c r="H16" s="2">
        <v>-3.0385241499819454E-2</v>
      </c>
      <c r="I16" s="2">
        <v>-0.7755633532890015</v>
      </c>
      <c r="J16" s="2">
        <v>-0.72241674371361186</v>
      </c>
      <c r="K16" s="2">
        <v>-0.39902151248264706</v>
      </c>
      <c r="L16" s="2">
        <v>-5.206101172193963E-2</v>
      </c>
      <c r="M16" s="2">
        <v>0.99999999999998723</v>
      </c>
      <c r="N16" s="57"/>
      <c r="Q16" s="51" t="str">
        <f t="shared" si="4"/>
        <v>Aandelen ontwikkeld</v>
      </c>
      <c r="R16" s="72">
        <f t="shared" si="6"/>
        <v>0.21213711429041712</v>
      </c>
      <c r="S16" s="52">
        <f t="shared" si="7"/>
        <v>3.3310455107802145E-2</v>
      </c>
      <c r="T16" s="52">
        <f t="shared" si="8"/>
        <v>3.3481004077312415E-2</v>
      </c>
      <c r="U16" s="52"/>
    </row>
    <row r="17" spans="1:24">
      <c r="A17" s="59" t="str">
        <f t="shared" si="5"/>
        <v>Aandelen opkomend</v>
      </c>
      <c r="B17" s="117">
        <v>0.11364248105733137</v>
      </c>
      <c r="C17" s="118">
        <v>3.1391156780916328E-2</v>
      </c>
      <c r="D17" s="119">
        <v>8.0000203258568603E-2</v>
      </c>
      <c r="E17" s="117">
        <v>0.10938801276809404</v>
      </c>
      <c r="F17" s="120">
        <v>0.14912318060460977</v>
      </c>
      <c r="G17" s="2">
        <v>-0.11591035387481605</v>
      </c>
      <c r="H17" s="2">
        <v>-0.88425030648433223</v>
      </c>
      <c r="I17" s="2">
        <v>1</v>
      </c>
      <c r="J17" s="2">
        <v>-4.6853178173592649E-3</v>
      </c>
      <c r="K17" s="2">
        <v>-0.35738917849318569</v>
      </c>
      <c r="L17" s="2">
        <v>-4.341811871489884E-2</v>
      </c>
      <c r="M17" s="2">
        <v>0.9999999999999869</v>
      </c>
      <c r="N17" s="57"/>
      <c r="Q17" s="51" t="str">
        <f t="shared" si="4"/>
        <v>Aandelen opkomend</v>
      </c>
      <c r="R17" s="72">
        <f t="shared" si="6"/>
        <v>8.0000203258568603E-2</v>
      </c>
      <c r="S17" s="52">
        <f t="shared" si="7"/>
        <v>3.3642277798762762E-2</v>
      </c>
      <c r="T17" s="52">
        <f t="shared" si="8"/>
        <v>3.5480699547278408E-2</v>
      </c>
      <c r="U17" s="52"/>
    </row>
    <row r="18" spans="1:24">
      <c r="A18" s="59" t="str">
        <f t="shared" si="5"/>
        <v>Commodities</v>
      </c>
      <c r="B18" s="117">
        <v>3.2310015998750212E-2</v>
      </c>
      <c r="C18" s="118">
        <v>3.055082256904957E-2</v>
      </c>
      <c r="D18" s="119">
        <v>2.7079122302411432E-3</v>
      </c>
      <c r="E18" s="117">
        <v>2.4212690440552687E-2</v>
      </c>
      <c r="F18" s="120">
        <v>6.2798072683697845E-2</v>
      </c>
      <c r="G18" s="2">
        <v>-0.35663896336047535</v>
      </c>
      <c r="H18" s="2">
        <v>0.15409100851684124</v>
      </c>
      <c r="I18" s="2">
        <v>-0.42576330395079265</v>
      </c>
      <c r="J18" s="2">
        <v>1</v>
      </c>
      <c r="K18" s="2">
        <v>-0.32202104945986432</v>
      </c>
      <c r="L18" s="2">
        <v>-4.140234596201673E-2</v>
      </c>
      <c r="M18" s="2">
        <v>0.99999999999998679</v>
      </c>
      <c r="N18" s="57"/>
      <c r="Q18" s="51" t="str">
        <f t="shared" si="4"/>
        <v>Commodities</v>
      </c>
      <c r="R18" s="72">
        <f t="shared" si="6"/>
        <v>2.7079122302411432E-3</v>
      </c>
      <c r="S18" s="52">
        <f t="shared" si="7"/>
        <v>2.960210376850907E-2</v>
      </c>
      <c r="T18" s="52">
        <f t="shared" si="8"/>
        <v>3.0488056684947633E-2</v>
      </c>
      <c r="U18" s="52"/>
    </row>
    <row r="19" spans="1:24">
      <c r="A19" s="59" t="str">
        <f t="shared" si="5"/>
        <v>Hedge funds</v>
      </c>
      <c r="B19" s="117">
        <v>8.4901768954263448E-2</v>
      </c>
      <c r="C19" s="118">
        <v>5.5043976090975782E-3</v>
      </c>
      <c r="D19" s="119">
        <v>7.9048680899382232E-2</v>
      </c>
      <c r="E19" s="117">
        <v>8.5079776546675465E-2</v>
      </c>
      <c r="F19" s="120">
        <v>9.0199503471765918E-2</v>
      </c>
      <c r="G19" s="2">
        <v>-1.7211380298821195E-2</v>
      </c>
      <c r="H19" s="2">
        <v>-1.4894436664089003E-2</v>
      </c>
      <c r="I19" s="2">
        <v>-1.5578956957129127E-2</v>
      </c>
      <c r="J19" s="2">
        <v>-2.3769798805877276E-2</v>
      </c>
      <c r="K19" s="2">
        <v>0.6590196883531001</v>
      </c>
      <c r="L19" s="2">
        <v>1</v>
      </c>
      <c r="M19" s="2">
        <v>1</v>
      </c>
      <c r="N19" s="57"/>
      <c r="Q19" s="51" t="str">
        <f t="shared" si="4"/>
        <v>Hedge funds</v>
      </c>
      <c r="R19" s="72">
        <f t="shared" si="6"/>
        <v>7.9048680899382232E-2</v>
      </c>
      <c r="S19" s="52">
        <f t="shared" si="7"/>
        <v>5.853088054881217E-3</v>
      </c>
      <c r="T19" s="52">
        <f t="shared" si="8"/>
        <v>5.2977345175024698E-3</v>
      </c>
      <c r="U19" s="52"/>
    </row>
    <row r="20" spans="1:24">
      <c r="A20" s="60" t="str">
        <f t="shared" si="5"/>
        <v>Onroerend goed</v>
      </c>
      <c r="B20" s="121">
        <v>0.13782725095101295</v>
      </c>
      <c r="C20" s="122">
        <v>7.253640502185351E-3</v>
      </c>
      <c r="D20" s="123">
        <v>0.13050755333482073</v>
      </c>
      <c r="E20" s="121">
        <v>0.13733209730395657</v>
      </c>
      <c r="F20" s="124">
        <v>0.14602157417604808</v>
      </c>
      <c r="G20" s="65">
        <v>-4.0597696747119494E-2</v>
      </c>
      <c r="H20" s="65">
        <v>-4.7489579724967562E-2</v>
      </c>
      <c r="I20" s="65">
        <v>-2.8644235968566387E-2</v>
      </c>
      <c r="J20" s="65">
        <v>-1.7341298813562851E-2</v>
      </c>
      <c r="K20" s="65">
        <v>1</v>
      </c>
      <c r="L20" s="65">
        <v>-0.74330422067113722</v>
      </c>
      <c r="M20" s="65">
        <v>0.99999999999998124</v>
      </c>
      <c r="N20" s="66"/>
      <c r="Q20" s="51" t="str">
        <f t="shared" si="4"/>
        <v>Onroerend goed</v>
      </c>
      <c r="R20" s="72">
        <f t="shared" si="6"/>
        <v>0.13050755333482073</v>
      </c>
      <c r="S20" s="52">
        <f t="shared" si="7"/>
        <v>7.3196976161922223E-3</v>
      </c>
      <c r="T20" s="52">
        <f t="shared" si="8"/>
        <v>8.1943232250351328E-3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5" t="s">
        <v>64</v>
      </c>
      <c r="E22" s="386"/>
      <c r="F22" s="387"/>
      <c r="G22" s="385" t="s">
        <v>65</v>
      </c>
      <c r="H22" s="386"/>
      <c r="I22" s="386"/>
      <c r="J22" s="386"/>
      <c r="K22" s="386"/>
      <c r="L22" s="386"/>
      <c r="M22" s="386"/>
      <c r="N22" s="387"/>
      <c r="O22" s="67"/>
    </row>
    <row r="23" spans="1:24">
      <c r="A23" s="266" t="str">
        <f>'Samenvatting mixen'!A25</f>
        <v>Bear case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0.25771913469996766</v>
      </c>
      <c r="H23" s="272">
        <v>0.2557639629560472</v>
      </c>
      <c r="I23" s="272">
        <v>0.23791951042558945</v>
      </c>
      <c r="J23" s="272">
        <v>0.23081115139847985</v>
      </c>
      <c r="K23" s="272">
        <v>1.4548212556452556E-2</v>
      </c>
      <c r="L23" s="272">
        <v>3.2380279634659503E-3</v>
      </c>
      <c r="M23" s="272">
        <v>0</v>
      </c>
      <c r="N23" s="272"/>
      <c r="O23" s="273"/>
      <c r="Q23" s="51" t="str">
        <f>A23</f>
        <v>Bear case</v>
      </c>
    </row>
    <row r="24" spans="1:24">
      <c r="A24" s="59" t="str">
        <f>A4</f>
        <v>High Yield</v>
      </c>
      <c r="B24" s="117">
        <v>0.19125034856480416</v>
      </c>
      <c r="C24" s="118">
        <v>3.2385780066562897E-2</v>
      </c>
      <c r="D24" s="119">
        <v>0.15666386171058955</v>
      </c>
      <c r="E24" s="117">
        <v>0.18980714834990753</v>
      </c>
      <c r="F24" s="120">
        <v>0.22898145479133292</v>
      </c>
      <c r="G24" s="2">
        <v>-0.50021022268290583</v>
      </c>
      <c r="H24" s="2">
        <v>-0.55579039110247153</v>
      </c>
      <c r="I24" s="2">
        <v>-0.24449746831382055</v>
      </c>
      <c r="J24" s="2">
        <v>-0.91441793172285712</v>
      </c>
      <c r="K24" s="2">
        <v>-0.2923628554396161</v>
      </c>
      <c r="L24" s="2">
        <v>-6.6413621116735544E-2</v>
      </c>
      <c r="M24" s="2">
        <v>0.99999999999997913</v>
      </c>
      <c r="N24" s="57"/>
      <c r="O24" s="67"/>
      <c r="Q24" s="51" t="str">
        <f t="shared" ref="Q24:Q30" si="9">A24</f>
        <v>High Yield</v>
      </c>
      <c r="R24" s="72">
        <f>D24</f>
        <v>0.15666386171058955</v>
      </c>
      <c r="S24" s="52">
        <f>B24-D24</f>
        <v>3.4586486854214615E-2</v>
      </c>
      <c r="T24" s="52">
        <f>F24-B24</f>
        <v>3.7731106226528754E-2</v>
      </c>
      <c r="U24" s="52"/>
    </row>
    <row r="25" spans="1:24">
      <c r="A25" s="59" t="str">
        <f t="shared" ref="A25:A30" si="10">A5</f>
        <v>Emerging market debt</v>
      </c>
      <c r="B25" s="117">
        <v>0.19086397478293712</v>
      </c>
      <c r="C25" s="118">
        <v>3.3273088135967216E-2</v>
      </c>
      <c r="D25" s="119">
        <v>0.1531095875659336</v>
      </c>
      <c r="E25" s="117">
        <v>0.19023381676174728</v>
      </c>
      <c r="F25" s="120">
        <v>0.22752441021714598</v>
      </c>
      <c r="G25" s="2">
        <v>1</v>
      </c>
      <c r="H25" s="2">
        <v>-0.19839874551920608</v>
      </c>
      <c r="I25" s="2">
        <v>-2.2367684336224627E-2</v>
      </c>
      <c r="J25" s="2">
        <v>-0.26774208465902616</v>
      </c>
      <c r="K25" s="2">
        <v>-0.27962087285590942</v>
      </c>
      <c r="L25" s="2">
        <v>-6.5159459986692245E-2</v>
      </c>
      <c r="M25" s="2">
        <v>0.99999999999997957</v>
      </c>
      <c r="N25" s="57"/>
      <c r="O25" s="67"/>
      <c r="Q25" s="51" t="str">
        <f t="shared" si="9"/>
        <v>Emerging market debt</v>
      </c>
      <c r="R25" s="72">
        <f t="shared" ref="R25:R30" si="11">D25</f>
        <v>0.1531095875659336</v>
      </c>
      <c r="S25" s="52">
        <f t="shared" ref="S25:S30" si="12">B25-D25</f>
        <v>3.7754387217003527E-2</v>
      </c>
      <c r="T25" s="52">
        <f t="shared" ref="T25:T30" si="13">F25-B25</f>
        <v>3.6660435434208855E-2</v>
      </c>
      <c r="U25" s="52"/>
      <c r="X25" s="51"/>
    </row>
    <row r="26" spans="1:24">
      <c r="A26" s="59" t="str">
        <f t="shared" si="10"/>
        <v>Aandelen ontwikkeld</v>
      </c>
      <c r="B26" s="117">
        <v>0.24698910504578492</v>
      </c>
      <c r="C26" s="118">
        <v>3.2422016101312359E-2</v>
      </c>
      <c r="D26" s="119">
        <v>0.21144841406731088</v>
      </c>
      <c r="E26" s="117">
        <v>0.24325032665445517</v>
      </c>
      <c r="F26" s="120">
        <v>0.28286833329666772</v>
      </c>
      <c r="G26" s="2">
        <v>-0.13424507438462188</v>
      </c>
      <c r="H26" s="2">
        <v>1</v>
      </c>
      <c r="I26" s="2">
        <v>-1.5354022928775799E-2</v>
      </c>
      <c r="J26" s="2">
        <v>-0.34701409475682637</v>
      </c>
      <c r="K26" s="2">
        <v>-0.3832372131892971</v>
      </c>
      <c r="L26" s="2">
        <v>-6.0767692072863824E-2</v>
      </c>
      <c r="M26" s="2">
        <v>0.99999999999997979</v>
      </c>
      <c r="N26" s="57"/>
      <c r="O26" s="67"/>
      <c r="P26" s="72"/>
      <c r="Q26" s="51" t="str">
        <f t="shared" si="9"/>
        <v>Aandelen ontwikkeld</v>
      </c>
      <c r="R26" s="72">
        <f t="shared" si="11"/>
        <v>0.21144841406731088</v>
      </c>
      <c r="S26" s="52">
        <f t="shared" si="12"/>
        <v>3.5540690978474038E-2</v>
      </c>
      <c r="T26" s="52">
        <f t="shared" si="13"/>
        <v>3.58792282508828E-2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0.11433518340799995</v>
      </c>
      <c r="C27" s="118">
        <v>3.1672024600444194E-2</v>
      </c>
      <c r="D27" s="119">
        <v>8.0444530347486887E-2</v>
      </c>
      <c r="E27" s="117">
        <v>0.10956873810964123</v>
      </c>
      <c r="F27" s="120">
        <v>0.14945996876821924</v>
      </c>
      <c r="G27" s="2">
        <v>-0.20065591473195427</v>
      </c>
      <c r="H27" s="2">
        <v>-0.2074699782298618</v>
      </c>
      <c r="I27" s="2">
        <v>1</v>
      </c>
      <c r="J27" s="2">
        <v>0.5164512643082918</v>
      </c>
      <c r="K27" s="2">
        <v>-0.34945078675519425</v>
      </c>
      <c r="L27" s="2">
        <v>-4.3193621632649018E-2</v>
      </c>
      <c r="M27" s="2">
        <v>0.99999999999997979</v>
      </c>
      <c r="N27" s="57"/>
      <c r="O27" s="67"/>
      <c r="P27" s="72"/>
      <c r="Q27" s="51" t="str">
        <f t="shared" si="9"/>
        <v>Aandelen opkomend</v>
      </c>
      <c r="R27" s="72">
        <f t="shared" si="11"/>
        <v>8.0444530347486887E-2</v>
      </c>
      <c r="S27" s="52">
        <f t="shared" si="12"/>
        <v>3.389065306051306E-2</v>
      </c>
      <c r="T27" s="52">
        <f t="shared" si="13"/>
        <v>3.5124785360219291E-2</v>
      </c>
      <c r="U27" s="52"/>
      <c r="V27" s="52"/>
      <c r="W27" s="52"/>
    </row>
    <row r="28" spans="1:24">
      <c r="A28" s="59" t="str">
        <f t="shared" si="10"/>
        <v>Commodities</v>
      </c>
      <c r="B28" s="117">
        <v>3.3706539678202488E-2</v>
      </c>
      <c r="C28" s="118">
        <v>3.1657949893348421E-2</v>
      </c>
      <c r="D28" s="119">
        <v>2.5806631642628928E-3</v>
      </c>
      <c r="E28" s="117">
        <v>2.5335384746226791E-2</v>
      </c>
      <c r="F28" s="120">
        <v>6.8020456229982637E-2</v>
      </c>
      <c r="G28" s="2">
        <v>-0.13221475977681746</v>
      </c>
      <c r="H28" s="2">
        <v>-0.1078445102759554</v>
      </c>
      <c r="I28" s="2">
        <v>-0.75190923835348977</v>
      </c>
      <c r="J28" s="2">
        <v>1</v>
      </c>
      <c r="K28" s="2">
        <v>-0.31008300411842848</v>
      </c>
      <c r="L28" s="2">
        <v>-5.6249539602165707E-2</v>
      </c>
      <c r="M28" s="2">
        <v>0.99999999999998102</v>
      </c>
      <c r="N28" s="57"/>
      <c r="O28" s="67"/>
      <c r="P28" s="72"/>
      <c r="Q28" s="51" t="str">
        <f t="shared" si="9"/>
        <v>Commodities</v>
      </c>
      <c r="R28" s="72">
        <f t="shared" si="11"/>
        <v>2.5806631642628928E-3</v>
      </c>
      <c r="S28" s="52">
        <f t="shared" si="12"/>
        <v>3.1125876513939596E-2</v>
      </c>
      <c r="T28" s="52">
        <f t="shared" si="13"/>
        <v>3.4313916551780149E-2</v>
      </c>
      <c r="U28" s="52"/>
      <c r="V28" s="52"/>
      <c r="W28" s="52"/>
    </row>
    <row r="29" spans="1:24">
      <c r="A29" s="59" t="str">
        <f t="shared" si="10"/>
        <v>Hedge funds</v>
      </c>
      <c r="B29" s="117">
        <v>8.4825167612760058E-2</v>
      </c>
      <c r="C29" s="118">
        <v>5.2266604723906866E-3</v>
      </c>
      <c r="D29" s="119">
        <v>7.9241309425096079E-2</v>
      </c>
      <c r="E29" s="117">
        <v>8.5090511605965979E-2</v>
      </c>
      <c r="F29" s="120">
        <v>8.9612763475847568E-2</v>
      </c>
      <c r="G29" s="2">
        <v>-9.0523808772260735E-3</v>
      </c>
      <c r="H29" s="2">
        <v>2.6415911632794362E-2</v>
      </c>
      <c r="I29" s="2">
        <v>3.7705459677022084E-3</v>
      </c>
      <c r="J29" s="2">
        <v>-6.846626122351325E-3</v>
      </c>
      <c r="K29" s="2">
        <v>0.61475473235844857</v>
      </c>
      <c r="L29" s="2">
        <v>1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7.9241309425096079E-2</v>
      </c>
      <c r="S29" s="52">
        <f t="shared" si="12"/>
        <v>5.5838581876639787E-3</v>
      </c>
      <c r="T29" s="52">
        <f t="shared" si="13"/>
        <v>4.7875958630875098E-3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0.13802968090751125</v>
      </c>
      <c r="C30" s="122">
        <v>7.0204919280842139E-3</v>
      </c>
      <c r="D30" s="123">
        <v>0.13083247530454239</v>
      </c>
      <c r="E30" s="121">
        <v>0.1379010481842321</v>
      </c>
      <c r="F30" s="124">
        <v>0.14573016632998251</v>
      </c>
      <c r="G30" s="65">
        <v>-2.3621647546474518E-2</v>
      </c>
      <c r="H30" s="65">
        <v>4.3087713494699767E-2</v>
      </c>
      <c r="I30" s="65">
        <v>3.0357867964609805E-2</v>
      </c>
      <c r="J30" s="65">
        <v>1.9569472952767598E-2</v>
      </c>
      <c r="K30" s="65">
        <v>1</v>
      </c>
      <c r="L30" s="65">
        <v>-0.7082160655889238</v>
      </c>
      <c r="M30" s="65">
        <v>0.99999999999996469</v>
      </c>
      <c r="N30" s="66"/>
      <c r="O30" s="67"/>
      <c r="P30" s="72"/>
      <c r="Q30" s="51" t="str">
        <f t="shared" si="9"/>
        <v>Onroerend goed</v>
      </c>
      <c r="R30" s="72">
        <f t="shared" si="11"/>
        <v>0.13083247530454239</v>
      </c>
      <c r="S30" s="52">
        <f t="shared" si="12"/>
        <v>7.1972056029688536E-3</v>
      </c>
      <c r="T30" s="52">
        <f t="shared" si="13"/>
        <v>7.7004854224712593E-3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5" t="s">
        <v>64</v>
      </c>
      <c r="E32" s="386"/>
      <c r="F32" s="387"/>
      <c r="G32" s="385" t="s">
        <v>65</v>
      </c>
      <c r="H32" s="386"/>
      <c r="I32" s="386"/>
      <c r="J32" s="386"/>
      <c r="K32" s="386"/>
      <c r="L32" s="386"/>
      <c r="M32" s="386"/>
      <c r="N32" s="387"/>
      <c r="O32" s="67"/>
    </row>
    <row r="33" spans="1:24">
      <c r="A33" s="266" t="str">
        <f>'Samenvatting mixen'!A36</f>
        <v>Tail risk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0.27865651325413998</v>
      </c>
      <c r="H33" s="272">
        <v>0.25931245565223449</v>
      </c>
      <c r="I33" s="272">
        <v>0.23254779624060029</v>
      </c>
      <c r="J33" s="272">
        <v>0.21038056706890551</v>
      </c>
      <c r="K33" s="272">
        <v>1.5879625692261756E-2</v>
      </c>
      <c r="L33" s="272">
        <v>3.2230420918538671E-3</v>
      </c>
      <c r="M33" s="272">
        <v>0</v>
      </c>
      <c r="N33" s="272"/>
      <c r="O33" s="273"/>
      <c r="Q33" s="51" t="str">
        <f>A33</f>
        <v>Tail risk</v>
      </c>
    </row>
    <row r="34" spans="1:24">
      <c r="A34" s="53" t="str">
        <f t="shared" ref="A34:A40" si="14">A4</f>
        <v>High Yield</v>
      </c>
      <c r="B34" s="117">
        <v>0.19453655933391104</v>
      </c>
      <c r="C34" s="118">
        <v>3.3964911989929659E-2</v>
      </c>
      <c r="D34" s="119">
        <v>0.15804053271551496</v>
      </c>
      <c r="E34" s="117">
        <v>0.19555021987398208</v>
      </c>
      <c r="F34" s="120">
        <v>0.23232408859010306</v>
      </c>
      <c r="G34" s="2">
        <v>1</v>
      </c>
      <c r="H34" s="2">
        <v>-0.15368662563140129</v>
      </c>
      <c r="I34" s="2">
        <v>-0.39731339392950482</v>
      </c>
      <c r="J34" s="2">
        <v>6.7930369452539663E-2</v>
      </c>
      <c r="K34" s="2">
        <v>-0.29087006703229829</v>
      </c>
      <c r="L34" s="2">
        <v>-6.3137008730198757E-2</v>
      </c>
      <c r="M34" s="2">
        <v>0.99999999999998945</v>
      </c>
      <c r="N34" s="57"/>
      <c r="O34" s="67"/>
      <c r="Q34" s="51" t="str">
        <f t="shared" ref="Q34:Q40" si="15">A34</f>
        <v>High Yield</v>
      </c>
      <c r="R34" s="72">
        <f>D34</f>
        <v>0.15804053271551496</v>
      </c>
      <c r="S34" s="52">
        <f>B34-D34</f>
        <v>3.6496026618396071E-2</v>
      </c>
      <c r="T34" s="52">
        <f>F34-B34</f>
        <v>3.7787529256192026E-2</v>
      </c>
      <c r="U34" s="52"/>
    </row>
    <row r="35" spans="1:24">
      <c r="A35" s="59" t="str">
        <f t="shared" si="14"/>
        <v>Emerging market debt</v>
      </c>
      <c r="B35" s="117">
        <v>0.19074230963682054</v>
      </c>
      <c r="C35" s="118">
        <v>3.266931808991614E-2</v>
      </c>
      <c r="D35" s="119">
        <v>0.15431673719517702</v>
      </c>
      <c r="E35" s="117">
        <v>0.19161872706051825</v>
      </c>
      <c r="F35" s="120">
        <v>0.22682193243612758</v>
      </c>
      <c r="G35" s="2">
        <v>2.0887147456285025E-2</v>
      </c>
      <c r="H35" s="2">
        <v>1</v>
      </c>
      <c r="I35" s="2">
        <v>0.49300674135564787</v>
      </c>
      <c r="J35" s="2">
        <v>-0.28098100009370724</v>
      </c>
      <c r="K35" s="2">
        <v>-0.27974160255585873</v>
      </c>
      <c r="L35" s="2">
        <v>-6.530176388748421E-2</v>
      </c>
      <c r="M35" s="2">
        <v>0.99999999999999045</v>
      </c>
      <c r="N35" s="57"/>
      <c r="O35" s="67"/>
      <c r="Q35" s="51" t="str">
        <f t="shared" si="15"/>
        <v>Emerging market debt</v>
      </c>
      <c r="R35" s="72">
        <f t="shared" ref="R35:R40" si="16">D35</f>
        <v>0.15431673719517702</v>
      </c>
      <c r="S35" s="52">
        <f t="shared" ref="S35:S40" si="17">B35-D35</f>
        <v>3.6425572441643517E-2</v>
      </c>
      <c r="T35" s="52">
        <f t="shared" ref="T35:T40" si="18">F35-B35</f>
        <v>3.6079622799307043E-2</v>
      </c>
      <c r="U35" s="52"/>
    </row>
    <row r="36" spans="1:24">
      <c r="A36" s="59" t="str">
        <f t="shared" si="14"/>
        <v>Aandelen ontwikkeld</v>
      </c>
      <c r="B36" s="117">
        <v>0.2467051892243444</v>
      </c>
      <c r="C36" s="118">
        <v>3.0901774717074098E-2</v>
      </c>
      <c r="D36" s="119">
        <v>0.21272513219910238</v>
      </c>
      <c r="E36" s="117">
        <v>0.24408958797948388</v>
      </c>
      <c r="F36" s="120">
        <v>0.2805010223005901</v>
      </c>
      <c r="G36" s="2">
        <v>-0.48767769672229316</v>
      </c>
      <c r="H36" s="2">
        <v>-0.18318575862610256</v>
      </c>
      <c r="I36" s="2">
        <v>-0.84493764482365796</v>
      </c>
      <c r="J36" s="2">
        <v>-0.60868028360584592</v>
      </c>
      <c r="K36" s="2">
        <v>-0.39150980723545487</v>
      </c>
      <c r="L36" s="2">
        <v>-6.2182601648109972E-2</v>
      </c>
      <c r="M36" s="2">
        <v>0.99999999999998979</v>
      </c>
      <c r="N36" s="57"/>
      <c r="O36" s="67"/>
      <c r="Q36" s="51" t="str">
        <f t="shared" si="15"/>
        <v>Aandelen ontwikkeld</v>
      </c>
      <c r="R36" s="72">
        <f t="shared" si="16"/>
        <v>0.21272513219910238</v>
      </c>
      <c r="S36" s="52">
        <f t="shared" si="17"/>
        <v>3.3980057025242011E-2</v>
      </c>
      <c r="T36" s="52">
        <f t="shared" si="18"/>
        <v>3.3795833076245702E-2</v>
      </c>
      <c r="U36" s="52"/>
    </row>
    <row r="37" spans="1:24">
      <c r="A37" s="59" t="str">
        <f t="shared" si="14"/>
        <v>Aandelen opkomend</v>
      </c>
      <c r="B37" s="117">
        <v>0.1135389257028135</v>
      </c>
      <c r="C37" s="118">
        <v>3.1719244949026587E-2</v>
      </c>
      <c r="D37" s="119">
        <v>7.9105381548521508E-2</v>
      </c>
      <c r="E37" s="117">
        <v>0.10944270863023088</v>
      </c>
      <c r="F37" s="120">
        <v>0.14929062928745057</v>
      </c>
      <c r="G37" s="2">
        <v>-0.10469456933986157</v>
      </c>
      <c r="H37" s="2">
        <v>-0.69277706535691452</v>
      </c>
      <c r="I37" s="2">
        <v>1</v>
      </c>
      <c r="J37" s="2">
        <v>-0.1399506230258501</v>
      </c>
      <c r="K37" s="2">
        <v>-0.34043572563197649</v>
      </c>
      <c r="L37" s="2">
        <v>-5.2923845953956487E-2</v>
      </c>
      <c r="M37" s="2">
        <v>0.99999999999998945</v>
      </c>
      <c r="N37" s="57"/>
      <c r="O37" s="67"/>
      <c r="Q37" s="51" t="str">
        <f t="shared" si="15"/>
        <v>Aandelen opkomend</v>
      </c>
      <c r="R37" s="72">
        <f t="shared" si="16"/>
        <v>7.9105381548521508E-2</v>
      </c>
      <c r="S37" s="52">
        <f t="shared" si="17"/>
        <v>3.4433544154291992E-2</v>
      </c>
      <c r="T37" s="52">
        <f t="shared" si="18"/>
        <v>3.5751703584637071E-2</v>
      </c>
      <c r="U37" s="52"/>
      <c r="X37" s="51"/>
    </row>
    <row r="38" spans="1:24">
      <c r="A38" s="59" t="str">
        <f t="shared" si="14"/>
        <v>Commodities</v>
      </c>
      <c r="B38" s="117">
        <v>3.1677334634229531E-2</v>
      </c>
      <c r="C38" s="118">
        <v>3.0324517081880355E-2</v>
      </c>
      <c r="D38" s="119">
        <v>2.5036653011099004E-3</v>
      </c>
      <c r="E38" s="117">
        <v>2.3441462358467811E-2</v>
      </c>
      <c r="F38" s="120">
        <v>6.1993046302399213E-2</v>
      </c>
      <c r="G38" s="2">
        <v>-0.37447056582828298</v>
      </c>
      <c r="H38" s="2">
        <v>8.2073822120162759E-2</v>
      </c>
      <c r="I38" s="2">
        <v>-0.20959550791173606</v>
      </c>
      <c r="J38" s="2">
        <v>1</v>
      </c>
      <c r="K38" s="2">
        <v>-0.31575650473030115</v>
      </c>
      <c r="L38" s="2">
        <v>-4.495248175124783E-2</v>
      </c>
      <c r="M38" s="2">
        <v>0.99999999999998967</v>
      </c>
      <c r="N38" s="57"/>
      <c r="O38" s="67"/>
      <c r="P38" s="72"/>
      <c r="Q38" s="51" t="str">
        <f t="shared" si="15"/>
        <v>Commodities</v>
      </c>
      <c r="R38" s="72">
        <f t="shared" si="16"/>
        <v>2.5036653011099004E-3</v>
      </c>
      <c r="S38" s="52">
        <f t="shared" si="17"/>
        <v>2.9173669333119632E-2</v>
      </c>
      <c r="T38" s="52">
        <f t="shared" si="18"/>
        <v>3.0315711668169681E-2</v>
      </c>
      <c r="U38" s="52"/>
      <c r="V38" s="52"/>
      <c r="W38" s="52"/>
    </row>
    <row r="39" spans="1:24">
      <c r="A39" s="59" t="str">
        <f t="shared" si="14"/>
        <v>Hedge funds</v>
      </c>
      <c r="B39" s="117">
        <v>8.4832067961750454E-2</v>
      </c>
      <c r="C39" s="118">
        <v>5.3362982488361571E-3</v>
      </c>
      <c r="D39" s="119">
        <v>7.9331622187145012E-2</v>
      </c>
      <c r="E39" s="117">
        <v>8.4984679716676934E-2</v>
      </c>
      <c r="F39" s="120">
        <v>8.9676283828498043E-2</v>
      </c>
      <c r="G39" s="2">
        <v>-1.5571680467042872E-2</v>
      </c>
      <c r="H39" s="2">
        <v>-1.5230819864999169E-2</v>
      </c>
      <c r="I39" s="2">
        <v>-1.8238337058673969E-2</v>
      </c>
      <c r="J39" s="2">
        <v>-2.4321834683193797E-2</v>
      </c>
      <c r="K39" s="2">
        <v>0.61831370718588474</v>
      </c>
      <c r="L39" s="2">
        <v>1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7.9331622187145012E-2</v>
      </c>
      <c r="S39" s="52">
        <f t="shared" si="17"/>
        <v>5.5004457746054419E-3</v>
      </c>
      <c r="T39" s="52">
        <f t="shared" si="18"/>
        <v>4.8442158667475893E-3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0.13796761350613029</v>
      </c>
      <c r="C40" s="122">
        <v>7.1914368390349108E-3</v>
      </c>
      <c r="D40" s="123">
        <v>0.13061712757890034</v>
      </c>
      <c r="E40" s="121">
        <v>0.13743501667820454</v>
      </c>
      <c r="F40" s="124">
        <v>0.14602157417604808</v>
      </c>
      <c r="G40" s="65">
        <v>-3.8472635098804241E-2</v>
      </c>
      <c r="H40" s="65">
        <v>-3.7193552640745524E-2</v>
      </c>
      <c r="I40" s="65">
        <v>-2.2921857632075125E-2</v>
      </c>
      <c r="J40" s="65">
        <v>-1.3996628043942642E-2</v>
      </c>
      <c r="K40" s="65">
        <v>1</v>
      </c>
      <c r="L40" s="65">
        <v>-0.71150229802901321</v>
      </c>
      <c r="M40" s="65">
        <v>0.99999999999998823</v>
      </c>
      <c r="N40" s="66"/>
      <c r="O40" s="67"/>
      <c r="P40" s="72"/>
      <c r="Q40" s="51" t="str">
        <f t="shared" si="15"/>
        <v>Onroerend goed</v>
      </c>
      <c r="R40" s="72">
        <f t="shared" si="16"/>
        <v>0.13061712757890034</v>
      </c>
      <c r="S40" s="52">
        <f t="shared" si="17"/>
        <v>7.3504859272299494E-3</v>
      </c>
      <c r="T40" s="52">
        <f t="shared" si="18"/>
        <v>8.0539606699177868E-3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5" t="s">
        <v>64</v>
      </c>
      <c r="E42" s="386"/>
      <c r="F42" s="387"/>
      <c r="G42" s="385" t="s">
        <v>65</v>
      </c>
      <c r="H42" s="386"/>
      <c r="I42" s="386"/>
      <c r="J42" s="386"/>
      <c r="K42" s="386"/>
      <c r="L42" s="386"/>
      <c r="M42" s="386"/>
      <c r="N42" s="387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Oil Scenario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0.45975895253356969</v>
      </c>
      <c r="H43" s="272">
        <v>0.23776513378425168</v>
      </c>
      <c r="I43" s="272">
        <v>0.14681711495359417</v>
      </c>
      <c r="J43" s="272">
        <v>0.12242520763978304</v>
      </c>
      <c r="K43" s="272">
        <v>1.9245627128546938E-2</v>
      </c>
      <c r="L43" s="272">
        <v>1.3987963960258143E-2</v>
      </c>
      <c r="M43" s="272">
        <v>0</v>
      </c>
      <c r="N43" s="272"/>
      <c r="O43" s="273"/>
      <c r="P43" s="72"/>
      <c r="Q43" s="51" t="str">
        <f>A43</f>
        <v>Oil Scenario</v>
      </c>
      <c r="V43" s="52"/>
      <c r="W43" s="52"/>
    </row>
    <row r="44" spans="1:24">
      <c r="A44" s="53" t="str">
        <f>A4</f>
        <v>High Yield</v>
      </c>
      <c r="B44" s="117">
        <v>0.21176670969788558</v>
      </c>
      <c r="C44" s="118">
        <v>3.6928413965449859E-2</v>
      </c>
      <c r="D44" s="119">
        <v>0.17188510132520307</v>
      </c>
      <c r="E44" s="117">
        <v>0.21216499264307648</v>
      </c>
      <c r="F44" s="120">
        <v>0.25238309673864179</v>
      </c>
      <c r="G44" s="2">
        <v>-0.98134907002885141</v>
      </c>
      <c r="H44" s="2">
        <v>1</v>
      </c>
      <c r="I44" s="2">
        <v>2.6077292081279499E-2</v>
      </c>
      <c r="J44" s="2">
        <v>-0.1252445939945856</v>
      </c>
      <c r="K44" s="2">
        <v>-0.22241786300066729</v>
      </c>
      <c r="L44" s="2">
        <v>-8.7079685120225736E-2</v>
      </c>
      <c r="M44" s="2">
        <v>0.99999999999999944</v>
      </c>
      <c r="N44" s="57"/>
      <c r="O44" s="67"/>
      <c r="Q44" s="51" t="str">
        <f t="shared" ref="Q44:Q50" si="19">A44</f>
        <v>High Yield</v>
      </c>
      <c r="R44" s="72">
        <f>D44</f>
        <v>0.17188510132520307</v>
      </c>
      <c r="S44" s="52">
        <f>B44-D44</f>
        <v>3.9881608372682509E-2</v>
      </c>
      <c r="T44" s="52">
        <f>F44-B44</f>
        <v>4.0616387040756208E-2</v>
      </c>
      <c r="U44" s="52"/>
    </row>
    <row r="45" spans="1:24">
      <c r="A45" s="59" t="str">
        <f t="shared" ref="A45:A50" si="20">A5</f>
        <v>Emerging market debt</v>
      </c>
      <c r="B45" s="117">
        <v>0.20008065019126706</v>
      </c>
      <c r="C45" s="118">
        <v>3.7046565654377195E-2</v>
      </c>
      <c r="D45" s="119">
        <v>0.15982105006254205</v>
      </c>
      <c r="E45" s="117">
        <v>0.19582523917800673</v>
      </c>
      <c r="F45" s="120">
        <v>0.23901267182269226</v>
      </c>
      <c r="G45" s="2">
        <v>1</v>
      </c>
      <c r="H45" s="2">
        <v>0.95106488140478085</v>
      </c>
      <c r="I45" s="2">
        <v>8.1517937653506525E-2</v>
      </c>
      <c r="J45" s="2">
        <v>-0.11997706594439551</v>
      </c>
      <c r="K45" s="2">
        <v>-0.25363036701245556</v>
      </c>
      <c r="L45" s="2">
        <v>-8.7977225815760646E-2</v>
      </c>
      <c r="M45" s="2">
        <v>0.99999999999999978</v>
      </c>
      <c r="N45" s="57"/>
      <c r="O45" s="67"/>
      <c r="Q45" s="51" t="str">
        <f t="shared" si="19"/>
        <v>Emerging market debt</v>
      </c>
      <c r="R45" s="72">
        <f t="shared" ref="R45:R50" si="21">D45</f>
        <v>0.15982105006254205</v>
      </c>
      <c r="S45" s="52">
        <f t="shared" ref="S45:S50" si="22">B45-D45</f>
        <v>4.0259600128725009E-2</v>
      </c>
      <c r="T45" s="52">
        <f t="shared" ref="T45:T50" si="23">F45-B45</f>
        <v>3.8932021631425201E-2</v>
      </c>
      <c r="U45" s="52"/>
    </row>
    <row r="46" spans="1:24">
      <c r="A46" s="59" t="str">
        <f t="shared" si="20"/>
        <v>Aandelen ontwikkeld</v>
      </c>
      <c r="B46" s="117">
        <v>0.23510513356022258</v>
      </c>
      <c r="C46" s="118">
        <v>2.4532491137616432E-2</v>
      </c>
      <c r="D46" s="119">
        <v>0.21245243202556383</v>
      </c>
      <c r="E46" s="117">
        <v>0.23005592357844606</v>
      </c>
      <c r="F46" s="120">
        <v>0.25996643241169315</v>
      </c>
      <c r="G46" s="2">
        <v>-4.8739297548729681E-2</v>
      </c>
      <c r="H46" s="2">
        <v>-0.78171295491291171</v>
      </c>
      <c r="I46" s="2">
        <v>1</v>
      </c>
      <c r="J46" s="2">
        <v>-0.18392336227614547</v>
      </c>
      <c r="K46" s="2">
        <v>-0.32975699644588041</v>
      </c>
      <c r="L46" s="2">
        <v>-0.10021687486311068</v>
      </c>
      <c r="M46" s="2">
        <v>0.99999999999999978</v>
      </c>
      <c r="N46" s="57"/>
      <c r="O46" s="67"/>
      <c r="Q46" s="51" t="str">
        <f t="shared" si="19"/>
        <v>Aandelen ontwikkeld</v>
      </c>
      <c r="R46" s="72">
        <f t="shared" si="21"/>
        <v>0.21245243202556383</v>
      </c>
      <c r="S46" s="52">
        <f t="shared" si="22"/>
        <v>2.2652701534658759E-2</v>
      </c>
      <c r="T46" s="52">
        <f t="shared" si="23"/>
        <v>2.4861298851470565E-2</v>
      </c>
      <c r="U46" s="52"/>
    </row>
    <row r="47" spans="1:24">
      <c r="A47" s="59" t="str">
        <f t="shared" si="20"/>
        <v>Aandelen opkomend</v>
      </c>
      <c r="B47" s="117">
        <v>9.414848018807527E-2</v>
      </c>
      <c r="C47" s="118">
        <v>2.3796632930636059E-2</v>
      </c>
      <c r="D47" s="119">
        <v>7.1774901533419214E-2</v>
      </c>
      <c r="E47" s="117">
        <v>9.0424344285944341E-2</v>
      </c>
      <c r="F47" s="120">
        <v>0.11692844168262807</v>
      </c>
      <c r="G47" s="2">
        <v>1.0748646868037091E-2</v>
      </c>
      <c r="H47" s="2">
        <v>-0.70689919286456404</v>
      </c>
      <c r="I47" s="2">
        <v>-0.82905079694904493</v>
      </c>
      <c r="J47" s="2">
        <v>-0.58732576896726185</v>
      </c>
      <c r="K47" s="2">
        <v>-0.31611034732159138</v>
      </c>
      <c r="L47" s="2">
        <v>-7.8489939358231509E-2</v>
      </c>
      <c r="M47" s="2">
        <v>0.99999999999999956</v>
      </c>
      <c r="N47" s="57"/>
      <c r="O47" s="67"/>
      <c r="Q47" s="51" t="str">
        <f t="shared" si="19"/>
        <v>Aandelen opkomend</v>
      </c>
      <c r="R47" s="72">
        <f t="shared" si="21"/>
        <v>7.1774901533419214E-2</v>
      </c>
      <c r="S47" s="52">
        <f t="shared" si="22"/>
        <v>2.2373578654656057E-2</v>
      </c>
      <c r="T47" s="52">
        <f t="shared" si="23"/>
        <v>2.2779961494552803E-2</v>
      </c>
      <c r="U47" s="52"/>
    </row>
    <row r="48" spans="1:24">
      <c r="A48" s="59" t="str">
        <f t="shared" si="20"/>
        <v>Commodities</v>
      </c>
      <c r="B48" s="117">
        <v>2.1637278168101695E-2</v>
      </c>
      <c r="C48" s="118">
        <v>2.1498469298630776E-2</v>
      </c>
      <c r="D48" s="119">
        <v>1.597622290655873E-3</v>
      </c>
      <c r="E48" s="117">
        <v>1.5485829313592027E-2</v>
      </c>
      <c r="F48" s="120">
        <v>4.1893196469362508E-2</v>
      </c>
      <c r="G48" s="2">
        <v>-5.8527589148086121E-3</v>
      </c>
      <c r="H48" s="2">
        <v>-0.31805534919254941</v>
      </c>
      <c r="I48" s="2">
        <v>-0.28988605145703533</v>
      </c>
      <c r="J48" s="2">
        <v>1</v>
      </c>
      <c r="K48" s="2">
        <v>-0.32013671970900048</v>
      </c>
      <c r="L48" s="2">
        <v>-7.926717634875384E-2</v>
      </c>
      <c r="M48" s="2">
        <v>1</v>
      </c>
      <c r="N48" s="57"/>
      <c r="O48" s="67"/>
      <c r="Q48" s="51" t="str">
        <f t="shared" si="19"/>
        <v>Commodities</v>
      </c>
      <c r="R48" s="72">
        <f t="shared" si="21"/>
        <v>1.597622290655873E-3</v>
      </c>
      <c r="S48" s="52">
        <f t="shared" si="22"/>
        <v>2.0039655877445821E-2</v>
      </c>
      <c r="T48" s="52">
        <f t="shared" si="23"/>
        <v>2.0255918301260813E-2</v>
      </c>
      <c r="U48" s="52"/>
    </row>
    <row r="49" spans="1:27">
      <c r="A49" s="59" t="str">
        <f t="shared" si="20"/>
        <v>Hedge funds</v>
      </c>
      <c r="B49" s="117">
        <v>9.0687231823287764E-2</v>
      </c>
      <c r="C49" s="118">
        <v>7.5877381899151783E-3</v>
      </c>
      <c r="D49" s="119">
        <v>8.2843890638734013E-2</v>
      </c>
      <c r="E49" s="117">
        <v>9.0340550633080829E-2</v>
      </c>
      <c r="F49" s="120">
        <v>9.8165579972190581E-2</v>
      </c>
      <c r="G49" s="2">
        <v>7.8497043511331546E-3</v>
      </c>
      <c r="H49" s="2">
        <v>-4.4770361842540254E-2</v>
      </c>
      <c r="I49" s="2">
        <v>1.7893876182036032E-2</v>
      </c>
      <c r="J49" s="2">
        <v>1.6673641979702066E-3</v>
      </c>
      <c r="K49" s="2">
        <v>0.44205229348959935</v>
      </c>
      <c r="L49" s="2">
        <v>1</v>
      </c>
      <c r="M49" s="2">
        <v>0.99999999999999778</v>
      </c>
      <c r="N49" s="57"/>
      <c r="O49" s="67"/>
      <c r="Q49" s="51" t="str">
        <f t="shared" si="19"/>
        <v>Hedge funds</v>
      </c>
      <c r="R49" s="72">
        <f t="shared" si="21"/>
        <v>8.2843890638734013E-2</v>
      </c>
      <c r="S49" s="52">
        <f t="shared" si="22"/>
        <v>7.843341184553751E-3</v>
      </c>
      <c r="T49" s="52">
        <f t="shared" si="23"/>
        <v>7.4783481489028164E-3</v>
      </c>
      <c r="U49" s="52"/>
      <c r="X49" s="51"/>
    </row>
    <row r="50" spans="1:27">
      <c r="A50" s="60" t="str">
        <f t="shared" si="20"/>
        <v>Onroerend goed</v>
      </c>
      <c r="B50" s="121">
        <v>0.14657451637115984</v>
      </c>
      <c r="C50" s="122">
        <v>8.4902823412244203E-3</v>
      </c>
      <c r="D50" s="123">
        <v>0.13778369406702307</v>
      </c>
      <c r="E50" s="121">
        <v>0.14614971446621136</v>
      </c>
      <c r="F50" s="124">
        <v>0.15551684282004605</v>
      </c>
      <c r="G50" s="65">
        <v>1.7342775273219341E-2</v>
      </c>
      <c r="H50" s="65">
        <v>-9.9627022592215411E-2</v>
      </c>
      <c r="I50" s="65">
        <v>-6.5522575107422295E-3</v>
      </c>
      <c r="J50" s="65">
        <v>1.4803426984417773E-2</v>
      </c>
      <c r="K50" s="65">
        <v>1</v>
      </c>
      <c r="L50" s="65">
        <v>-0.56696909849391786</v>
      </c>
      <c r="M50" s="65">
        <v>0.99999999999999678</v>
      </c>
      <c r="N50" s="66"/>
      <c r="O50" s="67"/>
      <c r="P50" s="72"/>
      <c r="Q50" s="51" t="str">
        <f t="shared" si="19"/>
        <v>Onroerend goed</v>
      </c>
      <c r="R50" s="72">
        <f t="shared" si="21"/>
        <v>0.13778369406702307</v>
      </c>
      <c r="S50" s="52">
        <f t="shared" si="22"/>
        <v>8.790822304136775E-3</v>
      </c>
      <c r="T50" s="52">
        <f t="shared" si="23"/>
        <v>8.9423264488862064E-3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5" t="s">
        <v>64</v>
      </c>
      <c r="E52" s="386"/>
      <c r="F52" s="387"/>
      <c r="G52" s="385" t="s">
        <v>65</v>
      </c>
      <c r="H52" s="386"/>
      <c r="I52" s="386"/>
      <c r="J52" s="386"/>
      <c r="K52" s="386"/>
      <c r="L52" s="386"/>
      <c r="M52" s="386"/>
      <c r="N52" s="387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leeg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0.52228552855250188</v>
      </c>
      <c r="H53" s="272">
        <v>0.20912796348463447</v>
      </c>
      <c r="I53" s="272">
        <v>0.12749837849636092</v>
      </c>
      <c r="J53" s="272">
        <v>0.10012214391345753</v>
      </c>
      <c r="K53" s="272">
        <v>2.3770499795029432E-2</v>
      </c>
      <c r="L53" s="272">
        <v>1.7195485758014217E-2</v>
      </c>
      <c r="M53" s="272">
        <v>-2.2204460492503131E-16</v>
      </c>
      <c r="N53" s="272"/>
      <c r="O53" s="273"/>
      <c r="P53" s="72"/>
      <c r="Q53" s="51" t="str">
        <f>A53</f>
        <v>leeg</v>
      </c>
      <c r="V53" s="52"/>
      <c r="W53" s="52"/>
    </row>
    <row r="54" spans="1:27">
      <c r="A54" s="53" t="str">
        <f t="shared" ref="A54:A59" si="24">A44</f>
        <v>High Yield</v>
      </c>
      <c r="B54" s="117">
        <v>0.21692601314923532</v>
      </c>
      <c r="C54" s="118">
        <v>3.5701437683933322E-2</v>
      </c>
      <c r="D54" s="119">
        <v>0.17852448409211646</v>
      </c>
      <c r="E54" s="117">
        <v>0.21818521316188755</v>
      </c>
      <c r="F54" s="120">
        <v>0.25627853585100147</v>
      </c>
      <c r="G54" s="2">
        <v>-0.91160413649570382</v>
      </c>
      <c r="H54" s="2">
        <v>-0.99638021206963834</v>
      </c>
      <c r="I54" s="2">
        <v>0.28468805244571699</v>
      </c>
      <c r="J54" s="2">
        <v>-1.6100708618794129E-2</v>
      </c>
      <c r="K54" s="2">
        <v>-0.31136651173060298</v>
      </c>
      <c r="L54" s="2">
        <v>-4.1376579777610993E-2</v>
      </c>
      <c r="M54" s="2">
        <v>0.99999999999999911</v>
      </c>
      <c r="N54" s="57"/>
      <c r="O54" s="67"/>
      <c r="P54" s="72"/>
      <c r="Q54" s="51" t="str">
        <f t="shared" ref="Q54:Q60" si="25">A54</f>
        <v>High Yield</v>
      </c>
      <c r="R54" s="72">
        <f>D54</f>
        <v>0.17852448409211646</v>
      </c>
      <c r="S54" s="52">
        <f>B54-D54</f>
        <v>3.8401529057118855E-2</v>
      </c>
      <c r="T54" s="52">
        <f>F54-B54</f>
        <v>3.9352522701766146E-2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0.2060504459266313</v>
      </c>
      <c r="C55" s="118">
        <v>3.7416326600302613E-2</v>
      </c>
      <c r="D55" s="119">
        <v>0.16415917174241706</v>
      </c>
      <c r="E55" s="117">
        <v>0.20456635971927095</v>
      </c>
      <c r="F55" s="120">
        <v>0.24674095794364581</v>
      </c>
      <c r="G55" s="2">
        <v>1</v>
      </c>
      <c r="H55" s="2">
        <v>-0.87576646454695362</v>
      </c>
      <c r="I55" s="2">
        <v>0.21675719945413532</v>
      </c>
      <c r="J55" s="2">
        <v>-3.6292245007555894E-2</v>
      </c>
      <c r="K55" s="2">
        <v>-0.30062028491910131</v>
      </c>
      <c r="L55" s="2">
        <v>-3.9530821263280586E-2</v>
      </c>
      <c r="M55" s="2">
        <v>0.99999999999999933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0.16415917174241706</v>
      </c>
      <c r="S55" s="52">
        <f t="shared" ref="S55:S60" si="27">B55-D55</f>
        <v>4.1891274184214233E-2</v>
      </c>
      <c r="T55" s="52">
        <f t="shared" ref="T55:T60" si="28">F55-B55</f>
        <v>4.0690512017014513E-2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0.2342020298828634</v>
      </c>
      <c r="C56" s="118">
        <v>2.2989790338705615E-2</v>
      </c>
      <c r="D56" s="119">
        <v>0.21151913289639354</v>
      </c>
      <c r="E56" s="117">
        <v>0.23010747750305799</v>
      </c>
      <c r="F56" s="120">
        <v>0.25981131245000411</v>
      </c>
      <c r="G56" s="2">
        <v>-6.5078066443587049E-3</v>
      </c>
      <c r="H56" s="2">
        <v>1</v>
      </c>
      <c r="I56" s="2">
        <v>1</v>
      </c>
      <c r="J56" s="2">
        <v>1.1357638028048976E-2</v>
      </c>
      <c r="K56" s="2">
        <v>-0.42038123037544084</v>
      </c>
      <c r="L56" s="2">
        <v>1.2512073348540131E-3</v>
      </c>
      <c r="M56" s="2">
        <v>0.99999999999999867</v>
      </c>
      <c r="N56" s="57"/>
      <c r="O56" s="67"/>
      <c r="Q56" s="51" t="str">
        <f t="shared" si="25"/>
        <v>Aandelen ontwikkeld</v>
      </c>
      <c r="R56" s="72">
        <f t="shared" si="26"/>
        <v>0.21151913289639354</v>
      </c>
      <c r="S56" s="52">
        <f t="shared" si="27"/>
        <v>2.2682896986469858E-2</v>
      </c>
      <c r="T56" s="52">
        <f t="shared" si="28"/>
        <v>2.5609282567140706E-2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8.6056928289450788E-2</v>
      </c>
      <c r="C57" s="118">
        <v>1.957764400326149E-2</v>
      </c>
      <c r="D57" s="119">
        <v>6.7680390268229557E-2</v>
      </c>
      <c r="E57" s="117">
        <v>8.1492208689749435E-2</v>
      </c>
      <c r="F57" s="120">
        <v>0.10607076200518631</v>
      </c>
      <c r="G57" s="2">
        <v>-4.4579413353411305E-2</v>
      </c>
      <c r="H57" s="2">
        <v>0.38948501001806957</v>
      </c>
      <c r="I57" s="2">
        <v>-0.72877351975175131</v>
      </c>
      <c r="J57" s="2">
        <v>-0.99949315350119772</v>
      </c>
      <c r="K57" s="2">
        <v>-0.40126896668631706</v>
      </c>
      <c r="L57" s="2">
        <v>1.0973420491056294E-2</v>
      </c>
      <c r="M57" s="2">
        <v>0.99999999999999845</v>
      </c>
      <c r="N57" s="57"/>
      <c r="O57" s="67"/>
      <c r="Q57" s="51" t="str">
        <f t="shared" si="25"/>
        <v>Aandelen opkomend</v>
      </c>
      <c r="R57" s="72">
        <f t="shared" si="26"/>
        <v>6.7680390268229557E-2</v>
      </c>
      <c r="S57" s="52">
        <f t="shared" si="27"/>
        <v>1.8376538021221231E-2</v>
      </c>
      <c r="T57" s="52">
        <f t="shared" si="28"/>
        <v>2.0013833715735521E-2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1.8117138271943386E-2</v>
      </c>
      <c r="C58" s="118">
        <v>1.9239444756694354E-2</v>
      </c>
      <c r="D58" s="119">
        <v>8.3472858658562108E-4</v>
      </c>
      <c r="E58" s="117">
        <v>1.1340198522516665E-2</v>
      </c>
      <c r="F58" s="120">
        <v>3.5311541481956032E-2</v>
      </c>
      <c r="G58" s="2">
        <v>-2.2607534359559898E-2</v>
      </c>
      <c r="H58" s="2">
        <v>0.32818851498008916</v>
      </c>
      <c r="I58" s="2">
        <v>-0.72659379375647537</v>
      </c>
      <c r="J58" s="2">
        <v>1</v>
      </c>
      <c r="K58" s="2">
        <v>-0.44868468661875155</v>
      </c>
      <c r="L58" s="2">
        <v>-2.0127068257514404E-2</v>
      </c>
      <c r="M58" s="2">
        <v>1</v>
      </c>
      <c r="N58" s="57"/>
      <c r="O58" s="67"/>
      <c r="Q58" s="51" t="str">
        <f t="shared" si="25"/>
        <v>Commodities</v>
      </c>
      <c r="R58" s="72">
        <f t="shared" si="26"/>
        <v>8.3472858658562108E-4</v>
      </c>
      <c r="S58" s="52">
        <f t="shared" si="27"/>
        <v>1.7282409685357766E-2</v>
      </c>
      <c r="T58" s="52">
        <f t="shared" si="28"/>
        <v>1.7194403210012647E-2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9.1590005811347783E-2</v>
      </c>
      <c r="C59" s="118">
        <v>8.3324669781831735E-3</v>
      </c>
      <c r="D59" s="119">
        <v>8.3120073640218201E-2</v>
      </c>
      <c r="E59" s="117">
        <v>9.0827156175478846E-2</v>
      </c>
      <c r="F59" s="120">
        <v>0.1006366067593347</v>
      </c>
      <c r="G59" s="2">
        <v>-6.0388748144720181E-3</v>
      </c>
      <c r="H59" s="2">
        <v>3.4527242002942687E-2</v>
      </c>
      <c r="I59" s="2">
        <v>-1.5443794420653949E-2</v>
      </c>
      <c r="J59" s="2">
        <v>3.4485843040316738E-2</v>
      </c>
      <c r="K59" s="2">
        <v>0.88232168033021674</v>
      </c>
      <c r="L59" s="2">
        <v>1</v>
      </c>
      <c r="M59" s="2">
        <v>0.99999999999999689</v>
      </c>
      <c r="N59" s="57"/>
      <c r="O59" s="67"/>
      <c r="Q59" s="51" t="str">
        <f t="shared" si="25"/>
        <v>Hedge funds</v>
      </c>
      <c r="R59" s="72">
        <f t="shared" si="26"/>
        <v>8.3120073640218201E-2</v>
      </c>
      <c r="S59" s="52">
        <f t="shared" si="27"/>
        <v>8.4699321711295822E-3</v>
      </c>
      <c r="T59" s="52">
        <f t="shared" si="28"/>
        <v>9.0466009479869131E-3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0.14705743866852769</v>
      </c>
      <c r="C60" s="122">
        <v>8.6734966056012473E-3</v>
      </c>
      <c r="D60" s="123">
        <v>0.13767335042780038</v>
      </c>
      <c r="E60" s="121">
        <v>0.1471634439308927</v>
      </c>
      <c r="F60" s="124">
        <v>0.1566080929118123</v>
      </c>
      <c r="G60" s="65">
        <v>-8.6622343324941984E-3</v>
      </c>
      <c r="H60" s="65">
        <v>0.11994590961549097</v>
      </c>
      <c r="I60" s="65">
        <v>-3.0634143970971379E-2</v>
      </c>
      <c r="J60" s="65">
        <v>6.0426260591810582E-3</v>
      </c>
      <c r="K60" s="65">
        <v>1</v>
      </c>
      <c r="L60" s="65">
        <v>-0.9111901585275034</v>
      </c>
      <c r="M60" s="65">
        <v>0.99999999999999811</v>
      </c>
      <c r="N60" s="66"/>
      <c r="O60" s="67"/>
      <c r="Q60" s="51" t="str">
        <f t="shared" si="25"/>
        <v>Onroerend goed</v>
      </c>
      <c r="R60" s="72">
        <f t="shared" si="26"/>
        <v>0.13767335042780038</v>
      </c>
      <c r="S60" s="52">
        <f t="shared" si="27"/>
        <v>9.3840882407273118E-3</v>
      </c>
      <c r="T60" s="52">
        <f t="shared" si="28"/>
        <v>9.5506542432846064E-3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5" t="s">
        <v>64</v>
      </c>
      <c r="E62" s="386"/>
      <c r="F62" s="387"/>
      <c r="G62" s="385" t="s">
        <v>65</v>
      </c>
      <c r="H62" s="386"/>
      <c r="I62" s="386"/>
      <c r="J62" s="386"/>
      <c r="K62" s="386"/>
      <c r="L62" s="386"/>
      <c r="M62" s="386"/>
      <c r="N62" s="387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leeg2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0.45975895253356969</v>
      </c>
      <c r="H63" s="272">
        <v>0.23776513378425168</v>
      </c>
      <c r="I63" s="272">
        <v>0.14681711495359417</v>
      </c>
      <c r="J63" s="272">
        <v>0.12242520763978304</v>
      </c>
      <c r="K63" s="272">
        <v>1.9245627128546938E-2</v>
      </c>
      <c r="L63" s="272">
        <v>1.3987963960258143E-2</v>
      </c>
      <c r="M63" s="272">
        <v>0</v>
      </c>
      <c r="N63" s="272"/>
      <c r="O63" s="273"/>
      <c r="P63" s="72"/>
      <c r="Q63" s="51" t="str">
        <f>A63</f>
        <v>leeg2</v>
      </c>
      <c r="V63" s="52"/>
      <c r="W63" s="52"/>
    </row>
    <row r="64" spans="1:27">
      <c r="A64" s="53" t="str">
        <f t="shared" ref="A64:A70" si="31">A54</f>
        <v>High Yield</v>
      </c>
      <c r="B64" s="117">
        <v>0.21176670969788558</v>
      </c>
      <c r="C64" s="118">
        <v>3.6928413965449859E-2</v>
      </c>
      <c r="D64" s="119">
        <v>0.17188510132520307</v>
      </c>
      <c r="E64" s="117">
        <v>0.21216499264307648</v>
      </c>
      <c r="F64" s="120">
        <v>0.25238309673864179</v>
      </c>
      <c r="G64" s="2">
        <v>-0.98134907002885141</v>
      </c>
      <c r="H64" s="2">
        <v>1</v>
      </c>
      <c r="I64" s="2">
        <v>2.6077292081279499E-2</v>
      </c>
      <c r="J64" s="2">
        <v>-0.1252445939945856</v>
      </c>
      <c r="K64" s="2">
        <v>-0.22241786300066729</v>
      </c>
      <c r="L64" s="2">
        <v>-8.7079685120225736E-2</v>
      </c>
      <c r="M64" s="2">
        <v>0.99999999999999944</v>
      </c>
      <c r="N64" s="57"/>
      <c r="O64" s="67"/>
      <c r="Q64" s="51" t="str">
        <f t="shared" ref="Q64:Q70" si="32">A64</f>
        <v>High Yield</v>
      </c>
      <c r="R64" s="72">
        <f>D64</f>
        <v>0.17188510132520307</v>
      </c>
      <c r="S64" s="52">
        <f>B64-D64</f>
        <v>3.9881608372682509E-2</v>
      </c>
      <c r="T64" s="52">
        <f>F64-B64</f>
        <v>4.0616387040756208E-2</v>
      </c>
      <c r="U64" s="52"/>
    </row>
    <row r="65" spans="1:24">
      <c r="A65" s="59" t="str">
        <f t="shared" si="31"/>
        <v>Emerging market debt</v>
      </c>
      <c r="B65" s="117">
        <v>0.20008065019126706</v>
      </c>
      <c r="C65" s="118">
        <v>3.7046565654377195E-2</v>
      </c>
      <c r="D65" s="119">
        <v>0.15982105006254205</v>
      </c>
      <c r="E65" s="117">
        <v>0.19582523917800673</v>
      </c>
      <c r="F65" s="120">
        <v>0.23901267182269226</v>
      </c>
      <c r="G65" s="2">
        <v>1</v>
      </c>
      <c r="H65" s="2">
        <v>0.95106488140478085</v>
      </c>
      <c r="I65" s="2">
        <v>8.1517937653506525E-2</v>
      </c>
      <c r="J65" s="2">
        <v>-0.11997706594439551</v>
      </c>
      <c r="K65" s="2">
        <v>-0.25363036701245556</v>
      </c>
      <c r="L65" s="2">
        <v>-8.7977225815760646E-2</v>
      </c>
      <c r="M65" s="2">
        <v>0.99999999999999978</v>
      </c>
      <c r="N65" s="57"/>
      <c r="O65" s="67"/>
      <c r="Q65" s="51" t="str">
        <f t="shared" si="32"/>
        <v>Emerging market debt</v>
      </c>
      <c r="R65" s="72">
        <f t="shared" ref="R65:R70" si="33">D65</f>
        <v>0.15982105006254205</v>
      </c>
      <c r="S65" s="52">
        <f t="shared" ref="S65:S70" si="34">B65-D65</f>
        <v>4.0259600128725009E-2</v>
      </c>
      <c r="T65" s="52">
        <f t="shared" ref="T65:T70" si="35">F65-B65</f>
        <v>3.8932021631425201E-2</v>
      </c>
      <c r="U65" s="52"/>
    </row>
    <row r="66" spans="1:24">
      <c r="A66" s="59" t="str">
        <f t="shared" si="31"/>
        <v>Aandelen ontwikkeld</v>
      </c>
      <c r="B66" s="117">
        <v>0.23510513356022258</v>
      </c>
      <c r="C66" s="118">
        <v>2.4532491137616432E-2</v>
      </c>
      <c r="D66" s="119">
        <v>0.21245243202556383</v>
      </c>
      <c r="E66" s="117">
        <v>0.23005592357844606</v>
      </c>
      <c r="F66" s="120">
        <v>0.25996643241169315</v>
      </c>
      <c r="G66" s="2">
        <v>-4.8739297548729681E-2</v>
      </c>
      <c r="H66" s="2">
        <v>-0.78171295491291171</v>
      </c>
      <c r="I66" s="2">
        <v>1</v>
      </c>
      <c r="J66" s="2">
        <v>-0.18392336227614547</v>
      </c>
      <c r="K66" s="2">
        <v>-0.32975699644588041</v>
      </c>
      <c r="L66" s="2">
        <v>-0.10021687486311068</v>
      </c>
      <c r="M66" s="2">
        <v>0.99999999999999978</v>
      </c>
      <c r="N66" s="57"/>
      <c r="O66" s="67"/>
      <c r="Q66" s="51" t="str">
        <f t="shared" si="32"/>
        <v>Aandelen ontwikkeld</v>
      </c>
      <c r="R66" s="72">
        <f t="shared" si="33"/>
        <v>0.21245243202556383</v>
      </c>
      <c r="S66" s="52">
        <f t="shared" si="34"/>
        <v>2.2652701534658759E-2</v>
      </c>
      <c r="T66" s="52">
        <f t="shared" si="35"/>
        <v>2.4861298851470565E-2</v>
      </c>
      <c r="U66" s="52"/>
    </row>
    <row r="67" spans="1:24">
      <c r="A67" s="59" t="str">
        <f t="shared" si="31"/>
        <v>Aandelen opkomend</v>
      </c>
      <c r="B67" s="117">
        <v>9.414848018807527E-2</v>
      </c>
      <c r="C67" s="118">
        <v>2.3796632930636059E-2</v>
      </c>
      <c r="D67" s="119">
        <v>7.1774901533419214E-2</v>
      </c>
      <c r="E67" s="117">
        <v>9.0424344285944341E-2</v>
      </c>
      <c r="F67" s="120">
        <v>0.11692844168262807</v>
      </c>
      <c r="G67" s="2">
        <v>1.0748646868037091E-2</v>
      </c>
      <c r="H67" s="2">
        <v>-0.70689919286456404</v>
      </c>
      <c r="I67" s="2">
        <v>-0.82905079694904493</v>
      </c>
      <c r="J67" s="2">
        <v>-0.58732576896726185</v>
      </c>
      <c r="K67" s="2">
        <v>-0.31611034732159138</v>
      </c>
      <c r="L67" s="2">
        <v>-7.8489939358231509E-2</v>
      </c>
      <c r="M67" s="2">
        <v>0.99999999999999956</v>
      </c>
      <c r="N67" s="57"/>
      <c r="O67" s="67"/>
      <c r="Q67" s="51" t="str">
        <f t="shared" si="32"/>
        <v>Aandelen opkomend</v>
      </c>
      <c r="R67" s="72">
        <f t="shared" si="33"/>
        <v>7.1774901533419214E-2</v>
      </c>
      <c r="S67" s="52">
        <f t="shared" si="34"/>
        <v>2.2373578654656057E-2</v>
      </c>
      <c r="T67" s="52">
        <f t="shared" si="35"/>
        <v>2.2779961494552803E-2</v>
      </c>
      <c r="U67" s="52"/>
    </row>
    <row r="68" spans="1:24">
      <c r="A68" s="59" t="str">
        <f t="shared" si="31"/>
        <v>Commodities</v>
      </c>
      <c r="B68" s="117">
        <v>2.1637278168101695E-2</v>
      </c>
      <c r="C68" s="118">
        <v>2.1498469298630776E-2</v>
      </c>
      <c r="D68" s="119">
        <v>1.597622290655873E-3</v>
      </c>
      <c r="E68" s="117">
        <v>1.5485829313592027E-2</v>
      </c>
      <c r="F68" s="120">
        <v>4.1893196469362508E-2</v>
      </c>
      <c r="G68" s="2">
        <v>-5.8527589148086121E-3</v>
      </c>
      <c r="H68" s="2">
        <v>-0.31805534919254941</v>
      </c>
      <c r="I68" s="2">
        <v>-0.28988605145703533</v>
      </c>
      <c r="J68" s="2">
        <v>1</v>
      </c>
      <c r="K68" s="2">
        <v>-0.32013671970900048</v>
      </c>
      <c r="L68" s="2">
        <v>-7.926717634875384E-2</v>
      </c>
      <c r="M68" s="2">
        <v>1</v>
      </c>
      <c r="N68" s="57"/>
      <c r="O68" s="67"/>
      <c r="Q68" s="51" t="str">
        <f t="shared" si="32"/>
        <v>Commodities</v>
      </c>
      <c r="R68" s="72">
        <f t="shared" si="33"/>
        <v>1.597622290655873E-3</v>
      </c>
      <c r="S68" s="52">
        <f t="shared" si="34"/>
        <v>2.0039655877445821E-2</v>
      </c>
      <c r="T68" s="52">
        <f t="shared" si="35"/>
        <v>2.0255918301260813E-2</v>
      </c>
      <c r="U68" s="52"/>
    </row>
    <row r="69" spans="1:24">
      <c r="A69" s="59" t="str">
        <f t="shared" si="31"/>
        <v>Hedge funds</v>
      </c>
      <c r="B69" s="117">
        <v>9.0687231823287764E-2</v>
      </c>
      <c r="C69" s="118">
        <v>7.5877381899151783E-3</v>
      </c>
      <c r="D69" s="119">
        <v>8.2843890638734013E-2</v>
      </c>
      <c r="E69" s="117">
        <v>9.0340550633080829E-2</v>
      </c>
      <c r="F69" s="120">
        <v>9.8165579972190581E-2</v>
      </c>
      <c r="G69" s="2">
        <v>7.8497043511331546E-3</v>
      </c>
      <c r="H69" s="2">
        <v>-4.4770361842540254E-2</v>
      </c>
      <c r="I69" s="2">
        <v>1.7893876182036032E-2</v>
      </c>
      <c r="J69" s="2">
        <v>1.6673641979702066E-3</v>
      </c>
      <c r="K69" s="2">
        <v>0.44205229348959935</v>
      </c>
      <c r="L69" s="2">
        <v>1</v>
      </c>
      <c r="M69" s="2">
        <v>0.99999999999999778</v>
      </c>
      <c r="N69" s="57"/>
      <c r="O69" s="67"/>
      <c r="Q69" s="51" t="str">
        <f t="shared" si="32"/>
        <v>Hedge funds</v>
      </c>
      <c r="R69" s="72">
        <f t="shared" si="33"/>
        <v>8.2843890638734013E-2</v>
      </c>
      <c r="S69" s="52">
        <f t="shared" si="34"/>
        <v>7.843341184553751E-3</v>
      </c>
      <c r="T69" s="52">
        <f t="shared" si="35"/>
        <v>7.4783481489028164E-3</v>
      </c>
      <c r="U69" s="52"/>
      <c r="X69" s="51"/>
    </row>
    <row r="70" spans="1:24">
      <c r="A70" s="60" t="str">
        <f t="shared" si="31"/>
        <v>Onroerend goed</v>
      </c>
      <c r="B70" s="121">
        <v>0.14657451637115984</v>
      </c>
      <c r="C70" s="122">
        <v>8.4902823412244203E-3</v>
      </c>
      <c r="D70" s="123">
        <v>0.13778369406702307</v>
      </c>
      <c r="E70" s="121">
        <v>0.14614971446621136</v>
      </c>
      <c r="F70" s="124">
        <v>0.15551684282004605</v>
      </c>
      <c r="G70" s="65">
        <v>1.7342775273219341E-2</v>
      </c>
      <c r="H70" s="65">
        <v>-9.9627022592215411E-2</v>
      </c>
      <c r="I70" s="65">
        <v>-6.5522575107422295E-3</v>
      </c>
      <c r="J70" s="65">
        <v>1.4803426984417773E-2</v>
      </c>
      <c r="K70" s="65">
        <v>1</v>
      </c>
      <c r="L70" s="65">
        <v>-0.56696909849391786</v>
      </c>
      <c r="M70" s="65">
        <v>0.99999999999999678</v>
      </c>
      <c r="N70" s="66"/>
      <c r="O70" s="67"/>
      <c r="P70" s="72"/>
      <c r="Q70" s="51" t="str">
        <f t="shared" si="32"/>
        <v>Onroerend goed</v>
      </c>
      <c r="R70" s="72">
        <f t="shared" si="33"/>
        <v>0.13778369406702307</v>
      </c>
      <c r="S70" s="52">
        <f t="shared" si="34"/>
        <v>8.790822304136775E-3</v>
      </c>
      <c r="T70" s="52">
        <f t="shared" si="35"/>
        <v>8.9423264488862064E-3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5" t="s">
        <v>64</v>
      </c>
      <c r="E72" s="386"/>
      <c r="F72" s="387"/>
      <c r="G72" s="385" t="s">
        <v>65</v>
      </c>
      <c r="H72" s="386"/>
      <c r="I72" s="386"/>
      <c r="J72" s="386"/>
      <c r="K72" s="386"/>
      <c r="L72" s="386"/>
      <c r="M72" s="386"/>
      <c r="N72" s="387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0.93604060378739984</v>
      </c>
      <c r="H73" s="272">
        <v>3.1935924849421427E-2</v>
      </c>
      <c r="I73" s="272">
        <v>1.9062739708928023E-2</v>
      </c>
      <c r="J73" s="272">
        <v>1.263371757573295E-2</v>
      </c>
      <c r="K73" s="272">
        <v>3.2701407851476461E-4</v>
      </c>
      <c r="L73" s="272">
        <v>-2.2204460492503131E-16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0.23903752199518952</v>
      </c>
      <c r="C74" s="118">
        <v>4.8261385816334594E-2</v>
      </c>
      <c r="D74" s="119">
        <v>0.18667738370713693</v>
      </c>
      <c r="E74" s="117">
        <v>0.23920126875990719</v>
      </c>
      <c r="F74" s="120">
        <v>0.29267100925565337</v>
      </c>
      <c r="G74" s="2">
        <v>-0.99744405517594859</v>
      </c>
      <c r="H74" s="2">
        <v>1</v>
      </c>
      <c r="I74" s="2">
        <v>-3.2714255859532283E-2</v>
      </c>
      <c r="J74" s="2">
        <v>-0.1531061648766858</v>
      </c>
      <c r="K74" s="2">
        <v>-0.29544263203855187</v>
      </c>
      <c r="L74" s="2">
        <v>0.87335655323569994</v>
      </c>
      <c r="M74" s="2">
        <v>-3.1742360277584231E-3</v>
      </c>
      <c r="N74" s="57"/>
      <c r="O74" s="67"/>
      <c r="P74" s="72"/>
      <c r="Q74" s="51" t="str">
        <f t="shared" ref="Q74:Q80" si="37">A74</f>
        <v>High Yield</v>
      </c>
      <c r="R74" s="72">
        <f>D74</f>
        <v>0.18667738370713693</v>
      </c>
      <c r="S74" s="52">
        <f>B74-D74</f>
        <v>5.2360138288052582E-2</v>
      </c>
      <c r="T74" s="52">
        <f>F74-B74</f>
        <v>5.3633487260463852E-2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0.22518284625998192</v>
      </c>
      <c r="C75" s="118">
        <v>4.8377245592678801E-2</v>
      </c>
      <c r="D75" s="119">
        <v>0.17075513077932775</v>
      </c>
      <c r="E75" s="117">
        <v>0.22193318445574159</v>
      </c>
      <c r="F75" s="120">
        <v>0.2797392177700736</v>
      </c>
      <c r="G75" s="2">
        <v>1</v>
      </c>
      <c r="H75" s="2">
        <v>0.99484514724730044</v>
      </c>
      <c r="I75" s="2">
        <v>-4.0778783831232034E-2</v>
      </c>
      <c r="J75" s="2">
        <v>-0.147979139322202</v>
      </c>
      <c r="K75" s="2">
        <v>-0.29990882512013689</v>
      </c>
      <c r="L75" s="2">
        <v>0.87335655323569983</v>
      </c>
      <c r="M75" s="2">
        <v>-3.1742360277584244E-3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0.17075513077932775</v>
      </c>
      <c r="S75" s="52">
        <f t="shared" ref="S75:S80" si="39">B75-D75</f>
        <v>5.4427715480654171E-2</v>
      </c>
      <c r="T75" s="52">
        <f t="shared" ref="T75:T80" si="40">F75-B75</f>
        <v>5.4556371510091684E-2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0.2211444720497463</v>
      </c>
      <c r="C76" s="118">
        <v>9.0036992269772863E-3</v>
      </c>
      <c r="D76" s="119">
        <v>0.21263980419544706</v>
      </c>
      <c r="E76" s="117">
        <v>0.21960088105210507</v>
      </c>
      <c r="F76" s="120">
        <v>0.23008720968495083</v>
      </c>
      <c r="G76" s="2">
        <v>3.7454907469183034E-3</v>
      </c>
      <c r="H76" s="2">
        <v>-0.73228587702080572</v>
      </c>
      <c r="I76" s="2">
        <v>1</v>
      </c>
      <c r="J76" s="2">
        <v>-0.30534480663230384</v>
      </c>
      <c r="K76" s="2">
        <v>-0.37248465343561349</v>
      </c>
      <c r="L76" s="2">
        <v>0.87335655323569661</v>
      </c>
      <c r="M76" s="2">
        <v>-3.1742360277584635E-3</v>
      </c>
      <c r="N76" s="57"/>
      <c r="O76" s="67"/>
      <c r="Q76" s="51" t="str">
        <f t="shared" si="37"/>
        <v>Aandelen ontwikkeld</v>
      </c>
      <c r="R76" s="72">
        <f t="shared" si="38"/>
        <v>0.21263980419544706</v>
      </c>
      <c r="S76" s="52">
        <f t="shared" si="39"/>
        <v>8.504667854299236E-3</v>
      </c>
      <c r="T76" s="52">
        <f t="shared" si="40"/>
        <v>8.942737635204534E-3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7.9812238420134879E-2</v>
      </c>
      <c r="C77" s="118">
        <v>9.2166643901170405E-3</v>
      </c>
      <c r="D77" s="119">
        <v>7.1281953324095648E-2</v>
      </c>
      <c r="E77" s="117">
        <v>7.7503081909245847E-2</v>
      </c>
      <c r="F77" s="120">
        <v>8.9183553767527679E-2</v>
      </c>
      <c r="G77" s="2">
        <v>-4.5546438440945769E-3</v>
      </c>
      <c r="H77" s="2">
        <v>-0.88880066935557622</v>
      </c>
      <c r="I77" s="2">
        <v>-0.88978877750678964</v>
      </c>
      <c r="J77" s="2">
        <v>-0.39538783595395499</v>
      </c>
      <c r="K77" s="2">
        <v>-0.35152971081433976</v>
      </c>
      <c r="L77" s="2">
        <v>0.87335655323569816</v>
      </c>
      <c r="M77" s="2">
        <v>-3.1742360277584344E-3</v>
      </c>
      <c r="N77" s="57"/>
      <c r="O77" s="67"/>
      <c r="Q77" s="51" t="str">
        <f t="shared" si="37"/>
        <v>Aandelen opkomend</v>
      </c>
      <c r="R77" s="72">
        <f t="shared" si="38"/>
        <v>7.1281953324095648E-2</v>
      </c>
      <c r="S77" s="52">
        <f t="shared" si="39"/>
        <v>8.5302850960392307E-3</v>
      </c>
      <c r="T77" s="52">
        <f t="shared" si="40"/>
        <v>9.3713153473928001E-3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5.6563231547459231E-3</v>
      </c>
      <c r="C78" s="118">
        <v>7.1758575129133185E-3</v>
      </c>
      <c r="D78" s="119">
        <v>4.8630023340398279E-5</v>
      </c>
      <c r="E78" s="117">
        <v>2.3242815082483289E-3</v>
      </c>
      <c r="F78" s="120">
        <v>1.2777245118062438E-2</v>
      </c>
      <c r="G78" s="2">
        <v>-5.3963325601545419E-3</v>
      </c>
      <c r="H78" s="2">
        <v>-0.27460434691934904</v>
      </c>
      <c r="I78" s="2">
        <v>-5.752970855265397E-2</v>
      </c>
      <c r="J78" s="2">
        <v>1</v>
      </c>
      <c r="K78" s="2">
        <v>-0.34391500368177291</v>
      </c>
      <c r="L78" s="2">
        <v>0.87335655323569938</v>
      </c>
      <c r="M78" s="2">
        <v>-3.1742360277584249E-3</v>
      </c>
      <c r="N78" s="57"/>
      <c r="O78" s="67"/>
      <c r="Q78" s="51" t="str">
        <f t="shared" si="37"/>
        <v>Commodities</v>
      </c>
      <c r="R78" s="72">
        <f t="shared" si="38"/>
        <v>4.8630023340398279E-5</v>
      </c>
      <c r="S78" s="52">
        <f t="shared" si="39"/>
        <v>5.6076931314055249E-3</v>
      </c>
      <c r="T78" s="52">
        <f t="shared" si="40"/>
        <v>7.1209219633165148E-3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9.1386738782398502E-2</v>
      </c>
      <c r="C79" s="118">
        <v>6.5753512183363769E-4</v>
      </c>
      <c r="D79" s="119">
        <v>9.0720721043367702E-2</v>
      </c>
      <c r="E79" s="117">
        <v>9.1536902294493266E-2</v>
      </c>
      <c r="F79" s="120">
        <v>9.2002972861562948E-2</v>
      </c>
      <c r="G79" s="2">
        <v>1.4553588417438681E-3</v>
      </c>
      <c r="H79" s="2">
        <v>-3.954059613994252E-2</v>
      </c>
      <c r="I79" s="2">
        <v>8.2991914310298811E-3</v>
      </c>
      <c r="J79" s="2">
        <v>7.249583025497442E-4</v>
      </c>
      <c r="K79" s="2">
        <v>0.66328082509026676</v>
      </c>
      <c r="L79" s="2">
        <v>0.68242167019134614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9.0720721043367702E-2</v>
      </c>
      <c r="S79" s="52">
        <f t="shared" si="39"/>
        <v>6.6601773903079975E-4</v>
      </c>
      <c r="T79" s="52">
        <f t="shared" si="40"/>
        <v>6.1623407916444606E-4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0.13777985933780215</v>
      </c>
      <c r="C80" s="122">
        <v>9.9133745008255295E-4</v>
      </c>
      <c r="D80" s="123">
        <v>0.1367757330102545</v>
      </c>
      <c r="E80" s="121">
        <v>0.13800625441273059</v>
      </c>
      <c r="F80" s="124">
        <v>0.1387089289804844</v>
      </c>
      <c r="G80" s="65">
        <v>2.1941819915354912E-3</v>
      </c>
      <c r="H80" s="65">
        <v>-5.9613657811623519E-2</v>
      </c>
      <c r="I80" s="65">
        <v>1.2512334319178297E-2</v>
      </c>
      <c r="J80" s="65">
        <v>1.0929884825950059E-3</v>
      </c>
      <c r="K80" s="65">
        <v>1</v>
      </c>
      <c r="L80" s="65">
        <v>1</v>
      </c>
      <c r="M80" s="65">
        <v>-0.66856047100954841</v>
      </c>
      <c r="N80" s="66"/>
      <c r="O80" s="67"/>
      <c r="Q80" s="51" t="str">
        <f t="shared" si="37"/>
        <v>Onroerend goed</v>
      </c>
      <c r="R80" s="72">
        <f t="shared" si="38"/>
        <v>0.1367757330102545</v>
      </c>
      <c r="S80" s="52">
        <f t="shared" si="39"/>
        <v>1.0041263275476497E-3</v>
      </c>
      <c r="T80" s="52">
        <f t="shared" si="40"/>
        <v>9.2906964268224534E-4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55"/>
  <sheetViews>
    <sheetView topLeftCell="A19" zoomScale="85" zoomScaleNormal="85" workbookViewId="0">
      <selection activeCell="R19" sqref="R19"/>
    </sheetView>
  </sheetViews>
  <sheetFormatPr defaultRowHeight="15"/>
  <cols>
    <col min="1" max="1" width="9.140625" style="336"/>
    <col min="2" max="2" width="22.28515625" style="336" bestFit="1" customWidth="1"/>
    <col min="3" max="3" width="24.5703125" style="336" customWidth="1"/>
    <col min="4" max="5" width="18.7109375" style="336" customWidth="1"/>
    <col min="6" max="7" width="18.7109375" style="336" hidden="1" customWidth="1"/>
    <col min="8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-1.8278501643327824E-3</v>
      </c>
      <c r="E3" s="337">
        <f>+Scenarios!D24</f>
        <v>-2.0604509567567153E-2</v>
      </c>
      <c r="F3" s="337">
        <f>+Scenarios!E24</f>
        <v>-0.27327160808286638</v>
      </c>
      <c r="G3" s="337">
        <f>+Scenarios!F24</f>
        <v>-2.0604509567567153E-2</v>
      </c>
      <c r="H3" s="337">
        <f>+Scenarios!G24</f>
        <v>0</v>
      </c>
      <c r="I3" s="339">
        <f>+Scenarios!H24</f>
        <v>0</v>
      </c>
      <c r="J3" s="312">
        <f>Scenarios!D4</f>
        <v>4.3214826708651545E-2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0.03</v>
      </c>
      <c r="D4" s="327">
        <f>+Scenarios!C25</f>
        <v>1.7755802056853877E-2</v>
      </c>
      <c r="E4" s="85">
        <f>+Scenarios!D25</f>
        <v>-0.40234371147647946</v>
      </c>
      <c r="F4" s="85">
        <f>+Scenarios!E25</f>
        <v>-0.41624465647647951</v>
      </c>
      <c r="G4" s="85">
        <f>+Scenarios!F25</f>
        <v>-0.38283826947647942</v>
      </c>
      <c r="H4" s="85">
        <f>+Scenarios!G25</f>
        <v>0</v>
      </c>
      <c r="I4" s="312">
        <f>+Scenarios!H25</f>
        <v>0</v>
      </c>
      <c r="J4" s="312">
        <f>Scenarios!D5</f>
        <v>0.15823890359343337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3.1705382280009728E-2</v>
      </c>
      <c r="D5" s="327">
        <f>+Scenarios!C26</f>
        <v>2.4095859002887784E-2</v>
      </c>
      <c r="E5" s="85">
        <f>+Scenarios!D26</f>
        <v>-0.39719411345955147</v>
      </c>
      <c r="F5" s="85">
        <f>+Scenarios!E26</f>
        <v>-0.17860398021235152</v>
      </c>
      <c r="G5" s="85">
        <f>+Scenarios!F26</f>
        <v>-0.29111355069419037</v>
      </c>
      <c r="H5" s="85">
        <f>+Scenarios!G26</f>
        <v>0</v>
      </c>
      <c r="I5" s="312">
        <f>+Scenarios!H26</f>
        <v>0</v>
      </c>
      <c r="J5" s="312">
        <f>Scenarios!D6</f>
        <v>0.168148277471422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5.7210243741557129E-2</v>
      </c>
      <c r="D6" s="327">
        <f>+Scenarios!C27</f>
        <v>-2.6391451656497394E-3</v>
      </c>
      <c r="E6" s="85">
        <f>+Scenarios!D27</f>
        <v>-0.5628013453934434</v>
      </c>
      <c r="F6" s="85">
        <f>+Scenarios!E27</f>
        <v>-0.46447856989823566</v>
      </c>
      <c r="G6" s="85">
        <f>+Scenarios!F27</f>
        <v>-0.56036820871694393</v>
      </c>
      <c r="H6" s="85">
        <f>+Scenarios!G27</f>
        <v>0</v>
      </c>
      <c r="I6" s="312">
        <f>+Scenarios!H27</f>
        <v>0</v>
      </c>
      <c r="J6" s="312">
        <f>Scenarios!D7</f>
        <v>0.29001927694608043</v>
      </c>
      <c r="L6" s="210"/>
      <c r="M6" s="350" t="s">
        <v>4</v>
      </c>
      <c r="N6" s="345">
        <f>+'Control panel'!$B3</f>
        <v>0.59460926292655603</v>
      </c>
      <c r="O6" s="345">
        <f>+'Control panel'!$C3</f>
        <v>0.55000000000000004</v>
      </c>
      <c r="P6" s="345">
        <f>+'Control panel'!$D3</f>
        <v>0.65</v>
      </c>
      <c r="Q6" s="345">
        <f>+'Control panel'!$F3</f>
        <v>0.64766517686265979</v>
      </c>
      <c r="R6" s="347">
        <f t="shared" ref="R6:R13" si="0">+Q6-N6</f>
        <v>5.305591393610376E-2</v>
      </c>
    </row>
    <row r="7" spans="1:18" ht="15.75">
      <c r="A7" s="210"/>
      <c r="B7" s="319" t="s">
        <v>8</v>
      </c>
      <c r="C7" s="327">
        <f>+Scenarios!B28</f>
        <v>5.5668448282861861E-2</v>
      </c>
      <c r="D7" s="327">
        <f>+Scenarios!C28</f>
        <v>7.5254893945081197E-2</v>
      </c>
      <c r="E7" s="85">
        <f>+Scenarios!D28</f>
        <v>-0.39124920785250294</v>
      </c>
      <c r="F7" s="85">
        <f>+Scenarios!E28</f>
        <v>-0.25955043219214274</v>
      </c>
      <c r="G7" s="85">
        <f>+Scenarios!F28</f>
        <v>-0.39124920785250294</v>
      </c>
      <c r="H7" s="85">
        <f>+Scenarios!G28</f>
        <v>0</v>
      </c>
      <c r="I7" s="312">
        <f>+Scenarios!H28</f>
        <v>0</v>
      </c>
      <c r="J7" s="312">
        <f>Scenarios!D8</f>
        <v>0.29774487154665702</v>
      </c>
      <c r="L7" s="210"/>
      <c r="M7" s="350" t="s">
        <v>5</v>
      </c>
      <c r="N7" s="345">
        <f>+'Control panel'!$B4</f>
        <v>7.3502607897390396E-2</v>
      </c>
      <c r="O7" s="345">
        <f>+'Control panel'!$C4</f>
        <v>0.05</v>
      </c>
      <c r="P7" s="345">
        <f>+'Control panel'!$D4</f>
        <v>0.15</v>
      </c>
      <c r="Q7" s="345">
        <f>+'Control panel'!$F4</f>
        <v>8.4241886801590157E-2</v>
      </c>
      <c r="R7" s="347">
        <f t="shared" si="0"/>
        <v>1.0739278904199762E-2</v>
      </c>
    </row>
    <row r="8" spans="1:18" ht="15.75">
      <c r="A8" s="210"/>
      <c r="B8" s="319" t="s">
        <v>9</v>
      </c>
      <c r="C8" s="327">
        <f>+Scenarios!B29</f>
        <v>5.4683067728185694E-2</v>
      </c>
      <c r="D8" s="327">
        <f>+Scenarios!C29</f>
        <v>6.2036265615280854E-2</v>
      </c>
      <c r="E8" s="85">
        <f>+Scenarios!D29</f>
        <v>-0.527954509512369</v>
      </c>
      <c r="F8" s="85">
        <f>+Scenarios!E29</f>
        <v>-0.56384711463070247</v>
      </c>
      <c r="G8" s="85">
        <f>+Scenarios!F29</f>
        <v>-0.12960886463070243</v>
      </c>
      <c r="H8" s="85">
        <f>+Scenarios!G29</f>
        <v>0</v>
      </c>
      <c r="I8" s="312">
        <f>+Scenarios!H29</f>
        <v>0</v>
      </c>
      <c r="J8" s="312">
        <f>Scenarios!D9</f>
        <v>0.33576372020209261</v>
      </c>
      <c r="L8" s="210"/>
      <c r="M8" s="350" t="s">
        <v>6</v>
      </c>
      <c r="N8" s="345">
        <f>+'Control panel'!$B5</f>
        <v>8.232448256002324E-2</v>
      </c>
      <c r="O8" s="345">
        <f>+'Control panel'!$C5</f>
        <v>0.05</v>
      </c>
      <c r="P8" s="345">
        <f>+'Control panel'!$D5</f>
        <v>0.2</v>
      </c>
      <c r="Q8" s="345">
        <f>+'Control panel'!$F5</f>
        <v>7.9334547678456518E-2</v>
      </c>
      <c r="R8" s="348">
        <f t="shared" si="0"/>
        <v>-2.989934881566722E-3</v>
      </c>
    </row>
    <row r="9" spans="1:18" ht="15.75">
      <c r="A9" s="210"/>
      <c r="B9" s="319" t="s">
        <v>10</v>
      </c>
      <c r="C9" s="327">
        <f>+Scenarios!B30</f>
        <v>2.9030049193200475E-2</v>
      </c>
      <c r="D9" s="327">
        <f>+Scenarios!C30</f>
        <v>1.4591619612606042E-2</v>
      </c>
      <c r="E9" s="85">
        <f>+Scenarios!D30</f>
        <v>-0.23066484290463032</v>
      </c>
      <c r="F9" s="85">
        <f>+Scenarios!E30</f>
        <v>-9.3346284848618948E-3</v>
      </c>
      <c r="G9" s="85">
        <f>+Scenarios!F30</f>
        <v>-0.20832260584427478</v>
      </c>
      <c r="H9" s="85">
        <f>+Scenarios!G30</f>
        <v>0</v>
      </c>
      <c r="I9" s="312">
        <f>+Scenarios!H30</f>
        <v>0</v>
      </c>
      <c r="J9" s="312">
        <f>Scenarios!D10</f>
        <v>0.1465180543940868</v>
      </c>
      <c r="L9" s="210"/>
      <c r="M9" s="350" t="s">
        <v>7</v>
      </c>
      <c r="N9" s="345">
        <f>+'Control panel'!$B6</f>
        <v>9.6683683628085992E-2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7.7910827116559708E-2</v>
      </c>
      <c r="R9" s="348">
        <f t="shared" si="0"/>
        <v>-1.8772856511526284E-2</v>
      </c>
    </row>
    <row r="10" spans="1:18" ht="15.75">
      <c r="A10" s="210"/>
      <c r="B10" s="320" t="s">
        <v>11</v>
      </c>
      <c r="C10" s="328">
        <f>+Scenarios!B31</f>
        <v>3.8983857987503749E-2</v>
      </c>
      <c r="D10" s="328">
        <f>+Scenarios!C31</f>
        <v>1.0171029512307597E-3</v>
      </c>
      <c r="E10" s="313">
        <f>+Scenarios!D31</f>
        <v>-0.42122995880386094</v>
      </c>
      <c r="F10" s="313">
        <f>+Scenarios!E31</f>
        <v>-0.47665217132586252</v>
      </c>
      <c r="G10" s="313">
        <f>+Scenarios!F31</f>
        <v>-0.4683750016502275</v>
      </c>
      <c r="H10" s="313">
        <f>+Scenarios!G31</f>
        <v>0</v>
      </c>
      <c r="I10" s="314">
        <f>+Scenarios!H31</f>
        <v>0</v>
      </c>
      <c r="J10" s="314">
        <f>Scenarios!D11</f>
        <v>0.19915957675666104</v>
      </c>
      <c r="L10" s="210"/>
      <c r="M10" s="350" t="s">
        <v>8</v>
      </c>
      <c r="N10" s="345">
        <f>+'Control panel'!$B7</f>
        <v>5.1500558015493796E-2</v>
      </c>
      <c r="O10" s="345">
        <f>+'Control panel'!$C7</f>
        <v>2.5000000000000001E-2</v>
      </c>
      <c r="P10" s="345">
        <f>+'Control panel'!$D7</f>
        <v>0.15</v>
      </c>
      <c r="Q10" s="345">
        <f>+'Control panel'!$F7</f>
        <v>2.8116666145894708E-2</v>
      </c>
      <c r="R10" s="347">
        <f t="shared" si="0"/>
        <v>-2.3383891869599088E-2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2.0640227417381859E-2</v>
      </c>
      <c r="O11" s="345">
        <f>+'Control panel'!$C8</f>
        <v>0</v>
      </c>
      <c r="P11" s="345">
        <f>+'Control panel'!$D8</f>
        <v>0.2</v>
      </c>
      <c r="Q11" s="345">
        <f>+'Control panel'!$F8</f>
        <v>1.9917178397705921E-3</v>
      </c>
      <c r="R11" s="348">
        <f t="shared" si="0"/>
        <v>-1.8648509577611265E-2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0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3.219705746498288E-2</v>
      </c>
      <c r="O12" s="345">
        <f>+'Control panel'!$C9</f>
        <v>3.219705746498288E-2</v>
      </c>
      <c r="P12" s="345">
        <f>+'Control panel'!$D9</f>
        <v>3.219705746498288E-2</v>
      </c>
      <c r="Q12" s="345">
        <f>+'Control panel'!$F9</f>
        <v>3.2197057464982567E-2</v>
      </c>
      <c r="R12" s="347">
        <f t="shared" si="0"/>
        <v>-3.1225022567582528E-16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4.8542120090085711E-2</v>
      </c>
      <c r="O13" s="345">
        <f>+'Control panel'!$C10</f>
        <v>4.8542120090085711E-2</v>
      </c>
      <c r="P13" s="345">
        <f>+'Control panel'!$D10</f>
        <v>4.8542120090085711E-2</v>
      </c>
      <c r="Q13" s="345">
        <f>+'Control panel'!$F10</f>
        <v>4.8542120090085746E-2</v>
      </c>
      <c r="R13" s="347">
        <f t="shared" si="0"/>
        <v>0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4.7766184737795484E-3</v>
      </c>
      <c r="E14" s="316">
        <f>+Scenarios!D35</f>
        <v>-0.16252483460472297</v>
      </c>
      <c r="F14" s="316">
        <v>5.2856851617787103E-2</v>
      </c>
      <c r="G14" s="316">
        <v>-0.28178446547461966</v>
      </c>
      <c r="H14" s="316">
        <f>+Scenarios!G35</f>
        <v>0</v>
      </c>
      <c r="I14" s="317">
        <f>+Scenarios!H35</f>
        <v>0</v>
      </c>
      <c r="J14" s="325">
        <f>+Scenarios!I35</f>
        <v>-0.15305201212599054</v>
      </c>
      <c r="L14" s="210"/>
      <c r="M14" s="351"/>
      <c r="N14" s="346"/>
      <c r="O14" s="346"/>
      <c r="P14" s="346"/>
      <c r="Q14" s="346"/>
      <c r="R14" s="349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L19" s="210"/>
      <c r="M19" s="210"/>
      <c r="N19" s="210"/>
      <c r="O19" s="210"/>
      <c r="P19" s="210"/>
      <c r="Q19" s="210"/>
      <c r="R19" s="210"/>
    </row>
    <row r="20" spans="1:18">
      <c r="A20" s="210"/>
      <c r="B20" s="210"/>
      <c r="C20" s="210"/>
      <c r="D20" s="210"/>
      <c r="E20" s="210"/>
      <c r="F20" s="210"/>
      <c r="G20" s="210"/>
      <c r="H20" s="210"/>
      <c r="I20" s="210"/>
      <c r="J20" s="210"/>
      <c r="L20" s="210"/>
      <c r="M20" s="210"/>
      <c r="N20" s="210"/>
      <c r="O20" s="210"/>
      <c r="P20" s="210"/>
      <c r="Q20" s="210"/>
      <c r="R20" s="210"/>
    </row>
    <row r="21" spans="1:18">
      <c r="A21" s="210"/>
      <c r="B21" s="210"/>
      <c r="C21" s="210"/>
      <c r="D21" s="210"/>
      <c r="E21" s="210"/>
      <c r="F21" s="210"/>
      <c r="G21" s="210"/>
      <c r="H21" s="210"/>
      <c r="I21" s="210"/>
      <c r="J21" s="210"/>
      <c r="L21" s="210"/>
      <c r="M21" s="210"/>
      <c r="N21" s="210"/>
      <c r="O21" s="210"/>
      <c r="P21" s="210"/>
      <c r="Q21" s="210"/>
      <c r="R21" s="210"/>
    </row>
    <row r="22" spans="1:18">
      <c r="A22" s="210"/>
      <c r="B22" s="210"/>
      <c r="C22" s="210"/>
      <c r="D22" s="210"/>
      <c r="E22" s="210"/>
      <c r="F22" s="210"/>
      <c r="G22" s="210"/>
      <c r="H22" s="210"/>
      <c r="I22" s="210"/>
      <c r="J22" s="210"/>
      <c r="L22" s="210"/>
      <c r="M22" s="210"/>
      <c r="N22" s="210"/>
      <c r="O22" s="210"/>
      <c r="P22" s="210"/>
      <c r="Q22" s="210"/>
      <c r="R22" s="210"/>
    </row>
    <row r="23" spans="1:18">
      <c r="A23" s="210"/>
      <c r="B23" s="210"/>
      <c r="C23" s="210"/>
      <c r="D23" s="210"/>
      <c r="E23" s="210"/>
      <c r="F23" s="210"/>
      <c r="G23" s="210"/>
      <c r="H23" s="210"/>
      <c r="I23" s="210"/>
      <c r="J23" s="210"/>
      <c r="L23" s="210"/>
      <c r="M23" s="210"/>
      <c r="N23" s="210"/>
      <c r="O23" s="210"/>
      <c r="P23" s="210"/>
      <c r="Q23" s="210"/>
      <c r="R23" s="210"/>
    </row>
    <row r="24" spans="1:18">
      <c r="A24" s="210"/>
      <c r="B24" s="210"/>
      <c r="C24" s="388" t="s">
        <v>135</v>
      </c>
      <c r="D24" s="389"/>
      <c r="E24" s="388" t="s">
        <v>134</v>
      </c>
      <c r="F24" s="389"/>
      <c r="G24" s="389"/>
      <c r="H24" s="390"/>
      <c r="I24" s="210"/>
      <c r="J24" s="210"/>
      <c r="L24" s="210"/>
      <c r="M24" s="210"/>
      <c r="N24" s="210"/>
      <c r="O24" s="210"/>
      <c r="P24" s="210"/>
      <c r="Q24" s="210"/>
      <c r="R24" s="210"/>
    </row>
    <row r="25" spans="1:18" ht="39">
      <c r="A25" s="210"/>
      <c r="B25" s="318"/>
      <c r="C25" s="332" t="s">
        <v>137</v>
      </c>
      <c r="D25" s="333" t="s">
        <v>138</v>
      </c>
      <c r="E25" s="332" t="s">
        <v>140</v>
      </c>
      <c r="F25" s="333" t="s">
        <v>136</v>
      </c>
      <c r="G25" s="333"/>
      <c r="H25" s="333" t="s">
        <v>139</v>
      </c>
      <c r="I25" s="311" t="s">
        <v>141</v>
      </c>
      <c r="J25" s="343" t="s">
        <v>142</v>
      </c>
      <c r="K25" s="343" t="s">
        <v>143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19" t="s">
        <v>4</v>
      </c>
      <c r="C26" s="344">
        <v>4.4499999999999998E-2</v>
      </c>
      <c r="D26" s="344">
        <v>9.3000000000000096E-3</v>
      </c>
      <c r="E26" s="344">
        <v>-8.7300000000000003E-2</v>
      </c>
      <c r="F26" s="85"/>
      <c r="G26" s="85"/>
      <c r="H26" s="344">
        <f>+Scenarios!C24</f>
        <v>-1.8278501643327824E-3</v>
      </c>
      <c r="I26" s="358">
        <v>0.1023</v>
      </c>
      <c r="J26" s="359">
        <f>+E26/I26</f>
        <v>-0.85337243401759533</v>
      </c>
      <c r="K26" s="335">
        <f t="shared" ref="K26:K33" si="1">+H26/I26</f>
        <v>-1.786754803844362E-2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19" t="s">
        <v>5</v>
      </c>
      <c r="C27" s="322">
        <v>8.5371817899603325E-2</v>
      </c>
      <c r="D27" s="322">
        <v>5.6265360838678849E-2</v>
      </c>
      <c r="E27" s="322">
        <v>-4.6468851830414513E-2</v>
      </c>
      <c r="F27" s="85"/>
      <c r="G27" s="85"/>
      <c r="H27" s="322">
        <f>+Scenarios!C25</f>
        <v>1.7755802056853877E-2</v>
      </c>
      <c r="I27" s="322">
        <f t="shared" ref="I27:I33" si="2">+J4</f>
        <v>0.15823890359343337</v>
      </c>
      <c r="J27" s="360">
        <f>+E27/I27</f>
        <v>-0.2936626251519534</v>
      </c>
      <c r="K27" s="335">
        <f t="shared" si="1"/>
        <v>0.11220882888871779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319" t="s">
        <v>6</v>
      </c>
      <c r="C28" s="322">
        <v>0.14294511515742836</v>
      </c>
      <c r="D28" s="322">
        <v>4.8236186870114238E-2</v>
      </c>
      <c r="E28" s="322">
        <v>1.1104445427410514E-2</v>
      </c>
      <c r="F28" s="85"/>
      <c r="G28" s="85"/>
      <c r="H28" s="322">
        <f>+Scenarios!C26</f>
        <v>2.4095859002887784E-2</v>
      </c>
      <c r="I28" s="322">
        <f t="shared" si="2"/>
        <v>0.168148277471422</v>
      </c>
      <c r="J28" s="360">
        <f>+E28/I28</f>
        <v>6.6039602631658201E-2</v>
      </c>
      <c r="K28" s="335">
        <f>+H28/I28</f>
        <v>0.14330125390064163</v>
      </c>
      <c r="L28" s="210"/>
      <c r="M28" s="210"/>
      <c r="N28" s="210"/>
      <c r="O28" s="210"/>
      <c r="P28" s="210"/>
      <c r="Q28" s="210"/>
      <c r="R28" s="210"/>
    </row>
    <row r="29" spans="1:18">
      <c r="A29" s="210"/>
      <c r="B29" s="319" t="s">
        <v>7</v>
      </c>
      <c r="C29" s="322">
        <v>7.3688794074914882E-2</v>
      </c>
      <c r="D29" s="322">
        <v>4.4755655663184818E-2</v>
      </c>
      <c r="E29" s="322">
        <v>-5.8151875655102964E-2</v>
      </c>
      <c r="F29" s="85"/>
      <c r="G29" s="85"/>
      <c r="H29" s="322">
        <f>+Scenarios!C27</f>
        <v>-2.6391451656497394E-3</v>
      </c>
      <c r="I29" s="322">
        <f t="shared" si="2"/>
        <v>0.29001927694608043</v>
      </c>
      <c r="J29" s="360">
        <f t="shared" ref="J29:J33" si="3">+E29/I29</f>
        <v>-0.20051038078380698</v>
      </c>
      <c r="K29" s="335">
        <f>+H29/I29</f>
        <v>-9.0998956808667642E-3</v>
      </c>
      <c r="L29" s="210"/>
      <c r="M29" s="210"/>
      <c r="N29" s="210"/>
      <c r="O29" s="210"/>
      <c r="P29" s="210"/>
      <c r="Q29" s="210"/>
      <c r="R29" s="210"/>
    </row>
    <row r="30" spans="1:18">
      <c r="A30" s="210"/>
      <c r="B30" s="319" t="s">
        <v>8</v>
      </c>
      <c r="C30" s="322">
        <v>8.8200075364801303E-2</v>
      </c>
      <c r="D30" s="322">
        <v>0.11547766137672615</v>
      </c>
      <c r="E30" s="322">
        <v>-4.3640594365216501E-2</v>
      </c>
      <c r="F30" s="85"/>
      <c r="G30" s="85"/>
      <c r="H30" s="322">
        <f>+Scenarios!C28</f>
        <v>7.5254893945081197E-2</v>
      </c>
      <c r="I30" s="322">
        <f t="shared" si="2"/>
        <v>0.29774487154665702</v>
      </c>
      <c r="J30" s="360">
        <f t="shared" si="3"/>
        <v>-0.14657043172069534</v>
      </c>
      <c r="K30" s="335">
        <f t="shared" si="1"/>
        <v>0.25274958911689821</v>
      </c>
      <c r="L30" s="210"/>
      <c r="M30" s="210"/>
      <c r="N30" s="210"/>
      <c r="O30" s="210"/>
      <c r="P30" s="210"/>
      <c r="Q30" s="210"/>
      <c r="R30" s="210"/>
    </row>
    <row r="31" spans="1:18">
      <c r="A31" s="210"/>
      <c r="B31" s="319" t="s">
        <v>9</v>
      </c>
      <c r="C31" s="322">
        <v>9.6125190679341666E-2</v>
      </c>
      <c r="D31" s="322">
        <v>8.8245130245983364E-2</v>
      </c>
      <c r="E31" s="322">
        <v>-3.571547905067618E-2</v>
      </c>
      <c r="F31" s="85"/>
      <c r="G31" s="85"/>
      <c r="H31" s="322">
        <f>+Scenarios!C29</f>
        <v>6.2036265615280854E-2</v>
      </c>
      <c r="I31" s="322">
        <f t="shared" si="2"/>
        <v>0.33576372020209261</v>
      </c>
      <c r="J31" s="360">
        <f t="shared" si="3"/>
        <v>-0.10637087005463072</v>
      </c>
      <c r="K31" s="335">
        <f t="shared" si="1"/>
        <v>0.18476166983717565</v>
      </c>
      <c r="L31" s="210"/>
      <c r="M31" s="210"/>
      <c r="N31" s="210"/>
      <c r="O31" s="210"/>
      <c r="P31" s="210"/>
      <c r="Q31" s="210"/>
      <c r="R31" s="210"/>
    </row>
    <row r="32" spans="1:18">
      <c r="A32" s="210"/>
      <c r="B32" s="319" t="s">
        <v>10</v>
      </c>
      <c r="C32" s="322">
        <v>6.2658557549145399E-2</v>
      </c>
      <c r="D32" s="322">
        <v>3.2952299000522406E-2</v>
      </c>
      <c r="E32" s="322">
        <v>-6.9182112180872446E-2</v>
      </c>
      <c r="F32" s="85"/>
      <c r="G32" s="85"/>
      <c r="H32" s="322">
        <f>+Scenarios!C30</f>
        <v>1.4591619612606042E-2</v>
      </c>
      <c r="I32" s="322">
        <f t="shared" si="2"/>
        <v>0.1465180543940868</v>
      </c>
      <c r="J32" s="360">
        <f t="shared" si="3"/>
        <v>-0.47217465770323874</v>
      </c>
      <c r="K32" s="335">
        <f t="shared" si="1"/>
        <v>9.9589225866726583E-2</v>
      </c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20" t="s">
        <v>11</v>
      </c>
      <c r="C33" s="323">
        <v>7.3464510927495008E-2</v>
      </c>
      <c r="D33" s="323">
        <v>3.9406691481015818E-2</v>
      </c>
      <c r="E33" s="323">
        <v>-5.8376158802522837E-2</v>
      </c>
      <c r="F33" s="313"/>
      <c r="G33" s="313"/>
      <c r="H33" s="323">
        <f>+Scenarios!C31</f>
        <v>1.0171029512307597E-3</v>
      </c>
      <c r="I33" s="323">
        <f t="shared" si="2"/>
        <v>0.19915957675666104</v>
      </c>
      <c r="J33" s="361">
        <f t="shared" si="3"/>
        <v>-0.29311248674648732</v>
      </c>
      <c r="K33" s="340">
        <f t="shared" si="1"/>
        <v>5.1069748580229489E-3</v>
      </c>
      <c r="L33" s="210"/>
      <c r="M33" s="210"/>
      <c r="N33" s="210"/>
      <c r="O33" s="210"/>
      <c r="P33" s="210"/>
      <c r="Q33" s="210"/>
      <c r="R33" s="210"/>
    </row>
    <row r="34" spans="1:18">
      <c r="A34" s="210"/>
      <c r="B34" s="84"/>
      <c r="C34" s="84"/>
      <c r="D34" s="84"/>
      <c r="E34" s="98"/>
      <c r="F34" s="98"/>
      <c r="G34" s="84"/>
      <c r="H34" s="84"/>
      <c r="I34" s="84"/>
      <c r="J34" s="84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</row>
    <row r="49" spans="1:13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</row>
    <row r="50" spans="1:13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</row>
    <row r="51" spans="1:13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</row>
    <row r="52" spans="1:13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</row>
    <row r="53" spans="1:13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</row>
    <row r="54" spans="1:13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</row>
    <row r="55" spans="1:13">
      <c r="M55" s="210"/>
    </row>
  </sheetData>
  <mergeCells count="2">
    <mergeCell ref="C24:D24"/>
    <mergeCell ref="E24:H2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2013-01-17T11:04:53Z</dcterms:modified>
</cp:coreProperties>
</file>