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28560" yWindow="75" windowWidth="28530" windowHeight="12795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</sheets>
  <externalReferences>
    <externalReference r:id="rId8"/>
    <externalReference r:id="rId9"/>
    <externalReference r:id="rId10"/>
  </externalReferences>
  <definedNames>
    <definedName name="aan_uit">Optimalisatie!$B$101:$B$102</definedName>
    <definedName name="hh">'[1]Parameters scenarios'!$A$104:$A$118</definedName>
    <definedName name="k">'Absolute visies'!$O$4:$V$11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alcOnSave="0"/>
</workbook>
</file>

<file path=xl/calcChain.xml><?xml version="1.0" encoding="utf-8"?>
<calcChain xmlns="http://schemas.openxmlformats.org/spreadsheetml/2006/main">
  <c r="F10" i="9"/>
  <c r="X10"/>
  <c r="W10"/>
  <c r="B114" i="4"/>
  <c r="A11"/>
  <c r="A114"/>
  <c r="L84" i="1"/>
  <c r="L83"/>
  <c r="L82"/>
  <c r="L81"/>
  <c r="L80"/>
  <c r="L79"/>
  <c r="L78"/>
  <c r="L77"/>
  <c r="L76"/>
  <c r="L12"/>
  <c r="L24" s="1"/>
  <c r="L36" s="1"/>
  <c r="L48" s="1"/>
  <c r="L11"/>
  <c r="L23" s="1"/>
  <c r="L35" s="1"/>
  <c r="L47" s="1"/>
  <c r="L10"/>
  <c r="L22" s="1"/>
  <c r="L34" s="1"/>
  <c r="L46" s="1"/>
  <c r="L9"/>
  <c r="L21" s="1"/>
  <c r="L33" s="1"/>
  <c r="L45" s="1"/>
  <c r="L8"/>
  <c r="L20" s="1"/>
  <c r="L32" s="1"/>
  <c r="L44" s="1"/>
  <c r="L7"/>
  <c r="L19" s="1"/>
  <c r="L31" s="1"/>
  <c r="L43" s="1"/>
  <c r="L6"/>
  <c r="L18" s="1"/>
  <c r="L30" s="1"/>
  <c r="L42" s="1"/>
  <c r="L5"/>
  <c r="L17" s="1"/>
  <c r="L29" s="1"/>
  <c r="L41" s="1"/>
  <c r="L4"/>
  <c r="L16" s="1"/>
  <c r="L28" s="1"/>
  <c r="L40" s="1"/>
  <c r="B117" i="8"/>
  <c r="T87"/>
  <c r="S87"/>
  <c r="R87"/>
  <c r="A11" i="6"/>
  <c r="A10" i="8"/>
  <c r="A54"/>
  <c r="A65"/>
  <c r="A76"/>
  <c r="A87"/>
  <c r="Q87"/>
  <c r="T76"/>
  <c r="S76"/>
  <c r="R76"/>
  <c r="Q76"/>
  <c r="T65"/>
  <c r="S65"/>
  <c r="R65"/>
  <c r="Q65"/>
  <c r="T54"/>
  <c r="S54"/>
  <c r="R54"/>
  <c r="Q54"/>
  <c r="T43"/>
  <c r="S43"/>
  <c r="R43"/>
  <c r="A43"/>
  <c r="Q43"/>
  <c r="T32"/>
  <c r="S32"/>
  <c r="R32"/>
  <c r="A32"/>
  <c r="Q32"/>
  <c r="T21"/>
  <c r="S21"/>
  <c r="R21"/>
  <c r="A21"/>
  <c r="Q21"/>
  <c r="T10"/>
  <c r="S10"/>
  <c r="R10"/>
  <c r="Q10"/>
  <c r="U95" i="6"/>
  <c r="T95"/>
  <c r="S95"/>
  <c r="A23"/>
  <c r="A35"/>
  <c r="A47"/>
  <c r="A59"/>
  <c r="A71"/>
  <c r="A83"/>
  <c r="A95"/>
  <c r="R95"/>
  <c r="U83"/>
  <c r="T83"/>
  <c r="S83"/>
  <c r="R83"/>
  <c r="U71"/>
  <c r="T71"/>
  <c r="S71"/>
  <c r="R71"/>
  <c r="U59"/>
  <c r="T59"/>
  <c r="S59"/>
  <c r="R59"/>
  <c r="U47"/>
  <c r="T47"/>
  <c r="S47"/>
  <c r="R47"/>
  <c r="U35"/>
  <c r="T35"/>
  <c r="S35"/>
  <c r="R35"/>
  <c r="U23"/>
  <c r="T23"/>
  <c r="S23"/>
  <c r="R23"/>
  <c r="A10"/>
  <c r="A22"/>
  <c r="A34"/>
  <c r="A46"/>
  <c r="U11"/>
  <c r="T11"/>
  <c r="S11"/>
  <c r="R11"/>
  <c r="A124" i="5"/>
  <c r="A23" i="4"/>
  <c r="H11"/>
  <c r="G11"/>
  <c r="D11"/>
  <c r="C11"/>
  <c r="B77" i="1"/>
  <c r="B78"/>
  <c r="B79"/>
  <c r="B80"/>
  <c r="B81"/>
  <c r="B82"/>
  <c r="B83"/>
  <c r="B84"/>
  <c r="B76"/>
  <c r="B72"/>
  <c r="B71"/>
  <c r="B65"/>
  <c r="B66"/>
  <c r="B67"/>
  <c r="B68"/>
  <c r="B69"/>
  <c r="B70"/>
  <c r="B64"/>
  <c r="B53"/>
  <c r="B54"/>
  <c r="B55"/>
  <c r="B56"/>
  <c r="B57"/>
  <c r="B58"/>
  <c r="B59"/>
  <c r="B52"/>
  <c r="B41"/>
  <c r="B42"/>
  <c r="B43"/>
  <c r="B44"/>
  <c r="B45"/>
  <c r="B46"/>
  <c r="B47"/>
  <c r="B48"/>
  <c r="B40"/>
  <c r="B29"/>
  <c r="B30"/>
  <c r="B31"/>
  <c r="B32"/>
  <c r="B33"/>
  <c r="B34"/>
  <c r="B35"/>
  <c r="B36"/>
  <c r="B28"/>
  <c r="B17"/>
  <c r="B18"/>
  <c r="B19"/>
  <c r="B20"/>
  <c r="B21"/>
  <c r="B22"/>
  <c r="B23"/>
  <c r="B24"/>
  <c r="B16"/>
  <c r="K84"/>
  <c r="J84"/>
  <c r="I84"/>
  <c r="H84"/>
  <c r="G84"/>
  <c r="F84"/>
  <c r="E84"/>
  <c r="D84"/>
  <c r="C84"/>
  <c r="K83"/>
  <c r="J83"/>
  <c r="I83"/>
  <c r="H83"/>
  <c r="G83"/>
  <c r="F83"/>
  <c r="E83"/>
  <c r="D83"/>
  <c r="C83"/>
  <c r="K82"/>
  <c r="J82"/>
  <c r="I82"/>
  <c r="H82"/>
  <c r="G82"/>
  <c r="F82"/>
  <c r="E82"/>
  <c r="D82"/>
  <c r="C82"/>
  <c r="K81"/>
  <c r="J81"/>
  <c r="I81"/>
  <c r="H81"/>
  <c r="G81"/>
  <c r="F81"/>
  <c r="E81"/>
  <c r="D81"/>
  <c r="C81"/>
  <c r="K80"/>
  <c r="J80"/>
  <c r="I80"/>
  <c r="H80"/>
  <c r="G80"/>
  <c r="F80"/>
  <c r="E80"/>
  <c r="D80"/>
  <c r="C80"/>
  <c r="K79"/>
  <c r="J79"/>
  <c r="I79"/>
  <c r="H79"/>
  <c r="G79"/>
  <c r="F79"/>
  <c r="E79"/>
  <c r="D79"/>
  <c r="C79"/>
  <c r="K78"/>
  <c r="J78"/>
  <c r="I78"/>
  <c r="H78"/>
  <c r="G78"/>
  <c r="F78"/>
  <c r="E78"/>
  <c r="D78"/>
  <c r="C78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12"/>
  <c r="K24" s="1"/>
  <c r="K36" s="1"/>
  <c r="K48" s="1"/>
  <c r="J12"/>
  <c r="J24" s="1"/>
  <c r="J36" s="1"/>
  <c r="J48" s="1"/>
  <c r="I12"/>
  <c r="I24" s="1"/>
  <c r="I36" s="1"/>
  <c r="I48" s="1"/>
  <c r="H12"/>
  <c r="H24" s="1"/>
  <c r="H36" s="1"/>
  <c r="H48" s="1"/>
  <c r="G12"/>
  <c r="G24" s="1"/>
  <c r="G36" s="1"/>
  <c r="G48" s="1"/>
  <c r="F12"/>
  <c r="F24" s="1"/>
  <c r="F36" s="1"/>
  <c r="F48" s="1"/>
  <c r="E12"/>
  <c r="E24" s="1"/>
  <c r="E36" s="1"/>
  <c r="E48" s="1"/>
  <c r="D12"/>
  <c r="D24" s="1"/>
  <c r="D36" s="1"/>
  <c r="D48" s="1"/>
  <c r="C12"/>
  <c r="C24" s="1"/>
  <c r="C36" s="1"/>
  <c r="C48" s="1"/>
  <c r="K11"/>
  <c r="K23" s="1"/>
  <c r="K35" s="1"/>
  <c r="K47" s="1"/>
  <c r="J11"/>
  <c r="J23" s="1"/>
  <c r="J35" s="1"/>
  <c r="J47" s="1"/>
  <c r="I11"/>
  <c r="I23" s="1"/>
  <c r="I35" s="1"/>
  <c r="I47" s="1"/>
  <c r="H11"/>
  <c r="H23" s="1"/>
  <c r="H35" s="1"/>
  <c r="H47" s="1"/>
  <c r="G11"/>
  <c r="G23" s="1"/>
  <c r="G35" s="1"/>
  <c r="G47" s="1"/>
  <c r="F11"/>
  <c r="F23" s="1"/>
  <c r="F35" s="1"/>
  <c r="F47" s="1"/>
  <c r="E11"/>
  <c r="E23" s="1"/>
  <c r="E35" s="1"/>
  <c r="E47" s="1"/>
  <c r="D11"/>
  <c r="D23" s="1"/>
  <c r="D35" s="1"/>
  <c r="D47" s="1"/>
  <c r="C11"/>
  <c r="C23" s="1"/>
  <c r="C35" s="1"/>
  <c r="C47" s="1"/>
  <c r="K10"/>
  <c r="K22" s="1"/>
  <c r="K34" s="1"/>
  <c r="K46" s="1"/>
  <c r="J10"/>
  <c r="J22" s="1"/>
  <c r="J34" s="1"/>
  <c r="J46" s="1"/>
  <c r="I10"/>
  <c r="I22" s="1"/>
  <c r="I34" s="1"/>
  <c r="I46" s="1"/>
  <c r="H10"/>
  <c r="H22" s="1"/>
  <c r="H34" s="1"/>
  <c r="H46" s="1"/>
  <c r="G10"/>
  <c r="G22" s="1"/>
  <c r="G34" s="1"/>
  <c r="G46" s="1"/>
  <c r="F10"/>
  <c r="F22" s="1"/>
  <c r="F34" s="1"/>
  <c r="F46" s="1"/>
  <c r="E10"/>
  <c r="E22" s="1"/>
  <c r="E34" s="1"/>
  <c r="E46" s="1"/>
  <c r="D10"/>
  <c r="D22" s="1"/>
  <c r="D34" s="1"/>
  <c r="D46" s="1"/>
  <c r="C10"/>
  <c r="C22" s="1"/>
  <c r="C34" s="1"/>
  <c r="C46" s="1"/>
  <c r="K9"/>
  <c r="K21" s="1"/>
  <c r="K33" s="1"/>
  <c r="K45" s="1"/>
  <c r="J9"/>
  <c r="J21" s="1"/>
  <c r="J33" s="1"/>
  <c r="J45" s="1"/>
  <c r="I9"/>
  <c r="I21" s="1"/>
  <c r="I33" s="1"/>
  <c r="I45" s="1"/>
  <c r="H9"/>
  <c r="H21" s="1"/>
  <c r="H33" s="1"/>
  <c r="H45" s="1"/>
  <c r="G9"/>
  <c r="G21" s="1"/>
  <c r="G33" s="1"/>
  <c r="G45" s="1"/>
  <c r="F9"/>
  <c r="F21" s="1"/>
  <c r="F33" s="1"/>
  <c r="F45" s="1"/>
  <c r="E9"/>
  <c r="E21" s="1"/>
  <c r="E33" s="1"/>
  <c r="E45" s="1"/>
  <c r="D9"/>
  <c r="D21" s="1"/>
  <c r="D33" s="1"/>
  <c r="D45" s="1"/>
  <c r="C9"/>
  <c r="C21" s="1"/>
  <c r="C33" s="1"/>
  <c r="C45" s="1"/>
  <c r="K8"/>
  <c r="K20" s="1"/>
  <c r="K32" s="1"/>
  <c r="K44" s="1"/>
  <c r="J8"/>
  <c r="J20" s="1"/>
  <c r="J32" s="1"/>
  <c r="J44" s="1"/>
  <c r="I8"/>
  <c r="I20" s="1"/>
  <c r="I32" s="1"/>
  <c r="I44" s="1"/>
  <c r="H8"/>
  <c r="H20" s="1"/>
  <c r="H32" s="1"/>
  <c r="H44" s="1"/>
  <c r="G8"/>
  <c r="G20" s="1"/>
  <c r="G32" s="1"/>
  <c r="G44" s="1"/>
  <c r="F8"/>
  <c r="F20" s="1"/>
  <c r="F32" s="1"/>
  <c r="F44" s="1"/>
  <c r="E8"/>
  <c r="E20" s="1"/>
  <c r="E32" s="1"/>
  <c r="E44" s="1"/>
  <c r="D8"/>
  <c r="D20" s="1"/>
  <c r="D32" s="1"/>
  <c r="D44" s="1"/>
  <c r="C8"/>
  <c r="C20" s="1"/>
  <c r="C32" s="1"/>
  <c r="C44" s="1"/>
  <c r="K7"/>
  <c r="K19" s="1"/>
  <c r="K31" s="1"/>
  <c r="K43" s="1"/>
  <c r="J7"/>
  <c r="J19" s="1"/>
  <c r="J31" s="1"/>
  <c r="J43" s="1"/>
  <c r="I7"/>
  <c r="I19" s="1"/>
  <c r="I31" s="1"/>
  <c r="I43" s="1"/>
  <c r="H7"/>
  <c r="H19" s="1"/>
  <c r="H31" s="1"/>
  <c r="H43" s="1"/>
  <c r="G7"/>
  <c r="G19" s="1"/>
  <c r="G31" s="1"/>
  <c r="G43" s="1"/>
  <c r="F7"/>
  <c r="F19" s="1"/>
  <c r="F31" s="1"/>
  <c r="F43" s="1"/>
  <c r="E7"/>
  <c r="E19" s="1"/>
  <c r="E31" s="1"/>
  <c r="E43" s="1"/>
  <c r="D7"/>
  <c r="D19" s="1"/>
  <c r="D31" s="1"/>
  <c r="D43" s="1"/>
  <c r="C7"/>
  <c r="C19" s="1"/>
  <c r="C31" s="1"/>
  <c r="C43" s="1"/>
  <c r="K6"/>
  <c r="K18" s="1"/>
  <c r="K30" s="1"/>
  <c r="K42" s="1"/>
  <c r="J6"/>
  <c r="J18" s="1"/>
  <c r="J30" s="1"/>
  <c r="J42" s="1"/>
  <c r="I6"/>
  <c r="I18" s="1"/>
  <c r="I30" s="1"/>
  <c r="I42" s="1"/>
  <c r="H6"/>
  <c r="H18" s="1"/>
  <c r="H30" s="1"/>
  <c r="H42" s="1"/>
  <c r="G6"/>
  <c r="G18" s="1"/>
  <c r="G30" s="1"/>
  <c r="G42" s="1"/>
  <c r="F6"/>
  <c r="F18" s="1"/>
  <c r="F30" s="1"/>
  <c r="F42" s="1"/>
  <c r="E6"/>
  <c r="E18" s="1"/>
  <c r="E30" s="1"/>
  <c r="E42" s="1"/>
  <c r="D6"/>
  <c r="D18" s="1"/>
  <c r="D30" s="1"/>
  <c r="D42" s="1"/>
  <c r="C6"/>
  <c r="C18" s="1"/>
  <c r="C30" s="1"/>
  <c r="C42" s="1"/>
  <c r="K5"/>
  <c r="K17" s="1"/>
  <c r="K29" s="1"/>
  <c r="K41" s="1"/>
  <c r="J5"/>
  <c r="J17" s="1"/>
  <c r="J29" s="1"/>
  <c r="J41" s="1"/>
  <c r="I5"/>
  <c r="I17" s="1"/>
  <c r="I29" s="1"/>
  <c r="I41" s="1"/>
  <c r="H5"/>
  <c r="H17" s="1"/>
  <c r="H29" s="1"/>
  <c r="H41" s="1"/>
  <c r="G5"/>
  <c r="G17" s="1"/>
  <c r="G29" s="1"/>
  <c r="G41" s="1"/>
  <c r="F5"/>
  <c r="F17" s="1"/>
  <c r="F29" s="1"/>
  <c r="F41" s="1"/>
  <c r="E5"/>
  <c r="E17" s="1"/>
  <c r="E29" s="1"/>
  <c r="E41" s="1"/>
  <c r="D5"/>
  <c r="D17" s="1"/>
  <c r="D29" s="1"/>
  <c r="D41" s="1"/>
  <c r="C5"/>
  <c r="C17" s="1"/>
  <c r="C29" s="1"/>
  <c r="C41" s="1"/>
  <c r="K4"/>
  <c r="K16" s="1"/>
  <c r="K28" s="1"/>
  <c r="K40" s="1"/>
  <c r="J4"/>
  <c r="J16" s="1"/>
  <c r="J28" s="1"/>
  <c r="J40" s="1"/>
  <c r="I4"/>
  <c r="I16" s="1"/>
  <c r="I28" s="1"/>
  <c r="I40" s="1"/>
  <c r="H4"/>
  <c r="H16" s="1"/>
  <c r="H28" s="1"/>
  <c r="H40" s="1"/>
  <c r="G4"/>
  <c r="G16" s="1"/>
  <c r="G28" s="1"/>
  <c r="G40" s="1"/>
  <c r="F4"/>
  <c r="F16" s="1"/>
  <c r="F28" s="1"/>
  <c r="F40" s="1"/>
  <c r="E4"/>
  <c r="E16" s="1"/>
  <c r="E28" s="1"/>
  <c r="E40" s="1"/>
  <c r="D4"/>
  <c r="D16" s="1"/>
  <c r="D28" s="1"/>
  <c r="D40" s="1"/>
  <c r="C4"/>
  <c r="C16" s="1"/>
  <c r="C28" s="1"/>
  <c r="C40" s="1"/>
  <c r="B33" i="7"/>
  <c r="B12" i="1" s="1"/>
  <c r="B32" i="7"/>
  <c r="B11" i="1" s="1"/>
  <c r="A112" i="7"/>
  <c r="A111"/>
  <c r="A105"/>
  <c r="A106"/>
  <c r="A107"/>
  <c r="A108"/>
  <c r="A109"/>
  <c r="A110"/>
  <c r="B12"/>
  <c r="B11"/>
  <c r="G10" i="9"/>
  <c r="B12"/>
  <c r="B27"/>
  <c r="D27" i="5" s="1"/>
  <c r="B31" i="7"/>
  <c r="B30"/>
  <c r="I30" s="1"/>
  <c r="B29"/>
  <c r="B28"/>
  <c r="I28" s="1"/>
  <c r="B27"/>
  <c r="B26"/>
  <c r="I26" s="1"/>
  <c r="B25"/>
  <c r="E35"/>
  <c r="C35"/>
  <c r="B35"/>
  <c r="D35"/>
  <c r="F35"/>
  <c r="G35"/>
  <c r="H35"/>
  <c r="I31"/>
  <c r="I29"/>
  <c r="I27"/>
  <c r="I25"/>
  <c r="A6" i="6"/>
  <c r="A5" i="8"/>
  <c r="A7" i="6"/>
  <c r="A6" i="8"/>
  <c r="A8" i="6"/>
  <c r="A7" i="8"/>
  <c r="A9" i="6"/>
  <c r="A8" i="8"/>
  <c r="A9"/>
  <c r="A12" i="6"/>
  <c r="A11" i="8"/>
  <c r="A5" i="6"/>
  <c r="A4" i="8"/>
  <c r="F11" i="9"/>
  <c r="F9"/>
  <c r="F8"/>
  <c r="F7"/>
  <c r="F6"/>
  <c r="F5"/>
  <c r="F4"/>
  <c r="F3"/>
  <c r="H37" i="7"/>
  <c r="D37"/>
  <c r="B37"/>
  <c r="I35"/>
  <c r="E37"/>
  <c r="F37"/>
  <c r="G7" i="9"/>
  <c r="G6"/>
  <c r="G3"/>
  <c r="G4"/>
  <c r="G5"/>
  <c r="G8"/>
  <c r="G9"/>
  <c r="G11"/>
  <c r="A21" i="5"/>
  <c r="A22"/>
  <c r="A23"/>
  <c r="A24"/>
  <c r="A25"/>
  <c r="A26"/>
  <c r="G5"/>
  <c r="H5"/>
  <c r="H27"/>
  <c r="C112"/>
  <c r="C111"/>
  <c r="C106"/>
  <c r="C107"/>
  <c r="C108"/>
  <c r="C109"/>
  <c r="C110"/>
  <c r="A87" i="6"/>
  <c r="A80" i="8"/>
  <c r="A66"/>
  <c r="A77"/>
  <c r="A88"/>
  <c r="A53"/>
  <c r="A64"/>
  <c r="A75"/>
  <c r="A86"/>
  <c r="A52"/>
  <c r="A63"/>
  <c r="A74"/>
  <c r="A85"/>
  <c r="A51"/>
  <c r="A62"/>
  <c r="A73"/>
  <c r="A84"/>
  <c r="A50"/>
  <c r="A61"/>
  <c r="A72"/>
  <c r="A83"/>
  <c r="A49"/>
  <c r="A60"/>
  <c r="A71"/>
  <c r="A82"/>
  <c r="A48"/>
  <c r="A59"/>
  <c r="A70"/>
  <c r="A81"/>
  <c r="A75" i="6"/>
  <c r="A69" i="8"/>
  <c r="A63" i="6"/>
  <c r="U96"/>
  <c r="T96"/>
  <c r="S96"/>
  <c r="A24"/>
  <c r="A48"/>
  <c r="A60"/>
  <c r="A72"/>
  <c r="A84"/>
  <c r="A96"/>
  <c r="R96"/>
  <c r="U94"/>
  <c r="T94"/>
  <c r="S94"/>
  <c r="A58"/>
  <c r="A70"/>
  <c r="A82"/>
  <c r="A94"/>
  <c r="R94"/>
  <c r="U93"/>
  <c r="T93"/>
  <c r="S93"/>
  <c r="A21"/>
  <c r="A45"/>
  <c r="A57"/>
  <c r="A69"/>
  <c r="A81"/>
  <c r="A93"/>
  <c r="R93"/>
  <c r="U92"/>
  <c r="T92"/>
  <c r="S92"/>
  <c r="A20"/>
  <c r="A44"/>
  <c r="A56"/>
  <c r="A68"/>
  <c r="A80"/>
  <c r="A92"/>
  <c r="R92"/>
  <c r="U91"/>
  <c r="T91"/>
  <c r="S91"/>
  <c r="A19"/>
  <c r="A43"/>
  <c r="A55"/>
  <c r="A67"/>
  <c r="A79"/>
  <c r="A91"/>
  <c r="R91"/>
  <c r="U90"/>
  <c r="T90"/>
  <c r="S90"/>
  <c r="A18"/>
  <c r="A42"/>
  <c r="A54"/>
  <c r="A66"/>
  <c r="A78"/>
  <c r="A90"/>
  <c r="R90"/>
  <c r="U89"/>
  <c r="T89"/>
  <c r="S89"/>
  <c r="A17"/>
  <c r="A41"/>
  <c r="A53"/>
  <c r="A65"/>
  <c r="A77"/>
  <c r="A89"/>
  <c r="R89"/>
  <c r="U88"/>
  <c r="T88"/>
  <c r="S88"/>
  <c r="A4"/>
  <c r="A16"/>
  <c r="A40"/>
  <c r="A52"/>
  <c r="A64"/>
  <c r="A76"/>
  <c r="A88"/>
  <c r="R88"/>
  <c r="R87"/>
  <c r="U84"/>
  <c r="T84"/>
  <c r="S84"/>
  <c r="R84"/>
  <c r="U82"/>
  <c r="T82"/>
  <c r="S82"/>
  <c r="R82"/>
  <c r="U81"/>
  <c r="T81"/>
  <c r="S81"/>
  <c r="R81"/>
  <c r="U80"/>
  <c r="T80"/>
  <c r="S80"/>
  <c r="R80"/>
  <c r="U79"/>
  <c r="T79"/>
  <c r="S79"/>
  <c r="R79"/>
  <c r="U78"/>
  <c r="T78"/>
  <c r="S78"/>
  <c r="R78"/>
  <c r="U77"/>
  <c r="T77"/>
  <c r="S77"/>
  <c r="R77"/>
  <c r="U76"/>
  <c r="T76"/>
  <c r="S76"/>
  <c r="R76"/>
  <c r="R75"/>
  <c r="V88" i="8"/>
  <c r="T88"/>
  <c r="S88"/>
  <c r="R88"/>
  <c r="Q88"/>
  <c r="V86"/>
  <c r="T86"/>
  <c r="S86"/>
  <c r="R86"/>
  <c r="A33"/>
  <c r="Q86"/>
  <c r="V85"/>
  <c r="T85"/>
  <c r="S85"/>
  <c r="R85"/>
  <c r="A31"/>
  <c r="Q85"/>
  <c r="V84"/>
  <c r="T84"/>
  <c r="S84"/>
  <c r="R84"/>
  <c r="A30"/>
  <c r="Q84"/>
  <c r="V83"/>
  <c r="T83"/>
  <c r="S83"/>
  <c r="R83"/>
  <c r="A29"/>
  <c r="Q83"/>
  <c r="V82"/>
  <c r="T82"/>
  <c r="S82"/>
  <c r="R82"/>
  <c r="A28"/>
  <c r="Q82"/>
  <c r="V81"/>
  <c r="T81"/>
  <c r="S81"/>
  <c r="R81"/>
  <c r="A27"/>
  <c r="Q81"/>
  <c r="Q80"/>
  <c r="T77"/>
  <c r="S77"/>
  <c r="R77"/>
  <c r="Q77"/>
  <c r="T75"/>
  <c r="S75"/>
  <c r="R75"/>
  <c r="Q75"/>
  <c r="T74"/>
  <c r="S74"/>
  <c r="R74"/>
  <c r="Q74"/>
  <c r="T73"/>
  <c r="S73"/>
  <c r="R73"/>
  <c r="Q73"/>
  <c r="T72"/>
  <c r="S72"/>
  <c r="R72"/>
  <c r="Q72"/>
  <c r="T71"/>
  <c r="S71"/>
  <c r="R71"/>
  <c r="Q71"/>
  <c r="T70"/>
  <c r="S70"/>
  <c r="R70"/>
  <c r="Q70"/>
  <c r="Q69"/>
  <c r="A75" i="1"/>
  <c r="A63"/>
  <c r="A51"/>
  <c r="A39"/>
  <c r="A27"/>
  <c r="A15"/>
  <c r="F5" i="5"/>
  <c r="E5"/>
  <c r="D5"/>
  <c r="C5"/>
  <c r="B5"/>
  <c r="B34"/>
  <c r="B27"/>
  <c r="G27"/>
  <c r="E27"/>
  <c r="C27"/>
  <c r="X5" i="9"/>
  <c r="X6"/>
  <c r="X7"/>
  <c r="X8"/>
  <c r="X9"/>
  <c r="X11"/>
  <c r="X4"/>
  <c r="B31" i="5"/>
  <c r="B30"/>
  <c r="H20"/>
  <c r="G5" i="4"/>
  <c r="G6"/>
  <c r="G7"/>
  <c r="G8"/>
  <c r="G9"/>
  <c r="G10"/>
  <c r="G12"/>
  <c r="G4"/>
  <c r="H13"/>
  <c r="H5"/>
  <c r="H6"/>
  <c r="H7"/>
  <c r="H8"/>
  <c r="H9"/>
  <c r="H10"/>
  <c r="H12"/>
  <c r="H4"/>
  <c r="D4"/>
  <c r="D5"/>
  <c r="D6"/>
  <c r="D7"/>
  <c r="D8"/>
  <c r="D9"/>
  <c r="D10"/>
  <c r="D12"/>
  <c r="C5"/>
  <c r="C6"/>
  <c r="C7"/>
  <c r="C8"/>
  <c r="C9"/>
  <c r="C10"/>
  <c r="C12"/>
  <c r="C4"/>
  <c r="B5" i="7"/>
  <c r="B6"/>
  <c r="B7"/>
  <c r="B8"/>
  <c r="B9"/>
  <c r="B10"/>
  <c r="B4"/>
  <c r="A4" i="9"/>
  <c r="W4"/>
  <c r="A5"/>
  <c r="W5"/>
  <c r="A6"/>
  <c r="W6"/>
  <c r="A7"/>
  <c r="W7"/>
  <c r="A8"/>
  <c r="W8"/>
  <c r="A9"/>
  <c r="W9"/>
  <c r="W11"/>
  <c r="A3"/>
  <c r="B118" i="8"/>
  <c r="B116"/>
  <c r="B115"/>
  <c r="B114"/>
  <c r="B113"/>
  <c r="B112"/>
  <c r="B111"/>
  <c r="V66"/>
  <c r="T66"/>
  <c r="S66"/>
  <c r="R66"/>
  <c r="V64"/>
  <c r="T64"/>
  <c r="S64"/>
  <c r="R64"/>
  <c r="V63"/>
  <c r="T63"/>
  <c r="S63"/>
  <c r="R63"/>
  <c r="V62"/>
  <c r="T62"/>
  <c r="S62"/>
  <c r="R62"/>
  <c r="V61"/>
  <c r="T61"/>
  <c r="S61"/>
  <c r="R61"/>
  <c r="V60"/>
  <c r="T60"/>
  <c r="S60"/>
  <c r="R60"/>
  <c r="V59"/>
  <c r="T59"/>
  <c r="S59"/>
  <c r="R59"/>
  <c r="T55"/>
  <c r="S55"/>
  <c r="R55"/>
  <c r="T53"/>
  <c r="S53"/>
  <c r="R53"/>
  <c r="T52"/>
  <c r="S52"/>
  <c r="R52"/>
  <c r="T51"/>
  <c r="S51"/>
  <c r="R51"/>
  <c r="T50"/>
  <c r="S50"/>
  <c r="R50"/>
  <c r="T49"/>
  <c r="S49"/>
  <c r="R49"/>
  <c r="T48"/>
  <c r="S48"/>
  <c r="R48"/>
  <c r="T44"/>
  <c r="S44"/>
  <c r="R44"/>
  <c r="T42"/>
  <c r="S42"/>
  <c r="R42"/>
  <c r="A42"/>
  <c r="Q42"/>
  <c r="T41"/>
  <c r="S41"/>
  <c r="R41"/>
  <c r="T40"/>
  <c r="S40"/>
  <c r="R40"/>
  <c r="A40"/>
  <c r="Q40"/>
  <c r="T39"/>
  <c r="S39"/>
  <c r="R39"/>
  <c r="T38"/>
  <c r="S38"/>
  <c r="R38"/>
  <c r="A38"/>
  <c r="Q38"/>
  <c r="T37"/>
  <c r="S37"/>
  <c r="R37"/>
  <c r="T33"/>
  <c r="S33"/>
  <c r="R33"/>
  <c r="T31"/>
  <c r="S31"/>
  <c r="R31"/>
  <c r="T30"/>
  <c r="S30"/>
  <c r="R30"/>
  <c r="T29"/>
  <c r="S29"/>
  <c r="R29"/>
  <c r="T28"/>
  <c r="S28"/>
  <c r="R28"/>
  <c r="T27"/>
  <c r="S27"/>
  <c r="R27"/>
  <c r="T26"/>
  <c r="S26"/>
  <c r="R26"/>
  <c r="T22"/>
  <c r="S22"/>
  <c r="R22"/>
  <c r="T20"/>
  <c r="S20"/>
  <c r="R20"/>
  <c r="A20"/>
  <c r="Q20"/>
  <c r="T19"/>
  <c r="S19"/>
  <c r="R19"/>
  <c r="T18"/>
  <c r="S18"/>
  <c r="R18"/>
  <c r="A18"/>
  <c r="Q18"/>
  <c r="T17"/>
  <c r="S17"/>
  <c r="R17"/>
  <c r="T16"/>
  <c r="S16"/>
  <c r="R16"/>
  <c r="A16"/>
  <c r="Q16"/>
  <c r="T15"/>
  <c r="S15"/>
  <c r="R15"/>
  <c r="T11"/>
  <c r="S11"/>
  <c r="R11"/>
  <c r="A22"/>
  <c r="Q22"/>
  <c r="T9"/>
  <c r="S9"/>
  <c r="R9"/>
  <c r="Q9"/>
  <c r="Q64"/>
  <c r="T8"/>
  <c r="S8"/>
  <c r="R8"/>
  <c r="A41"/>
  <c r="Q41"/>
  <c r="T7"/>
  <c r="S7"/>
  <c r="R7"/>
  <c r="Q7"/>
  <c r="Q62"/>
  <c r="T6"/>
  <c r="S6"/>
  <c r="R6"/>
  <c r="A17"/>
  <c r="Q17"/>
  <c r="T5"/>
  <c r="S5"/>
  <c r="R5"/>
  <c r="Q5"/>
  <c r="Q60"/>
  <c r="T4"/>
  <c r="S4"/>
  <c r="R4"/>
  <c r="A37"/>
  <c r="Q37"/>
  <c r="A58"/>
  <c r="Q58"/>
  <c r="A39" i="6"/>
  <c r="A36" i="8"/>
  <c r="Q36"/>
  <c r="A15" i="6"/>
  <c r="A14" i="8"/>
  <c r="Q14"/>
  <c r="A20" i="5"/>
  <c r="A3" i="8"/>
  <c r="Q3"/>
  <c r="R63" i="6"/>
  <c r="R15"/>
  <c r="R39"/>
  <c r="R3"/>
  <c r="A26" i="8"/>
  <c r="Q26"/>
  <c r="Q30"/>
  <c r="Q50"/>
  <c r="A55"/>
  <c r="Q55"/>
  <c r="Q4"/>
  <c r="Q8"/>
  <c r="A15"/>
  <c r="Q15"/>
  <c r="A19"/>
  <c r="Q19"/>
  <c r="Q29"/>
  <c r="A39"/>
  <c r="Q39"/>
  <c r="A44"/>
  <c r="Q44"/>
  <c r="Q49"/>
  <c r="Q53"/>
  <c r="Q59"/>
  <c r="Q61"/>
  <c r="Q63"/>
  <c r="Q66"/>
  <c r="Q28"/>
  <c r="Q33"/>
  <c r="Q48"/>
  <c r="Q52"/>
  <c r="Q6"/>
  <c r="Q11"/>
  <c r="Q27"/>
  <c r="Q31"/>
  <c r="Q51"/>
  <c r="B8" i="1"/>
  <c r="B4"/>
  <c r="B10"/>
  <c r="B6"/>
  <c r="B7"/>
  <c r="A104" i="7"/>
  <c r="B116"/>
  <c r="B117"/>
  <c r="B115"/>
  <c r="U72" i="6"/>
  <c r="T72"/>
  <c r="S72"/>
  <c r="U70"/>
  <c r="T70"/>
  <c r="S70"/>
  <c r="U69"/>
  <c r="T69"/>
  <c r="S69"/>
  <c r="U68"/>
  <c r="T68"/>
  <c r="S68"/>
  <c r="U67"/>
  <c r="T67"/>
  <c r="S67"/>
  <c r="U66"/>
  <c r="T66"/>
  <c r="S66"/>
  <c r="U65"/>
  <c r="T65"/>
  <c r="S65"/>
  <c r="U64"/>
  <c r="T64"/>
  <c r="S64"/>
  <c r="U60"/>
  <c r="T60"/>
  <c r="S60"/>
  <c r="U58"/>
  <c r="T58"/>
  <c r="S58"/>
  <c r="U57"/>
  <c r="T57"/>
  <c r="S57"/>
  <c r="U56"/>
  <c r="T56"/>
  <c r="S56"/>
  <c r="U55"/>
  <c r="T55"/>
  <c r="S55"/>
  <c r="U54"/>
  <c r="T54"/>
  <c r="S54"/>
  <c r="U53"/>
  <c r="T53"/>
  <c r="S53"/>
  <c r="U52"/>
  <c r="T52"/>
  <c r="S52"/>
  <c r="U48"/>
  <c r="T48"/>
  <c r="S48"/>
  <c r="U46"/>
  <c r="T46"/>
  <c r="S46"/>
  <c r="U45"/>
  <c r="T45"/>
  <c r="S45"/>
  <c r="U44"/>
  <c r="T44"/>
  <c r="S44"/>
  <c r="U43"/>
  <c r="T43"/>
  <c r="S43"/>
  <c r="U42"/>
  <c r="T42"/>
  <c r="S42"/>
  <c r="U41"/>
  <c r="T41"/>
  <c r="S41"/>
  <c r="U40"/>
  <c r="T40"/>
  <c r="S40"/>
  <c r="U36"/>
  <c r="T36"/>
  <c r="S36"/>
  <c r="U34"/>
  <c r="T34"/>
  <c r="S34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4"/>
  <c r="T24"/>
  <c r="S24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2"/>
  <c r="T12"/>
  <c r="S12"/>
  <c r="R12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31"/>
  <c r="R31"/>
  <c r="R19"/>
  <c r="A36"/>
  <c r="R36"/>
  <c r="R24"/>
  <c r="R21"/>
  <c r="A33"/>
  <c r="R33"/>
  <c r="R17"/>
  <c r="A29"/>
  <c r="R29"/>
  <c r="R42"/>
  <c r="A30"/>
  <c r="R30"/>
  <c r="R34"/>
  <c r="R18"/>
  <c r="R46"/>
  <c r="R22"/>
  <c r="R48"/>
  <c r="R16"/>
  <c r="A28"/>
  <c r="R28"/>
  <c r="R45"/>
  <c r="R58"/>
  <c r="R70"/>
  <c r="R20"/>
  <c r="A32"/>
  <c r="R32"/>
  <c r="R43"/>
  <c r="R54"/>
  <c r="R66"/>
  <c r="R41"/>
  <c r="R69"/>
  <c r="R57"/>
  <c r="R55"/>
  <c r="R67"/>
  <c r="R40"/>
  <c r="R60"/>
  <c r="R72"/>
  <c r="R65"/>
  <c r="R53"/>
  <c r="R44"/>
  <c r="R52"/>
  <c r="R64"/>
  <c r="R56"/>
  <c r="R68"/>
  <c r="B108" i="4"/>
  <c r="B109"/>
  <c r="B110"/>
  <c r="B111"/>
  <c r="B112"/>
  <c r="B113"/>
  <c r="B115"/>
  <c r="B107"/>
  <c r="C105" i="5"/>
  <c r="A125"/>
  <c r="A118"/>
  <c r="A119"/>
  <c r="A120"/>
  <c r="A121"/>
  <c r="A122"/>
  <c r="A123"/>
  <c r="A117"/>
  <c r="B127"/>
  <c r="A27"/>
  <c r="A27" i="6"/>
  <c r="A51"/>
  <c r="A47" i="8"/>
  <c r="Q47"/>
  <c r="R51" i="6"/>
  <c r="A25" i="8"/>
  <c r="Q25"/>
  <c r="R27" i="6"/>
  <c r="A5" i="4"/>
  <c r="A108"/>
  <c r="A6"/>
  <c r="A109"/>
  <c r="A7"/>
  <c r="A110"/>
  <c r="A8"/>
  <c r="A111"/>
  <c r="A9"/>
  <c r="A112"/>
  <c r="A10"/>
  <c r="A113"/>
  <c r="A12"/>
  <c r="A115"/>
  <c r="A4"/>
  <c r="A107"/>
  <c r="A21"/>
  <c r="A22"/>
  <c r="A18"/>
  <c r="A24"/>
  <c r="A19"/>
  <c r="A17"/>
  <c r="A16"/>
  <c r="A20"/>
  <c r="C37" i="7"/>
  <c r="G37"/>
  <c r="I32"/>
  <c r="D26" i="5" l="1"/>
  <c r="D22"/>
  <c r="D23"/>
  <c r="D24"/>
  <c r="D20"/>
  <c r="D25"/>
  <c r="D21"/>
  <c r="I37" i="7"/>
  <c r="I33"/>
  <c r="B9" i="1"/>
  <c r="B5"/>
  <c r="O4" a="1"/>
  <c r="P4" l="1"/>
  <c r="T4"/>
  <c r="O5"/>
  <c r="S5"/>
  <c r="W5"/>
  <c r="R6"/>
  <c r="V6"/>
  <c r="Q7"/>
  <c r="U7"/>
  <c r="P8"/>
  <c r="T8"/>
  <c r="O9"/>
  <c r="S9"/>
  <c r="W9"/>
  <c r="R10"/>
  <c r="V10"/>
  <c r="Q11"/>
  <c r="U11"/>
  <c r="P12"/>
  <c r="T12"/>
  <c r="O4"/>
  <c r="S4"/>
  <c r="W4"/>
  <c r="R5"/>
  <c r="V5"/>
  <c r="Q6"/>
  <c r="U6"/>
  <c r="P7"/>
  <c r="T7"/>
  <c r="O8"/>
  <c r="S8"/>
  <c r="W8"/>
  <c r="R9"/>
  <c r="V9"/>
  <c r="Q10"/>
  <c r="U10"/>
  <c r="P11"/>
  <c r="T11"/>
  <c r="O12"/>
  <c r="S12"/>
  <c r="W12"/>
  <c r="R4"/>
  <c r="V4"/>
  <c r="Q5"/>
  <c r="U5"/>
  <c r="P6"/>
  <c r="T6"/>
  <c r="O7"/>
  <c r="S7"/>
  <c r="W7"/>
  <c r="R8"/>
  <c r="V8"/>
  <c r="Q9"/>
  <c r="U9"/>
  <c r="P10"/>
  <c r="T10"/>
  <c r="O11"/>
  <c r="S11"/>
  <c r="W11"/>
  <c r="R12"/>
  <c r="V12"/>
  <c r="T5"/>
  <c r="R7"/>
  <c r="P9"/>
  <c r="W10"/>
  <c r="U12"/>
  <c r="P5"/>
  <c r="W6"/>
  <c r="U8"/>
  <c r="S10"/>
  <c r="Q12"/>
  <c r="U4"/>
  <c r="S6"/>
  <c r="Q8"/>
  <c r="O10"/>
  <c r="V11"/>
  <c r="Q4"/>
  <c r="O6"/>
  <c r="V7"/>
  <c r="T9"/>
  <c r="R11"/>
  <c r="B16" i="9" l="1" a="1"/>
  <c r="B16" s="1"/>
</calcChain>
</file>

<file path=xl/comments1.xml><?xml version="1.0" encoding="utf-8"?>
<comments xmlns="http://schemas.openxmlformats.org/spreadsheetml/2006/main">
  <authors>
    <author>SGP</author>
  </authors>
  <commentList>
    <comment ref="B41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<sst xmlns="http://schemas.openxmlformats.org/spreadsheetml/2006/main" count="405" uniqueCount="139">
  <si>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</si>
  <si>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</si>
  <si>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</si>
  <si>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</si>
  <si>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</si>
  <si>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</si>
  <si>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</si>
  <si>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</si>
  <si>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</si>
  <si>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</si>
  <si>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</si>
  <si>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</si>
  <si>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</si>
  <si>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</si>
  <si>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</si>
  <si>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</si>
  <si>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</si>
  <si>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</si>
  <si>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</si>
  <si>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</si>
  <si>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</si>
  <si>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</si>
  <si>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</si>
  <si>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</si>
  <si>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</si>
  <si>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</si>
  <si>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</si>
  <si>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</si>
  <si>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</si>
  <si>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</si>
  <si>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</si>
  <si>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</si>
  <si>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</si>
  <si>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</si>
  <si>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</si>
  <si>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</si>
  <si>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</si>
  <si>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</si>
  <si>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</si>
  <si>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</si>
  <si>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</si>
  <si>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</si>
  <si>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</si>
  <si>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</si>
  <si>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</si>
  <si>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</si>
  <si>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</si>
  <si>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</si>
  <si>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</si>
  <si>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</si>
  <si>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</si>
  <si>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</si>
  <si>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</si>
  <si>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</si>
  <si>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</si>
  <si>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</si>
  <si>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</si>
  <si>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</si>
  <si>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</si>
  <si>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</si>
  <si>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</si>
  <si>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</si>
  <si>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</si>
  <si>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</si>
  <si>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</si>
  <si>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</si>
  <si>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</si>
  <si>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</si>
  <si>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</si>
  <si>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</si>
  <si>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</si>
  <si>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</si>
  <si>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</si>
  <si>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</si>
  <si>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</si>
  <si>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</si>
  <si>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</si>
  <si>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</si>
  <si>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</si>
  <si>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</si>
  <si>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</si>
  <si>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</si>
  <si>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</si>
  <si>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</si>
  <si>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</si>
  <si>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</si>
  <si>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</si>
  <si>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</si>
  <si>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</si>
  <si>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</si>
  <si>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</si>
  <si>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</si>
  <si>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</si>
  <si>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</si>
  <si>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</si>
  <si>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</si>
  <si>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</si>
  <si>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</si>
  <si>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</si>
  <si>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</si>
  <si>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</si>
  <si>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</si>
  <si>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</si>
  <si>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</si>
  <si>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</si>
  <si>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</si>
  <si>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</si>
  <si>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</si>
  <si>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</si>
  <si>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</si>
  <si>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</si>
  <si>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</si>
  <si>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</si>
  <si>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</si>
  <si>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</si>
  <si>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</si>
  <si>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</si>
  <si>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</si>
  <si>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</si>
  <si>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</si>
  <si>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</si>
  <si>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</si>
  <si>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</si>
  <si>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</si>
  <si>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</si>
  <si>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</si>
  <si>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</si>
  <si>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</si>
  <si>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</si>
  <si>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TE na optimalisatie</t>
  </si>
  <si>
    <t>aantal assets</t>
  </si>
  <si>
    <t>Periferie bonds</t>
  </si>
  <si>
    <t>hier regel toegeveogd</t>
  </si>
  <si>
    <t>2 regels toegevoegd en 2 lege weggehaald</t>
  </si>
  <si>
    <t xml:space="preserve"> 1 regel toegeveogd</t>
  </si>
  <si>
    <t>1 regel weggehaald</t>
  </si>
  <si>
    <t>PB</t>
  </si>
  <si>
    <t>1 regel toegeveogd als extra asset class (dit bericht is dubbel weergegeven ook onderaan opnieuw)</t>
  </si>
  <si>
    <t>NaN</t>
  </si>
</sst>
</file>

<file path=xl/styles.xml><?xml version="1.0" encoding="utf-8"?>
<styleSheet xmlns="http://schemas.openxmlformats.org/spreadsheetml/2006/main">
  <numFmts count="43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\€#,##0_);\(\€#,##0\)"/>
  </numFmts>
  <fonts count="8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9"/>
        <bgColor indexed="64"/>
      </patternFill>
    </fill>
  </fills>
  <borders count="5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699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4" borderId="0" applyNumberFormat="0" applyBorder="0" applyAlignment="0" applyProtection="0"/>
    <xf numFmtId="170" fontId="3" fillId="0" borderId="0"/>
    <xf numFmtId="0" fontId="56" fillId="8" borderId="0" applyNumberFormat="0" applyBorder="0" applyAlignment="0" applyProtection="0"/>
    <xf numFmtId="0" fontId="35" fillId="25" borderId="34" applyNumberFormat="0" applyAlignment="0" applyProtection="0"/>
    <xf numFmtId="0" fontId="28" fillId="0" borderId="0"/>
    <xf numFmtId="0" fontId="36" fillId="0" borderId="0" applyNumberFormat="0" applyFill="0" applyBorder="0" applyAlignment="0" applyProtection="0"/>
    <xf numFmtId="0" fontId="3" fillId="26" borderId="0" applyNumberFormat="0"/>
    <xf numFmtId="0" fontId="3" fillId="0" borderId="37" applyBorder="0"/>
    <xf numFmtId="0" fontId="35" fillId="25" borderId="34" applyNumberFormat="0" applyAlignment="0" applyProtection="0"/>
    <xf numFmtId="49" fontId="37" fillId="0" borderId="0">
      <alignment horizontal="left" vertical="center" wrapText="1"/>
    </xf>
    <xf numFmtId="0" fontId="41" fillId="27" borderId="38" applyNumberFormat="0" applyAlignment="0" applyProtection="0"/>
    <xf numFmtId="0" fontId="2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32" applyBorder="0">
      <alignment horizontal="center"/>
    </xf>
    <xf numFmtId="169" fontId="3" fillId="0" borderId="0" applyFont="0" applyFill="0" applyBorder="0" applyAlignment="0" applyProtection="0"/>
    <xf numFmtId="0" fontId="40" fillId="0" borderId="0"/>
    <xf numFmtId="0" fontId="41" fillId="27" borderId="38" applyNumberFormat="0" applyAlignment="0" applyProtection="0"/>
    <xf numFmtId="0" fontId="3" fillId="0" borderId="39">
      <alignment horizontal="left"/>
    </xf>
    <xf numFmtId="169" fontId="6" fillId="0" borderId="0" applyFont="0" applyFill="0" applyBorder="0" applyAlignment="0" applyProtection="0">
      <alignment horizontal="center"/>
    </xf>
    <xf numFmtId="0" fontId="42" fillId="0" borderId="40">
      <protection locked="0"/>
    </xf>
    <xf numFmtId="174" fontId="28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4" fillId="0" borderId="0">
      <alignment horizontal="left"/>
    </xf>
    <xf numFmtId="0" fontId="43" fillId="0" borderId="41" applyNumberFormat="0" applyFill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175" fontId="3" fillId="0" borderId="0"/>
    <xf numFmtId="0" fontId="27" fillId="28" borderId="0" applyNumberFormat="0"/>
    <xf numFmtId="0" fontId="3" fillId="29" borderId="0" applyNumberFormat="0"/>
    <xf numFmtId="0" fontId="3" fillId="29" borderId="0" applyNumberFormat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15" fontId="28" fillId="26" borderId="0" applyNumberFormat="0">
      <protection locked="0"/>
    </xf>
    <xf numFmtId="0" fontId="28" fillId="0" borderId="0" applyNumberFormat="0" applyBorder="0" applyAlignment="0" applyProtection="0"/>
    <xf numFmtId="0" fontId="46" fillId="12" borderId="34" applyNumberFormat="0" applyAlignment="0" applyProtection="0"/>
    <xf numFmtId="0" fontId="28" fillId="0" borderId="0">
      <alignment horizontal="center"/>
    </xf>
    <xf numFmtId="172" fontId="3" fillId="0" borderId="0" applyFon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3" fillId="0" borderId="41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1" fillId="0" borderId="0" applyFont="0" applyFill="0" applyBorder="0" applyAlignment="0" applyProtection="0"/>
    <xf numFmtId="191" fontId="51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2" fillId="6" borderId="0" applyNumberFormat="0" applyBorder="0" applyAlignment="0" applyProtection="0"/>
    <xf numFmtId="0" fontId="52" fillId="6" borderId="0" applyNumberFormat="0" applyBorder="0" applyAlignment="0" applyProtection="0"/>
    <xf numFmtId="194" fontId="3" fillId="0" borderId="0"/>
    <xf numFmtId="0" fontId="33" fillId="30" borderId="45" applyNumberFormat="0" applyFont="0" applyAlignment="0" applyProtection="0"/>
    <xf numFmtId="0" fontId="53" fillId="0" borderId="22"/>
    <xf numFmtId="195" fontId="6" fillId="0" borderId="0" applyFont="0" applyFill="0" applyBorder="0" applyAlignment="0" applyProtection="0">
      <alignment horizontal="center"/>
    </xf>
    <xf numFmtId="0" fontId="3" fillId="30" borderId="45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8" borderId="0" applyNumberFormat="0" applyBorder="0" applyAlignment="0" applyProtection="0"/>
    <xf numFmtId="0" fontId="67" fillId="25" borderId="46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7" fillId="0" borderId="0" applyFont="0" applyFill="0" applyBorder="0" applyAlignment="0" applyProtection="0"/>
    <xf numFmtId="0" fontId="3" fillId="0" borderId="0">
      <alignment vertical="top"/>
    </xf>
    <xf numFmtId="0" fontId="58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5" fillId="0" borderId="0" applyFill="0" applyBorder="0"/>
    <xf numFmtId="0" fontId="3" fillId="0" borderId="0">
      <alignment horizontal="left" wrapText="1"/>
    </xf>
    <xf numFmtId="49" fontId="59" fillId="0" borderId="0" applyFill="0" applyBorder="0" applyProtection="0">
      <alignment horizontal="left" wrapText="1"/>
    </xf>
    <xf numFmtId="49" fontId="59" fillId="0" borderId="0" applyFill="0" applyBorder="0" applyProtection="0">
      <alignment horizontal="left"/>
    </xf>
    <xf numFmtId="49" fontId="24" fillId="0" borderId="0" applyFill="0" applyBorder="0" applyProtection="0">
      <alignment horizontal="left" wrapText="1"/>
    </xf>
    <xf numFmtId="49" fontId="24" fillId="0" borderId="0" applyFill="0" applyBorder="0" applyProtection="0">
      <alignment horizontal="left"/>
    </xf>
    <xf numFmtId="49" fontId="59" fillId="0" borderId="0" applyFill="0" applyBorder="0" applyProtection="0">
      <alignment horizontal="center" wrapText="1"/>
    </xf>
    <xf numFmtId="49" fontId="59" fillId="0" borderId="0" applyFill="0" applyBorder="0" applyProtection="0">
      <alignment horizontal="center"/>
    </xf>
    <xf numFmtId="49" fontId="24" fillId="0" borderId="0" applyFill="0" applyBorder="0" applyProtection="0">
      <alignment horizontal="center" wrapText="1"/>
    </xf>
    <xf numFmtId="49" fontId="24" fillId="0" borderId="0" applyFill="0" applyBorder="0" applyProtection="0">
      <alignment horizontal="center"/>
    </xf>
    <xf numFmtId="49" fontId="59" fillId="0" borderId="0" applyFill="0" applyBorder="0" applyProtection="0">
      <alignment horizontal="right" wrapText="1"/>
    </xf>
    <xf numFmtId="49" fontId="59" fillId="0" borderId="0" applyFill="0" applyBorder="0" applyProtection="0">
      <alignment horizontal="right"/>
    </xf>
    <xf numFmtId="49" fontId="24" fillId="0" borderId="0" applyFill="0" applyBorder="0" applyProtection="0">
      <alignment horizontal="right" wrapText="1"/>
    </xf>
    <xf numFmtId="49" fontId="24" fillId="0" borderId="0" applyFill="0" applyBorder="0" applyProtection="0">
      <alignment horizontal="right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0" fillId="0" borderId="47" applyNumberFormat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48" applyNumberFormat="0" applyFill="0" applyAlignment="0" applyProtection="0"/>
    <xf numFmtId="0" fontId="66" fillId="0" borderId="48" applyNumberFormat="0" applyFill="0" applyAlignment="0" applyProtection="0"/>
    <xf numFmtId="0" fontId="67" fillId="25" borderId="46" applyNumberFormat="0" applyAlignment="0" applyProtection="0"/>
    <xf numFmtId="171" fontId="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69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69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37" applyBorder="0"/>
    <xf numFmtId="0" fontId="24" fillId="0" borderId="0" applyNumberFormat="0" applyFill="0" applyBorder="0" applyAlignment="0" applyProtection="0"/>
    <xf numFmtId="0" fontId="3" fillId="0" borderId="39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4" fillId="0" borderId="0">
      <alignment horizontal="left"/>
    </xf>
    <xf numFmtId="175" fontId="3" fillId="0" borderId="0"/>
    <xf numFmtId="0" fontId="3" fillId="29" borderId="0" applyNumberFormat="0"/>
    <xf numFmtId="15" fontId="28" fillId="26" borderId="0" applyNumberFormat="0">
      <protection locked="0"/>
    </xf>
    <xf numFmtId="0" fontId="28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4" fillId="0" borderId="0" applyFill="0" applyBorder="0" applyProtection="0">
      <alignment horizontal="left" wrapText="1"/>
    </xf>
    <xf numFmtId="49" fontId="24" fillId="0" borderId="0" applyFill="0" applyBorder="0" applyProtection="0">
      <alignment horizontal="left"/>
    </xf>
    <xf numFmtId="49" fontId="24" fillId="0" borderId="0" applyFill="0" applyBorder="0" applyProtection="0">
      <alignment horizontal="center" wrapText="1"/>
    </xf>
    <xf numFmtId="49" fontId="24" fillId="0" borderId="0" applyFill="0" applyBorder="0" applyProtection="0">
      <alignment horizontal="center"/>
    </xf>
    <xf numFmtId="49" fontId="24" fillId="0" borderId="0" applyFill="0" applyBorder="0" applyProtection="0">
      <alignment horizontal="right" wrapText="1"/>
    </xf>
    <xf numFmtId="49" fontId="24" fillId="0" borderId="0" applyFill="0" applyBorder="0" applyProtection="0">
      <alignment horizontal="right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0" fontId="3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26" borderId="0" applyNumberFormat="0"/>
    <xf numFmtId="0" fontId="3" fillId="0" borderId="37" applyBorder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39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4" fillId="0" borderId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3" fillId="0" borderId="0"/>
    <xf numFmtId="0" fontId="29" fillId="0" borderId="0" applyNumberFormat="0" applyFill="0" applyBorder="0" applyAlignment="0" applyProtection="0"/>
    <xf numFmtId="0" fontId="3" fillId="29" borderId="0" applyNumberFormat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5" fontId="28" fillId="26" borderId="0" applyNumberFormat="0">
      <protection locked="0"/>
    </xf>
    <xf numFmtId="0" fontId="28" fillId="0" borderId="0" applyNumberFormat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" fillId="0" borderId="0">
      <alignment horizontal="center"/>
    </xf>
    <xf numFmtId="0" fontId="29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94" fontId="3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" fillId="0" borderId="0"/>
    <xf numFmtId="0" fontId="30" fillId="0" borderId="0" applyNumberFormat="0" applyFill="0" applyBorder="0" applyProtection="0">
      <alignment vertical="top"/>
    </xf>
    <xf numFmtId="0" fontId="3" fillId="0" borderId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49" fontId="24" fillId="0" borderId="0" applyFill="0" applyBorder="0" applyProtection="0">
      <alignment horizontal="left" wrapText="1"/>
    </xf>
    <xf numFmtId="49" fontId="24" fillId="0" borderId="0" applyFill="0" applyBorder="0" applyProtection="0">
      <alignment horizontal="left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49" fontId="24" fillId="0" borderId="0" applyFill="0" applyBorder="0" applyProtection="0">
      <alignment horizontal="center" wrapText="1"/>
    </xf>
    <xf numFmtId="49" fontId="24" fillId="0" borderId="0" applyFill="0" applyBorder="0" applyProtection="0">
      <alignment horizontal="center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49" fontId="24" fillId="0" borderId="0" applyFill="0" applyBorder="0" applyProtection="0">
      <alignment horizontal="right" wrapText="1"/>
    </xf>
    <xf numFmtId="49" fontId="24" fillId="0" borderId="0" applyFill="0" applyBorder="0" applyProtection="0">
      <alignment horizontal="right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0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4" borderId="0" applyNumberFormat="0" applyBorder="0" applyAlignment="0" applyProtection="0"/>
    <xf numFmtId="0" fontId="56" fillId="8" borderId="0" applyNumberFormat="0" applyBorder="0" applyAlignment="0" applyProtection="0"/>
    <xf numFmtId="0" fontId="35" fillId="25" borderId="34" applyNumberFormat="0" applyAlignment="0" applyProtection="0"/>
    <xf numFmtId="0" fontId="41" fillId="27" borderId="38" applyNumberFormat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45" fillId="9" borderId="0" applyNumberFormat="0" applyBorder="0" applyAlignment="0" applyProtection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15" fontId="28" fillId="26" borderId="0" applyNumberFormat="0">
      <protection locked="0"/>
    </xf>
    <xf numFmtId="204" fontId="71" fillId="0" borderId="0" applyFont="0" applyFill="0" applyBorder="0" applyAlignment="0" applyProtection="0"/>
    <xf numFmtId="0" fontId="43" fillId="0" borderId="41" applyNumberFormat="0" applyFill="0" applyAlignment="0" applyProtection="0"/>
    <xf numFmtId="0" fontId="52" fillId="6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30" borderId="45" applyNumberFormat="0" applyFont="0" applyAlignment="0" applyProtection="0"/>
    <xf numFmtId="0" fontId="33" fillId="30" borderId="49" applyNumberFormat="0" applyFont="0" applyAlignment="0" applyProtection="0"/>
    <xf numFmtId="0" fontId="33" fillId="30" borderId="49" applyNumberFormat="0" applyFont="0" applyAlignment="0" applyProtection="0"/>
    <xf numFmtId="0" fontId="33" fillId="30" borderId="49" applyNumberFormat="0" applyFont="0" applyAlignment="0" applyProtection="0"/>
    <xf numFmtId="196" fontId="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7" fillId="25" borderId="46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2" fillId="0" borderId="0" applyNumberFormat="0" applyFill="0" applyBorder="0" applyAlignment="0" applyProtection="0"/>
    <xf numFmtId="0" fontId="66" fillId="0" borderId="48" applyNumberFormat="0" applyFill="0" applyAlignment="0" applyProtection="0"/>
    <xf numFmtId="0" fontId="1" fillId="0" borderId="0"/>
    <xf numFmtId="0" fontId="6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5" applyNumberFormat="0" applyFont="0" applyAlignment="0" applyProtection="0"/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7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51" applyNumberFormat="0" applyFill="0" applyAlignment="0" applyProtection="0"/>
    <xf numFmtId="0" fontId="75" fillId="0" borderId="52" applyNumberFormat="0" applyFill="0" applyAlignment="0" applyProtection="0"/>
    <xf numFmtId="0" fontId="76" fillId="0" borderId="53" applyNumberFormat="0" applyFill="0" applyAlignment="0" applyProtection="0"/>
    <xf numFmtId="0" fontId="76" fillId="0" borderId="0" applyNumberFormat="0" applyFill="0" applyBorder="0" applyAlignment="0" applyProtection="0"/>
    <xf numFmtId="0" fontId="77" fillId="33" borderId="0" applyNumberFormat="0" applyBorder="0" applyAlignment="0" applyProtection="0"/>
    <xf numFmtId="0" fontId="78" fillId="34" borderId="0" applyNumberFormat="0" applyBorder="0" applyAlignment="0" applyProtection="0"/>
    <xf numFmtId="0" fontId="79" fillId="35" borderId="0" applyNumberFormat="0" applyBorder="0" applyAlignment="0" applyProtection="0"/>
    <xf numFmtId="0" fontId="80" fillId="36" borderId="54" applyNumberFormat="0" applyAlignment="0" applyProtection="0"/>
    <xf numFmtId="0" fontId="81" fillId="36" borderId="1" applyNumberFormat="0" applyAlignment="0" applyProtection="0"/>
    <xf numFmtId="0" fontId="82" fillId="0" borderId="55" applyNumberFormat="0" applyFill="0" applyAlignment="0" applyProtection="0"/>
    <xf numFmtId="0" fontId="83" fillId="37" borderId="56" applyNumberFormat="0" applyAlignment="0" applyProtection="0"/>
    <xf numFmtId="0" fontId="84" fillId="0" borderId="0" applyNumberFormat="0" applyFill="0" applyBorder="0" applyAlignment="0" applyProtection="0"/>
    <xf numFmtId="0" fontId="1" fillId="38" borderId="57" applyNumberFormat="0" applyFont="0" applyAlignment="0" applyProtection="0"/>
    <xf numFmtId="0" fontId="85" fillId="0" borderId="0" applyNumberFormat="0" applyFill="0" applyBorder="0" applyAlignment="0" applyProtection="0"/>
    <xf numFmtId="0" fontId="12" fillId="0" borderId="58" applyNumberFormat="0" applyFill="0" applyAlignment="0" applyProtection="0"/>
    <xf numFmtId="0" fontId="15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15" fillId="54" borderId="0" applyNumberFormat="0" applyBorder="0" applyAlignment="0" applyProtection="0"/>
    <xf numFmtId="0" fontId="15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5" fillId="58" borderId="0" applyNumberFormat="0" applyBorder="0" applyAlignment="0" applyProtection="0"/>
    <xf numFmtId="0" fontId="15" fillId="59" borderId="0" applyNumberFormat="0" applyBorder="0" applyAlignment="0" applyProtection="0"/>
    <xf numFmtId="0" fontId="1" fillId="60" borderId="0" applyNumberFormat="0" applyBorder="0" applyAlignment="0" applyProtection="0"/>
    <xf numFmtId="0" fontId="1" fillId="61" borderId="0" applyNumberFormat="0" applyBorder="0" applyAlignment="0" applyProtection="0"/>
    <xf numFmtId="0" fontId="15" fillId="62" borderId="0" applyNumberFormat="0" applyBorder="0" applyAlignment="0" applyProtection="0"/>
    <xf numFmtId="0" fontId="33" fillId="10" borderId="0" applyNumberFormat="0" applyBorder="0" applyAlignment="0" applyProtection="0"/>
    <xf numFmtId="0" fontId="33" fillId="10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4" fillId="18" borderId="0" applyNumberFormat="0" applyBorder="0" applyAlignment="0" applyProtection="0"/>
    <xf numFmtId="0" fontId="34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3" fillId="7" borderId="0" applyNumberFormat="0" applyBorder="0" applyAlignment="0" applyProtection="0"/>
    <xf numFmtId="0" fontId="3" fillId="0" borderId="0">
      <alignment horizontal="left" wrapText="1"/>
    </xf>
    <xf numFmtId="0" fontId="33" fillId="9" borderId="0" applyNumberFormat="0" applyBorder="0" applyAlignment="0" applyProtection="0"/>
    <xf numFmtId="0" fontId="34" fillId="19" borderId="0" applyNumberFormat="0" applyBorder="0" applyAlignment="0" applyProtection="0"/>
    <xf numFmtId="0" fontId="33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4" fillId="15" borderId="0" applyNumberFormat="0" applyBorder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4" fillId="20" borderId="0" applyNumberFormat="0" applyBorder="0" applyAlignment="0" applyProtection="0"/>
    <xf numFmtId="0" fontId="33" fillId="15" borderId="0" applyNumberFormat="0" applyBorder="0" applyAlignment="0" applyProtection="0"/>
    <xf numFmtId="0" fontId="34" fillId="14" borderId="0" applyNumberFormat="0" applyBorder="0" applyAlignment="0" applyProtection="0"/>
    <xf numFmtId="0" fontId="86" fillId="0" borderId="0">
      <alignment horizontal="center"/>
    </xf>
    <xf numFmtId="0" fontId="69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5" fillId="25" borderId="34" applyNumberFormat="0" applyAlignment="0" applyProtection="0"/>
    <xf numFmtId="0" fontId="43" fillId="0" borderId="41" applyNumberFormat="0" applyFill="0" applyAlignment="0" applyProtection="0"/>
    <xf numFmtId="0" fontId="3" fillId="30" borderId="45" applyNumberFormat="0" applyFont="0" applyAlignment="0" applyProtection="0"/>
    <xf numFmtId="0" fontId="46" fillId="12" borderId="34" applyNumberFormat="0" applyAlignment="0" applyProtection="0"/>
    <xf numFmtId="205" fontId="87" fillId="0" borderId="0"/>
    <xf numFmtId="0" fontId="46" fillId="12" borderId="34" applyNumberFormat="0" applyAlignment="0" applyProtection="0"/>
    <xf numFmtId="0" fontId="56" fillId="8" borderId="0" applyNumberFormat="0" applyBorder="0" applyAlignment="0" applyProtection="0"/>
    <xf numFmtId="0" fontId="52" fillId="6" borderId="0" applyNumberFormat="0" applyBorder="0" applyAlignment="0" applyProtection="0"/>
    <xf numFmtId="0" fontId="33" fillId="0" borderId="0"/>
    <xf numFmtId="0" fontId="3" fillId="0" borderId="0"/>
    <xf numFmtId="0" fontId="3" fillId="0" borderId="0"/>
    <xf numFmtId="0" fontId="33" fillId="30" borderId="45" applyNumberFormat="0" applyFont="0" applyAlignment="0" applyProtection="0"/>
    <xf numFmtId="37" fontId="88" fillId="63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5" fillId="9" borderId="0" applyNumberFormat="0" applyBorder="0" applyAlignment="0" applyProtection="0"/>
    <xf numFmtId="0" fontId="67" fillId="25" borderId="46" applyNumberFormat="0" applyAlignment="0" applyProtection="0"/>
    <xf numFmtId="0" fontId="3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0" fontId="41" fillId="27" borderId="38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332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10" fontId="12" fillId="3" borderId="29" xfId="1" applyNumberFormat="1" applyFont="1" applyFill="1" applyBorder="1" applyAlignment="1"/>
    <xf numFmtId="0" fontId="0" fillId="3" borderId="0" xfId="0" applyFont="1" applyFill="1" applyBorder="1" applyAlignment="1"/>
    <xf numFmtId="0" fontId="12" fillId="3" borderId="30" xfId="0" applyFont="1" applyFill="1" applyBorder="1"/>
    <xf numFmtId="164" fontId="7" fillId="3" borderId="13" xfId="1" applyNumberFormat="1" applyFont="1" applyFill="1" applyBorder="1" applyAlignment="1">
      <alignment horizontal="center"/>
    </xf>
    <xf numFmtId="164" fontId="7" fillId="3" borderId="50" xfId="1" applyNumberFormat="1" applyFont="1" applyFill="1" applyBorder="1" applyAlignment="1">
      <alignment horizontal="center"/>
    </xf>
    <xf numFmtId="164" fontId="0" fillId="32" borderId="7" xfId="0" applyNumberFormat="1" applyFont="1" applyFill="1" applyBorder="1" applyAlignment="1">
      <alignment horizontal="center"/>
    </xf>
    <xf numFmtId="164" fontId="0" fillId="64" borderId="7" xfId="0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164" fontId="0" fillId="32" borderId="6" xfId="0" applyNumberFormat="1" applyFont="1" applyFill="1" applyBorder="1" applyAlignment="1">
      <alignment horizontal="center"/>
    </xf>
    <xf numFmtId="0" fontId="0" fillId="3" borderId="6" xfId="0" applyFill="1" applyBorder="1"/>
    <xf numFmtId="2" fontId="9" fillId="0" borderId="13" xfId="2" applyNumberFormat="1" applyFont="1" applyFill="1" applyBorder="1" applyAlignment="1">
      <alignment horizontal="center"/>
    </xf>
    <xf numFmtId="0" fontId="10" fillId="3" borderId="50" xfId="0" applyFont="1" applyFill="1" applyBorder="1" applyAlignment="1">
      <alignment horizontal="center"/>
    </xf>
    <xf numFmtId="164" fontId="7" fillId="3" borderId="50" xfId="0" applyNumberFormat="1" applyFont="1" applyFill="1" applyBorder="1" applyAlignment="1">
      <alignment horizontal="center"/>
    </xf>
    <xf numFmtId="164" fontId="7" fillId="0" borderId="50" xfId="1" applyNumberFormat="1" applyFont="1" applyBorder="1" applyAlignment="1">
      <alignment horizontal="center"/>
    </xf>
    <xf numFmtId="164" fontId="7" fillId="4" borderId="50" xfId="1" applyNumberFormat="1" applyFont="1" applyFill="1" applyBorder="1" applyAlignment="1">
      <alignment horizontal="center"/>
    </xf>
    <xf numFmtId="164" fontId="7" fillId="0" borderId="13" xfId="1" applyNumberFormat="1" applyFont="1" applyBorder="1" applyAlignment="1">
      <alignment horizontal="center"/>
    </xf>
    <xf numFmtId="164" fontId="7" fillId="0" borderId="13" xfId="0" applyNumberFormat="1" applyFont="1" applyBorder="1" applyAlignment="1">
      <alignment horizontal="center"/>
    </xf>
    <xf numFmtId="164" fontId="7" fillId="0" borderId="50" xfId="0" applyNumberFormat="1" applyFont="1" applyBorder="1" applyAlignment="1">
      <alignment horizontal="center"/>
    </xf>
    <xf numFmtId="164" fontId="7" fillId="0" borderId="6" xfId="1" applyNumberFormat="1" applyFont="1" applyBorder="1" applyAlignment="1">
      <alignment horizontal="center"/>
    </xf>
    <xf numFmtId="164" fontId="7" fillId="0" borderId="9" xfId="1" applyNumberFormat="1" applyFont="1" applyBorder="1" applyAlignment="1">
      <alignment horizontal="center"/>
    </xf>
    <xf numFmtId="2" fontId="7" fillId="0" borderId="14" xfId="0" applyNumberFormat="1" applyFont="1" applyBorder="1" applyAlignment="1">
      <alignment horizontal="center"/>
    </xf>
    <xf numFmtId="2" fontId="7" fillId="0" borderId="2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0" fontId="84" fillId="3" borderId="0" xfId="0" applyFont="1" applyFill="1"/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10" fontId="0" fillId="3" borderId="0" xfId="0" applyNumberFormat="1" applyFill="1"/>
    <xf numFmtId="2" fontId="0" fillId="3" borderId="0" xfId="0" applyNumberFormat="1" applyFill="1"/>
  </cellXfs>
  <cellStyles count="7699">
    <cellStyle name="_x000a_bidires=100_x000d_" xfId="7645"/>
    <cellStyle name="_x000d__x000a_JournalTemplate=C:\COMFO\CTALK\JOURSTD.TPL_x000d__x000a_LbStateAddress=3 3 0 251 1 89 2 311_x000d__x000a_LbStateJou" xfId="3858"/>
    <cellStyle name="_%(SignOnly)" xfId="5"/>
    <cellStyle name="_%(SignOnly) 2" xfId="2392"/>
    <cellStyle name="_%(SignOnly) 3" xfId="1321"/>
    <cellStyle name="_%(SignSpaceOnly)" xfId="6"/>
    <cellStyle name="_%(SignSpaceOnly) 2" xfId="2393"/>
    <cellStyle name="_%(SignSpaceOnly) 3" xfId="1322"/>
    <cellStyle name="_beleggingen" xfId="3857"/>
    <cellStyle name="_Comma" xfId="7"/>
    <cellStyle name="_Comma 2" xfId="2394"/>
    <cellStyle name="_Comma 3" xfId="1323"/>
    <cellStyle name="_Currency" xfId="8"/>
    <cellStyle name="_Currency 2" xfId="2395"/>
    <cellStyle name="_Currency 3" xfId="1324"/>
    <cellStyle name="_Currency_03 Kapan Gexa Model - 10Feb06 - Base Case 50% + Credit II" xfId="9"/>
    <cellStyle name="_Currency_03 Kapan Gexa Model - 10Feb06 - Base Case 50% + Credit II 2" xfId="2396"/>
    <cellStyle name="_Currency_03 Kapan Gexa Model - 10Feb06 - Base Case 50% + Credit II 3" xfId="1325"/>
    <cellStyle name="_Currency_03 Kapan Gexa Model - 10Feb06 - Base Case 50% + Credit II_3" xfId="10"/>
    <cellStyle name="_Currency_03 Kapan Gexa Model - 10Feb06 - Base Case 50% + Credit II_3 2" xfId="2397"/>
    <cellStyle name="_Currency_03 Kapan Gexa Model - 10Feb06 - Base Case 50% + Credit II_3 3" xfId="1326"/>
    <cellStyle name="_Currency_03 Kapan Gexa Model - 10Feb06 - Base Case 50% + Credit II_3_dv01" xfId="11"/>
    <cellStyle name="_Currency_03 Kapan Gexa Model - 10Feb06 - Base Case 50% + Credit II_3_dv01 2" xfId="2398"/>
    <cellStyle name="_Currency_03 Kapan Gexa Model - 10Feb06 - Base Case 50% + Credit II_3_dv01 3" xfId="1327"/>
    <cellStyle name="_Currency_03 Kapan Gexa Model - 10Feb06 - Base Case 50% + Credit II_4" xfId="12"/>
    <cellStyle name="_Currency_03 Kapan Gexa Model - 10Feb06 - Base Case 50% + Credit II_4 2" xfId="2399"/>
    <cellStyle name="_Currency_03 Kapan Gexa Model - 10Feb06 - Base Case 50% + Credit II_4 3" xfId="1328"/>
    <cellStyle name="_Currency_03 Kapan Gexa Model - 10Feb06 - Base Case 50% + Credit II_4_dv01" xfId="13"/>
    <cellStyle name="_Currency_03 Kapan Gexa Model - 10Feb06 - Base Case 50% + Credit II_4_dv01 2" xfId="2400"/>
    <cellStyle name="_Currency_03 Kapan Gexa Model - 10Feb06 - Base Case 50% + Credit II_4_dv01 3" xfId="1329"/>
    <cellStyle name="_Currency_03 Kapan Gexa Model - 10Feb06 - Base Case 50% + Credit II_Anker 2008Q4 concept" xfId="14"/>
    <cellStyle name="_Currency_03 Kapan Gexa Model - 10Feb06 - Base Case 50% + Credit II_Anker 2008Q4 concept 2" xfId="2401"/>
    <cellStyle name="_Currency_03 Kapan Gexa Model - 10Feb06 - Base Case 50% + Credit II_Anker 2008Q4 concept 3" xfId="1330"/>
    <cellStyle name="_Currency_03 Kapan Gexa Model - 10Feb06 - Base Case 50% + Credit II_fundrapport" xfId="15"/>
    <cellStyle name="_Currency_03 Kapan Gexa Model - 10Feb06 - Base Case 50% + Credit II_fundrapport 2" xfId="2402"/>
    <cellStyle name="_Currency_03 Kapan Gexa Model - 10Feb06 - Base Case 50% + Credit II_fundrapport 3" xfId="1331"/>
    <cellStyle name="_Currency_03 Kapan Gexa Model - 10Feb06 - Base Case 50% + Credit II_inj&amp;withdr toelichting hard" xfId="16"/>
    <cellStyle name="_Currency_03 Kapan Gexa Model - 10Feb06 - Base Case 50% + Credit II_inj&amp;withdr toelichting hard 2" xfId="2403"/>
    <cellStyle name="_Currency_03 Kapan Gexa Model - 10Feb06 - Base Case 50% + Credit II_inj&amp;withdr toelichting hard 3" xfId="1332"/>
    <cellStyle name="_Currency_03 Kapan Gexa Model - 10Feb06 - Base Case 50% + Credit II_inj&amp;withdr toelichting hard_dv01" xfId="17"/>
    <cellStyle name="_Currency_03 Kapan Gexa Model - 10Feb06 - Base Case 50% + Credit II_inj&amp;withdr toelichting hard_dv01 2" xfId="2404"/>
    <cellStyle name="_Currency_03 Kapan Gexa Model - 10Feb06 - Base Case 50% + Credit II_inj&amp;withdr toelichting hard_dv01 3" xfId="1333"/>
    <cellStyle name="_Currency_050407 Inflation republic" xfId="18"/>
    <cellStyle name="_Currency_050407 Inflation republic 2" xfId="2405"/>
    <cellStyle name="_Currency_050407 Inflation republic 3" xfId="1334"/>
    <cellStyle name="_Currency_050407 Inflation republic_3" xfId="19"/>
    <cellStyle name="_Currency_050407 Inflation republic_3 2" xfId="2406"/>
    <cellStyle name="_Currency_050407 Inflation republic_3 3" xfId="1335"/>
    <cellStyle name="_Currency_050407 Inflation republic_3_dv01" xfId="20"/>
    <cellStyle name="_Currency_050407 Inflation republic_3_dv01 2" xfId="2407"/>
    <cellStyle name="_Currency_050407 Inflation republic_3_dv01 3" xfId="1336"/>
    <cellStyle name="_Currency_050407 Inflation republic_4" xfId="21"/>
    <cellStyle name="_Currency_050407 Inflation republic_4 2" xfId="2408"/>
    <cellStyle name="_Currency_050407 Inflation republic_4 3" xfId="1337"/>
    <cellStyle name="_Currency_050407 Inflation republic_4_dv01" xfId="22"/>
    <cellStyle name="_Currency_050407 Inflation republic_4_dv01 2" xfId="2409"/>
    <cellStyle name="_Currency_050407 Inflation republic_4_dv01 3" xfId="1338"/>
    <cellStyle name="_Currency_050407 Inflation republic_Anker 2008Q4 concept" xfId="23"/>
    <cellStyle name="_Currency_050407 Inflation republic_Anker 2008Q4 concept 2" xfId="2410"/>
    <cellStyle name="_Currency_050407 Inflation republic_Anker 2008Q4 concept 3" xfId="1339"/>
    <cellStyle name="_Currency_050407 Inflation republic_fundrapport" xfId="24"/>
    <cellStyle name="_Currency_050407 Inflation republic_fundrapport 2" xfId="2411"/>
    <cellStyle name="_Currency_050407 Inflation republic_fundrapport 3" xfId="1340"/>
    <cellStyle name="_Currency_050407 Inflation republic_inj&amp;withdr toelichting hard" xfId="25"/>
    <cellStyle name="_Currency_050407 Inflation republic_inj&amp;withdr toelichting hard 2" xfId="2412"/>
    <cellStyle name="_Currency_050407 Inflation republic_inj&amp;withdr toelichting hard 3" xfId="1341"/>
    <cellStyle name="_Currency_050407 Inflation republic_inj&amp;withdr toelichting hard_dv01" xfId="26"/>
    <cellStyle name="_Currency_050407 Inflation republic_inj&amp;withdr toelichting hard_dv01 2" xfId="2413"/>
    <cellStyle name="_Currency_050407 Inflation republic_inj&amp;withdr toelichting hard_dv01 3" xfId="1342"/>
    <cellStyle name="_Currency_050407 Inflation republic_Liability Cashflows" xfId="27"/>
    <cellStyle name="_Currency_050407 Inflation republic_Liability Cashflows 2" xfId="2414"/>
    <cellStyle name="_Currency_050407 Inflation republic_Liability Cashflows 3" xfId="1343"/>
    <cellStyle name="_Currency_050407 Inflation republic_Liability Cashflows_actuate" xfId="28"/>
    <cellStyle name="_Currency_050407 Inflation republic_Liability Cashflows_actuate 2" xfId="2415"/>
    <cellStyle name="_Currency_050407 Inflation republic_Liability Cashflows_actuate 3" xfId="1344"/>
    <cellStyle name="_Currency_050407 Inflation republic_Liability Cashflows_dv01" xfId="29"/>
    <cellStyle name="_Currency_050407 Inflation republic_Liability Cashflows_dv01 2" xfId="2416"/>
    <cellStyle name="_Currency_050407 Inflation republic_Liability Cashflows_dv01 3" xfId="1345"/>
    <cellStyle name="_Currency_3" xfId="30"/>
    <cellStyle name="_Currency_3 2" xfId="2417"/>
    <cellStyle name="_Currency_3 3" xfId="1346"/>
    <cellStyle name="_Currency_3_dv01" xfId="31"/>
    <cellStyle name="_Currency_3_dv01 2" xfId="2418"/>
    <cellStyle name="_Currency_3_dv01 3" xfId="1347"/>
    <cellStyle name="_Currency_4" xfId="32"/>
    <cellStyle name="_Currency_4 2" xfId="2419"/>
    <cellStyle name="_Currency_4 3" xfId="1348"/>
    <cellStyle name="_Currency_4_dv01" xfId="33"/>
    <cellStyle name="_Currency_4_dv01 2" xfId="2420"/>
    <cellStyle name="_Currency_4_dv01 3" xfId="1349"/>
    <cellStyle name="_Currency_allocatie" xfId="34"/>
    <cellStyle name="_Currency_allocatie 2" xfId="2421"/>
    <cellStyle name="_Currency_allocatie 3" xfId="1350"/>
    <cellStyle name="_Currency_allocatie_actuate" xfId="35"/>
    <cellStyle name="_Currency_allocatie_actuate 2" xfId="2422"/>
    <cellStyle name="_Currency_allocatie_actuate 3" xfId="1351"/>
    <cellStyle name="_Currency_allocatie_dv01" xfId="36"/>
    <cellStyle name="_Currency_allocatie_dv01 2" xfId="2423"/>
    <cellStyle name="_Currency_allocatie_dv01 3" xfId="1352"/>
    <cellStyle name="_Currency_ALM" xfId="37"/>
    <cellStyle name="_Currency_ALM 2" xfId="2424"/>
    <cellStyle name="_Currency_ALM 3" xfId="1353"/>
    <cellStyle name="_Currency_ALM_3" xfId="38"/>
    <cellStyle name="_Currency_ALM_3 2" xfId="2425"/>
    <cellStyle name="_Currency_ALM_3 3" xfId="1354"/>
    <cellStyle name="_Currency_ALM_3_dv01" xfId="39"/>
    <cellStyle name="_Currency_ALM_3_dv01 2" xfId="2426"/>
    <cellStyle name="_Currency_ALM_3_dv01 3" xfId="1355"/>
    <cellStyle name="_Currency_ALM_4" xfId="40"/>
    <cellStyle name="_Currency_ALM_4 2" xfId="2427"/>
    <cellStyle name="_Currency_ALM_4 3" xfId="1356"/>
    <cellStyle name="_Currency_ALM_4_dv01" xfId="41"/>
    <cellStyle name="_Currency_ALM_4_dv01 2" xfId="2428"/>
    <cellStyle name="_Currency_ALM_4_dv01 3" xfId="1357"/>
    <cellStyle name="_Currency_ALM_Anker 2008Q4 concept" xfId="42"/>
    <cellStyle name="_Currency_ALM_Anker 2008Q4 concept 2" xfId="2429"/>
    <cellStyle name="_Currency_ALM_Anker 2008Q4 concept 3" xfId="1358"/>
    <cellStyle name="_Currency_ALM_fundrapport" xfId="43"/>
    <cellStyle name="_Currency_ALM_fundrapport 2" xfId="2430"/>
    <cellStyle name="_Currency_ALM_fundrapport 3" xfId="1359"/>
    <cellStyle name="_Currency_ALM_inj&amp;withdr toelichting hard" xfId="44"/>
    <cellStyle name="_Currency_ALM_inj&amp;withdr toelichting hard 2" xfId="2431"/>
    <cellStyle name="_Currency_ALM_inj&amp;withdr toelichting hard 3" xfId="1360"/>
    <cellStyle name="_Currency_ALM_inj&amp;withdr toelichting hard_dv01" xfId="45"/>
    <cellStyle name="_Currency_ALM_inj&amp;withdr toelichting hard_dv01 2" xfId="2432"/>
    <cellStyle name="_Currency_ALM_inj&amp;withdr toelichting hard_dv01 3" xfId="1361"/>
    <cellStyle name="_Currency_Anker 2008Q4 concept" xfId="46"/>
    <cellStyle name="_Currency_Anker 2008Q4 concept 2" xfId="2433"/>
    <cellStyle name="_Currency_Anker 2008Q4 concept 3" xfId="1362"/>
    <cellStyle name="_Currency_Asset Cashflows" xfId="47"/>
    <cellStyle name="_Currency_Asset Cashflows 2" xfId="2434"/>
    <cellStyle name="_Currency_Asset Cashflows 3" xfId="1363"/>
    <cellStyle name="_Currency_Asset Cashflows_actuate" xfId="48"/>
    <cellStyle name="_Currency_Asset Cashflows_actuate 2" xfId="2435"/>
    <cellStyle name="_Currency_Asset Cashflows_actuate 3" xfId="1364"/>
    <cellStyle name="_Currency_Asset Cashflows_dv01" xfId="49"/>
    <cellStyle name="_Currency_Asset Cashflows_dv01 2" xfId="2436"/>
    <cellStyle name="_Currency_Asset Cashflows_dv01 3" xfId="1365"/>
    <cellStyle name="_Currency_Asset Path Generator - Credit v2" xfId="50"/>
    <cellStyle name="_Currency_Asset Path Generator - Credit v2 2" xfId="2437"/>
    <cellStyle name="_Currency_Asset Path Generator - Credit v2 3" xfId="1366"/>
    <cellStyle name="_Currency_Asset Path Generator - Credit v2_3" xfId="51"/>
    <cellStyle name="_Currency_Asset Path Generator - Credit v2_3 2" xfId="2438"/>
    <cellStyle name="_Currency_Asset Path Generator - Credit v2_3 3" xfId="1367"/>
    <cellStyle name="_Currency_Asset Path Generator - Credit v2_3_dv01" xfId="52"/>
    <cellStyle name="_Currency_Asset Path Generator - Credit v2_3_dv01 2" xfId="2439"/>
    <cellStyle name="_Currency_Asset Path Generator - Credit v2_3_dv01 3" xfId="1368"/>
    <cellStyle name="_Currency_Asset Path Generator - Credit v2_4" xfId="53"/>
    <cellStyle name="_Currency_Asset Path Generator - Credit v2_4 2" xfId="2440"/>
    <cellStyle name="_Currency_Asset Path Generator - Credit v2_4 3" xfId="1369"/>
    <cellStyle name="_Currency_Asset Path Generator - Credit v2_4_dv01" xfId="54"/>
    <cellStyle name="_Currency_Asset Path Generator - Credit v2_4_dv01 2" xfId="2441"/>
    <cellStyle name="_Currency_Asset Path Generator - Credit v2_4_dv01 3" xfId="1370"/>
    <cellStyle name="_Currency_Asset Path Generator - Credit v2_Anker 2008Q4 concept" xfId="55"/>
    <cellStyle name="_Currency_Asset Path Generator - Credit v2_Anker 2008Q4 concept 2" xfId="2442"/>
    <cellStyle name="_Currency_Asset Path Generator - Credit v2_Anker 2008Q4 concept 3" xfId="1371"/>
    <cellStyle name="_Currency_Asset Path Generator - Credit v2_fundrapport" xfId="56"/>
    <cellStyle name="_Currency_Asset Path Generator - Credit v2_fundrapport 2" xfId="2443"/>
    <cellStyle name="_Currency_Asset Path Generator - Credit v2_fundrapport 3" xfId="1372"/>
    <cellStyle name="_Currency_Asset Path Generator - Credit v2_inj&amp;withdr toelichting hard" xfId="57"/>
    <cellStyle name="_Currency_Asset Path Generator - Credit v2_inj&amp;withdr toelichting hard 2" xfId="2444"/>
    <cellStyle name="_Currency_Asset Path Generator - Credit v2_inj&amp;withdr toelichting hard 3" xfId="1373"/>
    <cellStyle name="_Currency_Asset Path Generator - Credit v2_inj&amp;withdr toelichting hard_dv01" xfId="58"/>
    <cellStyle name="_Currency_Asset Path Generator - Credit v2_inj&amp;withdr toelichting hard_dv01 2" xfId="2445"/>
    <cellStyle name="_Currency_Asset Path Generator - Credit v2_inj&amp;withdr toelichting hard_dv01 3" xfId="1374"/>
    <cellStyle name="_Currency_Asset Returns" xfId="59"/>
    <cellStyle name="_Currency_Asset Returns 2" xfId="2446"/>
    <cellStyle name="_Currency_Asset Returns 3" xfId="1375"/>
    <cellStyle name="_Currency_Asset Returns_3" xfId="60"/>
    <cellStyle name="_Currency_Asset Returns_3 2" xfId="2447"/>
    <cellStyle name="_Currency_Asset Returns_3 3" xfId="1376"/>
    <cellStyle name="_Currency_Asset Returns_3_dv01" xfId="61"/>
    <cellStyle name="_Currency_Asset Returns_3_dv01 2" xfId="2448"/>
    <cellStyle name="_Currency_Asset Returns_3_dv01 3" xfId="1377"/>
    <cellStyle name="_Currency_Asset Returns_4" xfId="62"/>
    <cellStyle name="_Currency_Asset Returns_4 2" xfId="2449"/>
    <cellStyle name="_Currency_Asset Returns_4 3" xfId="1378"/>
    <cellStyle name="_Currency_Asset Returns_4_dv01" xfId="63"/>
    <cellStyle name="_Currency_Asset Returns_4_dv01 2" xfId="2450"/>
    <cellStyle name="_Currency_Asset Returns_4_dv01 3" xfId="1379"/>
    <cellStyle name="_Currency_Asset Returns_Anker 2008Q4 concept" xfId="64"/>
    <cellStyle name="_Currency_Asset Returns_Anker 2008Q4 concept 2" xfId="2451"/>
    <cellStyle name="_Currency_Asset Returns_Anker 2008Q4 concept 3" xfId="1380"/>
    <cellStyle name="_Currency_Asset Returns_fundrapport" xfId="65"/>
    <cellStyle name="_Currency_Asset Returns_fundrapport 2" xfId="2452"/>
    <cellStyle name="_Currency_Asset Returns_fundrapport 3" xfId="1381"/>
    <cellStyle name="_Currency_Asset Returns_inj&amp;withdr toelichting hard" xfId="66"/>
    <cellStyle name="_Currency_Asset Returns_inj&amp;withdr toelichting hard 2" xfId="2453"/>
    <cellStyle name="_Currency_Asset Returns_inj&amp;withdr toelichting hard 3" xfId="1382"/>
    <cellStyle name="_Currency_Asset Returns_inj&amp;withdr toelichting hard_dv01" xfId="67"/>
    <cellStyle name="_Currency_Asset Returns_inj&amp;withdr toelichting hard_dv01 2" xfId="2454"/>
    <cellStyle name="_Currency_Asset Returns_inj&amp;withdr toelichting hard_dv01 3" xfId="1383"/>
    <cellStyle name="_Currency_Aug 09 position" xfId="68"/>
    <cellStyle name="_Currency_Aug 09 position 2" xfId="2455"/>
    <cellStyle name="_Currency_Aug 09 position 3" xfId="1384"/>
    <cellStyle name="_Currency_Aug 09 position_3" xfId="69"/>
    <cellStyle name="_Currency_Aug 09 position_3 2" xfId="2456"/>
    <cellStyle name="_Currency_Aug 09 position_3 3" xfId="1385"/>
    <cellStyle name="_Currency_Aug 09 position_3_dv01" xfId="70"/>
    <cellStyle name="_Currency_Aug 09 position_3_dv01 2" xfId="2457"/>
    <cellStyle name="_Currency_Aug 09 position_3_dv01 3" xfId="1386"/>
    <cellStyle name="_Currency_Aug 09 position_4" xfId="71"/>
    <cellStyle name="_Currency_Aug 09 position_4 2" xfId="2458"/>
    <cellStyle name="_Currency_Aug 09 position_4 3" xfId="1387"/>
    <cellStyle name="_Currency_Aug 09 position_4_dv01" xfId="72"/>
    <cellStyle name="_Currency_Aug 09 position_4_dv01 2" xfId="2459"/>
    <cellStyle name="_Currency_Aug 09 position_4_dv01 3" xfId="1388"/>
    <cellStyle name="_Currency_Aug 09 position_Anker 2008Q4 concept" xfId="73"/>
    <cellStyle name="_Currency_Aug 09 position_Anker 2008Q4 concept 2" xfId="2460"/>
    <cellStyle name="_Currency_Aug 09 position_Anker 2008Q4 concept 3" xfId="1389"/>
    <cellStyle name="_Currency_Aug 09 position_fundrapport" xfId="74"/>
    <cellStyle name="_Currency_Aug 09 position_fundrapport 2" xfId="2461"/>
    <cellStyle name="_Currency_Aug 09 position_fundrapport 3" xfId="1390"/>
    <cellStyle name="_Currency_Aug 09 position_inj&amp;withdr toelichting hard" xfId="75"/>
    <cellStyle name="_Currency_Aug 09 position_inj&amp;withdr toelichting hard 2" xfId="2462"/>
    <cellStyle name="_Currency_Aug 09 position_inj&amp;withdr toelichting hard 3" xfId="1391"/>
    <cellStyle name="_Currency_Aug 09 position_inj&amp;withdr toelichting hard_dv01" xfId="76"/>
    <cellStyle name="_Currency_Aug 09 position_inj&amp;withdr toelichting hard_dv01 2" xfId="2463"/>
    <cellStyle name="_Currency_Aug 09 position_inj&amp;withdr toelichting hard_dv01 3" xfId="1392"/>
    <cellStyle name="_Currency_AutoCalib Gexa4" xfId="77"/>
    <cellStyle name="_Currency_AutoCalib Gexa4 2" xfId="2464"/>
    <cellStyle name="_Currency_AutoCalib Gexa4 3" xfId="1393"/>
    <cellStyle name="_Currency_AutoCalib Gexa4_3" xfId="78"/>
    <cellStyle name="_Currency_AutoCalib Gexa4_3 2" xfId="2465"/>
    <cellStyle name="_Currency_AutoCalib Gexa4_3 3" xfId="1394"/>
    <cellStyle name="_Currency_AutoCalib Gexa4_3_dv01" xfId="79"/>
    <cellStyle name="_Currency_AutoCalib Gexa4_3_dv01 2" xfId="2466"/>
    <cellStyle name="_Currency_AutoCalib Gexa4_3_dv01 3" xfId="1395"/>
    <cellStyle name="_Currency_AutoCalib Gexa4_4" xfId="80"/>
    <cellStyle name="_Currency_AutoCalib Gexa4_4 2" xfId="2467"/>
    <cellStyle name="_Currency_AutoCalib Gexa4_4 3" xfId="1396"/>
    <cellStyle name="_Currency_AutoCalib Gexa4_4_dv01" xfId="81"/>
    <cellStyle name="_Currency_AutoCalib Gexa4_4_dv01 2" xfId="2468"/>
    <cellStyle name="_Currency_AutoCalib Gexa4_4_dv01 3" xfId="1397"/>
    <cellStyle name="_Currency_AutoCalib Gexa4_Anker 2008Q4 concept" xfId="82"/>
    <cellStyle name="_Currency_AutoCalib Gexa4_Anker 2008Q4 concept 2" xfId="2469"/>
    <cellStyle name="_Currency_AutoCalib Gexa4_Anker 2008Q4 concept 3" xfId="1398"/>
    <cellStyle name="_Currency_AutoCalib Gexa4_fundrapport" xfId="83"/>
    <cellStyle name="_Currency_AutoCalib Gexa4_fundrapport 2" xfId="2470"/>
    <cellStyle name="_Currency_AutoCalib Gexa4_fundrapport 3" xfId="1399"/>
    <cellStyle name="_Currency_AutoCalib Gexa4_inj&amp;withdr toelichting hard" xfId="84"/>
    <cellStyle name="_Currency_AutoCalib Gexa4_inj&amp;withdr toelichting hard 2" xfId="2471"/>
    <cellStyle name="_Currency_AutoCalib Gexa4_inj&amp;withdr toelichting hard 3" xfId="1400"/>
    <cellStyle name="_Currency_AutoCalib Gexa4_inj&amp;withdr toelichting hard_dv01" xfId="85"/>
    <cellStyle name="_Currency_AutoCalib Gexa4_inj&amp;withdr toelichting hard_dv01 2" xfId="2472"/>
    <cellStyle name="_Currency_AutoCalib Gexa4_inj&amp;withdr toelichting hard_dv01 3" xfId="1401"/>
    <cellStyle name="_Currency_Banks v3" xfId="86"/>
    <cellStyle name="_Currency_Banks v3 2" xfId="2473"/>
    <cellStyle name="_Currency_Banks v3 3" xfId="1402"/>
    <cellStyle name="_Currency_Banks v3_3" xfId="87"/>
    <cellStyle name="_Currency_Banks v3_3 2" xfId="2474"/>
    <cellStyle name="_Currency_Banks v3_3 3" xfId="1403"/>
    <cellStyle name="_Currency_Banks v3_3_dv01" xfId="88"/>
    <cellStyle name="_Currency_Banks v3_3_dv01 2" xfId="2475"/>
    <cellStyle name="_Currency_Banks v3_3_dv01 3" xfId="1404"/>
    <cellStyle name="_Currency_Banks v3_4" xfId="89"/>
    <cellStyle name="_Currency_Banks v3_4 2" xfId="2476"/>
    <cellStyle name="_Currency_Banks v3_4 3" xfId="1405"/>
    <cellStyle name="_Currency_Banks v3_4_dv01" xfId="90"/>
    <cellStyle name="_Currency_Banks v3_4_dv01 2" xfId="2477"/>
    <cellStyle name="_Currency_Banks v3_4_dv01 3" xfId="1406"/>
    <cellStyle name="_Currency_Banks v3_Anker 2008Q4 concept" xfId="91"/>
    <cellStyle name="_Currency_Banks v3_Anker 2008Q4 concept 2" xfId="2478"/>
    <cellStyle name="_Currency_Banks v3_Anker 2008Q4 concept 3" xfId="1407"/>
    <cellStyle name="_Currency_Banks v3_fundrapport" xfId="92"/>
    <cellStyle name="_Currency_Banks v3_fundrapport 2" xfId="2479"/>
    <cellStyle name="_Currency_Banks v3_fundrapport 3" xfId="1408"/>
    <cellStyle name="_Currency_Banks v3_inj&amp;withdr toelichting hard" xfId="93"/>
    <cellStyle name="_Currency_Banks v3_inj&amp;withdr toelichting hard 2" xfId="2480"/>
    <cellStyle name="_Currency_Banks v3_inj&amp;withdr toelichting hard 3" xfId="1409"/>
    <cellStyle name="_Currency_Banks v3_inj&amp;withdr toelichting hard_dv01" xfId="94"/>
    <cellStyle name="_Currency_Banks v3_inj&amp;withdr toelichting hard_dv01 2" xfId="2481"/>
    <cellStyle name="_Currency_Banks v3_inj&amp;withdr toelichting hard_dv01 3" xfId="1410"/>
    <cellStyle name="_Currency_Bermuda PV check 10nc5" xfId="95"/>
    <cellStyle name="_Currency_Bermuda PV check 10nc5 2" xfId="2482"/>
    <cellStyle name="_Currency_Bermuda PV check 10nc5 3" xfId="1411"/>
    <cellStyle name="_Currency_Bermuda PV check 10nc5_01 Sweden Gexa Model - Master Version" xfId="96"/>
    <cellStyle name="_Currency_Bermuda PV check 10nc5_01 Sweden Gexa Model - Master Version 2" xfId="2483"/>
    <cellStyle name="_Currency_Bermuda PV check 10nc5_01 Sweden Gexa Model - Master Version 3" xfId="1412"/>
    <cellStyle name="_Currency_Bermuda PV check 10nc5_01 Sweden Gexa Model - Master Version_actuate" xfId="97"/>
    <cellStyle name="_Currency_Bermuda PV check 10nc5_01 Sweden Gexa Model - Master Version_actuate 2" xfId="2484"/>
    <cellStyle name="_Currency_Bermuda PV check 10nc5_01 Sweden Gexa Model - Master Version_actuate 3" xfId="1413"/>
    <cellStyle name="_Currency_Bermuda PV check 10nc5_01 Sweden Gexa Model - Master Version_dv01" xfId="98"/>
    <cellStyle name="_Currency_Bermuda PV check 10nc5_01 Sweden Gexa Model - Master Version_dv01 2" xfId="2485"/>
    <cellStyle name="_Currency_Bermuda PV check 10nc5_01 Sweden Gexa Model - Master Version_dv01 3" xfId="1414"/>
    <cellStyle name="_Currency_Bermuda PV check 10nc5_3" xfId="99"/>
    <cellStyle name="_Currency_Bermuda PV check 10nc5_3 2" xfId="2486"/>
    <cellStyle name="_Currency_Bermuda PV check 10nc5_3 3" xfId="1415"/>
    <cellStyle name="_Currency_Bermuda PV check 10nc5_3_dv01" xfId="100"/>
    <cellStyle name="_Currency_Bermuda PV check 10nc5_3_dv01 2" xfId="2487"/>
    <cellStyle name="_Currency_Bermuda PV check 10nc5_3_dv01 3" xfId="1416"/>
    <cellStyle name="_Currency_Bermuda PV check 10nc5_4" xfId="101"/>
    <cellStyle name="_Currency_Bermuda PV check 10nc5_4 2" xfId="2488"/>
    <cellStyle name="_Currency_Bermuda PV check 10nc5_4 3" xfId="1417"/>
    <cellStyle name="_Currency_Bermuda PV check 10nc5_4_dv01" xfId="102"/>
    <cellStyle name="_Currency_Bermuda PV check 10nc5_4_dv01 2" xfId="2489"/>
    <cellStyle name="_Currency_Bermuda PV check 10nc5_4_dv01 3" xfId="1418"/>
    <cellStyle name="_Currency_Bermuda PV check 10nc5_Anker 2008Q4 concept" xfId="103"/>
    <cellStyle name="_Currency_Bermuda PV check 10nc5_Anker 2008Q4 concept 2" xfId="2490"/>
    <cellStyle name="_Currency_Bermuda PV check 10nc5_Anker 2008Q4 concept 3" xfId="1419"/>
    <cellStyle name="_Currency_Bermuda PV check 10nc5_fundrapport" xfId="104"/>
    <cellStyle name="_Currency_Bermuda PV check 10nc5_fundrapport 2" xfId="2491"/>
    <cellStyle name="_Currency_Bermuda PV check 10nc5_fundrapport 3" xfId="1420"/>
    <cellStyle name="_Currency_Bermuda PV check 10nc5_inj&amp;withdr toelichting hard" xfId="105"/>
    <cellStyle name="_Currency_Bermuda PV check 10nc5_inj&amp;withdr toelichting hard 2" xfId="2492"/>
    <cellStyle name="_Currency_Bermuda PV check 10nc5_inj&amp;withdr toelichting hard 3" xfId="1421"/>
    <cellStyle name="_Currency_Bermuda PV check 10nc5_inj&amp;withdr toelichting hard_dv01" xfId="106"/>
    <cellStyle name="_Currency_Bermuda PV check 10nc5_inj&amp;withdr toelichting hard_dv01 2" xfId="2493"/>
    <cellStyle name="_Currency_Bermuda PV check 10nc5_inj&amp;withdr toelichting hard_dv01 3" xfId="1422"/>
    <cellStyle name="_Currency_Bermuda PV check 10nc5_Latest-Gexa Model" xfId="107"/>
    <cellStyle name="_Currency_Bermuda PV check 10nc5_Latest-Gexa Model 2" xfId="2494"/>
    <cellStyle name="_Currency_Bermuda PV check 10nc5_Latest-Gexa Model 3" xfId="1423"/>
    <cellStyle name="_Currency_Bermuda PV check 10nc5_Latest-Gexa Model_3" xfId="108"/>
    <cellStyle name="_Currency_Bermuda PV check 10nc5_Latest-Gexa Model_3 2" xfId="2495"/>
    <cellStyle name="_Currency_Bermuda PV check 10nc5_Latest-Gexa Model_3 3" xfId="1424"/>
    <cellStyle name="_Currency_Bermuda PV check 10nc5_Latest-Gexa Model_3_dv01" xfId="109"/>
    <cellStyle name="_Currency_Bermuda PV check 10nc5_Latest-Gexa Model_3_dv01 2" xfId="2496"/>
    <cellStyle name="_Currency_Bermuda PV check 10nc5_Latest-Gexa Model_3_dv01 3" xfId="1425"/>
    <cellStyle name="_Currency_Bermuda PV check 10nc5_Latest-Gexa Model_4" xfId="110"/>
    <cellStyle name="_Currency_Bermuda PV check 10nc5_Latest-Gexa Model_4 2" xfId="2497"/>
    <cellStyle name="_Currency_Bermuda PV check 10nc5_Latest-Gexa Model_4 3" xfId="1426"/>
    <cellStyle name="_Currency_Bermuda PV check 10nc5_Latest-Gexa Model_4_dv01" xfId="111"/>
    <cellStyle name="_Currency_Bermuda PV check 10nc5_Latest-Gexa Model_4_dv01 2" xfId="2498"/>
    <cellStyle name="_Currency_Bermuda PV check 10nc5_Latest-Gexa Model_4_dv01 3" xfId="1427"/>
    <cellStyle name="_Currency_Bermuda PV check 10nc5_Latest-Gexa Model_Anker 2008Q4 concept" xfId="112"/>
    <cellStyle name="_Currency_Bermuda PV check 10nc5_Latest-Gexa Model_Anker 2008Q4 concept 2" xfId="2499"/>
    <cellStyle name="_Currency_Bermuda PV check 10nc5_Latest-Gexa Model_Anker 2008Q4 concept 3" xfId="1428"/>
    <cellStyle name="_Currency_Bermuda PV check 10nc5_Latest-Gexa Model_fundrapport" xfId="113"/>
    <cellStyle name="_Currency_Bermuda PV check 10nc5_Latest-Gexa Model_fundrapport 2" xfId="2500"/>
    <cellStyle name="_Currency_Bermuda PV check 10nc5_Latest-Gexa Model_fundrapport 3" xfId="1429"/>
    <cellStyle name="_Currency_Bermuda PV check 10nc5_Latest-Gexa Model_inj&amp;withdr toelichting hard" xfId="114"/>
    <cellStyle name="_Currency_Bermuda PV check 10nc5_Latest-Gexa Model_inj&amp;withdr toelichting hard 2" xfId="2501"/>
    <cellStyle name="_Currency_Bermuda PV check 10nc5_Latest-Gexa Model_inj&amp;withdr toelichting hard 3" xfId="1430"/>
    <cellStyle name="_Currency_Bermuda PV check 10nc5_Latest-Gexa Model_inj&amp;withdr toelichting hard_dv01" xfId="115"/>
    <cellStyle name="_Currency_Bermuda PV check 10nc5_Latest-Gexa Model_inj&amp;withdr toelichting hard_dv01 2" xfId="2502"/>
    <cellStyle name="_Currency_Bermuda PV check 10nc5_Latest-Gexa Model_inj&amp;withdr toelichting hard_dv01 3" xfId="1431"/>
    <cellStyle name="_Currency_Bermuda PV check 10nc5_Structure Collection" xfId="116"/>
    <cellStyle name="_Currency_Bermuda PV check 10nc5_Structure Collection 2" xfId="2503"/>
    <cellStyle name="_Currency_Bermuda PV check 10nc5_Structure Collection 3" xfId="1432"/>
    <cellStyle name="_Currency_Bermuda PV check 10nc5_Structure Collection_3" xfId="117"/>
    <cellStyle name="_Currency_Bermuda PV check 10nc5_Structure Collection_3 2" xfId="2504"/>
    <cellStyle name="_Currency_Bermuda PV check 10nc5_Structure Collection_3 3" xfId="1433"/>
    <cellStyle name="_Currency_Bermuda PV check 10nc5_Structure Collection_3_dv01" xfId="118"/>
    <cellStyle name="_Currency_Bermuda PV check 10nc5_Structure Collection_3_dv01 2" xfId="2505"/>
    <cellStyle name="_Currency_Bermuda PV check 10nc5_Structure Collection_3_dv01 3" xfId="1434"/>
    <cellStyle name="_Currency_Bermuda PV check 10nc5_Structure Collection_4" xfId="119"/>
    <cellStyle name="_Currency_Bermuda PV check 10nc5_Structure Collection_4 2" xfId="2506"/>
    <cellStyle name="_Currency_Bermuda PV check 10nc5_Structure Collection_4 3" xfId="1435"/>
    <cellStyle name="_Currency_Bermuda PV check 10nc5_Structure Collection_4_dv01" xfId="120"/>
    <cellStyle name="_Currency_Bermuda PV check 10nc5_Structure Collection_4_dv01 2" xfId="2507"/>
    <cellStyle name="_Currency_Bermuda PV check 10nc5_Structure Collection_4_dv01 3" xfId="1436"/>
    <cellStyle name="_Currency_Bermuda PV check 10nc5_Structure Collection_Anker 2008Q4 concept" xfId="121"/>
    <cellStyle name="_Currency_Bermuda PV check 10nc5_Structure Collection_Anker 2008Q4 concept 2" xfId="2508"/>
    <cellStyle name="_Currency_Bermuda PV check 10nc5_Structure Collection_Anker 2008Q4 concept 3" xfId="1437"/>
    <cellStyle name="_Currency_Bermuda PV check 10nc5_Structure Collection_fundrapport" xfId="122"/>
    <cellStyle name="_Currency_Bermuda PV check 10nc5_Structure Collection_fundrapport 2" xfId="2509"/>
    <cellStyle name="_Currency_Bermuda PV check 10nc5_Structure Collection_fundrapport 3" xfId="1438"/>
    <cellStyle name="_Currency_Bermuda PV check 10nc5_Structure Collection_inj&amp;withdr toelichting hard" xfId="123"/>
    <cellStyle name="_Currency_Bermuda PV check 10nc5_Structure Collection_inj&amp;withdr toelichting hard 2" xfId="2510"/>
    <cellStyle name="_Currency_Bermuda PV check 10nc5_Structure Collection_inj&amp;withdr toelichting hard 3" xfId="1439"/>
    <cellStyle name="_Currency_Bermuda PV check 10nc5_Structure Collection_inj&amp;withdr toelichting hard_dv01" xfId="124"/>
    <cellStyle name="_Currency_Bermuda PV check 10nc5_Structure Collection_inj&amp;withdr toelichting hard_dv01 2" xfId="2511"/>
    <cellStyle name="_Currency_Bermuda PV check 10nc5_Structure Collection_inj&amp;withdr toelichting hard_dv01 3" xfId="1440"/>
    <cellStyle name="_Currency_Cash Flows" xfId="125"/>
    <cellStyle name="_Currency_Cash flows (2)" xfId="126"/>
    <cellStyle name="_Currency_Cash flows (2) 2" xfId="2513"/>
    <cellStyle name="_Currency_Cash flows (2) 3" xfId="1442"/>
    <cellStyle name="_Currency_Cash flows (2)_3" xfId="127"/>
    <cellStyle name="_Currency_Cash flows (2)_3 2" xfId="2514"/>
    <cellStyle name="_Currency_Cash flows (2)_3 3" xfId="1443"/>
    <cellStyle name="_Currency_Cash flows (2)_3_dv01" xfId="128"/>
    <cellStyle name="_Currency_Cash flows (2)_3_dv01 2" xfId="2515"/>
    <cellStyle name="_Currency_Cash flows (2)_3_dv01 3" xfId="1444"/>
    <cellStyle name="_Currency_Cash flows (2)_4" xfId="129"/>
    <cellStyle name="_Currency_Cash flows (2)_4 2" xfId="2516"/>
    <cellStyle name="_Currency_Cash flows (2)_4 3" xfId="1445"/>
    <cellStyle name="_Currency_Cash flows (2)_4_dv01" xfId="130"/>
    <cellStyle name="_Currency_Cash flows (2)_4_dv01 2" xfId="2517"/>
    <cellStyle name="_Currency_Cash flows (2)_4_dv01 3" xfId="1446"/>
    <cellStyle name="_Currency_Cash flows (2)_Anker 2008Q4 concept" xfId="131"/>
    <cellStyle name="_Currency_Cash flows (2)_Anker 2008Q4 concept 2" xfId="2518"/>
    <cellStyle name="_Currency_Cash flows (2)_Anker 2008Q4 concept 3" xfId="1447"/>
    <cellStyle name="_Currency_Cash flows (2)_fundrapport" xfId="132"/>
    <cellStyle name="_Currency_Cash flows (2)_fundrapport 2" xfId="2519"/>
    <cellStyle name="_Currency_Cash flows (2)_fundrapport 3" xfId="1448"/>
    <cellStyle name="_Currency_Cash flows (2)_inj&amp;withdr toelichting hard" xfId="133"/>
    <cellStyle name="_Currency_Cash flows (2)_inj&amp;withdr toelichting hard 2" xfId="2520"/>
    <cellStyle name="_Currency_Cash flows (2)_inj&amp;withdr toelichting hard 3" xfId="1449"/>
    <cellStyle name="_Currency_Cash flows (2)_inj&amp;withdr toelichting hard_dv01" xfId="134"/>
    <cellStyle name="_Currency_Cash flows (2)_inj&amp;withdr toelichting hard_dv01 2" xfId="2521"/>
    <cellStyle name="_Currency_Cash flows (2)_inj&amp;withdr toelichting hard_dv01 3" xfId="1450"/>
    <cellStyle name="_Currency_Cash Flows 2" xfId="2512"/>
    <cellStyle name="_Currency_Cash Flows 3" xfId="3499"/>
    <cellStyle name="_Currency_Cash Flows 4" xfId="3854"/>
    <cellStyle name="_Currency_Cash Flows 5" xfId="5451"/>
    <cellStyle name="_Currency_Cash Flows 6" xfId="1441"/>
    <cellStyle name="_Currency_Cash Flows 7" xfId="2324"/>
    <cellStyle name="_Currency_Cash Flows 8" xfId="7551"/>
    <cellStyle name="_Currency_Cash flows for presentation" xfId="135"/>
    <cellStyle name="_Currency_Cash flows for presentation 2" xfId="2522"/>
    <cellStyle name="_Currency_Cash flows for presentation 3" xfId="1451"/>
    <cellStyle name="_Currency_Cash flows for presentation_3" xfId="136"/>
    <cellStyle name="_Currency_Cash flows for presentation_3 2" xfId="2523"/>
    <cellStyle name="_Currency_Cash flows for presentation_3 3" xfId="1452"/>
    <cellStyle name="_Currency_Cash flows for presentation_3_dv01" xfId="137"/>
    <cellStyle name="_Currency_Cash flows for presentation_3_dv01 2" xfId="2524"/>
    <cellStyle name="_Currency_Cash flows for presentation_3_dv01 3" xfId="1453"/>
    <cellStyle name="_Currency_Cash flows for presentation_4" xfId="138"/>
    <cellStyle name="_Currency_Cash flows for presentation_4 2" xfId="2525"/>
    <cellStyle name="_Currency_Cash flows for presentation_4 3" xfId="1454"/>
    <cellStyle name="_Currency_Cash flows for presentation_4_dv01" xfId="139"/>
    <cellStyle name="_Currency_Cash flows for presentation_4_dv01 2" xfId="2526"/>
    <cellStyle name="_Currency_Cash flows for presentation_4_dv01 3" xfId="1455"/>
    <cellStyle name="_Currency_Cash flows for presentation_Anker 2008Q4 concept" xfId="140"/>
    <cellStyle name="_Currency_Cash flows for presentation_Anker 2008Q4 concept 2" xfId="2527"/>
    <cellStyle name="_Currency_Cash flows for presentation_Anker 2008Q4 concept 3" xfId="1456"/>
    <cellStyle name="_Currency_Cash flows for presentation_fundrapport" xfId="141"/>
    <cellStyle name="_Currency_Cash flows for presentation_fundrapport 2" xfId="2528"/>
    <cellStyle name="_Currency_Cash flows for presentation_fundrapport 3" xfId="1457"/>
    <cellStyle name="_Currency_Cash flows for presentation_inj&amp;withdr toelichting hard" xfId="142"/>
    <cellStyle name="_Currency_Cash flows for presentation_inj&amp;withdr toelichting hard 2" xfId="2529"/>
    <cellStyle name="_Currency_Cash flows for presentation_inj&amp;withdr toelichting hard 3" xfId="1458"/>
    <cellStyle name="_Currency_Cash flows for presentation_inj&amp;withdr toelichting hard_dv01" xfId="143"/>
    <cellStyle name="_Currency_Cash flows for presentation_inj&amp;withdr toelichting hard_dv01 2" xfId="2530"/>
    <cellStyle name="_Currency_Cash flows for presentation_inj&amp;withdr toelichting hard_dv01 3" xfId="1459"/>
    <cellStyle name="_Currency_Cash Flows_3" xfId="144"/>
    <cellStyle name="_Currency_Cash Flows_3 2" xfId="2531"/>
    <cellStyle name="_Currency_Cash Flows_3 3" xfId="1460"/>
    <cellStyle name="_Currency_Cash Flows_3_dv01" xfId="145"/>
    <cellStyle name="_Currency_Cash Flows_3_dv01 2" xfId="2532"/>
    <cellStyle name="_Currency_Cash Flows_3_dv01 3" xfId="1461"/>
    <cellStyle name="_Currency_Cash Flows_4" xfId="146"/>
    <cellStyle name="_Currency_Cash Flows_4 2" xfId="2533"/>
    <cellStyle name="_Currency_Cash Flows_4 3" xfId="1462"/>
    <cellStyle name="_Currency_Cash Flows_4_dv01" xfId="147"/>
    <cellStyle name="_Currency_Cash Flows_4_dv01 2" xfId="2534"/>
    <cellStyle name="_Currency_Cash Flows_4_dv01 3" xfId="1463"/>
    <cellStyle name="_Currency_Cash Flows_Anker 2008Q4 concept" xfId="148"/>
    <cellStyle name="_Currency_Cash Flows_Anker 2008Q4 concept 2" xfId="2535"/>
    <cellStyle name="_Currency_Cash Flows_Anker 2008Q4 concept 3" xfId="1464"/>
    <cellStyle name="_Currency_Cash Flows_fundrapport" xfId="149"/>
    <cellStyle name="_Currency_Cash Flows_fundrapport 2" xfId="2536"/>
    <cellStyle name="_Currency_Cash Flows_fundrapport 3" xfId="1465"/>
    <cellStyle name="_Currency_Cash Flows_inj&amp;withdr toelichting hard" xfId="150"/>
    <cellStyle name="_Currency_Cash Flows_inj&amp;withdr toelichting hard 2" xfId="2537"/>
    <cellStyle name="_Currency_Cash Flows_inj&amp;withdr toelichting hard 3" xfId="1466"/>
    <cellStyle name="_Currency_Cash Flows_inj&amp;withdr toelichting hard_dv01" xfId="151"/>
    <cellStyle name="_Currency_Cash Flows_inj&amp;withdr toelichting hard_dv01 2" xfId="2538"/>
    <cellStyle name="_Currency_Cash Flows_inj&amp;withdr toelichting hard_dv01 3" xfId="1467"/>
    <cellStyle name="_Currency_Cashflow Parameters" xfId="152"/>
    <cellStyle name="_Currency_Cashflow Parameters 2" xfId="2539"/>
    <cellStyle name="_Currency_Cashflow Parameters 3" xfId="1468"/>
    <cellStyle name="_Currency_Cashflow Parameters_3" xfId="153"/>
    <cellStyle name="_Currency_Cashflow Parameters_3 2" xfId="2540"/>
    <cellStyle name="_Currency_Cashflow Parameters_3 3" xfId="1469"/>
    <cellStyle name="_Currency_Cashflow Parameters_3_dv01" xfId="154"/>
    <cellStyle name="_Currency_Cashflow Parameters_3_dv01 2" xfId="2541"/>
    <cellStyle name="_Currency_Cashflow Parameters_3_dv01 3" xfId="1470"/>
    <cellStyle name="_Currency_Cashflow Parameters_4" xfId="155"/>
    <cellStyle name="_Currency_Cashflow Parameters_4 2" xfId="2542"/>
    <cellStyle name="_Currency_Cashflow Parameters_4 3" xfId="1471"/>
    <cellStyle name="_Currency_Cashflow Parameters_4_dv01" xfId="156"/>
    <cellStyle name="_Currency_Cashflow Parameters_4_dv01 2" xfId="2543"/>
    <cellStyle name="_Currency_Cashflow Parameters_4_dv01 3" xfId="1472"/>
    <cellStyle name="_Currency_Cashflow Parameters_Anker 2008Q4 concept" xfId="157"/>
    <cellStyle name="_Currency_Cashflow Parameters_Anker 2008Q4 concept 2" xfId="2544"/>
    <cellStyle name="_Currency_Cashflow Parameters_Anker 2008Q4 concept 3" xfId="1473"/>
    <cellStyle name="_Currency_Cashflow Parameters_fundrapport" xfId="158"/>
    <cellStyle name="_Currency_Cashflow Parameters_fundrapport 2" xfId="2545"/>
    <cellStyle name="_Currency_Cashflow Parameters_fundrapport 3" xfId="1474"/>
    <cellStyle name="_Currency_Cashflow Parameters_inj&amp;withdr toelichting hard" xfId="159"/>
    <cellStyle name="_Currency_Cashflow Parameters_inj&amp;withdr toelichting hard 2" xfId="2546"/>
    <cellStyle name="_Currency_Cashflow Parameters_inj&amp;withdr toelichting hard 3" xfId="1475"/>
    <cellStyle name="_Currency_Cashflow Parameters_inj&amp;withdr toelichting hard_dv01" xfId="160"/>
    <cellStyle name="_Currency_Cashflow Parameters_inj&amp;withdr toelichting hard_dv01 2" xfId="2547"/>
    <cellStyle name="_Currency_Cashflow Parameters_inj&amp;withdr toelichting hard_dv01 3" xfId="1476"/>
    <cellStyle name="_Currency_cashflow_stripper_Index_Linked" xfId="161"/>
    <cellStyle name="_Currency_cashflow_stripper_Index_Linked 2" xfId="2548"/>
    <cellStyle name="_Currency_cashflow_stripper_Index_Linked 3" xfId="1477"/>
    <cellStyle name="_Currency_cashflow_stripper_Index_Linked_actuate" xfId="162"/>
    <cellStyle name="_Currency_cashflow_stripper_Index_Linked_actuate 2" xfId="2549"/>
    <cellStyle name="_Currency_cashflow_stripper_Index_Linked_actuate 3" xfId="1478"/>
    <cellStyle name="_Currency_cashflow_stripper_Index_Linked_dv01" xfId="163"/>
    <cellStyle name="_Currency_cashflow_stripper_Index_Linked_dv01 2" xfId="2550"/>
    <cellStyle name="_Currency_cashflow_stripper_Index_Linked_dv01 3" xfId="1479"/>
    <cellStyle name="_Currency_CashFlows" xfId="164"/>
    <cellStyle name="_Currency_CashFlows " xfId="165"/>
    <cellStyle name="_Currency_CashFlows  2" xfId="2552"/>
    <cellStyle name="_Currency_CashFlows  3" xfId="1481"/>
    <cellStyle name="_Currency_CashFlows _3" xfId="166"/>
    <cellStyle name="_Currency_CashFlows _3 2" xfId="2553"/>
    <cellStyle name="_Currency_CashFlows _3 3" xfId="1482"/>
    <cellStyle name="_Currency_CashFlows _3_dv01" xfId="167"/>
    <cellStyle name="_Currency_CashFlows _3_dv01 2" xfId="2554"/>
    <cellStyle name="_Currency_CashFlows _3_dv01 3" xfId="1483"/>
    <cellStyle name="_Currency_CashFlows _4" xfId="168"/>
    <cellStyle name="_Currency_CashFlows _4 2" xfId="2555"/>
    <cellStyle name="_Currency_CashFlows _4 3" xfId="1484"/>
    <cellStyle name="_Currency_CashFlows _4_dv01" xfId="169"/>
    <cellStyle name="_Currency_CashFlows _4_dv01 2" xfId="2556"/>
    <cellStyle name="_Currency_CashFlows _4_dv01 3" xfId="1485"/>
    <cellStyle name="_Currency_CashFlows _Anker 2008Q4 concept" xfId="170"/>
    <cellStyle name="_Currency_CashFlows _Anker 2008Q4 concept 2" xfId="2557"/>
    <cellStyle name="_Currency_CashFlows _Anker 2008Q4 concept 3" xfId="1486"/>
    <cellStyle name="_Currency_CashFlows _fundrapport" xfId="171"/>
    <cellStyle name="_Currency_CashFlows _fundrapport 2" xfId="2558"/>
    <cellStyle name="_Currency_CashFlows _fundrapport 3" xfId="1487"/>
    <cellStyle name="_Currency_CashFlows _inj&amp;withdr toelichting hard" xfId="172"/>
    <cellStyle name="_Currency_CashFlows _inj&amp;withdr toelichting hard 2" xfId="2559"/>
    <cellStyle name="_Currency_CashFlows _inj&amp;withdr toelichting hard 3" xfId="1488"/>
    <cellStyle name="_Currency_CashFlows _inj&amp;withdr toelichting hard_dv01" xfId="173"/>
    <cellStyle name="_Currency_CashFlows _inj&amp;withdr toelichting hard_dv01 2" xfId="2560"/>
    <cellStyle name="_Currency_CashFlows _inj&amp;withdr toelichting hard_dv01 3" xfId="1489"/>
    <cellStyle name="_Currency_CashFlows _June 05 CF" xfId="174"/>
    <cellStyle name="_Currency_CashFlows _June 05 CF 2" xfId="2561"/>
    <cellStyle name="_Currency_CashFlows _June 05 CF 3" xfId="1490"/>
    <cellStyle name="_Currency_CashFlows _June 05 CF_actuate" xfId="175"/>
    <cellStyle name="_Currency_CashFlows _June 05 CF_actuate 2" xfId="2562"/>
    <cellStyle name="_Currency_CashFlows _June 05 CF_actuate 3" xfId="1491"/>
    <cellStyle name="_Currency_CashFlows _June 05 CF_dv01" xfId="176"/>
    <cellStyle name="_Currency_CashFlows _June 05 CF_dv01 2" xfId="2563"/>
    <cellStyle name="_Currency_CashFlows _June 05 CF_dv01 3" xfId="1492"/>
    <cellStyle name="_Currency_CashFlows _June05" xfId="177"/>
    <cellStyle name="_Currency_CashFlows _June05 2" xfId="2564"/>
    <cellStyle name="_Currency_CashFlows _June05 3" xfId="1493"/>
    <cellStyle name="_Currency_CashFlows _June05_3" xfId="178"/>
    <cellStyle name="_Currency_CashFlows _June05_3 2" xfId="2565"/>
    <cellStyle name="_Currency_CashFlows _June05_3 3" xfId="1494"/>
    <cellStyle name="_Currency_CashFlows _June05_3_dv01" xfId="179"/>
    <cellStyle name="_Currency_CashFlows _June05_3_dv01 2" xfId="2566"/>
    <cellStyle name="_Currency_CashFlows _June05_3_dv01 3" xfId="1495"/>
    <cellStyle name="_Currency_CashFlows _June05_4" xfId="180"/>
    <cellStyle name="_Currency_CashFlows _June05_4 2" xfId="2567"/>
    <cellStyle name="_Currency_CashFlows _June05_4 3" xfId="1496"/>
    <cellStyle name="_Currency_CashFlows _June05_4_dv01" xfId="181"/>
    <cellStyle name="_Currency_CashFlows _June05_4_dv01 2" xfId="2568"/>
    <cellStyle name="_Currency_CashFlows _June05_4_dv01 3" xfId="1497"/>
    <cellStyle name="_Currency_CashFlows _June05_Anker 2008Q4 concept" xfId="182"/>
    <cellStyle name="_Currency_CashFlows _June05_Anker 2008Q4 concept 2" xfId="2569"/>
    <cellStyle name="_Currency_CashFlows _June05_Anker 2008Q4 concept 3" xfId="1498"/>
    <cellStyle name="_Currency_CashFlows _June05_fundrapport" xfId="183"/>
    <cellStyle name="_Currency_CashFlows _June05_fundrapport 2" xfId="2570"/>
    <cellStyle name="_Currency_CashFlows _June05_fundrapport 3" xfId="1499"/>
    <cellStyle name="_Currency_CashFlows _June05_inj&amp;withdr toelichting hard" xfId="184"/>
    <cellStyle name="_Currency_CashFlows _June05_inj&amp;withdr toelichting hard 2" xfId="2571"/>
    <cellStyle name="_Currency_CashFlows _June05_inj&amp;withdr toelichting hard 3" xfId="1500"/>
    <cellStyle name="_Currency_CashFlows _June05_inj&amp;withdr toelichting hard_dv01" xfId="185"/>
    <cellStyle name="_Currency_CashFlows _June05_inj&amp;withdr toelichting hard_dv01 2" xfId="2572"/>
    <cellStyle name="_Currency_CashFlows _June05_inj&amp;withdr toelichting hard_dv01 3" xfId="1501"/>
    <cellStyle name="_Currency_CashFlows _Matching PV Cashflows" xfId="186"/>
    <cellStyle name="_Currency_CashFlows _Matching PV Cashflows 2" xfId="2573"/>
    <cellStyle name="_Currency_CashFlows _Matching PV Cashflows 3" xfId="1502"/>
    <cellStyle name="_Currency_CashFlows _Matching PV Cashflows_actuate" xfId="187"/>
    <cellStyle name="_Currency_CashFlows _Matching PV Cashflows_actuate 2" xfId="2574"/>
    <cellStyle name="_Currency_CashFlows _Matching PV Cashflows_actuate 3" xfId="1503"/>
    <cellStyle name="_Currency_CashFlows _Matching PV Cashflows_dv01" xfId="188"/>
    <cellStyle name="_Currency_CashFlows _Matching PV Cashflows_dv01 2" xfId="2575"/>
    <cellStyle name="_Currency_CashFlows _Matching PV Cashflows_dv01 3" xfId="1504"/>
    <cellStyle name="_Currency_CashFlows _Sheet1" xfId="189"/>
    <cellStyle name="_Currency_CashFlows _Sheet1 2" xfId="2576"/>
    <cellStyle name="_Currency_CashFlows _Sheet1 3" xfId="1505"/>
    <cellStyle name="_Currency_CashFlows _Sheet1_actuate" xfId="190"/>
    <cellStyle name="_Currency_CashFlows _Sheet1_actuate 2" xfId="2577"/>
    <cellStyle name="_Currency_CashFlows _Sheet1_actuate 3" xfId="1506"/>
    <cellStyle name="_Currency_CashFlows _Sheet1_dv01" xfId="191"/>
    <cellStyle name="_Currency_CashFlows _Sheet1_dv01 2" xfId="2578"/>
    <cellStyle name="_Currency_CashFlows _Sheet1_dv01 3" xfId="1507"/>
    <cellStyle name="_Currency_CashFlows 2" xfId="2551"/>
    <cellStyle name="_Currency_CashFlows 3" xfId="3419"/>
    <cellStyle name="_Currency_CashFlows 4" xfId="3853"/>
    <cellStyle name="_Currency_CashFlows 5" xfId="5164"/>
    <cellStyle name="_Currency_CashFlows 6" xfId="1480"/>
    <cellStyle name="_Currency_CashFlows 7" xfId="2277"/>
    <cellStyle name="_Currency_CashFlows 8" xfId="7548"/>
    <cellStyle name="_Currency_Cashflows Indexed2" xfId="192"/>
    <cellStyle name="_Currency_Cashflows Indexed2 2" xfId="2579"/>
    <cellStyle name="_Currency_Cashflows Indexed2 3" xfId="1508"/>
    <cellStyle name="_Currency_Cashflows Indexed2_3" xfId="193"/>
    <cellStyle name="_Currency_Cashflows Indexed2_3 2" xfId="2580"/>
    <cellStyle name="_Currency_Cashflows Indexed2_3 3" xfId="1509"/>
    <cellStyle name="_Currency_Cashflows Indexed2_3_dv01" xfId="194"/>
    <cellStyle name="_Currency_Cashflows Indexed2_3_dv01 2" xfId="2581"/>
    <cellStyle name="_Currency_Cashflows Indexed2_3_dv01 3" xfId="1510"/>
    <cellStyle name="_Currency_Cashflows Indexed2_4" xfId="195"/>
    <cellStyle name="_Currency_Cashflows Indexed2_4 2" xfId="2582"/>
    <cellStyle name="_Currency_Cashflows Indexed2_4 3" xfId="1511"/>
    <cellStyle name="_Currency_Cashflows Indexed2_4_dv01" xfId="196"/>
    <cellStyle name="_Currency_Cashflows Indexed2_4_dv01 2" xfId="2583"/>
    <cellStyle name="_Currency_Cashflows Indexed2_4_dv01 3" xfId="1512"/>
    <cellStyle name="_Currency_Cashflows Indexed2_Anker 2008Q4 concept" xfId="197"/>
    <cellStyle name="_Currency_Cashflows Indexed2_Anker 2008Q4 concept 2" xfId="2584"/>
    <cellStyle name="_Currency_Cashflows Indexed2_Anker 2008Q4 concept 3" xfId="1513"/>
    <cellStyle name="_Currency_Cashflows Indexed2_fundrapport" xfId="198"/>
    <cellStyle name="_Currency_Cashflows Indexed2_fundrapport 2" xfId="2585"/>
    <cellStyle name="_Currency_Cashflows Indexed2_fundrapport 3" xfId="1514"/>
    <cellStyle name="_Currency_Cashflows Indexed2_inj&amp;withdr toelichting hard" xfId="199"/>
    <cellStyle name="_Currency_Cashflows Indexed2_inj&amp;withdr toelichting hard 2" xfId="2586"/>
    <cellStyle name="_Currency_Cashflows Indexed2_inj&amp;withdr toelichting hard 3" xfId="1515"/>
    <cellStyle name="_Currency_Cashflows Indexed2_inj&amp;withdr toelichting hard_dv01" xfId="200"/>
    <cellStyle name="_Currency_Cashflows Indexed2_inj&amp;withdr toelichting hard_dv01 2" xfId="2587"/>
    <cellStyle name="_Currency_Cashflows Indexed2_inj&amp;withdr toelichting hard_dv01 3" xfId="1516"/>
    <cellStyle name="_Currency_CashFlows_actuate" xfId="201"/>
    <cellStyle name="_Currency_CashFlows_actuate 2" xfId="2588"/>
    <cellStyle name="_Currency_CashFlows_actuate 3" xfId="1517"/>
    <cellStyle name="_Currency_CashFlows_dv01" xfId="202"/>
    <cellStyle name="_Currency_CashFlows_dv01 2" xfId="2589"/>
    <cellStyle name="_Currency_CashFlows_dv01 3" xfId="1518"/>
    <cellStyle name="_Currency_CashFlows_Latest-Liberty Based-DHW" xfId="203"/>
    <cellStyle name="_Currency_CashFlows_Latest-Liberty Based-DHW 2" xfId="2590"/>
    <cellStyle name="_Currency_CashFlows_Latest-Liberty Based-DHW 3" xfId="1519"/>
    <cellStyle name="_Currency_CashFlows_Latest-Liberty Based-DHW_3" xfId="204"/>
    <cellStyle name="_Currency_CashFlows_Latest-Liberty Based-DHW_3 2" xfId="2591"/>
    <cellStyle name="_Currency_CashFlows_Latest-Liberty Based-DHW_3 3" xfId="1520"/>
    <cellStyle name="_Currency_CashFlows_Latest-Liberty Based-DHW_3_dv01" xfId="205"/>
    <cellStyle name="_Currency_CashFlows_Latest-Liberty Based-DHW_3_dv01 2" xfId="2592"/>
    <cellStyle name="_Currency_CashFlows_Latest-Liberty Based-DHW_3_dv01 3" xfId="1521"/>
    <cellStyle name="_Currency_CashFlows_Latest-Liberty Based-DHW_4" xfId="206"/>
    <cellStyle name="_Currency_CashFlows_Latest-Liberty Based-DHW_4 2" xfId="2593"/>
    <cellStyle name="_Currency_CashFlows_Latest-Liberty Based-DHW_4 3" xfId="1522"/>
    <cellStyle name="_Currency_CashFlows_Latest-Liberty Based-DHW_4_dv01" xfId="207"/>
    <cellStyle name="_Currency_CashFlows_Latest-Liberty Based-DHW_4_dv01 2" xfId="2594"/>
    <cellStyle name="_Currency_CashFlows_Latest-Liberty Based-DHW_4_dv01 3" xfId="1523"/>
    <cellStyle name="_Currency_CashFlows_Latest-Liberty Based-DHW_Anker 2008Q4 concept" xfId="208"/>
    <cellStyle name="_Currency_CashFlows_Latest-Liberty Based-DHW_Anker 2008Q4 concept 2" xfId="2595"/>
    <cellStyle name="_Currency_CashFlows_Latest-Liberty Based-DHW_Anker 2008Q4 concept 3" xfId="1524"/>
    <cellStyle name="_Currency_CashFlows_Latest-Liberty Based-DHW_fundrapport" xfId="209"/>
    <cellStyle name="_Currency_CashFlows_Latest-Liberty Based-DHW_fundrapport 2" xfId="2596"/>
    <cellStyle name="_Currency_CashFlows_Latest-Liberty Based-DHW_fundrapport 3" xfId="1525"/>
    <cellStyle name="_Currency_CashFlows_Latest-Liberty Based-DHW_inj&amp;withdr toelichting hard" xfId="210"/>
    <cellStyle name="_Currency_CashFlows_Latest-Liberty Based-DHW_inj&amp;withdr toelichting hard 2" xfId="2597"/>
    <cellStyle name="_Currency_CashFlows_Latest-Liberty Based-DHW_inj&amp;withdr toelichting hard 3" xfId="1526"/>
    <cellStyle name="_Currency_CashFlows_Latest-Liberty Based-DHW_inj&amp;withdr toelichting hard_dv01" xfId="211"/>
    <cellStyle name="_Currency_CashFlows_Latest-Liberty Based-DHW_inj&amp;withdr toelichting hard_dv01 2" xfId="2598"/>
    <cellStyle name="_Currency_CashFlows_Latest-Liberty Based-DHW_inj&amp;withdr toelichting hard_dv01 3" xfId="1527"/>
    <cellStyle name="_Currency_CDO price distributions" xfId="212"/>
    <cellStyle name="_Currency_CDO price distributions 2" xfId="2599"/>
    <cellStyle name="_Currency_CDO price distributions 3" xfId="1528"/>
    <cellStyle name="_Currency_CDO price distributions_3" xfId="213"/>
    <cellStyle name="_Currency_CDO price distributions_3 2" xfId="2600"/>
    <cellStyle name="_Currency_CDO price distributions_3 3" xfId="1529"/>
    <cellStyle name="_Currency_CDO price distributions_3_dv01" xfId="214"/>
    <cellStyle name="_Currency_CDO price distributions_3_dv01 2" xfId="2601"/>
    <cellStyle name="_Currency_CDO price distributions_3_dv01 3" xfId="1530"/>
    <cellStyle name="_Currency_CDO price distributions_4" xfId="215"/>
    <cellStyle name="_Currency_CDO price distributions_4 2" xfId="2602"/>
    <cellStyle name="_Currency_CDO price distributions_4 3" xfId="1531"/>
    <cellStyle name="_Currency_CDO price distributions_4_dv01" xfId="216"/>
    <cellStyle name="_Currency_CDO price distributions_4_dv01 2" xfId="2603"/>
    <cellStyle name="_Currency_CDO price distributions_4_dv01 3" xfId="1532"/>
    <cellStyle name="_Currency_CDO price distributions_Anker 2008Q4 concept" xfId="217"/>
    <cellStyle name="_Currency_CDO price distributions_Anker 2008Q4 concept 2" xfId="2604"/>
    <cellStyle name="_Currency_CDO price distributions_Anker 2008Q4 concept 3" xfId="1533"/>
    <cellStyle name="_Currency_CDO price distributions_fundrapport" xfId="218"/>
    <cellStyle name="_Currency_CDO price distributions_fundrapport 2" xfId="2605"/>
    <cellStyle name="_Currency_CDO price distributions_fundrapport 3" xfId="1534"/>
    <cellStyle name="_Currency_CDO price distributions_inj&amp;withdr toelichting hard" xfId="219"/>
    <cellStyle name="_Currency_CDO price distributions_inj&amp;withdr toelichting hard 2" xfId="2606"/>
    <cellStyle name="_Currency_CDO price distributions_inj&amp;withdr toelichting hard 3" xfId="1535"/>
    <cellStyle name="_Currency_CDO price distributions_inj&amp;withdr toelichting hard_dv01" xfId="220"/>
    <cellStyle name="_Currency_CDO price distributions_inj&amp;withdr toelichting hard_dv01 2" xfId="2607"/>
    <cellStyle name="_Currency_CDO price distributions_inj&amp;withdr toelichting hard_dv01 3" xfId="1536"/>
    <cellStyle name="_Currency_CF for Model " xfId="221"/>
    <cellStyle name="_Currency_CF for Model  2" xfId="2608"/>
    <cellStyle name="_Currency_CF for Model  3" xfId="1537"/>
    <cellStyle name="_Currency_CF for Model _3" xfId="222"/>
    <cellStyle name="_Currency_CF for Model _3 2" xfId="2609"/>
    <cellStyle name="_Currency_CF for Model _3 3" xfId="1538"/>
    <cellStyle name="_Currency_CF for Model _3_dv01" xfId="223"/>
    <cellStyle name="_Currency_CF for Model _3_dv01 2" xfId="2610"/>
    <cellStyle name="_Currency_CF for Model _3_dv01 3" xfId="1539"/>
    <cellStyle name="_Currency_CF for Model _4" xfId="224"/>
    <cellStyle name="_Currency_CF for Model _4 2" xfId="2611"/>
    <cellStyle name="_Currency_CF for Model _4 3" xfId="1540"/>
    <cellStyle name="_Currency_CF for Model _4_dv01" xfId="225"/>
    <cellStyle name="_Currency_CF for Model _4_dv01 2" xfId="2612"/>
    <cellStyle name="_Currency_CF for Model _4_dv01 3" xfId="1541"/>
    <cellStyle name="_Currency_CF for Model _Anker 2008Q4 concept" xfId="226"/>
    <cellStyle name="_Currency_CF for Model _Anker 2008Q4 concept 2" xfId="2613"/>
    <cellStyle name="_Currency_CF for Model _Anker 2008Q4 concept 3" xfId="1542"/>
    <cellStyle name="_Currency_CF for Model _fundrapport" xfId="227"/>
    <cellStyle name="_Currency_CF for Model _fundrapport 2" xfId="2614"/>
    <cellStyle name="_Currency_CF for Model _fundrapport 3" xfId="1543"/>
    <cellStyle name="_Currency_CF for Model _inj&amp;withdr toelichting hard" xfId="228"/>
    <cellStyle name="_Currency_CF for Model _inj&amp;withdr toelichting hard 2" xfId="2615"/>
    <cellStyle name="_Currency_CF for Model _inj&amp;withdr toelichting hard 3" xfId="1544"/>
    <cellStyle name="_Currency_CF for Model _inj&amp;withdr toelichting hard_dv01" xfId="229"/>
    <cellStyle name="_Currency_CF for Model _inj&amp;withdr toelichting hard_dv01 2" xfId="2616"/>
    <cellStyle name="_Currency_CF for Model _inj&amp;withdr toelichting hard_dv01 3" xfId="1545"/>
    <cellStyle name="_Currency_Combined CashFlows" xfId="230"/>
    <cellStyle name="_Currency_Combined CashFlows 2" xfId="2617"/>
    <cellStyle name="_Currency_Combined CashFlows 3" xfId="1546"/>
    <cellStyle name="_Currency_Combined CashFlows_actuate" xfId="231"/>
    <cellStyle name="_Currency_Combined CashFlows_actuate 2" xfId="2618"/>
    <cellStyle name="_Currency_Combined CashFlows_actuate 3" xfId="1547"/>
    <cellStyle name="_Currency_Combined CashFlows_dv01" xfId="232"/>
    <cellStyle name="_Currency_Combined CashFlows_dv01 2" xfId="2619"/>
    <cellStyle name="_Currency_Combined CashFlows_dv01 3" xfId="1548"/>
    <cellStyle name="_Currency_Equity linked Swaption" xfId="233"/>
    <cellStyle name="_Currency_Equity linked Swaption 2" xfId="2620"/>
    <cellStyle name="_Currency_Equity linked Swaption 3" xfId="1549"/>
    <cellStyle name="_Currency_Equity linked Swaption_3" xfId="234"/>
    <cellStyle name="_Currency_Equity linked Swaption_3 2" xfId="2621"/>
    <cellStyle name="_Currency_Equity linked Swaption_3 3" xfId="1550"/>
    <cellStyle name="_Currency_Equity linked Swaption_3_dv01" xfId="235"/>
    <cellStyle name="_Currency_Equity linked Swaption_3_dv01 2" xfId="2622"/>
    <cellStyle name="_Currency_Equity linked Swaption_3_dv01 3" xfId="1551"/>
    <cellStyle name="_Currency_Equity linked Swaption_4" xfId="236"/>
    <cellStyle name="_Currency_Equity linked Swaption_4 2" xfId="2623"/>
    <cellStyle name="_Currency_Equity linked Swaption_4 3" xfId="1552"/>
    <cellStyle name="_Currency_Equity linked Swaption_4_dv01" xfId="237"/>
    <cellStyle name="_Currency_Equity linked Swaption_4_dv01 2" xfId="2624"/>
    <cellStyle name="_Currency_Equity linked Swaption_4_dv01 3" xfId="1553"/>
    <cellStyle name="_Currency_Equity linked Swaption_Anker 2008Q4 concept" xfId="238"/>
    <cellStyle name="_Currency_Equity linked Swaption_Anker 2008Q4 concept 2" xfId="2625"/>
    <cellStyle name="_Currency_Equity linked Swaption_Anker 2008Q4 concept 3" xfId="1554"/>
    <cellStyle name="_Currency_Equity linked Swaption_fundrapport" xfId="239"/>
    <cellStyle name="_Currency_Equity linked Swaption_fundrapport 2" xfId="2626"/>
    <cellStyle name="_Currency_Equity linked Swaption_fundrapport 3" xfId="1555"/>
    <cellStyle name="_Currency_Equity linked Swaption_inj&amp;withdr toelichting hard" xfId="240"/>
    <cellStyle name="_Currency_Equity linked Swaption_inj&amp;withdr toelichting hard 2" xfId="2627"/>
    <cellStyle name="_Currency_Equity linked Swaption_inj&amp;withdr toelichting hard 3" xfId="1556"/>
    <cellStyle name="_Currency_Equity linked Swaption_inj&amp;withdr toelichting hard_dv01" xfId="241"/>
    <cellStyle name="_Currency_Equity linked Swaption_inj&amp;withdr toelichting hard_dv01 2" xfId="2628"/>
    <cellStyle name="_Currency_Equity linked Swaption_inj&amp;withdr toelichting hard_dv01 3" xfId="1557"/>
    <cellStyle name="_Currency_Equity linked Swaption_Liability Cashflows" xfId="242"/>
    <cellStyle name="_Currency_Equity linked Swaption_Liability Cashflows 2" xfId="2629"/>
    <cellStyle name="_Currency_Equity linked Swaption_Liability Cashflows 3" xfId="1558"/>
    <cellStyle name="_Currency_Equity linked Swaption_Liability Cashflows_actuate" xfId="243"/>
    <cellStyle name="_Currency_Equity linked Swaption_Liability Cashflows_actuate 2" xfId="2630"/>
    <cellStyle name="_Currency_Equity linked Swaption_Liability Cashflows_actuate 3" xfId="1559"/>
    <cellStyle name="_Currency_Equity linked Swaption_Liability Cashflows_dv01" xfId="244"/>
    <cellStyle name="_Currency_Equity linked Swaption_Liability Cashflows_dv01 2" xfId="2631"/>
    <cellStyle name="_Currency_Equity linked Swaption_Liability Cashflows_dv01 3" xfId="1560"/>
    <cellStyle name="_Currency_EUR Gexa - Swap" xfId="245"/>
    <cellStyle name="_Currency_EUR Gexa - Swap 2" xfId="2632"/>
    <cellStyle name="_Currency_EUR Gexa - Swap 3" xfId="1561"/>
    <cellStyle name="_Currency_EUR Gexa - Swap_01 Sweden Gexa Model - Master Version" xfId="246"/>
    <cellStyle name="_Currency_EUR Gexa - Swap_01 Sweden Gexa Model - Master Version 2" xfId="2633"/>
    <cellStyle name="_Currency_EUR Gexa - Swap_01 Sweden Gexa Model - Master Version 3" xfId="1562"/>
    <cellStyle name="_Currency_EUR Gexa - Swap_01 Sweden Gexa Model - Master Version_actuate" xfId="247"/>
    <cellStyle name="_Currency_EUR Gexa - Swap_01 Sweden Gexa Model - Master Version_actuate 2" xfId="2634"/>
    <cellStyle name="_Currency_EUR Gexa - Swap_01 Sweden Gexa Model - Master Version_actuate 3" xfId="1563"/>
    <cellStyle name="_Currency_EUR Gexa - Swap_01 Sweden Gexa Model - Master Version_dv01" xfId="248"/>
    <cellStyle name="_Currency_EUR Gexa - Swap_01 Sweden Gexa Model - Master Version_dv01 2" xfId="2635"/>
    <cellStyle name="_Currency_EUR Gexa - Swap_01 Sweden Gexa Model - Master Version_dv01 3" xfId="1564"/>
    <cellStyle name="_Currency_EUR Gexa - Swap_3" xfId="249"/>
    <cellStyle name="_Currency_EUR Gexa - Swap_3 2" xfId="2636"/>
    <cellStyle name="_Currency_EUR Gexa - Swap_3 3" xfId="1565"/>
    <cellStyle name="_Currency_EUR Gexa - Swap_3_dv01" xfId="250"/>
    <cellStyle name="_Currency_EUR Gexa - Swap_3_dv01 2" xfId="2637"/>
    <cellStyle name="_Currency_EUR Gexa - Swap_3_dv01 3" xfId="1566"/>
    <cellStyle name="_Currency_EUR Gexa - Swap_4" xfId="251"/>
    <cellStyle name="_Currency_EUR Gexa - Swap_4 2" xfId="2638"/>
    <cellStyle name="_Currency_EUR Gexa - Swap_4 3" xfId="1567"/>
    <cellStyle name="_Currency_EUR Gexa - Swap_4_dv01" xfId="252"/>
    <cellStyle name="_Currency_EUR Gexa - Swap_4_dv01 2" xfId="2639"/>
    <cellStyle name="_Currency_EUR Gexa - Swap_4_dv01 3" xfId="1568"/>
    <cellStyle name="_Currency_EUR Gexa - Swap_Anker 2008Q4 concept" xfId="253"/>
    <cellStyle name="_Currency_EUR Gexa - Swap_Anker 2008Q4 concept 2" xfId="2640"/>
    <cellStyle name="_Currency_EUR Gexa - Swap_Anker 2008Q4 concept 3" xfId="1569"/>
    <cellStyle name="_Currency_EUR Gexa - Swap_fundrapport" xfId="254"/>
    <cellStyle name="_Currency_EUR Gexa - Swap_fundrapport 2" xfId="2641"/>
    <cellStyle name="_Currency_EUR Gexa - Swap_fundrapport 3" xfId="1570"/>
    <cellStyle name="_Currency_EUR Gexa - Swap_inj&amp;withdr toelichting hard" xfId="255"/>
    <cellStyle name="_Currency_EUR Gexa - Swap_inj&amp;withdr toelichting hard 2" xfId="2642"/>
    <cellStyle name="_Currency_EUR Gexa - Swap_inj&amp;withdr toelichting hard 3" xfId="1571"/>
    <cellStyle name="_Currency_EUR Gexa - Swap_inj&amp;withdr toelichting hard_dv01" xfId="256"/>
    <cellStyle name="_Currency_EUR Gexa - Swap_inj&amp;withdr toelichting hard_dv01 2" xfId="2643"/>
    <cellStyle name="_Currency_EUR Gexa - Swap_inj&amp;withdr toelichting hard_dv01 3" xfId="1572"/>
    <cellStyle name="_Currency_EUR Gexa - Swap_Latest-Gexa Model" xfId="257"/>
    <cellStyle name="_Currency_EUR Gexa - Swap_Latest-Gexa Model 2" xfId="2644"/>
    <cellStyle name="_Currency_EUR Gexa - Swap_Latest-Gexa Model 3" xfId="1573"/>
    <cellStyle name="_Currency_EUR Gexa - Swap_Latest-Gexa Model_3" xfId="258"/>
    <cellStyle name="_Currency_EUR Gexa - Swap_Latest-Gexa Model_3 2" xfId="2645"/>
    <cellStyle name="_Currency_EUR Gexa - Swap_Latest-Gexa Model_3 3" xfId="1574"/>
    <cellStyle name="_Currency_EUR Gexa - Swap_Latest-Gexa Model_3_dv01" xfId="259"/>
    <cellStyle name="_Currency_EUR Gexa - Swap_Latest-Gexa Model_3_dv01 2" xfId="2646"/>
    <cellStyle name="_Currency_EUR Gexa - Swap_Latest-Gexa Model_3_dv01 3" xfId="1575"/>
    <cellStyle name="_Currency_EUR Gexa - Swap_Latest-Gexa Model_4" xfId="260"/>
    <cellStyle name="_Currency_EUR Gexa - Swap_Latest-Gexa Model_4 2" xfId="2647"/>
    <cellStyle name="_Currency_EUR Gexa - Swap_Latest-Gexa Model_4 3" xfId="1576"/>
    <cellStyle name="_Currency_EUR Gexa - Swap_Latest-Gexa Model_4_dv01" xfId="261"/>
    <cellStyle name="_Currency_EUR Gexa - Swap_Latest-Gexa Model_4_dv01 2" xfId="2648"/>
    <cellStyle name="_Currency_EUR Gexa - Swap_Latest-Gexa Model_4_dv01 3" xfId="1577"/>
    <cellStyle name="_Currency_EUR Gexa - Swap_Latest-Gexa Model_Anker 2008Q4 concept" xfId="262"/>
    <cellStyle name="_Currency_EUR Gexa - Swap_Latest-Gexa Model_Anker 2008Q4 concept 2" xfId="2649"/>
    <cellStyle name="_Currency_EUR Gexa - Swap_Latest-Gexa Model_Anker 2008Q4 concept 3" xfId="1578"/>
    <cellStyle name="_Currency_EUR Gexa - Swap_Latest-Gexa Model_fundrapport" xfId="263"/>
    <cellStyle name="_Currency_EUR Gexa - Swap_Latest-Gexa Model_fundrapport 2" xfId="2650"/>
    <cellStyle name="_Currency_EUR Gexa - Swap_Latest-Gexa Model_fundrapport 3" xfId="1579"/>
    <cellStyle name="_Currency_EUR Gexa - Swap_Latest-Gexa Model_inj&amp;withdr toelichting hard" xfId="264"/>
    <cellStyle name="_Currency_EUR Gexa - Swap_Latest-Gexa Model_inj&amp;withdr toelichting hard 2" xfId="2651"/>
    <cellStyle name="_Currency_EUR Gexa - Swap_Latest-Gexa Model_inj&amp;withdr toelichting hard 3" xfId="1580"/>
    <cellStyle name="_Currency_EUR Gexa - Swap_Latest-Gexa Model_inj&amp;withdr toelichting hard_dv01" xfId="265"/>
    <cellStyle name="_Currency_EUR Gexa - Swap_Latest-Gexa Model_inj&amp;withdr toelichting hard_dv01 2" xfId="2652"/>
    <cellStyle name="_Currency_EUR Gexa - Swap_Latest-Gexa Model_inj&amp;withdr toelichting hard_dv01 3" xfId="1581"/>
    <cellStyle name="_Currency_EUR Gexa - Swap_Structure Collection" xfId="266"/>
    <cellStyle name="_Currency_EUR Gexa - Swap_Structure Collection 2" xfId="2653"/>
    <cellStyle name="_Currency_EUR Gexa - Swap_Structure Collection 3" xfId="1582"/>
    <cellStyle name="_Currency_EUR Gexa - Swap_Structure Collection_3" xfId="267"/>
    <cellStyle name="_Currency_EUR Gexa - Swap_Structure Collection_3 2" xfId="2654"/>
    <cellStyle name="_Currency_EUR Gexa - Swap_Structure Collection_3 3" xfId="1583"/>
    <cellStyle name="_Currency_EUR Gexa - Swap_Structure Collection_3_dv01" xfId="268"/>
    <cellStyle name="_Currency_EUR Gexa - Swap_Structure Collection_3_dv01 2" xfId="2655"/>
    <cellStyle name="_Currency_EUR Gexa - Swap_Structure Collection_3_dv01 3" xfId="1584"/>
    <cellStyle name="_Currency_EUR Gexa - Swap_Structure Collection_4" xfId="269"/>
    <cellStyle name="_Currency_EUR Gexa - Swap_Structure Collection_4 2" xfId="2656"/>
    <cellStyle name="_Currency_EUR Gexa - Swap_Structure Collection_4 3" xfId="1585"/>
    <cellStyle name="_Currency_EUR Gexa - Swap_Structure Collection_4_dv01" xfId="270"/>
    <cellStyle name="_Currency_EUR Gexa - Swap_Structure Collection_4_dv01 2" xfId="2657"/>
    <cellStyle name="_Currency_EUR Gexa - Swap_Structure Collection_4_dv01 3" xfId="1586"/>
    <cellStyle name="_Currency_EUR Gexa - Swap_Structure Collection_Anker 2008Q4 concept" xfId="271"/>
    <cellStyle name="_Currency_EUR Gexa - Swap_Structure Collection_Anker 2008Q4 concept 2" xfId="2658"/>
    <cellStyle name="_Currency_EUR Gexa - Swap_Structure Collection_Anker 2008Q4 concept 3" xfId="1587"/>
    <cellStyle name="_Currency_EUR Gexa - Swap_Structure Collection_fundrapport" xfId="272"/>
    <cellStyle name="_Currency_EUR Gexa - Swap_Structure Collection_fundrapport 2" xfId="2659"/>
    <cellStyle name="_Currency_EUR Gexa - Swap_Structure Collection_fundrapport 3" xfId="1588"/>
    <cellStyle name="_Currency_EUR Gexa - Swap_Structure Collection_inj&amp;withdr toelichting hard" xfId="273"/>
    <cellStyle name="_Currency_EUR Gexa - Swap_Structure Collection_inj&amp;withdr toelichting hard 2" xfId="2660"/>
    <cellStyle name="_Currency_EUR Gexa - Swap_Structure Collection_inj&amp;withdr toelichting hard 3" xfId="1589"/>
    <cellStyle name="_Currency_EUR Gexa - Swap_Structure Collection_inj&amp;withdr toelichting hard_dv01" xfId="274"/>
    <cellStyle name="_Currency_EUR Gexa - Swap_Structure Collection_inj&amp;withdr toelichting hard_dv01 2" xfId="2661"/>
    <cellStyle name="_Currency_EUR Gexa - Swap_Structure Collection_inj&amp;withdr toelichting hard_dv01 3" xfId="1590"/>
    <cellStyle name="_Currency_EUR Inflation" xfId="275"/>
    <cellStyle name="_Currency_EUR Inflation 2" xfId="2662"/>
    <cellStyle name="_Currency_EUR Inflation 3" xfId="1591"/>
    <cellStyle name="_Currency_EUR Inflation_3" xfId="276"/>
    <cellStyle name="_Currency_EUR Inflation_3 2" xfId="2663"/>
    <cellStyle name="_Currency_EUR Inflation_3 3" xfId="1592"/>
    <cellStyle name="_Currency_EUR Inflation_3_dv01" xfId="277"/>
    <cellStyle name="_Currency_EUR Inflation_3_dv01 2" xfId="2664"/>
    <cellStyle name="_Currency_EUR Inflation_3_dv01 3" xfId="1593"/>
    <cellStyle name="_Currency_EUR Inflation_4" xfId="278"/>
    <cellStyle name="_Currency_EUR Inflation_4 2" xfId="2665"/>
    <cellStyle name="_Currency_EUR Inflation_4 3" xfId="1594"/>
    <cellStyle name="_Currency_EUR Inflation_4_dv01" xfId="279"/>
    <cellStyle name="_Currency_EUR Inflation_4_dv01 2" xfId="2666"/>
    <cellStyle name="_Currency_EUR Inflation_4_dv01 3" xfId="1595"/>
    <cellStyle name="_Currency_EUR Inflation_Anker 2008Q4 concept" xfId="280"/>
    <cellStyle name="_Currency_EUR Inflation_Anker 2008Q4 concept 2" xfId="2667"/>
    <cellStyle name="_Currency_EUR Inflation_Anker 2008Q4 concept 3" xfId="1596"/>
    <cellStyle name="_Currency_EUR Inflation_fundrapport" xfId="281"/>
    <cellStyle name="_Currency_EUR Inflation_fundrapport 2" xfId="2668"/>
    <cellStyle name="_Currency_EUR Inflation_fundrapport 3" xfId="1597"/>
    <cellStyle name="_Currency_EUR Inflation_inj&amp;withdr toelichting hard" xfId="282"/>
    <cellStyle name="_Currency_EUR Inflation_inj&amp;withdr toelichting hard 2" xfId="2669"/>
    <cellStyle name="_Currency_EUR Inflation_inj&amp;withdr toelichting hard 3" xfId="1598"/>
    <cellStyle name="_Currency_EUR Inflation_inj&amp;withdr toelichting hard_dv01" xfId="283"/>
    <cellStyle name="_Currency_EUR Inflation_inj&amp;withdr toelichting hard_dv01 2" xfId="2670"/>
    <cellStyle name="_Currency_EUR Inflation_inj&amp;withdr toelichting hard_dv01 3" xfId="1599"/>
    <cellStyle name="_Currency_EUR Inflation_Liability Cashflows" xfId="284"/>
    <cellStyle name="_Currency_EUR Inflation_Liability Cashflows 2" xfId="2671"/>
    <cellStyle name="_Currency_EUR Inflation_Liability Cashflows 3" xfId="1600"/>
    <cellStyle name="_Currency_EUR Inflation_Liability Cashflows_actuate" xfId="285"/>
    <cellStyle name="_Currency_EUR Inflation_Liability Cashflows_actuate 2" xfId="2672"/>
    <cellStyle name="_Currency_EUR Inflation_Liability Cashflows_actuate 3" xfId="1601"/>
    <cellStyle name="_Currency_EUR Inflation_Liability Cashflows_dv01" xfId="286"/>
    <cellStyle name="_Currency_EUR Inflation_Liability Cashflows_dv01 2" xfId="2673"/>
    <cellStyle name="_Currency_EUR Inflation_Liability Cashflows_dv01 3" xfId="1602"/>
    <cellStyle name="_Currency_Evolutions April 05 Tableau V1" xfId="287"/>
    <cellStyle name="_Currency_Evolutions April 05 Tableau V1 2" xfId="2674"/>
    <cellStyle name="_Currency_Evolutions April 05 Tableau V1 3" xfId="1603"/>
    <cellStyle name="_Currency_Evolutions April 05 Tableau V1_3" xfId="288"/>
    <cellStyle name="_Currency_Evolutions April 05 Tableau V1_3 2" xfId="2675"/>
    <cellStyle name="_Currency_Evolutions April 05 Tableau V1_3 3" xfId="1604"/>
    <cellStyle name="_Currency_Evolutions April 05 Tableau V1_3_dv01" xfId="289"/>
    <cellStyle name="_Currency_Evolutions April 05 Tableau V1_3_dv01 2" xfId="2676"/>
    <cellStyle name="_Currency_Evolutions April 05 Tableau V1_3_dv01 3" xfId="1605"/>
    <cellStyle name="_Currency_Evolutions April 05 Tableau V1_4" xfId="290"/>
    <cellStyle name="_Currency_Evolutions April 05 Tableau V1_4 2" xfId="2677"/>
    <cellStyle name="_Currency_Evolutions April 05 Tableau V1_4 3" xfId="1606"/>
    <cellStyle name="_Currency_Evolutions April 05 Tableau V1_4_dv01" xfId="291"/>
    <cellStyle name="_Currency_Evolutions April 05 Tableau V1_4_dv01 2" xfId="2678"/>
    <cellStyle name="_Currency_Evolutions April 05 Tableau V1_4_dv01 3" xfId="1607"/>
    <cellStyle name="_Currency_Evolutions April 05 Tableau V1_Anker 2008Q4 concept" xfId="292"/>
    <cellStyle name="_Currency_Evolutions April 05 Tableau V1_Anker 2008Q4 concept 2" xfId="2679"/>
    <cellStyle name="_Currency_Evolutions April 05 Tableau V1_Anker 2008Q4 concept 3" xfId="1608"/>
    <cellStyle name="_Currency_Evolutions April 05 Tableau V1_fundrapport" xfId="293"/>
    <cellStyle name="_Currency_Evolutions April 05 Tableau V1_fundrapport 2" xfId="2680"/>
    <cellStyle name="_Currency_Evolutions April 05 Tableau V1_fundrapport 3" xfId="1609"/>
    <cellStyle name="_Currency_Evolutions April 05 Tableau V1_inj&amp;withdr toelichting hard" xfId="294"/>
    <cellStyle name="_Currency_Evolutions April 05 Tableau V1_inj&amp;withdr toelichting hard 2" xfId="2681"/>
    <cellStyle name="_Currency_Evolutions April 05 Tableau V1_inj&amp;withdr toelichting hard 3" xfId="1610"/>
    <cellStyle name="_Currency_Evolutions April 05 Tableau V1_inj&amp;withdr toelichting hard_dv01" xfId="295"/>
    <cellStyle name="_Currency_Evolutions April 05 Tableau V1_inj&amp;withdr toelichting hard_dv01 2" xfId="2682"/>
    <cellStyle name="_Currency_Evolutions April 05 Tableau V1_inj&amp;withdr toelichting hard_dv01 3" xfId="1611"/>
    <cellStyle name="_Currency_ExoMonitorFull9" xfId="296"/>
    <cellStyle name="_Currency_ExoMonitorFull9 2" xfId="2683"/>
    <cellStyle name="_Currency_ExoMonitorFull9 3" xfId="1612"/>
    <cellStyle name="_Currency_ExoMonitorFull9_3" xfId="297"/>
    <cellStyle name="_Currency_ExoMonitorFull9_3 2" xfId="2684"/>
    <cellStyle name="_Currency_ExoMonitorFull9_3 3" xfId="1613"/>
    <cellStyle name="_Currency_ExoMonitorFull9_3_dv01" xfId="298"/>
    <cellStyle name="_Currency_ExoMonitorFull9_3_dv01 2" xfId="2685"/>
    <cellStyle name="_Currency_ExoMonitorFull9_3_dv01 3" xfId="1614"/>
    <cellStyle name="_Currency_ExoMonitorFull9_4" xfId="299"/>
    <cellStyle name="_Currency_ExoMonitorFull9_4 2" xfId="2686"/>
    <cellStyle name="_Currency_ExoMonitorFull9_4 3" xfId="1615"/>
    <cellStyle name="_Currency_ExoMonitorFull9_4_dv01" xfId="300"/>
    <cellStyle name="_Currency_ExoMonitorFull9_4_dv01 2" xfId="2687"/>
    <cellStyle name="_Currency_ExoMonitorFull9_4_dv01 3" xfId="1616"/>
    <cellStyle name="_Currency_ExoMonitorFull9_Anker 2008Q4 concept" xfId="301"/>
    <cellStyle name="_Currency_ExoMonitorFull9_Anker 2008Q4 concept 2" xfId="2688"/>
    <cellStyle name="_Currency_ExoMonitorFull9_Anker 2008Q4 concept 3" xfId="1617"/>
    <cellStyle name="_Currency_ExoMonitorFull9_fundrapport" xfId="302"/>
    <cellStyle name="_Currency_ExoMonitorFull9_fundrapport 2" xfId="2689"/>
    <cellStyle name="_Currency_ExoMonitorFull9_fundrapport 3" xfId="1618"/>
    <cellStyle name="_Currency_ExoMonitorFull9_inj&amp;withdr toelichting hard" xfId="303"/>
    <cellStyle name="_Currency_ExoMonitorFull9_inj&amp;withdr toelichting hard 2" xfId="2690"/>
    <cellStyle name="_Currency_ExoMonitorFull9_inj&amp;withdr toelichting hard 3" xfId="1619"/>
    <cellStyle name="_Currency_ExoMonitorFull9_inj&amp;withdr toelichting hard_dv01" xfId="304"/>
    <cellStyle name="_Currency_ExoMonitorFull9_inj&amp;withdr toelichting hard_dv01 2" xfId="2691"/>
    <cellStyle name="_Currency_ExoMonitorFull9_inj&amp;withdr toelichting hard_dv01 3" xfId="1620"/>
    <cellStyle name="_Currency_ExoMonitorFull9_Liability Cashflows" xfId="305"/>
    <cellStyle name="_Currency_ExoMonitorFull9_Liability Cashflows 2" xfId="2692"/>
    <cellStyle name="_Currency_ExoMonitorFull9_Liability Cashflows 3" xfId="1621"/>
    <cellStyle name="_Currency_ExoMonitorFull9_Liability Cashflows_actuate" xfId="306"/>
    <cellStyle name="_Currency_ExoMonitorFull9_Liability Cashflows_actuate 2" xfId="2693"/>
    <cellStyle name="_Currency_ExoMonitorFull9_Liability Cashflows_actuate 3" xfId="1622"/>
    <cellStyle name="_Currency_ExoMonitorFull9_Liability Cashflows_dv01" xfId="307"/>
    <cellStyle name="_Currency_ExoMonitorFull9_Liability Cashflows_dv01 2" xfId="2694"/>
    <cellStyle name="_Currency_ExoMonitorFull9_Liability Cashflows_dv01 3" xfId="1623"/>
    <cellStyle name="_Currency_Folio" xfId="308"/>
    <cellStyle name="_Currency_Folio 2" xfId="2695"/>
    <cellStyle name="_Currency_Folio 3" xfId="1624"/>
    <cellStyle name="_Currency_Folio_1" xfId="309"/>
    <cellStyle name="_Currency_Folio_1 2" xfId="2696"/>
    <cellStyle name="_Currency_Folio_1 3" xfId="1625"/>
    <cellStyle name="_Currency_Folio_1_01 Sweden Gexa Model - Master Version" xfId="310"/>
    <cellStyle name="_Currency_Folio_1_01 Sweden Gexa Model - Master Version 2" xfId="2697"/>
    <cellStyle name="_Currency_Folio_1_01 Sweden Gexa Model - Master Version 3" xfId="1626"/>
    <cellStyle name="_Currency_Folio_1_01 Sweden Gexa Model - Master Version_actuate" xfId="311"/>
    <cellStyle name="_Currency_Folio_1_01 Sweden Gexa Model - Master Version_actuate 2" xfId="2698"/>
    <cellStyle name="_Currency_Folio_1_01 Sweden Gexa Model - Master Version_actuate 3" xfId="1627"/>
    <cellStyle name="_Currency_Folio_1_01 Sweden Gexa Model - Master Version_dv01" xfId="312"/>
    <cellStyle name="_Currency_Folio_1_01 Sweden Gexa Model - Master Version_dv01 2" xfId="2699"/>
    <cellStyle name="_Currency_Folio_1_01 Sweden Gexa Model - Master Version_dv01 3" xfId="1628"/>
    <cellStyle name="_Currency_Folio_1_3" xfId="313"/>
    <cellStyle name="_Currency_Folio_1_3 2" xfId="2700"/>
    <cellStyle name="_Currency_Folio_1_3 3" xfId="1629"/>
    <cellStyle name="_Currency_Folio_1_3_dv01" xfId="314"/>
    <cellStyle name="_Currency_Folio_1_3_dv01 2" xfId="2701"/>
    <cellStyle name="_Currency_Folio_1_3_dv01 3" xfId="1630"/>
    <cellStyle name="_Currency_Folio_1_4" xfId="315"/>
    <cellStyle name="_Currency_Folio_1_4 2" xfId="2702"/>
    <cellStyle name="_Currency_Folio_1_4 3" xfId="1631"/>
    <cellStyle name="_Currency_Folio_1_4_dv01" xfId="316"/>
    <cellStyle name="_Currency_Folio_1_4_dv01 2" xfId="2703"/>
    <cellStyle name="_Currency_Folio_1_4_dv01 3" xfId="1632"/>
    <cellStyle name="_Currency_Folio_1_Anker 2008Q4 concept" xfId="317"/>
    <cellStyle name="_Currency_Folio_1_Anker 2008Q4 concept 2" xfId="2704"/>
    <cellStyle name="_Currency_Folio_1_Anker 2008Q4 concept 3" xfId="1633"/>
    <cellStyle name="_Currency_Folio_1_fundrapport" xfId="318"/>
    <cellStyle name="_Currency_Folio_1_fundrapport 2" xfId="2705"/>
    <cellStyle name="_Currency_Folio_1_fundrapport 3" xfId="1634"/>
    <cellStyle name="_Currency_Folio_1_inj&amp;withdr toelichting hard" xfId="319"/>
    <cellStyle name="_Currency_Folio_1_inj&amp;withdr toelichting hard 2" xfId="2706"/>
    <cellStyle name="_Currency_Folio_1_inj&amp;withdr toelichting hard 3" xfId="1635"/>
    <cellStyle name="_Currency_Folio_1_inj&amp;withdr toelichting hard_dv01" xfId="320"/>
    <cellStyle name="_Currency_Folio_1_inj&amp;withdr toelichting hard_dv01 2" xfId="2707"/>
    <cellStyle name="_Currency_Folio_1_inj&amp;withdr toelichting hard_dv01 3" xfId="1636"/>
    <cellStyle name="_Currency_Folio_1_Latest-Gexa Model" xfId="321"/>
    <cellStyle name="_Currency_Folio_1_Latest-Gexa Model 2" xfId="2708"/>
    <cellStyle name="_Currency_Folio_1_Latest-Gexa Model 3" xfId="1637"/>
    <cellStyle name="_Currency_Folio_1_Latest-Gexa Model_3" xfId="322"/>
    <cellStyle name="_Currency_Folio_1_Latest-Gexa Model_3 2" xfId="2709"/>
    <cellStyle name="_Currency_Folio_1_Latest-Gexa Model_3 3" xfId="1638"/>
    <cellStyle name="_Currency_Folio_1_Latest-Gexa Model_3_dv01" xfId="323"/>
    <cellStyle name="_Currency_Folio_1_Latest-Gexa Model_3_dv01 2" xfId="2710"/>
    <cellStyle name="_Currency_Folio_1_Latest-Gexa Model_3_dv01 3" xfId="1639"/>
    <cellStyle name="_Currency_Folio_1_Latest-Gexa Model_4" xfId="324"/>
    <cellStyle name="_Currency_Folio_1_Latest-Gexa Model_4 2" xfId="2711"/>
    <cellStyle name="_Currency_Folio_1_Latest-Gexa Model_4 3" xfId="1640"/>
    <cellStyle name="_Currency_Folio_1_Latest-Gexa Model_4_dv01" xfId="325"/>
    <cellStyle name="_Currency_Folio_1_Latest-Gexa Model_4_dv01 2" xfId="2712"/>
    <cellStyle name="_Currency_Folio_1_Latest-Gexa Model_4_dv01 3" xfId="1641"/>
    <cellStyle name="_Currency_Folio_1_Latest-Gexa Model_Anker 2008Q4 concept" xfId="326"/>
    <cellStyle name="_Currency_Folio_1_Latest-Gexa Model_Anker 2008Q4 concept 2" xfId="2713"/>
    <cellStyle name="_Currency_Folio_1_Latest-Gexa Model_Anker 2008Q4 concept 3" xfId="1642"/>
    <cellStyle name="_Currency_Folio_1_Latest-Gexa Model_fundrapport" xfId="327"/>
    <cellStyle name="_Currency_Folio_1_Latest-Gexa Model_fundrapport 2" xfId="2714"/>
    <cellStyle name="_Currency_Folio_1_Latest-Gexa Model_fundrapport 3" xfId="1643"/>
    <cellStyle name="_Currency_Folio_1_Latest-Gexa Model_inj&amp;withdr toelichting hard" xfId="328"/>
    <cellStyle name="_Currency_Folio_1_Latest-Gexa Model_inj&amp;withdr toelichting hard 2" xfId="2715"/>
    <cellStyle name="_Currency_Folio_1_Latest-Gexa Model_inj&amp;withdr toelichting hard 3" xfId="1644"/>
    <cellStyle name="_Currency_Folio_1_Latest-Gexa Model_inj&amp;withdr toelichting hard_dv01" xfId="329"/>
    <cellStyle name="_Currency_Folio_1_Latest-Gexa Model_inj&amp;withdr toelichting hard_dv01 2" xfId="2716"/>
    <cellStyle name="_Currency_Folio_1_Latest-Gexa Model_inj&amp;withdr toelichting hard_dv01 3" xfId="1645"/>
    <cellStyle name="_Currency_Folio_1_Structure Collection" xfId="330"/>
    <cellStyle name="_Currency_Folio_1_Structure Collection 2" xfId="2717"/>
    <cellStyle name="_Currency_Folio_1_Structure Collection 3" xfId="1646"/>
    <cellStyle name="_Currency_Folio_1_Structure Collection_3" xfId="331"/>
    <cellStyle name="_Currency_Folio_1_Structure Collection_3 2" xfId="2718"/>
    <cellStyle name="_Currency_Folio_1_Structure Collection_3 3" xfId="1647"/>
    <cellStyle name="_Currency_Folio_1_Structure Collection_3_dv01" xfId="332"/>
    <cellStyle name="_Currency_Folio_1_Structure Collection_3_dv01 2" xfId="2719"/>
    <cellStyle name="_Currency_Folio_1_Structure Collection_3_dv01 3" xfId="1648"/>
    <cellStyle name="_Currency_Folio_1_Structure Collection_4" xfId="333"/>
    <cellStyle name="_Currency_Folio_1_Structure Collection_4 2" xfId="2720"/>
    <cellStyle name="_Currency_Folio_1_Structure Collection_4 3" xfId="1649"/>
    <cellStyle name="_Currency_Folio_1_Structure Collection_4_dv01" xfId="334"/>
    <cellStyle name="_Currency_Folio_1_Structure Collection_4_dv01 2" xfId="2721"/>
    <cellStyle name="_Currency_Folio_1_Structure Collection_4_dv01 3" xfId="1650"/>
    <cellStyle name="_Currency_Folio_1_Structure Collection_Anker 2008Q4 concept" xfId="335"/>
    <cellStyle name="_Currency_Folio_1_Structure Collection_Anker 2008Q4 concept 2" xfId="2722"/>
    <cellStyle name="_Currency_Folio_1_Structure Collection_Anker 2008Q4 concept 3" xfId="1651"/>
    <cellStyle name="_Currency_Folio_1_Structure Collection_fundrapport" xfId="336"/>
    <cellStyle name="_Currency_Folio_1_Structure Collection_fundrapport 2" xfId="2723"/>
    <cellStyle name="_Currency_Folio_1_Structure Collection_fundrapport 3" xfId="1652"/>
    <cellStyle name="_Currency_Folio_1_Structure Collection_inj&amp;withdr toelichting hard" xfId="337"/>
    <cellStyle name="_Currency_Folio_1_Structure Collection_inj&amp;withdr toelichting hard 2" xfId="2724"/>
    <cellStyle name="_Currency_Folio_1_Structure Collection_inj&amp;withdr toelichting hard 3" xfId="1653"/>
    <cellStyle name="_Currency_Folio_1_Structure Collection_inj&amp;withdr toelichting hard_dv01" xfId="338"/>
    <cellStyle name="_Currency_Folio_1_Structure Collection_inj&amp;withdr toelichting hard_dv01 2" xfId="2725"/>
    <cellStyle name="_Currency_Folio_1_Structure Collection_inj&amp;withdr toelichting hard_dv01 3" xfId="1654"/>
    <cellStyle name="_Currency_Folio_actuate" xfId="339"/>
    <cellStyle name="_Currency_Folio_actuate 2" xfId="2726"/>
    <cellStyle name="_Currency_Folio_actuate 3" xfId="1655"/>
    <cellStyle name="_Currency_Folio_dv01" xfId="340"/>
    <cellStyle name="_Currency_Folio_dv01 2" xfId="2727"/>
    <cellStyle name="_Currency_Folio_dv01 3" xfId="1656"/>
    <cellStyle name="_Currency_FP Liabilities_19oct05 v2" xfId="341"/>
    <cellStyle name="_Currency_FP Liabilities_19oct05 v2 2" xfId="2728"/>
    <cellStyle name="_Currency_FP Liabilities_19oct05 v2 3" xfId="1657"/>
    <cellStyle name="_Currency_FP Liabilities_19oct05 v2_actuate" xfId="342"/>
    <cellStyle name="_Currency_FP Liabilities_19oct05 v2_actuate 2" xfId="2729"/>
    <cellStyle name="_Currency_FP Liabilities_19oct05 v2_actuate 3" xfId="1658"/>
    <cellStyle name="_Currency_FP Liabilities_19oct05 v2_dv01" xfId="343"/>
    <cellStyle name="_Currency_FP Liabilities_19oct05 v2_dv01 2" xfId="2730"/>
    <cellStyle name="_Currency_FP Liabilities_19oct05 v2_dv01 3" xfId="1659"/>
    <cellStyle name="_Currency_fundrapport" xfId="344"/>
    <cellStyle name="_Currency_fundrapport 2" xfId="2731"/>
    <cellStyle name="_Currency_fundrapport 3" xfId="1660"/>
    <cellStyle name="_Currency_GBP Inflation2" xfId="345"/>
    <cellStyle name="_Currency_GBP Inflation2 2" xfId="2732"/>
    <cellStyle name="_Currency_GBP Inflation2 3" xfId="1661"/>
    <cellStyle name="_Currency_GBP Inflation2_3" xfId="346"/>
    <cellStyle name="_Currency_GBP Inflation2_3 2" xfId="2733"/>
    <cellStyle name="_Currency_GBP Inflation2_3 3" xfId="1662"/>
    <cellStyle name="_Currency_GBP Inflation2_3_dv01" xfId="347"/>
    <cellStyle name="_Currency_GBP Inflation2_3_dv01 2" xfId="2734"/>
    <cellStyle name="_Currency_GBP Inflation2_3_dv01 3" xfId="1663"/>
    <cellStyle name="_Currency_GBP Inflation2_4" xfId="348"/>
    <cellStyle name="_Currency_GBP Inflation2_4 2" xfId="2735"/>
    <cellStyle name="_Currency_GBP Inflation2_4 3" xfId="1664"/>
    <cellStyle name="_Currency_GBP Inflation2_4_dv01" xfId="349"/>
    <cellStyle name="_Currency_GBP Inflation2_4_dv01 2" xfId="2736"/>
    <cellStyle name="_Currency_GBP Inflation2_4_dv01 3" xfId="1665"/>
    <cellStyle name="_Currency_GBP Inflation2_Anker 2008Q4 concept" xfId="350"/>
    <cellStyle name="_Currency_GBP Inflation2_Anker 2008Q4 concept 2" xfId="2737"/>
    <cellStyle name="_Currency_GBP Inflation2_Anker 2008Q4 concept 3" xfId="1666"/>
    <cellStyle name="_Currency_GBP Inflation2_fundrapport" xfId="351"/>
    <cellStyle name="_Currency_GBP Inflation2_fundrapport 2" xfId="2738"/>
    <cellStyle name="_Currency_GBP Inflation2_fundrapport 3" xfId="1667"/>
    <cellStyle name="_Currency_GBP Inflation2_inj&amp;withdr toelichting hard" xfId="352"/>
    <cellStyle name="_Currency_GBP Inflation2_inj&amp;withdr toelichting hard 2" xfId="2739"/>
    <cellStyle name="_Currency_GBP Inflation2_inj&amp;withdr toelichting hard 3" xfId="1668"/>
    <cellStyle name="_Currency_GBP Inflation2_inj&amp;withdr toelichting hard_dv01" xfId="353"/>
    <cellStyle name="_Currency_GBP Inflation2_inj&amp;withdr toelichting hard_dv01 2" xfId="2740"/>
    <cellStyle name="_Currency_GBP Inflation2_inj&amp;withdr toelichting hard_dv01 3" xfId="1669"/>
    <cellStyle name="_Currency_GBP Inflation2_Liability Cashflows" xfId="354"/>
    <cellStyle name="_Currency_GBP Inflation2_Liability Cashflows 2" xfId="2741"/>
    <cellStyle name="_Currency_GBP Inflation2_Liability Cashflows 3" xfId="1670"/>
    <cellStyle name="_Currency_GBP Inflation2_Liability Cashflows_actuate" xfId="355"/>
    <cellStyle name="_Currency_GBP Inflation2_Liability Cashflows_actuate 2" xfId="2742"/>
    <cellStyle name="_Currency_GBP Inflation2_Liability Cashflows_actuate 3" xfId="1671"/>
    <cellStyle name="_Currency_GBP Inflation2_Liability Cashflows_dv01" xfId="356"/>
    <cellStyle name="_Currency_GBP Inflation2_Liability Cashflows_dv01 2" xfId="2743"/>
    <cellStyle name="_Currency_GBP Inflation2_Liability Cashflows_dv01 3" xfId="1672"/>
    <cellStyle name="_Currency_Generic Gexa 9th May" xfId="357"/>
    <cellStyle name="_Currency_Generic Gexa 9th May 2" xfId="2744"/>
    <cellStyle name="_Currency_Generic Gexa 9th May 3" xfId="1673"/>
    <cellStyle name="_Currency_Generic Gexa 9th May_3" xfId="358"/>
    <cellStyle name="_Currency_Generic Gexa 9th May_3 2" xfId="2745"/>
    <cellStyle name="_Currency_Generic Gexa 9th May_3 3" xfId="1674"/>
    <cellStyle name="_Currency_Generic Gexa 9th May_3_dv01" xfId="359"/>
    <cellStyle name="_Currency_Generic Gexa 9th May_3_dv01 2" xfId="2746"/>
    <cellStyle name="_Currency_Generic Gexa 9th May_3_dv01 3" xfId="1675"/>
    <cellStyle name="_Currency_Generic Gexa 9th May_4" xfId="360"/>
    <cellStyle name="_Currency_Generic Gexa 9th May_4 2" xfId="2747"/>
    <cellStyle name="_Currency_Generic Gexa 9th May_4 3" xfId="1676"/>
    <cellStyle name="_Currency_Generic Gexa 9th May_4_dv01" xfId="361"/>
    <cellStyle name="_Currency_Generic Gexa 9th May_4_dv01 2" xfId="2748"/>
    <cellStyle name="_Currency_Generic Gexa 9th May_4_dv01 3" xfId="1677"/>
    <cellStyle name="_Currency_Generic Gexa 9th May_Anker 2008Q4 concept" xfId="362"/>
    <cellStyle name="_Currency_Generic Gexa 9th May_Anker 2008Q4 concept 2" xfId="2749"/>
    <cellStyle name="_Currency_Generic Gexa 9th May_Anker 2008Q4 concept 3" xfId="1678"/>
    <cellStyle name="_Currency_Generic Gexa 9th May_fundrapport" xfId="363"/>
    <cellStyle name="_Currency_Generic Gexa 9th May_fundrapport 2" xfId="2750"/>
    <cellStyle name="_Currency_Generic Gexa 9th May_fundrapport 3" xfId="1679"/>
    <cellStyle name="_Currency_Generic Gexa 9th May_inj&amp;withdr toelichting hard" xfId="364"/>
    <cellStyle name="_Currency_Generic Gexa 9th May_inj&amp;withdr toelichting hard 2" xfId="2751"/>
    <cellStyle name="_Currency_Generic Gexa 9th May_inj&amp;withdr toelichting hard 3" xfId="1680"/>
    <cellStyle name="_Currency_Generic Gexa 9th May_inj&amp;withdr toelichting hard_dv01" xfId="365"/>
    <cellStyle name="_Currency_Generic Gexa 9th May_inj&amp;withdr toelichting hard_dv01 2" xfId="2752"/>
    <cellStyle name="_Currency_Generic Gexa 9th May_inj&amp;withdr toelichting hard_dv01 3" xfId="1681"/>
    <cellStyle name="_Currency_Germany Generic Optimizer LGM2F AMC v6" xfId="366"/>
    <cellStyle name="_Currency_Germany Generic Optimizer LGM2F AMC v6 2" xfId="2753"/>
    <cellStyle name="_Currency_Germany Generic Optimizer LGM2F AMC v6 3" xfId="1682"/>
    <cellStyle name="_Currency_Germany Generic Optimizer LGM2F AMC v6_3" xfId="367"/>
    <cellStyle name="_Currency_Germany Generic Optimizer LGM2F AMC v6_3 2" xfId="2754"/>
    <cellStyle name="_Currency_Germany Generic Optimizer LGM2F AMC v6_3 3" xfId="1683"/>
    <cellStyle name="_Currency_Germany Generic Optimizer LGM2F AMC v6_3_dv01" xfId="368"/>
    <cellStyle name="_Currency_Germany Generic Optimizer LGM2F AMC v6_3_dv01 2" xfId="2755"/>
    <cellStyle name="_Currency_Germany Generic Optimizer LGM2F AMC v6_3_dv01 3" xfId="1684"/>
    <cellStyle name="_Currency_Germany Generic Optimizer LGM2F AMC v6_4" xfId="369"/>
    <cellStyle name="_Currency_Germany Generic Optimizer LGM2F AMC v6_4 2" xfId="2756"/>
    <cellStyle name="_Currency_Germany Generic Optimizer LGM2F AMC v6_4 3" xfId="1685"/>
    <cellStyle name="_Currency_Germany Generic Optimizer LGM2F AMC v6_4_dv01" xfId="370"/>
    <cellStyle name="_Currency_Germany Generic Optimizer LGM2F AMC v6_4_dv01 2" xfId="2757"/>
    <cellStyle name="_Currency_Germany Generic Optimizer LGM2F AMC v6_4_dv01 3" xfId="1686"/>
    <cellStyle name="_Currency_Germany Generic Optimizer LGM2F AMC v6_Anker 2008Q4 concept" xfId="371"/>
    <cellStyle name="_Currency_Germany Generic Optimizer LGM2F AMC v6_Anker 2008Q4 concept 2" xfId="2758"/>
    <cellStyle name="_Currency_Germany Generic Optimizer LGM2F AMC v6_Anker 2008Q4 concept 3" xfId="1687"/>
    <cellStyle name="_Currency_Germany Generic Optimizer LGM2F AMC v6_fundrapport" xfId="372"/>
    <cellStyle name="_Currency_Germany Generic Optimizer LGM2F AMC v6_fundrapport 2" xfId="2759"/>
    <cellStyle name="_Currency_Germany Generic Optimizer LGM2F AMC v6_fundrapport 3" xfId="1688"/>
    <cellStyle name="_Currency_Germany Generic Optimizer LGM2F AMC v6_inj&amp;withdr toelichting hard" xfId="373"/>
    <cellStyle name="_Currency_Germany Generic Optimizer LGM2F AMC v6_inj&amp;withdr toelichting hard 2" xfId="2760"/>
    <cellStyle name="_Currency_Germany Generic Optimizer LGM2F AMC v6_inj&amp;withdr toelichting hard 3" xfId="1689"/>
    <cellStyle name="_Currency_Germany Generic Optimizer LGM2F AMC v6_inj&amp;withdr toelichting hard_dv01" xfId="374"/>
    <cellStyle name="_Currency_Germany Generic Optimizer LGM2F AMC v6_inj&amp;withdr toelichting hard_dv01 2" xfId="2761"/>
    <cellStyle name="_Currency_Germany Generic Optimizer LGM2F AMC v6_inj&amp;withdr toelichting hard_dv01 3" xfId="1690"/>
    <cellStyle name="_Currency_Gexa Multi Asset Path Generator" xfId="375"/>
    <cellStyle name="_Currency_Gexa Multi Asset Path Generator 2" xfId="2762"/>
    <cellStyle name="_Currency_Gexa Multi Asset Path Generator 3" xfId="1691"/>
    <cellStyle name="_Currency_Gexa Multi Asset Path Generator_3" xfId="376"/>
    <cellStyle name="_Currency_Gexa Multi Asset Path Generator_3 2" xfId="2763"/>
    <cellStyle name="_Currency_Gexa Multi Asset Path Generator_3 3" xfId="1692"/>
    <cellStyle name="_Currency_Gexa Multi Asset Path Generator_3_dv01" xfId="377"/>
    <cellStyle name="_Currency_Gexa Multi Asset Path Generator_3_dv01 2" xfId="2764"/>
    <cellStyle name="_Currency_Gexa Multi Asset Path Generator_3_dv01 3" xfId="1693"/>
    <cellStyle name="_Currency_Gexa Multi Asset Path Generator_4" xfId="378"/>
    <cellStyle name="_Currency_Gexa Multi Asset Path Generator_4 2" xfId="2765"/>
    <cellStyle name="_Currency_Gexa Multi Asset Path Generator_4 3" xfId="1694"/>
    <cellStyle name="_Currency_Gexa Multi Asset Path Generator_4_dv01" xfId="379"/>
    <cellStyle name="_Currency_Gexa Multi Asset Path Generator_4_dv01 2" xfId="2766"/>
    <cellStyle name="_Currency_Gexa Multi Asset Path Generator_4_dv01 3" xfId="1695"/>
    <cellStyle name="_Currency_Gexa Multi Asset Path Generator_Anker 2008Q4 concept" xfId="380"/>
    <cellStyle name="_Currency_Gexa Multi Asset Path Generator_Anker 2008Q4 concept 2" xfId="2767"/>
    <cellStyle name="_Currency_Gexa Multi Asset Path Generator_Anker 2008Q4 concept 3" xfId="1696"/>
    <cellStyle name="_Currency_Gexa Multi Asset Path Generator_fundrapport" xfId="381"/>
    <cellStyle name="_Currency_Gexa Multi Asset Path Generator_fundrapport 2" xfId="2768"/>
    <cellStyle name="_Currency_Gexa Multi Asset Path Generator_fundrapport 3" xfId="1697"/>
    <cellStyle name="_Currency_Gexa Multi Asset Path Generator_inj&amp;withdr toelichting hard" xfId="382"/>
    <cellStyle name="_Currency_Gexa Multi Asset Path Generator_inj&amp;withdr toelichting hard 2" xfId="2769"/>
    <cellStyle name="_Currency_Gexa Multi Asset Path Generator_inj&amp;withdr toelichting hard 3" xfId="1698"/>
    <cellStyle name="_Currency_Gexa Multi Asset Path Generator_inj&amp;withdr toelichting hard_dv01" xfId="383"/>
    <cellStyle name="_Currency_Gexa Multi Asset Path Generator_inj&amp;withdr toelichting hard_dv01 2" xfId="2770"/>
    <cellStyle name="_Currency_Gexa Multi Asset Path Generator_inj&amp;withdr toelichting hard_dv01 3" xfId="1699"/>
    <cellStyle name="_Currency_ILK 2" xfId="384"/>
    <cellStyle name="_Currency_ILK 2 2" xfId="2771"/>
    <cellStyle name="_Currency_ILK 2 3" xfId="1700"/>
    <cellStyle name="_Currency_ILK 2_3" xfId="385"/>
    <cellStyle name="_Currency_ILK 2_3 2" xfId="2772"/>
    <cellStyle name="_Currency_ILK 2_3 3" xfId="1701"/>
    <cellStyle name="_Currency_ILK 2_3_dv01" xfId="386"/>
    <cellStyle name="_Currency_ILK 2_3_dv01 2" xfId="2773"/>
    <cellStyle name="_Currency_ILK 2_3_dv01 3" xfId="1702"/>
    <cellStyle name="_Currency_ILK 2_4" xfId="387"/>
    <cellStyle name="_Currency_ILK 2_4 2" xfId="2774"/>
    <cellStyle name="_Currency_ILK 2_4 3" xfId="1703"/>
    <cellStyle name="_Currency_ILK 2_4_dv01" xfId="388"/>
    <cellStyle name="_Currency_ILK 2_4_dv01 2" xfId="2775"/>
    <cellStyle name="_Currency_ILK 2_4_dv01 3" xfId="1704"/>
    <cellStyle name="_Currency_ILK 2_Anker 2008Q4 concept" xfId="389"/>
    <cellStyle name="_Currency_ILK 2_Anker 2008Q4 concept 2" xfId="2776"/>
    <cellStyle name="_Currency_ILK 2_Anker 2008Q4 concept 3" xfId="1705"/>
    <cellStyle name="_Currency_ILK 2_fundrapport" xfId="390"/>
    <cellStyle name="_Currency_ILK 2_fundrapport 2" xfId="2777"/>
    <cellStyle name="_Currency_ILK 2_fundrapport 3" xfId="1706"/>
    <cellStyle name="_Currency_ILK 2_inj&amp;withdr toelichting hard" xfId="391"/>
    <cellStyle name="_Currency_ILK 2_inj&amp;withdr toelichting hard 2" xfId="2778"/>
    <cellStyle name="_Currency_ILK 2_inj&amp;withdr toelichting hard 3" xfId="1707"/>
    <cellStyle name="_Currency_ILK 2_inj&amp;withdr toelichting hard_dv01" xfId="392"/>
    <cellStyle name="_Currency_ILK 2_inj&amp;withdr toelichting hard_dv01 2" xfId="2779"/>
    <cellStyle name="_Currency_ILK 2_inj&amp;withdr toelichting hard_dv01 3" xfId="1708"/>
    <cellStyle name="_Currency_INF Benchmark " xfId="393"/>
    <cellStyle name="_Currency_INF Benchmark  2" xfId="2780"/>
    <cellStyle name="_Currency_INF Benchmark  3" xfId="1709"/>
    <cellStyle name="_Currency_INF Benchmark _3" xfId="394"/>
    <cellStyle name="_Currency_INF Benchmark _3 2" xfId="2781"/>
    <cellStyle name="_Currency_INF Benchmark _3 3" xfId="1710"/>
    <cellStyle name="_Currency_INF Benchmark _3_dv01" xfId="395"/>
    <cellStyle name="_Currency_INF Benchmark _3_dv01 2" xfId="2782"/>
    <cellStyle name="_Currency_INF Benchmark _3_dv01 3" xfId="1711"/>
    <cellStyle name="_Currency_INF Benchmark _4" xfId="396"/>
    <cellStyle name="_Currency_INF Benchmark _4 2" xfId="2783"/>
    <cellStyle name="_Currency_INF Benchmark _4 3" xfId="1712"/>
    <cellStyle name="_Currency_INF Benchmark _4_dv01" xfId="397"/>
    <cellStyle name="_Currency_INF Benchmark _4_dv01 2" xfId="2784"/>
    <cellStyle name="_Currency_INF Benchmark _4_dv01 3" xfId="1713"/>
    <cellStyle name="_Currency_INF Benchmark _Anker 2008Q4 concept" xfId="398"/>
    <cellStyle name="_Currency_INF Benchmark _Anker 2008Q4 concept 2" xfId="2785"/>
    <cellStyle name="_Currency_INF Benchmark _Anker 2008Q4 concept 3" xfId="1714"/>
    <cellStyle name="_Currency_INF Benchmark _fundrapport" xfId="399"/>
    <cellStyle name="_Currency_INF Benchmark _fundrapport 2" xfId="2786"/>
    <cellStyle name="_Currency_INF Benchmark _fundrapport 3" xfId="1715"/>
    <cellStyle name="_Currency_INF Benchmark _inj&amp;withdr toelichting hard" xfId="400"/>
    <cellStyle name="_Currency_INF Benchmark _inj&amp;withdr toelichting hard 2" xfId="2787"/>
    <cellStyle name="_Currency_INF Benchmark _inj&amp;withdr toelichting hard 3" xfId="1716"/>
    <cellStyle name="_Currency_INF Benchmark _inj&amp;withdr toelichting hard_dv01" xfId="401"/>
    <cellStyle name="_Currency_INF Benchmark _inj&amp;withdr toelichting hard_dv01 2" xfId="2788"/>
    <cellStyle name="_Currency_INF Benchmark _inj&amp;withdr toelichting hard_dv01 3" xfId="1717"/>
    <cellStyle name="_Currency_Infl Market" xfId="402"/>
    <cellStyle name="_Currency_Infl Market 2" xfId="2789"/>
    <cellStyle name="_Currency_Infl Market 3" xfId="1718"/>
    <cellStyle name="_Currency_Infl Market_3" xfId="403"/>
    <cellStyle name="_Currency_Infl Market_3 2" xfId="2790"/>
    <cellStyle name="_Currency_Infl Market_3 3" xfId="1719"/>
    <cellStyle name="_Currency_Infl Market_3_dv01" xfId="404"/>
    <cellStyle name="_Currency_Infl Market_3_dv01 2" xfId="2791"/>
    <cellStyle name="_Currency_Infl Market_3_dv01 3" xfId="1720"/>
    <cellStyle name="_Currency_Infl Market_4" xfId="405"/>
    <cellStyle name="_Currency_Infl Market_4 2" xfId="2792"/>
    <cellStyle name="_Currency_Infl Market_4 3" xfId="1721"/>
    <cellStyle name="_Currency_Infl Market_4_dv01" xfId="406"/>
    <cellStyle name="_Currency_Infl Market_4_dv01 2" xfId="2793"/>
    <cellStyle name="_Currency_Infl Market_4_dv01 3" xfId="1722"/>
    <cellStyle name="_Currency_Infl Market_Anker 2008Q4 concept" xfId="407"/>
    <cellStyle name="_Currency_Infl Market_Anker 2008Q4 concept 2" xfId="2794"/>
    <cellStyle name="_Currency_Infl Market_Anker 2008Q4 concept 3" xfId="1723"/>
    <cellStyle name="_Currency_Infl Market_fundrapport" xfId="408"/>
    <cellStyle name="_Currency_Infl Market_fundrapport 2" xfId="2795"/>
    <cellStyle name="_Currency_Infl Market_fundrapport 3" xfId="1724"/>
    <cellStyle name="_Currency_Infl Market_inj&amp;withdr toelichting hard" xfId="409"/>
    <cellStyle name="_Currency_Infl Market_inj&amp;withdr toelichting hard 2" xfId="2796"/>
    <cellStyle name="_Currency_Infl Market_inj&amp;withdr toelichting hard 3" xfId="1725"/>
    <cellStyle name="_Currency_Infl Market_inj&amp;withdr toelichting hard_dv01" xfId="410"/>
    <cellStyle name="_Currency_Infl Market_inj&amp;withdr toelichting hard_dv01 2" xfId="2797"/>
    <cellStyle name="_Currency_Infl Market_inj&amp;withdr toelichting hard_dv01 3" xfId="1726"/>
    <cellStyle name="_Currency_Infl Market_Liability Cashflows" xfId="411"/>
    <cellStyle name="_Currency_Infl Market_Liability Cashflows 2" xfId="2798"/>
    <cellStyle name="_Currency_Infl Market_Liability Cashflows 3" xfId="1727"/>
    <cellStyle name="_Currency_Infl Market_Liability Cashflows_actuate" xfId="412"/>
    <cellStyle name="_Currency_Infl Market_Liability Cashflows_actuate 2" xfId="2799"/>
    <cellStyle name="_Currency_Infl Market_Liability Cashflows_actuate 3" xfId="1728"/>
    <cellStyle name="_Currency_Infl Market_Liability Cashflows_dv01" xfId="413"/>
    <cellStyle name="_Currency_Infl Market_Liability Cashflows_dv01 2" xfId="2800"/>
    <cellStyle name="_Currency_Infl Market_Liability Cashflows_dv01 3" xfId="1729"/>
    <cellStyle name="_Currency_Infl ZC CF" xfId="414"/>
    <cellStyle name="_Currency_Infl ZC CF 2" xfId="2801"/>
    <cellStyle name="_Currency_Infl ZC CF 3" xfId="1730"/>
    <cellStyle name="_Currency_Infl ZC CF_actuate" xfId="415"/>
    <cellStyle name="_Currency_Infl ZC CF_actuate 2" xfId="2802"/>
    <cellStyle name="_Currency_Infl ZC CF_actuate 3" xfId="1731"/>
    <cellStyle name="_Currency_Infl ZC CF_dv01" xfId="416"/>
    <cellStyle name="_Currency_Infl ZC CF_dv01 2" xfId="2803"/>
    <cellStyle name="_Currency_Infl ZC CF_dv01 3" xfId="1732"/>
    <cellStyle name="_Currency_Inflation forwards" xfId="417"/>
    <cellStyle name="_Currency_Inflation forwards 2" xfId="2804"/>
    <cellStyle name="_Currency_Inflation forwards 3" xfId="1733"/>
    <cellStyle name="_Currency_Inflation forwards_3" xfId="418"/>
    <cellStyle name="_Currency_Inflation forwards_3 2" xfId="2805"/>
    <cellStyle name="_Currency_Inflation forwards_3 3" xfId="1734"/>
    <cellStyle name="_Currency_Inflation forwards_3_dv01" xfId="419"/>
    <cellStyle name="_Currency_Inflation forwards_3_dv01 2" xfId="2806"/>
    <cellStyle name="_Currency_Inflation forwards_3_dv01 3" xfId="1735"/>
    <cellStyle name="_Currency_Inflation forwards_4" xfId="420"/>
    <cellStyle name="_Currency_Inflation forwards_4 2" xfId="2807"/>
    <cellStyle name="_Currency_Inflation forwards_4 3" xfId="1736"/>
    <cellStyle name="_Currency_Inflation forwards_4_dv01" xfId="421"/>
    <cellStyle name="_Currency_Inflation forwards_4_dv01 2" xfId="2808"/>
    <cellStyle name="_Currency_Inflation forwards_4_dv01 3" xfId="1737"/>
    <cellStyle name="_Currency_Inflation forwards_Anker 2008Q4 concept" xfId="422"/>
    <cellStyle name="_Currency_Inflation forwards_Anker 2008Q4 concept 2" xfId="2809"/>
    <cellStyle name="_Currency_Inflation forwards_Anker 2008Q4 concept 3" xfId="1738"/>
    <cellStyle name="_Currency_Inflation forwards_fundrapport" xfId="423"/>
    <cellStyle name="_Currency_Inflation forwards_fundrapport 2" xfId="2810"/>
    <cellStyle name="_Currency_Inflation forwards_fundrapport 3" xfId="1739"/>
    <cellStyle name="_Currency_Inflation forwards_inj&amp;withdr toelichting hard" xfId="424"/>
    <cellStyle name="_Currency_Inflation forwards_inj&amp;withdr toelichting hard 2" xfId="2811"/>
    <cellStyle name="_Currency_Inflation forwards_inj&amp;withdr toelichting hard 3" xfId="1740"/>
    <cellStyle name="_Currency_Inflation forwards_inj&amp;withdr toelichting hard_dv01" xfId="425"/>
    <cellStyle name="_Currency_Inflation forwards_inj&amp;withdr toelichting hard_dv01 2" xfId="2812"/>
    <cellStyle name="_Currency_Inflation forwards_inj&amp;withdr toelichting hard_dv01 3" xfId="1741"/>
    <cellStyle name="_Currency_Inflation forwards_Liability Cashflows" xfId="426"/>
    <cellStyle name="_Currency_Inflation forwards_Liability Cashflows 2" xfId="2813"/>
    <cellStyle name="_Currency_Inflation forwards_Liability Cashflows 3" xfId="1742"/>
    <cellStyle name="_Currency_Inflation forwards_Liability Cashflows_actuate" xfId="427"/>
    <cellStyle name="_Currency_Inflation forwards_Liability Cashflows_actuate 2" xfId="2814"/>
    <cellStyle name="_Currency_Inflation forwards_Liability Cashflows_actuate 3" xfId="1743"/>
    <cellStyle name="_Currency_Inflation forwards_Liability Cashflows_dv01" xfId="428"/>
    <cellStyle name="_Currency_Inflation forwards_Liability Cashflows_dv01 2" xfId="2815"/>
    <cellStyle name="_Currency_Inflation forwards_Liability Cashflows_dv01 3" xfId="1744"/>
    <cellStyle name="_Currency_InitialPosition" xfId="429"/>
    <cellStyle name="_Currency_InitialPosition 2" xfId="2816"/>
    <cellStyle name="_Currency_InitialPosition 3" xfId="1745"/>
    <cellStyle name="_Currency_InitialPosition_1" xfId="430"/>
    <cellStyle name="_Currency_InitialPosition_1 2" xfId="2817"/>
    <cellStyle name="_Currency_InitialPosition_1 3" xfId="1746"/>
    <cellStyle name="_Currency_InitialPosition_1_3" xfId="431"/>
    <cellStyle name="_Currency_InitialPosition_1_3 2" xfId="2818"/>
    <cellStyle name="_Currency_InitialPosition_1_3 3" xfId="1747"/>
    <cellStyle name="_Currency_InitialPosition_1_3_dv01" xfId="432"/>
    <cellStyle name="_Currency_InitialPosition_1_3_dv01 2" xfId="2819"/>
    <cellStyle name="_Currency_InitialPosition_1_3_dv01 3" xfId="1748"/>
    <cellStyle name="_Currency_InitialPosition_1_4" xfId="433"/>
    <cellStyle name="_Currency_InitialPosition_1_4 2" xfId="2820"/>
    <cellStyle name="_Currency_InitialPosition_1_4 3" xfId="1749"/>
    <cellStyle name="_Currency_InitialPosition_1_4_dv01" xfId="434"/>
    <cellStyle name="_Currency_InitialPosition_1_4_dv01 2" xfId="2821"/>
    <cellStyle name="_Currency_InitialPosition_1_4_dv01 3" xfId="1750"/>
    <cellStyle name="_Currency_InitialPosition_1_Anker 2008Q4 concept" xfId="435"/>
    <cellStyle name="_Currency_InitialPosition_1_Anker 2008Q4 concept 2" xfId="2822"/>
    <cellStyle name="_Currency_InitialPosition_1_Anker 2008Q4 concept 3" xfId="1751"/>
    <cellStyle name="_Currency_InitialPosition_1_fundrapport" xfId="436"/>
    <cellStyle name="_Currency_InitialPosition_1_fundrapport 2" xfId="2823"/>
    <cellStyle name="_Currency_InitialPosition_1_fundrapport 3" xfId="1752"/>
    <cellStyle name="_Currency_InitialPosition_1_inj&amp;withdr toelichting hard" xfId="437"/>
    <cellStyle name="_Currency_InitialPosition_1_inj&amp;withdr toelichting hard 2" xfId="2824"/>
    <cellStyle name="_Currency_InitialPosition_1_inj&amp;withdr toelichting hard 3" xfId="1753"/>
    <cellStyle name="_Currency_InitialPosition_1_inj&amp;withdr toelichting hard_dv01" xfId="438"/>
    <cellStyle name="_Currency_InitialPosition_1_inj&amp;withdr toelichting hard_dv01 2" xfId="2825"/>
    <cellStyle name="_Currency_InitialPosition_1_inj&amp;withdr toelichting hard_dv01 3" xfId="1754"/>
    <cellStyle name="_Currency_InitialPosition_3" xfId="439"/>
    <cellStyle name="_Currency_InitialPosition_3 2" xfId="2826"/>
    <cellStyle name="_Currency_InitialPosition_3 3" xfId="1755"/>
    <cellStyle name="_Currency_InitialPosition_3_dv01" xfId="440"/>
    <cellStyle name="_Currency_InitialPosition_3_dv01 2" xfId="2827"/>
    <cellStyle name="_Currency_InitialPosition_3_dv01 3" xfId="1756"/>
    <cellStyle name="_Currency_InitialPosition_4" xfId="441"/>
    <cellStyle name="_Currency_InitialPosition_4 2" xfId="2828"/>
    <cellStyle name="_Currency_InitialPosition_4 3" xfId="1757"/>
    <cellStyle name="_Currency_InitialPosition_4_dv01" xfId="442"/>
    <cellStyle name="_Currency_InitialPosition_4_dv01 2" xfId="2829"/>
    <cellStyle name="_Currency_InitialPosition_4_dv01 3" xfId="1758"/>
    <cellStyle name="_Currency_InitialPosition_Anker 2008Q4 concept" xfId="443"/>
    <cellStyle name="_Currency_InitialPosition_Anker 2008Q4 concept 2" xfId="2830"/>
    <cellStyle name="_Currency_InitialPosition_Anker 2008Q4 concept 3" xfId="1759"/>
    <cellStyle name="_Currency_InitialPosition_fundrapport" xfId="444"/>
    <cellStyle name="_Currency_InitialPosition_fundrapport 2" xfId="2831"/>
    <cellStyle name="_Currency_InitialPosition_fundrapport 3" xfId="1760"/>
    <cellStyle name="_Currency_InitialPosition_inj&amp;withdr toelichting hard" xfId="445"/>
    <cellStyle name="_Currency_InitialPosition_inj&amp;withdr toelichting hard 2" xfId="2832"/>
    <cellStyle name="_Currency_InitialPosition_inj&amp;withdr toelichting hard 3" xfId="1761"/>
    <cellStyle name="_Currency_InitialPosition_inj&amp;withdr toelichting hard_dv01" xfId="446"/>
    <cellStyle name="_Currency_InitialPosition_inj&amp;withdr toelichting hard_dv01 2" xfId="2833"/>
    <cellStyle name="_Currency_InitialPosition_inj&amp;withdr toelichting hard_dv01 3" xfId="1762"/>
    <cellStyle name="_Currency_inj&amp;withdr toelichting hard" xfId="447"/>
    <cellStyle name="_Currency_inj&amp;withdr toelichting hard 2" xfId="2834"/>
    <cellStyle name="_Currency_inj&amp;withdr toelichting hard 3" xfId="1763"/>
    <cellStyle name="_Currency_inj&amp;withdr toelichting hard_dv01" xfId="448"/>
    <cellStyle name="_Currency_inj&amp;withdr toelichting hard_dv01 2" xfId="2835"/>
    <cellStyle name="_Currency_inj&amp;withdr toelichting hard_dv01 3" xfId="1764"/>
    <cellStyle name="_Currency_IR Benchmark" xfId="449"/>
    <cellStyle name="_Currency_IR Benchmark 2" xfId="2836"/>
    <cellStyle name="_Currency_IR Benchmark 3" xfId="1765"/>
    <cellStyle name="_Currency_IR Benchmark_3" xfId="450"/>
    <cellStyle name="_Currency_IR Benchmark_3 2" xfId="2837"/>
    <cellStyle name="_Currency_IR Benchmark_3 3" xfId="1766"/>
    <cellStyle name="_Currency_IR Benchmark_3_dv01" xfId="451"/>
    <cellStyle name="_Currency_IR Benchmark_3_dv01 2" xfId="2838"/>
    <cellStyle name="_Currency_IR Benchmark_3_dv01 3" xfId="1767"/>
    <cellStyle name="_Currency_IR Benchmark_4" xfId="452"/>
    <cellStyle name="_Currency_IR Benchmark_4 2" xfId="2839"/>
    <cellStyle name="_Currency_IR Benchmark_4 3" xfId="1768"/>
    <cellStyle name="_Currency_IR Benchmark_4_dv01" xfId="453"/>
    <cellStyle name="_Currency_IR Benchmark_4_dv01 2" xfId="2840"/>
    <cellStyle name="_Currency_IR Benchmark_4_dv01 3" xfId="1769"/>
    <cellStyle name="_Currency_IR Benchmark_Anker 2008Q4 concept" xfId="454"/>
    <cellStyle name="_Currency_IR Benchmark_Anker 2008Q4 concept 2" xfId="2841"/>
    <cellStyle name="_Currency_IR Benchmark_Anker 2008Q4 concept 3" xfId="1770"/>
    <cellStyle name="_Currency_IR Benchmark_fundrapport" xfId="455"/>
    <cellStyle name="_Currency_IR Benchmark_fundrapport 2" xfId="2842"/>
    <cellStyle name="_Currency_IR Benchmark_fundrapport 3" xfId="1771"/>
    <cellStyle name="_Currency_IR Benchmark_inj&amp;withdr toelichting hard" xfId="456"/>
    <cellStyle name="_Currency_IR Benchmark_inj&amp;withdr toelichting hard 2" xfId="2843"/>
    <cellStyle name="_Currency_IR Benchmark_inj&amp;withdr toelichting hard 3" xfId="1772"/>
    <cellStyle name="_Currency_IR Benchmark_inj&amp;withdr toelichting hard_dv01" xfId="457"/>
    <cellStyle name="_Currency_IR Benchmark_inj&amp;withdr toelichting hard_dv01 2" xfId="2844"/>
    <cellStyle name="_Currency_IR Benchmark_inj&amp;withdr toelichting hard_dv01 3" xfId="1773"/>
    <cellStyle name="_Currency_July 05 position" xfId="458"/>
    <cellStyle name="_Currency_July 05 position 2" xfId="2845"/>
    <cellStyle name="_Currency_July 05 position 3" xfId="1774"/>
    <cellStyle name="_Currency_July 05 position_3" xfId="459"/>
    <cellStyle name="_Currency_July 05 position_3 2" xfId="2846"/>
    <cellStyle name="_Currency_July 05 position_3 3" xfId="1775"/>
    <cellStyle name="_Currency_July 05 position_3_dv01" xfId="460"/>
    <cellStyle name="_Currency_July 05 position_3_dv01 2" xfId="2847"/>
    <cellStyle name="_Currency_July 05 position_3_dv01 3" xfId="1776"/>
    <cellStyle name="_Currency_July 05 position_4" xfId="461"/>
    <cellStyle name="_Currency_July 05 position_4 2" xfId="2848"/>
    <cellStyle name="_Currency_July 05 position_4 3" xfId="1777"/>
    <cellStyle name="_Currency_July 05 position_4_dv01" xfId="462"/>
    <cellStyle name="_Currency_July 05 position_4_dv01 2" xfId="2849"/>
    <cellStyle name="_Currency_July 05 position_4_dv01 3" xfId="1778"/>
    <cellStyle name="_Currency_July 05 position_Anker 2008Q4 concept" xfId="463"/>
    <cellStyle name="_Currency_July 05 position_Anker 2008Q4 concept 2" xfId="2850"/>
    <cellStyle name="_Currency_July 05 position_Anker 2008Q4 concept 3" xfId="1779"/>
    <cellStyle name="_Currency_July 05 position_fundrapport" xfId="464"/>
    <cellStyle name="_Currency_July 05 position_fundrapport 2" xfId="2851"/>
    <cellStyle name="_Currency_July 05 position_fundrapport 3" xfId="1780"/>
    <cellStyle name="_Currency_July 05 position_inj&amp;withdr toelichting hard" xfId="465"/>
    <cellStyle name="_Currency_July 05 position_inj&amp;withdr toelichting hard 2" xfId="2852"/>
    <cellStyle name="_Currency_July 05 position_inj&amp;withdr toelichting hard 3" xfId="1781"/>
    <cellStyle name="_Currency_July 05 position_inj&amp;withdr toelichting hard_dv01" xfId="466"/>
    <cellStyle name="_Currency_July 05 position_inj&amp;withdr toelichting hard_dv01 2" xfId="2853"/>
    <cellStyle name="_Currency_July 05 position_inj&amp;withdr toelichting hard_dv01 3" xfId="1782"/>
    <cellStyle name="_Currency_June 05 CF" xfId="467"/>
    <cellStyle name="_Currency_June 05 CF 2" xfId="2854"/>
    <cellStyle name="_Currency_June 05 CF 3" xfId="1783"/>
    <cellStyle name="_Currency_June 05 CF_actuate" xfId="468"/>
    <cellStyle name="_Currency_June 05 CF_actuate 2" xfId="2855"/>
    <cellStyle name="_Currency_June 05 CF_actuate 3" xfId="1784"/>
    <cellStyle name="_Currency_June 05 CF_dv01" xfId="469"/>
    <cellStyle name="_Currency_June 05 CF_dv01 2" xfId="2856"/>
    <cellStyle name="_Currency_June 05 CF_dv01 3" xfId="1785"/>
    <cellStyle name="_Currency_June05" xfId="470"/>
    <cellStyle name="_Currency_June05 2" xfId="2857"/>
    <cellStyle name="_Currency_June05 3" xfId="1786"/>
    <cellStyle name="_Currency_June05_1" xfId="471"/>
    <cellStyle name="_Currency_June05_1 2" xfId="2858"/>
    <cellStyle name="_Currency_June05_1 3" xfId="1787"/>
    <cellStyle name="_Currency_June05_1_3" xfId="472"/>
    <cellStyle name="_Currency_June05_1_3 2" xfId="2859"/>
    <cellStyle name="_Currency_June05_1_3 3" xfId="1788"/>
    <cellStyle name="_Currency_June05_1_3_dv01" xfId="473"/>
    <cellStyle name="_Currency_June05_1_3_dv01 2" xfId="2860"/>
    <cellStyle name="_Currency_June05_1_3_dv01 3" xfId="1789"/>
    <cellStyle name="_Currency_June05_1_4" xfId="474"/>
    <cellStyle name="_Currency_June05_1_4 2" xfId="2861"/>
    <cellStyle name="_Currency_June05_1_4 3" xfId="1790"/>
    <cellStyle name="_Currency_June05_1_4_dv01" xfId="475"/>
    <cellStyle name="_Currency_June05_1_4_dv01 2" xfId="2862"/>
    <cellStyle name="_Currency_June05_1_4_dv01 3" xfId="1791"/>
    <cellStyle name="_Currency_June05_1_Anker 2008Q4 concept" xfId="476"/>
    <cellStyle name="_Currency_June05_1_Anker 2008Q4 concept 2" xfId="2863"/>
    <cellStyle name="_Currency_June05_1_Anker 2008Q4 concept 3" xfId="1792"/>
    <cellStyle name="_Currency_June05_1_fundrapport" xfId="477"/>
    <cellStyle name="_Currency_June05_1_fundrapport 2" xfId="2864"/>
    <cellStyle name="_Currency_June05_1_fundrapport 3" xfId="1793"/>
    <cellStyle name="_Currency_June05_1_inj&amp;withdr toelichting hard" xfId="478"/>
    <cellStyle name="_Currency_June05_1_inj&amp;withdr toelichting hard 2" xfId="2865"/>
    <cellStyle name="_Currency_June05_1_inj&amp;withdr toelichting hard 3" xfId="1794"/>
    <cellStyle name="_Currency_June05_1_inj&amp;withdr toelichting hard_dv01" xfId="479"/>
    <cellStyle name="_Currency_June05_1_inj&amp;withdr toelichting hard_dv01 2" xfId="2866"/>
    <cellStyle name="_Currency_June05_1_inj&amp;withdr toelichting hard_dv01 3" xfId="1795"/>
    <cellStyle name="_Currency_June05_3" xfId="480"/>
    <cellStyle name="_Currency_June05_3 2" xfId="2867"/>
    <cellStyle name="_Currency_June05_3 3" xfId="1796"/>
    <cellStyle name="_Currency_June05_3_dv01" xfId="481"/>
    <cellStyle name="_Currency_June05_3_dv01 2" xfId="2868"/>
    <cellStyle name="_Currency_June05_3_dv01 3" xfId="1797"/>
    <cellStyle name="_Currency_June05_4" xfId="482"/>
    <cellStyle name="_Currency_June05_4 2" xfId="2869"/>
    <cellStyle name="_Currency_June05_4 3" xfId="1798"/>
    <cellStyle name="_Currency_June05_4_dv01" xfId="483"/>
    <cellStyle name="_Currency_June05_4_dv01 2" xfId="2870"/>
    <cellStyle name="_Currency_June05_4_dv01 3" xfId="1799"/>
    <cellStyle name="_Currency_June05_Anker 2008Q4 concept" xfId="484"/>
    <cellStyle name="_Currency_June05_Anker 2008Q4 concept 2" xfId="2871"/>
    <cellStyle name="_Currency_June05_Anker 2008Q4 concept 3" xfId="1800"/>
    <cellStyle name="_Currency_June05_fundrapport" xfId="485"/>
    <cellStyle name="_Currency_June05_fundrapport 2" xfId="2872"/>
    <cellStyle name="_Currency_June05_fundrapport 3" xfId="1801"/>
    <cellStyle name="_Currency_June05_inj&amp;withdr toelichting hard" xfId="486"/>
    <cellStyle name="_Currency_June05_inj&amp;withdr toelichting hard 2" xfId="2873"/>
    <cellStyle name="_Currency_June05_inj&amp;withdr toelichting hard 3" xfId="1802"/>
    <cellStyle name="_Currency_June05_inj&amp;withdr toelichting hard_dv01" xfId="487"/>
    <cellStyle name="_Currency_June05_inj&amp;withdr toelichting hard_dv01 2" xfId="2874"/>
    <cellStyle name="_Currency_June05_inj&amp;withdr toelichting hard_dv01 3" xfId="1803"/>
    <cellStyle name="_Currency_Latest- Matrix Cashflows" xfId="488"/>
    <cellStyle name="_Currency_Latest- Matrix Cashflows 2" xfId="2875"/>
    <cellStyle name="_Currency_Latest- Matrix Cashflows 3" xfId="1804"/>
    <cellStyle name="_Currency_Latest- Matrix Cashflows_3" xfId="489"/>
    <cellStyle name="_Currency_Latest- Matrix Cashflows_3 2" xfId="2876"/>
    <cellStyle name="_Currency_Latest- Matrix Cashflows_3 3" xfId="1805"/>
    <cellStyle name="_Currency_Latest- Matrix Cashflows_3_dv01" xfId="490"/>
    <cellStyle name="_Currency_Latest- Matrix Cashflows_3_dv01 2" xfId="2877"/>
    <cellStyle name="_Currency_Latest- Matrix Cashflows_3_dv01 3" xfId="1806"/>
    <cellStyle name="_Currency_Latest- Matrix Cashflows_4" xfId="491"/>
    <cellStyle name="_Currency_Latest- Matrix Cashflows_4 2" xfId="2878"/>
    <cellStyle name="_Currency_Latest- Matrix Cashflows_4 3" xfId="1807"/>
    <cellStyle name="_Currency_Latest- Matrix Cashflows_4_dv01" xfId="492"/>
    <cellStyle name="_Currency_Latest- Matrix Cashflows_4_dv01 2" xfId="2879"/>
    <cellStyle name="_Currency_Latest- Matrix Cashflows_4_dv01 3" xfId="1808"/>
    <cellStyle name="_Currency_Latest- Matrix Cashflows_Anker 2008Q4 concept" xfId="493"/>
    <cellStyle name="_Currency_Latest- Matrix Cashflows_Anker 2008Q4 concept 2" xfId="2880"/>
    <cellStyle name="_Currency_Latest- Matrix Cashflows_Anker 2008Q4 concept 3" xfId="1809"/>
    <cellStyle name="_Currency_Latest- Matrix Cashflows_fundrapport" xfId="494"/>
    <cellStyle name="_Currency_Latest- Matrix Cashflows_fundrapport 2" xfId="2881"/>
    <cellStyle name="_Currency_Latest- Matrix Cashflows_fundrapport 3" xfId="1810"/>
    <cellStyle name="_Currency_Latest- Matrix Cashflows_inj&amp;withdr toelichting hard" xfId="495"/>
    <cellStyle name="_Currency_Latest- Matrix Cashflows_inj&amp;withdr toelichting hard 2" xfId="2882"/>
    <cellStyle name="_Currency_Latest- Matrix Cashflows_inj&amp;withdr toelichting hard 3" xfId="1811"/>
    <cellStyle name="_Currency_Latest- Matrix Cashflows_inj&amp;withdr toelichting hard_dv01" xfId="496"/>
    <cellStyle name="_Currency_Latest- Matrix Cashflows_inj&amp;withdr toelichting hard_dv01 2" xfId="2883"/>
    <cellStyle name="_Currency_Latest- Matrix Cashflows_inj&amp;withdr toelichting hard_dv01 3" xfId="1812"/>
    <cellStyle name="_Currency_LATEST-Cleaned by DW" xfId="497"/>
    <cellStyle name="_Currency_LATEST-Cleaned by DW 2" xfId="2884"/>
    <cellStyle name="_Currency_LATEST-Cleaned by DW 3" xfId="1813"/>
    <cellStyle name="_Currency_LATEST-Cleaned by DW_3" xfId="498"/>
    <cellStyle name="_Currency_LATEST-Cleaned by DW_3 2" xfId="2885"/>
    <cellStyle name="_Currency_LATEST-Cleaned by DW_3 3" xfId="1814"/>
    <cellStyle name="_Currency_LATEST-Cleaned by DW_3_dv01" xfId="499"/>
    <cellStyle name="_Currency_LATEST-Cleaned by DW_3_dv01 2" xfId="2886"/>
    <cellStyle name="_Currency_LATEST-Cleaned by DW_3_dv01 3" xfId="1815"/>
    <cellStyle name="_Currency_LATEST-Cleaned by DW_4" xfId="500"/>
    <cellStyle name="_Currency_LATEST-Cleaned by DW_4 2" xfId="2887"/>
    <cellStyle name="_Currency_LATEST-Cleaned by DW_4 3" xfId="1816"/>
    <cellStyle name="_Currency_LATEST-Cleaned by DW_4_dv01" xfId="501"/>
    <cellStyle name="_Currency_LATEST-Cleaned by DW_4_dv01 2" xfId="2888"/>
    <cellStyle name="_Currency_LATEST-Cleaned by DW_4_dv01 3" xfId="1817"/>
    <cellStyle name="_Currency_LATEST-Cleaned by DW_Anker 2008Q4 concept" xfId="502"/>
    <cellStyle name="_Currency_LATEST-Cleaned by DW_Anker 2008Q4 concept 2" xfId="2889"/>
    <cellStyle name="_Currency_LATEST-Cleaned by DW_Anker 2008Q4 concept 3" xfId="1818"/>
    <cellStyle name="_Currency_LATEST-Cleaned by DW_fundrapport" xfId="503"/>
    <cellStyle name="_Currency_LATEST-Cleaned by DW_fundrapport 2" xfId="2890"/>
    <cellStyle name="_Currency_LATEST-Cleaned by DW_fundrapport 3" xfId="1819"/>
    <cellStyle name="_Currency_LATEST-Cleaned by DW_inj&amp;withdr toelichting hard" xfId="504"/>
    <cellStyle name="_Currency_LATEST-Cleaned by DW_inj&amp;withdr toelichting hard 2" xfId="2891"/>
    <cellStyle name="_Currency_LATEST-Cleaned by DW_inj&amp;withdr toelichting hard 3" xfId="1820"/>
    <cellStyle name="_Currency_LATEST-Cleaned by DW_inj&amp;withdr toelichting hard_dv01" xfId="505"/>
    <cellStyle name="_Currency_LATEST-Cleaned by DW_inj&amp;withdr toelichting hard_dv01 2" xfId="2892"/>
    <cellStyle name="_Currency_LATEST-Cleaned by DW_inj&amp;withdr toelichting hard_dv01 3" xfId="1821"/>
    <cellStyle name="_Currency_LDI Characts" xfId="506"/>
    <cellStyle name="_Currency_LDI Characts 2" xfId="2893"/>
    <cellStyle name="_Currency_LDI Characts 3" xfId="1822"/>
    <cellStyle name="_Currency_LDI Characts_3" xfId="507"/>
    <cellStyle name="_Currency_LDI Characts_3 2" xfId="2894"/>
    <cellStyle name="_Currency_LDI Characts_3 3" xfId="1823"/>
    <cellStyle name="_Currency_LDI Characts_3_dv01" xfId="508"/>
    <cellStyle name="_Currency_LDI Characts_3_dv01 2" xfId="2895"/>
    <cellStyle name="_Currency_LDI Characts_3_dv01 3" xfId="1824"/>
    <cellStyle name="_Currency_LDI Characts_4" xfId="509"/>
    <cellStyle name="_Currency_LDI Characts_4 2" xfId="2896"/>
    <cellStyle name="_Currency_LDI Characts_4 3" xfId="1825"/>
    <cellStyle name="_Currency_LDI Characts_4_dv01" xfId="510"/>
    <cellStyle name="_Currency_LDI Characts_4_dv01 2" xfId="2897"/>
    <cellStyle name="_Currency_LDI Characts_4_dv01 3" xfId="1826"/>
    <cellStyle name="_Currency_LDI Characts_Anker 2008Q4 concept" xfId="511"/>
    <cellStyle name="_Currency_LDI Characts_Anker 2008Q4 concept 2" xfId="2898"/>
    <cellStyle name="_Currency_LDI Characts_Anker 2008Q4 concept 3" xfId="1827"/>
    <cellStyle name="_Currency_LDI Characts_fundrapport" xfId="512"/>
    <cellStyle name="_Currency_LDI Characts_fundrapport 2" xfId="2899"/>
    <cellStyle name="_Currency_LDI Characts_fundrapport 3" xfId="1828"/>
    <cellStyle name="_Currency_LDI Characts_inj&amp;withdr toelichting hard" xfId="513"/>
    <cellStyle name="_Currency_LDI Characts_inj&amp;withdr toelichting hard 2" xfId="2900"/>
    <cellStyle name="_Currency_LDI Characts_inj&amp;withdr toelichting hard 3" xfId="1829"/>
    <cellStyle name="_Currency_LDI Characts_inj&amp;withdr toelichting hard_dv01" xfId="514"/>
    <cellStyle name="_Currency_LDI Characts_inj&amp;withdr toelichting hard_dv01 2" xfId="2901"/>
    <cellStyle name="_Currency_LDI Characts_inj&amp;withdr toelichting hard_dv01 3" xfId="1830"/>
    <cellStyle name="_Currency_Liabilities_Worksheet_v3_EMUXT_conv_adjust" xfId="515"/>
    <cellStyle name="_Currency_Liabilities_Worksheet_v3_EMUXT_conv_adjust 2" xfId="2902"/>
    <cellStyle name="_Currency_Liabilities_Worksheet_v3_EMUXT_conv_adjust 3" xfId="1831"/>
    <cellStyle name="_Currency_Liabilities_Worksheet_v3_EMUXT_conv_adjust_3" xfId="516"/>
    <cellStyle name="_Currency_Liabilities_Worksheet_v3_EMUXT_conv_adjust_3 2" xfId="2903"/>
    <cellStyle name="_Currency_Liabilities_Worksheet_v3_EMUXT_conv_adjust_3 3" xfId="1832"/>
    <cellStyle name="_Currency_Liabilities_Worksheet_v3_EMUXT_conv_adjust_3_dv01" xfId="517"/>
    <cellStyle name="_Currency_Liabilities_Worksheet_v3_EMUXT_conv_adjust_3_dv01 2" xfId="2904"/>
    <cellStyle name="_Currency_Liabilities_Worksheet_v3_EMUXT_conv_adjust_3_dv01 3" xfId="1833"/>
    <cellStyle name="_Currency_Liabilities_Worksheet_v3_EMUXT_conv_adjust_4" xfId="518"/>
    <cellStyle name="_Currency_Liabilities_Worksheet_v3_EMUXT_conv_adjust_4 2" xfId="2905"/>
    <cellStyle name="_Currency_Liabilities_Worksheet_v3_EMUXT_conv_adjust_4 3" xfId="1834"/>
    <cellStyle name="_Currency_Liabilities_Worksheet_v3_EMUXT_conv_adjust_4_dv01" xfId="519"/>
    <cellStyle name="_Currency_Liabilities_Worksheet_v3_EMUXT_conv_adjust_4_dv01 2" xfId="2906"/>
    <cellStyle name="_Currency_Liabilities_Worksheet_v3_EMUXT_conv_adjust_4_dv01 3" xfId="1835"/>
    <cellStyle name="_Currency_Liabilities_Worksheet_v3_EMUXT_conv_adjust_Anker 2008Q4 concept" xfId="520"/>
    <cellStyle name="_Currency_Liabilities_Worksheet_v3_EMUXT_conv_adjust_Anker 2008Q4 concept 2" xfId="2907"/>
    <cellStyle name="_Currency_Liabilities_Worksheet_v3_EMUXT_conv_adjust_Anker 2008Q4 concept 3" xfId="1836"/>
    <cellStyle name="_Currency_Liabilities_Worksheet_v3_EMUXT_conv_adjust_fundrapport" xfId="521"/>
    <cellStyle name="_Currency_Liabilities_Worksheet_v3_EMUXT_conv_adjust_fundrapport 2" xfId="2908"/>
    <cellStyle name="_Currency_Liabilities_Worksheet_v3_EMUXT_conv_adjust_fundrapport 3" xfId="1837"/>
    <cellStyle name="_Currency_Liabilities_Worksheet_v3_EMUXT_conv_adjust_inj&amp;withdr toelichting hard" xfId="522"/>
    <cellStyle name="_Currency_Liabilities_Worksheet_v3_EMUXT_conv_adjust_inj&amp;withdr toelichting hard 2" xfId="2909"/>
    <cellStyle name="_Currency_Liabilities_Worksheet_v3_EMUXT_conv_adjust_inj&amp;withdr toelichting hard 3" xfId="1838"/>
    <cellStyle name="_Currency_Liabilities_Worksheet_v3_EMUXT_conv_adjust_inj&amp;withdr toelichting hard_dv01" xfId="523"/>
    <cellStyle name="_Currency_Liabilities_Worksheet_v3_EMUXT_conv_adjust_inj&amp;withdr toelichting hard_dv01 2" xfId="2910"/>
    <cellStyle name="_Currency_Liabilities_Worksheet_v3_EMUXT_conv_adjust_inj&amp;withdr toelichting hard_dv01 3" xfId="1839"/>
    <cellStyle name="_Currency_Liability Cashflows" xfId="524"/>
    <cellStyle name="_Currency_Liability Cashflows 2" xfId="2911"/>
    <cellStyle name="_Currency_Liability Cashflows 3" xfId="1840"/>
    <cellStyle name="_Currency_Liability Cashflows_3" xfId="525"/>
    <cellStyle name="_Currency_Liability Cashflows_3 2" xfId="2912"/>
    <cellStyle name="_Currency_Liability Cashflows_3 3" xfId="1841"/>
    <cellStyle name="_Currency_Liability Cashflows_3_dv01" xfId="526"/>
    <cellStyle name="_Currency_Liability Cashflows_3_dv01 2" xfId="2913"/>
    <cellStyle name="_Currency_Liability Cashflows_3_dv01 3" xfId="1842"/>
    <cellStyle name="_Currency_Liability Cashflows_4" xfId="527"/>
    <cellStyle name="_Currency_Liability Cashflows_4 2" xfId="2914"/>
    <cellStyle name="_Currency_Liability Cashflows_4 3" xfId="1843"/>
    <cellStyle name="_Currency_Liability Cashflows_4_dv01" xfId="528"/>
    <cellStyle name="_Currency_Liability Cashflows_4_dv01 2" xfId="2915"/>
    <cellStyle name="_Currency_Liability Cashflows_4_dv01 3" xfId="1844"/>
    <cellStyle name="_Currency_Liability Cashflows_Anker 2008Q4 concept" xfId="529"/>
    <cellStyle name="_Currency_Liability Cashflows_Anker 2008Q4 concept 2" xfId="2916"/>
    <cellStyle name="_Currency_Liability Cashflows_Anker 2008Q4 concept 3" xfId="1845"/>
    <cellStyle name="_Currency_Liability Cashflows_fundrapport" xfId="530"/>
    <cellStyle name="_Currency_Liability Cashflows_fundrapport 2" xfId="2917"/>
    <cellStyle name="_Currency_Liability Cashflows_fundrapport 3" xfId="1846"/>
    <cellStyle name="_Currency_Liability Cashflows_inj&amp;withdr toelichting hard" xfId="531"/>
    <cellStyle name="_Currency_Liability Cashflows_inj&amp;withdr toelichting hard 2" xfId="2918"/>
    <cellStyle name="_Currency_Liability Cashflows_inj&amp;withdr toelichting hard 3" xfId="1847"/>
    <cellStyle name="_Currency_Liability Cashflows_inj&amp;withdr toelichting hard_dv01" xfId="532"/>
    <cellStyle name="_Currency_Liability Cashflows_inj&amp;withdr toelichting hard_dv01 2" xfId="2919"/>
    <cellStyle name="_Currency_Liability Cashflows_inj&amp;withdr toelichting hard_dv01 3" xfId="1848"/>
    <cellStyle name="_Currency_Liability_IR_Sensitvity_and_Cashflows_Summary_NEW_DATA_Apr05" xfId="533"/>
    <cellStyle name="_Currency_Liability_IR_Sensitvity_and_Cashflows_Summary_NEW_DATA_Apr05 2" xfId="2920"/>
    <cellStyle name="_Currency_Liability_IR_Sensitvity_and_Cashflows_Summary_NEW_DATA_Apr05 3" xfId="1849"/>
    <cellStyle name="_Currency_Liability_IR_Sensitvity_and_Cashflows_Summary_NEW_DATA_Apr05_2" xfId="534"/>
    <cellStyle name="_Currency_Liability_IR_Sensitvity_and_Cashflows_Summary_NEW_DATA_Apr05_2 2" xfId="2921"/>
    <cellStyle name="_Currency_Liability_IR_Sensitvity_and_Cashflows_Summary_NEW_DATA_Apr05_2 3" xfId="1850"/>
    <cellStyle name="_Currency_Liability_IR_Sensitvity_and_Cashflows_Summary_NEW_DATA_Apr05_2_4" xfId="535"/>
    <cellStyle name="_Currency_Liability_IR_Sensitvity_and_Cashflows_Summary_NEW_DATA_Apr05_2_4 2" xfId="2922"/>
    <cellStyle name="_Currency_Liability_IR_Sensitvity_and_Cashflows_Summary_NEW_DATA_Apr05_2_4 3" xfId="1851"/>
    <cellStyle name="_Currency_Liability_IR_Sensitvity_and_Cashflows_Summary_NEW_DATA_Apr05_2_4_dv01" xfId="536"/>
    <cellStyle name="_Currency_Liability_IR_Sensitvity_and_Cashflows_Summary_NEW_DATA_Apr05_2_4_dv01 2" xfId="2923"/>
    <cellStyle name="_Currency_Liability_IR_Sensitvity_and_Cashflows_Summary_NEW_DATA_Apr05_2_4_dv01 3" xfId="1852"/>
    <cellStyle name="_Currency_Liability_IR_Sensitvity_and_Cashflows_Summary_NEW_DATA_Apr05_2_inj&amp;withdr toelichting hard" xfId="537"/>
    <cellStyle name="_Currency_Liability_IR_Sensitvity_and_Cashflows_Summary_NEW_DATA_Apr05_2_inj&amp;withdr toelichting hard 2" xfId="2924"/>
    <cellStyle name="_Currency_Liability_IR_Sensitvity_and_Cashflows_Summary_NEW_DATA_Apr05_2_inj&amp;withdr toelichting hard 3" xfId="1853"/>
    <cellStyle name="_Currency_Liability_IR_Sensitvity_and_Cashflows_Summary_NEW_DATA_Apr05_2_inj&amp;withdr toelichting hard_dv01" xfId="538"/>
    <cellStyle name="_Currency_Liability_IR_Sensitvity_and_Cashflows_Summary_NEW_DATA_Apr05_2_inj&amp;withdr toelichting hard_dv01 2" xfId="2925"/>
    <cellStyle name="_Currency_Liability_IR_Sensitvity_and_Cashflows_Summary_NEW_DATA_Apr05_2_inj&amp;withdr toelichting hard_dv01 3" xfId="1854"/>
    <cellStyle name="_Currency_Liability_IR_Sensitvity_and_Cashflows_Summary_NEW_DATA_Apr05_3" xfId="539"/>
    <cellStyle name="_Currency_Liability_IR_Sensitvity_and_Cashflows_Summary_NEW_DATA_Apr05_3 2" xfId="2926"/>
    <cellStyle name="_Currency_Liability_IR_Sensitvity_and_Cashflows_Summary_NEW_DATA_Apr05_3 3" xfId="1855"/>
    <cellStyle name="_Currency_Liability_IR_Sensitvity_and_Cashflows_Summary_NEW_DATA_Apr05_3_dv01" xfId="540"/>
    <cellStyle name="_Currency_Liability_IR_Sensitvity_and_Cashflows_Summary_NEW_DATA_Apr05_3_dv01 2" xfId="2927"/>
    <cellStyle name="_Currency_Liability_IR_Sensitvity_and_Cashflows_Summary_NEW_DATA_Apr05_3_dv01 3" xfId="1856"/>
    <cellStyle name="_Currency_Liability_IR_Sensitvity_and_Cashflows_Summary_NEW_DATA_Apr05_4" xfId="541"/>
    <cellStyle name="_Currency_Liability_IR_Sensitvity_and_Cashflows_Summary_NEW_DATA_Apr05_4 2" xfId="2928"/>
    <cellStyle name="_Currency_Liability_IR_Sensitvity_and_Cashflows_Summary_NEW_DATA_Apr05_4 3" xfId="1857"/>
    <cellStyle name="_Currency_Liability_IR_Sensitvity_and_Cashflows_Summary_NEW_DATA_Apr05_4_dv01" xfId="542"/>
    <cellStyle name="_Currency_Liability_IR_Sensitvity_and_Cashflows_Summary_NEW_DATA_Apr05_4_dv01 2" xfId="2929"/>
    <cellStyle name="_Currency_Liability_IR_Sensitvity_and_Cashflows_Summary_NEW_DATA_Apr05_4_dv01 3" xfId="1858"/>
    <cellStyle name="_Currency_Liability_IR_Sensitvity_and_Cashflows_Summary_NEW_DATA_Apr05_Anker 2008Q4 concept" xfId="543"/>
    <cellStyle name="_Currency_Liability_IR_Sensitvity_and_Cashflows_Summary_NEW_DATA_Apr05_Anker 2008Q4 concept 2" xfId="2930"/>
    <cellStyle name="_Currency_Liability_IR_Sensitvity_and_Cashflows_Summary_NEW_DATA_Apr05_Anker 2008Q4 concept 3" xfId="1859"/>
    <cellStyle name="_Currency_Liability_IR_Sensitvity_and_Cashflows_Summary_NEW_DATA_Apr05_Banden en Wielen 2008Q4" xfId="544"/>
    <cellStyle name="_Currency_Liability_IR_Sensitvity_and_Cashflows_Summary_NEW_DATA_Apr05_Banden en Wielen 2008Q4 2" xfId="2931"/>
    <cellStyle name="_Currency_Liability_IR_Sensitvity_and_Cashflows_Summary_NEW_DATA_Apr05_Banden en Wielen 2008Q4 3" xfId="1860"/>
    <cellStyle name="_Currency_Liability_IR_Sensitvity_and_Cashflows_Summary_NEW_DATA_Apr05_Banden en Wielen 2008Q4_3" xfId="545"/>
    <cellStyle name="_Currency_Liability_IR_Sensitvity_and_Cashflows_Summary_NEW_DATA_Apr05_Banden en Wielen 2008Q4_3 2" xfId="2932"/>
    <cellStyle name="_Currency_Liability_IR_Sensitvity_and_Cashflows_Summary_NEW_DATA_Apr05_Banden en Wielen 2008Q4_3 3" xfId="1861"/>
    <cellStyle name="_Currency_Liability_IR_Sensitvity_and_Cashflows_Summary_NEW_DATA_Apr05_Banden en Wielen 2008Q4_3_dv01" xfId="546"/>
    <cellStyle name="_Currency_Liability_IR_Sensitvity_and_Cashflows_Summary_NEW_DATA_Apr05_Banden en Wielen 2008Q4_3_dv01 2" xfId="2933"/>
    <cellStyle name="_Currency_Liability_IR_Sensitvity_and_Cashflows_Summary_NEW_DATA_Apr05_Banden en Wielen 2008Q4_3_dv01 3" xfId="1862"/>
    <cellStyle name="_Currency_Liability_IR_Sensitvity_and_Cashflows_Summary_NEW_DATA_Apr05_Banden en Wielen 2008Q4_4" xfId="547"/>
    <cellStyle name="_Currency_Liability_IR_Sensitvity_and_Cashflows_Summary_NEW_DATA_Apr05_Banden en Wielen 2008Q4_4 2" xfId="2934"/>
    <cellStyle name="_Currency_Liability_IR_Sensitvity_and_Cashflows_Summary_NEW_DATA_Apr05_Banden en Wielen 2008Q4_4 3" xfId="1863"/>
    <cellStyle name="_Currency_Liability_IR_Sensitvity_and_Cashflows_Summary_NEW_DATA_Apr05_Banden en Wielen 2008Q4_4_dv01" xfId="548"/>
    <cellStyle name="_Currency_Liability_IR_Sensitvity_and_Cashflows_Summary_NEW_DATA_Apr05_Banden en Wielen 2008Q4_4_dv01 2" xfId="2935"/>
    <cellStyle name="_Currency_Liability_IR_Sensitvity_and_Cashflows_Summary_NEW_DATA_Apr05_Banden en Wielen 2008Q4_4_dv01 3" xfId="1864"/>
    <cellStyle name="_Currency_Liability_IR_Sensitvity_and_Cashflows_Summary_NEW_DATA_Apr05_Banden en Wielen 2008Q4_inj&amp;withdr toelichting hard" xfId="549"/>
    <cellStyle name="_Currency_Liability_IR_Sensitvity_and_Cashflows_Summary_NEW_DATA_Apr05_Banden en Wielen 2008Q4_inj&amp;withdr toelichting hard 2" xfId="2936"/>
    <cellStyle name="_Currency_Liability_IR_Sensitvity_and_Cashflows_Summary_NEW_DATA_Apr05_Banden en Wielen 2008Q4_inj&amp;withdr toelichting hard 3" xfId="1865"/>
    <cellStyle name="_Currency_Liability_IR_Sensitvity_and_Cashflows_Summary_NEW_DATA_Apr05_Banden en Wielen 2008Q4_inj&amp;withdr toelichting hard_dv01" xfId="550"/>
    <cellStyle name="_Currency_Liability_IR_Sensitvity_and_Cashflows_Summary_NEW_DATA_Apr05_Banden en Wielen 2008Q4_inj&amp;withdr toelichting hard_dv01 2" xfId="2937"/>
    <cellStyle name="_Currency_Liability_IR_Sensitvity_and_Cashflows_Summary_NEW_DATA_Apr05_Banden en Wielen 2008Q4_inj&amp;withdr toelichting hard_dv01 3" xfId="1866"/>
    <cellStyle name="_Currency_Liability_IR_Sensitvity_and_Cashflows_Summary_NEW_DATA_Apr05_beleggingen" xfId="3852"/>
    <cellStyle name="_Currency_Liability_IR_Sensitvity_and_Cashflows_Summary_NEW_DATA_Apr05_dv01" xfId="551"/>
    <cellStyle name="_Currency_Liability_IR_Sensitvity_and_Cashflows_Summary_NEW_DATA_Apr05_dv01 2" xfId="2938"/>
    <cellStyle name="_Currency_Liability_IR_Sensitvity_and_Cashflows_Summary_NEW_DATA_Apr05_dv01 3" xfId="1867"/>
    <cellStyle name="_Currency_Liability_IR_Sensitvity_and_Cashflows_Summary_NEW_DATA_Apr05_feitelijk rendement" xfId="3851"/>
    <cellStyle name="_Currency_Liability_IR_Sensitvity_and_Cashflows_Summary_NEW_DATA_Apr05_fundrapport" xfId="552"/>
    <cellStyle name="_Currency_Liability_IR_Sensitvity_and_Cashflows_Summary_NEW_DATA_Apr05_fundrapport 2" xfId="2939"/>
    <cellStyle name="_Currency_Liability_IR_Sensitvity_and_Cashflows_Summary_NEW_DATA_Apr05_fundrapport 3" xfId="1868"/>
    <cellStyle name="_Currency_Liability_IR_Sensitvity_and_Cashflows_Summary_NEW_DATA_Apr05_inj&amp;withdr toelichting hard" xfId="553"/>
    <cellStyle name="_Currency_Liability_IR_Sensitvity_and_Cashflows_Summary_NEW_DATA_Apr05_inj&amp;withdr toelichting hard 2" xfId="2940"/>
    <cellStyle name="_Currency_Liability_IR_Sensitvity_and_Cashflows_Summary_NEW_DATA_Apr05_inj&amp;withdr toelichting hard 3" xfId="1869"/>
    <cellStyle name="_Currency_Liability_IR_Sensitvity_and_Cashflows_Summary_NEW_DATA_Apr05_inj&amp;withdr toelichting hard_dv01" xfId="554"/>
    <cellStyle name="_Currency_Liability_IR_Sensitvity_and_Cashflows_Summary_NEW_DATA_Apr05_inj&amp;withdr toelichting hard_dv01 2" xfId="2941"/>
    <cellStyle name="_Currency_Liability_IR_Sensitvity_and_Cashflows_Summary_NEW_DATA_Apr05_inj&amp;withdr toelichting hard_dv01 3" xfId="1870"/>
    <cellStyle name="_Currency_Liability_IR_Sensitvity_and_Cashflows_Summary_NEW_DATA_Apr05_MITT 2008Q4" xfId="555"/>
    <cellStyle name="_Currency_Liability_IR_Sensitvity_and_Cashflows_Summary_NEW_DATA_Apr05_MITT 2008Q4 2" xfId="2942"/>
    <cellStyle name="_Currency_Liability_IR_Sensitvity_and_Cashflows_Summary_NEW_DATA_Apr05_MITT 2008Q4 3" xfId="1871"/>
    <cellStyle name="_Currency_Liability_IR_Sensitvity_and_Cashflows_Summary_NEW_DATA_Apr05_MITT 2008Q4_3" xfId="556"/>
    <cellStyle name="_Currency_Liability_IR_Sensitvity_and_Cashflows_Summary_NEW_DATA_Apr05_MITT 2008Q4_3 2" xfId="2943"/>
    <cellStyle name="_Currency_Liability_IR_Sensitvity_and_Cashflows_Summary_NEW_DATA_Apr05_MITT 2008Q4_3 3" xfId="1872"/>
    <cellStyle name="_Currency_Liability_IR_Sensitvity_and_Cashflows_Summary_NEW_DATA_Apr05_MITT 2008Q4_3_dv01" xfId="557"/>
    <cellStyle name="_Currency_Liability_IR_Sensitvity_and_Cashflows_Summary_NEW_DATA_Apr05_MITT 2008Q4_3_dv01 2" xfId="2944"/>
    <cellStyle name="_Currency_Liability_IR_Sensitvity_and_Cashflows_Summary_NEW_DATA_Apr05_MITT 2008Q4_3_dv01 3" xfId="1873"/>
    <cellStyle name="_Currency_Liability_IR_Sensitvity_and_Cashflows_Summary_NEW_DATA_Apr05_MITT 2008Q4_4" xfId="558"/>
    <cellStyle name="_Currency_Liability_IR_Sensitvity_and_Cashflows_Summary_NEW_DATA_Apr05_MITT 2008Q4_4 2" xfId="2945"/>
    <cellStyle name="_Currency_Liability_IR_Sensitvity_and_Cashflows_Summary_NEW_DATA_Apr05_MITT 2008Q4_4 3" xfId="1874"/>
    <cellStyle name="_Currency_Liability_IR_Sensitvity_and_Cashflows_Summary_NEW_DATA_Apr05_MITT 2008Q4_4_dv01" xfId="559"/>
    <cellStyle name="_Currency_Liability_IR_Sensitvity_and_Cashflows_Summary_NEW_DATA_Apr05_MITT 2008Q4_4_dv01 2" xfId="2946"/>
    <cellStyle name="_Currency_Liability_IR_Sensitvity_and_Cashflows_Summary_NEW_DATA_Apr05_MITT 2008Q4_4_dv01 3" xfId="1875"/>
    <cellStyle name="_Currency_Liability_IR_Sensitvity_and_Cashflows_Summary_NEW_DATA_Apr05_MITT 2008Q4_inj&amp;withdr toelichting hard" xfId="560"/>
    <cellStyle name="_Currency_Liability_IR_Sensitvity_and_Cashflows_Summary_NEW_DATA_Apr05_MITT 2008Q4_inj&amp;withdr toelichting hard 2" xfId="2947"/>
    <cellStyle name="_Currency_Liability_IR_Sensitvity_and_Cashflows_Summary_NEW_DATA_Apr05_MITT 2008Q4_inj&amp;withdr toelichting hard 3" xfId="1876"/>
    <cellStyle name="_Currency_Liability_IR_Sensitvity_and_Cashflows_Summary_NEW_DATA_Apr05_MITT 2008Q4_inj&amp;withdr toelichting hard_dv01" xfId="561"/>
    <cellStyle name="_Currency_Liability_IR_Sensitvity_and_Cashflows_Summary_NEW_DATA_Apr05_MITT 2008Q4_inj&amp;withdr toelichting hard_dv01 2" xfId="2948"/>
    <cellStyle name="_Currency_Liability_IR_Sensitvity_and_Cashflows_Summary_NEW_DATA_Apr05_MITT 2008Q4_inj&amp;withdr toelichting hard_dv01 3" xfId="1877"/>
    <cellStyle name="_Currency_Liability_IR_Sensitvity_and_Cashflows_Summary_NEW_DATA_Apr05_strategische matching pf" xfId="562"/>
    <cellStyle name="_Currency_Liability_IR_Sensitvity_and_Cashflows_Summary_NEW_DATA_Apr05_strategische matching pf 2" xfId="2949"/>
    <cellStyle name="_Currency_Liability_IR_Sensitvity_and_Cashflows_Summary_NEW_DATA_Apr05_strategische matching pf 3" xfId="1878"/>
    <cellStyle name="_Currency_Liability_IR_Sensitvity_and_Cashflows_Summary_NEW_DATA_Apr05_Unisys 2008Q4" xfId="563"/>
    <cellStyle name="_Currency_Liability_IR_Sensitvity_and_Cashflows_Summary_NEW_DATA_Apr05_Unisys 2008Q4 2" xfId="2950"/>
    <cellStyle name="_Currency_Liability_IR_Sensitvity_and_Cashflows_Summary_NEW_DATA_Apr05_Unisys 2008Q4 3" xfId="1879"/>
    <cellStyle name="_Currency_Liability_IR_Sensitvity_and_Cashflows_Summary_NEW_DATA_Apr05_Unisys 2008Q4 concept" xfId="564"/>
    <cellStyle name="_Currency_Liability_IR_Sensitvity_and_Cashflows_Summary_NEW_DATA_Apr05_Unisys 2008Q4 concept 2" xfId="2951"/>
    <cellStyle name="_Currency_Liability_IR_Sensitvity_and_Cashflows_Summary_NEW_DATA_Apr05_Unisys 2008Q4 concept 3" xfId="1880"/>
    <cellStyle name="_Currency_Liability_IR_Sensitvity_and_Cashflows_Summary_NEW_DATA_Apr05_Unisys 2008Q4 concept_3" xfId="565"/>
    <cellStyle name="_Currency_Liability_IR_Sensitvity_and_Cashflows_Summary_NEW_DATA_Apr05_Unisys 2008Q4 concept_3 2" xfId="2952"/>
    <cellStyle name="_Currency_Liability_IR_Sensitvity_and_Cashflows_Summary_NEW_DATA_Apr05_Unisys 2008Q4 concept_3 3" xfId="1881"/>
    <cellStyle name="_Currency_Liability_IR_Sensitvity_and_Cashflows_Summary_NEW_DATA_Apr05_Unisys 2008Q4 concept_3_dv01" xfId="566"/>
    <cellStyle name="_Currency_Liability_IR_Sensitvity_and_Cashflows_Summary_NEW_DATA_Apr05_Unisys 2008Q4 concept_3_dv01 2" xfId="2953"/>
    <cellStyle name="_Currency_Liability_IR_Sensitvity_and_Cashflows_Summary_NEW_DATA_Apr05_Unisys 2008Q4 concept_3_dv01 3" xfId="1882"/>
    <cellStyle name="_Currency_Liability_IR_Sensitvity_and_Cashflows_Summary_NEW_DATA_Apr05_Unisys 2008Q4 concept_4" xfId="567"/>
    <cellStyle name="_Currency_Liability_IR_Sensitvity_and_Cashflows_Summary_NEW_DATA_Apr05_Unisys 2008Q4 concept_4 2" xfId="2954"/>
    <cellStyle name="_Currency_Liability_IR_Sensitvity_and_Cashflows_Summary_NEW_DATA_Apr05_Unisys 2008Q4 concept_4 3" xfId="1883"/>
    <cellStyle name="_Currency_Liability_IR_Sensitvity_and_Cashflows_Summary_NEW_DATA_Apr05_Unisys 2008Q4 concept_4_1" xfId="568"/>
    <cellStyle name="_Currency_Liability_IR_Sensitvity_and_Cashflows_Summary_NEW_DATA_Apr05_Unisys 2008Q4 concept_4_1 2" xfId="2955"/>
    <cellStyle name="_Currency_Liability_IR_Sensitvity_and_Cashflows_Summary_NEW_DATA_Apr05_Unisys 2008Q4 concept_4_1 3" xfId="1884"/>
    <cellStyle name="_Currency_Liability_IR_Sensitvity_and_Cashflows_Summary_NEW_DATA_Apr05_Unisys 2008Q4 concept_4_1_dv01" xfId="569"/>
    <cellStyle name="_Currency_Liability_IR_Sensitvity_and_Cashflows_Summary_NEW_DATA_Apr05_Unisys 2008Q4 concept_4_1_dv01 2" xfId="2956"/>
    <cellStyle name="_Currency_Liability_IR_Sensitvity_and_Cashflows_Summary_NEW_DATA_Apr05_Unisys 2008Q4 concept_4_1_dv01 3" xfId="1885"/>
    <cellStyle name="_Currency_Liability_IR_Sensitvity_and_Cashflows_Summary_NEW_DATA_Apr05_Unisys 2008Q4 concept_4_dv01" xfId="570"/>
    <cellStyle name="_Currency_Liability_IR_Sensitvity_and_Cashflows_Summary_NEW_DATA_Apr05_Unisys 2008Q4 concept_4_dv01 2" xfId="2957"/>
    <cellStyle name="_Currency_Liability_IR_Sensitvity_and_Cashflows_Summary_NEW_DATA_Apr05_Unisys 2008Q4 concept_4_dv01 3" xfId="1886"/>
    <cellStyle name="_Currency_Liability_IR_Sensitvity_and_Cashflows_Summary_NEW_DATA_Apr05_Unisys 2008Q4 concept_inj&amp;withdr toelichting hard" xfId="571"/>
    <cellStyle name="_Currency_Liability_IR_Sensitvity_and_Cashflows_Summary_NEW_DATA_Apr05_Unisys 2008Q4 concept_inj&amp;withdr toelichting hard 2" xfId="2958"/>
    <cellStyle name="_Currency_Liability_IR_Sensitvity_and_Cashflows_Summary_NEW_DATA_Apr05_Unisys 2008Q4 concept_inj&amp;withdr toelichting hard 3" xfId="1887"/>
    <cellStyle name="_Currency_Liability_IR_Sensitvity_and_Cashflows_Summary_NEW_DATA_Apr05_Unisys 2008Q4 concept_inj&amp;withdr toelichting hard_dv01" xfId="572"/>
    <cellStyle name="_Currency_Liability_IR_Sensitvity_and_Cashflows_Summary_NEW_DATA_Apr05_Unisys 2008Q4 concept_inj&amp;withdr toelichting hard_dv01 2" xfId="2959"/>
    <cellStyle name="_Currency_Liability_IR_Sensitvity_and_Cashflows_Summary_NEW_DATA_Apr05_Unisys 2008Q4 concept_inj&amp;withdr toelichting hard_dv01 3" xfId="1888"/>
    <cellStyle name="_Currency_Liability_IR_Sensitvity_and_Cashflows_Summary_NEW_DATA_Apr05_Unisys 2008Q4_3" xfId="573"/>
    <cellStyle name="_Currency_Liability_IR_Sensitvity_and_Cashflows_Summary_NEW_DATA_Apr05_Unisys 2008Q4_3 2" xfId="2960"/>
    <cellStyle name="_Currency_Liability_IR_Sensitvity_and_Cashflows_Summary_NEW_DATA_Apr05_Unisys 2008Q4_3 3" xfId="1889"/>
    <cellStyle name="_Currency_Liability_IR_Sensitvity_and_Cashflows_Summary_NEW_DATA_Apr05_Unisys 2008Q4_3_dv01" xfId="574"/>
    <cellStyle name="_Currency_Liability_IR_Sensitvity_and_Cashflows_Summary_NEW_DATA_Apr05_Unisys 2008Q4_3_dv01 2" xfId="2961"/>
    <cellStyle name="_Currency_Liability_IR_Sensitvity_and_Cashflows_Summary_NEW_DATA_Apr05_Unisys 2008Q4_3_dv01 3" xfId="1890"/>
    <cellStyle name="_Currency_Liability_IR_Sensitvity_and_Cashflows_Summary_NEW_DATA_Apr05_Unisys 2008Q4_4" xfId="575"/>
    <cellStyle name="_Currency_Liability_IR_Sensitvity_and_Cashflows_Summary_NEW_DATA_Apr05_Unisys 2008Q4_4 2" xfId="2962"/>
    <cellStyle name="_Currency_Liability_IR_Sensitvity_and_Cashflows_Summary_NEW_DATA_Apr05_Unisys 2008Q4_4 3" xfId="1891"/>
    <cellStyle name="_Currency_Liability_IR_Sensitvity_and_Cashflows_Summary_NEW_DATA_Apr05_Unisys 2008Q4_4_1" xfId="576"/>
    <cellStyle name="_Currency_Liability_IR_Sensitvity_and_Cashflows_Summary_NEW_DATA_Apr05_Unisys 2008Q4_4_1 2" xfId="2963"/>
    <cellStyle name="_Currency_Liability_IR_Sensitvity_and_Cashflows_Summary_NEW_DATA_Apr05_Unisys 2008Q4_4_1 3" xfId="1892"/>
    <cellStyle name="_Currency_Liability_IR_Sensitvity_and_Cashflows_Summary_NEW_DATA_Apr05_Unisys 2008Q4_4_1_dv01" xfId="577"/>
    <cellStyle name="_Currency_Liability_IR_Sensitvity_and_Cashflows_Summary_NEW_DATA_Apr05_Unisys 2008Q4_4_1_dv01 2" xfId="2964"/>
    <cellStyle name="_Currency_Liability_IR_Sensitvity_and_Cashflows_Summary_NEW_DATA_Apr05_Unisys 2008Q4_4_1_dv01 3" xfId="1893"/>
    <cellStyle name="_Currency_Liability_IR_Sensitvity_and_Cashflows_Summary_NEW_DATA_Apr05_Unisys 2008Q4_4_dv01" xfId="578"/>
    <cellStyle name="_Currency_Liability_IR_Sensitvity_and_Cashflows_Summary_NEW_DATA_Apr05_Unisys 2008Q4_4_dv01 2" xfId="2965"/>
    <cellStyle name="_Currency_Liability_IR_Sensitvity_and_Cashflows_Summary_NEW_DATA_Apr05_Unisys 2008Q4_4_dv01 3" xfId="1894"/>
    <cellStyle name="_Currency_Liability_IR_Sensitvity_and_Cashflows_Summary_NEW_DATA_Apr05_Unisys 2008Q4_inj&amp;withdr toelichting hard" xfId="579"/>
    <cellStyle name="_Currency_Liability_IR_Sensitvity_and_Cashflows_Summary_NEW_DATA_Apr05_Unisys 2008Q4_inj&amp;withdr toelichting hard 2" xfId="2966"/>
    <cellStyle name="_Currency_Liability_IR_Sensitvity_and_Cashflows_Summary_NEW_DATA_Apr05_Unisys 2008Q4_inj&amp;withdr toelichting hard 3" xfId="1895"/>
    <cellStyle name="_Currency_Liability_IR_Sensitvity_and_Cashflows_Summary_NEW_DATA_Apr05_Unisys 2008Q4_inj&amp;withdr toelichting hard_dv01" xfId="580"/>
    <cellStyle name="_Currency_Liability_IR_Sensitvity_and_Cashflows_Summary_NEW_DATA_Apr05_Unisys 2008Q4_inj&amp;withdr toelichting hard_dv01 2" xfId="2967"/>
    <cellStyle name="_Currency_Liability_IR_Sensitvity_and_Cashflows_Summary_NEW_DATA_Apr05_Unisys 2008Q4_inj&amp;withdr toelichting hard_dv01 3" xfId="1896"/>
    <cellStyle name="_Currency_Liabs DV01" xfId="581"/>
    <cellStyle name="_Currency_Liabs DV01 2" xfId="2968"/>
    <cellStyle name="_Currency_Liabs DV01 3" xfId="1897"/>
    <cellStyle name="_Currency_Liabs DV01_actuate" xfId="582"/>
    <cellStyle name="_Currency_Liabs DV01_actuate 2" xfId="2969"/>
    <cellStyle name="_Currency_Liabs DV01_actuate 3" xfId="1898"/>
    <cellStyle name="_Currency_Liabs DV01_dv01" xfId="583"/>
    <cellStyle name="_Currency_Liabs DV01_dv01 2" xfId="2970"/>
    <cellStyle name="_Currency_Liabs DV01_dv01 3" xfId="1899"/>
    <cellStyle name="_Currency_Main" xfId="584"/>
    <cellStyle name="_Currency_Main 2" xfId="2971"/>
    <cellStyle name="_Currency_Main 3" xfId="1900"/>
    <cellStyle name="_Currency_Main_1" xfId="585"/>
    <cellStyle name="_Currency_Main_1 2" xfId="2972"/>
    <cellStyle name="_Currency_Main_1 3" xfId="1901"/>
    <cellStyle name="_Currency_Main_1_actuate" xfId="586"/>
    <cellStyle name="_Currency_Main_1_actuate 2" xfId="2973"/>
    <cellStyle name="_Currency_Main_1_actuate 3" xfId="1902"/>
    <cellStyle name="_Currency_Main_1_dv01" xfId="587"/>
    <cellStyle name="_Currency_Main_1_dv01 2" xfId="2974"/>
    <cellStyle name="_Currency_Main_1_dv01 3" xfId="1903"/>
    <cellStyle name="_Currency_Main_2" xfId="588"/>
    <cellStyle name="_Currency_Main_2 2" xfId="2975"/>
    <cellStyle name="_Currency_Main_2 3" xfId="1904"/>
    <cellStyle name="_Currency_Main_2_3" xfId="589"/>
    <cellStyle name="_Currency_Main_2_3 2" xfId="2976"/>
    <cellStyle name="_Currency_Main_2_3 3" xfId="1905"/>
    <cellStyle name="_Currency_Main_2_3_dv01" xfId="590"/>
    <cellStyle name="_Currency_Main_2_3_dv01 2" xfId="2977"/>
    <cellStyle name="_Currency_Main_2_3_dv01 3" xfId="1906"/>
    <cellStyle name="_Currency_Main_2_4" xfId="591"/>
    <cellStyle name="_Currency_Main_2_4 2" xfId="2978"/>
    <cellStyle name="_Currency_Main_2_4 3" xfId="1907"/>
    <cellStyle name="_Currency_Main_2_4_dv01" xfId="592"/>
    <cellStyle name="_Currency_Main_2_4_dv01 2" xfId="2979"/>
    <cellStyle name="_Currency_Main_2_4_dv01 3" xfId="1908"/>
    <cellStyle name="_Currency_Main_2_Anker 2008Q4 concept" xfId="593"/>
    <cellStyle name="_Currency_Main_2_Anker 2008Q4 concept 2" xfId="2980"/>
    <cellStyle name="_Currency_Main_2_Anker 2008Q4 concept 3" xfId="1909"/>
    <cellStyle name="_Currency_Main_2_fundrapport" xfId="594"/>
    <cellStyle name="_Currency_Main_2_fundrapport 2" xfId="2981"/>
    <cellStyle name="_Currency_Main_2_fundrapport 3" xfId="1910"/>
    <cellStyle name="_Currency_Main_2_inj&amp;withdr toelichting hard" xfId="595"/>
    <cellStyle name="_Currency_Main_2_inj&amp;withdr toelichting hard 2" xfId="2982"/>
    <cellStyle name="_Currency_Main_2_inj&amp;withdr toelichting hard 3" xfId="1911"/>
    <cellStyle name="_Currency_Main_2_inj&amp;withdr toelichting hard_dv01" xfId="596"/>
    <cellStyle name="_Currency_Main_2_inj&amp;withdr toelichting hard_dv01 2" xfId="2983"/>
    <cellStyle name="_Currency_Main_2_inj&amp;withdr toelichting hard_dv01 3" xfId="1912"/>
    <cellStyle name="_Currency_Main_3" xfId="597"/>
    <cellStyle name="_Currency_Main_3 2" xfId="2984"/>
    <cellStyle name="_Currency_Main_3 3" xfId="1913"/>
    <cellStyle name="_Currency_Main_3_dv01" xfId="598"/>
    <cellStyle name="_Currency_Main_3_dv01 2" xfId="2985"/>
    <cellStyle name="_Currency_Main_3_dv01 3" xfId="1914"/>
    <cellStyle name="_Currency_Main_4" xfId="599"/>
    <cellStyle name="_Currency_Main_4 2" xfId="2986"/>
    <cellStyle name="_Currency_Main_4 3" xfId="1915"/>
    <cellStyle name="_Currency_Main_4_dv01" xfId="600"/>
    <cellStyle name="_Currency_Main_4_dv01 2" xfId="2987"/>
    <cellStyle name="_Currency_Main_4_dv01 3" xfId="1916"/>
    <cellStyle name="_Currency_Main_Anker 2008Q4 concept" xfId="601"/>
    <cellStyle name="_Currency_Main_Anker 2008Q4 concept 2" xfId="2988"/>
    <cellStyle name="_Currency_Main_Anker 2008Q4 concept 3" xfId="1917"/>
    <cellStyle name="_Currency_Main_fundrapport" xfId="602"/>
    <cellStyle name="_Currency_Main_fundrapport 2" xfId="2989"/>
    <cellStyle name="_Currency_Main_fundrapport 3" xfId="1918"/>
    <cellStyle name="_Currency_Main_Generic Gexa 11th May Ilias Calibrated Correctly" xfId="603"/>
    <cellStyle name="_Currency_Main_Generic Gexa 11th May Ilias Calibrated Correctly 2" xfId="2990"/>
    <cellStyle name="_Currency_Main_Generic Gexa 11th May Ilias Calibrated Correctly 3" xfId="1919"/>
    <cellStyle name="_Currency_Main_Generic Gexa 11th May Ilias Calibrated Correctly_3" xfId="604"/>
    <cellStyle name="_Currency_Main_Generic Gexa 11th May Ilias Calibrated Correctly_3 2" xfId="2991"/>
    <cellStyle name="_Currency_Main_Generic Gexa 11th May Ilias Calibrated Correctly_3 3" xfId="1920"/>
    <cellStyle name="_Currency_Main_Generic Gexa 11th May Ilias Calibrated Correctly_3_dv01" xfId="605"/>
    <cellStyle name="_Currency_Main_Generic Gexa 11th May Ilias Calibrated Correctly_3_dv01 2" xfId="2992"/>
    <cellStyle name="_Currency_Main_Generic Gexa 11th May Ilias Calibrated Correctly_3_dv01 3" xfId="1921"/>
    <cellStyle name="_Currency_Main_Generic Gexa 11th May Ilias Calibrated Correctly_4" xfId="606"/>
    <cellStyle name="_Currency_Main_Generic Gexa 11th May Ilias Calibrated Correctly_4 2" xfId="2993"/>
    <cellStyle name="_Currency_Main_Generic Gexa 11th May Ilias Calibrated Correctly_4 3" xfId="1922"/>
    <cellStyle name="_Currency_Main_Generic Gexa 11th May Ilias Calibrated Correctly_4_dv01" xfId="607"/>
    <cellStyle name="_Currency_Main_Generic Gexa 11th May Ilias Calibrated Correctly_4_dv01 2" xfId="2994"/>
    <cellStyle name="_Currency_Main_Generic Gexa 11th May Ilias Calibrated Correctly_4_dv01 3" xfId="1923"/>
    <cellStyle name="_Currency_Main_Generic Gexa 11th May Ilias Calibrated Correctly_Anker 2008Q4 concept" xfId="608"/>
    <cellStyle name="_Currency_Main_Generic Gexa 11th May Ilias Calibrated Correctly_Anker 2008Q4 concept 2" xfId="2995"/>
    <cellStyle name="_Currency_Main_Generic Gexa 11th May Ilias Calibrated Correctly_Anker 2008Q4 concept 3" xfId="1924"/>
    <cellStyle name="_Currency_Main_Generic Gexa 11th May Ilias Calibrated Correctly_fundrapport" xfId="609"/>
    <cellStyle name="_Currency_Main_Generic Gexa 11th May Ilias Calibrated Correctly_fundrapport 2" xfId="2996"/>
    <cellStyle name="_Currency_Main_Generic Gexa 11th May Ilias Calibrated Correctly_fundrapport 3" xfId="1925"/>
    <cellStyle name="_Currency_Main_Generic Gexa 11th May Ilias Calibrated Correctly_inj&amp;withdr toelichting hard" xfId="610"/>
    <cellStyle name="_Currency_Main_Generic Gexa 11th May Ilias Calibrated Correctly_inj&amp;withdr toelichting hard 2" xfId="2997"/>
    <cellStyle name="_Currency_Main_Generic Gexa 11th May Ilias Calibrated Correctly_inj&amp;withdr toelichting hard 3" xfId="1926"/>
    <cellStyle name="_Currency_Main_Generic Gexa 11th May Ilias Calibrated Correctly_inj&amp;withdr toelichting hard_dv01" xfId="611"/>
    <cellStyle name="_Currency_Main_Generic Gexa 11th May Ilias Calibrated Correctly_inj&amp;withdr toelichting hard_dv01 2" xfId="2998"/>
    <cellStyle name="_Currency_Main_Generic Gexa 11th May Ilias Calibrated Correctly_inj&amp;withdr toelichting hard_dv01 3" xfId="1927"/>
    <cellStyle name="_Currency_Main_Generic Gexa 11th May Ilias Calibrated Correctly_Liability Cashflows" xfId="612"/>
    <cellStyle name="_Currency_Main_Generic Gexa 11th May Ilias Calibrated Correctly_Liability Cashflows 2" xfId="2999"/>
    <cellStyle name="_Currency_Main_Generic Gexa 11th May Ilias Calibrated Correctly_Liability Cashflows 3" xfId="1928"/>
    <cellStyle name="_Currency_Main_Generic Gexa 11th May Ilias Calibrated Correctly_Liability Cashflows_actuate" xfId="613"/>
    <cellStyle name="_Currency_Main_Generic Gexa 11th May Ilias Calibrated Correctly_Liability Cashflows_actuate 2" xfId="3000"/>
    <cellStyle name="_Currency_Main_Generic Gexa 11th May Ilias Calibrated Correctly_Liability Cashflows_actuate 3" xfId="1929"/>
    <cellStyle name="_Currency_Main_Generic Gexa 11th May Ilias Calibrated Correctly_Liability Cashflows_dv01" xfId="614"/>
    <cellStyle name="_Currency_Main_Generic Gexa 11th May Ilias Calibrated Correctly_Liability Cashflows_dv01 2" xfId="3001"/>
    <cellStyle name="_Currency_Main_Generic Gexa 11th May Ilias Calibrated Correctly_Liability Cashflows_dv01 3" xfId="1930"/>
    <cellStyle name="_Currency_Main_inj&amp;withdr toelichting hard" xfId="615"/>
    <cellStyle name="_Currency_Main_inj&amp;withdr toelichting hard 2" xfId="3002"/>
    <cellStyle name="_Currency_Main_inj&amp;withdr toelichting hard 3" xfId="1931"/>
    <cellStyle name="_Currency_Main_inj&amp;withdr toelichting hard_dv01" xfId="616"/>
    <cellStyle name="_Currency_Main_inj&amp;withdr toelichting hard_dv01 2" xfId="3003"/>
    <cellStyle name="_Currency_Main_inj&amp;withdr toelichting hard_dv01 3" xfId="1932"/>
    <cellStyle name="_Currency_Main_Liability Cashflows" xfId="617"/>
    <cellStyle name="_Currency_Main_Liability Cashflows 2" xfId="3004"/>
    <cellStyle name="_Currency_Main_Liability Cashflows 3" xfId="1933"/>
    <cellStyle name="_Currency_Main_Liability Cashflows_actuate" xfId="618"/>
    <cellStyle name="_Currency_Main_Liability Cashflows_actuate 2" xfId="3005"/>
    <cellStyle name="_Currency_Main_Liability Cashflows_actuate 3" xfId="1934"/>
    <cellStyle name="_Currency_Main_Liability Cashflows_dv01" xfId="619"/>
    <cellStyle name="_Currency_Main_Liability Cashflows_dv01 2" xfId="3006"/>
    <cellStyle name="_Currency_Main_Liability Cashflows_dv01 3" xfId="1935"/>
    <cellStyle name="_Currency_Main_Main" xfId="620"/>
    <cellStyle name="_Currency_Main_Main 2" xfId="3007"/>
    <cellStyle name="_Currency_Main_Main 3" xfId="1936"/>
    <cellStyle name="_Currency_Main_Main_actuate" xfId="621"/>
    <cellStyle name="_Currency_Main_Main_actuate 2" xfId="3008"/>
    <cellStyle name="_Currency_Main_Main_actuate 3" xfId="1937"/>
    <cellStyle name="_Currency_Main_Main_dv01" xfId="622"/>
    <cellStyle name="_Currency_Main_Main_dv01 2" xfId="3009"/>
    <cellStyle name="_Currency_Main_Main_dv01 3" xfId="1938"/>
    <cellStyle name="_Currency_Main_Raw Tableau" xfId="623"/>
    <cellStyle name="_Currency_Main_Raw Tableau 2" xfId="3010"/>
    <cellStyle name="_Currency_Main_Raw Tableau 3" xfId="1939"/>
    <cellStyle name="_Currency_Main_Raw Tableau_actuate" xfId="624"/>
    <cellStyle name="_Currency_Main_Raw Tableau_actuate 2" xfId="3011"/>
    <cellStyle name="_Currency_Main_Raw Tableau_actuate 3" xfId="1940"/>
    <cellStyle name="_Currency_Main_Raw Tableau_dv01" xfId="625"/>
    <cellStyle name="_Currency_Main_Raw Tableau_dv01 2" xfId="3012"/>
    <cellStyle name="_Currency_Main_Raw Tableau_dv01 3" xfId="1941"/>
    <cellStyle name="_Currency_Matching PV Cashflows" xfId="626"/>
    <cellStyle name="_Currency_Matching PV Cashflows 2" xfId="3013"/>
    <cellStyle name="_Currency_Matching PV Cashflows 3" xfId="1942"/>
    <cellStyle name="_Currency_Matching PV Cashflows_1" xfId="627"/>
    <cellStyle name="_Currency_Matching PV Cashflows_1 2" xfId="3014"/>
    <cellStyle name="_Currency_Matching PV Cashflows_1 3" xfId="1943"/>
    <cellStyle name="_Currency_Matching PV Cashflows_1_3" xfId="628"/>
    <cellStyle name="_Currency_Matching PV Cashflows_1_3 2" xfId="3015"/>
    <cellStyle name="_Currency_Matching PV Cashflows_1_3 3" xfId="1944"/>
    <cellStyle name="_Currency_Matching PV Cashflows_1_3_dv01" xfId="629"/>
    <cellStyle name="_Currency_Matching PV Cashflows_1_3_dv01 2" xfId="3016"/>
    <cellStyle name="_Currency_Matching PV Cashflows_1_3_dv01 3" xfId="1945"/>
    <cellStyle name="_Currency_Matching PV Cashflows_1_4" xfId="630"/>
    <cellStyle name="_Currency_Matching PV Cashflows_1_4 2" xfId="3017"/>
    <cellStyle name="_Currency_Matching PV Cashflows_1_4 3" xfId="1946"/>
    <cellStyle name="_Currency_Matching PV Cashflows_1_4_dv01" xfId="631"/>
    <cellStyle name="_Currency_Matching PV Cashflows_1_4_dv01 2" xfId="3018"/>
    <cellStyle name="_Currency_Matching PV Cashflows_1_4_dv01 3" xfId="1947"/>
    <cellStyle name="_Currency_Matching PV Cashflows_1_Anker 2008Q4 concept" xfId="632"/>
    <cellStyle name="_Currency_Matching PV Cashflows_1_Anker 2008Q4 concept 2" xfId="3019"/>
    <cellStyle name="_Currency_Matching PV Cashflows_1_Anker 2008Q4 concept 3" xfId="1948"/>
    <cellStyle name="_Currency_Matching PV Cashflows_1_fundrapport" xfId="633"/>
    <cellStyle name="_Currency_Matching PV Cashflows_1_fundrapport 2" xfId="3020"/>
    <cellStyle name="_Currency_Matching PV Cashflows_1_fundrapport 3" xfId="1949"/>
    <cellStyle name="_Currency_Matching PV Cashflows_1_inj&amp;withdr toelichting hard" xfId="634"/>
    <cellStyle name="_Currency_Matching PV Cashflows_1_inj&amp;withdr toelichting hard 2" xfId="3021"/>
    <cellStyle name="_Currency_Matching PV Cashflows_1_inj&amp;withdr toelichting hard 3" xfId="1950"/>
    <cellStyle name="_Currency_Matching PV Cashflows_1_inj&amp;withdr toelichting hard_dv01" xfId="635"/>
    <cellStyle name="_Currency_Matching PV Cashflows_1_inj&amp;withdr toelichting hard_dv01 2" xfId="3022"/>
    <cellStyle name="_Currency_Matching PV Cashflows_1_inj&amp;withdr toelichting hard_dv01 3" xfId="1951"/>
    <cellStyle name="_Currency_Matching PV Cashflows_actuate" xfId="636"/>
    <cellStyle name="_Currency_Matching PV Cashflows_actuate 2" xfId="3023"/>
    <cellStyle name="_Currency_Matching PV Cashflows_actuate 3" xfId="1952"/>
    <cellStyle name="_Currency_Matching PV Cashflows_CashFlows" xfId="637"/>
    <cellStyle name="_Currency_Matching PV Cashflows_CashFlows 2" xfId="3024"/>
    <cellStyle name="_Currency_Matching PV Cashflows_CashFlows 3" xfId="1953"/>
    <cellStyle name="_Currency_Matching PV Cashflows_CashFlows_3" xfId="638"/>
    <cellStyle name="_Currency_Matching PV Cashflows_CashFlows_3 2" xfId="3025"/>
    <cellStyle name="_Currency_Matching PV Cashflows_CashFlows_3 3" xfId="1954"/>
    <cellStyle name="_Currency_Matching PV Cashflows_CashFlows_3_dv01" xfId="639"/>
    <cellStyle name="_Currency_Matching PV Cashflows_CashFlows_3_dv01 2" xfId="3026"/>
    <cellStyle name="_Currency_Matching PV Cashflows_CashFlows_3_dv01 3" xfId="1955"/>
    <cellStyle name="_Currency_Matching PV Cashflows_CashFlows_4" xfId="640"/>
    <cellStyle name="_Currency_Matching PV Cashflows_CashFlows_4 2" xfId="3027"/>
    <cellStyle name="_Currency_Matching PV Cashflows_CashFlows_4 3" xfId="1956"/>
    <cellStyle name="_Currency_Matching PV Cashflows_CashFlows_4_dv01" xfId="641"/>
    <cellStyle name="_Currency_Matching PV Cashflows_CashFlows_4_dv01 2" xfId="3028"/>
    <cellStyle name="_Currency_Matching PV Cashflows_CashFlows_4_dv01 3" xfId="1957"/>
    <cellStyle name="_Currency_Matching PV Cashflows_CashFlows_Anker 2008Q4 concept" xfId="642"/>
    <cellStyle name="_Currency_Matching PV Cashflows_CashFlows_Anker 2008Q4 concept 2" xfId="3029"/>
    <cellStyle name="_Currency_Matching PV Cashflows_CashFlows_Anker 2008Q4 concept 3" xfId="1958"/>
    <cellStyle name="_Currency_Matching PV Cashflows_CashFlows_fundrapport" xfId="643"/>
    <cellStyle name="_Currency_Matching PV Cashflows_CashFlows_fundrapport 2" xfId="3030"/>
    <cellStyle name="_Currency_Matching PV Cashflows_CashFlows_fundrapport 3" xfId="1959"/>
    <cellStyle name="_Currency_Matching PV Cashflows_CashFlows_inj&amp;withdr toelichting hard" xfId="644"/>
    <cellStyle name="_Currency_Matching PV Cashflows_CashFlows_inj&amp;withdr toelichting hard 2" xfId="3031"/>
    <cellStyle name="_Currency_Matching PV Cashflows_CashFlows_inj&amp;withdr toelichting hard 3" xfId="1960"/>
    <cellStyle name="_Currency_Matching PV Cashflows_CashFlows_inj&amp;withdr toelichting hard_dv01" xfId="645"/>
    <cellStyle name="_Currency_Matching PV Cashflows_CashFlows_inj&amp;withdr toelichting hard_dv01 2" xfId="3032"/>
    <cellStyle name="_Currency_Matching PV Cashflows_CashFlows_inj&amp;withdr toelichting hard_dv01 3" xfId="1961"/>
    <cellStyle name="_Currency_Matching PV Cashflows_dv01" xfId="646"/>
    <cellStyle name="_Currency_Matching PV Cashflows_dv01 2" xfId="3033"/>
    <cellStyle name="_Currency_Matching PV Cashflows_dv01 3" xfId="1962"/>
    <cellStyle name="_Currency_Matching PV Cashflows_Gexa" xfId="647"/>
    <cellStyle name="_Currency_Matching PV Cashflows_Gexa 2" xfId="3034"/>
    <cellStyle name="_Currency_Matching PV Cashflows_Gexa 3" xfId="1963"/>
    <cellStyle name="_Currency_Matching PV Cashflows_Gexa_3" xfId="648"/>
    <cellStyle name="_Currency_Matching PV Cashflows_Gexa_3 2" xfId="3035"/>
    <cellStyle name="_Currency_Matching PV Cashflows_Gexa_3 3" xfId="1964"/>
    <cellStyle name="_Currency_Matching PV Cashflows_Gexa_3_dv01" xfId="649"/>
    <cellStyle name="_Currency_Matching PV Cashflows_Gexa_3_dv01 2" xfId="3036"/>
    <cellStyle name="_Currency_Matching PV Cashflows_Gexa_3_dv01 3" xfId="1965"/>
    <cellStyle name="_Currency_Matching PV Cashflows_Gexa_4" xfId="650"/>
    <cellStyle name="_Currency_Matching PV Cashflows_Gexa_4 2" xfId="3037"/>
    <cellStyle name="_Currency_Matching PV Cashflows_Gexa_4 3" xfId="1966"/>
    <cellStyle name="_Currency_Matching PV Cashflows_Gexa_4_dv01" xfId="651"/>
    <cellStyle name="_Currency_Matching PV Cashflows_Gexa_4_dv01 2" xfId="3038"/>
    <cellStyle name="_Currency_Matching PV Cashflows_Gexa_4_dv01 3" xfId="1967"/>
    <cellStyle name="_Currency_Matching PV Cashflows_Gexa_Anker 2008Q4 concept" xfId="652"/>
    <cellStyle name="_Currency_Matching PV Cashflows_Gexa_Anker 2008Q4 concept 2" xfId="3039"/>
    <cellStyle name="_Currency_Matching PV Cashflows_Gexa_Anker 2008Q4 concept 3" xfId="1968"/>
    <cellStyle name="_Currency_Matching PV Cashflows_Gexa_fundrapport" xfId="653"/>
    <cellStyle name="_Currency_Matching PV Cashflows_Gexa_fundrapport 2" xfId="3040"/>
    <cellStyle name="_Currency_Matching PV Cashflows_Gexa_fundrapport 3" xfId="1969"/>
    <cellStyle name="_Currency_Matching PV Cashflows_Gexa_inj&amp;withdr toelichting hard" xfId="654"/>
    <cellStyle name="_Currency_Matching PV Cashflows_Gexa_inj&amp;withdr toelichting hard 2" xfId="3041"/>
    <cellStyle name="_Currency_Matching PV Cashflows_Gexa_inj&amp;withdr toelichting hard 3" xfId="1970"/>
    <cellStyle name="_Currency_Matching PV Cashflows_Gexa_inj&amp;withdr toelichting hard_dv01" xfId="655"/>
    <cellStyle name="_Currency_Matching PV Cashflows_Gexa_inj&amp;withdr toelichting hard_dv01 2" xfId="3042"/>
    <cellStyle name="_Currency_Matching PV Cashflows_Gexa_inj&amp;withdr toelichting hard_dv01 3" xfId="1971"/>
    <cellStyle name="_Currency_Matching PV Cashflows_Matching PV Cashflows" xfId="656"/>
    <cellStyle name="_Currency_Matching PV Cashflows_Matching PV Cashflows 2" xfId="3043"/>
    <cellStyle name="_Currency_Matching PV Cashflows_Matching PV Cashflows 3" xfId="1972"/>
    <cellStyle name="_Currency_Matching PV Cashflows_Matching PV Cashflows_3" xfId="657"/>
    <cellStyle name="_Currency_Matching PV Cashflows_Matching PV Cashflows_3 2" xfId="3044"/>
    <cellStyle name="_Currency_Matching PV Cashflows_Matching PV Cashflows_3 3" xfId="1973"/>
    <cellStyle name="_Currency_Matching PV Cashflows_Matching PV Cashflows_3_dv01" xfId="658"/>
    <cellStyle name="_Currency_Matching PV Cashflows_Matching PV Cashflows_3_dv01 2" xfId="3045"/>
    <cellStyle name="_Currency_Matching PV Cashflows_Matching PV Cashflows_3_dv01 3" xfId="1974"/>
    <cellStyle name="_Currency_Matching PV Cashflows_Matching PV Cashflows_4" xfId="659"/>
    <cellStyle name="_Currency_Matching PV Cashflows_Matching PV Cashflows_4 2" xfId="3046"/>
    <cellStyle name="_Currency_Matching PV Cashflows_Matching PV Cashflows_4 3" xfId="1975"/>
    <cellStyle name="_Currency_Matching PV Cashflows_Matching PV Cashflows_4_dv01" xfId="660"/>
    <cellStyle name="_Currency_Matching PV Cashflows_Matching PV Cashflows_4_dv01 2" xfId="3047"/>
    <cellStyle name="_Currency_Matching PV Cashflows_Matching PV Cashflows_4_dv01 3" xfId="1976"/>
    <cellStyle name="_Currency_Matching PV Cashflows_Matching PV Cashflows_Anker 2008Q4 concept" xfId="661"/>
    <cellStyle name="_Currency_Matching PV Cashflows_Matching PV Cashflows_Anker 2008Q4 concept 2" xfId="3048"/>
    <cellStyle name="_Currency_Matching PV Cashflows_Matching PV Cashflows_Anker 2008Q4 concept 3" xfId="1977"/>
    <cellStyle name="_Currency_Matching PV Cashflows_Matching PV Cashflows_fundrapport" xfId="662"/>
    <cellStyle name="_Currency_Matching PV Cashflows_Matching PV Cashflows_fundrapport 2" xfId="3049"/>
    <cellStyle name="_Currency_Matching PV Cashflows_Matching PV Cashflows_fundrapport 3" xfId="1978"/>
    <cellStyle name="_Currency_Matching PV Cashflows_Matching PV Cashflows_inj&amp;withdr toelichting hard" xfId="663"/>
    <cellStyle name="_Currency_Matching PV Cashflows_Matching PV Cashflows_inj&amp;withdr toelichting hard 2" xfId="3050"/>
    <cellStyle name="_Currency_Matching PV Cashflows_Matching PV Cashflows_inj&amp;withdr toelichting hard 3" xfId="1979"/>
    <cellStyle name="_Currency_Matching PV Cashflows_Matching PV Cashflows_inj&amp;withdr toelichting hard_dv01" xfId="664"/>
    <cellStyle name="_Currency_Matching PV Cashflows_Matching PV Cashflows_inj&amp;withdr toelichting hard_dv01 2" xfId="3051"/>
    <cellStyle name="_Currency_Matching PV Cashflows_Matching PV Cashflows_inj&amp;withdr toelichting hard_dv01 3" xfId="1980"/>
    <cellStyle name="_Currency_MatchingPV" xfId="665"/>
    <cellStyle name="_Currency_MatchingPV 2" xfId="3052"/>
    <cellStyle name="_Currency_MatchingPV 3" xfId="1981"/>
    <cellStyle name="_Currency_MatchingPV_3" xfId="666"/>
    <cellStyle name="_Currency_MatchingPV_3 2" xfId="3053"/>
    <cellStyle name="_Currency_MatchingPV_3 3" xfId="1982"/>
    <cellStyle name="_Currency_MatchingPV_3_dv01" xfId="667"/>
    <cellStyle name="_Currency_MatchingPV_3_dv01 2" xfId="3054"/>
    <cellStyle name="_Currency_MatchingPV_3_dv01 3" xfId="1983"/>
    <cellStyle name="_Currency_MatchingPV_4" xfId="668"/>
    <cellStyle name="_Currency_MatchingPV_4 2" xfId="3055"/>
    <cellStyle name="_Currency_MatchingPV_4 3" xfId="1984"/>
    <cellStyle name="_Currency_MatchingPV_4_dv01" xfId="669"/>
    <cellStyle name="_Currency_MatchingPV_4_dv01 2" xfId="3056"/>
    <cellStyle name="_Currency_MatchingPV_4_dv01 3" xfId="1985"/>
    <cellStyle name="_Currency_MatchingPV_Anker 2008Q4 concept" xfId="670"/>
    <cellStyle name="_Currency_MatchingPV_Anker 2008Q4 concept 2" xfId="3057"/>
    <cellStyle name="_Currency_MatchingPV_Anker 2008Q4 concept 3" xfId="1986"/>
    <cellStyle name="_Currency_MatchingPV_fundrapport" xfId="671"/>
    <cellStyle name="_Currency_MatchingPV_fundrapport 2" xfId="3058"/>
    <cellStyle name="_Currency_MatchingPV_fundrapport 3" xfId="1987"/>
    <cellStyle name="_Currency_MatchingPV_inj&amp;withdr toelichting hard" xfId="672"/>
    <cellStyle name="_Currency_MatchingPV_inj&amp;withdr toelichting hard 2" xfId="3059"/>
    <cellStyle name="_Currency_MatchingPV_inj&amp;withdr toelichting hard 3" xfId="1988"/>
    <cellStyle name="_Currency_MatchingPV_inj&amp;withdr toelichting hard_dv01" xfId="673"/>
    <cellStyle name="_Currency_MatchingPV_inj&amp;withdr toelichting hard_dv01 2" xfId="3060"/>
    <cellStyle name="_Currency_MatchingPV_inj&amp;withdr toelichting hard_dv01 3" xfId="1989"/>
    <cellStyle name="_Currency_ModelSetup" xfId="674"/>
    <cellStyle name="_Currency_ModelSetup 2" xfId="3061"/>
    <cellStyle name="_Currency_ModelSetup 3" xfId="1990"/>
    <cellStyle name="_Currency_ModelSetup_1" xfId="675"/>
    <cellStyle name="_Currency_ModelSetup_1 2" xfId="3062"/>
    <cellStyle name="_Currency_ModelSetup_1 3" xfId="1991"/>
    <cellStyle name="_Currency_ModelSetup_1_3" xfId="676"/>
    <cellStyle name="_Currency_ModelSetup_1_3 2" xfId="3063"/>
    <cellStyle name="_Currency_ModelSetup_1_3 3" xfId="1992"/>
    <cellStyle name="_Currency_ModelSetup_1_3_dv01" xfId="677"/>
    <cellStyle name="_Currency_ModelSetup_1_3_dv01 2" xfId="3064"/>
    <cellStyle name="_Currency_ModelSetup_1_3_dv01 3" xfId="1993"/>
    <cellStyle name="_Currency_ModelSetup_1_4" xfId="678"/>
    <cellStyle name="_Currency_ModelSetup_1_4 2" xfId="3065"/>
    <cellStyle name="_Currency_ModelSetup_1_4 3" xfId="1994"/>
    <cellStyle name="_Currency_ModelSetup_1_4_dv01" xfId="679"/>
    <cellStyle name="_Currency_ModelSetup_1_4_dv01 2" xfId="3066"/>
    <cellStyle name="_Currency_ModelSetup_1_4_dv01 3" xfId="1995"/>
    <cellStyle name="_Currency_ModelSetup_1_Anker 2008Q4 concept" xfId="680"/>
    <cellStyle name="_Currency_ModelSetup_1_Anker 2008Q4 concept 2" xfId="3067"/>
    <cellStyle name="_Currency_ModelSetup_1_Anker 2008Q4 concept 3" xfId="1996"/>
    <cellStyle name="_Currency_ModelSetup_1_fundrapport" xfId="681"/>
    <cellStyle name="_Currency_ModelSetup_1_fundrapport 2" xfId="3068"/>
    <cellStyle name="_Currency_ModelSetup_1_fundrapport 3" xfId="1997"/>
    <cellStyle name="_Currency_ModelSetup_1_inj&amp;withdr toelichting hard" xfId="682"/>
    <cellStyle name="_Currency_ModelSetup_1_inj&amp;withdr toelichting hard 2" xfId="3069"/>
    <cellStyle name="_Currency_ModelSetup_1_inj&amp;withdr toelichting hard 3" xfId="1998"/>
    <cellStyle name="_Currency_ModelSetup_1_inj&amp;withdr toelichting hard_dv01" xfId="683"/>
    <cellStyle name="_Currency_ModelSetup_1_inj&amp;withdr toelichting hard_dv01 2" xfId="3070"/>
    <cellStyle name="_Currency_ModelSetup_1_inj&amp;withdr toelichting hard_dv01 3" xfId="1999"/>
    <cellStyle name="_Currency_ModelSetup_actuate" xfId="684"/>
    <cellStyle name="_Currency_ModelSetup_actuate 2" xfId="3071"/>
    <cellStyle name="_Currency_ModelSetup_actuate 3" xfId="2000"/>
    <cellStyle name="_Currency_ModelSetup_dv01" xfId="685"/>
    <cellStyle name="_Currency_ModelSetup_dv01 2" xfId="3072"/>
    <cellStyle name="_Currency_ModelSetup_dv01 3" xfId="2001"/>
    <cellStyle name="_Currency_Output" xfId="686"/>
    <cellStyle name="_Currency_Output 2" xfId="3073"/>
    <cellStyle name="_Currency_Output 3" xfId="2002"/>
    <cellStyle name="_Currency_Output_actuate" xfId="687"/>
    <cellStyle name="_Currency_Output_actuate 2" xfId="3074"/>
    <cellStyle name="_Currency_Output_actuate 3" xfId="2003"/>
    <cellStyle name="_Currency_Output_dv01" xfId="688"/>
    <cellStyle name="_Currency_Output_dv01 2" xfId="3075"/>
    <cellStyle name="_Currency_Output_dv01 3" xfId="2004"/>
    <cellStyle name="_Currency_PCA (2)" xfId="689"/>
    <cellStyle name="_Currency_PCA (2) 2" xfId="3076"/>
    <cellStyle name="_Currency_PCA (2) 3" xfId="2005"/>
    <cellStyle name="_Currency_PCA (2)_01 Sweden Gexa Model - Master Version" xfId="690"/>
    <cellStyle name="_Currency_PCA (2)_01 Sweden Gexa Model - Master Version 2" xfId="3077"/>
    <cellStyle name="_Currency_PCA (2)_01 Sweden Gexa Model - Master Version 3" xfId="2006"/>
    <cellStyle name="_Currency_PCA (2)_01 Sweden Gexa Model - Master Version_actuate" xfId="691"/>
    <cellStyle name="_Currency_PCA (2)_01 Sweden Gexa Model - Master Version_actuate 2" xfId="3078"/>
    <cellStyle name="_Currency_PCA (2)_01 Sweden Gexa Model - Master Version_actuate 3" xfId="2007"/>
    <cellStyle name="_Currency_PCA (2)_01 Sweden Gexa Model - Master Version_dv01" xfId="692"/>
    <cellStyle name="_Currency_PCA (2)_01 Sweden Gexa Model - Master Version_dv01 2" xfId="3079"/>
    <cellStyle name="_Currency_PCA (2)_01 Sweden Gexa Model - Master Version_dv01 3" xfId="2008"/>
    <cellStyle name="_Currency_PCA (2)_3" xfId="693"/>
    <cellStyle name="_Currency_PCA (2)_3 2" xfId="3080"/>
    <cellStyle name="_Currency_PCA (2)_3 3" xfId="2009"/>
    <cellStyle name="_Currency_PCA (2)_3_dv01" xfId="694"/>
    <cellStyle name="_Currency_PCA (2)_3_dv01 2" xfId="3081"/>
    <cellStyle name="_Currency_PCA (2)_3_dv01 3" xfId="2010"/>
    <cellStyle name="_Currency_PCA (2)_4" xfId="695"/>
    <cellStyle name="_Currency_PCA (2)_4 2" xfId="3082"/>
    <cellStyle name="_Currency_PCA (2)_4 3" xfId="2011"/>
    <cellStyle name="_Currency_PCA (2)_4_dv01" xfId="696"/>
    <cellStyle name="_Currency_PCA (2)_4_dv01 2" xfId="3083"/>
    <cellStyle name="_Currency_PCA (2)_4_dv01 3" xfId="2012"/>
    <cellStyle name="_Currency_PCA (2)_Anker 2008Q4 concept" xfId="697"/>
    <cellStyle name="_Currency_PCA (2)_Anker 2008Q4 concept 2" xfId="3084"/>
    <cellStyle name="_Currency_PCA (2)_Anker 2008Q4 concept 3" xfId="2013"/>
    <cellStyle name="_Currency_PCA (2)_fundrapport" xfId="698"/>
    <cellStyle name="_Currency_PCA (2)_fundrapport 2" xfId="3085"/>
    <cellStyle name="_Currency_PCA (2)_fundrapport 3" xfId="2014"/>
    <cellStyle name="_Currency_PCA (2)_inj&amp;withdr toelichting hard" xfId="699"/>
    <cellStyle name="_Currency_PCA (2)_inj&amp;withdr toelichting hard 2" xfId="3086"/>
    <cellStyle name="_Currency_PCA (2)_inj&amp;withdr toelichting hard 3" xfId="2015"/>
    <cellStyle name="_Currency_PCA (2)_inj&amp;withdr toelichting hard_dv01" xfId="700"/>
    <cellStyle name="_Currency_PCA (2)_inj&amp;withdr toelichting hard_dv01 2" xfId="3087"/>
    <cellStyle name="_Currency_PCA (2)_inj&amp;withdr toelichting hard_dv01 3" xfId="2016"/>
    <cellStyle name="_Currency_PCA (2)_Latest-Gexa Model" xfId="701"/>
    <cellStyle name="_Currency_PCA (2)_Latest-Gexa Model 2" xfId="3088"/>
    <cellStyle name="_Currency_PCA (2)_Latest-Gexa Model 3" xfId="2017"/>
    <cellStyle name="_Currency_PCA (2)_Latest-Gexa Model_3" xfId="702"/>
    <cellStyle name="_Currency_PCA (2)_Latest-Gexa Model_3 2" xfId="3089"/>
    <cellStyle name="_Currency_PCA (2)_Latest-Gexa Model_3 3" xfId="2018"/>
    <cellStyle name="_Currency_PCA (2)_Latest-Gexa Model_3_dv01" xfId="703"/>
    <cellStyle name="_Currency_PCA (2)_Latest-Gexa Model_3_dv01 2" xfId="3090"/>
    <cellStyle name="_Currency_PCA (2)_Latest-Gexa Model_3_dv01 3" xfId="2019"/>
    <cellStyle name="_Currency_PCA (2)_Latest-Gexa Model_4" xfId="704"/>
    <cellStyle name="_Currency_PCA (2)_Latest-Gexa Model_4 2" xfId="3091"/>
    <cellStyle name="_Currency_PCA (2)_Latest-Gexa Model_4 3" xfId="2020"/>
    <cellStyle name="_Currency_PCA (2)_Latest-Gexa Model_4_dv01" xfId="705"/>
    <cellStyle name="_Currency_PCA (2)_Latest-Gexa Model_4_dv01 2" xfId="3092"/>
    <cellStyle name="_Currency_PCA (2)_Latest-Gexa Model_4_dv01 3" xfId="2021"/>
    <cellStyle name="_Currency_PCA (2)_Latest-Gexa Model_Anker 2008Q4 concept" xfId="706"/>
    <cellStyle name="_Currency_PCA (2)_Latest-Gexa Model_Anker 2008Q4 concept 2" xfId="3093"/>
    <cellStyle name="_Currency_PCA (2)_Latest-Gexa Model_Anker 2008Q4 concept 3" xfId="2022"/>
    <cellStyle name="_Currency_PCA (2)_Latest-Gexa Model_fundrapport" xfId="707"/>
    <cellStyle name="_Currency_PCA (2)_Latest-Gexa Model_fundrapport 2" xfId="3094"/>
    <cellStyle name="_Currency_PCA (2)_Latest-Gexa Model_fundrapport 3" xfId="2023"/>
    <cellStyle name="_Currency_PCA (2)_Latest-Gexa Model_inj&amp;withdr toelichting hard" xfId="708"/>
    <cellStyle name="_Currency_PCA (2)_Latest-Gexa Model_inj&amp;withdr toelichting hard 2" xfId="3095"/>
    <cellStyle name="_Currency_PCA (2)_Latest-Gexa Model_inj&amp;withdr toelichting hard 3" xfId="2024"/>
    <cellStyle name="_Currency_PCA (2)_Latest-Gexa Model_inj&amp;withdr toelichting hard_dv01" xfId="709"/>
    <cellStyle name="_Currency_PCA (2)_Latest-Gexa Model_inj&amp;withdr toelichting hard_dv01 2" xfId="3096"/>
    <cellStyle name="_Currency_PCA (2)_Latest-Gexa Model_inj&amp;withdr toelichting hard_dv01 3" xfId="2025"/>
    <cellStyle name="_Currency_PCA (2)_Structure Collection" xfId="710"/>
    <cellStyle name="_Currency_PCA (2)_Structure Collection 2" xfId="3097"/>
    <cellStyle name="_Currency_PCA (2)_Structure Collection 3" xfId="2026"/>
    <cellStyle name="_Currency_PCA (2)_Structure Collection_3" xfId="711"/>
    <cellStyle name="_Currency_PCA (2)_Structure Collection_3 2" xfId="3098"/>
    <cellStyle name="_Currency_PCA (2)_Structure Collection_3 3" xfId="2027"/>
    <cellStyle name="_Currency_PCA (2)_Structure Collection_3_dv01" xfId="712"/>
    <cellStyle name="_Currency_PCA (2)_Structure Collection_3_dv01 2" xfId="3099"/>
    <cellStyle name="_Currency_PCA (2)_Structure Collection_3_dv01 3" xfId="2028"/>
    <cellStyle name="_Currency_PCA (2)_Structure Collection_4" xfId="713"/>
    <cellStyle name="_Currency_PCA (2)_Structure Collection_4 2" xfId="3100"/>
    <cellStyle name="_Currency_PCA (2)_Structure Collection_4 3" xfId="2029"/>
    <cellStyle name="_Currency_PCA (2)_Structure Collection_4_dv01" xfId="714"/>
    <cellStyle name="_Currency_PCA (2)_Structure Collection_4_dv01 2" xfId="3101"/>
    <cellStyle name="_Currency_PCA (2)_Structure Collection_4_dv01 3" xfId="2030"/>
    <cellStyle name="_Currency_PCA (2)_Structure Collection_Anker 2008Q4 concept" xfId="715"/>
    <cellStyle name="_Currency_PCA (2)_Structure Collection_Anker 2008Q4 concept 2" xfId="3102"/>
    <cellStyle name="_Currency_PCA (2)_Structure Collection_Anker 2008Q4 concept 3" xfId="2031"/>
    <cellStyle name="_Currency_PCA (2)_Structure Collection_fundrapport" xfId="716"/>
    <cellStyle name="_Currency_PCA (2)_Structure Collection_fundrapport 2" xfId="3103"/>
    <cellStyle name="_Currency_PCA (2)_Structure Collection_fundrapport 3" xfId="2032"/>
    <cellStyle name="_Currency_PCA (2)_Structure Collection_inj&amp;withdr toelichting hard" xfId="717"/>
    <cellStyle name="_Currency_PCA (2)_Structure Collection_inj&amp;withdr toelichting hard 2" xfId="3104"/>
    <cellStyle name="_Currency_PCA (2)_Structure Collection_inj&amp;withdr toelichting hard 3" xfId="2033"/>
    <cellStyle name="_Currency_PCA (2)_Structure Collection_inj&amp;withdr toelichting hard_dv01" xfId="718"/>
    <cellStyle name="_Currency_PCA (2)_Structure Collection_inj&amp;withdr toelichting hard_dv01 2" xfId="3105"/>
    <cellStyle name="_Currency_PCA (2)_Structure Collection_inj&amp;withdr toelichting hard_dv01 3" xfId="2034"/>
    <cellStyle name="_Currency_PME Swaps" xfId="719"/>
    <cellStyle name="_Currency_PME Swaps 2" xfId="3106"/>
    <cellStyle name="_Currency_PME Swaps 3" xfId="2035"/>
    <cellStyle name="_Currency_PME Swaps_3" xfId="720"/>
    <cellStyle name="_Currency_PME Swaps_3 2" xfId="3107"/>
    <cellStyle name="_Currency_PME Swaps_3 3" xfId="2036"/>
    <cellStyle name="_Currency_PME Swaps_3_dv01" xfId="721"/>
    <cellStyle name="_Currency_PME Swaps_3_dv01 2" xfId="3108"/>
    <cellStyle name="_Currency_PME Swaps_3_dv01 3" xfId="2037"/>
    <cellStyle name="_Currency_PME Swaps_4" xfId="722"/>
    <cellStyle name="_Currency_PME Swaps_4 2" xfId="3109"/>
    <cellStyle name="_Currency_PME Swaps_4 3" xfId="2038"/>
    <cellStyle name="_Currency_PME Swaps_4_dv01" xfId="723"/>
    <cellStyle name="_Currency_PME Swaps_4_dv01 2" xfId="3110"/>
    <cellStyle name="_Currency_PME Swaps_4_dv01 3" xfId="2039"/>
    <cellStyle name="_Currency_PME Swaps_Anker 2008Q4 concept" xfId="724"/>
    <cellStyle name="_Currency_PME Swaps_Anker 2008Q4 concept 2" xfId="3111"/>
    <cellStyle name="_Currency_PME Swaps_Anker 2008Q4 concept 3" xfId="2040"/>
    <cellStyle name="_Currency_PME Swaps_fundrapport" xfId="725"/>
    <cellStyle name="_Currency_PME Swaps_fundrapport 2" xfId="3112"/>
    <cellStyle name="_Currency_PME Swaps_fundrapport 3" xfId="2041"/>
    <cellStyle name="_Currency_PME Swaps_inj&amp;withdr toelichting hard" xfId="726"/>
    <cellStyle name="_Currency_PME Swaps_inj&amp;withdr toelichting hard 2" xfId="3113"/>
    <cellStyle name="_Currency_PME Swaps_inj&amp;withdr toelichting hard 3" xfId="2042"/>
    <cellStyle name="_Currency_PME Swaps_inj&amp;withdr toelichting hard_dv01" xfId="727"/>
    <cellStyle name="_Currency_PME Swaps_inj&amp;withdr toelichting hard_dv01 2" xfId="3114"/>
    <cellStyle name="_Currency_PME Swaps_inj&amp;withdr toelichting hard_dv01 3" xfId="2043"/>
    <cellStyle name="_Currency_Pricer" xfId="728"/>
    <cellStyle name="_Currency_Pricer 2" xfId="3115"/>
    <cellStyle name="_Currency_Pricer 3" xfId="2044"/>
    <cellStyle name="_Currency_Pricer_3" xfId="729"/>
    <cellStyle name="_Currency_Pricer_3 2" xfId="3116"/>
    <cellStyle name="_Currency_Pricer_3 3" xfId="2045"/>
    <cellStyle name="_Currency_Pricer_3_dv01" xfId="730"/>
    <cellStyle name="_Currency_Pricer_3_dv01 2" xfId="3117"/>
    <cellStyle name="_Currency_Pricer_3_dv01 3" xfId="2046"/>
    <cellStyle name="_Currency_Pricer_4" xfId="731"/>
    <cellStyle name="_Currency_Pricer_4 2" xfId="3118"/>
    <cellStyle name="_Currency_Pricer_4 3" xfId="2047"/>
    <cellStyle name="_Currency_Pricer_4_dv01" xfId="732"/>
    <cellStyle name="_Currency_Pricer_4_dv01 2" xfId="3119"/>
    <cellStyle name="_Currency_Pricer_4_dv01 3" xfId="2048"/>
    <cellStyle name="_Currency_Pricer_Anker 2008Q4 concept" xfId="733"/>
    <cellStyle name="_Currency_Pricer_Anker 2008Q4 concept 2" xfId="3120"/>
    <cellStyle name="_Currency_Pricer_Anker 2008Q4 concept 3" xfId="2049"/>
    <cellStyle name="_Currency_Pricer_fundrapport" xfId="734"/>
    <cellStyle name="_Currency_Pricer_fundrapport 2" xfId="3121"/>
    <cellStyle name="_Currency_Pricer_fundrapport 3" xfId="2050"/>
    <cellStyle name="_Currency_Pricer_inj&amp;withdr toelichting hard" xfId="735"/>
    <cellStyle name="_Currency_Pricer_inj&amp;withdr toelichting hard 2" xfId="3122"/>
    <cellStyle name="_Currency_Pricer_inj&amp;withdr toelichting hard 3" xfId="2051"/>
    <cellStyle name="_Currency_Pricer_inj&amp;withdr toelichting hard_dv01" xfId="736"/>
    <cellStyle name="_Currency_Pricer_inj&amp;withdr toelichting hard_dv01 2" xfId="3123"/>
    <cellStyle name="_Currency_Pricer_inj&amp;withdr toelichting hard_dv01 3" xfId="2052"/>
    <cellStyle name="_Currency_Raw Tableau" xfId="737"/>
    <cellStyle name="_Currency_Raw Tableau 2" xfId="3124"/>
    <cellStyle name="_Currency_Raw Tableau 3" xfId="2053"/>
    <cellStyle name="_Currency_Raw Tableau_actuate" xfId="738"/>
    <cellStyle name="_Currency_Raw Tableau_actuate 2" xfId="3125"/>
    <cellStyle name="_Currency_Raw Tableau_actuate 3" xfId="2054"/>
    <cellStyle name="_Currency_Raw Tableau_dv01" xfId="739"/>
    <cellStyle name="_Currency_Raw Tableau_dv01 2" xfId="3126"/>
    <cellStyle name="_Currency_Raw Tableau_dv01 3" xfId="2055"/>
    <cellStyle name="_Currency_Real Yield Option" xfId="740"/>
    <cellStyle name="_Currency_Real Yield Option 2" xfId="3127"/>
    <cellStyle name="_Currency_Real Yield Option 3" xfId="2056"/>
    <cellStyle name="_Currency_Real Yield Option_01 Sweden Gexa Model - Master Version" xfId="741"/>
    <cellStyle name="_Currency_Real Yield Option_01 Sweden Gexa Model - Master Version 2" xfId="3128"/>
    <cellStyle name="_Currency_Real Yield Option_01 Sweden Gexa Model - Master Version 3" xfId="2057"/>
    <cellStyle name="_Currency_Real Yield Option_01 Sweden Gexa Model - Master Version_actuate" xfId="742"/>
    <cellStyle name="_Currency_Real Yield Option_01 Sweden Gexa Model - Master Version_actuate 2" xfId="3129"/>
    <cellStyle name="_Currency_Real Yield Option_01 Sweden Gexa Model - Master Version_actuate 3" xfId="2058"/>
    <cellStyle name="_Currency_Real Yield Option_01 Sweden Gexa Model - Master Version_dv01" xfId="743"/>
    <cellStyle name="_Currency_Real Yield Option_01 Sweden Gexa Model - Master Version_dv01 2" xfId="3130"/>
    <cellStyle name="_Currency_Real Yield Option_01 Sweden Gexa Model - Master Version_dv01 3" xfId="2059"/>
    <cellStyle name="_Currency_Real Yield Option_3" xfId="744"/>
    <cellStyle name="_Currency_Real Yield Option_3 2" xfId="3131"/>
    <cellStyle name="_Currency_Real Yield Option_3 3" xfId="2060"/>
    <cellStyle name="_Currency_Real Yield Option_3_dv01" xfId="745"/>
    <cellStyle name="_Currency_Real Yield Option_3_dv01 2" xfId="3132"/>
    <cellStyle name="_Currency_Real Yield Option_3_dv01 3" xfId="2061"/>
    <cellStyle name="_Currency_Real Yield Option_4" xfId="746"/>
    <cellStyle name="_Currency_Real Yield Option_4 2" xfId="3133"/>
    <cellStyle name="_Currency_Real Yield Option_4 3" xfId="2062"/>
    <cellStyle name="_Currency_Real Yield Option_4_dv01" xfId="747"/>
    <cellStyle name="_Currency_Real Yield Option_4_dv01 2" xfId="3134"/>
    <cellStyle name="_Currency_Real Yield Option_4_dv01 3" xfId="2063"/>
    <cellStyle name="_Currency_Real Yield Option_Anker 2008Q4 concept" xfId="748"/>
    <cellStyle name="_Currency_Real Yield Option_Anker 2008Q4 concept 2" xfId="3135"/>
    <cellStyle name="_Currency_Real Yield Option_Anker 2008Q4 concept 3" xfId="2064"/>
    <cellStyle name="_Currency_Real Yield Option_fundrapport" xfId="749"/>
    <cellStyle name="_Currency_Real Yield Option_fundrapport 2" xfId="3136"/>
    <cellStyle name="_Currency_Real Yield Option_fundrapport 3" xfId="2065"/>
    <cellStyle name="_Currency_Real Yield Option_inj&amp;withdr toelichting hard" xfId="750"/>
    <cellStyle name="_Currency_Real Yield Option_inj&amp;withdr toelichting hard 2" xfId="3137"/>
    <cellStyle name="_Currency_Real Yield Option_inj&amp;withdr toelichting hard 3" xfId="2066"/>
    <cellStyle name="_Currency_Real Yield Option_inj&amp;withdr toelichting hard_dv01" xfId="751"/>
    <cellStyle name="_Currency_Real Yield Option_inj&amp;withdr toelichting hard_dv01 2" xfId="3138"/>
    <cellStyle name="_Currency_Real Yield Option_inj&amp;withdr toelichting hard_dv01 3" xfId="2067"/>
    <cellStyle name="_Currency_Real Yield Option_Latest-Gexa Model" xfId="752"/>
    <cellStyle name="_Currency_Real Yield Option_Latest-Gexa Model 2" xfId="3139"/>
    <cellStyle name="_Currency_Real Yield Option_Latest-Gexa Model 3" xfId="2068"/>
    <cellStyle name="_Currency_Real Yield Option_Latest-Gexa Model_3" xfId="753"/>
    <cellStyle name="_Currency_Real Yield Option_Latest-Gexa Model_3 2" xfId="3140"/>
    <cellStyle name="_Currency_Real Yield Option_Latest-Gexa Model_3 3" xfId="2069"/>
    <cellStyle name="_Currency_Real Yield Option_Latest-Gexa Model_3_dv01" xfId="754"/>
    <cellStyle name="_Currency_Real Yield Option_Latest-Gexa Model_3_dv01 2" xfId="3141"/>
    <cellStyle name="_Currency_Real Yield Option_Latest-Gexa Model_3_dv01 3" xfId="2070"/>
    <cellStyle name="_Currency_Real Yield Option_Latest-Gexa Model_4" xfId="755"/>
    <cellStyle name="_Currency_Real Yield Option_Latest-Gexa Model_4 2" xfId="3142"/>
    <cellStyle name="_Currency_Real Yield Option_Latest-Gexa Model_4 3" xfId="2071"/>
    <cellStyle name="_Currency_Real Yield Option_Latest-Gexa Model_4_dv01" xfId="756"/>
    <cellStyle name="_Currency_Real Yield Option_Latest-Gexa Model_4_dv01 2" xfId="3143"/>
    <cellStyle name="_Currency_Real Yield Option_Latest-Gexa Model_4_dv01 3" xfId="2072"/>
    <cellStyle name="_Currency_Real Yield Option_Latest-Gexa Model_Anker 2008Q4 concept" xfId="757"/>
    <cellStyle name="_Currency_Real Yield Option_Latest-Gexa Model_Anker 2008Q4 concept 2" xfId="3144"/>
    <cellStyle name="_Currency_Real Yield Option_Latest-Gexa Model_Anker 2008Q4 concept 3" xfId="2073"/>
    <cellStyle name="_Currency_Real Yield Option_Latest-Gexa Model_fundrapport" xfId="758"/>
    <cellStyle name="_Currency_Real Yield Option_Latest-Gexa Model_fundrapport 2" xfId="3145"/>
    <cellStyle name="_Currency_Real Yield Option_Latest-Gexa Model_fundrapport 3" xfId="2074"/>
    <cellStyle name="_Currency_Real Yield Option_Latest-Gexa Model_inj&amp;withdr toelichting hard" xfId="759"/>
    <cellStyle name="_Currency_Real Yield Option_Latest-Gexa Model_inj&amp;withdr toelichting hard 2" xfId="3146"/>
    <cellStyle name="_Currency_Real Yield Option_Latest-Gexa Model_inj&amp;withdr toelichting hard 3" xfId="2075"/>
    <cellStyle name="_Currency_Real Yield Option_Latest-Gexa Model_inj&amp;withdr toelichting hard_dv01" xfId="760"/>
    <cellStyle name="_Currency_Real Yield Option_Latest-Gexa Model_inj&amp;withdr toelichting hard_dv01 2" xfId="3147"/>
    <cellStyle name="_Currency_Real Yield Option_Latest-Gexa Model_inj&amp;withdr toelichting hard_dv01 3" xfId="2076"/>
    <cellStyle name="_Currency_Real Yield Option_Structure Collection" xfId="761"/>
    <cellStyle name="_Currency_Real Yield Option_Structure Collection 2" xfId="3148"/>
    <cellStyle name="_Currency_Real Yield Option_Structure Collection 3" xfId="2077"/>
    <cellStyle name="_Currency_Real Yield Option_Structure Collection_3" xfId="762"/>
    <cellStyle name="_Currency_Real Yield Option_Structure Collection_3 2" xfId="3149"/>
    <cellStyle name="_Currency_Real Yield Option_Structure Collection_3 3" xfId="2078"/>
    <cellStyle name="_Currency_Real Yield Option_Structure Collection_3_dv01" xfId="763"/>
    <cellStyle name="_Currency_Real Yield Option_Structure Collection_3_dv01 2" xfId="3150"/>
    <cellStyle name="_Currency_Real Yield Option_Structure Collection_3_dv01 3" xfId="2079"/>
    <cellStyle name="_Currency_Real Yield Option_Structure Collection_4" xfId="764"/>
    <cellStyle name="_Currency_Real Yield Option_Structure Collection_4 2" xfId="3151"/>
    <cellStyle name="_Currency_Real Yield Option_Structure Collection_4 3" xfId="2080"/>
    <cellStyle name="_Currency_Real Yield Option_Structure Collection_4_dv01" xfId="765"/>
    <cellStyle name="_Currency_Real Yield Option_Structure Collection_4_dv01 2" xfId="3152"/>
    <cellStyle name="_Currency_Real Yield Option_Structure Collection_4_dv01 3" xfId="2081"/>
    <cellStyle name="_Currency_Real Yield Option_Structure Collection_Anker 2008Q4 concept" xfId="766"/>
    <cellStyle name="_Currency_Real Yield Option_Structure Collection_Anker 2008Q4 concept 2" xfId="3153"/>
    <cellStyle name="_Currency_Real Yield Option_Structure Collection_Anker 2008Q4 concept 3" xfId="2082"/>
    <cellStyle name="_Currency_Real Yield Option_Structure Collection_fundrapport" xfId="767"/>
    <cellStyle name="_Currency_Real Yield Option_Structure Collection_fundrapport 2" xfId="3154"/>
    <cellStyle name="_Currency_Real Yield Option_Structure Collection_fundrapport 3" xfId="2083"/>
    <cellStyle name="_Currency_Real Yield Option_Structure Collection_inj&amp;withdr toelichting hard" xfId="768"/>
    <cellStyle name="_Currency_Real Yield Option_Structure Collection_inj&amp;withdr toelichting hard 2" xfId="3155"/>
    <cellStyle name="_Currency_Real Yield Option_Structure Collection_inj&amp;withdr toelichting hard 3" xfId="2084"/>
    <cellStyle name="_Currency_Real Yield Option_Structure Collection_inj&amp;withdr toelichting hard_dv01" xfId="769"/>
    <cellStyle name="_Currency_Real Yield Option_Structure Collection_inj&amp;withdr toelichting hard_dv01 2" xfId="3156"/>
    <cellStyle name="_Currency_Real Yield Option_Structure Collection_inj&amp;withdr toelichting hard_dv01 3" xfId="2085"/>
    <cellStyle name="_Currency_Sheet1" xfId="770"/>
    <cellStyle name="_Currency_Sheet1 2" xfId="3157"/>
    <cellStyle name="_Currency_Sheet1 3" xfId="2086"/>
    <cellStyle name="_Currency_Sheet1_01 Sweden Gexa Model - Master Version" xfId="771"/>
    <cellStyle name="_Currency_Sheet1_01 Sweden Gexa Model - Master Version 2" xfId="3158"/>
    <cellStyle name="_Currency_Sheet1_01 Sweden Gexa Model - Master Version 3" xfId="2087"/>
    <cellStyle name="_Currency_Sheet1_01 Sweden Gexa Model - Master Version_3" xfId="772"/>
    <cellStyle name="_Currency_Sheet1_01 Sweden Gexa Model - Master Version_3 2" xfId="3159"/>
    <cellStyle name="_Currency_Sheet1_01 Sweden Gexa Model - Master Version_3 3" xfId="2088"/>
    <cellStyle name="_Currency_Sheet1_01 Sweden Gexa Model - Master Version_3_dv01" xfId="773"/>
    <cellStyle name="_Currency_Sheet1_01 Sweden Gexa Model - Master Version_3_dv01 2" xfId="3160"/>
    <cellStyle name="_Currency_Sheet1_01 Sweden Gexa Model - Master Version_3_dv01 3" xfId="2089"/>
    <cellStyle name="_Currency_Sheet1_01 Sweden Gexa Model - Master Version_4" xfId="774"/>
    <cellStyle name="_Currency_Sheet1_01 Sweden Gexa Model - Master Version_4 2" xfId="3161"/>
    <cellStyle name="_Currency_Sheet1_01 Sweden Gexa Model - Master Version_4 3" xfId="2090"/>
    <cellStyle name="_Currency_Sheet1_01 Sweden Gexa Model - Master Version_4_dv01" xfId="775"/>
    <cellStyle name="_Currency_Sheet1_01 Sweden Gexa Model - Master Version_4_dv01 2" xfId="3162"/>
    <cellStyle name="_Currency_Sheet1_01 Sweden Gexa Model - Master Version_4_dv01 3" xfId="2091"/>
    <cellStyle name="_Currency_Sheet1_01 Sweden Gexa Model - Master Version_Anker 2008Q4 concept" xfId="776"/>
    <cellStyle name="_Currency_Sheet1_01 Sweden Gexa Model - Master Version_Anker 2008Q4 concept 2" xfId="3163"/>
    <cellStyle name="_Currency_Sheet1_01 Sweden Gexa Model - Master Version_Anker 2008Q4 concept 3" xfId="2092"/>
    <cellStyle name="_Currency_Sheet1_01 Sweden Gexa Model - Master Version_fundrapport" xfId="777"/>
    <cellStyle name="_Currency_Sheet1_01 Sweden Gexa Model - Master Version_fundrapport 2" xfId="3164"/>
    <cellStyle name="_Currency_Sheet1_01 Sweden Gexa Model - Master Version_fundrapport 3" xfId="2093"/>
    <cellStyle name="_Currency_Sheet1_01 Sweden Gexa Model - Master Version_inj&amp;withdr toelichting hard" xfId="778"/>
    <cellStyle name="_Currency_Sheet1_01 Sweden Gexa Model - Master Version_inj&amp;withdr toelichting hard 2" xfId="3165"/>
    <cellStyle name="_Currency_Sheet1_01 Sweden Gexa Model - Master Version_inj&amp;withdr toelichting hard 3" xfId="2094"/>
    <cellStyle name="_Currency_Sheet1_01 Sweden Gexa Model - Master Version_inj&amp;withdr toelichting hard_dv01" xfId="779"/>
    <cellStyle name="_Currency_Sheet1_01 Sweden Gexa Model - Master Version_inj&amp;withdr toelichting hard_dv01 2" xfId="3166"/>
    <cellStyle name="_Currency_Sheet1_01 Sweden Gexa Model - Master Version_inj&amp;withdr toelichting hard_dv01 3" xfId="2095"/>
    <cellStyle name="_Currency_Sheet1_1" xfId="780"/>
    <cellStyle name="_Currency_Sheet1_1 2" xfId="3167"/>
    <cellStyle name="_Currency_Sheet1_1 3" xfId="2096"/>
    <cellStyle name="_Currency_Sheet1_1_actuate" xfId="781"/>
    <cellStyle name="_Currency_Sheet1_1_actuate 2" xfId="3168"/>
    <cellStyle name="_Currency_Sheet1_1_actuate 3" xfId="2097"/>
    <cellStyle name="_Currency_Sheet1_1_dv01" xfId="782"/>
    <cellStyle name="_Currency_Sheet1_1_dv01 2" xfId="3169"/>
    <cellStyle name="_Currency_Sheet1_1_dv01 3" xfId="2098"/>
    <cellStyle name="_Currency_Sheet1_actuate" xfId="783"/>
    <cellStyle name="_Currency_Sheet1_actuate 2" xfId="3170"/>
    <cellStyle name="_Currency_Sheet1_actuate 3" xfId="2099"/>
    <cellStyle name="_Currency_Sheet1_Asset Path Generator - Credit v2" xfId="784"/>
    <cellStyle name="_Currency_Sheet1_Asset Path Generator - Credit v2 2" xfId="3171"/>
    <cellStyle name="_Currency_Sheet1_Asset Path Generator - Credit v2 3" xfId="2100"/>
    <cellStyle name="_Currency_Sheet1_Asset Path Generator - Credit v2_3" xfId="785"/>
    <cellStyle name="_Currency_Sheet1_Asset Path Generator - Credit v2_3 2" xfId="3172"/>
    <cellStyle name="_Currency_Sheet1_Asset Path Generator - Credit v2_3 3" xfId="2101"/>
    <cellStyle name="_Currency_Sheet1_Asset Path Generator - Credit v2_3_dv01" xfId="786"/>
    <cellStyle name="_Currency_Sheet1_Asset Path Generator - Credit v2_3_dv01 2" xfId="3173"/>
    <cellStyle name="_Currency_Sheet1_Asset Path Generator - Credit v2_3_dv01 3" xfId="2102"/>
    <cellStyle name="_Currency_Sheet1_Asset Path Generator - Credit v2_4" xfId="787"/>
    <cellStyle name="_Currency_Sheet1_Asset Path Generator - Credit v2_4 2" xfId="3174"/>
    <cellStyle name="_Currency_Sheet1_Asset Path Generator - Credit v2_4 3" xfId="2103"/>
    <cellStyle name="_Currency_Sheet1_Asset Path Generator - Credit v2_4_dv01" xfId="788"/>
    <cellStyle name="_Currency_Sheet1_Asset Path Generator - Credit v2_4_dv01 2" xfId="3175"/>
    <cellStyle name="_Currency_Sheet1_Asset Path Generator - Credit v2_4_dv01 3" xfId="2104"/>
    <cellStyle name="_Currency_Sheet1_Asset Path Generator - Credit v2_Anker 2008Q4 concept" xfId="789"/>
    <cellStyle name="_Currency_Sheet1_Asset Path Generator - Credit v2_Anker 2008Q4 concept 2" xfId="3176"/>
    <cellStyle name="_Currency_Sheet1_Asset Path Generator - Credit v2_Anker 2008Q4 concept 3" xfId="2105"/>
    <cellStyle name="_Currency_Sheet1_Asset Path Generator - Credit v2_fundrapport" xfId="790"/>
    <cellStyle name="_Currency_Sheet1_Asset Path Generator - Credit v2_fundrapport 2" xfId="3177"/>
    <cellStyle name="_Currency_Sheet1_Asset Path Generator - Credit v2_fundrapport 3" xfId="2106"/>
    <cellStyle name="_Currency_Sheet1_Asset Path Generator - Credit v2_inj&amp;withdr toelichting hard" xfId="791"/>
    <cellStyle name="_Currency_Sheet1_Asset Path Generator - Credit v2_inj&amp;withdr toelichting hard 2" xfId="3178"/>
    <cellStyle name="_Currency_Sheet1_Asset Path Generator - Credit v2_inj&amp;withdr toelichting hard 3" xfId="2107"/>
    <cellStyle name="_Currency_Sheet1_Asset Path Generator - Credit v2_inj&amp;withdr toelichting hard_dv01" xfId="792"/>
    <cellStyle name="_Currency_Sheet1_Asset Path Generator - Credit v2_inj&amp;withdr toelichting hard_dv01 2" xfId="3179"/>
    <cellStyle name="_Currency_Sheet1_Asset Path Generator - Credit v2_inj&amp;withdr toelichting hard_dv01 3" xfId="2108"/>
    <cellStyle name="_Currency_Sheet1_dv01" xfId="793"/>
    <cellStyle name="_Currency_Sheet1_dv01 2" xfId="3180"/>
    <cellStyle name="_Currency_Sheet1_dv01 3" xfId="2109"/>
    <cellStyle name="_Currency_Sheet1_Latest-Gexa Model" xfId="794"/>
    <cellStyle name="_Currency_Sheet1_Latest-Gexa Model 2" xfId="3181"/>
    <cellStyle name="_Currency_Sheet1_Latest-Gexa Model 3" xfId="2110"/>
    <cellStyle name="_Currency_Sheet1_Latest-Gexa Model_actuate" xfId="795"/>
    <cellStyle name="_Currency_Sheet1_Latest-Gexa Model_actuate 2" xfId="3182"/>
    <cellStyle name="_Currency_Sheet1_Latest-Gexa Model_actuate 3" xfId="2111"/>
    <cellStyle name="_Currency_Sheet1_Latest-Gexa Model_dv01" xfId="796"/>
    <cellStyle name="_Currency_Sheet1_Latest-Gexa Model_dv01 2" xfId="3183"/>
    <cellStyle name="_Currency_Sheet1_Latest-Gexa Model_dv01 3" xfId="2112"/>
    <cellStyle name="_Currency_Sheet1_Latest-Liberty Based-DHW" xfId="797"/>
    <cellStyle name="_Currency_Sheet1_Latest-Liberty Based-DHW 2" xfId="3184"/>
    <cellStyle name="_Currency_Sheet1_Latest-Liberty Based-DHW 3" xfId="2113"/>
    <cellStyle name="_Currency_Sheet1_Latest-Liberty Based-DHW_3" xfId="798"/>
    <cellStyle name="_Currency_Sheet1_Latest-Liberty Based-DHW_3 2" xfId="3185"/>
    <cellStyle name="_Currency_Sheet1_Latest-Liberty Based-DHW_3 3" xfId="2114"/>
    <cellStyle name="_Currency_Sheet1_Latest-Liberty Based-DHW_3_dv01" xfId="799"/>
    <cellStyle name="_Currency_Sheet1_Latest-Liberty Based-DHW_3_dv01 2" xfId="3186"/>
    <cellStyle name="_Currency_Sheet1_Latest-Liberty Based-DHW_3_dv01 3" xfId="2115"/>
    <cellStyle name="_Currency_Sheet1_Latest-Liberty Based-DHW_4" xfId="800"/>
    <cellStyle name="_Currency_Sheet1_Latest-Liberty Based-DHW_4 2" xfId="3187"/>
    <cellStyle name="_Currency_Sheet1_Latest-Liberty Based-DHW_4 3" xfId="2116"/>
    <cellStyle name="_Currency_Sheet1_Latest-Liberty Based-DHW_4_dv01" xfId="801"/>
    <cellStyle name="_Currency_Sheet1_Latest-Liberty Based-DHW_4_dv01 2" xfId="3188"/>
    <cellStyle name="_Currency_Sheet1_Latest-Liberty Based-DHW_4_dv01 3" xfId="2117"/>
    <cellStyle name="_Currency_Sheet1_Latest-Liberty Based-DHW_Anker 2008Q4 concept" xfId="802"/>
    <cellStyle name="_Currency_Sheet1_Latest-Liberty Based-DHW_Anker 2008Q4 concept 2" xfId="3189"/>
    <cellStyle name="_Currency_Sheet1_Latest-Liberty Based-DHW_Anker 2008Q4 concept 3" xfId="2118"/>
    <cellStyle name="_Currency_Sheet1_Latest-Liberty Based-DHW_fundrapport" xfId="803"/>
    <cellStyle name="_Currency_Sheet1_Latest-Liberty Based-DHW_fundrapport 2" xfId="3190"/>
    <cellStyle name="_Currency_Sheet1_Latest-Liberty Based-DHW_fundrapport 3" xfId="2119"/>
    <cellStyle name="_Currency_Sheet1_Latest-Liberty Based-DHW_inj&amp;withdr toelichting hard" xfId="804"/>
    <cellStyle name="_Currency_Sheet1_Latest-Liberty Based-DHW_inj&amp;withdr toelichting hard 2" xfId="3191"/>
    <cellStyle name="_Currency_Sheet1_Latest-Liberty Based-DHW_inj&amp;withdr toelichting hard 3" xfId="2120"/>
    <cellStyle name="_Currency_Sheet1_Latest-Liberty Based-DHW_inj&amp;withdr toelichting hard_dv01" xfId="805"/>
    <cellStyle name="_Currency_Sheet1_Latest-Liberty Based-DHW_inj&amp;withdr toelichting hard_dv01 2" xfId="3192"/>
    <cellStyle name="_Currency_Sheet1_Latest-Liberty Based-DHW_inj&amp;withdr toelichting hard_dv01 3" xfId="2121"/>
    <cellStyle name="_Currency_Sheet1_Structure Collection" xfId="806"/>
    <cellStyle name="_Currency_Sheet1_Structure Collection 2" xfId="3193"/>
    <cellStyle name="_Currency_Sheet1_Structure Collection 3" xfId="2122"/>
    <cellStyle name="_Currency_Sheet1_Structure Collection_actuate" xfId="807"/>
    <cellStyle name="_Currency_Sheet1_Structure Collection_actuate 2" xfId="3194"/>
    <cellStyle name="_Currency_Sheet1_Structure Collection_actuate 3" xfId="2123"/>
    <cellStyle name="_Currency_Sheet1_Structure Collection_dv01" xfId="808"/>
    <cellStyle name="_Currency_Sheet1_Structure Collection_dv01 2" xfId="3195"/>
    <cellStyle name="_Currency_Sheet1_Structure Collection_dv01 3" xfId="2124"/>
    <cellStyle name="_Currency_Sheet2" xfId="809"/>
    <cellStyle name="_Currency_Sheet2 2" xfId="3196"/>
    <cellStyle name="_Currency_Sheet2 3" xfId="2125"/>
    <cellStyle name="_Currency_Sheet2_actuate" xfId="810"/>
    <cellStyle name="_Currency_Sheet2_actuate 2" xfId="3197"/>
    <cellStyle name="_Currency_Sheet2_actuate 3" xfId="2126"/>
    <cellStyle name="_Currency_Sheet2_dv01" xfId="811"/>
    <cellStyle name="_Currency_Sheet2_dv01 2" xfId="3198"/>
    <cellStyle name="_Currency_Sheet2_dv01 3" xfId="2127"/>
    <cellStyle name="_Currency_Summary Parallel Master" xfId="812"/>
    <cellStyle name="_Currency_Summary Parallel Master 2" xfId="3199"/>
    <cellStyle name="_Currency_Summary Parallel Master 3" xfId="2128"/>
    <cellStyle name="_Currency_Summary Parallel Master_actuate" xfId="813"/>
    <cellStyle name="_Currency_Summary Parallel Master_actuate 2" xfId="3200"/>
    <cellStyle name="_Currency_Summary Parallel Master_actuate 3" xfId="2129"/>
    <cellStyle name="_Currency_Summary Parallel Master_dv01" xfId="814"/>
    <cellStyle name="_Currency_Summary Parallel Master_dv01 2" xfId="3201"/>
    <cellStyle name="_Currency_Summary Parallel Master_dv01 3" xfId="2130"/>
    <cellStyle name="_Currency_Tableau" xfId="815"/>
    <cellStyle name="_Currency_Tableau 2" xfId="3202"/>
    <cellStyle name="_Currency_Tableau 3" xfId="2131"/>
    <cellStyle name="_Currency_Tableau_1" xfId="816"/>
    <cellStyle name="_Currency_Tableau_1 2" xfId="3203"/>
    <cellStyle name="_Currency_Tableau_1 3" xfId="2132"/>
    <cellStyle name="_Currency_Tableau_1_3" xfId="817"/>
    <cellStyle name="_Currency_Tableau_1_3 2" xfId="3204"/>
    <cellStyle name="_Currency_Tableau_1_3 3" xfId="2133"/>
    <cellStyle name="_Currency_Tableau_1_3_dv01" xfId="818"/>
    <cellStyle name="_Currency_Tableau_1_3_dv01 2" xfId="3205"/>
    <cellStyle name="_Currency_Tableau_1_3_dv01 3" xfId="2134"/>
    <cellStyle name="_Currency_Tableau_1_4" xfId="819"/>
    <cellStyle name="_Currency_Tableau_1_4 2" xfId="3206"/>
    <cellStyle name="_Currency_Tableau_1_4 3" xfId="2135"/>
    <cellStyle name="_Currency_Tableau_1_4_dv01" xfId="820"/>
    <cellStyle name="_Currency_Tableau_1_4_dv01 2" xfId="3207"/>
    <cellStyle name="_Currency_Tableau_1_4_dv01 3" xfId="2136"/>
    <cellStyle name="_Currency_Tableau_1_Anker 2008Q4 concept" xfId="821"/>
    <cellStyle name="_Currency_Tableau_1_Anker 2008Q4 concept 2" xfId="3208"/>
    <cellStyle name="_Currency_Tableau_1_Anker 2008Q4 concept 3" xfId="2137"/>
    <cellStyle name="_Currency_Tableau_1_fundrapport" xfId="822"/>
    <cellStyle name="_Currency_Tableau_1_fundrapport 2" xfId="3209"/>
    <cellStyle name="_Currency_Tableau_1_fundrapport 3" xfId="2138"/>
    <cellStyle name="_Currency_Tableau_1_inj&amp;withdr toelichting hard" xfId="823"/>
    <cellStyle name="_Currency_Tableau_1_inj&amp;withdr toelichting hard 2" xfId="3210"/>
    <cellStyle name="_Currency_Tableau_1_inj&amp;withdr toelichting hard 3" xfId="2139"/>
    <cellStyle name="_Currency_Tableau_1_inj&amp;withdr toelichting hard_dv01" xfId="824"/>
    <cellStyle name="_Currency_Tableau_1_inj&amp;withdr toelichting hard_dv01 2" xfId="3211"/>
    <cellStyle name="_Currency_Tableau_1_inj&amp;withdr toelichting hard_dv01 3" xfId="2140"/>
    <cellStyle name="_Currency_Tableau_actuate" xfId="825"/>
    <cellStyle name="_Currency_Tableau_actuate 2" xfId="3212"/>
    <cellStyle name="_Currency_Tableau_actuate 3" xfId="2141"/>
    <cellStyle name="_Currency_Tableau_dv01" xfId="826"/>
    <cellStyle name="_Currency_Tableau_dv01 2" xfId="3213"/>
    <cellStyle name="_Currency_Tableau_dv01 3" xfId="2142"/>
    <cellStyle name="_Currency_TDC - deriv calcs" xfId="827"/>
    <cellStyle name="_Currency_TDC - deriv calcs 2" xfId="3214"/>
    <cellStyle name="_Currency_TDC - deriv calcs 3" xfId="2143"/>
    <cellStyle name="_Currency_TDC - deriv calcs_actuate" xfId="828"/>
    <cellStyle name="_Currency_TDC - deriv calcs_actuate 2" xfId="3215"/>
    <cellStyle name="_Currency_TDC - deriv calcs_actuate 3" xfId="2144"/>
    <cellStyle name="_Currency_TDC - deriv calcs_dv01" xfId="829"/>
    <cellStyle name="_Currency_TDC - deriv calcs_dv01 2" xfId="3216"/>
    <cellStyle name="_Currency_TDC - deriv calcs_dv01 3" xfId="2145"/>
    <cellStyle name="_Currency_testing 14Mar2005 Test Tableau" xfId="830"/>
    <cellStyle name="_Currency_testing 14Mar2005 Test Tableau 2" xfId="3217"/>
    <cellStyle name="_Currency_testing 14Mar2005 Test Tableau 3" xfId="2146"/>
    <cellStyle name="_Currency_testing 14Mar2005 Test Tableau_3" xfId="831"/>
    <cellStyle name="_Currency_testing 14Mar2005 Test Tableau_3 2" xfId="3218"/>
    <cellStyle name="_Currency_testing 14Mar2005 Test Tableau_3 3" xfId="2147"/>
    <cellStyle name="_Currency_testing 14Mar2005 Test Tableau_3_dv01" xfId="832"/>
    <cellStyle name="_Currency_testing 14Mar2005 Test Tableau_3_dv01 2" xfId="3219"/>
    <cellStyle name="_Currency_testing 14Mar2005 Test Tableau_3_dv01 3" xfId="2148"/>
    <cellStyle name="_Currency_testing 14Mar2005 Test Tableau_4" xfId="833"/>
    <cellStyle name="_Currency_testing 14Mar2005 Test Tableau_4 2" xfId="3220"/>
    <cellStyle name="_Currency_testing 14Mar2005 Test Tableau_4 3" xfId="2149"/>
    <cellStyle name="_Currency_testing 14Mar2005 Test Tableau_4_dv01" xfId="834"/>
    <cellStyle name="_Currency_testing 14Mar2005 Test Tableau_4_dv01 2" xfId="3221"/>
    <cellStyle name="_Currency_testing 14Mar2005 Test Tableau_4_dv01 3" xfId="2150"/>
    <cellStyle name="_Currency_testing 14Mar2005 Test Tableau_Anker 2008Q4 concept" xfId="835"/>
    <cellStyle name="_Currency_testing 14Mar2005 Test Tableau_Anker 2008Q4 concept 2" xfId="3222"/>
    <cellStyle name="_Currency_testing 14Mar2005 Test Tableau_Anker 2008Q4 concept 3" xfId="2151"/>
    <cellStyle name="_Currency_testing 14Mar2005 Test Tableau_fundrapport" xfId="836"/>
    <cellStyle name="_Currency_testing 14Mar2005 Test Tableau_fundrapport 2" xfId="3223"/>
    <cellStyle name="_Currency_testing 14Mar2005 Test Tableau_fundrapport 3" xfId="2152"/>
    <cellStyle name="_Currency_testing 14Mar2005 Test Tableau_inj&amp;withdr toelichting hard" xfId="837"/>
    <cellStyle name="_Currency_testing 14Mar2005 Test Tableau_inj&amp;withdr toelichting hard 2" xfId="3224"/>
    <cellStyle name="_Currency_testing 14Mar2005 Test Tableau_inj&amp;withdr toelichting hard 3" xfId="2153"/>
    <cellStyle name="_Currency_testing 14Mar2005 Test Tableau_inj&amp;withdr toelichting hard_dv01" xfId="838"/>
    <cellStyle name="_Currency_testing 14Mar2005 Test Tableau_inj&amp;withdr toelichting hard_dv01 2" xfId="3225"/>
    <cellStyle name="_Currency_testing 14Mar2005 Test Tableau_inj&amp;withdr toelichting hard_dv01 3" xfId="2154"/>
    <cellStyle name="_Currency_tmp tableau" xfId="839"/>
    <cellStyle name="_Currency_tmp tableau 2" xfId="3226"/>
    <cellStyle name="_Currency_tmp tableau 3" xfId="2155"/>
    <cellStyle name="_Currency_tmp tableau_3" xfId="840"/>
    <cellStyle name="_Currency_tmp tableau_3 2" xfId="3227"/>
    <cellStyle name="_Currency_tmp tableau_3 3" xfId="2156"/>
    <cellStyle name="_Currency_tmp tableau_3_dv01" xfId="841"/>
    <cellStyle name="_Currency_tmp tableau_3_dv01 2" xfId="3228"/>
    <cellStyle name="_Currency_tmp tableau_3_dv01 3" xfId="2157"/>
    <cellStyle name="_Currency_tmp tableau_4" xfId="842"/>
    <cellStyle name="_Currency_tmp tableau_4 2" xfId="3229"/>
    <cellStyle name="_Currency_tmp tableau_4 3" xfId="2158"/>
    <cellStyle name="_Currency_tmp tableau_4_dv01" xfId="843"/>
    <cellStyle name="_Currency_tmp tableau_4_dv01 2" xfId="3230"/>
    <cellStyle name="_Currency_tmp tableau_4_dv01 3" xfId="2159"/>
    <cellStyle name="_Currency_tmp tableau_Anker 2008Q4 concept" xfId="844"/>
    <cellStyle name="_Currency_tmp tableau_Anker 2008Q4 concept 2" xfId="3231"/>
    <cellStyle name="_Currency_tmp tableau_Anker 2008Q4 concept 3" xfId="2160"/>
    <cellStyle name="_Currency_tmp tableau_fundrapport" xfId="845"/>
    <cellStyle name="_Currency_tmp tableau_fundrapport 2" xfId="3232"/>
    <cellStyle name="_Currency_tmp tableau_fundrapport 3" xfId="2161"/>
    <cellStyle name="_Currency_tmp tableau_inj&amp;withdr toelichting hard" xfId="846"/>
    <cellStyle name="_Currency_tmp tableau_inj&amp;withdr toelichting hard 2" xfId="3233"/>
    <cellStyle name="_Currency_tmp tableau_inj&amp;withdr toelichting hard 3" xfId="2162"/>
    <cellStyle name="_Currency_tmp tableau_inj&amp;withdr toelichting hard_dv01" xfId="847"/>
    <cellStyle name="_Currency_tmp tableau_inj&amp;withdr toelichting hard_dv01 2" xfId="3234"/>
    <cellStyle name="_Currency_tmp tableau_inj&amp;withdr toelichting hard_dv01 3" xfId="2163"/>
    <cellStyle name="_Currency_Total" xfId="848"/>
    <cellStyle name="_Currency_Total 2" xfId="3235"/>
    <cellStyle name="_Currency_Total 3" xfId="2164"/>
    <cellStyle name="_Currency_Total_3" xfId="849"/>
    <cellStyle name="_Currency_Total_3 2" xfId="3236"/>
    <cellStyle name="_Currency_Total_3 3" xfId="2165"/>
    <cellStyle name="_Currency_Total_3_dv01" xfId="850"/>
    <cellStyle name="_Currency_Total_3_dv01 2" xfId="3237"/>
    <cellStyle name="_Currency_Total_3_dv01 3" xfId="2166"/>
    <cellStyle name="_Currency_Total_4" xfId="851"/>
    <cellStyle name="_Currency_Total_4 2" xfId="3238"/>
    <cellStyle name="_Currency_Total_4 3" xfId="2167"/>
    <cellStyle name="_Currency_Total_4_dv01" xfId="852"/>
    <cellStyle name="_Currency_Total_4_dv01 2" xfId="3239"/>
    <cellStyle name="_Currency_Total_4_dv01 3" xfId="2168"/>
    <cellStyle name="_Currency_Total_Anker 2008Q4 concept" xfId="853"/>
    <cellStyle name="_Currency_Total_Anker 2008Q4 concept 2" xfId="3240"/>
    <cellStyle name="_Currency_Total_Anker 2008Q4 concept 3" xfId="2169"/>
    <cellStyle name="_Currency_Total_fundrapport" xfId="854"/>
    <cellStyle name="_Currency_Total_fundrapport 2" xfId="3241"/>
    <cellStyle name="_Currency_Total_fundrapport 3" xfId="2170"/>
    <cellStyle name="_Currency_Total_inj&amp;withdr toelichting hard" xfId="855"/>
    <cellStyle name="_Currency_Total_inj&amp;withdr toelichting hard 2" xfId="3242"/>
    <cellStyle name="_Currency_Total_inj&amp;withdr toelichting hard 3" xfId="2171"/>
    <cellStyle name="_Currency_Total_inj&amp;withdr toelichting hard_dv01" xfId="856"/>
    <cellStyle name="_Currency_Total_inj&amp;withdr toelichting hard_dv01 2" xfId="3243"/>
    <cellStyle name="_Currency_Total_inj&amp;withdr toelichting hard_dv01 3" xfId="2172"/>
    <cellStyle name="_Currency_VAR Over Time (version 3)" xfId="857"/>
    <cellStyle name="_Currency_VAR Over Time (version 3) 2" xfId="3244"/>
    <cellStyle name="_Currency_VAR Over Time (version 3) 3" xfId="2173"/>
    <cellStyle name="_Currency_VAR Over Time (version 3)_3" xfId="858"/>
    <cellStyle name="_Currency_VAR Over Time (version 3)_3 2" xfId="3245"/>
    <cellStyle name="_Currency_VAR Over Time (version 3)_3 3" xfId="2174"/>
    <cellStyle name="_Currency_VAR Over Time (version 3)_3_dv01" xfId="859"/>
    <cellStyle name="_Currency_VAR Over Time (version 3)_3_dv01 2" xfId="3246"/>
    <cellStyle name="_Currency_VAR Over Time (version 3)_3_dv01 3" xfId="2175"/>
    <cellStyle name="_Currency_VAR Over Time (version 3)_4" xfId="860"/>
    <cellStyle name="_Currency_VAR Over Time (version 3)_4 2" xfId="3247"/>
    <cellStyle name="_Currency_VAR Over Time (version 3)_4 3" xfId="2176"/>
    <cellStyle name="_Currency_VAR Over Time (version 3)_4_dv01" xfId="861"/>
    <cellStyle name="_Currency_VAR Over Time (version 3)_4_dv01 2" xfId="3248"/>
    <cellStyle name="_Currency_VAR Over Time (version 3)_4_dv01 3" xfId="2177"/>
    <cellStyle name="_Currency_VAR Over Time (version 3)_Anker 2008Q4 concept" xfId="862"/>
    <cellStyle name="_Currency_VAR Over Time (version 3)_Anker 2008Q4 concept 2" xfId="3249"/>
    <cellStyle name="_Currency_VAR Over Time (version 3)_Anker 2008Q4 concept 3" xfId="2178"/>
    <cellStyle name="_Currency_VAR Over Time (version 3)_fundrapport" xfId="863"/>
    <cellStyle name="_Currency_VAR Over Time (version 3)_fundrapport 2" xfId="3250"/>
    <cellStyle name="_Currency_VAR Over Time (version 3)_fundrapport 3" xfId="2179"/>
    <cellStyle name="_Currency_VAR Over Time (version 3)_inj&amp;withdr toelichting hard" xfId="864"/>
    <cellStyle name="_Currency_VAR Over Time (version 3)_inj&amp;withdr toelichting hard 2" xfId="3251"/>
    <cellStyle name="_Currency_VAR Over Time (version 3)_inj&amp;withdr toelichting hard 3" xfId="2180"/>
    <cellStyle name="_Currency_VAR Over Time (version 3)_inj&amp;withdr toelichting hard_dv01" xfId="865"/>
    <cellStyle name="_Currency_VAR Over Time (version 3)_inj&amp;withdr toelichting hard_dv01 2" xfId="3252"/>
    <cellStyle name="_Currency_VAR Over Time (version 3)_inj&amp;withdr toelichting hard_dv01 3" xfId="2181"/>
    <cellStyle name="_CurrencySpace" xfId="866"/>
    <cellStyle name="_CurrencySpace 2" xfId="3253"/>
    <cellStyle name="_CurrencySpace 3" xfId="2182"/>
    <cellStyle name="_default forecast" xfId="7652"/>
    <cellStyle name="_defaulted issuers" xfId="7658"/>
    <cellStyle name="_defaults" xfId="7659"/>
    <cellStyle name="_Euro" xfId="867"/>
    <cellStyle name="_Euro 2" xfId="3254"/>
    <cellStyle name="_Euro 3" xfId="2183"/>
    <cellStyle name="_Euro_beleggingen" xfId="3850"/>
    <cellStyle name="_Euro_cashflows corp" xfId="3849"/>
    <cellStyle name="_Euro_cashflows Gov't AAA" xfId="3848"/>
    <cellStyle name="_Euro_cashflows ilb" xfId="3847"/>
    <cellStyle name="_Euro_cashflows lang staats" xfId="3846"/>
    <cellStyle name="_Euro_cashflows pan european 500mm" xfId="3845"/>
    <cellStyle name="_Euro_cashflows staats" xfId="3844"/>
    <cellStyle name="_Euro_cashflows vpv" xfId="3843"/>
    <cellStyle name="_Euro_custom cfs" xfId="3842"/>
    <cellStyle name="_Euro_custom cfs 2" xfId="6906"/>
    <cellStyle name="_Euro_Data ver Grafieken (norm)" xfId="3841"/>
    <cellStyle name="_Euro_feitelijk rendement" xfId="3840"/>
    <cellStyle name="_Euro_ilb reeel only" xfId="3839"/>
    <cellStyle name="_Euro_instellingen" xfId="3838"/>
    <cellStyle name="_Euro_Klantinfo" xfId="3837"/>
    <cellStyle name="_Euro_menu" xfId="3836"/>
    <cellStyle name="_Euro_menu 2" xfId="6907"/>
    <cellStyle name="_Euro_nom swaps" xfId="3835"/>
    <cellStyle name="_Euro_nominale counterpart ilb" xfId="3834"/>
    <cellStyle name="_Euro_output Liab opt" xfId="3833"/>
    <cellStyle name="_Euro_rekensheet" xfId="3832"/>
    <cellStyle name="_Euro_return reeksen" xfId="3831"/>
    <cellStyle name="_Euro_return reeksen 2" xfId="6908"/>
    <cellStyle name="_Euro_tijdseries" xfId="3830"/>
    <cellStyle name="_Euro_tijdseries indices" xfId="3829"/>
    <cellStyle name="_Euro_vpv" xfId="3828"/>
    <cellStyle name="_Euro_VPV EN SWAPS" xfId="3827"/>
    <cellStyle name="_Euro_vpv return serie" xfId="3826"/>
    <cellStyle name="_Euro_z.c. infl swaps" xfId="3825"/>
    <cellStyle name="_feitelijk rendement" xfId="3824"/>
    <cellStyle name="_Heading" xfId="868"/>
    <cellStyle name="_Heading_allocatie" xfId="869"/>
    <cellStyle name="_Heading_allocatie 2" xfId="3255"/>
    <cellStyle name="_Heading_allocatie 3" xfId="2184"/>
    <cellStyle name="_Heading_allocatie_actuate" xfId="870"/>
    <cellStyle name="_Heading_allocatie_actuate 2" xfId="3256"/>
    <cellStyle name="_Heading_allocatie_actuate 3" xfId="2185"/>
    <cellStyle name="_Heading_allocatie_actuate_cashflows corp" xfId="3823"/>
    <cellStyle name="_Heading_allocatie_actuate_cashflows Gov't AAA" xfId="3822"/>
    <cellStyle name="_Heading_allocatie_actuate_cashflows ilb" xfId="3821"/>
    <cellStyle name="_Heading_allocatie_actuate_cashflows lang staats" xfId="3820"/>
    <cellStyle name="_Heading_allocatie_actuate_cashflows pan european 500mm" xfId="3819"/>
    <cellStyle name="_Heading_allocatie_actuate_cashflows staats" xfId="3818"/>
    <cellStyle name="_Heading_allocatie_actuate_excess returns bm matching pf" xfId="3817"/>
    <cellStyle name="_Heading_allocatie_actuate_ilb reeel only" xfId="3816"/>
    <cellStyle name="_Heading_allocatie_actuate_nominale counterpart ilb" xfId="3815"/>
    <cellStyle name="_Heading_allocatie_actuate_tijdseries" xfId="3814"/>
    <cellStyle name="_Heading_allocatie_actuate_tijdseries 2" xfId="6909"/>
    <cellStyle name="_Heading_allocatie_actuate_tijdseries_bei rates" xfId="6273"/>
    <cellStyle name="_Heading_allocatie_actuate_tijdseries_par swap rates" xfId="5641"/>
    <cellStyle name="_Heading_allocatie_actuate_vpv" xfId="3813"/>
    <cellStyle name="_Heading_allocatie_actuate_vpv 2" xfId="6910"/>
    <cellStyle name="_Heading_allocatie_actuate_vpv return serie" xfId="3812"/>
    <cellStyle name="_Heading_allocatie_actuate_vpv return serie 2" xfId="6911"/>
    <cellStyle name="_Heading_allocatie_actuate_vpv return serie_bei rates" xfId="6275"/>
    <cellStyle name="_Heading_allocatie_actuate_vpv return serie_par swap rates" xfId="5643"/>
    <cellStyle name="_Heading_allocatie_actuate_vpv_bei rates" xfId="6274"/>
    <cellStyle name="_Heading_allocatie_actuate_vpv_par swap rates" xfId="5642"/>
    <cellStyle name="_Heading_allocatie_beleggingen" xfId="3811"/>
    <cellStyle name="_Heading_allocatie_beleggingen 2" xfId="6912"/>
    <cellStyle name="_Heading_allocatie_beleggingen_bei rates" xfId="6276"/>
    <cellStyle name="_Heading_allocatie_beleggingen_par swap rates" xfId="5644"/>
    <cellStyle name="_Heading_allocatie_cashflows corp" xfId="3810"/>
    <cellStyle name="_Heading_allocatie_cashflows Gov't AAA" xfId="3809"/>
    <cellStyle name="_Heading_allocatie_cashflows ilb" xfId="3808"/>
    <cellStyle name="_Heading_allocatie_cashflows lang staats" xfId="3807"/>
    <cellStyle name="_Heading_allocatie_cashflows pan european 500mm" xfId="3806"/>
    <cellStyle name="_Heading_allocatie_cashflows staats" xfId="3805"/>
    <cellStyle name="_Heading_allocatie_dv01" xfId="871"/>
    <cellStyle name="_Heading_allocatie_excess returns bm matching pf" xfId="3804"/>
    <cellStyle name="_Heading_allocatie_feitelijk rendement" xfId="3803"/>
    <cellStyle name="_Heading_allocatie_feitelijk rendement 2" xfId="6913"/>
    <cellStyle name="_Heading_allocatie_feitelijk rendement_bei rates" xfId="6277"/>
    <cellStyle name="_Heading_allocatie_feitelijk rendement_par swap rates" xfId="5645"/>
    <cellStyle name="_Heading_allocatie_ilb reeel only" xfId="3802"/>
    <cellStyle name="_Heading_allocatie_nominale counterpart ilb" xfId="3801"/>
    <cellStyle name="_Heading_allocatie_tijdseries" xfId="3800"/>
    <cellStyle name="_Heading_allocatie_tijdseries 2" xfId="6914"/>
    <cellStyle name="_Heading_allocatie_tijdseries_bei rates" xfId="6278"/>
    <cellStyle name="_Heading_allocatie_tijdseries_par swap rates" xfId="5646"/>
    <cellStyle name="_Heading_allocatie_vpv" xfId="3799"/>
    <cellStyle name="_Heading_allocatie_vpv 2" xfId="6915"/>
    <cellStyle name="_Heading_allocatie_vpv return serie" xfId="3798"/>
    <cellStyle name="_Heading_allocatie_vpv return serie 2" xfId="6916"/>
    <cellStyle name="_Heading_allocatie_vpv return serie_bei rates" xfId="6280"/>
    <cellStyle name="_Heading_allocatie_vpv return serie_par swap rates" xfId="5648"/>
    <cellStyle name="_Heading_allocatie_vpv_bei rates" xfId="6279"/>
    <cellStyle name="_Heading_allocatie_vpv_par swap rates" xfId="5647"/>
    <cellStyle name="_Heading_Asset Cashflows" xfId="872"/>
    <cellStyle name="_Heading_Asset Cashflows 2" xfId="3258"/>
    <cellStyle name="_Heading_Asset Cashflows 3" xfId="2186"/>
    <cellStyle name="_Heading_Asset Cashflows_actuate" xfId="873"/>
    <cellStyle name="_Heading_Asset Cashflows_actuate 2" xfId="3259"/>
    <cellStyle name="_Heading_Asset Cashflows_actuate 3" xfId="2187"/>
    <cellStyle name="_Heading_Asset Cashflows_actuate_cashflows corp" xfId="3797"/>
    <cellStyle name="_Heading_Asset Cashflows_actuate_cashflows Gov't AAA" xfId="3796"/>
    <cellStyle name="_Heading_Asset Cashflows_actuate_cashflows ilb" xfId="3795"/>
    <cellStyle name="_Heading_Asset Cashflows_actuate_cashflows lang staats" xfId="3794"/>
    <cellStyle name="_Heading_Asset Cashflows_actuate_cashflows pan european 500mm" xfId="3793"/>
    <cellStyle name="_Heading_Asset Cashflows_actuate_cashflows staats" xfId="3792"/>
    <cellStyle name="_Heading_Asset Cashflows_actuate_excess returns bm matching pf" xfId="3791"/>
    <cellStyle name="_Heading_Asset Cashflows_actuate_ilb reeel only" xfId="3790"/>
    <cellStyle name="_Heading_Asset Cashflows_actuate_nominale counterpart ilb" xfId="3789"/>
    <cellStyle name="_Heading_Asset Cashflows_actuate_tijdseries" xfId="3788"/>
    <cellStyle name="_Heading_Asset Cashflows_actuate_tijdseries 2" xfId="6917"/>
    <cellStyle name="_Heading_Asset Cashflows_actuate_tijdseries_bei rates" xfId="6281"/>
    <cellStyle name="_Heading_Asset Cashflows_actuate_tijdseries_par swap rates" xfId="5649"/>
    <cellStyle name="_Heading_Asset Cashflows_actuate_vpv" xfId="3787"/>
    <cellStyle name="_Heading_Asset Cashflows_actuate_vpv 2" xfId="6918"/>
    <cellStyle name="_Heading_Asset Cashflows_actuate_vpv return serie" xfId="3786"/>
    <cellStyle name="_Heading_Asset Cashflows_actuate_vpv return serie 2" xfId="6919"/>
    <cellStyle name="_Heading_Asset Cashflows_actuate_vpv return serie_bei rates" xfId="6283"/>
    <cellStyle name="_Heading_Asset Cashflows_actuate_vpv return serie_par swap rates" xfId="5651"/>
    <cellStyle name="_Heading_Asset Cashflows_actuate_vpv_bei rates" xfId="6282"/>
    <cellStyle name="_Heading_Asset Cashflows_actuate_vpv_par swap rates" xfId="5650"/>
    <cellStyle name="_Heading_Asset Cashflows_beleggingen" xfId="3785"/>
    <cellStyle name="_Heading_Asset Cashflows_beleggingen 2" xfId="6920"/>
    <cellStyle name="_Heading_Asset Cashflows_beleggingen_bei rates" xfId="6284"/>
    <cellStyle name="_Heading_Asset Cashflows_beleggingen_par swap rates" xfId="5652"/>
    <cellStyle name="_Heading_Asset Cashflows_cashflows corp" xfId="3784"/>
    <cellStyle name="_Heading_Asset Cashflows_cashflows Gov't AAA" xfId="3783"/>
    <cellStyle name="_Heading_Asset Cashflows_cashflows ilb" xfId="3782"/>
    <cellStyle name="_Heading_Asset Cashflows_cashflows lang staats" xfId="3781"/>
    <cellStyle name="_Heading_Asset Cashflows_cashflows pan european 500mm" xfId="3780"/>
    <cellStyle name="_Heading_Asset Cashflows_cashflows staats" xfId="3779"/>
    <cellStyle name="_Heading_Asset Cashflows_dv01" xfId="874"/>
    <cellStyle name="_Heading_Asset Cashflows_excess returns bm matching pf" xfId="3778"/>
    <cellStyle name="_Heading_Asset Cashflows_feitelijk rendement" xfId="3777"/>
    <cellStyle name="_Heading_Asset Cashflows_feitelijk rendement 2" xfId="6921"/>
    <cellStyle name="_Heading_Asset Cashflows_feitelijk rendement_bei rates" xfId="6285"/>
    <cellStyle name="_Heading_Asset Cashflows_feitelijk rendement_par swap rates" xfId="5653"/>
    <cellStyle name="_Heading_Asset Cashflows_ilb reeel only" xfId="3776"/>
    <cellStyle name="_Heading_Asset Cashflows_nominale counterpart ilb" xfId="3775"/>
    <cellStyle name="_Heading_Asset Cashflows_tijdseries" xfId="3774"/>
    <cellStyle name="_Heading_Asset Cashflows_tijdseries 2" xfId="6922"/>
    <cellStyle name="_Heading_Asset Cashflows_tijdseries_bei rates" xfId="6286"/>
    <cellStyle name="_Heading_Asset Cashflows_tijdseries_par swap rates" xfId="5654"/>
    <cellStyle name="_Heading_Asset Cashflows_vpv" xfId="3773"/>
    <cellStyle name="_Heading_Asset Cashflows_vpv 2" xfId="6923"/>
    <cellStyle name="_Heading_Asset Cashflows_vpv return serie" xfId="3772"/>
    <cellStyle name="_Heading_Asset Cashflows_vpv return serie 2" xfId="6924"/>
    <cellStyle name="_Heading_Asset Cashflows_vpv return serie_bei rates" xfId="6288"/>
    <cellStyle name="_Heading_Asset Cashflows_vpv return serie_par swap rates" xfId="5656"/>
    <cellStyle name="_Heading_Asset Cashflows_vpv_bei rates" xfId="6287"/>
    <cellStyle name="_Heading_Asset Cashflows_vpv_par swap rates" xfId="5655"/>
    <cellStyle name="_Heading_CashFlows " xfId="875"/>
    <cellStyle name="_Heading_CashFlows  2" xfId="3261"/>
    <cellStyle name="_Heading_CashFlows  3" xfId="2188"/>
    <cellStyle name="_Heading_CashFlows _actuate" xfId="876"/>
    <cellStyle name="_Heading_CashFlows _actuate 2" xfId="3262"/>
    <cellStyle name="_Heading_CashFlows _actuate 3" xfId="2189"/>
    <cellStyle name="_Heading_CashFlows _actuate_cashflows corp" xfId="3771"/>
    <cellStyle name="_Heading_CashFlows _actuate_cashflows Gov't AAA" xfId="3770"/>
    <cellStyle name="_Heading_CashFlows _actuate_cashflows ilb" xfId="3769"/>
    <cellStyle name="_Heading_CashFlows _actuate_cashflows lang staats" xfId="3768"/>
    <cellStyle name="_Heading_CashFlows _actuate_cashflows pan european 500mm" xfId="3767"/>
    <cellStyle name="_Heading_CashFlows _actuate_cashflows staats" xfId="3766"/>
    <cellStyle name="_Heading_CashFlows _actuate_excess returns bm matching pf" xfId="3765"/>
    <cellStyle name="_Heading_CashFlows _actuate_ilb reeel only" xfId="3764"/>
    <cellStyle name="_Heading_CashFlows _actuate_nominale counterpart ilb" xfId="3763"/>
    <cellStyle name="_Heading_CashFlows _actuate_tijdseries" xfId="3762"/>
    <cellStyle name="_Heading_CashFlows _actuate_tijdseries 2" xfId="6925"/>
    <cellStyle name="_Heading_CashFlows _actuate_tijdseries_bei rates" xfId="6289"/>
    <cellStyle name="_Heading_CashFlows _actuate_tijdseries_par swap rates" xfId="5657"/>
    <cellStyle name="_Heading_CashFlows _actuate_vpv" xfId="3761"/>
    <cellStyle name="_Heading_CashFlows _actuate_vpv 2" xfId="6926"/>
    <cellStyle name="_Heading_CashFlows _actuate_vpv return serie" xfId="3760"/>
    <cellStyle name="_Heading_CashFlows _actuate_vpv return serie 2" xfId="6927"/>
    <cellStyle name="_Heading_CashFlows _actuate_vpv return serie_bei rates" xfId="6291"/>
    <cellStyle name="_Heading_CashFlows _actuate_vpv return serie_par swap rates" xfId="5659"/>
    <cellStyle name="_Heading_CashFlows _actuate_vpv_bei rates" xfId="6290"/>
    <cellStyle name="_Heading_CashFlows _actuate_vpv_par swap rates" xfId="5658"/>
    <cellStyle name="_Heading_CashFlows _beleggingen" xfId="3759"/>
    <cellStyle name="_Heading_CashFlows _beleggingen 2" xfId="6928"/>
    <cellStyle name="_Heading_CashFlows _beleggingen_bei rates" xfId="6292"/>
    <cellStyle name="_Heading_CashFlows _beleggingen_par swap rates" xfId="5660"/>
    <cellStyle name="_Heading_CashFlows _cashflows corp" xfId="3758"/>
    <cellStyle name="_Heading_CashFlows _cashflows Gov't AAA" xfId="3757"/>
    <cellStyle name="_Heading_CashFlows _cashflows ilb" xfId="3756"/>
    <cellStyle name="_Heading_CashFlows _cashflows lang staats" xfId="3755"/>
    <cellStyle name="_Heading_CashFlows _cashflows pan european 500mm" xfId="3754"/>
    <cellStyle name="_Heading_CashFlows _cashflows staats" xfId="3753"/>
    <cellStyle name="_Heading_CashFlows _dv01" xfId="877"/>
    <cellStyle name="_Heading_CashFlows _excess returns bm matching pf" xfId="3752"/>
    <cellStyle name="_Heading_CashFlows _feitelijk rendement" xfId="3751"/>
    <cellStyle name="_Heading_CashFlows _feitelijk rendement 2" xfId="6929"/>
    <cellStyle name="_Heading_CashFlows _feitelijk rendement_bei rates" xfId="6293"/>
    <cellStyle name="_Heading_CashFlows _feitelijk rendement_par swap rates" xfId="5661"/>
    <cellStyle name="_Heading_CashFlows _ilb reeel only" xfId="3750"/>
    <cellStyle name="_Heading_CashFlows _nominale counterpart ilb" xfId="3749"/>
    <cellStyle name="_Heading_CashFlows _tijdseries" xfId="3748"/>
    <cellStyle name="_Heading_CashFlows _tijdseries 2" xfId="6930"/>
    <cellStyle name="_Heading_CashFlows _tijdseries_bei rates" xfId="6294"/>
    <cellStyle name="_Heading_CashFlows _tijdseries_par swap rates" xfId="5662"/>
    <cellStyle name="_Heading_CashFlows _vpv" xfId="3747"/>
    <cellStyle name="_Heading_CashFlows _vpv 2" xfId="6931"/>
    <cellStyle name="_Heading_CashFlows _vpv return serie" xfId="3746"/>
    <cellStyle name="_Heading_CashFlows _vpv return serie 2" xfId="6932"/>
    <cellStyle name="_Heading_CashFlows _vpv return serie_bei rates" xfId="6296"/>
    <cellStyle name="_Heading_CashFlows _vpv return serie_par swap rates" xfId="5664"/>
    <cellStyle name="_Heading_CashFlows _vpv_bei rates" xfId="6295"/>
    <cellStyle name="_Heading_CashFlows _vpv_par swap rates" xfId="5663"/>
    <cellStyle name="_Heading_Combined CashFlows" xfId="878"/>
    <cellStyle name="_Heading_Combined CashFlows 2" xfId="3264"/>
    <cellStyle name="_Heading_Combined CashFlows 3" xfId="2190"/>
    <cellStyle name="_Heading_Combined CashFlows_actuate" xfId="879"/>
    <cellStyle name="_Heading_Combined CashFlows_actuate 2" xfId="3265"/>
    <cellStyle name="_Heading_Combined CashFlows_actuate 3" xfId="2191"/>
    <cellStyle name="_Heading_Combined CashFlows_actuate_cashflows corp" xfId="3745"/>
    <cellStyle name="_Heading_Combined CashFlows_actuate_cashflows Gov't AAA" xfId="3744"/>
    <cellStyle name="_Heading_Combined CashFlows_actuate_cashflows ilb" xfId="3743"/>
    <cellStyle name="_Heading_Combined CashFlows_actuate_cashflows lang staats" xfId="3742"/>
    <cellStyle name="_Heading_Combined CashFlows_actuate_cashflows pan european 500mm" xfId="3741"/>
    <cellStyle name="_Heading_Combined CashFlows_actuate_cashflows staats" xfId="3740"/>
    <cellStyle name="_Heading_Combined CashFlows_actuate_excess returns bm matching pf" xfId="3739"/>
    <cellStyle name="_Heading_Combined CashFlows_actuate_ilb reeel only" xfId="3738"/>
    <cellStyle name="_Heading_Combined CashFlows_actuate_nominale counterpart ilb" xfId="3737"/>
    <cellStyle name="_Heading_Combined CashFlows_actuate_tijdseries" xfId="3736"/>
    <cellStyle name="_Heading_Combined CashFlows_actuate_tijdseries 2" xfId="6933"/>
    <cellStyle name="_Heading_Combined CashFlows_actuate_tijdseries_bei rates" xfId="6297"/>
    <cellStyle name="_Heading_Combined CashFlows_actuate_tijdseries_par swap rates" xfId="5665"/>
    <cellStyle name="_Heading_Combined CashFlows_actuate_vpv" xfId="3735"/>
    <cellStyle name="_Heading_Combined CashFlows_actuate_vpv 2" xfId="6934"/>
    <cellStyle name="_Heading_Combined CashFlows_actuate_vpv return serie" xfId="3734"/>
    <cellStyle name="_Heading_Combined CashFlows_actuate_vpv return serie 2" xfId="6935"/>
    <cellStyle name="_Heading_Combined CashFlows_actuate_vpv return serie_bei rates" xfId="6299"/>
    <cellStyle name="_Heading_Combined CashFlows_actuate_vpv return serie_par swap rates" xfId="5667"/>
    <cellStyle name="_Heading_Combined CashFlows_actuate_vpv_bei rates" xfId="6298"/>
    <cellStyle name="_Heading_Combined CashFlows_actuate_vpv_par swap rates" xfId="5666"/>
    <cellStyle name="_Heading_Combined CashFlows_beleggingen" xfId="3733"/>
    <cellStyle name="_Heading_Combined CashFlows_beleggingen 2" xfId="6936"/>
    <cellStyle name="_Heading_Combined CashFlows_beleggingen_bei rates" xfId="6300"/>
    <cellStyle name="_Heading_Combined CashFlows_beleggingen_par swap rates" xfId="5668"/>
    <cellStyle name="_Heading_Combined CashFlows_cashflows corp" xfId="3732"/>
    <cellStyle name="_Heading_Combined CashFlows_cashflows Gov't AAA" xfId="3731"/>
    <cellStyle name="_Heading_Combined CashFlows_cashflows ilb" xfId="3730"/>
    <cellStyle name="_Heading_Combined CashFlows_cashflows lang staats" xfId="3729"/>
    <cellStyle name="_Heading_Combined CashFlows_cashflows pan european 500mm" xfId="3728"/>
    <cellStyle name="_Heading_Combined CashFlows_cashflows staats" xfId="3727"/>
    <cellStyle name="_Heading_Combined CashFlows_dv01" xfId="880"/>
    <cellStyle name="_Heading_Combined CashFlows_excess returns bm matching pf" xfId="3726"/>
    <cellStyle name="_Heading_Combined CashFlows_feitelijk rendement" xfId="3725"/>
    <cellStyle name="_Heading_Combined CashFlows_feitelijk rendement 2" xfId="6937"/>
    <cellStyle name="_Heading_Combined CashFlows_feitelijk rendement_bei rates" xfId="6301"/>
    <cellStyle name="_Heading_Combined CashFlows_feitelijk rendement_par swap rates" xfId="5669"/>
    <cellStyle name="_Heading_Combined CashFlows_ilb reeel only" xfId="3724"/>
    <cellStyle name="_Heading_Combined CashFlows_nominale counterpart ilb" xfId="3723"/>
    <cellStyle name="_Heading_Combined CashFlows_tijdseries" xfId="3722"/>
    <cellStyle name="_Heading_Combined CashFlows_tijdseries 2" xfId="6938"/>
    <cellStyle name="_Heading_Combined CashFlows_tijdseries_bei rates" xfId="6302"/>
    <cellStyle name="_Heading_Combined CashFlows_tijdseries_par swap rates" xfId="5670"/>
    <cellStyle name="_Heading_Combined CashFlows_vpv" xfId="3721"/>
    <cellStyle name="_Heading_Combined CashFlows_vpv 2" xfId="6939"/>
    <cellStyle name="_Heading_Combined CashFlows_vpv return serie" xfId="3720"/>
    <cellStyle name="_Heading_Combined CashFlows_vpv return serie 2" xfId="6940"/>
    <cellStyle name="_Heading_Combined CashFlows_vpv return serie_bei rates" xfId="6304"/>
    <cellStyle name="_Heading_Combined CashFlows_vpv return serie_par swap rates" xfId="5672"/>
    <cellStyle name="_Heading_Combined CashFlows_vpv_bei rates" xfId="6303"/>
    <cellStyle name="_Heading_Combined CashFlows_vpv_par swap rates" xfId="5671"/>
    <cellStyle name="_Heading_FP Liabilities_19oct05 v2" xfId="881"/>
    <cellStyle name="_Heading_FP Liabilities_19oct05 v2 2" xfId="3267"/>
    <cellStyle name="_Heading_FP Liabilities_19oct05 v2 3" xfId="2192"/>
    <cellStyle name="_Heading_FP Liabilities_19oct05 v2_actuate" xfId="882"/>
    <cellStyle name="_Heading_FP Liabilities_19oct05 v2_actuate 2" xfId="3268"/>
    <cellStyle name="_Heading_FP Liabilities_19oct05 v2_actuate 3" xfId="2193"/>
    <cellStyle name="_Heading_FP Liabilities_19oct05 v2_actuate_cashflows corp" xfId="3719"/>
    <cellStyle name="_Heading_FP Liabilities_19oct05 v2_actuate_cashflows Gov't AAA" xfId="3718"/>
    <cellStyle name="_Heading_FP Liabilities_19oct05 v2_actuate_cashflows ilb" xfId="3717"/>
    <cellStyle name="_Heading_FP Liabilities_19oct05 v2_actuate_cashflows lang staats" xfId="3716"/>
    <cellStyle name="_Heading_FP Liabilities_19oct05 v2_actuate_cashflows pan european 500mm" xfId="3715"/>
    <cellStyle name="_Heading_FP Liabilities_19oct05 v2_actuate_cashflows staats" xfId="3714"/>
    <cellStyle name="_Heading_FP Liabilities_19oct05 v2_actuate_excess returns bm matching pf" xfId="3713"/>
    <cellStyle name="_Heading_FP Liabilities_19oct05 v2_actuate_ilb reeel only" xfId="3712"/>
    <cellStyle name="_Heading_FP Liabilities_19oct05 v2_actuate_nominale counterpart ilb" xfId="3711"/>
    <cellStyle name="_Heading_FP Liabilities_19oct05 v2_actuate_tijdseries" xfId="3710"/>
    <cellStyle name="_Heading_FP Liabilities_19oct05 v2_actuate_tijdseries 2" xfId="6941"/>
    <cellStyle name="_Heading_FP Liabilities_19oct05 v2_actuate_tijdseries_bei rates" xfId="6305"/>
    <cellStyle name="_Heading_FP Liabilities_19oct05 v2_actuate_tijdseries_par swap rates" xfId="5673"/>
    <cellStyle name="_Heading_FP Liabilities_19oct05 v2_actuate_vpv" xfId="3709"/>
    <cellStyle name="_Heading_FP Liabilities_19oct05 v2_actuate_vpv 2" xfId="6942"/>
    <cellStyle name="_Heading_FP Liabilities_19oct05 v2_actuate_vpv return serie" xfId="3708"/>
    <cellStyle name="_Heading_FP Liabilities_19oct05 v2_actuate_vpv return serie 2" xfId="6943"/>
    <cellStyle name="_Heading_FP Liabilities_19oct05 v2_actuate_vpv return serie_bei rates" xfId="6307"/>
    <cellStyle name="_Heading_FP Liabilities_19oct05 v2_actuate_vpv return serie_par swap rates" xfId="5675"/>
    <cellStyle name="_Heading_FP Liabilities_19oct05 v2_actuate_vpv_bei rates" xfId="6306"/>
    <cellStyle name="_Heading_FP Liabilities_19oct05 v2_actuate_vpv_par swap rates" xfId="5674"/>
    <cellStyle name="_Heading_FP Liabilities_19oct05 v2_beleggingen" xfId="3707"/>
    <cellStyle name="_Heading_FP Liabilities_19oct05 v2_beleggingen 2" xfId="6944"/>
    <cellStyle name="_Heading_FP Liabilities_19oct05 v2_beleggingen_bei rates" xfId="6308"/>
    <cellStyle name="_Heading_FP Liabilities_19oct05 v2_beleggingen_par swap rates" xfId="5676"/>
    <cellStyle name="_Heading_FP Liabilities_19oct05 v2_cashflows corp" xfId="3706"/>
    <cellStyle name="_Heading_FP Liabilities_19oct05 v2_cashflows Gov't AAA" xfId="3705"/>
    <cellStyle name="_Heading_FP Liabilities_19oct05 v2_cashflows ilb" xfId="3704"/>
    <cellStyle name="_Heading_FP Liabilities_19oct05 v2_cashflows lang staats" xfId="3703"/>
    <cellStyle name="_Heading_FP Liabilities_19oct05 v2_cashflows pan european 500mm" xfId="3702"/>
    <cellStyle name="_Heading_FP Liabilities_19oct05 v2_cashflows staats" xfId="3701"/>
    <cellStyle name="_Heading_FP Liabilities_19oct05 v2_dv01" xfId="883"/>
    <cellStyle name="_Heading_FP Liabilities_19oct05 v2_excess returns bm matching pf" xfId="3700"/>
    <cellStyle name="_Heading_FP Liabilities_19oct05 v2_feitelijk rendement" xfId="3699"/>
    <cellStyle name="_Heading_FP Liabilities_19oct05 v2_feitelijk rendement 2" xfId="6945"/>
    <cellStyle name="_Heading_FP Liabilities_19oct05 v2_feitelijk rendement_bei rates" xfId="6309"/>
    <cellStyle name="_Heading_FP Liabilities_19oct05 v2_feitelijk rendement_par swap rates" xfId="5677"/>
    <cellStyle name="_Heading_FP Liabilities_19oct05 v2_ilb reeel only" xfId="3698"/>
    <cellStyle name="_Heading_FP Liabilities_19oct05 v2_nominale counterpart ilb" xfId="3697"/>
    <cellStyle name="_Heading_FP Liabilities_19oct05 v2_tijdseries" xfId="3696"/>
    <cellStyle name="_Heading_FP Liabilities_19oct05 v2_tijdseries 2" xfId="6946"/>
    <cellStyle name="_Heading_FP Liabilities_19oct05 v2_tijdseries_bei rates" xfId="6310"/>
    <cellStyle name="_Heading_FP Liabilities_19oct05 v2_tijdseries_par swap rates" xfId="5678"/>
    <cellStyle name="_Heading_FP Liabilities_19oct05 v2_vpv" xfId="3695"/>
    <cellStyle name="_Heading_FP Liabilities_19oct05 v2_vpv 2" xfId="6947"/>
    <cellStyle name="_Heading_FP Liabilities_19oct05 v2_vpv return serie" xfId="3694"/>
    <cellStyle name="_Heading_FP Liabilities_19oct05 v2_vpv return serie 2" xfId="6948"/>
    <cellStyle name="_Heading_FP Liabilities_19oct05 v2_vpv return serie_bei rates" xfId="6312"/>
    <cellStyle name="_Heading_FP Liabilities_19oct05 v2_vpv return serie_par swap rates" xfId="5680"/>
    <cellStyle name="_Heading_FP Liabilities_19oct05 v2_vpv_bei rates" xfId="6311"/>
    <cellStyle name="_Heading_FP Liabilities_19oct05 v2_vpv_par swap rates" xfId="5679"/>
    <cellStyle name="_Heading_Govt Bond Data" xfId="884"/>
    <cellStyle name="_Heading_INF Benchmark " xfId="885"/>
    <cellStyle name="_Heading_InitialPosition" xfId="886"/>
    <cellStyle name="_Heading_IR Benchmark" xfId="887"/>
    <cellStyle name="_Heading_June 05 CF" xfId="888"/>
    <cellStyle name="_Heading_June 05 CF 2" xfId="3274"/>
    <cellStyle name="_Heading_June 05 CF 3" xfId="2194"/>
    <cellStyle name="_Heading_June 05 CF_actuate" xfId="889"/>
    <cellStyle name="_Heading_June 05 CF_actuate 2" xfId="3275"/>
    <cellStyle name="_Heading_June 05 CF_actuate 3" xfId="2195"/>
    <cellStyle name="_Heading_June 05 CF_actuate_cashflows corp" xfId="3693"/>
    <cellStyle name="_Heading_June 05 CF_actuate_cashflows Gov't AAA" xfId="3692"/>
    <cellStyle name="_Heading_June 05 CF_actuate_cashflows ilb" xfId="3691"/>
    <cellStyle name="_Heading_June 05 CF_actuate_cashflows lang staats" xfId="3690"/>
    <cellStyle name="_Heading_June 05 CF_actuate_cashflows pan european 500mm" xfId="3689"/>
    <cellStyle name="_Heading_June 05 CF_actuate_cashflows staats" xfId="3688"/>
    <cellStyle name="_Heading_June 05 CF_actuate_excess returns bm matching pf" xfId="3687"/>
    <cellStyle name="_Heading_June 05 CF_actuate_ilb reeel only" xfId="3686"/>
    <cellStyle name="_Heading_June 05 CF_actuate_nominale counterpart ilb" xfId="3685"/>
    <cellStyle name="_Heading_June 05 CF_actuate_tijdseries" xfId="3684"/>
    <cellStyle name="_Heading_June 05 CF_actuate_tijdseries 2" xfId="6949"/>
    <cellStyle name="_Heading_June 05 CF_actuate_tijdseries_bei rates" xfId="6313"/>
    <cellStyle name="_Heading_June 05 CF_actuate_tijdseries_par swap rates" xfId="5681"/>
    <cellStyle name="_Heading_June 05 CF_actuate_vpv" xfId="3683"/>
    <cellStyle name="_Heading_June 05 CF_actuate_vpv 2" xfId="6950"/>
    <cellStyle name="_Heading_June 05 CF_actuate_vpv return serie" xfId="3682"/>
    <cellStyle name="_Heading_June 05 CF_actuate_vpv return serie 2" xfId="6951"/>
    <cellStyle name="_Heading_June 05 CF_actuate_vpv return serie_bei rates" xfId="6315"/>
    <cellStyle name="_Heading_June 05 CF_actuate_vpv return serie_par swap rates" xfId="5683"/>
    <cellStyle name="_Heading_June 05 CF_actuate_vpv_bei rates" xfId="6314"/>
    <cellStyle name="_Heading_June 05 CF_actuate_vpv_par swap rates" xfId="5682"/>
    <cellStyle name="_Heading_June 05 CF_beleggingen" xfId="3681"/>
    <cellStyle name="_Heading_June 05 CF_beleggingen 2" xfId="6952"/>
    <cellStyle name="_Heading_June 05 CF_beleggingen_bei rates" xfId="6316"/>
    <cellStyle name="_Heading_June 05 CF_beleggingen_par swap rates" xfId="5684"/>
    <cellStyle name="_Heading_June 05 CF_cashflows corp" xfId="3680"/>
    <cellStyle name="_Heading_June 05 CF_cashflows Gov't AAA" xfId="3679"/>
    <cellStyle name="_Heading_June 05 CF_cashflows ilb" xfId="3678"/>
    <cellStyle name="_Heading_June 05 CF_cashflows lang staats" xfId="3677"/>
    <cellStyle name="_Heading_June 05 CF_cashflows pan european 500mm" xfId="3676"/>
    <cellStyle name="_Heading_June 05 CF_cashflows staats" xfId="3675"/>
    <cellStyle name="_Heading_June 05 CF_dv01" xfId="890"/>
    <cellStyle name="_Heading_June 05 CF_excess returns bm matching pf" xfId="3674"/>
    <cellStyle name="_Heading_June 05 CF_feitelijk rendement" xfId="3673"/>
    <cellStyle name="_Heading_June 05 CF_feitelijk rendement 2" xfId="6953"/>
    <cellStyle name="_Heading_June 05 CF_feitelijk rendement_bei rates" xfId="6317"/>
    <cellStyle name="_Heading_June 05 CF_feitelijk rendement_par swap rates" xfId="5685"/>
    <cellStyle name="_Heading_June 05 CF_ilb reeel only" xfId="3672"/>
    <cellStyle name="_Heading_June 05 CF_nominale counterpart ilb" xfId="3671"/>
    <cellStyle name="_Heading_June 05 CF_tijdseries" xfId="3670"/>
    <cellStyle name="_Heading_June 05 CF_tijdseries 2" xfId="6954"/>
    <cellStyle name="_Heading_June 05 CF_tijdseries_bei rates" xfId="6318"/>
    <cellStyle name="_Heading_June 05 CF_tijdseries_par swap rates" xfId="5686"/>
    <cellStyle name="_Heading_June 05 CF_vpv" xfId="3669"/>
    <cellStyle name="_Heading_June 05 CF_vpv 2" xfId="6955"/>
    <cellStyle name="_Heading_June 05 CF_vpv return serie" xfId="3668"/>
    <cellStyle name="_Heading_June 05 CF_vpv return serie 2" xfId="6956"/>
    <cellStyle name="_Heading_June 05 CF_vpv return serie_bei rates" xfId="6320"/>
    <cellStyle name="_Heading_June 05 CF_vpv return serie_par swap rates" xfId="5688"/>
    <cellStyle name="_Heading_June 05 CF_vpv_bei rates" xfId="6319"/>
    <cellStyle name="_Heading_June 05 CF_vpv_par swap rates" xfId="5687"/>
    <cellStyle name="_Heading_June05" xfId="891"/>
    <cellStyle name="_Heading_LDI Characts" xfId="892"/>
    <cellStyle name="_Heading_Liabs DV01" xfId="893"/>
    <cellStyle name="_Heading_Liabs DV01 2" xfId="3279"/>
    <cellStyle name="_Heading_Liabs DV01 3" xfId="2196"/>
    <cellStyle name="_Heading_Liabs DV01_actuate" xfId="894"/>
    <cellStyle name="_Heading_Liabs DV01_actuate 2" xfId="3280"/>
    <cellStyle name="_Heading_Liabs DV01_actuate 3" xfId="2197"/>
    <cellStyle name="_Heading_Liabs DV01_actuate_cashflows corp" xfId="3257"/>
    <cellStyle name="_Heading_Liabs DV01_actuate_cashflows Gov't AAA" xfId="3260"/>
    <cellStyle name="_Heading_Liabs DV01_actuate_cashflows ilb" xfId="3263"/>
    <cellStyle name="_Heading_Liabs DV01_actuate_cashflows lang staats" xfId="3266"/>
    <cellStyle name="_Heading_Liabs DV01_actuate_cashflows pan european 500mm" xfId="3269"/>
    <cellStyle name="_Heading_Liabs DV01_actuate_cashflows staats" xfId="3270"/>
    <cellStyle name="_Heading_Liabs DV01_actuate_excess returns bm matching pf" xfId="3271"/>
    <cellStyle name="_Heading_Liabs DV01_actuate_ilb reeel only" xfId="3272"/>
    <cellStyle name="_Heading_Liabs DV01_actuate_nominale counterpart ilb" xfId="3273"/>
    <cellStyle name="_Heading_Liabs DV01_actuate_tijdseries" xfId="3276"/>
    <cellStyle name="_Heading_Liabs DV01_actuate_tijdseries 2" xfId="6957"/>
    <cellStyle name="_Heading_Liabs DV01_actuate_tijdseries_bei rates" xfId="6321"/>
    <cellStyle name="_Heading_Liabs DV01_actuate_tijdseries_par swap rates" xfId="5689"/>
    <cellStyle name="_Heading_Liabs DV01_actuate_vpv" xfId="3277"/>
    <cellStyle name="_Heading_Liabs DV01_actuate_vpv 2" xfId="6958"/>
    <cellStyle name="_Heading_Liabs DV01_actuate_vpv return serie" xfId="3278"/>
    <cellStyle name="_Heading_Liabs DV01_actuate_vpv return serie 2" xfId="6959"/>
    <cellStyle name="_Heading_Liabs DV01_actuate_vpv return serie_bei rates" xfId="6323"/>
    <cellStyle name="_Heading_Liabs DV01_actuate_vpv return serie_par swap rates" xfId="5691"/>
    <cellStyle name="_Heading_Liabs DV01_actuate_vpv_bei rates" xfId="6322"/>
    <cellStyle name="_Heading_Liabs DV01_actuate_vpv_par swap rates" xfId="5690"/>
    <cellStyle name="_Heading_Liabs DV01_beleggingen" xfId="3281"/>
    <cellStyle name="_Heading_Liabs DV01_beleggingen 2" xfId="6960"/>
    <cellStyle name="_Heading_Liabs DV01_beleggingen_bei rates" xfId="6324"/>
    <cellStyle name="_Heading_Liabs DV01_beleggingen_par swap rates" xfId="5692"/>
    <cellStyle name="_Heading_Liabs DV01_cashflows corp" xfId="3284"/>
    <cellStyle name="_Heading_Liabs DV01_cashflows Gov't AAA" xfId="3287"/>
    <cellStyle name="_Heading_Liabs DV01_cashflows ilb" xfId="3290"/>
    <cellStyle name="_Heading_Liabs DV01_cashflows lang staats" xfId="3291"/>
    <cellStyle name="_Heading_Liabs DV01_cashflows pan european 500mm" xfId="3294"/>
    <cellStyle name="_Heading_Liabs DV01_cashflows staats" xfId="3297"/>
    <cellStyle name="_Heading_Liabs DV01_dv01" xfId="895"/>
    <cellStyle name="_Heading_Liabs DV01_excess returns bm matching pf" xfId="3298"/>
    <cellStyle name="_Heading_Liabs DV01_feitelijk rendement" xfId="3301"/>
    <cellStyle name="_Heading_Liabs DV01_feitelijk rendement 2" xfId="6961"/>
    <cellStyle name="_Heading_Liabs DV01_feitelijk rendement_bei rates" xfId="6325"/>
    <cellStyle name="_Heading_Liabs DV01_feitelijk rendement_par swap rates" xfId="5693"/>
    <cellStyle name="_Heading_Liabs DV01_ilb reeel only" xfId="3305"/>
    <cellStyle name="_Heading_Liabs DV01_nominale counterpart ilb" xfId="3308"/>
    <cellStyle name="_Heading_Liabs DV01_tijdseries" xfId="3311"/>
    <cellStyle name="_Heading_Liabs DV01_tijdseries 2" xfId="6962"/>
    <cellStyle name="_Heading_Liabs DV01_tijdseries_bei rates" xfId="6326"/>
    <cellStyle name="_Heading_Liabs DV01_tijdseries_par swap rates" xfId="5694"/>
    <cellStyle name="_Heading_Liabs DV01_vpv" xfId="3314"/>
    <cellStyle name="_Heading_Liabs DV01_vpv 2" xfId="6963"/>
    <cellStyle name="_Heading_Liabs DV01_vpv return serie" xfId="3317"/>
    <cellStyle name="_Heading_Liabs DV01_vpv return serie 2" xfId="6964"/>
    <cellStyle name="_Heading_Liabs DV01_vpv return serie_bei rates" xfId="6328"/>
    <cellStyle name="_Heading_Liabs DV01_vpv return serie_par swap rates" xfId="5696"/>
    <cellStyle name="_Heading_Liabs DV01_vpv_bei rates" xfId="6327"/>
    <cellStyle name="_Heading_Liabs DV01_vpv_par swap rates" xfId="5695"/>
    <cellStyle name="_Heading_Main" xfId="896"/>
    <cellStyle name="_Heading_Main 2" xfId="3282"/>
    <cellStyle name="_Heading_Main 3" xfId="2198"/>
    <cellStyle name="_Heading_Main_actuate" xfId="897"/>
    <cellStyle name="_Heading_Main_actuate 2" xfId="3283"/>
    <cellStyle name="_Heading_Main_actuate 3" xfId="2199"/>
    <cellStyle name="_Heading_Main_actuate_cashflows corp" xfId="3320"/>
    <cellStyle name="_Heading_Main_actuate_cashflows Gov't AAA" xfId="3321"/>
    <cellStyle name="_Heading_Main_actuate_cashflows ilb" xfId="3322"/>
    <cellStyle name="_Heading_Main_actuate_cashflows lang staats" xfId="3325"/>
    <cellStyle name="_Heading_Main_actuate_cashflows pan european 500mm" xfId="3326"/>
    <cellStyle name="_Heading_Main_actuate_cashflows staats" xfId="3327"/>
    <cellStyle name="_Heading_Main_actuate_excess returns bm matching pf" xfId="3330"/>
    <cellStyle name="_Heading_Main_actuate_ilb reeel only" xfId="3333"/>
    <cellStyle name="_Heading_Main_actuate_nominale counterpart ilb" xfId="3336"/>
    <cellStyle name="_Heading_Main_actuate_tijdseries" xfId="3339"/>
    <cellStyle name="_Heading_Main_actuate_tijdseries 2" xfId="6965"/>
    <cellStyle name="_Heading_Main_actuate_tijdseries_bei rates" xfId="6329"/>
    <cellStyle name="_Heading_Main_actuate_tijdseries_par swap rates" xfId="5697"/>
    <cellStyle name="_Heading_Main_actuate_vpv" xfId="3340"/>
    <cellStyle name="_Heading_Main_actuate_vpv 2" xfId="6966"/>
    <cellStyle name="_Heading_Main_actuate_vpv return serie" xfId="3343"/>
    <cellStyle name="_Heading_Main_actuate_vpv return serie 2" xfId="6967"/>
    <cellStyle name="_Heading_Main_actuate_vpv return serie_bei rates" xfId="6331"/>
    <cellStyle name="_Heading_Main_actuate_vpv return serie_par swap rates" xfId="5699"/>
    <cellStyle name="_Heading_Main_actuate_vpv_bei rates" xfId="6330"/>
    <cellStyle name="_Heading_Main_actuate_vpv_par swap rates" xfId="5698"/>
    <cellStyle name="_Heading_Main_beleggingen" xfId="3346"/>
    <cellStyle name="_Heading_Main_beleggingen 2" xfId="6968"/>
    <cellStyle name="_Heading_Main_beleggingen_bei rates" xfId="6332"/>
    <cellStyle name="_Heading_Main_beleggingen_par swap rates" xfId="5700"/>
    <cellStyle name="_Heading_Main_cashflows corp" xfId="3347"/>
    <cellStyle name="_Heading_Main_cashflows Gov't AAA" xfId="3348"/>
    <cellStyle name="_Heading_Main_cashflows ilb" xfId="3351"/>
    <cellStyle name="_Heading_Main_cashflows lang staats" xfId="3352"/>
    <cellStyle name="_Heading_Main_cashflows pan european 500mm" xfId="3355"/>
    <cellStyle name="_Heading_Main_cashflows staats" xfId="3358"/>
    <cellStyle name="_Heading_Main_dv01" xfId="898"/>
    <cellStyle name="_Heading_Main_excess returns bm matching pf" xfId="3363"/>
    <cellStyle name="_Heading_Main_feitelijk rendement" xfId="3366"/>
    <cellStyle name="_Heading_Main_feitelijk rendement 2" xfId="6969"/>
    <cellStyle name="_Heading_Main_feitelijk rendement_bei rates" xfId="6333"/>
    <cellStyle name="_Heading_Main_feitelijk rendement_par swap rates" xfId="5701"/>
    <cellStyle name="_Heading_Main_ilb reeel only" xfId="3367"/>
    <cellStyle name="_Heading_Main_nominale counterpart ilb" xfId="3368"/>
    <cellStyle name="_Heading_Main_tijdseries" xfId="3369"/>
    <cellStyle name="_Heading_Main_tijdseries 2" xfId="6970"/>
    <cellStyle name="_Heading_Main_tijdseries_bei rates" xfId="6334"/>
    <cellStyle name="_Heading_Main_tijdseries_par swap rates" xfId="5702"/>
    <cellStyle name="_Heading_Main_vpv" xfId="3370"/>
    <cellStyle name="_Heading_Main_vpv 2" xfId="6971"/>
    <cellStyle name="_Heading_Main_vpv return serie" xfId="3373"/>
    <cellStyle name="_Heading_Main_vpv return serie 2" xfId="6972"/>
    <cellStyle name="_Heading_Main_vpv return serie_bei rates" xfId="6336"/>
    <cellStyle name="_Heading_Main_vpv return serie_par swap rates" xfId="5704"/>
    <cellStyle name="_Heading_Main_vpv_bei rates" xfId="6335"/>
    <cellStyle name="_Heading_Main_vpv_par swap rates" xfId="5703"/>
    <cellStyle name="_Heading_Matching PV Cashflows" xfId="899"/>
    <cellStyle name="_Heading_Matching PV Cashflows 2" xfId="3285"/>
    <cellStyle name="_Heading_Matching PV Cashflows 3" xfId="2200"/>
    <cellStyle name="_Heading_Matching PV Cashflows_actuate" xfId="900"/>
    <cellStyle name="_Heading_Matching PV Cashflows_actuate 2" xfId="3286"/>
    <cellStyle name="_Heading_Matching PV Cashflows_actuate 3" xfId="2201"/>
    <cellStyle name="_Heading_Matching PV Cashflows_actuate_cashflows corp" xfId="3376"/>
    <cellStyle name="_Heading_Matching PV Cashflows_actuate_cashflows Gov't AAA" xfId="3379"/>
    <cellStyle name="_Heading_Matching PV Cashflows_actuate_cashflows ilb" xfId="3382"/>
    <cellStyle name="_Heading_Matching PV Cashflows_actuate_cashflows lang staats" xfId="3385"/>
    <cellStyle name="_Heading_Matching PV Cashflows_actuate_cashflows pan european 500mm" xfId="3386"/>
    <cellStyle name="_Heading_Matching PV Cashflows_actuate_cashflows staats" xfId="3389"/>
    <cellStyle name="_Heading_Matching PV Cashflows_actuate_excess returns bm matching pf" xfId="3392"/>
    <cellStyle name="_Heading_Matching PV Cashflows_actuate_ilb reeel only" xfId="3393"/>
    <cellStyle name="_Heading_Matching PV Cashflows_actuate_nominale counterpart ilb" xfId="3394"/>
    <cellStyle name="_Heading_Matching PV Cashflows_actuate_tijdseries" xfId="3397"/>
    <cellStyle name="_Heading_Matching PV Cashflows_actuate_tijdseries 2" xfId="6973"/>
    <cellStyle name="_Heading_Matching PV Cashflows_actuate_tijdseries_bei rates" xfId="6337"/>
    <cellStyle name="_Heading_Matching PV Cashflows_actuate_tijdseries_par swap rates" xfId="5705"/>
    <cellStyle name="_Heading_Matching PV Cashflows_actuate_vpv" xfId="3398"/>
    <cellStyle name="_Heading_Matching PV Cashflows_actuate_vpv 2" xfId="6974"/>
    <cellStyle name="_Heading_Matching PV Cashflows_actuate_vpv return serie" xfId="3401"/>
    <cellStyle name="_Heading_Matching PV Cashflows_actuate_vpv return serie 2" xfId="6975"/>
    <cellStyle name="_Heading_Matching PV Cashflows_actuate_vpv return serie_bei rates" xfId="6339"/>
    <cellStyle name="_Heading_Matching PV Cashflows_actuate_vpv return serie_par swap rates" xfId="5707"/>
    <cellStyle name="_Heading_Matching PV Cashflows_actuate_vpv_bei rates" xfId="6338"/>
    <cellStyle name="_Heading_Matching PV Cashflows_actuate_vpv_par swap rates" xfId="5706"/>
    <cellStyle name="_Heading_Matching PV Cashflows_beleggingen" xfId="3404"/>
    <cellStyle name="_Heading_Matching PV Cashflows_beleggingen 2" xfId="6976"/>
    <cellStyle name="_Heading_Matching PV Cashflows_beleggingen_bei rates" xfId="6340"/>
    <cellStyle name="_Heading_Matching PV Cashflows_beleggingen_par swap rates" xfId="5708"/>
    <cellStyle name="_Heading_Matching PV Cashflows_cashflows corp" xfId="3407"/>
    <cellStyle name="_Heading_Matching PV Cashflows_cashflows Gov't AAA" xfId="3410"/>
    <cellStyle name="_Heading_Matching PV Cashflows_cashflows ilb" xfId="3413"/>
    <cellStyle name="_Heading_Matching PV Cashflows_cashflows lang staats" xfId="3414"/>
    <cellStyle name="_Heading_Matching PV Cashflows_cashflows pan european 500mm" xfId="3415"/>
    <cellStyle name="_Heading_Matching PV Cashflows_cashflows staats" xfId="3416"/>
    <cellStyle name="_Heading_Matching PV Cashflows_dv01" xfId="901"/>
    <cellStyle name="_Heading_Matching PV Cashflows_excess returns bm matching pf" xfId="3420"/>
    <cellStyle name="_Heading_Matching PV Cashflows_feitelijk rendement" xfId="3421"/>
    <cellStyle name="_Heading_Matching PV Cashflows_feitelijk rendement 2" xfId="6977"/>
    <cellStyle name="_Heading_Matching PV Cashflows_feitelijk rendement_bei rates" xfId="6341"/>
    <cellStyle name="_Heading_Matching PV Cashflows_feitelijk rendement_par swap rates" xfId="5709"/>
    <cellStyle name="_Heading_Matching PV Cashflows_ilb reeel only" xfId="3424"/>
    <cellStyle name="_Heading_Matching PV Cashflows_nominale counterpart ilb" xfId="3427"/>
    <cellStyle name="_Heading_Matching PV Cashflows_tijdseries" xfId="3430"/>
    <cellStyle name="_Heading_Matching PV Cashflows_tijdseries 2" xfId="6978"/>
    <cellStyle name="_Heading_Matching PV Cashflows_tijdseries_bei rates" xfId="6342"/>
    <cellStyle name="_Heading_Matching PV Cashflows_tijdseries_par swap rates" xfId="5710"/>
    <cellStyle name="_Heading_Matching PV Cashflows_vpv" xfId="3433"/>
    <cellStyle name="_Heading_Matching PV Cashflows_vpv 2" xfId="6979"/>
    <cellStyle name="_Heading_Matching PV Cashflows_vpv return serie" xfId="3434"/>
    <cellStyle name="_Heading_Matching PV Cashflows_vpv return serie 2" xfId="6980"/>
    <cellStyle name="_Heading_Matching PV Cashflows_vpv return serie_bei rates" xfId="6344"/>
    <cellStyle name="_Heading_Matching PV Cashflows_vpv return serie_par swap rates" xfId="5712"/>
    <cellStyle name="_Heading_Matching PV Cashflows_vpv_bei rates" xfId="6343"/>
    <cellStyle name="_Heading_Matching PV Cashflows_vpv_par swap rates" xfId="5711"/>
    <cellStyle name="_Heading_ModelSetup" xfId="902"/>
    <cellStyle name="_Heading_ModelSetup 2" xfId="3288"/>
    <cellStyle name="_Heading_ModelSetup 3" xfId="2202"/>
    <cellStyle name="_Heading_ModelSetup_actuate" xfId="903"/>
    <cellStyle name="_Heading_ModelSetup_actuate 2" xfId="3289"/>
    <cellStyle name="_Heading_ModelSetup_actuate 3" xfId="2203"/>
    <cellStyle name="_Heading_ModelSetup_actuate_cashflows corp" xfId="3439"/>
    <cellStyle name="_Heading_ModelSetup_actuate_cashflows Gov't AAA" xfId="3440"/>
    <cellStyle name="_Heading_ModelSetup_actuate_cashflows ilb" xfId="3443"/>
    <cellStyle name="_Heading_ModelSetup_actuate_cashflows lang staats" xfId="3444"/>
    <cellStyle name="_Heading_ModelSetup_actuate_cashflows pan european 500mm" xfId="3447"/>
    <cellStyle name="_Heading_ModelSetup_actuate_cashflows staats" xfId="3450"/>
    <cellStyle name="_Heading_ModelSetup_actuate_excess returns bm matching pf" xfId="3453"/>
    <cellStyle name="_Heading_ModelSetup_actuate_ilb reeel only" xfId="3456"/>
    <cellStyle name="_Heading_ModelSetup_actuate_nominale counterpart ilb" xfId="3459"/>
    <cellStyle name="_Heading_ModelSetup_actuate_tijdseries" xfId="3460"/>
    <cellStyle name="_Heading_ModelSetup_actuate_tijdseries 2" xfId="6981"/>
    <cellStyle name="_Heading_ModelSetup_actuate_tijdseries_bei rates" xfId="6345"/>
    <cellStyle name="_Heading_ModelSetup_actuate_tijdseries_par swap rates" xfId="5713"/>
    <cellStyle name="_Heading_ModelSetup_actuate_vpv" xfId="3461"/>
    <cellStyle name="_Heading_ModelSetup_actuate_vpv 2" xfId="6982"/>
    <cellStyle name="_Heading_ModelSetup_actuate_vpv return serie" xfId="3462"/>
    <cellStyle name="_Heading_ModelSetup_actuate_vpv return serie 2" xfId="6983"/>
    <cellStyle name="_Heading_ModelSetup_actuate_vpv return serie_bei rates" xfId="6347"/>
    <cellStyle name="_Heading_ModelSetup_actuate_vpv return serie_par swap rates" xfId="5715"/>
    <cellStyle name="_Heading_ModelSetup_actuate_vpv_bei rates" xfId="6346"/>
    <cellStyle name="_Heading_ModelSetup_actuate_vpv_par swap rates" xfId="5714"/>
    <cellStyle name="_Heading_ModelSetup_beleggingen" xfId="3463"/>
    <cellStyle name="_Heading_ModelSetup_beleggingen 2" xfId="6984"/>
    <cellStyle name="_Heading_ModelSetup_beleggingen_bei rates" xfId="6348"/>
    <cellStyle name="_Heading_ModelSetup_beleggingen_par swap rates" xfId="5716"/>
    <cellStyle name="_Heading_ModelSetup_cashflows corp" xfId="3466"/>
    <cellStyle name="_Heading_ModelSetup_cashflows Gov't AAA" xfId="3467"/>
    <cellStyle name="_Heading_ModelSetup_cashflows ilb" xfId="3468"/>
    <cellStyle name="_Heading_ModelSetup_cashflows lang staats" xfId="3471"/>
    <cellStyle name="_Heading_ModelSetup_cashflows pan european 500mm" xfId="3474"/>
    <cellStyle name="_Heading_ModelSetup_cashflows staats" xfId="3477"/>
    <cellStyle name="_Heading_ModelSetup_dv01" xfId="904"/>
    <cellStyle name="_Heading_ModelSetup_excess returns bm matching pf" xfId="3480"/>
    <cellStyle name="_Heading_ModelSetup_feitelijk rendement" xfId="3483"/>
    <cellStyle name="_Heading_ModelSetup_feitelijk rendement 2" xfId="6985"/>
    <cellStyle name="_Heading_ModelSetup_feitelijk rendement_bei rates" xfId="6349"/>
    <cellStyle name="_Heading_ModelSetup_feitelijk rendement_par swap rates" xfId="5717"/>
    <cellStyle name="_Heading_ModelSetup_ilb reeel only" xfId="3486"/>
    <cellStyle name="_Heading_ModelSetup_nominale counterpart ilb" xfId="3487"/>
    <cellStyle name="_Heading_ModelSetup_tijdseries" xfId="3488"/>
    <cellStyle name="_Heading_ModelSetup_tijdseries 2" xfId="6986"/>
    <cellStyle name="_Heading_ModelSetup_tijdseries_bei rates" xfId="6350"/>
    <cellStyle name="_Heading_ModelSetup_tijdseries_par swap rates" xfId="5718"/>
    <cellStyle name="_Heading_ModelSetup_vpv" xfId="3491"/>
    <cellStyle name="_Heading_ModelSetup_vpv 2" xfId="6987"/>
    <cellStyle name="_Heading_ModelSetup_vpv return serie" xfId="3492"/>
    <cellStyle name="_Heading_ModelSetup_vpv return serie 2" xfId="6988"/>
    <cellStyle name="_Heading_ModelSetup_vpv return serie_bei rates" xfId="6352"/>
    <cellStyle name="_Heading_ModelSetup_vpv return serie_par swap rates" xfId="5720"/>
    <cellStyle name="_Heading_ModelSetup_vpv_bei rates" xfId="6351"/>
    <cellStyle name="_Heading_ModelSetup_vpv_par swap rates" xfId="5719"/>
    <cellStyle name="_Heading_PME Swaps" xfId="905"/>
    <cellStyle name="_Heading_Pricer" xfId="906"/>
    <cellStyle name="_Heading_Pricer 2" xfId="3292"/>
    <cellStyle name="_Heading_Pricer 3" xfId="2204"/>
    <cellStyle name="_Heading_Pricer_actuate" xfId="907"/>
    <cellStyle name="_Heading_Pricer_actuate 2" xfId="3293"/>
    <cellStyle name="_Heading_Pricer_actuate 3" xfId="2205"/>
    <cellStyle name="_Heading_Pricer_actuate_cashflows corp" xfId="3504"/>
    <cellStyle name="_Heading_Pricer_actuate_cashflows Gov't AAA" xfId="3505"/>
    <cellStyle name="_Heading_Pricer_actuate_cashflows ilb" xfId="3506"/>
    <cellStyle name="_Heading_Pricer_actuate_cashflows lang staats" xfId="3507"/>
    <cellStyle name="_Heading_Pricer_actuate_cashflows pan european 500mm" xfId="3508"/>
    <cellStyle name="_Heading_Pricer_actuate_cashflows staats" xfId="3511"/>
    <cellStyle name="_Heading_Pricer_actuate_excess returns bm matching pf" xfId="3512"/>
    <cellStyle name="_Heading_Pricer_actuate_ilb reeel only" xfId="3513"/>
    <cellStyle name="_Heading_Pricer_actuate_nominale counterpart ilb" xfId="3516"/>
    <cellStyle name="_Heading_Pricer_actuate_tijdseries" xfId="3519"/>
    <cellStyle name="_Heading_Pricer_actuate_tijdseries 2" xfId="6989"/>
    <cellStyle name="_Heading_Pricer_actuate_tijdseries_bei rates" xfId="6353"/>
    <cellStyle name="_Heading_Pricer_actuate_tijdseries_par swap rates" xfId="5721"/>
    <cellStyle name="_Heading_Pricer_actuate_vpv" xfId="3522"/>
    <cellStyle name="_Heading_Pricer_actuate_vpv 2" xfId="6990"/>
    <cellStyle name="_Heading_Pricer_actuate_vpv return serie" xfId="3525"/>
    <cellStyle name="_Heading_Pricer_actuate_vpv return serie 2" xfId="6991"/>
    <cellStyle name="_Heading_Pricer_actuate_vpv return serie_bei rates" xfId="6355"/>
    <cellStyle name="_Heading_Pricer_actuate_vpv return serie_par swap rates" xfId="5723"/>
    <cellStyle name="_Heading_Pricer_actuate_vpv_bei rates" xfId="6354"/>
    <cellStyle name="_Heading_Pricer_actuate_vpv_par swap rates" xfId="5722"/>
    <cellStyle name="_Heading_Pricer_beleggingen" xfId="3526"/>
    <cellStyle name="_Heading_Pricer_beleggingen 2" xfId="6992"/>
    <cellStyle name="_Heading_Pricer_beleggingen_bei rates" xfId="6356"/>
    <cellStyle name="_Heading_Pricer_beleggingen_par swap rates" xfId="5724"/>
    <cellStyle name="_Heading_Pricer_cashflows corp" xfId="3529"/>
    <cellStyle name="_Heading_Pricer_cashflows Gov't AAA" xfId="3532"/>
    <cellStyle name="_Heading_Pricer_cashflows ilb" xfId="3533"/>
    <cellStyle name="_Heading_Pricer_cashflows lang staats" xfId="3534"/>
    <cellStyle name="_Heading_Pricer_cashflows pan european 500mm" xfId="3537"/>
    <cellStyle name="_Heading_Pricer_cashflows staats" xfId="3538"/>
    <cellStyle name="_Heading_Pricer_dv01" xfId="908"/>
    <cellStyle name="_Heading_Pricer_excess returns bm matching pf" xfId="3539"/>
    <cellStyle name="_Heading_Pricer_feitelijk rendement" xfId="3540"/>
    <cellStyle name="_Heading_Pricer_feitelijk rendement 2" xfId="6993"/>
    <cellStyle name="_Heading_Pricer_feitelijk rendement_bei rates" xfId="6357"/>
    <cellStyle name="_Heading_Pricer_feitelijk rendement_par swap rates" xfId="5725"/>
    <cellStyle name="_Heading_Pricer_ilb reeel only" xfId="3541"/>
    <cellStyle name="_Heading_Pricer_nominale counterpart ilb" xfId="3542"/>
    <cellStyle name="_Heading_Pricer_tijdseries" xfId="3543"/>
    <cellStyle name="_Heading_Pricer_tijdseries 2" xfId="6994"/>
    <cellStyle name="_Heading_Pricer_tijdseries_bei rates" xfId="6358"/>
    <cellStyle name="_Heading_Pricer_tijdseries_par swap rates" xfId="5726"/>
    <cellStyle name="_Heading_Pricer_vpv" xfId="3544"/>
    <cellStyle name="_Heading_Pricer_vpv 2" xfId="6995"/>
    <cellStyle name="_Heading_Pricer_vpv return serie" xfId="3545"/>
    <cellStyle name="_Heading_Pricer_vpv return serie 2" xfId="6996"/>
    <cellStyle name="_Heading_Pricer_vpv return serie_bei rates" xfId="6360"/>
    <cellStyle name="_Heading_Pricer_vpv return serie_par swap rates" xfId="5728"/>
    <cellStyle name="_Heading_Pricer_vpv_bei rates" xfId="6359"/>
    <cellStyle name="_Heading_Pricer_vpv_par swap rates" xfId="5727"/>
    <cellStyle name="_Heading_Sheet1" xfId="909"/>
    <cellStyle name="_Heading_Sheet1 2" xfId="3295"/>
    <cellStyle name="_Heading_Sheet1 3" xfId="2206"/>
    <cellStyle name="_Heading_Sheet1_actuate" xfId="910"/>
    <cellStyle name="_Heading_Sheet1_actuate 2" xfId="3296"/>
    <cellStyle name="_Heading_Sheet1_actuate 3" xfId="2207"/>
    <cellStyle name="_Heading_Sheet1_actuate_cashflows corp" xfId="3546"/>
    <cellStyle name="_Heading_Sheet1_actuate_cashflows Gov't AAA" xfId="3547"/>
    <cellStyle name="_Heading_Sheet1_actuate_cashflows ilb" xfId="3548"/>
    <cellStyle name="_Heading_Sheet1_actuate_cashflows lang staats" xfId="3549"/>
    <cellStyle name="_Heading_Sheet1_actuate_cashflows pan european 500mm" xfId="3550"/>
    <cellStyle name="_Heading_Sheet1_actuate_cashflows staats" xfId="3551"/>
    <cellStyle name="_Heading_Sheet1_actuate_excess returns bm matching pf" xfId="3552"/>
    <cellStyle name="_Heading_Sheet1_actuate_ilb reeel only" xfId="3553"/>
    <cellStyle name="_Heading_Sheet1_actuate_nominale counterpart ilb" xfId="3554"/>
    <cellStyle name="_Heading_Sheet1_actuate_tijdseries" xfId="3555"/>
    <cellStyle name="_Heading_Sheet1_actuate_tijdseries 2" xfId="6997"/>
    <cellStyle name="_Heading_Sheet1_actuate_tijdseries_bei rates" xfId="6361"/>
    <cellStyle name="_Heading_Sheet1_actuate_tijdseries_par swap rates" xfId="5729"/>
    <cellStyle name="_Heading_Sheet1_actuate_vpv" xfId="3556"/>
    <cellStyle name="_Heading_Sheet1_actuate_vpv 2" xfId="6998"/>
    <cellStyle name="_Heading_Sheet1_actuate_vpv return serie" xfId="3557"/>
    <cellStyle name="_Heading_Sheet1_actuate_vpv return serie 2" xfId="6999"/>
    <cellStyle name="_Heading_Sheet1_actuate_vpv return serie_bei rates" xfId="6363"/>
    <cellStyle name="_Heading_Sheet1_actuate_vpv return serie_par swap rates" xfId="5731"/>
    <cellStyle name="_Heading_Sheet1_actuate_vpv_bei rates" xfId="6362"/>
    <cellStyle name="_Heading_Sheet1_actuate_vpv_par swap rates" xfId="5730"/>
    <cellStyle name="_Heading_Sheet1_beleggingen" xfId="3558"/>
    <cellStyle name="_Heading_Sheet1_beleggingen 2" xfId="7000"/>
    <cellStyle name="_Heading_Sheet1_beleggingen_bei rates" xfId="6364"/>
    <cellStyle name="_Heading_Sheet1_beleggingen_par swap rates" xfId="5732"/>
    <cellStyle name="_Heading_Sheet1_cashflows corp" xfId="3560"/>
    <cellStyle name="_Heading_Sheet1_cashflows Gov't AAA" xfId="3561"/>
    <cellStyle name="_Heading_Sheet1_cashflows ilb" xfId="3562"/>
    <cellStyle name="_Heading_Sheet1_cashflows lang staats" xfId="3563"/>
    <cellStyle name="_Heading_Sheet1_cashflows pan european 500mm" xfId="3566"/>
    <cellStyle name="_Heading_Sheet1_cashflows staats" xfId="3567"/>
    <cellStyle name="_Heading_Sheet1_dv01" xfId="911"/>
    <cellStyle name="_Heading_Sheet1_excess returns bm matching pf" xfId="3569"/>
    <cellStyle name="_Heading_Sheet1_feitelijk rendement" xfId="3570"/>
    <cellStyle name="_Heading_Sheet1_feitelijk rendement 2" xfId="7001"/>
    <cellStyle name="_Heading_Sheet1_feitelijk rendement_bei rates" xfId="6365"/>
    <cellStyle name="_Heading_Sheet1_feitelijk rendement_par swap rates" xfId="5733"/>
    <cellStyle name="_Heading_Sheet1_Gexa Multi Asset Path Generator" xfId="912"/>
    <cellStyle name="_Heading_Sheet1_ilb reeel only" xfId="3571"/>
    <cellStyle name="_Heading_Sheet1_nominale counterpart ilb" xfId="3572"/>
    <cellStyle name="_Heading_Sheet1_tijdseries" xfId="3574"/>
    <cellStyle name="_Heading_Sheet1_tijdseries 2" xfId="7002"/>
    <cellStyle name="_Heading_Sheet1_tijdseries_bei rates" xfId="6366"/>
    <cellStyle name="_Heading_Sheet1_tijdseries_par swap rates" xfId="5734"/>
    <cellStyle name="_Heading_Sheet1_vpv" xfId="3575"/>
    <cellStyle name="_Heading_Sheet1_vpv 2" xfId="7003"/>
    <cellStyle name="_Heading_Sheet1_vpv return serie" xfId="3576"/>
    <cellStyle name="_Heading_Sheet1_vpv return serie 2" xfId="7004"/>
    <cellStyle name="_Heading_Sheet1_vpv return serie_bei rates" xfId="6368"/>
    <cellStyle name="_Heading_Sheet1_vpv return serie_par swap rates" xfId="5736"/>
    <cellStyle name="_Heading_Sheet1_vpv_bei rates" xfId="6367"/>
    <cellStyle name="_Heading_Sheet1_vpv_par swap rates" xfId="5735"/>
    <cellStyle name="_Heading_SPP Values as at 12 June 05" xfId="913"/>
    <cellStyle name="_Heading_Tableau" xfId="914"/>
    <cellStyle name="_Heading_Tableau 2" xfId="3299"/>
    <cellStyle name="_Heading_Tableau 3" xfId="2208"/>
    <cellStyle name="_Heading_Tableau_actuate" xfId="915"/>
    <cellStyle name="_Heading_Tableau_actuate 2" xfId="3300"/>
    <cellStyle name="_Heading_Tableau_actuate 3" xfId="2209"/>
    <cellStyle name="_Heading_Tableau_actuate_cashflows corp" xfId="3580"/>
    <cellStyle name="_Heading_Tableau_actuate_cashflows Gov't AAA" xfId="3581"/>
    <cellStyle name="_Heading_Tableau_actuate_cashflows ilb" xfId="3582"/>
    <cellStyle name="_Heading_Tableau_actuate_cashflows lang staats" xfId="3584"/>
    <cellStyle name="_Heading_Tableau_actuate_cashflows pan european 500mm" xfId="3586"/>
    <cellStyle name="_Heading_Tableau_actuate_cashflows staats" xfId="3587"/>
    <cellStyle name="_Heading_Tableau_actuate_excess returns bm matching pf" xfId="3588"/>
    <cellStyle name="_Heading_Tableau_actuate_ilb reeel only" xfId="3589"/>
    <cellStyle name="_Heading_Tableau_actuate_nominale counterpart ilb" xfId="3590"/>
    <cellStyle name="_Heading_Tableau_actuate_tijdseries" xfId="3593"/>
    <cellStyle name="_Heading_Tableau_actuate_tijdseries 2" xfId="7005"/>
    <cellStyle name="_Heading_Tableau_actuate_tijdseries_bei rates" xfId="6369"/>
    <cellStyle name="_Heading_Tableau_actuate_tijdseries_par swap rates" xfId="5737"/>
    <cellStyle name="_Heading_Tableau_actuate_vpv" xfId="3594"/>
    <cellStyle name="_Heading_Tableau_actuate_vpv 2" xfId="7006"/>
    <cellStyle name="_Heading_Tableau_actuate_vpv return serie" xfId="3595"/>
    <cellStyle name="_Heading_Tableau_actuate_vpv return serie 2" xfId="7007"/>
    <cellStyle name="_Heading_Tableau_actuate_vpv return serie_bei rates" xfId="6371"/>
    <cellStyle name="_Heading_Tableau_actuate_vpv return serie_par swap rates" xfId="5739"/>
    <cellStyle name="_Heading_Tableau_actuate_vpv_bei rates" xfId="6370"/>
    <cellStyle name="_Heading_Tableau_actuate_vpv_par swap rates" xfId="5738"/>
    <cellStyle name="_Heading_Tableau_beleggingen" xfId="3596"/>
    <cellStyle name="_Heading_Tableau_beleggingen 2" xfId="7008"/>
    <cellStyle name="_Heading_Tableau_beleggingen_bei rates" xfId="6372"/>
    <cellStyle name="_Heading_Tableau_beleggingen_par swap rates" xfId="5740"/>
    <cellStyle name="_Heading_Tableau_cashflows corp" xfId="3597"/>
    <cellStyle name="_Heading_Tableau_cashflows Gov't AAA" xfId="3598"/>
    <cellStyle name="_Heading_Tableau_cashflows ilb" xfId="3599"/>
    <cellStyle name="_Heading_Tableau_cashflows lang staats" xfId="3600"/>
    <cellStyle name="_Heading_Tableau_cashflows pan european 500mm" xfId="3601"/>
    <cellStyle name="_Heading_Tableau_cashflows staats" xfId="3603"/>
    <cellStyle name="_Heading_Tableau_dv01" xfId="916"/>
    <cellStyle name="_Heading_Tableau_excess returns bm matching pf" xfId="3605"/>
    <cellStyle name="_Heading_Tableau_feitelijk rendement" xfId="3606"/>
    <cellStyle name="_Heading_Tableau_feitelijk rendement 2" xfId="7009"/>
    <cellStyle name="_Heading_Tableau_feitelijk rendement_bei rates" xfId="6373"/>
    <cellStyle name="_Heading_Tableau_feitelijk rendement_par swap rates" xfId="5741"/>
    <cellStyle name="_Heading_Tableau_ilb reeel only" xfId="3607"/>
    <cellStyle name="_Heading_Tableau_nominale counterpart ilb" xfId="3608"/>
    <cellStyle name="_Heading_Tableau_tijdseries" xfId="2391"/>
    <cellStyle name="_Heading_Tableau_tijdseries 2" xfId="7010"/>
    <cellStyle name="_Heading_Tableau_tijdseries_bei rates" xfId="6374"/>
    <cellStyle name="_Heading_Tableau_tijdseries_par swap rates" xfId="5742"/>
    <cellStyle name="_Heading_Tableau_vpv" xfId="3610"/>
    <cellStyle name="_Heading_Tableau_vpv 2" xfId="7011"/>
    <cellStyle name="_Heading_Tableau_vpv return serie" xfId="3611"/>
    <cellStyle name="_Heading_Tableau_vpv return serie 2" xfId="7012"/>
    <cellStyle name="_Heading_Tableau_vpv return serie_bei rates" xfId="6376"/>
    <cellStyle name="_Heading_Tableau_vpv return serie_par swap rates" xfId="5744"/>
    <cellStyle name="_Heading_Tableau_vpv_bei rates" xfId="6375"/>
    <cellStyle name="_Heading_Tableau_vpv_par swap rates" xfId="5743"/>
    <cellStyle name="_Highlight" xfId="917"/>
    <cellStyle name="_Highlight 2" xfId="3302"/>
    <cellStyle name="_Highlight 3" xfId="2210"/>
    <cellStyle name="_Liquidity" xfId="7646"/>
    <cellStyle name="_Multiple" xfId="918"/>
    <cellStyle name="_Multiple 2" xfId="3303"/>
    <cellStyle name="_Multiple 3" xfId="2211"/>
    <cellStyle name="_MultipleSpace" xfId="919"/>
    <cellStyle name="_MultipleSpace 2" xfId="3304"/>
    <cellStyle name="_MultipleSpace 3" xfId="2212"/>
    <cellStyle name="_paired spreads" xfId="7648"/>
    <cellStyle name="_S&amp;P Trailing-12-Month Default Rate" xfId="7657"/>
    <cellStyle name="_spread &amp; return forecast" xfId="7653"/>
    <cellStyle name="_SubHeading" xfId="920"/>
    <cellStyle name="_SubHeading_allocatie" xfId="921"/>
    <cellStyle name="_SubHeading_allocatie 2" xfId="3306"/>
    <cellStyle name="_SubHeading_allocatie 3" xfId="2213"/>
    <cellStyle name="_SubHeading_allocatie_actuate" xfId="922"/>
    <cellStyle name="_SubHeading_allocatie_actuate 2" xfId="3307"/>
    <cellStyle name="_SubHeading_allocatie_actuate 3" xfId="2214"/>
    <cellStyle name="_SubHeading_allocatie_actuate_cashflows corp" xfId="3615"/>
    <cellStyle name="_SubHeading_allocatie_actuate_cashflows Gov't AAA" xfId="3616"/>
    <cellStyle name="_SubHeading_allocatie_actuate_cashflows ilb" xfId="3617"/>
    <cellStyle name="_SubHeading_allocatie_actuate_cashflows lang staats" xfId="3619"/>
    <cellStyle name="_SubHeading_allocatie_actuate_cashflows pan european 500mm" xfId="3621"/>
    <cellStyle name="_SubHeading_allocatie_actuate_cashflows staats" xfId="3622"/>
    <cellStyle name="_SubHeading_allocatie_actuate_excess returns bm matching pf" xfId="3625"/>
    <cellStyle name="_SubHeading_allocatie_actuate_ilb reeel only" xfId="3626"/>
    <cellStyle name="_SubHeading_allocatie_actuate_nominale counterpart ilb" xfId="3628"/>
    <cellStyle name="_SubHeading_allocatie_actuate_tijdseries" xfId="3629"/>
    <cellStyle name="_SubHeading_allocatie_actuate_tijdseries 2" xfId="7013"/>
    <cellStyle name="_SubHeading_allocatie_actuate_tijdseries_bei rates" xfId="6377"/>
    <cellStyle name="_SubHeading_allocatie_actuate_tijdseries_par swap rates" xfId="5745"/>
    <cellStyle name="_SubHeading_allocatie_actuate_vpv" xfId="3632"/>
    <cellStyle name="_SubHeading_allocatie_actuate_vpv 2" xfId="7014"/>
    <cellStyle name="_SubHeading_allocatie_actuate_vpv return serie" xfId="3633"/>
    <cellStyle name="_SubHeading_allocatie_actuate_vpv return serie 2" xfId="7015"/>
    <cellStyle name="_SubHeading_allocatie_actuate_vpv return serie_bei rates" xfId="6379"/>
    <cellStyle name="_SubHeading_allocatie_actuate_vpv return serie_par swap rates" xfId="5747"/>
    <cellStyle name="_SubHeading_allocatie_actuate_vpv_bei rates" xfId="6378"/>
    <cellStyle name="_SubHeading_allocatie_actuate_vpv_par swap rates" xfId="5746"/>
    <cellStyle name="_SubHeading_allocatie_beleggingen" xfId="3636"/>
    <cellStyle name="_SubHeading_allocatie_beleggingen 2" xfId="7016"/>
    <cellStyle name="_SubHeading_allocatie_beleggingen_bei rates" xfId="6380"/>
    <cellStyle name="_SubHeading_allocatie_beleggingen_par swap rates" xfId="5748"/>
    <cellStyle name="_SubHeading_allocatie_cashflows corp" xfId="3637"/>
    <cellStyle name="_SubHeading_allocatie_cashflows Gov't AAA" xfId="3655"/>
    <cellStyle name="_SubHeading_allocatie_cashflows ilb" xfId="3656"/>
    <cellStyle name="_SubHeading_allocatie_cashflows lang staats" xfId="3657"/>
    <cellStyle name="_SubHeading_allocatie_cashflows pan european 500mm" xfId="3658"/>
    <cellStyle name="_SubHeading_allocatie_cashflows staats" xfId="3659"/>
    <cellStyle name="_SubHeading_allocatie_dv01" xfId="923"/>
    <cellStyle name="_SubHeading_allocatie_excess returns bm matching pf" xfId="3660"/>
    <cellStyle name="_SubHeading_allocatie_feitelijk rendement" xfId="3661"/>
    <cellStyle name="_SubHeading_allocatie_feitelijk rendement 2" xfId="7017"/>
    <cellStyle name="_SubHeading_allocatie_feitelijk rendement_bei rates" xfId="6381"/>
    <cellStyle name="_SubHeading_allocatie_feitelijk rendement_par swap rates" xfId="5749"/>
    <cellStyle name="_SubHeading_allocatie_ilb reeel only" xfId="3662"/>
    <cellStyle name="_SubHeading_allocatie_nominale counterpart ilb" xfId="3663"/>
    <cellStyle name="_SubHeading_allocatie_tijdseries" xfId="3664"/>
    <cellStyle name="_SubHeading_allocatie_tijdseries 2" xfId="7018"/>
    <cellStyle name="_SubHeading_allocatie_tijdseries_bei rates" xfId="6382"/>
    <cellStyle name="_SubHeading_allocatie_tijdseries_par swap rates" xfId="5750"/>
    <cellStyle name="_SubHeading_allocatie_vpv" xfId="3667"/>
    <cellStyle name="_SubHeading_allocatie_vpv 2" xfId="7019"/>
    <cellStyle name="_SubHeading_allocatie_vpv return serie" xfId="3863"/>
    <cellStyle name="_SubHeading_allocatie_vpv return serie 2" xfId="7020"/>
    <cellStyle name="_SubHeading_allocatie_vpv return serie_bei rates" xfId="6384"/>
    <cellStyle name="_SubHeading_allocatie_vpv return serie_par swap rates" xfId="5752"/>
    <cellStyle name="_SubHeading_allocatie_vpv_bei rates" xfId="6383"/>
    <cellStyle name="_SubHeading_allocatie_vpv_par swap rates" xfId="5751"/>
    <cellStyle name="_SubHeading_Asset Cashflows" xfId="924"/>
    <cellStyle name="_SubHeading_Asset Cashflows 2" xfId="3309"/>
    <cellStyle name="_SubHeading_Asset Cashflows 3" xfId="2215"/>
    <cellStyle name="_SubHeading_Asset Cashflows_actuate" xfId="925"/>
    <cellStyle name="_SubHeading_Asset Cashflows_actuate 2" xfId="3310"/>
    <cellStyle name="_SubHeading_Asset Cashflows_actuate 3" xfId="2216"/>
    <cellStyle name="_SubHeading_Asset Cashflows_actuate_cashflows corp" xfId="3864"/>
    <cellStyle name="_SubHeading_Asset Cashflows_actuate_cashflows Gov't AAA" xfId="3865"/>
    <cellStyle name="_SubHeading_Asset Cashflows_actuate_cashflows ilb" xfId="3866"/>
    <cellStyle name="_SubHeading_Asset Cashflows_actuate_cashflows lang staats" xfId="3867"/>
    <cellStyle name="_SubHeading_Asset Cashflows_actuate_cashflows pan european 500mm" xfId="3868"/>
    <cellStyle name="_SubHeading_Asset Cashflows_actuate_cashflows staats" xfId="3869"/>
    <cellStyle name="_SubHeading_Asset Cashflows_actuate_excess returns bm matching pf" xfId="3870"/>
    <cellStyle name="_SubHeading_Asset Cashflows_actuate_ilb reeel only" xfId="3871"/>
    <cellStyle name="_SubHeading_Asset Cashflows_actuate_nominale counterpart ilb" xfId="3872"/>
    <cellStyle name="_SubHeading_Asset Cashflows_actuate_tijdseries" xfId="3873"/>
    <cellStyle name="_SubHeading_Asset Cashflows_actuate_tijdseries 2" xfId="7021"/>
    <cellStyle name="_SubHeading_Asset Cashflows_actuate_tijdseries_bei rates" xfId="6385"/>
    <cellStyle name="_SubHeading_Asset Cashflows_actuate_tijdseries_par swap rates" xfId="5753"/>
    <cellStyle name="_SubHeading_Asset Cashflows_actuate_vpv" xfId="3874"/>
    <cellStyle name="_SubHeading_Asset Cashflows_actuate_vpv 2" xfId="7022"/>
    <cellStyle name="_SubHeading_Asset Cashflows_actuate_vpv return serie" xfId="3875"/>
    <cellStyle name="_SubHeading_Asset Cashflows_actuate_vpv return serie 2" xfId="7023"/>
    <cellStyle name="_SubHeading_Asset Cashflows_actuate_vpv return serie_bei rates" xfId="6387"/>
    <cellStyle name="_SubHeading_Asset Cashflows_actuate_vpv return serie_par swap rates" xfId="5755"/>
    <cellStyle name="_SubHeading_Asset Cashflows_actuate_vpv_bei rates" xfId="6386"/>
    <cellStyle name="_SubHeading_Asset Cashflows_actuate_vpv_par swap rates" xfId="5754"/>
    <cellStyle name="_SubHeading_Asset Cashflows_beleggingen" xfId="3876"/>
    <cellStyle name="_SubHeading_Asset Cashflows_beleggingen 2" xfId="7024"/>
    <cellStyle name="_SubHeading_Asset Cashflows_beleggingen_bei rates" xfId="6388"/>
    <cellStyle name="_SubHeading_Asset Cashflows_beleggingen_par swap rates" xfId="5756"/>
    <cellStyle name="_SubHeading_Asset Cashflows_cashflows corp" xfId="3877"/>
    <cellStyle name="_SubHeading_Asset Cashflows_cashflows Gov't AAA" xfId="3878"/>
    <cellStyle name="_SubHeading_Asset Cashflows_cashflows ilb" xfId="3879"/>
    <cellStyle name="_SubHeading_Asset Cashflows_cashflows lang staats" xfId="3880"/>
    <cellStyle name="_SubHeading_Asset Cashflows_cashflows pan european 500mm" xfId="3881"/>
    <cellStyle name="_SubHeading_Asset Cashflows_cashflows staats" xfId="3882"/>
    <cellStyle name="_SubHeading_Asset Cashflows_dv01" xfId="926"/>
    <cellStyle name="_SubHeading_Asset Cashflows_excess returns bm matching pf" xfId="3883"/>
    <cellStyle name="_SubHeading_Asset Cashflows_feitelijk rendement" xfId="3884"/>
    <cellStyle name="_SubHeading_Asset Cashflows_feitelijk rendement 2" xfId="7025"/>
    <cellStyle name="_SubHeading_Asset Cashflows_feitelijk rendement_bei rates" xfId="6389"/>
    <cellStyle name="_SubHeading_Asset Cashflows_feitelijk rendement_par swap rates" xfId="5757"/>
    <cellStyle name="_SubHeading_Asset Cashflows_ilb reeel only" xfId="3885"/>
    <cellStyle name="_SubHeading_Asset Cashflows_nominale counterpart ilb" xfId="3886"/>
    <cellStyle name="_SubHeading_Asset Cashflows_tijdseries" xfId="3887"/>
    <cellStyle name="_SubHeading_Asset Cashflows_tijdseries 2" xfId="7026"/>
    <cellStyle name="_SubHeading_Asset Cashflows_tijdseries_bei rates" xfId="6390"/>
    <cellStyle name="_SubHeading_Asset Cashflows_tijdseries_par swap rates" xfId="5758"/>
    <cellStyle name="_SubHeading_Asset Cashflows_vpv" xfId="3888"/>
    <cellStyle name="_SubHeading_Asset Cashflows_vpv 2" xfId="7027"/>
    <cellStyle name="_SubHeading_Asset Cashflows_vpv return serie" xfId="3889"/>
    <cellStyle name="_SubHeading_Asset Cashflows_vpv return serie 2" xfId="7028"/>
    <cellStyle name="_SubHeading_Asset Cashflows_vpv return serie_bei rates" xfId="6392"/>
    <cellStyle name="_SubHeading_Asset Cashflows_vpv return serie_par swap rates" xfId="5760"/>
    <cellStyle name="_SubHeading_Asset Cashflows_vpv_bei rates" xfId="6391"/>
    <cellStyle name="_SubHeading_Asset Cashflows_vpv_par swap rates" xfId="5759"/>
    <cellStyle name="_SubHeading_CashFlows " xfId="927"/>
    <cellStyle name="_SubHeading_CashFlows  2" xfId="3312"/>
    <cellStyle name="_SubHeading_CashFlows  3" xfId="2217"/>
    <cellStyle name="_SubHeading_CashFlows _actuate" xfId="928"/>
    <cellStyle name="_SubHeading_CashFlows _actuate 2" xfId="3313"/>
    <cellStyle name="_SubHeading_CashFlows _actuate 3" xfId="2218"/>
    <cellStyle name="_SubHeading_CashFlows _actuate_cashflows corp" xfId="3890"/>
    <cellStyle name="_SubHeading_CashFlows _actuate_cashflows Gov't AAA" xfId="3891"/>
    <cellStyle name="_SubHeading_CashFlows _actuate_cashflows ilb" xfId="3892"/>
    <cellStyle name="_SubHeading_CashFlows _actuate_cashflows lang staats" xfId="3893"/>
    <cellStyle name="_SubHeading_CashFlows _actuate_cashflows pan european 500mm" xfId="3894"/>
    <cellStyle name="_SubHeading_CashFlows _actuate_cashflows staats" xfId="3895"/>
    <cellStyle name="_SubHeading_CashFlows _actuate_excess returns bm matching pf" xfId="3896"/>
    <cellStyle name="_SubHeading_CashFlows _actuate_ilb reeel only" xfId="3897"/>
    <cellStyle name="_SubHeading_CashFlows _actuate_nominale counterpart ilb" xfId="3898"/>
    <cellStyle name="_SubHeading_CashFlows _actuate_tijdseries" xfId="3899"/>
    <cellStyle name="_SubHeading_CashFlows _actuate_tijdseries 2" xfId="7029"/>
    <cellStyle name="_SubHeading_CashFlows _actuate_tijdseries_bei rates" xfId="6393"/>
    <cellStyle name="_SubHeading_CashFlows _actuate_tijdseries_par swap rates" xfId="5761"/>
    <cellStyle name="_SubHeading_CashFlows _actuate_vpv" xfId="3900"/>
    <cellStyle name="_SubHeading_CashFlows _actuate_vpv 2" xfId="7030"/>
    <cellStyle name="_SubHeading_CashFlows _actuate_vpv return serie" xfId="3901"/>
    <cellStyle name="_SubHeading_CashFlows _actuate_vpv return serie 2" xfId="7031"/>
    <cellStyle name="_SubHeading_CashFlows _actuate_vpv return serie_bei rates" xfId="6395"/>
    <cellStyle name="_SubHeading_CashFlows _actuate_vpv return serie_par swap rates" xfId="5763"/>
    <cellStyle name="_SubHeading_CashFlows _actuate_vpv_bei rates" xfId="6394"/>
    <cellStyle name="_SubHeading_CashFlows _actuate_vpv_par swap rates" xfId="5762"/>
    <cellStyle name="_SubHeading_CashFlows _beleggingen" xfId="3902"/>
    <cellStyle name="_SubHeading_CashFlows _beleggingen 2" xfId="7032"/>
    <cellStyle name="_SubHeading_CashFlows _beleggingen_bei rates" xfId="6396"/>
    <cellStyle name="_SubHeading_CashFlows _beleggingen_par swap rates" xfId="5764"/>
    <cellStyle name="_SubHeading_CashFlows _cashflows corp" xfId="3903"/>
    <cellStyle name="_SubHeading_CashFlows _cashflows Gov't AAA" xfId="3904"/>
    <cellStyle name="_SubHeading_CashFlows _cashflows ilb" xfId="3905"/>
    <cellStyle name="_SubHeading_CashFlows _cashflows lang staats" xfId="3906"/>
    <cellStyle name="_SubHeading_CashFlows _cashflows pan european 500mm" xfId="3907"/>
    <cellStyle name="_SubHeading_CashFlows _cashflows staats" xfId="3908"/>
    <cellStyle name="_SubHeading_CashFlows _dv01" xfId="929"/>
    <cellStyle name="_SubHeading_CashFlows _excess returns bm matching pf" xfId="3909"/>
    <cellStyle name="_SubHeading_CashFlows _feitelijk rendement" xfId="3910"/>
    <cellStyle name="_SubHeading_CashFlows _feitelijk rendement 2" xfId="7033"/>
    <cellStyle name="_SubHeading_CashFlows _feitelijk rendement_bei rates" xfId="6397"/>
    <cellStyle name="_SubHeading_CashFlows _feitelijk rendement_par swap rates" xfId="5765"/>
    <cellStyle name="_SubHeading_CashFlows _ilb reeel only" xfId="3911"/>
    <cellStyle name="_SubHeading_CashFlows _nominale counterpart ilb" xfId="3912"/>
    <cellStyle name="_SubHeading_CashFlows _tijdseries" xfId="3913"/>
    <cellStyle name="_SubHeading_CashFlows _tijdseries 2" xfId="7034"/>
    <cellStyle name="_SubHeading_CashFlows _tijdseries_bei rates" xfId="6398"/>
    <cellStyle name="_SubHeading_CashFlows _tijdseries_par swap rates" xfId="5766"/>
    <cellStyle name="_SubHeading_CashFlows _vpv" xfId="3914"/>
    <cellStyle name="_SubHeading_CashFlows _vpv 2" xfId="7035"/>
    <cellStyle name="_SubHeading_CashFlows _vpv return serie" xfId="3915"/>
    <cellStyle name="_SubHeading_CashFlows _vpv return serie 2" xfId="7036"/>
    <cellStyle name="_SubHeading_CashFlows _vpv return serie_bei rates" xfId="6400"/>
    <cellStyle name="_SubHeading_CashFlows _vpv return serie_par swap rates" xfId="5768"/>
    <cellStyle name="_SubHeading_CashFlows _vpv_bei rates" xfId="6399"/>
    <cellStyle name="_SubHeading_CashFlows _vpv_par swap rates" xfId="5767"/>
    <cellStyle name="_SubHeading_Combined CashFlows" xfId="930"/>
    <cellStyle name="_SubHeading_Combined CashFlows 2" xfId="3315"/>
    <cellStyle name="_SubHeading_Combined CashFlows 3" xfId="2219"/>
    <cellStyle name="_SubHeading_Combined CashFlows_actuate" xfId="931"/>
    <cellStyle name="_SubHeading_Combined CashFlows_actuate 2" xfId="3316"/>
    <cellStyle name="_SubHeading_Combined CashFlows_actuate 3" xfId="2220"/>
    <cellStyle name="_SubHeading_Combined CashFlows_actuate_cashflows corp" xfId="3916"/>
    <cellStyle name="_SubHeading_Combined CashFlows_actuate_cashflows Gov't AAA" xfId="3917"/>
    <cellStyle name="_SubHeading_Combined CashFlows_actuate_cashflows ilb" xfId="3918"/>
    <cellStyle name="_SubHeading_Combined CashFlows_actuate_cashflows lang staats" xfId="3919"/>
    <cellStyle name="_SubHeading_Combined CashFlows_actuate_cashflows pan european 500mm" xfId="3920"/>
    <cellStyle name="_SubHeading_Combined CashFlows_actuate_cashflows staats" xfId="3921"/>
    <cellStyle name="_SubHeading_Combined CashFlows_actuate_excess returns bm matching pf" xfId="3922"/>
    <cellStyle name="_SubHeading_Combined CashFlows_actuate_ilb reeel only" xfId="3923"/>
    <cellStyle name="_SubHeading_Combined CashFlows_actuate_nominale counterpart ilb" xfId="3924"/>
    <cellStyle name="_SubHeading_Combined CashFlows_actuate_tijdseries" xfId="3925"/>
    <cellStyle name="_SubHeading_Combined CashFlows_actuate_tijdseries 2" xfId="7037"/>
    <cellStyle name="_SubHeading_Combined CashFlows_actuate_tijdseries_bei rates" xfId="6401"/>
    <cellStyle name="_SubHeading_Combined CashFlows_actuate_tijdseries_par swap rates" xfId="5769"/>
    <cellStyle name="_SubHeading_Combined CashFlows_actuate_vpv" xfId="3926"/>
    <cellStyle name="_SubHeading_Combined CashFlows_actuate_vpv 2" xfId="7038"/>
    <cellStyle name="_SubHeading_Combined CashFlows_actuate_vpv return serie" xfId="3927"/>
    <cellStyle name="_SubHeading_Combined CashFlows_actuate_vpv return serie 2" xfId="7039"/>
    <cellStyle name="_SubHeading_Combined CashFlows_actuate_vpv return serie_bei rates" xfId="6403"/>
    <cellStyle name="_SubHeading_Combined CashFlows_actuate_vpv return serie_par swap rates" xfId="5771"/>
    <cellStyle name="_SubHeading_Combined CashFlows_actuate_vpv_bei rates" xfId="6402"/>
    <cellStyle name="_SubHeading_Combined CashFlows_actuate_vpv_par swap rates" xfId="5770"/>
    <cellStyle name="_SubHeading_Combined CashFlows_beleggingen" xfId="3928"/>
    <cellStyle name="_SubHeading_Combined CashFlows_beleggingen 2" xfId="7040"/>
    <cellStyle name="_SubHeading_Combined CashFlows_beleggingen_bei rates" xfId="6404"/>
    <cellStyle name="_SubHeading_Combined CashFlows_beleggingen_par swap rates" xfId="5772"/>
    <cellStyle name="_SubHeading_Combined CashFlows_cashflows corp" xfId="3929"/>
    <cellStyle name="_SubHeading_Combined CashFlows_cashflows Gov't AAA" xfId="3930"/>
    <cellStyle name="_SubHeading_Combined CashFlows_cashflows ilb" xfId="3931"/>
    <cellStyle name="_SubHeading_Combined CashFlows_cashflows lang staats" xfId="3932"/>
    <cellStyle name="_SubHeading_Combined CashFlows_cashflows pan european 500mm" xfId="3933"/>
    <cellStyle name="_SubHeading_Combined CashFlows_cashflows staats" xfId="3934"/>
    <cellStyle name="_SubHeading_Combined CashFlows_dv01" xfId="932"/>
    <cellStyle name="_SubHeading_Combined CashFlows_excess returns bm matching pf" xfId="3935"/>
    <cellStyle name="_SubHeading_Combined CashFlows_feitelijk rendement" xfId="3936"/>
    <cellStyle name="_SubHeading_Combined CashFlows_feitelijk rendement 2" xfId="7041"/>
    <cellStyle name="_SubHeading_Combined CashFlows_feitelijk rendement_bei rates" xfId="6405"/>
    <cellStyle name="_SubHeading_Combined CashFlows_feitelijk rendement_par swap rates" xfId="5773"/>
    <cellStyle name="_SubHeading_Combined CashFlows_ilb reeel only" xfId="3937"/>
    <cellStyle name="_SubHeading_Combined CashFlows_nominale counterpart ilb" xfId="3938"/>
    <cellStyle name="_SubHeading_Combined CashFlows_tijdseries" xfId="3939"/>
    <cellStyle name="_SubHeading_Combined CashFlows_tijdseries 2" xfId="7042"/>
    <cellStyle name="_SubHeading_Combined CashFlows_tijdseries_bei rates" xfId="6406"/>
    <cellStyle name="_SubHeading_Combined CashFlows_tijdseries_par swap rates" xfId="5774"/>
    <cellStyle name="_SubHeading_Combined CashFlows_vpv" xfId="3940"/>
    <cellStyle name="_SubHeading_Combined CashFlows_vpv 2" xfId="7043"/>
    <cellStyle name="_SubHeading_Combined CashFlows_vpv return serie" xfId="3941"/>
    <cellStyle name="_SubHeading_Combined CashFlows_vpv return serie 2" xfId="7044"/>
    <cellStyle name="_SubHeading_Combined CashFlows_vpv return serie_bei rates" xfId="6408"/>
    <cellStyle name="_SubHeading_Combined CashFlows_vpv return serie_par swap rates" xfId="5776"/>
    <cellStyle name="_SubHeading_Combined CashFlows_vpv_bei rates" xfId="6407"/>
    <cellStyle name="_SubHeading_Combined CashFlows_vpv_par swap rates" xfId="5775"/>
    <cellStyle name="_SubHeading_FP Liabilities_19oct05 v2" xfId="933"/>
    <cellStyle name="_SubHeading_FP Liabilities_19oct05 v2 2" xfId="3318"/>
    <cellStyle name="_SubHeading_FP Liabilities_19oct05 v2 3" xfId="2221"/>
    <cellStyle name="_SubHeading_FP Liabilities_19oct05 v2_actuate" xfId="934"/>
    <cellStyle name="_SubHeading_FP Liabilities_19oct05 v2_actuate 2" xfId="3319"/>
    <cellStyle name="_SubHeading_FP Liabilities_19oct05 v2_actuate 3" xfId="2222"/>
    <cellStyle name="_SubHeading_FP Liabilities_19oct05 v2_actuate_cashflows corp" xfId="3942"/>
    <cellStyle name="_SubHeading_FP Liabilities_19oct05 v2_actuate_cashflows Gov't AAA" xfId="3943"/>
    <cellStyle name="_SubHeading_FP Liabilities_19oct05 v2_actuate_cashflows ilb" xfId="3944"/>
    <cellStyle name="_SubHeading_FP Liabilities_19oct05 v2_actuate_cashflows lang staats" xfId="3945"/>
    <cellStyle name="_SubHeading_FP Liabilities_19oct05 v2_actuate_cashflows pan european 500mm" xfId="3946"/>
    <cellStyle name="_SubHeading_FP Liabilities_19oct05 v2_actuate_cashflows staats" xfId="3947"/>
    <cellStyle name="_SubHeading_FP Liabilities_19oct05 v2_actuate_excess returns bm matching pf" xfId="3948"/>
    <cellStyle name="_SubHeading_FP Liabilities_19oct05 v2_actuate_ilb reeel only" xfId="3949"/>
    <cellStyle name="_SubHeading_FP Liabilities_19oct05 v2_actuate_nominale counterpart ilb" xfId="3950"/>
    <cellStyle name="_SubHeading_FP Liabilities_19oct05 v2_actuate_tijdseries" xfId="3951"/>
    <cellStyle name="_SubHeading_FP Liabilities_19oct05 v2_actuate_tijdseries 2" xfId="7045"/>
    <cellStyle name="_SubHeading_FP Liabilities_19oct05 v2_actuate_tijdseries_bei rates" xfId="6409"/>
    <cellStyle name="_SubHeading_FP Liabilities_19oct05 v2_actuate_tijdseries_par swap rates" xfId="5777"/>
    <cellStyle name="_SubHeading_FP Liabilities_19oct05 v2_actuate_vpv" xfId="3952"/>
    <cellStyle name="_SubHeading_FP Liabilities_19oct05 v2_actuate_vpv 2" xfId="7046"/>
    <cellStyle name="_SubHeading_FP Liabilities_19oct05 v2_actuate_vpv return serie" xfId="3953"/>
    <cellStyle name="_SubHeading_FP Liabilities_19oct05 v2_actuate_vpv return serie 2" xfId="7047"/>
    <cellStyle name="_SubHeading_FP Liabilities_19oct05 v2_actuate_vpv return serie_bei rates" xfId="6411"/>
    <cellStyle name="_SubHeading_FP Liabilities_19oct05 v2_actuate_vpv return serie_par swap rates" xfId="5779"/>
    <cellStyle name="_SubHeading_FP Liabilities_19oct05 v2_actuate_vpv_bei rates" xfId="6410"/>
    <cellStyle name="_SubHeading_FP Liabilities_19oct05 v2_actuate_vpv_par swap rates" xfId="5778"/>
    <cellStyle name="_SubHeading_FP Liabilities_19oct05 v2_beleggingen" xfId="3954"/>
    <cellStyle name="_SubHeading_FP Liabilities_19oct05 v2_beleggingen 2" xfId="7048"/>
    <cellStyle name="_SubHeading_FP Liabilities_19oct05 v2_beleggingen_bei rates" xfId="6412"/>
    <cellStyle name="_SubHeading_FP Liabilities_19oct05 v2_beleggingen_par swap rates" xfId="5780"/>
    <cellStyle name="_SubHeading_FP Liabilities_19oct05 v2_cashflows corp" xfId="3955"/>
    <cellStyle name="_SubHeading_FP Liabilities_19oct05 v2_cashflows Gov't AAA" xfId="3956"/>
    <cellStyle name="_SubHeading_FP Liabilities_19oct05 v2_cashflows ilb" xfId="3957"/>
    <cellStyle name="_SubHeading_FP Liabilities_19oct05 v2_cashflows lang staats" xfId="3958"/>
    <cellStyle name="_SubHeading_FP Liabilities_19oct05 v2_cashflows pan european 500mm" xfId="3959"/>
    <cellStyle name="_SubHeading_FP Liabilities_19oct05 v2_cashflows staats" xfId="3960"/>
    <cellStyle name="_SubHeading_FP Liabilities_19oct05 v2_dv01" xfId="935"/>
    <cellStyle name="_SubHeading_FP Liabilities_19oct05 v2_excess returns bm matching pf" xfId="3961"/>
    <cellStyle name="_SubHeading_FP Liabilities_19oct05 v2_feitelijk rendement" xfId="3962"/>
    <cellStyle name="_SubHeading_FP Liabilities_19oct05 v2_feitelijk rendement 2" xfId="7049"/>
    <cellStyle name="_SubHeading_FP Liabilities_19oct05 v2_feitelijk rendement_bei rates" xfId="6413"/>
    <cellStyle name="_SubHeading_FP Liabilities_19oct05 v2_feitelijk rendement_par swap rates" xfId="5781"/>
    <cellStyle name="_SubHeading_FP Liabilities_19oct05 v2_ilb reeel only" xfId="3963"/>
    <cellStyle name="_SubHeading_FP Liabilities_19oct05 v2_nominale counterpart ilb" xfId="3964"/>
    <cellStyle name="_SubHeading_FP Liabilities_19oct05 v2_tijdseries" xfId="3965"/>
    <cellStyle name="_SubHeading_FP Liabilities_19oct05 v2_tijdseries 2" xfId="7050"/>
    <cellStyle name="_SubHeading_FP Liabilities_19oct05 v2_tijdseries_bei rates" xfId="6414"/>
    <cellStyle name="_SubHeading_FP Liabilities_19oct05 v2_tijdseries_par swap rates" xfId="5782"/>
    <cellStyle name="_SubHeading_FP Liabilities_19oct05 v2_vpv" xfId="3966"/>
    <cellStyle name="_SubHeading_FP Liabilities_19oct05 v2_vpv 2" xfId="7051"/>
    <cellStyle name="_SubHeading_FP Liabilities_19oct05 v2_vpv return serie" xfId="3967"/>
    <cellStyle name="_SubHeading_FP Liabilities_19oct05 v2_vpv return serie 2" xfId="7052"/>
    <cellStyle name="_SubHeading_FP Liabilities_19oct05 v2_vpv return serie_bei rates" xfId="6416"/>
    <cellStyle name="_SubHeading_FP Liabilities_19oct05 v2_vpv return serie_par swap rates" xfId="5784"/>
    <cellStyle name="_SubHeading_FP Liabilities_19oct05 v2_vpv_bei rates" xfId="6415"/>
    <cellStyle name="_SubHeading_FP Liabilities_19oct05 v2_vpv_par swap rates" xfId="5783"/>
    <cellStyle name="_SubHeading_Govt Bond Data" xfId="936"/>
    <cellStyle name="_SubHeading_INF Benchmark " xfId="937"/>
    <cellStyle name="_SubHeading_InitialPosition" xfId="938"/>
    <cellStyle name="_SubHeading_IR Benchmark" xfId="939"/>
    <cellStyle name="_SubHeading_June 05 CF" xfId="940"/>
    <cellStyle name="_SubHeading_June 05 CF 2" xfId="3323"/>
    <cellStyle name="_SubHeading_June 05 CF 3" xfId="2223"/>
    <cellStyle name="_SubHeading_June 05 CF_actuate" xfId="941"/>
    <cellStyle name="_SubHeading_June 05 CF_actuate 2" xfId="3324"/>
    <cellStyle name="_SubHeading_June 05 CF_actuate 3" xfId="2224"/>
    <cellStyle name="_SubHeading_June 05 CF_actuate_cashflows corp" xfId="3968"/>
    <cellStyle name="_SubHeading_June 05 CF_actuate_cashflows Gov't AAA" xfId="3969"/>
    <cellStyle name="_SubHeading_June 05 CF_actuate_cashflows ilb" xfId="3970"/>
    <cellStyle name="_SubHeading_June 05 CF_actuate_cashflows lang staats" xfId="3971"/>
    <cellStyle name="_SubHeading_June 05 CF_actuate_cashflows pan european 500mm" xfId="3972"/>
    <cellStyle name="_SubHeading_June 05 CF_actuate_cashflows staats" xfId="3973"/>
    <cellStyle name="_SubHeading_June 05 CF_actuate_excess returns bm matching pf" xfId="3974"/>
    <cellStyle name="_SubHeading_June 05 CF_actuate_ilb reeel only" xfId="3975"/>
    <cellStyle name="_SubHeading_June 05 CF_actuate_nominale counterpart ilb" xfId="3976"/>
    <cellStyle name="_SubHeading_June 05 CF_actuate_tijdseries" xfId="3977"/>
    <cellStyle name="_SubHeading_June 05 CF_actuate_tijdseries 2" xfId="7053"/>
    <cellStyle name="_SubHeading_June 05 CF_actuate_tijdseries_bei rates" xfId="6417"/>
    <cellStyle name="_SubHeading_June 05 CF_actuate_tijdseries_par swap rates" xfId="5785"/>
    <cellStyle name="_SubHeading_June 05 CF_actuate_vpv" xfId="3978"/>
    <cellStyle name="_SubHeading_June 05 CF_actuate_vpv 2" xfId="7054"/>
    <cellStyle name="_SubHeading_June 05 CF_actuate_vpv return serie" xfId="3979"/>
    <cellStyle name="_SubHeading_June 05 CF_actuate_vpv return serie 2" xfId="7055"/>
    <cellStyle name="_SubHeading_June 05 CF_actuate_vpv return serie_bei rates" xfId="6419"/>
    <cellStyle name="_SubHeading_June 05 CF_actuate_vpv return serie_par swap rates" xfId="5787"/>
    <cellStyle name="_SubHeading_June 05 CF_actuate_vpv_bei rates" xfId="6418"/>
    <cellStyle name="_SubHeading_June 05 CF_actuate_vpv_par swap rates" xfId="5786"/>
    <cellStyle name="_SubHeading_June 05 CF_beleggingen" xfId="3980"/>
    <cellStyle name="_SubHeading_June 05 CF_beleggingen 2" xfId="7056"/>
    <cellStyle name="_SubHeading_June 05 CF_beleggingen_bei rates" xfId="6420"/>
    <cellStyle name="_SubHeading_June 05 CF_beleggingen_par swap rates" xfId="5788"/>
    <cellStyle name="_SubHeading_June 05 CF_cashflows corp" xfId="3981"/>
    <cellStyle name="_SubHeading_June 05 CF_cashflows Gov't AAA" xfId="3982"/>
    <cellStyle name="_SubHeading_June 05 CF_cashflows ilb" xfId="3983"/>
    <cellStyle name="_SubHeading_June 05 CF_cashflows lang staats" xfId="3984"/>
    <cellStyle name="_SubHeading_June 05 CF_cashflows pan european 500mm" xfId="3985"/>
    <cellStyle name="_SubHeading_June 05 CF_cashflows staats" xfId="3986"/>
    <cellStyle name="_SubHeading_June 05 CF_dv01" xfId="942"/>
    <cellStyle name="_SubHeading_June 05 CF_excess returns bm matching pf" xfId="3987"/>
    <cellStyle name="_SubHeading_June 05 CF_feitelijk rendement" xfId="3988"/>
    <cellStyle name="_SubHeading_June 05 CF_feitelijk rendement 2" xfId="7057"/>
    <cellStyle name="_SubHeading_June 05 CF_feitelijk rendement_bei rates" xfId="6421"/>
    <cellStyle name="_SubHeading_June 05 CF_feitelijk rendement_par swap rates" xfId="5789"/>
    <cellStyle name="_SubHeading_June 05 CF_ilb reeel only" xfId="3989"/>
    <cellStyle name="_SubHeading_June 05 CF_nominale counterpart ilb" xfId="3990"/>
    <cellStyle name="_SubHeading_June 05 CF_tijdseries" xfId="3991"/>
    <cellStyle name="_SubHeading_June 05 CF_tijdseries 2" xfId="7058"/>
    <cellStyle name="_SubHeading_June 05 CF_tijdseries_bei rates" xfId="6422"/>
    <cellStyle name="_SubHeading_June 05 CF_tijdseries_par swap rates" xfId="5790"/>
    <cellStyle name="_SubHeading_June 05 CF_vpv" xfId="3992"/>
    <cellStyle name="_SubHeading_June 05 CF_vpv 2" xfId="7059"/>
    <cellStyle name="_SubHeading_June 05 CF_vpv return serie" xfId="3993"/>
    <cellStyle name="_SubHeading_June 05 CF_vpv return serie 2" xfId="7060"/>
    <cellStyle name="_SubHeading_June 05 CF_vpv return serie_bei rates" xfId="6424"/>
    <cellStyle name="_SubHeading_June 05 CF_vpv return serie_par swap rates" xfId="5792"/>
    <cellStyle name="_SubHeading_June 05 CF_vpv_bei rates" xfId="6423"/>
    <cellStyle name="_SubHeading_June 05 CF_vpv_par swap rates" xfId="5791"/>
    <cellStyle name="_SubHeading_June05" xfId="943"/>
    <cellStyle name="_SubHeading_LDI Characts" xfId="944"/>
    <cellStyle name="_SubHeading_Liabs DV01" xfId="945"/>
    <cellStyle name="_SubHeading_Liabs DV01 2" xfId="3328"/>
    <cellStyle name="_SubHeading_Liabs DV01 3" xfId="2225"/>
    <cellStyle name="_SubHeading_Liabs DV01_actuate" xfId="946"/>
    <cellStyle name="_SubHeading_Liabs DV01_actuate 2" xfId="3329"/>
    <cellStyle name="_SubHeading_Liabs DV01_actuate 3" xfId="2226"/>
    <cellStyle name="_SubHeading_Liabs DV01_actuate_cashflows corp" xfId="3994"/>
    <cellStyle name="_SubHeading_Liabs DV01_actuate_cashflows Gov't AAA" xfId="3995"/>
    <cellStyle name="_SubHeading_Liabs DV01_actuate_cashflows ilb" xfId="3996"/>
    <cellStyle name="_SubHeading_Liabs DV01_actuate_cashflows lang staats" xfId="3997"/>
    <cellStyle name="_SubHeading_Liabs DV01_actuate_cashflows pan european 500mm" xfId="3998"/>
    <cellStyle name="_SubHeading_Liabs DV01_actuate_cashflows staats" xfId="3999"/>
    <cellStyle name="_SubHeading_Liabs DV01_actuate_excess returns bm matching pf" xfId="4000"/>
    <cellStyle name="_SubHeading_Liabs DV01_actuate_ilb reeel only" xfId="4001"/>
    <cellStyle name="_SubHeading_Liabs DV01_actuate_nominale counterpart ilb" xfId="4002"/>
    <cellStyle name="_SubHeading_Liabs DV01_actuate_tijdseries" xfId="4003"/>
    <cellStyle name="_SubHeading_Liabs DV01_actuate_tijdseries 2" xfId="7061"/>
    <cellStyle name="_SubHeading_Liabs DV01_actuate_tijdseries_bei rates" xfId="6425"/>
    <cellStyle name="_SubHeading_Liabs DV01_actuate_tijdseries_par swap rates" xfId="5793"/>
    <cellStyle name="_SubHeading_Liabs DV01_actuate_vpv" xfId="4004"/>
    <cellStyle name="_SubHeading_Liabs DV01_actuate_vpv 2" xfId="7062"/>
    <cellStyle name="_SubHeading_Liabs DV01_actuate_vpv return serie" xfId="4005"/>
    <cellStyle name="_SubHeading_Liabs DV01_actuate_vpv return serie 2" xfId="7063"/>
    <cellStyle name="_SubHeading_Liabs DV01_actuate_vpv return serie_bei rates" xfId="6427"/>
    <cellStyle name="_SubHeading_Liabs DV01_actuate_vpv return serie_par swap rates" xfId="5795"/>
    <cellStyle name="_SubHeading_Liabs DV01_actuate_vpv_bei rates" xfId="6426"/>
    <cellStyle name="_SubHeading_Liabs DV01_actuate_vpv_par swap rates" xfId="5794"/>
    <cellStyle name="_SubHeading_Liabs DV01_beleggingen" xfId="4006"/>
    <cellStyle name="_SubHeading_Liabs DV01_beleggingen 2" xfId="7064"/>
    <cellStyle name="_SubHeading_Liabs DV01_beleggingen_bei rates" xfId="6428"/>
    <cellStyle name="_SubHeading_Liabs DV01_beleggingen_par swap rates" xfId="5796"/>
    <cellStyle name="_SubHeading_Liabs DV01_cashflows corp" xfId="4007"/>
    <cellStyle name="_SubHeading_Liabs DV01_cashflows Gov't AAA" xfId="4008"/>
    <cellStyle name="_SubHeading_Liabs DV01_cashflows ilb" xfId="4009"/>
    <cellStyle name="_SubHeading_Liabs DV01_cashflows lang staats" xfId="4010"/>
    <cellStyle name="_SubHeading_Liabs DV01_cashflows pan european 500mm" xfId="4011"/>
    <cellStyle name="_SubHeading_Liabs DV01_cashflows staats" xfId="4012"/>
    <cellStyle name="_SubHeading_Liabs DV01_dv01" xfId="947"/>
    <cellStyle name="_SubHeading_Liabs DV01_excess returns bm matching pf" xfId="4013"/>
    <cellStyle name="_SubHeading_Liabs DV01_feitelijk rendement" xfId="4014"/>
    <cellStyle name="_SubHeading_Liabs DV01_feitelijk rendement 2" xfId="7065"/>
    <cellStyle name="_SubHeading_Liabs DV01_feitelijk rendement_bei rates" xfId="6429"/>
    <cellStyle name="_SubHeading_Liabs DV01_feitelijk rendement_par swap rates" xfId="5797"/>
    <cellStyle name="_SubHeading_Liabs DV01_ilb reeel only" xfId="4015"/>
    <cellStyle name="_SubHeading_Liabs DV01_nominale counterpart ilb" xfId="4016"/>
    <cellStyle name="_SubHeading_Liabs DV01_tijdseries" xfId="4017"/>
    <cellStyle name="_SubHeading_Liabs DV01_tijdseries 2" xfId="7066"/>
    <cellStyle name="_SubHeading_Liabs DV01_tijdseries_bei rates" xfId="6430"/>
    <cellStyle name="_SubHeading_Liabs DV01_tijdseries_par swap rates" xfId="5798"/>
    <cellStyle name="_SubHeading_Liabs DV01_vpv" xfId="4018"/>
    <cellStyle name="_SubHeading_Liabs DV01_vpv 2" xfId="7067"/>
    <cellStyle name="_SubHeading_Liabs DV01_vpv return serie" xfId="4019"/>
    <cellStyle name="_SubHeading_Liabs DV01_vpv return serie 2" xfId="7068"/>
    <cellStyle name="_SubHeading_Liabs DV01_vpv return serie_bei rates" xfId="6432"/>
    <cellStyle name="_SubHeading_Liabs DV01_vpv return serie_par swap rates" xfId="5800"/>
    <cellStyle name="_SubHeading_Liabs DV01_vpv_bei rates" xfId="6431"/>
    <cellStyle name="_SubHeading_Liabs DV01_vpv_par swap rates" xfId="5799"/>
    <cellStyle name="_SubHeading_Main" xfId="948"/>
    <cellStyle name="_SubHeading_Main 2" xfId="3331"/>
    <cellStyle name="_SubHeading_Main 3" xfId="2227"/>
    <cellStyle name="_SubHeading_Main_actuate" xfId="949"/>
    <cellStyle name="_SubHeading_Main_actuate 2" xfId="3332"/>
    <cellStyle name="_SubHeading_Main_actuate 3" xfId="2228"/>
    <cellStyle name="_SubHeading_Main_actuate_cashflows corp" xfId="4020"/>
    <cellStyle name="_SubHeading_Main_actuate_cashflows Gov't AAA" xfId="4021"/>
    <cellStyle name="_SubHeading_Main_actuate_cashflows ilb" xfId="4022"/>
    <cellStyle name="_SubHeading_Main_actuate_cashflows lang staats" xfId="4023"/>
    <cellStyle name="_SubHeading_Main_actuate_cashflows pan european 500mm" xfId="4024"/>
    <cellStyle name="_SubHeading_Main_actuate_cashflows staats" xfId="4025"/>
    <cellStyle name="_SubHeading_Main_actuate_excess returns bm matching pf" xfId="4026"/>
    <cellStyle name="_SubHeading_Main_actuate_ilb reeel only" xfId="4027"/>
    <cellStyle name="_SubHeading_Main_actuate_nominale counterpart ilb" xfId="4028"/>
    <cellStyle name="_SubHeading_Main_actuate_tijdseries" xfId="4029"/>
    <cellStyle name="_SubHeading_Main_actuate_tijdseries 2" xfId="7069"/>
    <cellStyle name="_SubHeading_Main_actuate_tijdseries_bei rates" xfId="6433"/>
    <cellStyle name="_SubHeading_Main_actuate_tijdseries_par swap rates" xfId="5801"/>
    <cellStyle name="_SubHeading_Main_actuate_vpv" xfId="4030"/>
    <cellStyle name="_SubHeading_Main_actuate_vpv 2" xfId="7070"/>
    <cellStyle name="_SubHeading_Main_actuate_vpv return serie" xfId="4031"/>
    <cellStyle name="_SubHeading_Main_actuate_vpv return serie 2" xfId="7071"/>
    <cellStyle name="_SubHeading_Main_actuate_vpv return serie_bei rates" xfId="6435"/>
    <cellStyle name="_SubHeading_Main_actuate_vpv return serie_par swap rates" xfId="5803"/>
    <cellStyle name="_SubHeading_Main_actuate_vpv_bei rates" xfId="6434"/>
    <cellStyle name="_SubHeading_Main_actuate_vpv_par swap rates" xfId="5802"/>
    <cellStyle name="_SubHeading_Main_beleggingen" xfId="4032"/>
    <cellStyle name="_SubHeading_Main_beleggingen 2" xfId="7072"/>
    <cellStyle name="_SubHeading_Main_beleggingen_bei rates" xfId="6436"/>
    <cellStyle name="_SubHeading_Main_beleggingen_par swap rates" xfId="5804"/>
    <cellStyle name="_SubHeading_Main_cashflows corp" xfId="4033"/>
    <cellStyle name="_SubHeading_Main_cashflows Gov't AAA" xfId="4034"/>
    <cellStyle name="_SubHeading_Main_cashflows ilb" xfId="4035"/>
    <cellStyle name="_SubHeading_Main_cashflows lang staats" xfId="4036"/>
    <cellStyle name="_SubHeading_Main_cashflows pan european 500mm" xfId="4037"/>
    <cellStyle name="_SubHeading_Main_cashflows staats" xfId="4038"/>
    <cellStyle name="_SubHeading_Main_dv01" xfId="950"/>
    <cellStyle name="_SubHeading_Main_excess returns bm matching pf" xfId="4039"/>
    <cellStyle name="_SubHeading_Main_feitelijk rendement" xfId="4040"/>
    <cellStyle name="_SubHeading_Main_feitelijk rendement 2" xfId="7073"/>
    <cellStyle name="_SubHeading_Main_feitelijk rendement_bei rates" xfId="6437"/>
    <cellStyle name="_SubHeading_Main_feitelijk rendement_par swap rates" xfId="5805"/>
    <cellStyle name="_SubHeading_Main_ilb reeel only" xfId="4041"/>
    <cellStyle name="_SubHeading_Main_nominale counterpart ilb" xfId="4042"/>
    <cellStyle name="_SubHeading_Main_tijdseries" xfId="4043"/>
    <cellStyle name="_SubHeading_Main_tijdseries 2" xfId="7074"/>
    <cellStyle name="_SubHeading_Main_tijdseries_bei rates" xfId="6438"/>
    <cellStyle name="_SubHeading_Main_tijdseries_par swap rates" xfId="5806"/>
    <cellStyle name="_SubHeading_Main_vpv" xfId="4044"/>
    <cellStyle name="_SubHeading_Main_vpv 2" xfId="7075"/>
    <cellStyle name="_SubHeading_Main_vpv return serie" xfId="4045"/>
    <cellStyle name="_SubHeading_Main_vpv return serie 2" xfId="7076"/>
    <cellStyle name="_SubHeading_Main_vpv return serie_bei rates" xfId="6440"/>
    <cellStyle name="_SubHeading_Main_vpv return serie_par swap rates" xfId="5808"/>
    <cellStyle name="_SubHeading_Main_vpv_bei rates" xfId="6439"/>
    <cellStyle name="_SubHeading_Main_vpv_par swap rates" xfId="5807"/>
    <cellStyle name="_SubHeading_Matching PV Cashflows" xfId="951"/>
    <cellStyle name="_SubHeading_Matching PV Cashflows 2" xfId="3334"/>
    <cellStyle name="_SubHeading_Matching PV Cashflows 3" xfId="2229"/>
    <cellStyle name="_SubHeading_Matching PV Cashflows_actuate" xfId="952"/>
    <cellStyle name="_SubHeading_Matching PV Cashflows_actuate 2" xfId="3335"/>
    <cellStyle name="_SubHeading_Matching PV Cashflows_actuate 3" xfId="2230"/>
    <cellStyle name="_SubHeading_Matching PV Cashflows_actuate_cashflows corp" xfId="4046"/>
    <cellStyle name="_SubHeading_Matching PV Cashflows_actuate_cashflows Gov't AAA" xfId="4047"/>
    <cellStyle name="_SubHeading_Matching PV Cashflows_actuate_cashflows ilb" xfId="4048"/>
    <cellStyle name="_SubHeading_Matching PV Cashflows_actuate_cashflows lang staats" xfId="4049"/>
    <cellStyle name="_SubHeading_Matching PV Cashflows_actuate_cashflows pan european 500mm" xfId="4050"/>
    <cellStyle name="_SubHeading_Matching PV Cashflows_actuate_cashflows staats" xfId="4051"/>
    <cellStyle name="_SubHeading_Matching PV Cashflows_actuate_excess returns bm matching pf" xfId="4052"/>
    <cellStyle name="_SubHeading_Matching PV Cashflows_actuate_ilb reeel only" xfId="4053"/>
    <cellStyle name="_SubHeading_Matching PV Cashflows_actuate_nominale counterpart ilb" xfId="4054"/>
    <cellStyle name="_SubHeading_Matching PV Cashflows_actuate_tijdseries" xfId="4055"/>
    <cellStyle name="_SubHeading_Matching PV Cashflows_actuate_tijdseries 2" xfId="7077"/>
    <cellStyle name="_SubHeading_Matching PV Cashflows_actuate_tijdseries_bei rates" xfId="6441"/>
    <cellStyle name="_SubHeading_Matching PV Cashflows_actuate_tijdseries_par swap rates" xfId="5809"/>
    <cellStyle name="_SubHeading_Matching PV Cashflows_actuate_vpv" xfId="4056"/>
    <cellStyle name="_SubHeading_Matching PV Cashflows_actuate_vpv 2" xfId="7078"/>
    <cellStyle name="_SubHeading_Matching PV Cashflows_actuate_vpv return serie" xfId="4057"/>
    <cellStyle name="_SubHeading_Matching PV Cashflows_actuate_vpv return serie 2" xfId="7079"/>
    <cellStyle name="_SubHeading_Matching PV Cashflows_actuate_vpv return serie_bei rates" xfId="6443"/>
    <cellStyle name="_SubHeading_Matching PV Cashflows_actuate_vpv return serie_par swap rates" xfId="5811"/>
    <cellStyle name="_SubHeading_Matching PV Cashflows_actuate_vpv_bei rates" xfId="6442"/>
    <cellStyle name="_SubHeading_Matching PV Cashflows_actuate_vpv_par swap rates" xfId="5810"/>
    <cellStyle name="_SubHeading_Matching PV Cashflows_beleggingen" xfId="4058"/>
    <cellStyle name="_SubHeading_Matching PV Cashflows_beleggingen 2" xfId="7080"/>
    <cellStyle name="_SubHeading_Matching PV Cashflows_beleggingen_bei rates" xfId="6444"/>
    <cellStyle name="_SubHeading_Matching PV Cashflows_beleggingen_par swap rates" xfId="5812"/>
    <cellStyle name="_SubHeading_Matching PV Cashflows_cashflows corp" xfId="4059"/>
    <cellStyle name="_SubHeading_Matching PV Cashflows_cashflows Gov't AAA" xfId="4060"/>
    <cellStyle name="_SubHeading_Matching PV Cashflows_cashflows ilb" xfId="4061"/>
    <cellStyle name="_SubHeading_Matching PV Cashflows_cashflows lang staats" xfId="4062"/>
    <cellStyle name="_SubHeading_Matching PV Cashflows_cashflows pan european 500mm" xfId="4063"/>
    <cellStyle name="_SubHeading_Matching PV Cashflows_cashflows staats" xfId="4064"/>
    <cellStyle name="_SubHeading_Matching PV Cashflows_dv01" xfId="953"/>
    <cellStyle name="_SubHeading_Matching PV Cashflows_excess returns bm matching pf" xfId="4065"/>
    <cellStyle name="_SubHeading_Matching PV Cashflows_feitelijk rendement" xfId="4066"/>
    <cellStyle name="_SubHeading_Matching PV Cashflows_feitelijk rendement 2" xfId="7081"/>
    <cellStyle name="_SubHeading_Matching PV Cashflows_feitelijk rendement_bei rates" xfId="6445"/>
    <cellStyle name="_SubHeading_Matching PV Cashflows_feitelijk rendement_par swap rates" xfId="5813"/>
    <cellStyle name="_SubHeading_Matching PV Cashflows_ilb reeel only" xfId="4067"/>
    <cellStyle name="_SubHeading_Matching PV Cashflows_nominale counterpart ilb" xfId="4068"/>
    <cellStyle name="_SubHeading_Matching PV Cashflows_tijdseries" xfId="4069"/>
    <cellStyle name="_SubHeading_Matching PV Cashflows_tijdseries 2" xfId="7082"/>
    <cellStyle name="_SubHeading_Matching PV Cashflows_tijdseries_bei rates" xfId="6446"/>
    <cellStyle name="_SubHeading_Matching PV Cashflows_tijdseries_par swap rates" xfId="5814"/>
    <cellStyle name="_SubHeading_Matching PV Cashflows_vpv" xfId="4070"/>
    <cellStyle name="_SubHeading_Matching PV Cashflows_vpv 2" xfId="7083"/>
    <cellStyle name="_SubHeading_Matching PV Cashflows_vpv return serie" xfId="4071"/>
    <cellStyle name="_SubHeading_Matching PV Cashflows_vpv return serie 2" xfId="7084"/>
    <cellStyle name="_SubHeading_Matching PV Cashflows_vpv return serie_bei rates" xfId="6448"/>
    <cellStyle name="_SubHeading_Matching PV Cashflows_vpv return serie_par swap rates" xfId="5816"/>
    <cellStyle name="_SubHeading_Matching PV Cashflows_vpv_bei rates" xfId="6447"/>
    <cellStyle name="_SubHeading_Matching PV Cashflows_vpv_par swap rates" xfId="5815"/>
    <cellStyle name="_SubHeading_ModelSetup" xfId="954"/>
    <cellStyle name="_SubHeading_ModelSetup 2" xfId="3337"/>
    <cellStyle name="_SubHeading_ModelSetup 3" xfId="2231"/>
    <cellStyle name="_SubHeading_ModelSetup_actuate" xfId="955"/>
    <cellStyle name="_SubHeading_ModelSetup_actuate 2" xfId="3338"/>
    <cellStyle name="_SubHeading_ModelSetup_actuate 3" xfId="2232"/>
    <cellStyle name="_SubHeading_ModelSetup_actuate_cashflows corp" xfId="4072"/>
    <cellStyle name="_SubHeading_ModelSetup_actuate_cashflows Gov't AAA" xfId="4073"/>
    <cellStyle name="_SubHeading_ModelSetup_actuate_cashflows ilb" xfId="4074"/>
    <cellStyle name="_SubHeading_ModelSetup_actuate_cashflows lang staats" xfId="4075"/>
    <cellStyle name="_SubHeading_ModelSetup_actuate_cashflows pan european 500mm" xfId="4076"/>
    <cellStyle name="_SubHeading_ModelSetup_actuate_cashflows staats" xfId="4077"/>
    <cellStyle name="_SubHeading_ModelSetup_actuate_excess returns bm matching pf" xfId="4078"/>
    <cellStyle name="_SubHeading_ModelSetup_actuate_ilb reeel only" xfId="4079"/>
    <cellStyle name="_SubHeading_ModelSetup_actuate_nominale counterpart ilb" xfId="4080"/>
    <cellStyle name="_SubHeading_ModelSetup_actuate_tijdseries" xfId="4081"/>
    <cellStyle name="_SubHeading_ModelSetup_actuate_tijdseries 2" xfId="7085"/>
    <cellStyle name="_SubHeading_ModelSetup_actuate_tijdseries_bei rates" xfId="6449"/>
    <cellStyle name="_SubHeading_ModelSetup_actuate_tijdseries_par swap rates" xfId="5817"/>
    <cellStyle name="_SubHeading_ModelSetup_actuate_vpv" xfId="4082"/>
    <cellStyle name="_SubHeading_ModelSetup_actuate_vpv 2" xfId="7086"/>
    <cellStyle name="_SubHeading_ModelSetup_actuate_vpv return serie" xfId="4083"/>
    <cellStyle name="_SubHeading_ModelSetup_actuate_vpv return serie 2" xfId="7087"/>
    <cellStyle name="_SubHeading_ModelSetup_actuate_vpv return serie_bei rates" xfId="6451"/>
    <cellStyle name="_SubHeading_ModelSetup_actuate_vpv return serie_par swap rates" xfId="5819"/>
    <cellStyle name="_SubHeading_ModelSetup_actuate_vpv_bei rates" xfId="6450"/>
    <cellStyle name="_SubHeading_ModelSetup_actuate_vpv_par swap rates" xfId="5818"/>
    <cellStyle name="_SubHeading_ModelSetup_beleggingen" xfId="4084"/>
    <cellStyle name="_SubHeading_ModelSetup_beleggingen 2" xfId="7088"/>
    <cellStyle name="_SubHeading_ModelSetup_beleggingen_bei rates" xfId="6452"/>
    <cellStyle name="_SubHeading_ModelSetup_beleggingen_par swap rates" xfId="5820"/>
    <cellStyle name="_SubHeading_ModelSetup_cashflows corp" xfId="4085"/>
    <cellStyle name="_SubHeading_ModelSetup_cashflows Gov't AAA" xfId="4086"/>
    <cellStyle name="_SubHeading_ModelSetup_cashflows ilb" xfId="4087"/>
    <cellStyle name="_SubHeading_ModelSetup_cashflows lang staats" xfId="4088"/>
    <cellStyle name="_SubHeading_ModelSetup_cashflows pan european 500mm" xfId="4089"/>
    <cellStyle name="_SubHeading_ModelSetup_cashflows staats" xfId="4090"/>
    <cellStyle name="_SubHeading_ModelSetup_dv01" xfId="956"/>
    <cellStyle name="_SubHeading_ModelSetup_excess returns bm matching pf" xfId="4091"/>
    <cellStyle name="_SubHeading_ModelSetup_feitelijk rendement" xfId="4092"/>
    <cellStyle name="_SubHeading_ModelSetup_feitelijk rendement 2" xfId="7089"/>
    <cellStyle name="_SubHeading_ModelSetup_feitelijk rendement_bei rates" xfId="6453"/>
    <cellStyle name="_SubHeading_ModelSetup_feitelijk rendement_par swap rates" xfId="5821"/>
    <cellStyle name="_SubHeading_ModelSetup_ilb reeel only" xfId="4093"/>
    <cellStyle name="_SubHeading_ModelSetup_nominale counterpart ilb" xfId="4094"/>
    <cellStyle name="_SubHeading_ModelSetup_tijdseries" xfId="4095"/>
    <cellStyle name="_SubHeading_ModelSetup_tijdseries 2" xfId="7090"/>
    <cellStyle name="_SubHeading_ModelSetup_tijdseries_bei rates" xfId="6454"/>
    <cellStyle name="_SubHeading_ModelSetup_tijdseries_par swap rates" xfId="5822"/>
    <cellStyle name="_SubHeading_ModelSetup_vpv" xfId="4096"/>
    <cellStyle name="_SubHeading_ModelSetup_vpv 2" xfId="7091"/>
    <cellStyle name="_SubHeading_ModelSetup_vpv return serie" xfId="4097"/>
    <cellStyle name="_SubHeading_ModelSetup_vpv return serie 2" xfId="7092"/>
    <cellStyle name="_SubHeading_ModelSetup_vpv return serie_bei rates" xfId="6456"/>
    <cellStyle name="_SubHeading_ModelSetup_vpv return serie_par swap rates" xfId="5824"/>
    <cellStyle name="_SubHeading_ModelSetup_vpv_bei rates" xfId="6455"/>
    <cellStyle name="_SubHeading_ModelSetup_vpv_par swap rates" xfId="5823"/>
    <cellStyle name="_SubHeading_PME Swaps" xfId="957"/>
    <cellStyle name="_SubHeading_Pricer" xfId="958"/>
    <cellStyle name="_SubHeading_Pricer 2" xfId="3341"/>
    <cellStyle name="_SubHeading_Pricer 3" xfId="2233"/>
    <cellStyle name="_SubHeading_Pricer_actuate" xfId="959"/>
    <cellStyle name="_SubHeading_Pricer_actuate 2" xfId="3342"/>
    <cellStyle name="_SubHeading_Pricer_actuate 3" xfId="2234"/>
    <cellStyle name="_SubHeading_Pricer_actuate_cashflows corp" xfId="4098"/>
    <cellStyle name="_SubHeading_Pricer_actuate_cashflows Gov't AAA" xfId="4099"/>
    <cellStyle name="_SubHeading_Pricer_actuate_cashflows ilb" xfId="4100"/>
    <cellStyle name="_SubHeading_Pricer_actuate_cashflows lang staats" xfId="4101"/>
    <cellStyle name="_SubHeading_Pricer_actuate_cashflows pan european 500mm" xfId="4102"/>
    <cellStyle name="_SubHeading_Pricer_actuate_cashflows staats" xfId="4103"/>
    <cellStyle name="_SubHeading_Pricer_actuate_excess returns bm matching pf" xfId="4104"/>
    <cellStyle name="_SubHeading_Pricer_actuate_ilb reeel only" xfId="4105"/>
    <cellStyle name="_SubHeading_Pricer_actuate_nominale counterpart ilb" xfId="4106"/>
    <cellStyle name="_SubHeading_Pricer_actuate_tijdseries" xfId="4107"/>
    <cellStyle name="_SubHeading_Pricer_actuate_tijdseries 2" xfId="7093"/>
    <cellStyle name="_SubHeading_Pricer_actuate_tijdseries_bei rates" xfId="6457"/>
    <cellStyle name="_SubHeading_Pricer_actuate_tijdseries_par swap rates" xfId="5825"/>
    <cellStyle name="_SubHeading_Pricer_actuate_vpv" xfId="4108"/>
    <cellStyle name="_SubHeading_Pricer_actuate_vpv 2" xfId="7094"/>
    <cellStyle name="_SubHeading_Pricer_actuate_vpv return serie" xfId="4109"/>
    <cellStyle name="_SubHeading_Pricer_actuate_vpv return serie 2" xfId="7095"/>
    <cellStyle name="_SubHeading_Pricer_actuate_vpv return serie_bei rates" xfId="6459"/>
    <cellStyle name="_SubHeading_Pricer_actuate_vpv return serie_par swap rates" xfId="5827"/>
    <cellStyle name="_SubHeading_Pricer_actuate_vpv_bei rates" xfId="6458"/>
    <cellStyle name="_SubHeading_Pricer_actuate_vpv_par swap rates" xfId="5826"/>
    <cellStyle name="_SubHeading_Pricer_beleggingen" xfId="4110"/>
    <cellStyle name="_SubHeading_Pricer_beleggingen 2" xfId="7096"/>
    <cellStyle name="_SubHeading_Pricer_beleggingen_bei rates" xfId="6460"/>
    <cellStyle name="_SubHeading_Pricer_beleggingen_par swap rates" xfId="5828"/>
    <cellStyle name="_SubHeading_Pricer_cashflows corp" xfId="4111"/>
    <cellStyle name="_SubHeading_Pricer_cashflows Gov't AAA" xfId="4112"/>
    <cellStyle name="_SubHeading_Pricer_cashflows ilb" xfId="4113"/>
    <cellStyle name="_SubHeading_Pricer_cashflows lang staats" xfId="4114"/>
    <cellStyle name="_SubHeading_Pricer_cashflows pan european 500mm" xfId="4115"/>
    <cellStyle name="_SubHeading_Pricer_cashflows staats" xfId="4116"/>
    <cellStyle name="_SubHeading_Pricer_dv01" xfId="960"/>
    <cellStyle name="_SubHeading_Pricer_excess returns bm matching pf" xfId="4117"/>
    <cellStyle name="_SubHeading_Pricer_feitelijk rendement" xfId="4118"/>
    <cellStyle name="_SubHeading_Pricer_feitelijk rendement 2" xfId="7097"/>
    <cellStyle name="_SubHeading_Pricer_feitelijk rendement_bei rates" xfId="6461"/>
    <cellStyle name="_SubHeading_Pricer_feitelijk rendement_par swap rates" xfId="5829"/>
    <cellStyle name="_SubHeading_Pricer_ilb reeel only" xfId="4119"/>
    <cellStyle name="_SubHeading_Pricer_nominale counterpart ilb" xfId="4120"/>
    <cellStyle name="_SubHeading_Pricer_tijdseries" xfId="4121"/>
    <cellStyle name="_SubHeading_Pricer_tijdseries 2" xfId="7098"/>
    <cellStyle name="_SubHeading_Pricer_tijdseries_bei rates" xfId="6462"/>
    <cellStyle name="_SubHeading_Pricer_tijdseries_par swap rates" xfId="5830"/>
    <cellStyle name="_SubHeading_Pricer_vpv" xfId="4122"/>
    <cellStyle name="_SubHeading_Pricer_vpv 2" xfId="7099"/>
    <cellStyle name="_SubHeading_Pricer_vpv return serie" xfId="4123"/>
    <cellStyle name="_SubHeading_Pricer_vpv return serie 2" xfId="7100"/>
    <cellStyle name="_SubHeading_Pricer_vpv return serie_bei rates" xfId="6464"/>
    <cellStyle name="_SubHeading_Pricer_vpv return serie_par swap rates" xfId="5832"/>
    <cellStyle name="_SubHeading_Pricer_vpv_bei rates" xfId="6463"/>
    <cellStyle name="_SubHeading_Pricer_vpv_par swap rates" xfId="5831"/>
    <cellStyle name="_SubHeading_Sheet1" xfId="961"/>
    <cellStyle name="_SubHeading_Sheet1 2" xfId="3344"/>
    <cellStyle name="_SubHeading_Sheet1 3" xfId="2235"/>
    <cellStyle name="_SubHeading_Sheet1_actuate" xfId="962"/>
    <cellStyle name="_SubHeading_Sheet1_actuate 2" xfId="3345"/>
    <cellStyle name="_SubHeading_Sheet1_actuate 3" xfId="2236"/>
    <cellStyle name="_SubHeading_Sheet1_actuate_cashflows corp" xfId="4124"/>
    <cellStyle name="_SubHeading_Sheet1_actuate_cashflows Gov't AAA" xfId="4125"/>
    <cellStyle name="_SubHeading_Sheet1_actuate_cashflows ilb" xfId="4126"/>
    <cellStyle name="_SubHeading_Sheet1_actuate_cashflows lang staats" xfId="4127"/>
    <cellStyle name="_SubHeading_Sheet1_actuate_cashflows pan european 500mm" xfId="4128"/>
    <cellStyle name="_SubHeading_Sheet1_actuate_cashflows staats" xfId="4129"/>
    <cellStyle name="_SubHeading_Sheet1_actuate_excess returns bm matching pf" xfId="4130"/>
    <cellStyle name="_SubHeading_Sheet1_actuate_ilb reeel only" xfId="4131"/>
    <cellStyle name="_SubHeading_Sheet1_actuate_nominale counterpart ilb" xfId="4132"/>
    <cellStyle name="_SubHeading_Sheet1_actuate_tijdseries" xfId="4133"/>
    <cellStyle name="_SubHeading_Sheet1_actuate_tijdseries 2" xfId="7101"/>
    <cellStyle name="_SubHeading_Sheet1_actuate_tijdseries_bei rates" xfId="6465"/>
    <cellStyle name="_SubHeading_Sheet1_actuate_tijdseries_par swap rates" xfId="5833"/>
    <cellStyle name="_SubHeading_Sheet1_actuate_vpv" xfId="4134"/>
    <cellStyle name="_SubHeading_Sheet1_actuate_vpv 2" xfId="7102"/>
    <cellStyle name="_SubHeading_Sheet1_actuate_vpv return serie" xfId="4135"/>
    <cellStyle name="_SubHeading_Sheet1_actuate_vpv return serie 2" xfId="7103"/>
    <cellStyle name="_SubHeading_Sheet1_actuate_vpv return serie_bei rates" xfId="6467"/>
    <cellStyle name="_SubHeading_Sheet1_actuate_vpv return serie_par swap rates" xfId="5835"/>
    <cellStyle name="_SubHeading_Sheet1_actuate_vpv_bei rates" xfId="6466"/>
    <cellStyle name="_SubHeading_Sheet1_actuate_vpv_par swap rates" xfId="5834"/>
    <cellStyle name="_SubHeading_Sheet1_beleggingen" xfId="4136"/>
    <cellStyle name="_SubHeading_Sheet1_beleggingen 2" xfId="7104"/>
    <cellStyle name="_SubHeading_Sheet1_beleggingen_bei rates" xfId="6468"/>
    <cellStyle name="_SubHeading_Sheet1_beleggingen_par swap rates" xfId="5836"/>
    <cellStyle name="_SubHeading_Sheet1_cashflows corp" xfId="4137"/>
    <cellStyle name="_SubHeading_Sheet1_cashflows Gov't AAA" xfId="4138"/>
    <cellStyle name="_SubHeading_Sheet1_cashflows ilb" xfId="4139"/>
    <cellStyle name="_SubHeading_Sheet1_cashflows lang staats" xfId="4140"/>
    <cellStyle name="_SubHeading_Sheet1_cashflows pan european 500mm" xfId="4141"/>
    <cellStyle name="_SubHeading_Sheet1_cashflows staats" xfId="4142"/>
    <cellStyle name="_SubHeading_Sheet1_dv01" xfId="963"/>
    <cellStyle name="_SubHeading_Sheet1_excess returns bm matching pf" xfId="4143"/>
    <cellStyle name="_SubHeading_Sheet1_feitelijk rendement" xfId="4144"/>
    <cellStyle name="_SubHeading_Sheet1_feitelijk rendement 2" xfId="7105"/>
    <cellStyle name="_SubHeading_Sheet1_feitelijk rendement_bei rates" xfId="6469"/>
    <cellStyle name="_SubHeading_Sheet1_feitelijk rendement_par swap rates" xfId="5837"/>
    <cellStyle name="_SubHeading_Sheet1_Gexa Multi Asset Path Generator" xfId="964"/>
    <cellStyle name="_SubHeading_Sheet1_ilb reeel only" xfId="4145"/>
    <cellStyle name="_SubHeading_Sheet1_nominale counterpart ilb" xfId="4146"/>
    <cellStyle name="_SubHeading_Sheet1_tijdseries" xfId="4147"/>
    <cellStyle name="_SubHeading_Sheet1_tijdseries 2" xfId="7106"/>
    <cellStyle name="_SubHeading_Sheet1_tijdseries_bei rates" xfId="6470"/>
    <cellStyle name="_SubHeading_Sheet1_tijdseries_par swap rates" xfId="5838"/>
    <cellStyle name="_SubHeading_Sheet1_vpv" xfId="4148"/>
    <cellStyle name="_SubHeading_Sheet1_vpv 2" xfId="7107"/>
    <cellStyle name="_SubHeading_Sheet1_vpv return serie" xfId="4149"/>
    <cellStyle name="_SubHeading_Sheet1_vpv return serie 2" xfId="7108"/>
    <cellStyle name="_SubHeading_Sheet1_vpv return serie_bei rates" xfId="6472"/>
    <cellStyle name="_SubHeading_Sheet1_vpv return serie_par swap rates" xfId="5840"/>
    <cellStyle name="_SubHeading_Sheet1_vpv_bei rates" xfId="6471"/>
    <cellStyle name="_SubHeading_Sheet1_vpv_par swap rates" xfId="5839"/>
    <cellStyle name="_SubHeading_SPP Values as at 12 June 05" xfId="965"/>
    <cellStyle name="_SubHeading_Tableau" xfId="966"/>
    <cellStyle name="_SubHeading_Tableau 2" xfId="3349"/>
    <cellStyle name="_SubHeading_Tableau 3" xfId="2237"/>
    <cellStyle name="_SubHeading_Tableau_actuate" xfId="967"/>
    <cellStyle name="_SubHeading_Tableau_actuate 2" xfId="3350"/>
    <cellStyle name="_SubHeading_Tableau_actuate 3" xfId="2238"/>
    <cellStyle name="_SubHeading_Tableau_actuate_cashflows corp" xfId="4150"/>
    <cellStyle name="_SubHeading_Tableau_actuate_cashflows Gov't AAA" xfId="4151"/>
    <cellStyle name="_SubHeading_Tableau_actuate_cashflows ilb" xfId="4152"/>
    <cellStyle name="_SubHeading_Tableau_actuate_cashflows lang staats" xfId="4153"/>
    <cellStyle name="_SubHeading_Tableau_actuate_cashflows pan european 500mm" xfId="4154"/>
    <cellStyle name="_SubHeading_Tableau_actuate_cashflows staats" xfId="4155"/>
    <cellStyle name="_SubHeading_Tableau_actuate_excess returns bm matching pf" xfId="4156"/>
    <cellStyle name="_SubHeading_Tableau_actuate_ilb reeel only" xfId="4157"/>
    <cellStyle name="_SubHeading_Tableau_actuate_nominale counterpart ilb" xfId="4158"/>
    <cellStyle name="_SubHeading_Tableau_actuate_tijdseries" xfId="4159"/>
    <cellStyle name="_SubHeading_Tableau_actuate_tijdseries 2" xfId="7109"/>
    <cellStyle name="_SubHeading_Tableau_actuate_tijdseries_bei rates" xfId="6473"/>
    <cellStyle name="_SubHeading_Tableau_actuate_tijdseries_par swap rates" xfId="5841"/>
    <cellStyle name="_SubHeading_Tableau_actuate_vpv" xfId="4160"/>
    <cellStyle name="_SubHeading_Tableau_actuate_vpv 2" xfId="7110"/>
    <cellStyle name="_SubHeading_Tableau_actuate_vpv return serie" xfId="4161"/>
    <cellStyle name="_SubHeading_Tableau_actuate_vpv return serie 2" xfId="7111"/>
    <cellStyle name="_SubHeading_Tableau_actuate_vpv return serie_bei rates" xfId="6475"/>
    <cellStyle name="_SubHeading_Tableau_actuate_vpv return serie_par swap rates" xfId="5843"/>
    <cellStyle name="_SubHeading_Tableau_actuate_vpv_bei rates" xfId="6474"/>
    <cellStyle name="_SubHeading_Tableau_actuate_vpv_par swap rates" xfId="5842"/>
    <cellStyle name="_SubHeading_Tableau_beleggingen" xfId="4162"/>
    <cellStyle name="_SubHeading_Tableau_beleggingen 2" xfId="7112"/>
    <cellStyle name="_SubHeading_Tableau_beleggingen_bei rates" xfId="6476"/>
    <cellStyle name="_SubHeading_Tableau_beleggingen_par swap rates" xfId="5844"/>
    <cellStyle name="_SubHeading_Tableau_cashflows corp" xfId="4163"/>
    <cellStyle name="_SubHeading_Tableau_cashflows Gov't AAA" xfId="4164"/>
    <cellStyle name="_SubHeading_Tableau_cashflows ilb" xfId="4165"/>
    <cellStyle name="_SubHeading_Tableau_cashflows lang staats" xfId="4166"/>
    <cellStyle name="_SubHeading_Tableau_cashflows pan european 500mm" xfId="4167"/>
    <cellStyle name="_SubHeading_Tableau_cashflows staats" xfId="4168"/>
    <cellStyle name="_SubHeading_Tableau_dv01" xfId="968"/>
    <cellStyle name="_SubHeading_Tableau_excess returns bm matching pf" xfId="4169"/>
    <cellStyle name="_SubHeading_Tableau_feitelijk rendement" xfId="4170"/>
    <cellStyle name="_SubHeading_Tableau_feitelijk rendement 2" xfId="7113"/>
    <cellStyle name="_SubHeading_Tableau_feitelijk rendement_bei rates" xfId="6477"/>
    <cellStyle name="_SubHeading_Tableau_feitelijk rendement_par swap rates" xfId="5845"/>
    <cellStyle name="_SubHeading_Tableau_ilb reeel only" xfId="4171"/>
    <cellStyle name="_SubHeading_Tableau_nominale counterpart ilb" xfId="4172"/>
    <cellStyle name="_SubHeading_Tableau_tijdseries" xfId="4173"/>
    <cellStyle name="_SubHeading_Tableau_tijdseries 2" xfId="7114"/>
    <cellStyle name="_SubHeading_Tableau_tijdseries_bei rates" xfId="6478"/>
    <cellStyle name="_SubHeading_Tableau_tijdseries_par swap rates" xfId="5846"/>
    <cellStyle name="_SubHeading_Tableau_vpv" xfId="4174"/>
    <cellStyle name="_SubHeading_Tableau_vpv 2" xfId="7115"/>
    <cellStyle name="_SubHeading_Tableau_vpv return serie" xfId="4175"/>
    <cellStyle name="_SubHeading_Tableau_vpv return serie 2" xfId="7116"/>
    <cellStyle name="_SubHeading_Tableau_vpv return serie_bei rates" xfId="6480"/>
    <cellStyle name="_SubHeading_Tableau_vpv return serie_par swap rates" xfId="5848"/>
    <cellStyle name="_SubHeading_Tableau_vpv_bei rates" xfId="6479"/>
    <cellStyle name="_SubHeading_Tableau_vpv_par swap rates" xfId="5847"/>
    <cellStyle name="_Table" xfId="969"/>
    <cellStyle name="_Table_allocatie" xfId="970"/>
    <cellStyle name="_Table_allocatie 2" xfId="3353"/>
    <cellStyle name="_Table_allocatie 3" xfId="2239"/>
    <cellStyle name="_Table_allocatie_actuate" xfId="971"/>
    <cellStyle name="_Table_allocatie_actuate 2" xfId="3354"/>
    <cellStyle name="_Table_allocatie_actuate 3" xfId="2240"/>
    <cellStyle name="_Table_allocatie_actuate_cashflows corp" xfId="4176"/>
    <cellStyle name="_Table_allocatie_actuate_cashflows Gov't AAA" xfId="4177"/>
    <cellStyle name="_Table_allocatie_actuate_cashflows ilb" xfId="4178"/>
    <cellStyle name="_Table_allocatie_actuate_cashflows lang staats" xfId="4179"/>
    <cellStyle name="_Table_allocatie_actuate_cashflows pan european 500mm" xfId="4180"/>
    <cellStyle name="_Table_allocatie_actuate_cashflows staats" xfId="4181"/>
    <cellStyle name="_Table_allocatie_actuate_excess returns bm matching pf" xfId="4182"/>
    <cellStyle name="_Table_allocatie_actuate_ilb reeel only" xfId="4183"/>
    <cellStyle name="_Table_allocatie_actuate_nominale counterpart ilb" xfId="4184"/>
    <cellStyle name="_Table_allocatie_actuate_tijdseries" xfId="4185"/>
    <cellStyle name="_Table_allocatie_actuate_tijdseries 2" xfId="7117"/>
    <cellStyle name="_Table_allocatie_actuate_tijdseries_bei rates" xfId="6481"/>
    <cellStyle name="_Table_allocatie_actuate_tijdseries_par swap rates" xfId="5849"/>
    <cellStyle name="_Table_allocatie_actuate_vpv" xfId="4186"/>
    <cellStyle name="_Table_allocatie_actuate_vpv 2" xfId="7118"/>
    <cellStyle name="_Table_allocatie_actuate_vpv return serie" xfId="4187"/>
    <cellStyle name="_Table_allocatie_actuate_vpv return serie 2" xfId="7119"/>
    <cellStyle name="_Table_allocatie_actuate_vpv return serie_bei rates" xfId="6483"/>
    <cellStyle name="_Table_allocatie_actuate_vpv return serie_par swap rates" xfId="5851"/>
    <cellStyle name="_Table_allocatie_actuate_vpv_bei rates" xfId="6482"/>
    <cellStyle name="_Table_allocatie_actuate_vpv_par swap rates" xfId="5850"/>
    <cellStyle name="_Table_allocatie_beleggingen" xfId="4188"/>
    <cellStyle name="_Table_allocatie_beleggingen 2" xfId="7120"/>
    <cellStyle name="_Table_allocatie_beleggingen_bei rates" xfId="6484"/>
    <cellStyle name="_Table_allocatie_beleggingen_par swap rates" xfId="5852"/>
    <cellStyle name="_Table_allocatie_cashflows corp" xfId="4189"/>
    <cellStyle name="_Table_allocatie_cashflows Gov't AAA" xfId="4190"/>
    <cellStyle name="_Table_allocatie_cashflows ilb" xfId="4191"/>
    <cellStyle name="_Table_allocatie_cashflows lang staats" xfId="4192"/>
    <cellStyle name="_Table_allocatie_cashflows pan european 500mm" xfId="4193"/>
    <cellStyle name="_Table_allocatie_cashflows staats" xfId="4194"/>
    <cellStyle name="_Table_allocatie_dv01" xfId="972"/>
    <cellStyle name="_Table_allocatie_excess returns bm matching pf" xfId="4195"/>
    <cellStyle name="_Table_allocatie_feitelijk rendement" xfId="4196"/>
    <cellStyle name="_Table_allocatie_feitelijk rendement 2" xfId="7121"/>
    <cellStyle name="_Table_allocatie_feitelijk rendement_bei rates" xfId="6485"/>
    <cellStyle name="_Table_allocatie_feitelijk rendement_par swap rates" xfId="5853"/>
    <cellStyle name="_Table_allocatie_ilb reeel only" xfId="4197"/>
    <cellStyle name="_Table_allocatie_nominale counterpart ilb" xfId="4198"/>
    <cellStyle name="_Table_allocatie_tijdseries" xfId="4199"/>
    <cellStyle name="_Table_allocatie_tijdseries 2" xfId="7122"/>
    <cellStyle name="_Table_allocatie_tijdseries_bei rates" xfId="6486"/>
    <cellStyle name="_Table_allocatie_tijdseries_par swap rates" xfId="5854"/>
    <cellStyle name="_Table_allocatie_vpv" xfId="4200"/>
    <cellStyle name="_Table_allocatie_vpv 2" xfId="7123"/>
    <cellStyle name="_Table_allocatie_vpv return serie" xfId="4201"/>
    <cellStyle name="_Table_allocatie_vpv return serie 2" xfId="7124"/>
    <cellStyle name="_Table_allocatie_vpv return serie_bei rates" xfId="6488"/>
    <cellStyle name="_Table_allocatie_vpv return serie_par swap rates" xfId="5856"/>
    <cellStyle name="_Table_allocatie_vpv_bei rates" xfId="6487"/>
    <cellStyle name="_Table_allocatie_vpv_par swap rates" xfId="5855"/>
    <cellStyle name="_Table_Asset Cashflows" xfId="973"/>
    <cellStyle name="_Table_Asset Cashflows 2" xfId="3356"/>
    <cellStyle name="_Table_Asset Cashflows 3" xfId="2241"/>
    <cellStyle name="_Table_Asset Cashflows_actuate" xfId="974"/>
    <cellStyle name="_Table_Asset Cashflows_actuate 2" xfId="3357"/>
    <cellStyle name="_Table_Asset Cashflows_actuate 3" xfId="2242"/>
    <cellStyle name="_Table_Asset Cashflows_actuate_cashflows corp" xfId="4202"/>
    <cellStyle name="_Table_Asset Cashflows_actuate_cashflows Gov't AAA" xfId="4203"/>
    <cellStyle name="_Table_Asset Cashflows_actuate_cashflows ilb" xfId="4204"/>
    <cellStyle name="_Table_Asset Cashflows_actuate_cashflows lang staats" xfId="4205"/>
    <cellStyle name="_Table_Asset Cashflows_actuate_cashflows pan european 500mm" xfId="4206"/>
    <cellStyle name="_Table_Asset Cashflows_actuate_cashflows staats" xfId="4207"/>
    <cellStyle name="_Table_Asset Cashflows_actuate_excess returns bm matching pf" xfId="4208"/>
    <cellStyle name="_Table_Asset Cashflows_actuate_ilb reeel only" xfId="4209"/>
    <cellStyle name="_Table_Asset Cashflows_actuate_nominale counterpart ilb" xfId="4210"/>
    <cellStyle name="_Table_Asset Cashflows_actuate_tijdseries" xfId="4211"/>
    <cellStyle name="_Table_Asset Cashflows_actuate_tijdseries 2" xfId="7125"/>
    <cellStyle name="_Table_Asset Cashflows_actuate_tijdseries_bei rates" xfId="6489"/>
    <cellStyle name="_Table_Asset Cashflows_actuate_tijdseries_par swap rates" xfId="5857"/>
    <cellStyle name="_Table_Asset Cashflows_actuate_vpv" xfId="4212"/>
    <cellStyle name="_Table_Asset Cashflows_actuate_vpv 2" xfId="7126"/>
    <cellStyle name="_Table_Asset Cashflows_actuate_vpv return serie" xfId="4213"/>
    <cellStyle name="_Table_Asset Cashflows_actuate_vpv return serie 2" xfId="7127"/>
    <cellStyle name="_Table_Asset Cashflows_actuate_vpv return serie_bei rates" xfId="6491"/>
    <cellStyle name="_Table_Asset Cashflows_actuate_vpv return serie_par swap rates" xfId="5859"/>
    <cellStyle name="_Table_Asset Cashflows_actuate_vpv_bei rates" xfId="6490"/>
    <cellStyle name="_Table_Asset Cashflows_actuate_vpv_par swap rates" xfId="5858"/>
    <cellStyle name="_Table_Asset Cashflows_beleggingen" xfId="4214"/>
    <cellStyle name="_Table_Asset Cashflows_beleggingen 2" xfId="7128"/>
    <cellStyle name="_Table_Asset Cashflows_beleggingen_bei rates" xfId="6492"/>
    <cellStyle name="_Table_Asset Cashflows_beleggingen_par swap rates" xfId="5860"/>
    <cellStyle name="_Table_Asset Cashflows_cashflows corp" xfId="4215"/>
    <cellStyle name="_Table_Asset Cashflows_cashflows Gov't AAA" xfId="4216"/>
    <cellStyle name="_Table_Asset Cashflows_cashflows ilb" xfId="4217"/>
    <cellStyle name="_Table_Asset Cashflows_cashflows lang staats" xfId="4218"/>
    <cellStyle name="_Table_Asset Cashflows_cashflows pan european 500mm" xfId="4219"/>
    <cellStyle name="_Table_Asset Cashflows_cashflows staats" xfId="4220"/>
    <cellStyle name="_Table_Asset Cashflows_dv01" xfId="975"/>
    <cellStyle name="_Table_Asset Cashflows_excess returns bm matching pf" xfId="4221"/>
    <cellStyle name="_Table_Asset Cashflows_feitelijk rendement" xfId="4222"/>
    <cellStyle name="_Table_Asset Cashflows_feitelijk rendement 2" xfId="7129"/>
    <cellStyle name="_Table_Asset Cashflows_feitelijk rendement_bei rates" xfId="6493"/>
    <cellStyle name="_Table_Asset Cashflows_feitelijk rendement_par swap rates" xfId="5861"/>
    <cellStyle name="_Table_Asset Cashflows_ilb reeel only" xfId="4223"/>
    <cellStyle name="_Table_Asset Cashflows_nominale counterpart ilb" xfId="4224"/>
    <cellStyle name="_Table_Asset Cashflows_tijdseries" xfId="4225"/>
    <cellStyle name="_Table_Asset Cashflows_tijdseries 2" xfId="7130"/>
    <cellStyle name="_Table_Asset Cashflows_tijdseries_bei rates" xfId="6494"/>
    <cellStyle name="_Table_Asset Cashflows_tijdseries_par swap rates" xfId="5862"/>
    <cellStyle name="_Table_Asset Cashflows_vpv" xfId="4226"/>
    <cellStyle name="_Table_Asset Cashflows_vpv 2" xfId="7131"/>
    <cellStyle name="_Table_Asset Cashflows_vpv return serie" xfId="4227"/>
    <cellStyle name="_Table_Asset Cashflows_vpv return serie 2" xfId="7132"/>
    <cellStyle name="_Table_Asset Cashflows_vpv return serie_bei rates" xfId="6496"/>
    <cellStyle name="_Table_Asset Cashflows_vpv return serie_par swap rates" xfId="5864"/>
    <cellStyle name="_Table_Asset Cashflows_vpv_bei rates" xfId="6495"/>
    <cellStyle name="_Table_Asset Cashflows_vpv_par swap rates" xfId="5863"/>
    <cellStyle name="_Table_CashFlows " xfId="976"/>
    <cellStyle name="_Table_CashFlows  2" xfId="3359"/>
    <cellStyle name="_Table_CashFlows  3" xfId="2243"/>
    <cellStyle name="_Table_CashFlows _actuate" xfId="977"/>
    <cellStyle name="_Table_CashFlows _actuate 2" xfId="3360"/>
    <cellStyle name="_Table_CashFlows _actuate 3" xfId="2244"/>
    <cellStyle name="_Table_CashFlows _actuate_cashflows corp" xfId="4228"/>
    <cellStyle name="_Table_CashFlows _actuate_cashflows Gov't AAA" xfId="4229"/>
    <cellStyle name="_Table_CashFlows _actuate_cashflows ilb" xfId="4230"/>
    <cellStyle name="_Table_CashFlows _actuate_cashflows lang staats" xfId="4231"/>
    <cellStyle name="_Table_CashFlows _actuate_cashflows pan european 500mm" xfId="4232"/>
    <cellStyle name="_Table_CashFlows _actuate_cashflows staats" xfId="4233"/>
    <cellStyle name="_Table_CashFlows _actuate_excess returns bm matching pf" xfId="4234"/>
    <cellStyle name="_Table_CashFlows _actuate_ilb reeel only" xfId="4235"/>
    <cellStyle name="_Table_CashFlows _actuate_nominale counterpart ilb" xfId="4236"/>
    <cellStyle name="_Table_CashFlows _actuate_tijdseries" xfId="4237"/>
    <cellStyle name="_Table_CashFlows _actuate_tijdseries 2" xfId="7133"/>
    <cellStyle name="_Table_CashFlows _actuate_tijdseries_bei rates" xfId="6497"/>
    <cellStyle name="_Table_CashFlows _actuate_tijdseries_par swap rates" xfId="5865"/>
    <cellStyle name="_Table_CashFlows _actuate_vpv" xfId="4238"/>
    <cellStyle name="_Table_CashFlows _actuate_vpv 2" xfId="7134"/>
    <cellStyle name="_Table_CashFlows _actuate_vpv return serie" xfId="4239"/>
    <cellStyle name="_Table_CashFlows _actuate_vpv return serie 2" xfId="7135"/>
    <cellStyle name="_Table_CashFlows _actuate_vpv return serie_bei rates" xfId="6499"/>
    <cellStyle name="_Table_CashFlows _actuate_vpv return serie_par swap rates" xfId="5867"/>
    <cellStyle name="_Table_CashFlows _actuate_vpv_bei rates" xfId="6498"/>
    <cellStyle name="_Table_CashFlows _actuate_vpv_par swap rates" xfId="5866"/>
    <cellStyle name="_Table_CashFlows _beleggingen" xfId="4240"/>
    <cellStyle name="_Table_CashFlows _beleggingen 2" xfId="7136"/>
    <cellStyle name="_Table_CashFlows _beleggingen_bei rates" xfId="6500"/>
    <cellStyle name="_Table_CashFlows _beleggingen_par swap rates" xfId="5868"/>
    <cellStyle name="_Table_CashFlows _cashflows corp" xfId="4241"/>
    <cellStyle name="_Table_CashFlows _cashflows Gov't AAA" xfId="4242"/>
    <cellStyle name="_Table_CashFlows _cashflows ilb" xfId="4243"/>
    <cellStyle name="_Table_CashFlows _cashflows lang staats" xfId="4244"/>
    <cellStyle name="_Table_CashFlows _cashflows pan european 500mm" xfId="4245"/>
    <cellStyle name="_Table_CashFlows _cashflows staats" xfId="4246"/>
    <cellStyle name="_Table_CashFlows _dv01" xfId="978"/>
    <cellStyle name="_Table_CashFlows _excess returns bm matching pf" xfId="4247"/>
    <cellStyle name="_Table_CashFlows _feitelijk rendement" xfId="4248"/>
    <cellStyle name="_Table_CashFlows _feitelijk rendement 2" xfId="7137"/>
    <cellStyle name="_Table_CashFlows _feitelijk rendement_bei rates" xfId="6501"/>
    <cellStyle name="_Table_CashFlows _feitelijk rendement_par swap rates" xfId="5869"/>
    <cellStyle name="_Table_CashFlows _ilb reeel only" xfId="4249"/>
    <cellStyle name="_Table_CashFlows _nominale counterpart ilb" xfId="4250"/>
    <cellStyle name="_Table_CashFlows _tijdseries" xfId="4251"/>
    <cellStyle name="_Table_CashFlows _tijdseries 2" xfId="7138"/>
    <cellStyle name="_Table_CashFlows _tijdseries_bei rates" xfId="6502"/>
    <cellStyle name="_Table_CashFlows _tijdseries_par swap rates" xfId="5870"/>
    <cellStyle name="_Table_CashFlows _vpv" xfId="4252"/>
    <cellStyle name="_Table_CashFlows _vpv 2" xfId="7139"/>
    <cellStyle name="_Table_CashFlows _vpv return serie" xfId="4253"/>
    <cellStyle name="_Table_CashFlows _vpv return serie 2" xfId="7140"/>
    <cellStyle name="_Table_CashFlows _vpv return serie_bei rates" xfId="6504"/>
    <cellStyle name="_Table_CashFlows _vpv return serie_par swap rates" xfId="5872"/>
    <cellStyle name="_Table_CashFlows _vpv_bei rates" xfId="6503"/>
    <cellStyle name="_Table_CashFlows _vpv_par swap rates" xfId="5871"/>
    <cellStyle name="_Table_Combined CashFlows" xfId="979"/>
    <cellStyle name="_Table_Combined CashFlows 2" xfId="3361"/>
    <cellStyle name="_Table_Combined CashFlows 3" xfId="2245"/>
    <cellStyle name="_Table_Combined CashFlows_actuate" xfId="980"/>
    <cellStyle name="_Table_Combined CashFlows_actuate 2" xfId="3362"/>
    <cellStyle name="_Table_Combined CashFlows_actuate 3" xfId="2246"/>
    <cellStyle name="_Table_Combined CashFlows_actuate_cashflows corp" xfId="4254"/>
    <cellStyle name="_Table_Combined CashFlows_actuate_cashflows Gov't AAA" xfId="4255"/>
    <cellStyle name="_Table_Combined CashFlows_actuate_cashflows ilb" xfId="4256"/>
    <cellStyle name="_Table_Combined CashFlows_actuate_cashflows lang staats" xfId="4257"/>
    <cellStyle name="_Table_Combined CashFlows_actuate_cashflows pan european 500mm" xfId="4258"/>
    <cellStyle name="_Table_Combined CashFlows_actuate_cashflows staats" xfId="4259"/>
    <cellStyle name="_Table_Combined CashFlows_actuate_excess returns bm matching pf" xfId="4260"/>
    <cellStyle name="_Table_Combined CashFlows_actuate_ilb reeel only" xfId="4261"/>
    <cellStyle name="_Table_Combined CashFlows_actuate_nominale counterpart ilb" xfId="4262"/>
    <cellStyle name="_Table_Combined CashFlows_actuate_tijdseries" xfId="4263"/>
    <cellStyle name="_Table_Combined CashFlows_actuate_tijdseries 2" xfId="7141"/>
    <cellStyle name="_Table_Combined CashFlows_actuate_tijdseries_bei rates" xfId="6505"/>
    <cellStyle name="_Table_Combined CashFlows_actuate_tijdseries_par swap rates" xfId="5873"/>
    <cellStyle name="_Table_Combined CashFlows_actuate_vpv" xfId="4264"/>
    <cellStyle name="_Table_Combined CashFlows_actuate_vpv 2" xfId="7142"/>
    <cellStyle name="_Table_Combined CashFlows_actuate_vpv return serie" xfId="4265"/>
    <cellStyle name="_Table_Combined CashFlows_actuate_vpv return serie 2" xfId="7143"/>
    <cellStyle name="_Table_Combined CashFlows_actuate_vpv return serie_bei rates" xfId="6507"/>
    <cellStyle name="_Table_Combined CashFlows_actuate_vpv return serie_par swap rates" xfId="5875"/>
    <cellStyle name="_Table_Combined CashFlows_actuate_vpv_bei rates" xfId="6506"/>
    <cellStyle name="_Table_Combined CashFlows_actuate_vpv_par swap rates" xfId="5874"/>
    <cellStyle name="_Table_Combined CashFlows_beleggingen" xfId="4266"/>
    <cellStyle name="_Table_Combined CashFlows_beleggingen 2" xfId="7144"/>
    <cellStyle name="_Table_Combined CashFlows_beleggingen_bei rates" xfId="6508"/>
    <cellStyle name="_Table_Combined CashFlows_beleggingen_par swap rates" xfId="5876"/>
    <cellStyle name="_Table_Combined CashFlows_cashflows corp" xfId="4267"/>
    <cellStyle name="_Table_Combined CashFlows_cashflows Gov't AAA" xfId="4268"/>
    <cellStyle name="_Table_Combined CashFlows_cashflows ilb" xfId="4269"/>
    <cellStyle name="_Table_Combined CashFlows_cashflows lang staats" xfId="4270"/>
    <cellStyle name="_Table_Combined CashFlows_cashflows pan european 500mm" xfId="4271"/>
    <cellStyle name="_Table_Combined CashFlows_cashflows staats" xfId="4272"/>
    <cellStyle name="_Table_Combined CashFlows_dv01" xfId="981"/>
    <cellStyle name="_Table_Combined CashFlows_excess returns bm matching pf" xfId="4273"/>
    <cellStyle name="_Table_Combined CashFlows_feitelijk rendement" xfId="4274"/>
    <cellStyle name="_Table_Combined CashFlows_feitelijk rendement 2" xfId="7145"/>
    <cellStyle name="_Table_Combined CashFlows_feitelijk rendement_bei rates" xfId="6509"/>
    <cellStyle name="_Table_Combined CashFlows_feitelijk rendement_par swap rates" xfId="5877"/>
    <cellStyle name="_Table_Combined CashFlows_ilb reeel only" xfId="4275"/>
    <cellStyle name="_Table_Combined CashFlows_nominale counterpart ilb" xfId="4276"/>
    <cellStyle name="_Table_Combined CashFlows_tijdseries" xfId="4277"/>
    <cellStyle name="_Table_Combined CashFlows_tijdseries 2" xfId="7146"/>
    <cellStyle name="_Table_Combined CashFlows_tijdseries_bei rates" xfId="6510"/>
    <cellStyle name="_Table_Combined CashFlows_tijdseries_par swap rates" xfId="5878"/>
    <cellStyle name="_Table_Combined CashFlows_vpv" xfId="4278"/>
    <cellStyle name="_Table_Combined CashFlows_vpv 2" xfId="7147"/>
    <cellStyle name="_Table_Combined CashFlows_vpv return serie" xfId="4279"/>
    <cellStyle name="_Table_Combined CashFlows_vpv return serie 2" xfId="7148"/>
    <cellStyle name="_Table_Combined CashFlows_vpv return serie_bei rates" xfId="6512"/>
    <cellStyle name="_Table_Combined CashFlows_vpv return serie_par swap rates" xfId="5880"/>
    <cellStyle name="_Table_Combined CashFlows_vpv_bei rates" xfId="6511"/>
    <cellStyle name="_Table_Combined CashFlows_vpv_par swap rates" xfId="5879"/>
    <cellStyle name="_Table_FP Liabilities_19oct05 v2" xfId="982"/>
    <cellStyle name="_Table_FP Liabilities_19oct05 v2 2" xfId="3364"/>
    <cellStyle name="_Table_FP Liabilities_19oct05 v2 3" xfId="2247"/>
    <cellStyle name="_Table_FP Liabilities_19oct05 v2_actuate" xfId="983"/>
    <cellStyle name="_Table_FP Liabilities_19oct05 v2_actuate 2" xfId="3365"/>
    <cellStyle name="_Table_FP Liabilities_19oct05 v2_actuate 3" xfId="2248"/>
    <cellStyle name="_Table_FP Liabilities_19oct05 v2_actuate_cashflows corp" xfId="4280"/>
    <cellStyle name="_Table_FP Liabilities_19oct05 v2_actuate_cashflows Gov't AAA" xfId="4281"/>
    <cellStyle name="_Table_FP Liabilities_19oct05 v2_actuate_cashflows ilb" xfId="4282"/>
    <cellStyle name="_Table_FP Liabilities_19oct05 v2_actuate_cashflows lang staats" xfId="4283"/>
    <cellStyle name="_Table_FP Liabilities_19oct05 v2_actuate_cashflows pan european 500mm" xfId="4284"/>
    <cellStyle name="_Table_FP Liabilities_19oct05 v2_actuate_cashflows staats" xfId="4285"/>
    <cellStyle name="_Table_FP Liabilities_19oct05 v2_actuate_excess returns bm matching pf" xfId="4286"/>
    <cellStyle name="_Table_FP Liabilities_19oct05 v2_actuate_ilb reeel only" xfId="4287"/>
    <cellStyle name="_Table_FP Liabilities_19oct05 v2_actuate_nominale counterpart ilb" xfId="4288"/>
    <cellStyle name="_Table_FP Liabilities_19oct05 v2_actuate_tijdseries" xfId="4289"/>
    <cellStyle name="_Table_FP Liabilities_19oct05 v2_actuate_tijdseries 2" xfId="7149"/>
    <cellStyle name="_Table_FP Liabilities_19oct05 v2_actuate_tijdseries_bei rates" xfId="6513"/>
    <cellStyle name="_Table_FP Liabilities_19oct05 v2_actuate_tijdseries_par swap rates" xfId="5881"/>
    <cellStyle name="_Table_FP Liabilities_19oct05 v2_actuate_vpv" xfId="4290"/>
    <cellStyle name="_Table_FP Liabilities_19oct05 v2_actuate_vpv 2" xfId="7150"/>
    <cellStyle name="_Table_FP Liabilities_19oct05 v2_actuate_vpv return serie" xfId="4291"/>
    <cellStyle name="_Table_FP Liabilities_19oct05 v2_actuate_vpv return serie 2" xfId="7151"/>
    <cellStyle name="_Table_FP Liabilities_19oct05 v2_actuate_vpv return serie_bei rates" xfId="6515"/>
    <cellStyle name="_Table_FP Liabilities_19oct05 v2_actuate_vpv return serie_par swap rates" xfId="5883"/>
    <cellStyle name="_Table_FP Liabilities_19oct05 v2_actuate_vpv_bei rates" xfId="6514"/>
    <cellStyle name="_Table_FP Liabilities_19oct05 v2_actuate_vpv_par swap rates" xfId="5882"/>
    <cellStyle name="_Table_FP Liabilities_19oct05 v2_beleggingen" xfId="4292"/>
    <cellStyle name="_Table_FP Liabilities_19oct05 v2_beleggingen 2" xfId="7152"/>
    <cellStyle name="_Table_FP Liabilities_19oct05 v2_beleggingen_bei rates" xfId="6516"/>
    <cellStyle name="_Table_FP Liabilities_19oct05 v2_beleggingen_par swap rates" xfId="5884"/>
    <cellStyle name="_Table_FP Liabilities_19oct05 v2_cashflows corp" xfId="4293"/>
    <cellStyle name="_Table_FP Liabilities_19oct05 v2_cashflows Gov't AAA" xfId="4294"/>
    <cellStyle name="_Table_FP Liabilities_19oct05 v2_cashflows ilb" xfId="4295"/>
    <cellStyle name="_Table_FP Liabilities_19oct05 v2_cashflows lang staats" xfId="4296"/>
    <cellStyle name="_Table_FP Liabilities_19oct05 v2_cashflows pan european 500mm" xfId="4297"/>
    <cellStyle name="_Table_FP Liabilities_19oct05 v2_cashflows staats" xfId="4298"/>
    <cellStyle name="_Table_FP Liabilities_19oct05 v2_dv01" xfId="984"/>
    <cellStyle name="_Table_FP Liabilities_19oct05 v2_excess returns bm matching pf" xfId="4299"/>
    <cellStyle name="_Table_FP Liabilities_19oct05 v2_feitelijk rendement" xfId="4300"/>
    <cellStyle name="_Table_FP Liabilities_19oct05 v2_feitelijk rendement 2" xfId="7153"/>
    <cellStyle name="_Table_FP Liabilities_19oct05 v2_feitelijk rendement_bei rates" xfId="6517"/>
    <cellStyle name="_Table_FP Liabilities_19oct05 v2_feitelijk rendement_par swap rates" xfId="5885"/>
    <cellStyle name="_Table_FP Liabilities_19oct05 v2_ilb reeel only" xfId="4301"/>
    <cellStyle name="_Table_FP Liabilities_19oct05 v2_nominale counterpart ilb" xfId="4302"/>
    <cellStyle name="_Table_FP Liabilities_19oct05 v2_tijdseries" xfId="4303"/>
    <cellStyle name="_Table_FP Liabilities_19oct05 v2_tijdseries 2" xfId="7154"/>
    <cellStyle name="_Table_FP Liabilities_19oct05 v2_tijdseries_bei rates" xfId="6518"/>
    <cellStyle name="_Table_FP Liabilities_19oct05 v2_tijdseries_par swap rates" xfId="5886"/>
    <cellStyle name="_Table_FP Liabilities_19oct05 v2_vpv" xfId="4304"/>
    <cellStyle name="_Table_FP Liabilities_19oct05 v2_vpv 2" xfId="7155"/>
    <cellStyle name="_Table_FP Liabilities_19oct05 v2_vpv return serie" xfId="4305"/>
    <cellStyle name="_Table_FP Liabilities_19oct05 v2_vpv return serie 2" xfId="7156"/>
    <cellStyle name="_Table_FP Liabilities_19oct05 v2_vpv return serie_bei rates" xfId="6520"/>
    <cellStyle name="_Table_FP Liabilities_19oct05 v2_vpv return serie_par swap rates" xfId="5888"/>
    <cellStyle name="_Table_FP Liabilities_19oct05 v2_vpv_bei rates" xfId="6519"/>
    <cellStyle name="_Table_FP Liabilities_19oct05 v2_vpv_par swap rates" xfId="5887"/>
    <cellStyle name="_Table_Govt Bond Data" xfId="985"/>
    <cellStyle name="_Table_INF Benchmark " xfId="986"/>
    <cellStyle name="_Table_InitialPosition" xfId="987"/>
    <cellStyle name="_Table_IR Benchmark" xfId="988"/>
    <cellStyle name="_Table_June 05 CF" xfId="989"/>
    <cellStyle name="_Table_June 05 CF 2" xfId="3371"/>
    <cellStyle name="_Table_June 05 CF 3" xfId="2249"/>
    <cellStyle name="_Table_June 05 CF_actuate" xfId="990"/>
    <cellStyle name="_Table_June 05 CF_actuate 2" xfId="3372"/>
    <cellStyle name="_Table_June 05 CF_actuate 3" xfId="2250"/>
    <cellStyle name="_Table_June 05 CF_actuate_cashflows corp" xfId="4306"/>
    <cellStyle name="_Table_June 05 CF_actuate_cashflows Gov't AAA" xfId="4307"/>
    <cellStyle name="_Table_June 05 CF_actuate_cashflows ilb" xfId="4308"/>
    <cellStyle name="_Table_June 05 CF_actuate_cashflows lang staats" xfId="4309"/>
    <cellStyle name="_Table_June 05 CF_actuate_cashflows pan european 500mm" xfId="4310"/>
    <cellStyle name="_Table_June 05 CF_actuate_cashflows staats" xfId="4311"/>
    <cellStyle name="_Table_June 05 CF_actuate_excess returns bm matching pf" xfId="4312"/>
    <cellStyle name="_Table_June 05 CF_actuate_ilb reeel only" xfId="4313"/>
    <cellStyle name="_Table_June 05 CF_actuate_nominale counterpart ilb" xfId="4314"/>
    <cellStyle name="_Table_June 05 CF_actuate_tijdseries" xfId="4315"/>
    <cellStyle name="_Table_June 05 CF_actuate_tijdseries 2" xfId="7157"/>
    <cellStyle name="_Table_June 05 CF_actuate_tijdseries_bei rates" xfId="6521"/>
    <cellStyle name="_Table_June 05 CF_actuate_tijdseries_par swap rates" xfId="5889"/>
    <cellStyle name="_Table_June 05 CF_actuate_vpv" xfId="4316"/>
    <cellStyle name="_Table_June 05 CF_actuate_vpv 2" xfId="7158"/>
    <cellStyle name="_Table_June 05 CF_actuate_vpv return serie" xfId="4317"/>
    <cellStyle name="_Table_June 05 CF_actuate_vpv return serie 2" xfId="7159"/>
    <cellStyle name="_Table_June 05 CF_actuate_vpv return serie_bei rates" xfId="6523"/>
    <cellStyle name="_Table_June 05 CF_actuate_vpv return serie_par swap rates" xfId="5891"/>
    <cellStyle name="_Table_June 05 CF_actuate_vpv_bei rates" xfId="6522"/>
    <cellStyle name="_Table_June 05 CF_actuate_vpv_par swap rates" xfId="5890"/>
    <cellStyle name="_Table_June 05 CF_beleggingen" xfId="4318"/>
    <cellStyle name="_Table_June 05 CF_beleggingen 2" xfId="7160"/>
    <cellStyle name="_Table_June 05 CF_beleggingen_bei rates" xfId="6524"/>
    <cellStyle name="_Table_June 05 CF_beleggingen_par swap rates" xfId="5892"/>
    <cellStyle name="_Table_June 05 CF_cashflows corp" xfId="4319"/>
    <cellStyle name="_Table_June 05 CF_cashflows Gov't AAA" xfId="4320"/>
    <cellStyle name="_Table_June 05 CF_cashflows ilb" xfId="4321"/>
    <cellStyle name="_Table_June 05 CF_cashflows lang staats" xfId="4322"/>
    <cellStyle name="_Table_June 05 CF_cashflows pan european 500mm" xfId="4323"/>
    <cellStyle name="_Table_June 05 CF_cashflows staats" xfId="4324"/>
    <cellStyle name="_Table_June 05 CF_dv01" xfId="991"/>
    <cellStyle name="_Table_June 05 CF_excess returns bm matching pf" xfId="4325"/>
    <cellStyle name="_Table_June 05 CF_feitelijk rendement" xfId="4326"/>
    <cellStyle name="_Table_June 05 CF_feitelijk rendement 2" xfId="7161"/>
    <cellStyle name="_Table_June 05 CF_feitelijk rendement_bei rates" xfId="6525"/>
    <cellStyle name="_Table_June 05 CF_feitelijk rendement_par swap rates" xfId="5893"/>
    <cellStyle name="_Table_June 05 CF_ilb reeel only" xfId="4327"/>
    <cellStyle name="_Table_June 05 CF_nominale counterpart ilb" xfId="4328"/>
    <cellStyle name="_Table_June 05 CF_tijdseries" xfId="4329"/>
    <cellStyle name="_Table_June 05 CF_tijdseries 2" xfId="7162"/>
    <cellStyle name="_Table_June 05 CF_tijdseries_bei rates" xfId="6526"/>
    <cellStyle name="_Table_June 05 CF_tijdseries_par swap rates" xfId="5894"/>
    <cellStyle name="_Table_June 05 CF_vpv" xfId="4330"/>
    <cellStyle name="_Table_June 05 CF_vpv 2" xfId="7163"/>
    <cellStyle name="_Table_June 05 CF_vpv return serie" xfId="4331"/>
    <cellStyle name="_Table_June 05 CF_vpv return serie 2" xfId="7164"/>
    <cellStyle name="_Table_June 05 CF_vpv return serie_bei rates" xfId="6528"/>
    <cellStyle name="_Table_June 05 CF_vpv return serie_par swap rates" xfId="5896"/>
    <cellStyle name="_Table_June 05 CF_vpv_bei rates" xfId="6527"/>
    <cellStyle name="_Table_June 05 CF_vpv_par swap rates" xfId="5895"/>
    <cellStyle name="_Table_June05" xfId="992"/>
    <cellStyle name="_Table_LDI Characts" xfId="993"/>
    <cellStyle name="_Table_Liabs DV01" xfId="994"/>
    <cellStyle name="_Table_Liabs DV01 2" xfId="3374"/>
    <cellStyle name="_Table_Liabs DV01 3" xfId="2251"/>
    <cellStyle name="_Table_Liabs DV01_actuate" xfId="995"/>
    <cellStyle name="_Table_Liabs DV01_actuate 2" xfId="3375"/>
    <cellStyle name="_Table_Liabs DV01_actuate 3" xfId="2252"/>
    <cellStyle name="_Table_Liabs DV01_actuate_cashflows corp" xfId="4332"/>
    <cellStyle name="_Table_Liabs DV01_actuate_cashflows Gov't AAA" xfId="4333"/>
    <cellStyle name="_Table_Liabs DV01_actuate_cashflows ilb" xfId="4334"/>
    <cellStyle name="_Table_Liabs DV01_actuate_cashflows lang staats" xfId="4335"/>
    <cellStyle name="_Table_Liabs DV01_actuate_cashflows pan european 500mm" xfId="4336"/>
    <cellStyle name="_Table_Liabs DV01_actuate_cashflows staats" xfId="4337"/>
    <cellStyle name="_Table_Liabs DV01_actuate_excess returns bm matching pf" xfId="4338"/>
    <cellStyle name="_Table_Liabs DV01_actuate_ilb reeel only" xfId="4339"/>
    <cellStyle name="_Table_Liabs DV01_actuate_nominale counterpart ilb" xfId="4340"/>
    <cellStyle name="_Table_Liabs DV01_actuate_tijdseries" xfId="4341"/>
    <cellStyle name="_Table_Liabs DV01_actuate_tijdseries 2" xfId="7165"/>
    <cellStyle name="_Table_Liabs DV01_actuate_tijdseries_bei rates" xfId="6529"/>
    <cellStyle name="_Table_Liabs DV01_actuate_tijdseries_par swap rates" xfId="5897"/>
    <cellStyle name="_Table_Liabs DV01_actuate_vpv" xfId="4342"/>
    <cellStyle name="_Table_Liabs DV01_actuate_vpv 2" xfId="7166"/>
    <cellStyle name="_Table_Liabs DV01_actuate_vpv return serie" xfId="4343"/>
    <cellStyle name="_Table_Liabs DV01_actuate_vpv return serie 2" xfId="7167"/>
    <cellStyle name="_Table_Liabs DV01_actuate_vpv return serie_bei rates" xfId="6531"/>
    <cellStyle name="_Table_Liabs DV01_actuate_vpv return serie_par swap rates" xfId="5899"/>
    <cellStyle name="_Table_Liabs DV01_actuate_vpv_bei rates" xfId="6530"/>
    <cellStyle name="_Table_Liabs DV01_actuate_vpv_par swap rates" xfId="5898"/>
    <cellStyle name="_Table_Liabs DV01_beleggingen" xfId="4344"/>
    <cellStyle name="_Table_Liabs DV01_beleggingen 2" xfId="7168"/>
    <cellStyle name="_Table_Liabs DV01_beleggingen_bei rates" xfId="6532"/>
    <cellStyle name="_Table_Liabs DV01_beleggingen_par swap rates" xfId="5900"/>
    <cellStyle name="_Table_Liabs DV01_cashflows corp" xfId="4345"/>
    <cellStyle name="_Table_Liabs DV01_cashflows Gov't AAA" xfId="4346"/>
    <cellStyle name="_Table_Liabs DV01_cashflows ilb" xfId="4347"/>
    <cellStyle name="_Table_Liabs DV01_cashflows lang staats" xfId="4348"/>
    <cellStyle name="_Table_Liabs DV01_cashflows pan european 500mm" xfId="4349"/>
    <cellStyle name="_Table_Liabs DV01_cashflows staats" xfId="4350"/>
    <cellStyle name="_Table_Liabs DV01_dv01" xfId="996"/>
    <cellStyle name="_Table_Liabs DV01_excess returns bm matching pf" xfId="4351"/>
    <cellStyle name="_Table_Liabs DV01_feitelijk rendement" xfId="4352"/>
    <cellStyle name="_Table_Liabs DV01_feitelijk rendement 2" xfId="7169"/>
    <cellStyle name="_Table_Liabs DV01_feitelijk rendement_bei rates" xfId="6533"/>
    <cellStyle name="_Table_Liabs DV01_feitelijk rendement_par swap rates" xfId="5901"/>
    <cellStyle name="_Table_Liabs DV01_ilb reeel only" xfId="4353"/>
    <cellStyle name="_Table_Liabs DV01_nominale counterpart ilb" xfId="4354"/>
    <cellStyle name="_Table_Liabs DV01_tijdseries" xfId="4355"/>
    <cellStyle name="_Table_Liabs DV01_tijdseries 2" xfId="7170"/>
    <cellStyle name="_Table_Liabs DV01_tijdseries_bei rates" xfId="6534"/>
    <cellStyle name="_Table_Liabs DV01_tijdseries_par swap rates" xfId="5902"/>
    <cellStyle name="_Table_Liabs DV01_vpv" xfId="4356"/>
    <cellStyle name="_Table_Liabs DV01_vpv 2" xfId="7171"/>
    <cellStyle name="_Table_Liabs DV01_vpv return serie" xfId="4357"/>
    <cellStyle name="_Table_Liabs DV01_vpv return serie 2" xfId="7172"/>
    <cellStyle name="_Table_Liabs DV01_vpv return serie_bei rates" xfId="6536"/>
    <cellStyle name="_Table_Liabs DV01_vpv return serie_par swap rates" xfId="5904"/>
    <cellStyle name="_Table_Liabs DV01_vpv_bei rates" xfId="6535"/>
    <cellStyle name="_Table_Liabs DV01_vpv_par swap rates" xfId="5903"/>
    <cellStyle name="_Table_Main" xfId="997"/>
    <cellStyle name="_Table_Main 2" xfId="3377"/>
    <cellStyle name="_Table_Main 3" xfId="2253"/>
    <cellStyle name="_Table_Main_actuate" xfId="998"/>
    <cellStyle name="_Table_Main_actuate 2" xfId="3378"/>
    <cellStyle name="_Table_Main_actuate 3" xfId="2254"/>
    <cellStyle name="_Table_Main_actuate_cashflows corp" xfId="4358"/>
    <cellStyle name="_Table_Main_actuate_cashflows Gov't AAA" xfId="4359"/>
    <cellStyle name="_Table_Main_actuate_cashflows ilb" xfId="4360"/>
    <cellStyle name="_Table_Main_actuate_cashflows lang staats" xfId="4361"/>
    <cellStyle name="_Table_Main_actuate_cashflows pan european 500mm" xfId="4362"/>
    <cellStyle name="_Table_Main_actuate_cashflows staats" xfId="4363"/>
    <cellStyle name="_Table_Main_actuate_excess returns bm matching pf" xfId="4364"/>
    <cellStyle name="_Table_Main_actuate_ilb reeel only" xfId="4365"/>
    <cellStyle name="_Table_Main_actuate_nominale counterpart ilb" xfId="4366"/>
    <cellStyle name="_Table_Main_actuate_tijdseries" xfId="4367"/>
    <cellStyle name="_Table_Main_actuate_tijdseries 2" xfId="7173"/>
    <cellStyle name="_Table_Main_actuate_tijdseries_bei rates" xfId="6537"/>
    <cellStyle name="_Table_Main_actuate_tijdseries_par swap rates" xfId="5905"/>
    <cellStyle name="_Table_Main_actuate_vpv" xfId="4368"/>
    <cellStyle name="_Table_Main_actuate_vpv 2" xfId="7174"/>
    <cellStyle name="_Table_Main_actuate_vpv return serie" xfId="4369"/>
    <cellStyle name="_Table_Main_actuate_vpv return serie 2" xfId="7175"/>
    <cellStyle name="_Table_Main_actuate_vpv return serie_bei rates" xfId="6539"/>
    <cellStyle name="_Table_Main_actuate_vpv return serie_par swap rates" xfId="5907"/>
    <cellStyle name="_Table_Main_actuate_vpv_bei rates" xfId="6538"/>
    <cellStyle name="_Table_Main_actuate_vpv_par swap rates" xfId="5906"/>
    <cellStyle name="_Table_Main_beleggingen" xfId="4370"/>
    <cellStyle name="_Table_Main_beleggingen 2" xfId="7176"/>
    <cellStyle name="_Table_Main_beleggingen_bei rates" xfId="6540"/>
    <cellStyle name="_Table_Main_beleggingen_par swap rates" xfId="5908"/>
    <cellStyle name="_Table_Main_cashflows corp" xfId="4371"/>
    <cellStyle name="_Table_Main_cashflows Gov't AAA" xfId="4372"/>
    <cellStyle name="_Table_Main_cashflows ilb" xfId="4373"/>
    <cellStyle name="_Table_Main_cashflows lang staats" xfId="4374"/>
    <cellStyle name="_Table_Main_cashflows pan european 500mm" xfId="4375"/>
    <cellStyle name="_Table_Main_cashflows staats" xfId="4376"/>
    <cellStyle name="_Table_Main_dv01" xfId="999"/>
    <cellStyle name="_Table_Main_excess returns bm matching pf" xfId="4377"/>
    <cellStyle name="_Table_Main_feitelijk rendement" xfId="4378"/>
    <cellStyle name="_Table_Main_feitelijk rendement 2" xfId="7177"/>
    <cellStyle name="_Table_Main_feitelijk rendement_bei rates" xfId="6541"/>
    <cellStyle name="_Table_Main_feitelijk rendement_par swap rates" xfId="5909"/>
    <cellStyle name="_Table_Main_ilb reeel only" xfId="4379"/>
    <cellStyle name="_Table_Main_nominale counterpart ilb" xfId="4380"/>
    <cellStyle name="_Table_Main_tijdseries" xfId="4381"/>
    <cellStyle name="_Table_Main_tijdseries 2" xfId="7178"/>
    <cellStyle name="_Table_Main_tijdseries_bei rates" xfId="6542"/>
    <cellStyle name="_Table_Main_tijdseries_par swap rates" xfId="5910"/>
    <cellStyle name="_Table_Main_vpv" xfId="4382"/>
    <cellStyle name="_Table_Main_vpv 2" xfId="7179"/>
    <cellStyle name="_Table_Main_vpv return serie" xfId="4383"/>
    <cellStyle name="_Table_Main_vpv return serie 2" xfId="7180"/>
    <cellStyle name="_Table_Main_vpv return serie_bei rates" xfId="6544"/>
    <cellStyle name="_Table_Main_vpv return serie_par swap rates" xfId="5912"/>
    <cellStyle name="_Table_Main_vpv_bei rates" xfId="6543"/>
    <cellStyle name="_Table_Main_vpv_par swap rates" xfId="5911"/>
    <cellStyle name="_Table_Matching PV Cashflows" xfId="1000"/>
    <cellStyle name="_Table_Matching PV Cashflows 2" xfId="3380"/>
    <cellStyle name="_Table_Matching PV Cashflows 3" xfId="2255"/>
    <cellStyle name="_Table_Matching PV Cashflows_actuate" xfId="1001"/>
    <cellStyle name="_Table_Matching PV Cashflows_actuate 2" xfId="3381"/>
    <cellStyle name="_Table_Matching PV Cashflows_actuate 3" xfId="2256"/>
    <cellStyle name="_Table_Matching PV Cashflows_actuate_cashflows corp" xfId="4384"/>
    <cellStyle name="_Table_Matching PV Cashflows_actuate_cashflows Gov't AAA" xfId="4385"/>
    <cellStyle name="_Table_Matching PV Cashflows_actuate_cashflows ilb" xfId="4386"/>
    <cellStyle name="_Table_Matching PV Cashflows_actuate_cashflows lang staats" xfId="4387"/>
    <cellStyle name="_Table_Matching PV Cashflows_actuate_cashflows pan european 500mm" xfId="4388"/>
    <cellStyle name="_Table_Matching PV Cashflows_actuate_cashflows staats" xfId="4389"/>
    <cellStyle name="_Table_Matching PV Cashflows_actuate_excess returns bm matching pf" xfId="4390"/>
    <cellStyle name="_Table_Matching PV Cashflows_actuate_ilb reeel only" xfId="4391"/>
    <cellStyle name="_Table_Matching PV Cashflows_actuate_nominale counterpart ilb" xfId="4392"/>
    <cellStyle name="_Table_Matching PV Cashflows_actuate_tijdseries" xfId="4393"/>
    <cellStyle name="_Table_Matching PV Cashflows_actuate_tijdseries 2" xfId="7181"/>
    <cellStyle name="_Table_Matching PV Cashflows_actuate_tijdseries_bei rates" xfId="6545"/>
    <cellStyle name="_Table_Matching PV Cashflows_actuate_tijdseries_par swap rates" xfId="5913"/>
    <cellStyle name="_Table_Matching PV Cashflows_actuate_vpv" xfId="4394"/>
    <cellStyle name="_Table_Matching PV Cashflows_actuate_vpv 2" xfId="7182"/>
    <cellStyle name="_Table_Matching PV Cashflows_actuate_vpv return serie" xfId="4395"/>
    <cellStyle name="_Table_Matching PV Cashflows_actuate_vpv return serie 2" xfId="7183"/>
    <cellStyle name="_Table_Matching PV Cashflows_actuate_vpv return serie_bei rates" xfId="6547"/>
    <cellStyle name="_Table_Matching PV Cashflows_actuate_vpv return serie_par swap rates" xfId="5915"/>
    <cellStyle name="_Table_Matching PV Cashflows_actuate_vpv_bei rates" xfId="6546"/>
    <cellStyle name="_Table_Matching PV Cashflows_actuate_vpv_par swap rates" xfId="5914"/>
    <cellStyle name="_Table_Matching PV Cashflows_beleggingen" xfId="4396"/>
    <cellStyle name="_Table_Matching PV Cashflows_beleggingen 2" xfId="7184"/>
    <cellStyle name="_Table_Matching PV Cashflows_beleggingen_bei rates" xfId="6548"/>
    <cellStyle name="_Table_Matching PV Cashflows_beleggingen_par swap rates" xfId="5916"/>
    <cellStyle name="_Table_Matching PV Cashflows_cashflows corp" xfId="4397"/>
    <cellStyle name="_Table_Matching PV Cashflows_cashflows Gov't AAA" xfId="4398"/>
    <cellStyle name="_Table_Matching PV Cashflows_cashflows ilb" xfId="4399"/>
    <cellStyle name="_Table_Matching PV Cashflows_cashflows lang staats" xfId="4400"/>
    <cellStyle name="_Table_Matching PV Cashflows_cashflows pan european 500mm" xfId="4401"/>
    <cellStyle name="_Table_Matching PV Cashflows_cashflows staats" xfId="4402"/>
    <cellStyle name="_Table_Matching PV Cashflows_dv01" xfId="1002"/>
    <cellStyle name="_Table_Matching PV Cashflows_excess returns bm matching pf" xfId="4403"/>
    <cellStyle name="_Table_Matching PV Cashflows_feitelijk rendement" xfId="4404"/>
    <cellStyle name="_Table_Matching PV Cashflows_feitelijk rendement 2" xfId="7185"/>
    <cellStyle name="_Table_Matching PV Cashflows_feitelijk rendement_bei rates" xfId="6549"/>
    <cellStyle name="_Table_Matching PV Cashflows_feitelijk rendement_par swap rates" xfId="5917"/>
    <cellStyle name="_Table_Matching PV Cashflows_ilb reeel only" xfId="4405"/>
    <cellStyle name="_Table_Matching PV Cashflows_nominale counterpart ilb" xfId="4406"/>
    <cellStyle name="_Table_Matching PV Cashflows_tijdseries" xfId="4407"/>
    <cellStyle name="_Table_Matching PV Cashflows_tijdseries 2" xfId="7186"/>
    <cellStyle name="_Table_Matching PV Cashflows_tijdseries_bei rates" xfId="6550"/>
    <cellStyle name="_Table_Matching PV Cashflows_tijdseries_par swap rates" xfId="5918"/>
    <cellStyle name="_Table_Matching PV Cashflows_vpv" xfId="4408"/>
    <cellStyle name="_Table_Matching PV Cashflows_vpv 2" xfId="7187"/>
    <cellStyle name="_Table_Matching PV Cashflows_vpv return serie" xfId="4409"/>
    <cellStyle name="_Table_Matching PV Cashflows_vpv return serie 2" xfId="7188"/>
    <cellStyle name="_Table_Matching PV Cashflows_vpv return serie_bei rates" xfId="6552"/>
    <cellStyle name="_Table_Matching PV Cashflows_vpv return serie_par swap rates" xfId="5920"/>
    <cellStyle name="_Table_Matching PV Cashflows_vpv_bei rates" xfId="6551"/>
    <cellStyle name="_Table_Matching PV Cashflows_vpv_par swap rates" xfId="5919"/>
    <cellStyle name="_Table_ModelSetup" xfId="1003"/>
    <cellStyle name="_Table_ModelSetup 2" xfId="3383"/>
    <cellStyle name="_Table_ModelSetup 3" xfId="2257"/>
    <cellStyle name="_Table_ModelSetup_actuate" xfId="1004"/>
    <cellStyle name="_Table_ModelSetup_actuate 2" xfId="3384"/>
    <cellStyle name="_Table_ModelSetup_actuate 3" xfId="2258"/>
    <cellStyle name="_Table_ModelSetup_actuate_cashflows corp" xfId="4410"/>
    <cellStyle name="_Table_ModelSetup_actuate_cashflows Gov't AAA" xfId="4411"/>
    <cellStyle name="_Table_ModelSetup_actuate_cashflows ilb" xfId="4412"/>
    <cellStyle name="_Table_ModelSetup_actuate_cashflows lang staats" xfId="4413"/>
    <cellStyle name="_Table_ModelSetup_actuate_cashflows pan european 500mm" xfId="4414"/>
    <cellStyle name="_Table_ModelSetup_actuate_cashflows staats" xfId="4415"/>
    <cellStyle name="_Table_ModelSetup_actuate_excess returns bm matching pf" xfId="4416"/>
    <cellStyle name="_Table_ModelSetup_actuate_ilb reeel only" xfId="4417"/>
    <cellStyle name="_Table_ModelSetup_actuate_nominale counterpart ilb" xfId="4418"/>
    <cellStyle name="_Table_ModelSetup_actuate_tijdseries" xfId="4419"/>
    <cellStyle name="_Table_ModelSetup_actuate_tijdseries 2" xfId="7189"/>
    <cellStyle name="_Table_ModelSetup_actuate_tijdseries_bei rates" xfId="6553"/>
    <cellStyle name="_Table_ModelSetup_actuate_tijdseries_par swap rates" xfId="5921"/>
    <cellStyle name="_Table_ModelSetup_actuate_vpv" xfId="4420"/>
    <cellStyle name="_Table_ModelSetup_actuate_vpv 2" xfId="7190"/>
    <cellStyle name="_Table_ModelSetup_actuate_vpv return serie" xfId="4421"/>
    <cellStyle name="_Table_ModelSetup_actuate_vpv return serie 2" xfId="7191"/>
    <cellStyle name="_Table_ModelSetup_actuate_vpv return serie_bei rates" xfId="6555"/>
    <cellStyle name="_Table_ModelSetup_actuate_vpv return serie_par swap rates" xfId="5923"/>
    <cellStyle name="_Table_ModelSetup_actuate_vpv_bei rates" xfId="6554"/>
    <cellStyle name="_Table_ModelSetup_actuate_vpv_par swap rates" xfId="5922"/>
    <cellStyle name="_Table_ModelSetup_beleggingen" xfId="4422"/>
    <cellStyle name="_Table_ModelSetup_beleggingen 2" xfId="7192"/>
    <cellStyle name="_Table_ModelSetup_beleggingen_bei rates" xfId="6556"/>
    <cellStyle name="_Table_ModelSetup_beleggingen_par swap rates" xfId="5924"/>
    <cellStyle name="_Table_ModelSetup_cashflows corp" xfId="4423"/>
    <cellStyle name="_Table_ModelSetup_cashflows Gov't AAA" xfId="4424"/>
    <cellStyle name="_Table_ModelSetup_cashflows ilb" xfId="4425"/>
    <cellStyle name="_Table_ModelSetup_cashflows lang staats" xfId="4426"/>
    <cellStyle name="_Table_ModelSetup_cashflows pan european 500mm" xfId="4427"/>
    <cellStyle name="_Table_ModelSetup_cashflows staats" xfId="4428"/>
    <cellStyle name="_Table_ModelSetup_dv01" xfId="1005"/>
    <cellStyle name="_Table_ModelSetup_excess returns bm matching pf" xfId="4429"/>
    <cellStyle name="_Table_ModelSetup_feitelijk rendement" xfId="4430"/>
    <cellStyle name="_Table_ModelSetup_feitelijk rendement 2" xfId="7193"/>
    <cellStyle name="_Table_ModelSetup_feitelijk rendement_bei rates" xfId="6557"/>
    <cellStyle name="_Table_ModelSetup_feitelijk rendement_par swap rates" xfId="5925"/>
    <cellStyle name="_Table_ModelSetup_ilb reeel only" xfId="4431"/>
    <cellStyle name="_Table_ModelSetup_nominale counterpart ilb" xfId="4432"/>
    <cellStyle name="_Table_ModelSetup_tijdseries" xfId="4433"/>
    <cellStyle name="_Table_ModelSetup_tijdseries 2" xfId="7194"/>
    <cellStyle name="_Table_ModelSetup_tijdseries_bei rates" xfId="6558"/>
    <cellStyle name="_Table_ModelSetup_tijdseries_par swap rates" xfId="5926"/>
    <cellStyle name="_Table_ModelSetup_vpv" xfId="4434"/>
    <cellStyle name="_Table_ModelSetup_vpv 2" xfId="7195"/>
    <cellStyle name="_Table_ModelSetup_vpv return serie" xfId="4435"/>
    <cellStyle name="_Table_ModelSetup_vpv return serie 2" xfId="7196"/>
    <cellStyle name="_Table_ModelSetup_vpv return serie_bei rates" xfId="6560"/>
    <cellStyle name="_Table_ModelSetup_vpv return serie_par swap rates" xfId="5928"/>
    <cellStyle name="_Table_ModelSetup_vpv_bei rates" xfId="6559"/>
    <cellStyle name="_Table_ModelSetup_vpv_par swap rates" xfId="5927"/>
    <cellStyle name="_Table_PME Swaps" xfId="1006"/>
    <cellStyle name="_Table_Pricer" xfId="1007"/>
    <cellStyle name="_Table_Pricer 2" xfId="3387"/>
    <cellStyle name="_Table_Pricer 3" xfId="2259"/>
    <cellStyle name="_Table_Pricer_actuate" xfId="1008"/>
    <cellStyle name="_Table_Pricer_actuate 2" xfId="3388"/>
    <cellStyle name="_Table_Pricer_actuate 3" xfId="2260"/>
    <cellStyle name="_Table_Pricer_actuate_cashflows corp" xfId="4436"/>
    <cellStyle name="_Table_Pricer_actuate_cashflows Gov't AAA" xfId="4437"/>
    <cellStyle name="_Table_Pricer_actuate_cashflows ilb" xfId="4438"/>
    <cellStyle name="_Table_Pricer_actuate_cashflows lang staats" xfId="4439"/>
    <cellStyle name="_Table_Pricer_actuate_cashflows pan european 500mm" xfId="4440"/>
    <cellStyle name="_Table_Pricer_actuate_cashflows staats" xfId="4441"/>
    <cellStyle name="_Table_Pricer_actuate_excess returns bm matching pf" xfId="4442"/>
    <cellStyle name="_Table_Pricer_actuate_ilb reeel only" xfId="4443"/>
    <cellStyle name="_Table_Pricer_actuate_nominale counterpart ilb" xfId="4444"/>
    <cellStyle name="_Table_Pricer_actuate_tijdseries" xfId="4445"/>
    <cellStyle name="_Table_Pricer_actuate_tijdseries 2" xfId="7197"/>
    <cellStyle name="_Table_Pricer_actuate_tijdseries_bei rates" xfId="6561"/>
    <cellStyle name="_Table_Pricer_actuate_tijdseries_par swap rates" xfId="5929"/>
    <cellStyle name="_Table_Pricer_actuate_vpv" xfId="4446"/>
    <cellStyle name="_Table_Pricer_actuate_vpv 2" xfId="7198"/>
    <cellStyle name="_Table_Pricer_actuate_vpv return serie" xfId="4447"/>
    <cellStyle name="_Table_Pricer_actuate_vpv return serie 2" xfId="7199"/>
    <cellStyle name="_Table_Pricer_actuate_vpv return serie_bei rates" xfId="6563"/>
    <cellStyle name="_Table_Pricer_actuate_vpv return serie_par swap rates" xfId="5931"/>
    <cellStyle name="_Table_Pricer_actuate_vpv_bei rates" xfId="6562"/>
    <cellStyle name="_Table_Pricer_actuate_vpv_par swap rates" xfId="5930"/>
    <cellStyle name="_Table_Pricer_beleggingen" xfId="4448"/>
    <cellStyle name="_Table_Pricer_beleggingen 2" xfId="7200"/>
    <cellStyle name="_Table_Pricer_beleggingen_bei rates" xfId="6564"/>
    <cellStyle name="_Table_Pricer_beleggingen_par swap rates" xfId="5932"/>
    <cellStyle name="_Table_Pricer_cashflows corp" xfId="4449"/>
    <cellStyle name="_Table_Pricer_cashflows Gov't AAA" xfId="4450"/>
    <cellStyle name="_Table_Pricer_cashflows ilb" xfId="4451"/>
    <cellStyle name="_Table_Pricer_cashflows lang staats" xfId="4452"/>
    <cellStyle name="_Table_Pricer_cashflows pan european 500mm" xfId="4453"/>
    <cellStyle name="_Table_Pricer_cashflows staats" xfId="4454"/>
    <cellStyle name="_Table_Pricer_dv01" xfId="1009"/>
    <cellStyle name="_Table_Pricer_excess returns bm matching pf" xfId="4455"/>
    <cellStyle name="_Table_Pricer_feitelijk rendement" xfId="4456"/>
    <cellStyle name="_Table_Pricer_feitelijk rendement 2" xfId="7201"/>
    <cellStyle name="_Table_Pricer_feitelijk rendement_bei rates" xfId="6565"/>
    <cellStyle name="_Table_Pricer_feitelijk rendement_par swap rates" xfId="5933"/>
    <cellStyle name="_Table_Pricer_ilb reeel only" xfId="4457"/>
    <cellStyle name="_Table_Pricer_nominale counterpart ilb" xfId="4458"/>
    <cellStyle name="_Table_Pricer_tijdseries" xfId="4459"/>
    <cellStyle name="_Table_Pricer_tijdseries 2" xfId="7202"/>
    <cellStyle name="_Table_Pricer_tijdseries_bei rates" xfId="6566"/>
    <cellStyle name="_Table_Pricer_tijdseries_par swap rates" xfId="5934"/>
    <cellStyle name="_Table_Pricer_vpv" xfId="4460"/>
    <cellStyle name="_Table_Pricer_vpv 2" xfId="7203"/>
    <cellStyle name="_Table_Pricer_vpv return serie" xfId="4461"/>
    <cellStyle name="_Table_Pricer_vpv return serie 2" xfId="7204"/>
    <cellStyle name="_Table_Pricer_vpv return serie_bei rates" xfId="6568"/>
    <cellStyle name="_Table_Pricer_vpv return serie_par swap rates" xfId="5936"/>
    <cellStyle name="_Table_Pricer_vpv_bei rates" xfId="6567"/>
    <cellStyle name="_Table_Pricer_vpv_par swap rates" xfId="5935"/>
    <cellStyle name="_Table_Sheet1" xfId="1010"/>
    <cellStyle name="_Table_Sheet1 2" xfId="3390"/>
    <cellStyle name="_Table_Sheet1 3" xfId="2261"/>
    <cellStyle name="_Table_Sheet1_actuate" xfId="1011"/>
    <cellStyle name="_Table_Sheet1_actuate 2" xfId="3391"/>
    <cellStyle name="_Table_Sheet1_actuate 3" xfId="2262"/>
    <cellStyle name="_Table_Sheet1_actuate_cashflows corp" xfId="4462"/>
    <cellStyle name="_Table_Sheet1_actuate_cashflows Gov't AAA" xfId="4463"/>
    <cellStyle name="_Table_Sheet1_actuate_cashflows ilb" xfId="4464"/>
    <cellStyle name="_Table_Sheet1_actuate_cashflows lang staats" xfId="4465"/>
    <cellStyle name="_Table_Sheet1_actuate_cashflows pan european 500mm" xfId="4466"/>
    <cellStyle name="_Table_Sheet1_actuate_cashflows staats" xfId="4467"/>
    <cellStyle name="_Table_Sheet1_actuate_excess returns bm matching pf" xfId="4468"/>
    <cellStyle name="_Table_Sheet1_actuate_ilb reeel only" xfId="4469"/>
    <cellStyle name="_Table_Sheet1_actuate_nominale counterpart ilb" xfId="4470"/>
    <cellStyle name="_Table_Sheet1_actuate_tijdseries" xfId="4471"/>
    <cellStyle name="_Table_Sheet1_actuate_tijdseries 2" xfId="7205"/>
    <cellStyle name="_Table_Sheet1_actuate_tijdseries_bei rates" xfId="6569"/>
    <cellStyle name="_Table_Sheet1_actuate_tijdseries_par swap rates" xfId="5937"/>
    <cellStyle name="_Table_Sheet1_actuate_vpv" xfId="4472"/>
    <cellStyle name="_Table_Sheet1_actuate_vpv 2" xfId="7206"/>
    <cellStyle name="_Table_Sheet1_actuate_vpv return serie" xfId="4473"/>
    <cellStyle name="_Table_Sheet1_actuate_vpv return serie 2" xfId="7207"/>
    <cellStyle name="_Table_Sheet1_actuate_vpv return serie_bei rates" xfId="6571"/>
    <cellStyle name="_Table_Sheet1_actuate_vpv return serie_par swap rates" xfId="5939"/>
    <cellStyle name="_Table_Sheet1_actuate_vpv_bei rates" xfId="6570"/>
    <cellStyle name="_Table_Sheet1_actuate_vpv_par swap rates" xfId="5938"/>
    <cellStyle name="_Table_Sheet1_beleggingen" xfId="4474"/>
    <cellStyle name="_Table_Sheet1_beleggingen 2" xfId="7208"/>
    <cellStyle name="_Table_Sheet1_beleggingen_bei rates" xfId="6572"/>
    <cellStyle name="_Table_Sheet1_beleggingen_par swap rates" xfId="5940"/>
    <cellStyle name="_Table_Sheet1_cashflows corp" xfId="4475"/>
    <cellStyle name="_Table_Sheet1_cashflows Gov't AAA" xfId="4476"/>
    <cellStyle name="_Table_Sheet1_cashflows ilb" xfId="4477"/>
    <cellStyle name="_Table_Sheet1_cashflows lang staats" xfId="4478"/>
    <cellStyle name="_Table_Sheet1_cashflows pan european 500mm" xfId="4479"/>
    <cellStyle name="_Table_Sheet1_cashflows staats" xfId="4480"/>
    <cellStyle name="_Table_Sheet1_dv01" xfId="1012"/>
    <cellStyle name="_Table_Sheet1_excess returns bm matching pf" xfId="4481"/>
    <cellStyle name="_Table_Sheet1_feitelijk rendement" xfId="4482"/>
    <cellStyle name="_Table_Sheet1_feitelijk rendement 2" xfId="7209"/>
    <cellStyle name="_Table_Sheet1_feitelijk rendement_bei rates" xfId="6573"/>
    <cellStyle name="_Table_Sheet1_feitelijk rendement_par swap rates" xfId="5941"/>
    <cellStyle name="_Table_Sheet1_Gexa Multi Asset Path Generator" xfId="1013"/>
    <cellStyle name="_Table_Sheet1_ilb reeel only" xfId="4483"/>
    <cellStyle name="_Table_Sheet1_nominale counterpart ilb" xfId="4484"/>
    <cellStyle name="_Table_Sheet1_tijdseries" xfId="4485"/>
    <cellStyle name="_Table_Sheet1_tijdseries 2" xfId="7210"/>
    <cellStyle name="_Table_Sheet1_tijdseries_bei rates" xfId="6574"/>
    <cellStyle name="_Table_Sheet1_tijdseries_par swap rates" xfId="5942"/>
    <cellStyle name="_Table_Sheet1_vpv" xfId="4486"/>
    <cellStyle name="_Table_Sheet1_vpv 2" xfId="7211"/>
    <cellStyle name="_Table_Sheet1_vpv return serie" xfId="4487"/>
    <cellStyle name="_Table_Sheet1_vpv return serie 2" xfId="7212"/>
    <cellStyle name="_Table_Sheet1_vpv return serie_bei rates" xfId="6576"/>
    <cellStyle name="_Table_Sheet1_vpv return serie_par swap rates" xfId="5944"/>
    <cellStyle name="_Table_Sheet1_vpv_bei rates" xfId="6575"/>
    <cellStyle name="_Table_Sheet1_vpv_par swap rates" xfId="5943"/>
    <cellStyle name="_Table_SPP Values as at 12 June 05" xfId="1014"/>
    <cellStyle name="_Table_Tableau" xfId="1015"/>
    <cellStyle name="_Table_Tableau 2" xfId="3395"/>
    <cellStyle name="_Table_Tableau 3" xfId="2263"/>
    <cellStyle name="_Table_Tableau_actuate" xfId="1016"/>
    <cellStyle name="_Table_Tableau_actuate 2" xfId="3396"/>
    <cellStyle name="_Table_Tableau_actuate 3" xfId="2264"/>
    <cellStyle name="_Table_Tableau_actuate_cashflows corp" xfId="4488"/>
    <cellStyle name="_Table_Tableau_actuate_cashflows Gov't AAA" xfId="4489"/>
    <cellStyle name="_Table_Tableau_actuate_cashflows ilb" xfId="4490"/>
    <cellStyle name="_Table_Tableau_actuate_cashflows lang staats" xfId="4491"/>
    <cellStyle name="_Table_Tableau_actuate_cashflows pan european 500mm" xfId="4492"/>
    <cellStyle name="_Table_Tableau_actuate_cashflows staats" xfId="4493"/>
    <cellStyle name="_Table_Tableau_actuate_excess returns bm matching pf" xfId="4494"/>
    <cellStyle name="_Table_Tableau_actuate_ilb reeel only" xfId="4495"/>
    <cellStyle name="_Table_Tableau_actuate_nominale counterpart ilb" xfId="4496"/>
    <cellStyle name="_Table_Tableau_actuate_tijdseries" xfId="4497"/>
    <cellStyle name="_Table_Tableau_actuate_tijdseries 2" xfId="7213"/>
    <cellStyle name="_Table_Tableau_actuate_tijdseries_bei rates" xfId="6577"/>
    <cellStyle name="_Table_Tableau_actuate_tijdseries_par swap rates" xfId="5945"/>
    <cellStyle name="_Table_Tableau_actuate_vpv" xfId="4498"/>
    <cellStyle name="_Table_Tableau_actuate_vpv 2" xfId="7214"/>
    <cellStyle name="_Table_Tableau_actuate_vpv return serie" xfId="4499"/>
    <cellStyle name="_Table_Tableau_actuate_vpv return serie 2" xfId="7215"/>
    <cellStyle name="_Table_Tableau_actuate_vpv return serie_bei rates" xfId="6579"/>
    <cellStyle name="_Table_Tableau_actuate_vpv return serie_par swap rates" xfId="5947"/>
    <cellStyle name="_Table_Tableau_actuate_vpv_bei rates" xfId="6578"/>
    <cellStyle name="_Table_Tableau_actuate_vpv_par swap rates" xfId="5946"/>
    <cellStyle name="_Table_Tableau_beleggingen" xfId="4500"/>
    <cellStyle name="_Table_Tableau_beleggingen 2" xfId="7216"/>
    <cellStyle name="_Table_Tableau_beleggingen_bei rates" xfId="6580"/>
    <cellStyle name="_Table_Tableau_beleggingen_par swap rates" xfId="5948"/>
    <cellStyle name="_Table_Tableau_cashflows corp" xfId="4501"/>
    <cellStyle name="_Table_Tableau_cashflows Gov't AAA" xfId="4502"/>
    <cellStyle name="_Table_Tableau_cashflows ilb" xfId="4503"/>
    <cellStyle name="_Table_Tableau_cashflows lang staats" xfId="4504"/>
    <cellStyle name="_Table_Tableau_cashflows pan european 500mm" xfId="4505"/>
    <cellStyle name="_Table_Tableau_cashflows staats" xfId="4506"/>
    <cellStyle name="_Table_Tableau_dv01" xfId="1017"/>
    <cellStyle name="_Table_Tableau_excess returns bm matching pf" xfId="4507"/>
    <cellStyle name="_Table_Tableau_feitelijk rendement" xfId="4508"/>
    <cellStyle name="_Table_Tableau_feitelijk rendement 2" xfId="7217"/>
    <cellStyle name="_Table_Tableau_feitelijk rendement_bei rates" xfId="6581"/>
    <cellStyle name="_Table_Tableau_feitelijk rendement_par swap rates" xfId="5949"/>
    <cellStyle name="_Table_Tableau_ilb reeel only" xfId="4509"/>
    <cellStyle name="_Table_Tableau_nominale counterpart ilb" xfId="4510"/>
    <cellStyle name="_Table_Tableau_tijdseries" xfId="4511"/>
    <cellStyle name="_Table_Tableau_tijdseries 2" xfId="7218"/>
    <cellStyle name="_Table_Tableau_tijdseries_bei rates" xfId="6582"/>
    <cellStyle name="_Table_Tableau_tijdseries_par swap rates" xfId="5950"/>
    <cellStyle name="_Table_Tableau_vpv" xfId="4512"/>
    <cellStyle name="_Table_Tableau_vpv 2" xfId="7219"/>
    <cellStyle name="_Table_Tableau_vpv return serie" xfId="4513"/>
    <cellStyle name="_Table_Tableau_vpv return serie 2" xfId="7220"/>
    <cellStyle name="_Table_Tableau_vpv return serie_bei rates" xfId="6584"/>
    <cellStyle name="_Table_Tableau_vpv return serie_par swap rates" xfId="5952"/>
    <cellStyle name="_Table_Tableau_vpv_bei rates" xfId="6583"/>
    <cellStyle name="_Table_Tableau_vpv_par swap rates" xfId="5951"/>
    <cellStyle name="_TableHead" xfId="1018"/>
    <cellStyle name="_TableHead_allocatie" xfId="1019"/>
    <cellStyle name="_TableHead_allocatie 2" xfId="3399"/>
    <cellStyle name="_TableHead_allocatie 3" xfId="2265"/>
    <cellStyle name="_TableHead_allocatie_actuate" xfId="1020"/>
    <cellStyle name="_TableHead_allocatie_actuate 2" xfId="3400"/>
    <cellStyle name="_TableHead_allocatie_actuate 3" xfId="2266"/>
    <cellStyle name="_TableHead_allocatie_actuate_cashflows corp" xfId="4514"/>
    <cellStyle name="_TableHead_allocatie_actuate_cashflows Gov't AAA" xfId="4515"/>
    <cellStyle name="_TableHead_allocatie_actuate_cashflows ilb" xfId="4516"/>
    <cellStyle name="_TableHead_allocatie_actuate_cashflows lang staats" xfId="4517"/>
    <cellStyle name="_TableHead_allocatie_actuate_cashflows pan european 500mm" xfId="4518"/>
    <cellStyle name="_TableHead_allocatie_actuate_cashflows staats" xfId="4519"/>
    <cellStyle name="_TableHead_allocatie_actuate_excess returns bm matching pf" xfId="4520"/>
    <cellStyle name="_TableHead_allocatie_actuate_ilb reeel only" xfId="4521"/>
    <cellStyle name="_TableHead_allocatie_actuate_nominale counterpart ilb" xfId="4522"/>
    <cellStyle name="_TableHead_allocatie_actuate_tijdseries" xfId="4523"/>
    <cellStyle name="_TableHead_allocatie_actuate_tijdseries 2" xfId="7221"/>
    <cellStyle name="_TableHead_allocatie_actuate_tijdseries_bei rates" xfId="6585"/>
    <cellStyle name="_TableHead_allocatie_actuate_tijdseries_par swap rates" xfId="5953"/>
    <cellStyle name="_TableHead_allocatie_actuate_vpv" xfId="4524"/>
    <cellStyle name="_TableHead_allocatie_actuate_vpv 2" xfId="7222"/>
    <cellStyle name="_TableHead_allocatie_actuate_vpv return serie" xfId="4525"/>
    <cellStyle name="_TableHead_allocatie_actuate_vpv return serie 2" xfId="7223"/>
    <cellStyle name="_TableHead_allocatie_actuate_vpv return serie_bei rates" xfId="6587"/>
    <cellStyle name="_TableHead_allocatie_actuate_vpv return serie_par swap rates" xfId="5955"/>
    <cellStyle name="_TableHead_allocatie_actuate_vpv_bei rates" xfId="6586"/>
    <cellStyle name="_TableHead_allocatie_actuate_vpv_par swap rates" xfId="5954"/>
    <cellStyle name="_TableHead_allocatie_beleggingen" xfId="4526"/>
    <cellStyle name="_TableHead_allocatie_beleggingen 2" xfId="7224"/>
    <cellStyle name="_TableHead_allocatie_beleggingen_bei rates" xfId="6588"/>
    <cellStyle name="_TableHead_allocatie_beleggingen_par swap rates" xfId="5956"/>
    <cellStyle name="_TableHead_allocatie_cashflows corp" xfId="4527"/>
    <cellStyle name="_TableHead_allocatie_cashflows Gov't AAA" xfId="4528"/>
    <cellStyle name="_TableHead_allocatie_cashflows ilb" xfId="4529"/>
    <cellStyle name="_TableHead_allocatie_cashflows lang staats" xfId="4530"/>
    <cellStyle name="_TableHead_allocatie_cashflows pan european 500mm" xfId="4531"/>
    <cellStyle name="_TableHead_allocatie_cashflows staats" xfId="4532"/>
    <cellStyle name="_TableHead_allocatie_dv01" xfId="1021"/>
    <cellStyle name="_TableHead_allocatie_excess returns bm matching pf" xfId="4533"/>
    <cellStyle name="_TableHead_allocatie_feitelijk rendement" xfId="4534"/>
    <cellStyle name="_TableHead_allocatie_feitelijk rendement 2" xfId="7225"/>
    <cellStyle name="_TableHead_allocatie_feitelijk rendement_bei rates" xfId="6589"/>
    <cellStyle name="_TableHead_allocatie_feitelijk rendement_par swap rates" xfId="5957"/>
    <cellStyle name="_TableHead_allocatie_ilb reeel only" xfId="4535"/>
    <cellStyle name="_TableHead_allocatie_nominale counterpart ilb" xfId="4536"/>
    <cellStyle name="_TableHead_allocatie_tijdseries" xfId="4537"/>
    <cellStyle name="_TableHead_allocatie_tijdseries 2" xfId="7226"/>
    <cellStyle name="_TableHead_allocatie_tijdseries_bei rates" xfId="6590"/>
    <cellStyle name="_TableHead_allocatie_tijdseries_par swap rates" xfId="5958"/>
    <cellStyle name="_TableHead_allocatie_vpv" xfId="4538"/>
    <cellStyle name="_TableHead_allocatie_vpv 2" xfId="7227"/>
    <cellStyle name="_TableHead_allocatie_vpv return serie" xfId="4539"/>
    <cellStyle name="_TableHead_allocatie_vpv return serie 2" xfId="7228"/>
    <cellStyle name="_TableHead_allocatie_vpv return serie_bei rates" xfId="6592"/>
    <cellStyle name="_TableHead_allocatie_vpv return serie_par swap rates" xfId="5960"/>
    <cellStyle name="_TableHead_allocatie_vpv_bei rates" xfId="6591"/>
    <cellStyle name="_TableHead_allocatie_vpv_par swap rates" xfId="5959"/>
    <cellStyle name="_TableHead_Asset Cashflows" xfId="1022"/>
    <cellStyle name="_TableHead_Asset Cashflows 2" xfId="3402"/>
    <cellStyle name="_TableHead_Asset Cashflows 3" xfId="2267"/>
    <cellStyle name="_TableHead_Asset Cashflows_actuate" xfId="1023"/>
    <cellStyle name="_TableHead_Asset Cashflows_actuate 2" xfId="3403"/>
    <cellStyle name="_TableHead_Asset Cashflows_actuate 3" xfId="2268"/>
    <cellStyle name="_TableHead_Asset Cashflows_actuate_cashflows corp" xfId="4540"/>
    <cellStyle name="_TableHead_Asset Cashflows_actuate_cashflows Gov't AAA" xfId="4541"/>
    <cellStyle name="_TableHead_Asset Cashflows_actuate_cashflows ilb" xfId="4542"/>
    <cellStyle name="_TableHead_Asset Cashflows_actuate_cashflows lang staats" xfId="4543"/>
    <cellStyle name="_TableHead_Asset Cashflows_actuate_cashflows pan european 500mm" xfId="4544"/>
    <cellStyle name="_TableHead_Asset Cashflows_actuate_cashflows staats" xfId="4545"/>
    <cellStyle name="_TableHead_Asset Cashflows_actuate_excess returns bm matching pf" xfId="4546"/>
    <cellStyle name="_TableHead_Asset Cashflows_actuate_ilb reeel only" xfId="4547"/>
    <cellStyle name="_TableHead_Asset Cashflows_actuate_nominale counterpart ilb" xfId="4548"/>
    <cellStyle name="_TableHead_Asset Cashflows_actuate_tijdseries" xfId="4549"/>
    <cellStyle name="_TableHead_Asset Cashflows_actuate_tijdseries 2" xfId="7229"/>
    <cellStyle name="_TableHead_Asset Cashflows_actuate_tijdseries_bei rates" xfId="6593"/>
    <cellStyle name="_TableHead_Asset Cashflows_actuate_tijdseries_par swap rates" xfId="5961"/>
    <cellStyle name="_TableHead_Asset Cashflows_actuate_vpv" xfId="4550"/>
    <cellStyle name="_TableHead_Asset Cashflows_actuate_vpv 2" xfId="7230"/>
    <cellStyle name="_TableHead_Asset Cashflows_actuate_vpv return serie" xfId="4551"/>
    <cellStyle name="_TableHead_Asset Cashflows_actuate_vpv return serie 2" xfId="7231"/>
    <cellStyle name="_TableHead_Asset Cashflows_actuate_vpv return serie_bei rates" xfId="6595"/>
    <cellStyle name="_TableHead_Asset Cashflows_actuate_vpv return serie_par swap rates" xfId="5963"/>
    <cellStyle name="_TableHead_Asset Cashflows_actuate_vpv_bei rates" xfId="6594"/>
    <cellStyle name="_TableHead_Asset Cashflows_actuate_vpv_par swap rates" xfId="5962"/>
    <cellStyle name="_TableHead_Asset Cashflows_beleggingen" xfId="4552"/>
    <cellStyle name="_TableHead_Asset Cashflows_beleggingen 2" xfId="7232"/>
    <cellStyle name="_TableHead_Asset Cashflows_beleggingen_bei rates" xfId="6596"/>
    <cellStyle name="_TableHead_Asset Cashflows_beleggingen_par swap rates" xfId="5964"/>
    <cellStyle name="_TableHead_Asset Cashflows_cashflows corp" xfId="4553"/>
    <cellStyle name="_TableHead_Asset Cashflows_cashflows Gov't AAA" xfId="4554"/>
    <cellStyle name="_TableHead_Asset Cashflows_cashflows ilb" xfId="4555"/>
    <cellStyle name="_TableHead_Asset Cashflows_cashflows lang staats" xfId="4556"/>
    <cellStyle name="_TableHead_Asset Cashflows_cashflows pan european 500mm" xfId="4557"/>
    <cellStyle name="_TableHead_Asset Cashflows_cashflows staats" xfId="4558"/>
    <cellStyle name="_TableHead_Asset Cashflows_dv01" xfId="1024"/>
    <cellStyle name="_TableHead_Asset Cashflows_excess returns bm matching pf" xfId="4559"/>
    <cellStyle name="_TableHead_Asset Cashflows_feitelijk rendement" xfId="4560"/>
    <cellStyle name="_TableHead_Asset Cashflows_feitelijk rendement 2" xfId="7233"/>
    <cellStyle name="_TableHead_Asset Cashflows_feitelijk rendement_bei rates" xfId="6597"/>
    <cellStyle name="_TableHead_Asset Cashflows_feitelijk rendement_par swap rates" xfId="5965"/>
    <cellStyle name="_TableHead_Asset Cashflows_ilb reeel only" xfId="4561"/>
    <cellStyle name="_TableHead_Asset Cashflows_nominale counterpart ilb" xfId="4562"/>
    <cellStyle name="_TableHead_Asset Cashflows_tijdseries" xfId="4563"/>
    <cellStyle name="_TableHead_Asset Cashflows_tijdseries 2" xfId="7234"/>
    <cellStyle name="_TableHead_Asset Cashflows_tijdseries_bei rates" xfId="6598"/>
    <cellStyle name="_TableHead_Asset Cashflows_tijdseries_par swap rates" xfId="5966"/>
    <cellStyle name="_TableHead_Asset Cashflows_vpv" xfId="4564"/>
    <cellStyle name="_TableHead_Asset Cashflows_vpv 2" xfId="7235"/>
    <cellStyle name="_TableHead_Asset Cashflows_vpv return serie" xfId="4565"/>
    <cellStyle name="_TableHead_Asset Cashflows_vpv return serie 2" xfId="7236"/>
    <cellStyle name="_TableHead_Asset Cashflows_vpv return serie_bei rates" xfId="6600"/>
    <cellStyle name="_TableHead_Asset Cashflows_vpv return serie_par swap rates" xfId="5968"/>
    <cellStyle name="_TableHead_Asset Cashflows_vpv_bei rates" xfId="6599"/>
    <cellStyle name="_TableHead_Asset Cashflows_vpv_par swap rates" xfId="5967"/>
    <cellStyle name="_TableHead_CashFlows " xfId="1025"/>
    <cellStyle name="_TableHead_CashFlows  2" xfId="3405"/>
    <cellStyle name="_TableHead_CashFlows  3" xfId="2269"/>
    <cellStyle name="_TableHead_CashFlows _actuate" xfId="1026"/>
    <cellStyle name="_TableHead_CashFlows _actuate 2" xfId="3406"/>
    <cellStyle name="_TableHead_CashFlows _actuate 3" xfId="2270"/>
    <cellStyle name="_TableHead_CashFlows _actuate_cashflows corp" xfId="4566"/>
    <cellStyle name="_TableHead_CashFlows _actuate_cashflows Gov't AAA" xfId="4567"/>
    <cellStyle name="_TableHead_CashFlows _actuate_cashflows ilb" xfId="4568"/>
    <cellStyle name="_TableHead_CashFlows _actuate_cashflows lang staats" xfId="4569"/>
    <cellStyle name="_TableHead_CashFlows _actuate_cashflows pan european 500mm" xfId="4570"/>
    <cellStyle name="_TableHead_CashFlows _actuate_cashflows staats" xfId="4571"/>
    <cellStyle name="_TableHead_CashFlows _actuate_excess returns bm matching pf" xfId="4572"/>
    <cellStyle name="_TableHead_CashFlows _actuate_ilb reeel only" xfId="4573"/>
    <cellStyle name="_TableHead_CashFlows _actuate_nominale counterpart ilb" xfId="4574"/>
    <cellStyle name="_TableHead_CashFlows _actuate_tijdseries" xfId="4575"/>
    <cellStyle name="_TableHead_CashFlows _actuate_tijdseries 2" xfId="7237"/>
    <cellStyle name="_TableHead_CashFlows _actuate_tijdseries_bei rates" xfId="6601"/>
    <cellStyle name="_TableHead_CashFlows _actuate_tijdseries_par swap rates" xfId="5969"/>
    <cellStyle name="_TableHead_CashFlows _actuate_vpv" xfId="4576"/>
    <cellStyle name="_TableHead_CashFlows _actuate_vpv 2" xfId="7238"/>
    <cellStyle name="_TableHead_CashFlows _actuate_vpv return serie" xfId="4577"/>
    <cellStyle name="_TableHead_CashFlows _actuate_vpv return serie 2" xfId="7239"/>
    <cellStyle name="_TableHead_CashFlows _actuate_vpv return serie_bei rates" xfId="6603"/>
    <cellStyle name="_TableHead_CashFlows _actuate_vpv return serie_par swap rates" xfId="5971"/>
    <cellStyle name="_TableHead_CashFlows _actuate_vpv_bei rates" xfId="6602"/>
    <cellStyle name="_TableHead_CashFlows _actuate_vpv_par swap rates" xfId="5970"/>
    <cellStyle name="_TableHead_CashFlows _beleggingen" xfId="4578"/>
    <cellStyle name="_TableHead_CashFlows _beleggingen 2" xfId="7240"/>
    <cellStyle name="_TableHead_CashFlows _beleggingen_bei rates" xfId="6604"/>
    <cellStyle name="_TableHead_CashFlows _beleggingen_par swap rates" xfId="5972"/>
    <cellStyle name="_TableHead_CashFlows _cashflows corp" xfId="4579"/>
    <cellStyle name="_TableHead_CashFlows _cashflows Gov't AAA" xfId="4580"/>
    <cellStyle name="_TableHead_CashFlows _cashflows ilb" xfId="4581"/>
    <cellStyle name="_TableHead_CashFlows _cashflows lang staats" xfId="4582"/>
    <cellStyle name="_TableHead_CashFlows _cashflows pan european 500mm" xfId="4583"/>
    <cellStyle name="_TableHead_CashFlows _cashflows staats" xfId="4584"/>
    <cellStyle name="_TableHead_CashFlows _dv01" xfId="1027"/>
    <cellStyle name="_TableHead_CashFlows _excess returns bm matching pf" xfId="4585"/>
    <cellStyle name="_TableHead_CashFlows _feitelijk rendement" xfId="4586"/>
    <cellStyle name="_TableHead_CashFlows _feitelijk rendement 2" xfId="7241"/>
    <cellStyle name="_TableHead_CashFlows _feitelijk rendement_bei rates" xfId="6605"/>
    <cellStyle name="_TableHead_CashFlows _feitelijk rendement_par swap rates" xfId="5973"/>
    <cellStyle name="_TableHead_CashFlows _ilb reeel only" xfId="4587"/>
    <cellStyle name="_TableHead_CashFlows _nominale counterpart ilb" xfId="4588"/>
    <cellStyle name="_TableHead_CashFlows _tijdseries" xfId="4589"/>
    <cellStyle name="_TableHead_CashFlows _tijdseries 2" xfId="7242"/>
    <cellStyle name="_TableHead_CashFlows _tijdseries_bei rates" xfId="6606"/>
    <cellStyle name="_TableHead_CashFlows _tijdseries_par swap rates" xfId="5974"/>
    <cellStyle name="_TableHead_CashFlows _vpv" xfId="4590"/>
    <cellStyle name="_TableHead_CashFlows _vpv 2" xfId="7243"/>
    <cellStyle name="_TableHead_CashFlows _vpv return serie" xfId="4591"/>
    <cellStyle name="_TableHead_CashFlows _vpv return serie 2" xfId="7244"/>
    <cellStyle name="_TableHead_CashFlows _vpv return serie_bei rates" xfId="6608"/>
    <cellStyle name="_TableHead_CashFlows _vpv return serie_par swap rates" xfId="5976"/>
    <cellStyle name="_TableHead_CashFlows _vpv_bei rates" xfId="6607"/>
    <cellStyle name="_TableHead_CashFlows _vpv_par swap rates" xfId="5975"/>
    <cellStyle name="_TableHead_Combined CashFlows" xfId="1028"/>
    <cellStyle name="_TableHead_Combined CashFlows 2" xfId="3408"/>
    <cellStyle name="_TableHead_Combined CashFlows 3" xfId="2271"/>
    <cellStyle name="_TableHead_Combined CashFlows_actuate" xfId="1029"/>
    <cellStyle name="_TableHead_Combined CashFlows_actuate 2" xfId="3409"/>
    <cellStyle name="_TableHead_Combined CashFlows_actuate 3" xfId="2272"/>
    <cellStyle name="_TableHead_Combined CashFlows_actuate_cashflows corp" xfId="4592"/>
    <cellStyle name="_TableHead_Combined CashFlows_actuate_cashflows Gov't AAA" xfId="4593"/>
    <cellStyle name="_TableHead_Combined CashFlows_actuate_cashflows ilb" xfId="4594"/>
    <cellStyle name="_TableHead_Combined CashFlows_actuate_cashflows lang staats" xfId="4595"/>
    <cellStyle name="_TableHead_Combined CashFlows_actuate_cashflows pan european 500mm" xfId="4596"/>
    <cellStyle name="_TableHead_Combined CashFlows_actuate_cashflows staats" xfId="4597"/>
    <cellStyle name="_TableHead_Combined CashFlows_actuate_excess returns bm matching pf" xfId="4598"/>
    <cellStyle name="_TableHead_Combined CashFlows_actuate_ilb reeel only" xfId="4599"/>
    <cellStyle name="_TableHead_Combined CashFlows_actuate_nominale counterpart ilb" xfId="4600"/>
    <cellStyle name="_TableHead_Combined CashFlows_actuate_tijdseries" xfId="4601"/>
    <cellStyle name="_TableHead_Combined CashFlows_actuate_tijdseries 2" xfId="7245"/>
    <cellStyle name="_TableHead_Combined CashFlows_actuate_tijdseries_bei rates" xfId="6609"/>
    <cellStyle name="_TableHead_Combined CashFlows_actuate_tijdseries_par swap rates" xfId="5977"/>
    <cellStyle name="_TableHead_Combined CashFlows_actuate_vpv" xfId="4602"/>
    <cellStyle name="_TableHead_Combined CashFlows_actuate_vpv 2" xfId="7246"/>
    <cellStyle name="_TableHead_Combined CashFlows_actuate_vpv return serie" xfId="4603"/>
    <cellStyle name="_TableHead_Combined CashFlows_actuate_vpv return serie 2" xfId="7247"/>
    <cellStyle name="_TableHead_Combined CashFlows_actuate_vpv return serie_bei rates" xfId="6611"/>
    <cellStyle name="_TableHead_Combined CashFlows_actuate_vpv return serie_par swap rates" xfId="5979"/>
    <cellStyle name="_TableHead_Combined CashFlows_actuate_vpv_bei rates" xfId="6610"/>
    <cellStyle name="_TableHead_Combined CashFlows_actuate_vpv_par swap rates" xfId="5978"/>
    <cellStyle name="_TableHead_Combined CashFlows_beleggingen" xfId="4604"/>
    <cellStyle name="_TableHead_Combined CashFlows_beleggingen 2" xfId="7248"/>
    <cellStyle name="_TableHead_Combined CashFlows_beleggingen_bei rates" xfId="6612"/>
    <cellStyle name="_TableHead_Combined CashFlows_beleggingen_par swap rates" xfId="5980"/>
    <cellStyle name="_TableHead_Combined CashFlows_cashflows corp" xfId="4605"/>
    <cellStyle name="_TableHead_Combined CashFlows_cashflows Gov't AAA" xfId="4606"/>
    <cellStyle name="_TableHead_Combined CashFlows_cashflows ilb" xfId="4607"/>
    <cellStyle name="_TableHead_Combined CashFlows_cashflows lang staats" xfId="4608"/>
    <cellStyle name="_TableHead_Combined CashFlows_cashflows pan european 500mm" xfId="4609"/>
    <cellStyle name="_TableHead_Combined CashFlows_cashflows staats" xfId="4610"/>
    <cellStyle name="_TableHead_Combined CashFlows_dv01" xfId="1030"/>
    <cellStyle name="_TableHead_Combined CashFlows_excess returns bm matching pf" xfId="4611"/>
    <cellStyle name="_TableHead_Combined CashFlows_feitelijk rendement" xfId="4612"/>
    <cellStyle name="_TableHead_Combined CashFlows_feitelijk rendement 2" xfId="7249"/>
    <cellStyle name="_TableHead_Combined CashFlows_feitelijk rendement_bei rates" xfId="6613"/>
    <cellStyle name="_TableHead_Combined CashFlows_feitelijk rendement_par swap rates" xfId="5981"/>
    <cellStyle name="_TableHead_Combined CashFlows_ilb reeel only" xfId="4613"/>
    <cellStyle name="_TableHead_Combined CashFlows_nominale counterpart ilb" xfId="4614"/>
    <cellStyle name="_TableHead_Combined CashFlows_tijdseries" xfId="4615"/>
    <cellStyle name="_TableHead_Combined CashFlows_tijdseries 2" xfId="7250"/>
    <cellStyle name="_TableHead_Combined CashFlows_tijdseries_bei rates" xfId="6614"/>
    <cellStyle name="_TableHead_Combined CashFlows_tijdseries_par swap rates" xfId="5982"/>
    <cellStyle name="_TableHead_Combined CashFlows_vpv" xfId="4616"/>
    <cellStyle name="_TableHead_Combined CashFlows_vpv 2" xfId="7251"/>
    <cellStyle name="_TableHead_Combined CashFlows_vpv return serie" xfId="4617"/>
    <cellStyle name="_TableHead_Combined CashFlows_vpv return serie 2" xfId="7252"/>
    <cellStyle name="_TableHead_Combined CashFlows_vpv return serie_bei rates" xfId="6616"/>
    <cellStyle name="_TableHead_Combined CashFlows_vpv return serie_par swap rates" xfId="5984"/>
    <cellStyle name="_TableHead_Combined CashFlows_vpv_bei rates" xfId="6615"/>
    <cellStyle name="_TableHead_Combined CashFlows_vpv_par swap rates" xfId="5983"/>
    <cellStyle name="_TableHead_FP Liabilities_19oct05 v2" xfId="1031"/>
    <cellStyle name="_TableHead_FP Liabilities_19oct05 v2 2" xfId="3411"/>
    <cellStyle name="_TableHead_FP Liabilities_19oct05 v2 3" xfId="2273"/>
    <cellStyle name="_TableHead_FP Liabilities_19oct05 v2_actuate" xfId="1032"/>
    <cellStyle name="_TableHead_FP Liabilities_19oct05 v2_actuate 2" xfId="3412"/>
    <cellStyle name="_TableHead_FP Liabilities_19oct05 v2_actuate 3" xfId="2274"/>
    <cellStyle name="_TableHead_FP Liabilities_19oct05 v2_actuate_cashflows corp" xfId="4618"/>
    <cellStyle name="_TableHead_FP Liabilities_19oct05 v2_actuate_cashflows Gov't AAA" xfId="4619"/>
    <cellStyle name="_TableHead_FP Liabilities_19oct05 v2_actuate_cashflows ilb" xfId="4620"/>
    <cellStyle name="_TableHead_FP Liabilities_19oct05 v2_actuate_cashflows lang staats" xfId="4621"/>
    <cellStyle name="_TableHead_FP Liabilities_19oct05 v2_actuate_cashflows pan european 500mm" xfId="4622"/>
    <cellStyle name="_TableHead_FP Liabilities_19oct05 v2_actuate_cashflows staats" xfId="4623"/>
    <cellStyle name="_TableHead_FP Liabilities_19oct05 v2_actuate_excess returns bm matching pf" xfId="4624"/>
    <cellStyle name="_TableHead_FP Liabilities_19oct05 v2_actuate_ilb reeel only" xfId="4625"/>
    <cellStyle name="_TableHead_FP Liabilities_19oct05 v2_actuate_nominale counterpart ilb" xfId="4626"/>
    <cellStyle name="_TableHead_FP Liabilities_19oct05 v2_actuate_tijdseries" xfId="4627"/>
    <cellStyle name="_TableHead_FP Liabilities_19oct05 v2_actuate_tijdseries 2" xfId="7253"/>
    <cellStyle name="_TableHead_FP Liabilities_19oct05 v2_actuate_tijdseries_bei rates" xfId="6617"/>
    <cellStyle name="_TableHead_FP Liabilities_19oct05 v2_actuate_tijdseries_par swap rates" xfId="5985"/>
    <cellStyle name="_TableHead_FP Liabilities_19oct05 v2_actuate_vpv" xfId="4628"/>
    <cellStyle name="_TableHead_FP Liabilities_19oct05 v2_actuate_vpv 2" xfId="7254"/>
    <cellStyle name="_TableHead_FP Liabilities_19oct05 v2_actuate_vpv return serie" xfId="4629"/>
    <cellStyle name="_TableHead_FP Liabilities_19oct05 v2_actuate_vpv return serie 2" xfId="7255"/>
    <cellStyle name="_TableHead_FP Liabilities_19oct05 v2_actuate_vpv return serie_bei rates" xfId="6619"/>
    <cellStyle name="_TableHead_FP Liabilities_19oct05 v2_actuate_vpv return serie_par swap rates" xfId="5987"/>
    <cellStyle name="_TableHead_FP Liabilities_19oct05 v2_actuate_vpv_bei rates" xfId="6618"/>
    <cellStyle name="_TableHead_FP Liabilities_19oct05 v2_actuate_vpv_par swap rates" xfId="5986"/>
    <cellStyle name="_TableHead_FP Liabilities_19oct05 v2_beleggingen" xfId="4630"/>
    <cellStyle name="_TableHead_FP Liabilities_19oct05 v2_beleggingen 2" xfId="7256"/>
    <cellStyle name="_TableHead_FP Liabilities_19oct05 v2_beleggingen_bei rates" xfId="6620"/>
    <cellStyle name="_TableHead_FP Liabilities_19oct05 v2_beleggingen_par swap rates" xfId="5988"/>
    <cellStyle name="_TableHead_FP Liabilities_19oct05 v2_cashflows corp" xfId="4631"/>
    <cellStyle name="_TableHead_FP Liabilities_19oct05 v2_cashflows Gov't AAA" xfId="4632"/>
    <cellStyle name="_TableHead_FP Liabilities_19oct05 v2_cashflows ilb" xfId="4633"/>
    <cellStyle name="_TableHead_FP Liabilities_19oct05 v2_cashflows lang staats" xfId="4634"/>
    <cellStyle name="_TableHead_FP Liabilities_19oct05 v2_cashflows pan european 500mm" xfId="4635"/>
    <cellStyle name="_TableHead_FP Liabilities_19oct05 v2_cashflows staats" xfId="4636"/>
    <cellStyle name="_TableHead_FP Liabilities_19oct05 v2_dv01" xfId="1033"/>
    <cellStyle name="_TableHead_FP Liabilities_19oct05 v2_excess returns bm matching pf" xfId="4637"/>
    <cellStyle name="_TableHead_FP Liabilities_19oct05 v2_feitelijk rendement" xfId="4638"/>
    <cellStyle name="_TableHead_FP Liabilities_19oct05 v2_feitelijk rendement 2" xfId="7257"/>
    <cellStyle name="_TableHead_FP Liabilities_19oct05 v2_feitelijk rendement_bei rates" xfId="6621"/>
    <cellStyle name="_TableHead_FP Liabilities_19oct05 v2_feitelijk rendement_par swap rates" xfId="5989"/>
    <cellStyle name="_TableHead_FP Liabilities_19oct05 v2_ilb reeel only" xfId="4639"/>
    <cellStyle name="_TableHead_FP Liabilities_19oct05 v2_nominale counterpart ilb" xfId="4640"/>
    <cellStyle name="_TableHead_FP Liabilities_19oct05 v2_tijdseries" xfId="4641"/>
    <cellStyle name="_TableHead_FP Liabilities_19oct05 v2_tijdseries 2" xfId="7258"/>
    <cellStyle name="_TableHead_FP Liabilities_19oct05 v2_tijdseries_bei rates" xfId="6622"/>
    <cellStyle name="_TableHead_FP Liabilities_19oct05 v2_tijdseries_par swap rates" xfId="5990"/>
    <cellStyle name="_TableHead_FP Liabilities_19oct05 v2_vpv" xfId="4642"/>
    <cellStyle name="_TableHead_FP Liabilities_19oct05 v2_vpv 2" xfId="7259"/>
    <cellStyle name="_TableHead_FP Liabilities_19oct05 v2_vpv return serie" xfId="4643"/>
    <cellStyle name="_TableHead_FP Liabilities_19oct05 v2_vpv return serie 2" xfId="7260"/>
    <cellStyle name="_TableHead_FP Liabilities_19oct05 v2_vpv return serie_bei rates" xfId="6624"/>
    <cellStyle name="_TableHead_FP Liabilities_19oct05 v2_vpv return serie_par swap rates" xfId="5992"/>
    <cellStyle name="_TableHead_FP Liabilities_19oct05 v2_vpv_bei rates" xfId="6623"/>
    <cellStyle name="_TableHead_FP Liabilities_19oct05 v2_vpv_par swap rates" xfId="5991"/>
    <cellStyle name="_TableHead_Govt Bond Data" xfId="1034"/>
    <cellStyle name="_TableHead_INF Benchmark " xfId="1035"/>
    <cellStyle name="_TableHead_InitialPosition" xfId="1036"/>
    <cellStyle name="_TableHead_IR Benchmark" xfId="1037"/>
    <cellStyle name="_TableHead_June 05 CF" xfId="1038"/>
    <cellStyle name="_TableHead_June 05 CF 2" xfId="3417"/>
    <cellStyle name="_TableHead_June 05 CF 3" xfId="2275"/>
    <cellStyle name="_TableHead_June 05 CF_actuate" xfId="1039"/>
    <cellStyle name="_TableHead_June 05 CF_actuate 2" xfId="3418"/>
    <cellStyle name="_TableHead_June 05 CF_actuate 3" xfId="2276"/>
    <cellStyle name="_TableHead_June 05 CF_actuate_cashflows corp" xfId="4644"/>
    <cellStyle name="_TableHead_June 05 CF_actuate_cashflows Gov't AAA" xfId="4645"/>
    <cellStyle name="_TableHead_June 05 CF_actuate_cashflows ilb" xfId="4646"/>
    <cellStyle name="_TableHead_June 05 CF_actuate_cashflows lang staats" xfId="4647"/>
    <cellStyle name="_TableHead_June 05 CF_actuate_cashflows pan european 500mm" xfId="4648"/>
    <cellStyle name="_TableHead_June 05 CF_actuate_cashflows staats" xfId="4649"/>
    <cellStyle name="_TableHead_June 05 CF_actuate_excess returns bm matching pf" xfId="4650"/>
    <cellStyle name="_TableHead_June 05 CF_actuate_ilb reeel only" xfId="4651"/>
    <cellStyle name="_TableHead_June 05 CF_actuate_nominale counterpart ilb" xfId="4652"/>
    <cellStyle name="_TableHead_June 05 CF_actuate_tijdseries" xfId="4653"/>
    <cellStyle name="_TableHead_June 05 CF_actuate_tijdseries 2" xfId="7261"/>
    <cellStyle name="_TableHead_June 05 CF_actuate_tijdseries_bei rates" xfId="6625"/>
    <cellStyle name="_TableHead_June 05 CF_actuate_tijdseries_par swap rates" xfId="5993"/>
    <cellStyle name="_TableHead_June 05 CF_actuate_vpv" xfId="4654"/>
    <cellStyle name="_TableHead_June 05 CF_actuate_vpv 2" xfId="7262"/>
    <cellStyle name="_TableHead_June 05 CF_actuate_vpv return serie" xfId="4655"/>
    <cellStyle name="_TableHead_June 05 CF_actuate_vpv return serie 2" xfId="7263"/>
    <cellStyle name="_TableHead_June 05 CF_actuate_vpv return serie_bei rates" xfId="6627"/>
    <cellStyle name="_TableHead_June 05 CF_actuate_vpv return serie_par swap rates" xfId="5995"/>
    <cellStyle name="_TableHead_June 05 CF_actuate_vpv_bei rates" xfId="6626"/>
    <cellStyle name="_TableHead_June 05 CF_actuate_vpv_par swap rates" xfId="5994"/>
    <cellStyle name="_TableHead_June 05 CF_beleggingen" xfId="4656"/>
    <cellStyle name="_TableHead_June 05 CF_beleggingen 2" xfId="7264"/>
    <cellStyle name="_TableHead_June 05 CF_beleggingen_bei rates" xfId="6628"/>
    <cellStyle name="_TableHead_June 05 CF_beleggingen_par swap rates" xfId="5996"/>
    <cellStyle name="_TableHead_June 05 CF_cashflows corp" xfId="4657"/>
    <cellStyle name="_TableHead_June 05 CF_cashflows Gov't AAA" xfId="4658"/>
    <cellStyle name="_TableHead_June 05 CF_cashflows ilb" xfId="4659"/>
    <cellStyle name="_TableHead_June 05 CF_cashflows lang staats" xfId="4660"/>
    <cellStyle name="_TableHead_June 05 CF_cashflows pan european 500mm" xfId="4661"/>
    <cellStyle name="_TableHead_June 05 CF_cashflows staats" xfId="4662"/>
    <cellStyle name="_TableHead_June 05 CF_dv01" xfId="1040"/>
    <cellStyle name="_TableHead_June 05 CF_excess returns bm matching pf" xfId="4663"/>
    <cellStyle name="_TableHead_June 05 CF_feitelijk rendement" xfId="4664"/>
    <cellStyle name="_TableHead_June 05 CF_feitelijk rendement 2" xfId="7265"/>
    <cellStyle name="_TableHead_June 05 CF_feitelijk rendement_bei rates" xfId="6629"/>
    <cellStyle name="_TableHead_June 05 CF_feitelijk rendement_par swap rates" xfId="5997"/>
    <cellStyle name="_TableHead_June 05 CF_ilb reeel only" xfId="4665"/>
    <cellStyle name="_TableHead_June 05 CF_nominale counterpart ilb" xfId="4666"/>
    <cellStyle name="_TableHead_June 05 CF_tijdseries" xfId="4667"/>
    <cellStyle name="_TableHead_June 05 CF_tijdseries 2" xfId="7266"/>
    <cellStyle name="_TableHead_June 05 CF_tijdseries_bei rates" xfId="6630"/>
    <cellStyle name="_TableHead_June 05 CF_tijdseries_par swap rates" xfId="5998"/>
    <cellStyle name="_TableHead_June 05 CF_vpv" xfId="4668"/>
    <cellStyle name="_TableHead_June 05 CF_vpv 2" xfId="7267"/>
    <cellStyle name="_TableHead_June 05 CF_vpv return serie" xfId="4669"/>
    <cellStyle name="_TableHead_June 05 CF_vpv return serie 2" xfId="7268"/>
    <cellStyle name="_TableHead_June 05 CF_vpv return serie_bei rates" xfId="6632"/>
    <cellStyle name="_TableHead_June 05 CF_vpv return serie_par swap rates" xfId="6000"/>
    <cellStyle name="_TableHead_June 05 CF_vpv_bei rates" xfId="6631"/>
    <cellStyle name="_TableHead_June 05 CF_vpv_par swap rates" xfId="5999"/>
    <cellStyle name="_TableHead_June05" xfId="1041"/>
    <cellStyle name="_TableHead_LDI Characts" xfId="1042"/>
    <cellStyle name="_TableHead_Liabs DV01" xfId="1043"/>
    <cellStyle name="_TableHead_Liabs DV01 2" xfId="3422"/>
    <cellStyle name="_TableHead_Liabs DV01 3" xfId="2278"/>
    <cellStyle name="_TableHead_Liabs DV01_actuate" xfId="1044"/>
    <cellStyle name="_TableHead_Liabs DV01_actuate 2" xfId="3423"/>
    <cellStyle name="_TableHead_Liabs DV01_actuate 3" xfId="2279"/>
    <cellStyle name="_TableHead_Liabs DV01_actuate_cashflows corp" xfId="4670"/>
    <cellStyle name="_TableHead_Liabs DV01_actuate_cashflows Gov't AAA" xfId="4671"/>
    <cellStyle name="_TableHead_Liabs DV01_actuate_cashflows ilb" xfId="4672"/>
    <cellStyle name="_TableHead_Liabs DV01_actuate_cashflows lang staats" xfId="4673"/>
    <cellStyle name="_TableHead_Liabs DV01_actuate_cashflows pan european 500mm" xfId="4674"/>
    <cellStyle name="_TableHead_Liabs DV01_actuate_cashflows staats" xfId="4675"/>
    <cellStyle name="_TableHead_Liabs DV01_actuate_excess returns bm matching pf" xfId="4676"/>
    <cellStyle name="_TableHead_Liabs DV01_actuate_ilb reeel only" xfId="4677"/>
    <cellStyle name="_TableHead_Liabs DV01_actuate_nominale counterpart ilb" xfId="4678"/>
    <cellStyle name="_TableHead_Liabs DV01_actuate_tijdseries" xfId="4679"/>
    <cellStyle name="_TableHead_Liabs DV01_actuate_tijdseries 2" xfId="7269"/>
    <cellStyle name="_TableHead_Liabs DV01_actuate_tijdseries_bei rates" xfId="6633"/>
    <cellStyle name="_TableHead_Liabs DV01_actuate_tijdseries_par swap rates" xfId="6001"/>
    <cellStyle name="_TableHead_Liabs DV01_actuate_vpv" xfId="4680"/>
    <cellStyle name="_TableHead_Liabs DV01_actuate_vpv 2" xfId="7270"/>
    <cellStyle name="_TableHead_Liabs DV01_actuate_vpv return serie" xfId="4681"/>
    <cellStyle name="_TableHead_Liabs DV01_actuate_vpv return serie 2" xfId="7271"/>
    <cellStyle name="_TableHead_Liabs DV01_actuate_vpv return serie_bei rates" xfId="6635"/>
    <cellStyle name="_TableHead_Liabs DV01_actuate_vpv return serie_par swap rates" xfId="6003"/>
    <cellStyle name="_TableHead_Liabs DV01_actuate_vpv_bei rates" xfId="6634"/>
    <cellStyle name="_TableHead_Liabs DV01_actuate_vpv_par swap rates" xfId="6002"/>
    <cellStyle name="_TableHead_Liabs DV01_beleggingen" xfId="4682"/>
    <cellStyle name="_TableHead_Liabs DV01_beleggingen 2" xfId="7272"/>
    <cellStyle name="_TableHead_Liabs DV01_beleggingen_bei rates" xfId="6636"/>
    <cellStyle name="_TableHead_Liabs DV01_beleggingen_par swap rates" xfId="6004"/>
    <cellStyle name="_TableHead_Liabs DV01_cashflows corp" xfId="4683"/>
    <cellStyle name="_TableHead_Liabs DV01_cashflows Gov't AAA" xfId="4684"/>
    <cellStyle name="_TableHead_Liabs DV01_cashflows ilb" xfId="4685"/>
    <cellStyle name="_TableHead_Liabs DV01_cashflows lang staats" xfId="4686"/>
    <cellStyle name="_TableHead_Liabs DV01_cashflows pan european 500mm" xfId="4687"/>
    <cellStyle name="_TableHead_Liabs DV01_cashflows staats" xfId="4688"/>
    <cellStyle name="_TableHead_Liabs DV01_dv01" xfId="1045"/>
    <cellStyle name="_TableHead_Liabs DV01_excess returns bm matching pf" xfId="4689"/>
    <cellStyle name="_TableHead_Liabs DV01_feitelijk rendement" xfId="4690"/>
    <cellStyle name="_TableHead_Liabs DV01_feitelijk rendement 2" xfId="7273"/>
    <cellStyle name="_TableHead_Liabs DV01_feitelijk rendement_bei rates" xfId="6637"/>
    <cellStyle name="_TableHead_Liabs DV01_feitelijk rendement_par swap rates" xfId="6005"/>
    <cellStyle name="_TableHead_Liabs DV01_ilb reeel only" xfId="4691"/>
    <cellStyle name="_TableHead_Liabs DV01_nominale counterpart ilb" xfId="4692"/>
    <cellStyle name="_TableHead_Liabs DV01_tijdseries" xfId="4693"/>
    <cellStyle name="_TableHead_Liabs DV01_tijdseries 2" xfId="7274"/>
    <cellStyle name="_TableHead_Liabs DV01_tijdseries_bei rates" xfId="6638"/>
    <cellStyle name="_TableHead_Liabs DV01_tijdseries_par swap rates" xfId="6006"/>
    <cellStyle name="_TableHead_Liabs DV01_vpv" xfId="4694"/>
    <cellStyle name="_TableHead_Liabs DV01_vpv 2" xfId="7275"/>
    <cellStyle name="_TableHead_Liabs DV01_vpv return serie" xfId="4695"/>
    <cellStyle name="_TableHead_Liabs DV01_vpv return serie 2" xfId="7276"/>
    <cellStyle name="_TableHead_Liabs DV01_vpv return serie_bei rates" xfId="6640"/>
    <cellStyle name="_TableHead_Liabs DV01_vpv return serie_par swap rates" xfId="6008"/>
    <cellStyle name="_TableHead_Liabs DV01_vpv_bei rates" xfId="6639"/>
    <cellStyle name="_TableHead_Liabs DV01_vpv_par swap rates" xfId="6007"/>
    <cellStyle name="_TableHead_Main" xfId="1046"/>
    <cellStyle name="_TableHead_Main 2" xfId="3425"/>
    <cellStyle name="_TableHead_Main 3" xfId="2280"/>
    <cellStyle name="_TableHead_Main_actuate" xfId="1047"/>
    <cellStyle name="_TableHead_Main_actuate 2" xfId="3426"/>
    <cellStyle name="_TableHead_Main_actuate 3" xfId="2281"/>
    <cellStyle name="_TableHead_Main_actuate_cashflows corp" xfId="4696"/>
    <cellStyle name="_TableHead_Main_actuate_cashflows Gov't AAA" xfId="4697"/>
    <cellStyle name="_TableHead_Main_actuate_cashflows ilb" xfId="4698"/>
    <cellStyle name="_TableHead_Main_actuate_cashflows lang staats" xfId="4699"/>
    <cellStyle name="_TableHead_Main_actuate_cashflows pan european 500mm" xfId="4700"/>
    <cellStyle name="_TableHead_Main_actuate_cashflows staats" xfId="4701"/>
    <cellStyle name="_TableHead_Main_actuate_excess returns bm matching pf" xfId="4702"/>
    <cellStyle name="_TableHead_Main_actuate_ilb reeel only" xfId="4703"/>
    <cellStyle name="_TableHead_Main_actuate_nominale counterpart ilb" xfId="4704"/>
    <cellStyle name="_TableHead_Main_actuate_tijdseries" xfId="4705"/>
    <cellStyle name="_TableHead_Main_actuate_tijdseries 2" xfId="7277"/>
    <cellStyle name="_TableHead_Main_actuate_tijdseries_bei rates" xfId="6641"/>
    <cellStyle name="_TableHead_Main_actuate_tijdseries_par swap rates" xfId="6009"/>
    <cellStyle name="_TableHead_Main_actuate_vpv" xfId="4706"/>
    <cellStyle name="_TableHead_Main_actuate_vpv 2" xfId="7278"/>
    <cellStyle name="_TableHead_Main_actuate_vpv return serie" xfId="4707"/>
    <cellStyle name="_TableHead_Main_actuate_vpv return serie 2" xfId="7279"/>
    <cellStyle name="_TableHead_Main_actuate_vpv return serie_bei rates" xfId="6643"/>
    <cellStyle name="_TableHead_Main_actuate_vpv return serie_par swap rates" xfId="6011"/>
    <cellStyle name="_TableHead_Main_actuate_vpv_bei rates" xfId="6642"/>
    <cellStyle name="_TableHead_Main_actuate_vpv_par swap rates" xfId="6010"/>
    <cellStyle name="_TableHead_Main_beleggingen" xfId="4708"/>
    <cellStyle name="_TableHead_Main_beleggingen 2" xfId="7280"/>
    <cellStyle name="_TableHead_Main_beleggingen_bei rates" xfId="6644"/>
    <cellStyle name="_TableHead_Main_beleggingen_par swap rates" xfId="6012"/>
    <cellStyle name="_TableHead_Main_cashflows corp" xfId="4709"/>
    <cellStyle name="_TableHead_Main_cashflows Gov't AAA" xfId="4710"/>
    <cellStyle name="_TableHead_Main_cashflows ilb" xfId="4711"/>
    <cellStyle name="_TableHead_Main_cashflows lang staats" xfId="4712"/>
    <cellStyle name="_TableHead_Main_cashflows pan european 500mm" xfId="4713"/>
    <cellStyle name="_TableHead_Main_cashflows staats" xfId="4714"/>
    <cellStyle name="_TableHead_Main_dv01" xfId="1048"/>
    <cellStyle name="_TableHead_Main_excess returns bm matching pf" xfId="4715"/>
    <cellStyle name="_TableHead_Main_feitelijk rendement" xfId="4716"/>
    <cellStyle name="_TableHead_Main_feitelijk rendement 2" xfId="7281"/>
    <cellStyle name="_TableHead_Main_feitelijk rendement_bei rates" xfId="6645"/>
    <cellStyle name="_TableHead_Main_feitelijk rendement_par swap rates" xfId="6013"/>
    <cellStyle name="_TableHead_Main_ilb reeel only" xfId="4717"/>
    <cellStyle name="_TableHead_Main_nominale counterpart ilb" xfId="4718"/>
    <cellStyle name="_TableHead_Main_tijdseries" xfId="4719"/>
    <cellStyle name="_TableHead_Main_tijdseries 2" xfId="7282"/>
    <cellStyle name="_TableHead_Main_tijdseries_bei rates" xfId="6646"/>
    <cellStyle name="_TableHead_Main_tijdseries_par swap rates" xfId="6014"/>
    <cellStyle name="_TableHead_Main_vpv" xfId="4720"/>
    <cellStyle name="_TableHead_Main_vpv 2" xfId="7283"/>
    <cellStyle name="_TableHead_Main_vpv return serie" xfId="4721"/>
    <cellStyle name="_TableHead_Main_vpv return serie 2" xfId="7284"/>
    <cellStyle name="_TableHead_Main_vpv return serie_bei rates" xfId="6648"/>
    <cellStyle name="_TableHead_Main_vpv return serie_par swap rates" xfId="6016"/>
    <cellStyle name="_TableHead_Main_vpv_bei rates" xfId="6647"/>
    <cellStyle name="_TableHead_Main_vpv_par swap rates" xfId="6015"/>
    <cellStyle name="_TableHead_Matching PV Cashflows" xfId="1049"/>
    <cellStyle name="_TableHead_Matching PV Cashflows 2" xfId="3428"/>
    <cellStyle name="_TableHead_Matching PV Cashflows 3" xfId="2282"/>
    <cellStyle name="_TableHead_Matching PV Cashflows_actuate" xfId="1050"/>
    <cellStyle name="_TableHead_Matching PV Cashflows_actuate 2" xfId="3429"/>
    <cellStyle name="_TableHead_Matching PV Cashflows_actuate 3" xfId="2283"/>
    <cellStyle name="_TableHead_Matching PV Cashflows_actuate_cashflows corp" xfId="4722"/>
    <cellStyle name="_TableHead_Matching PV Cashflows_actuate_cashflows Gov't AAA" xfId="4723"/>
    <cellStyle name="_TableHead_Matching PV Cashflows_actuate_cashflows ilb" xfId="4724"/>
    <cellStyle name="_TableHead_Matching PV Cashflows_actuate_cashflows lang staats" xfId="4725"/>
    <cellStyle name="_TableHead_Matching PV Cashflows_actuate_cashflows pan european 500mm" xfId="4726"/>
    <cellStyle name="_TableHead_Matching PV Cashflows_actuate_cashflows staats" xfId="4727"/>
    <cellStyle name="_TableHead_Matching PV Cashflows_actuate_excess returns bm matching pf" xfId="4728"/>
    <cellStyle name="_TableHead_Matching PV Cashflows_actuate_ilb reeel only" xfId="4729"/>
    <cellStyle name="_TableHead_Matching PV Cashflows_actuate_nominale counterpart ilb" xfId="4730"/>
    <cellStyle name="_TableHead_Matching PV Cashflows_actuate_tijdseries" xfId="4731"/>
    <cellStyle name="_TableHead_Matching PV Cashflows_actuate_tijdseries 2" xfId="7285"/>
    <cellStyle name="_TableHead_Matching PV Cashflows_actuate_tijdseries_bei rates" xfId="6649"/>
    <cellStyle name="_TableHead_Matching PV Cashflows_actuate_tijdseries_par swap rates" xfId="6017"/>
    <cellStyle name="_TableHead_Matching PV Cashflows_actuate_vpv" xfId="4732"/>
    <cellStyle name="_TableHead_Matching PV Cashflows_actuate_vpv 2" xfId="7286"/>
    <cellStyle name="_TableHead_Matching PV Cashflows_actuate_vpv return serie" xfId="4733"/>
    <cellStyle name="_TableHead_Matching PV Cashflows_actuate_vpv return serie 2" xfId="7287"/>
    <cellStyle name="_TableHead_Matching PV Cashflows_actuate_vpv return serie_bei rates" xfId="6651"/>
    <cellStyle name="_TableHead_Matching PV Cashflows_actuate_vpv return serie_par swap rates" xfId="6019"/>
    <cellStyle name="_TableHead_Matching PV Cashflows_actuate_vpv_bei rates" xfId="6650"/>
    <cellStyle name="_TableHead_Matching PV Cashflows_actuate_vpv_par swap rates" xfId="6018"/>
    <cellStyle name="_TableHead_Matching PV Cashflows_beleggingen" xfId="4734"/>
    <cellStyle name="_TableHead_Matching PV Cashflows_beleggingen 2" xfId="7288"/>
    <cellStyle name="_TableHead_Matching PV Cashflows_beleggingen_bei rates" xfId="6652"/>
    <cellStyle name="_TableHead_Matching PV Cashflows_beleggingen_par swap rates" xfId="6020"/>
    <cellStyle name="_TableHead_Matching PV Cashflows_cashflows corp" xfId="4735"/>
    <cellStyle name="_TableHead_Matching PV Cashflows_cashflows Gov't AAA" xfId="4736"/>
    <cellStyle name="_TableHead_Matching PV Cashflows_cashflows ilb" xfId="4737"/>
    <cellStyle name="_TableHead_Matching PV Cashflows_cashflows lang staats" xfId="4738"/>
    <cellStyle name="_TableHead_Matching PV Cashflows_cashflows pan european 500mm" xfId="4739"/>
    <cellStyle name="_TableHead_Matching PV Cashflows_cashflows staats" xfId="4740"/>
    <cellStyle name="_TableHead_Matching PV Cashflows_dv01" xfId="1051"/>
    <cellStyle name="_TableHead_Matching PV Cashflows_excess returns bm matching pf" xfId="4741"/>
    <cellStyle name="_TableHead_Matching PV Cashflows_feitelijk rendement" xfId="4742"/>
    <cellStyle name="_TableHead_Matching PV Cashflows_feitelijk rendement 2" xfId="7289"/>
    <cellStyle name="_TableHead_Matching PV Cashflows_feitelijk rendement_bei rates" xfId="6653"/>
    <cellStyle name="_TableHead_Matching PV Cashflows_feitelijk rendement_par swap rates" xfId="6021"/>
    <cellStyle name="_TableHead_Matching PV Cashflows_ilb reeel only" xfId="4743"/>
    <cellStyle name="_TableHead_Matching PV Cashflows_nominale counterpart ilb" xfId="4744"/>
    <cellStyle name="_TableHead_Matching PV Cashflows_tijdseries" xfId="4745"/>
    <cellStyle name="_TableHead_Matching PV Cashflows_tijdseries 2" xfId="7290"/>
    <cellStyle name="_TableHead_Matching PV Cashflows_tijdseries_bei rates" xfId="6654"/>
    <cellStyle name="_TableHead_Matching PV Cashflows_tijdseries_par swap rates" xfId="6022"/>
    <cellStyle name="_TableHead_Matching PV Cashflows_vpv" xfId="4746"/>
    <cellStyle name="_TableHead_Matching PV Cashflows_vpv 2" xfId="7291"/>
    <cellStyle name="_TableHead_Matching PV Cashflows_vpv return serie" xfId="4747"/>
    <cellStyle name="_TableHead_Matching PV Cashflows_vpv return serie 2" xfId="7292"/>
    <cellStyle name="_TableHead_Matching PV Cashflows_vpv return serie_bei rates" xfId="6656"/>
    <cellStyle name="_TableHead_Matching PV Cashflows_vpv return serie_par swap rates" xfId="6024"/>
    <cellStyle name="_TableHead_Matching PV Cashflows_vpv_bei rates" xfId="6655"/>
    <cellStyle name="_TableHead_Matching PV Cashflows_vpv_par swap rates" xfId="6023"/>
    <cellStyle name="_TableHead_ModelSetup" xfId="1052"/>
    <cellStyle name="_TableHead_ModelSetup 2" xfId="3431"/>
    <cellStyle name="_TableHead_ModelSetup 3" xfId="2284"/>
    <cellStyle name="_TableHead_ModelSetup_actuate" xfId="1053"/>
    <cellStyle name="_TableHead_ModelSetup_actuate 2" xfId="3432"/>
    <cellStyle name="_TableHead_ModelSetup_actuate 3" xfId="2285"/>
    <cellStyle name="_TableHead_ModelSetup_actuate_cashflows corp" xfId="4748"/>
    <cellStyle name="_TableHead_ModelSetup_actuate_cashflows Gov't AAA" xfId="4749"/>
    <cellStyle name="_TableHead_ModelSetup_actuate_cashflows ilb" xfId="4750"/>
    <cellStyle name="_TableHead_ModelSetup_actuate_cashflows lang staats" xfId="4751"/>
    <cellStyle name="_TableHead_ModelSetup_actuate_cashflows pan european 500mm" xfId="4752"/>
    <cellStyle name="_TableHead_ModelSetup_actuate_cashflows staats" xfId="4753"/>
    <cellStyle name="_TableHead_ModelSetup_actuate_excess returns bm matching pf" xfId="4754"/>
    <cellStyle name="_TableHead_ModelSetup_actuate_ilb reeel only" xfId="4755"/>
    <cellStyle name="_TableHead_ModelSetup_actuate_nominale counterpart ilb" xfId="4756"/>
    <cellStyle name="_TableHead_ModelSetup_actuate_tijdseries" xfId="4757"/>
    <cellStyle name="_TableHead_ModelSetup_actuate_tijdseries 2" xfId="7293"/>
    <cellStyle name="_TableHead_ModelSetup_actuate_tijdseries_bei rates" xfId="6657"/>
    <cellStyle name="_TableHead_ModelSetup_actuate_tijdseries_par swap rates" xfId="6025"/>
    <cellStyle name="_TableHead_ModelSetup_actuate_vpv" xfId="4758"/>
    <cellStyle name="_TableHead_ModelSetup_actuate_vpv 2" xfId="7294"/>
    <cellStyle name="_TableHead_ModelSetup_actuate_vpv return serie" xfId="4759"/>
    <cellStyle name="_TableHead_ModelSetup_actuate_vpv return serie 2" xfId="7295"/>
    <cellStyle name="_TableHead_ModelSetup_actuate_vpv return serie_bei rates" xfId="6659"/>
    <cellStyle name="_TableHead_ModelSetup_actuate_vpv return serie_par swap rates" xfId="6027"/>
    <cellStyle name="_TableHead_ModelSetup_actuate_vpv_bei rates" xfId="6658"/>
    <cellStyle name="_TableHead_ModelSetup_actuate_vpv_par swap rates" xfId="6026"/>
    <cellStyle name="_TableHead_ModelSetup_beleggingen" xfId="4760"/>
    <cellStyle name="_TableHead_ModelSetup_beleggingen 2" xfId="7296"/>
    <cellStyle name="_TableHead_ModelSetup_beleggingen_bei rates" xfId="6660"/>
    <cellStyle name="_TableHead_ModelSetup_beleggingen_par swap rates" xfId="6028"/>
    <cellStyle name="_TableHead_ModelSetup_cashflows corp" xfId="4761"/>
    <cellStyle name="_TableHead_ModelSetup_cashflows Gov't AAA" xfId="4762"/>
    <cellStyle name="_TableHead_ModelSetup_cashflows ilb" xfId="4763"/>
    <cellStyle name="_TableHead_ModelSetup_cashflows lang staats" xfId="4764"/>
    <cellStyle name="_TableHead_ModelSetup_cashflows pan european 500mm" xfId="4765"/>
    <cellStyle name="_TableHead_ModelSetup_cashflows staats" xfId="4766"/>
    <cellStyle name="_TableHead_ModelSetup_dv01" xfId="1054"/>
    <cellStyle name="_TableHead_ModelSetup_excess returns bm matching pf" xfId="4767"/>
    <cellStyle name="_TableHead_ModelSetup_feitelijk rendement" xfId="4768"/>
    <cellStyle name="_TableHead_ModelSetup_feitelijk rendement 2" xfId="7297"/>
    <cellStyle name="_TableHead_ModelSetup_feitelijk rendement_bei rates" xfId="6661"/>
    <cellStyle name="_TableHead_ModelSetup_feitelijk rendement_par swap rates" xfId="6029"/>
    <cellStyle name="_TableHead_ModelSetup_ilb reeel only" xfId="4769"/>
    <cellStyle name="_TableHead_ModelSetup_nominale counterpart ilb" xfId="4770"/>
    <cellStyle name="_TableHead_ModelSetup_tijdseries" xfId="4771"/>
    <cellStyle name="_TableHead_ModelSetup_tijdseries 2" xfId="7298"/>
    <cellStyle name="_TableHead_ModelSetup_tijdseries_bei rates" xfId="6662"/>
    <cellStyle name="_TableHead_ModelSetup_tijdseries_par swap rates" xfId="6030"/>
    <cellStyle name="_TableHead_ModelSetup_vpv" xfId="4772"/>
    <cellStyle name="_TableHead_ModelSetup_vpv 2" xfId="7299"/>
    <cellStyle name="_TableHead_ModelSetup_vpv return serie" xfId="4773"/>
    <cellStyle name="_TableHead_ModelSetup_vpv return serie 2" xfId="7300"/>
    <cellStyle name="_TableHead_ModelSetup_vpv return serie_bei rates" xfId="6664"/>
    <cellStyle name="_TableHead_ModelSetup_vpv return serie_par swap rates" xfId="6032"/>
    <cellStyle name="_TableHead_ModelSetup_vpv_bei rates" xfId="6663"/>
    <cellStyle name="_TableHead_ModelSetup_vpv_par swap rates" xfId="6031"/>
    <cellStyle name="_TableHead_PME Swaps" xfId="1055"/>
    <cellStyle name="_TableHead_Pricer" xfId="1056"/>
    <cellStyle name="_TableHead_Pricer 2" xfId="3435"/>
    <cellStyle name="_TableHead_Pricer 3" xfId="2286"/>
    <cellStyle name="_TableHead_Pricer_actuate" xfId="1057"/>
    <cellStyle name="_TableHead_Pricer_actuate 2" xfId="3436"/>
    <cellStyle name="_TableHead_Pricer_actuate 3" xfId="2287"/>
    <cellStyle name="_TableHead_Pricer_actuate_cashflows corp" xfId="4774"/>
    <cellStyle name="_TableHead_Pricer_actuate_cashflows Gov't AAA" xfId="4775"/>
    <cellStyle name="_TableHead_Pricer_actuate_cashflows ilb" xfId="4776"/>
    <cellStyle name="_TableHead_Pricer_actuate_cashflows lang staats" xfId="4777"/>
    <cellStyle name="_TableHead_Pricer_actuate_cashflows pan european 500mm" xfId="4778"/>
    <cellStyle name="_TableHead_Pricer_actuate_cashflows staats" xfId="4779"/>
    <cellStyle name="_TableHead_Pricer_actuate_excess returns bm matching pf" xfId="4780"/>
    <cellStyle name="_TableHead_Pricer_actuate_ilb reeel only" xfId="4781"/>
    <cellStyle name="_TableHead_Pricer_actuate_nominale counterpart ilb" xfId="4782"/>
    <cellStyle name="_TableHead_Pricer_actuate_tijdseries" xfId="4783"/>
    <cellStyle name="_TableHead_Pricer_actuate_tijdseries 2" xfId="7301"/>
    <cellStyle name="_TableHead_Pricer_actuate_tijdseries_bei rates" xfId="6665"/>
    <cellStyle name="_TableHead_Pricer_actuate_tijdseries_par swap rates" xfId="6033"/>
    <cellStyle name="_TableHead_Pricer_actuate_vpv" xfId="4784"/>
    <cellStyle name="_TableHead_Pricer_actuate_vpv 2" xfId="7302"/>
    <cellStyle name="_TableHead_Pricer_actuate_vpv return serie" xfId="4785"/>
    <cellStyle name="_TableHead_Pricer_actuate_vpv return serie 2" xfId="7303"/>
    <cellStyle name="_TableHead_Pricer_actuate_vpv return serie_bei rates" xfId="6667"/>
    <cellStyle name="_TableHead_Pricer_actuate_vpv return serie_par swap rates" xfId="6035"/>
    <cellStyle name="_TableHead_Pricer_actuate_vpv_bei rates" xfId="6666"/>
    <cellStyle name="_TableHead_Pricer_actuate_vpv_par swap rates" xfId="6034"/>
    <cellStyle name="_TableHead_Pricer_beleggingen" xfId="4786"/>
    <cellStyle name="_TableHead_Pricer_beleggingen 2" xfId="7304"/>
    <cellStyle name="_TableHead_Pricer_beleggingen_bei rates" xfId="6668"/>
    <cellStyle name="_TableHead_Pricer_beleggingen_par swap rates" xfId="6036"/>
    <cellStyle name="_TableHead_Pricer_cashflows corp" xfId="4787"/>
    <cellStyle name="_TableHead_Pricer_cashflows Gov't AAA" xfId="4788"/>
    <cellStyle name="_TableHead_Pricer_cashflows ilb" xfId="4789"/>
    <cellStyle name="_TableHead_Pricer_cashflows lang staats" xfId="4790"/>
    <cellStyle name="_TableHead_Pricer_cashflows pan european 500mm" xfId="4791"/>
    <cellStyle name="_TableHead_Pricer_cashflows staats" xfId="4792"/>
    <cellStyle name="_TableHead_Pricer_dv01" xfId="1058"/>
    <cellStyle name="_TableHead_Pricer_excess returns bm matching pf" xfId="4793"/>
    <cellStyle name="_TableHead_Pricer_feitelijk rendement" xfId="4794"/>
    <cellStyle name="_TableHead_Pricer_feitelijk rendement 2" xfId="7305"/>
    <cellStyle name="_TableHead_Pricer_feitelijk rendement_bei rates" xfId="6669"/>
    <cellStyle name="_TableHead_Pricer_feitelijk rendement_par swap rates" xfId="6037"/>
    <cellStyle name="_TableHead_Pricer_ilb reeel only" xfId="4795"/>
    <cellStyle name="_TableHead_Pricer_nominale counterpart ilb" xfId="4796"/>
    <cellStyle name="_TableHead_Pricer_tijdseries" xfId="4797"/>
    <cellStyle name="_TableHead_Pricer_tijdseries 2" xfId="7306"/>
    <cellStyle name="_TableHead_Pricer_tijdseries_bei rates" xfId="6670"/>
    <cellStyle name="_TableHead_Pricer_tijdseries_par swap rates" xfId="6038"/>
    <cellStyle name="_TableHead_Pricer_vpv" xfId="4798"/>
    <cellStyle name="_TableHead_Pricer_vpv 2" xfId="7307"/>
    <cellStyle name="_TableHead_Pricer_vpv return serie" xfId="4799"/>
    <cellStyle name="_TableHead_Pricer_vpv return serie 2" xfId="7308"/>
    <cellStyle name="_TableHead_Pricer_vpv return serie_bei rates" xfId="6672"/>
    <cellStyle name="_TableHead_Pricer_vpv return serie_par swap rates" xfId="6040"/>
    <cellStyle name="_TableHead_Pricer_vpv_bei rates" xfId="6671"/>
    <cellStyle name="_TableHead_Pricer_vpv_par swap rates" xfId="6039"/>
    <cellStyle name="_TableHead_Sheet1" xfId="1059"/>
    <cellStyle name="_TableHead_Sheet1 2" xfId="3437"/>
    <cellStyle name="_TableHead_Sheet1 3" xfId="2288"/>
    <cellStyle name="_TableHead_Sheet1_actuate" xfId="1060"/>
    <cellStyle name="_TableHead_Sheet1_actuate 2" xfId="3438"/>
    <cellStyle name="_TableHead_Sheet1_actuate 3" xfId="2289"/>
    <cellStyle name="_TableHead_Sheet1_actuate_cashflows corp" xfId="4800"/>
    <cellStyle name="_TableHead_Sheet1_actuate_cashflows Gov't AAA" xfId="4801"/>
    <cellStyle name="_TableHead_Sheet1_actuate_cashflows ilb" xfId="4802"/>
    <cellStyle name="_TableHead_Sheet1_actuate_cashflows lang staats" xfId="4803"/>
    <cellStyle name="_TableHead_Sheet1_actuate_cashflows pan european 500mm" xfId="4804"/>
    <cellStyle name="_TableHead_Sheet1_actuate_cashflows staats" xfId="4805"/>
    <cellStyle name="_TableHead_Sheet1_actuate_excess returns bm matching pf" xfId="4806"/>
    <cellStyle name="_TableHead_Sheet1_actuate_ilb reeel only" xfId="4807"/>
    <cellStyle name="_TableHead_Sheet1_actuate_nominale counterpart ilb" xfId="4808"/>
    <cellStyle name="_TableHead_Sheet1_actuate_tijdseries" xfId="4809"/>
    <cellStyle name="_TableHead_Sheet1_actuate_tijdseries 2" xfId="7309"/>
    <cellStyle name="_TableHead_Sheet1_actuate_tijdseries_bei rates" xfId="6673"/>
    <cellStyle name="_TableHead_Sheet1_actuate_tijdseries_par swap rates" xfId="6041"/>
    <cellStyle name="_TableHead_Sheet1_actuate_vpv" xfId="4810"/>
    <cellStyle name="_TableHead_Sheet1_actuate_vpv 2" xfId="7310"/>
    <cellStyle name="_TableHead_Sheet1_actuate_vpv return serie" xfId="4811"/>
    <cellStyle name="_TableHead_Sheet1_actuate_vpv return serie 2" xfId="7311"/>
    <cellStyle name="_TableHead_Sheet1_actuate_vpv return serie_bei rates" xfId="6675"/>
    <cellStyle name="_TableHead_Sheet1_actuate_vpv return serie_par swap rates" xfId="6043"/>
    <cellStyle name="_TableHead_Sheet1_actuate_vpv_bei rates" xfId="6674"/>
    <cellStyle name="_TableHead_Sheet1_actuate_vpv_par swap rates" xfId="6042"/>
    <cellStyle name="_TableHead_Sheet1_beleggingen" xfId="4812"/>
    <cellStyle name="_TableHead_Sheet1_beleggingen 2" xfId="7312"/>
    <cellStyle name="_TableHead_Sheet1_beleggingen_bei rates" xfId="6676"/>
    <cellStyle name="_TableHead_Sheet1_beleggingen_par swap rates" xfId="6044"/>
    <cellStyle name="_TableHead_Sheet1_cashflows corp" xfId="4813"/>
    <cellStyle name="_TableHead_Sheet1_cashflows Gov't AAA" xfId="4814"/>
    <cellStyle name="_TableHead_Sheet1_cashflows ilb" xfId="4815"/>
    <cellStyle name="_TableHead_Sheet1_cashflows lang staats" xfId="4816"/>
    <cellStyle name="_TableHead_Sheet1_cashflows pan european 500mm" xfId="4817"/>
    <cellStyle name="_TableHead_Sheet1_cashflows staats" xfId="4818"/>
    <cellStyle name="_TableHead_Sheet1_dv01" xfId="1061"/>
    <cellStyle name="_TableHead_Sheet1_excess returns bm matching pf" xfId="4819"/>
    <cellStyle name="_TableHead_Sheet1_feitelijk rendement" xfId="4820"/>
    <cellStyle name="_TableHead_Sheet1_feitelijk rendement 2" xfId="7313"/>
    <cellStyle name="_TableHead_Sheet1_feitelijk rendement_bei rates" xfId="6677"/>
    <cellStyle name="_TableHead_Sheet1_feitelijk rendement_par swap rates" xfId="6045"/>
    <cellStyle name="_TableHead_Sheet1_Gexa Multi Asset Path Generator" xfId="1062"/>
    <cellStyle name="_TableHead_Sheet1_ilb reeel only" xfId="4821"/>
    <cellStyle name="_TableHead_Sheet1_nominale counterpart ilb" xfId="4822"/>
    <cellStyle name="_TableHead_Sheet1_tijdseries" xfId="4823"/>
    <cellStyle name="_TableHead_Sheet1_tijdseries 2" xfId="7314"/>
    <cellStyle name="_TableHead_Sheet1_tijdseries_bei rates" xfId="6678"/>
    <cellStyle name="_TableHead_Sheet1_tijdseries_par swap rates" xfId="6046"/>
    <cellStyle name="_TableHead_Sheet1_vpv" xfId="4824"/>
    <cellStyle name="_TableHead_Sheet1_vpv 2" xfId="7315"/>
    <cellStyle name="_TableHead_Sheet1_vpv return serie" xfId="4825"/>
    <cellStyle name="_TableHead_Sheet1_vpv return serie 2" xfId="7316"/>
    <cellStyle name="_TableHead_Sheet1_vpv return serie_bei rates" xfId="6680"/>
    <cellStyle name="_TableHead_Sheet1_vpv return serie_par swap rates" xfId="6048"/>
    <cellStyle name="_TableHead_Sheet1_vpv_bei rates" xfId="6679"/>
    <cellStyle name="_TableHead_Sheet1_vpv_par swap rates" xfId="6047"/>
    <cellStyle name="_TableHead_SPP Values as at 12 June 05" xfId="1063"/>
    <cellStyle name="_TableHead_Tableau" xfId="1064"/>
    <cellStyle name="_TableHead_Tableau 2" xfId="3441"/>
    <cellStyle name="_TableHead_Tableau 3" xfId="2290"/>
    <cellStyle name="_TableHead_Tableau_actuate" xfId="1065"/>
    <cellStyle name="_TableHead_Tableau_actuate 2" xfId="3442"/>
    <cellStyle name="_TableHead_Tableau_actuate 3" xfId="2291"/>
    <cellStyle name="_TableHead_Tableau_actuate_cashflows corp" xfId="4826"/>
    <cellStyle name="_TableHead_Tableau_actuate_cashflows Gov't AAA" xfId="4827"/>
    <cellStyle name="_TableHead_Tableau_actuate_cashflows ilb" xfId="4828"/>
    <cellStyle name="_TableHead_Tableau_actuate_cashflows lang staats" xfId="4829"/>
    <cellStyle name="_TableHead_Tableau_actuate_cashflows pan european 500mm" xfId="4830"/>
    <cellStyle name="_TableHead_Tableau_actuate_cashflows staats" xfId="4831"/>
    <cellStyle name="_TableHead_Tableau_actuate_excess returns bm matching pf" xfId="4832"/>
    <cellStyle name="_TableHead_Tableau_actuate_ilb reeel only" xfId="4833"/>
    <cellStyle name="_TableHead_Tableau_actuate_nominale counterpart ilb" xfId="4834"/>
    <cellStyle name="_TableHead_Tableau_actuate_tijdseries" xfId="4835"/>
    <cellStyle name="_TableHead_Tableau_actuate_tijdseries 2" xfId="7317"/>
    <cellStyle name="_TableHead_Tableau_actuate_tijdseries_bei rates" xfId="6681"/>
    <cellStyle name="_TableHead_Tableau_actuate_tijdseries_par swap rates" xfId="6049"/>
    <cellStyle name="_TableHead_Tableau_actuate_vpv" xfId="4836"/>
    <cellStyle name="_TableHead_Tableau_actuate_vpv 2" xfId="7318"/>
    <cellStyle name="_TableHead_Tableau_actuate_vpv return serie" xfId="4837"/>
    <cellStyle name="_TableHead_Tableau_actuate_vpv return serie 2" xfId="7319"/>
    <cellStyle name="_TableHead_Tableau_actuate_vpv return serie_bei rates" xfId="6683"/>
    <cellStyle name="_TableHead_Tableau_actuate_vpv return serie_par swap rates" xfId="6051"/>
    <cellStyle name="_TableHead_Tableau_actuate_vpv_bei rates" xfId="6682"/>
    <cellStyle name="_TableHead_Tableau_actuate_vpv_par swap rates" xfId="6050"/>
    <cellStyle name="_TableHead_Tableau_beleggingen" xfId="4838"/>
    <cellStyle name="_TableHead_Tableau_beleggingen 2" xfId="7320"/>
    <cellStyle name="_TableHead_Tableau_beleggingen_bei rates" xfId="6684"/>
    <cellStyle name="_TableHead_Tableau_beleggingen_par swap rates" xfId="6052"/>
    <cellStyle name="_TableHead_Tableau_cashflows corp" xfId="4839"/>
    <cellStyle name="_TableHead_Tableau_cashflows Gov't AAA" xfId="4840"/>
    <cellStyle name="_TableHead_Tableau_cashflows ilb" xfId="4841"/>
    <cellStyle name="_TableHead_Tableau_cashflows lang staats" xfId="4842"/>
    <cellStyle name="_TableHead_Tableau_cashflows pan european 500mm" xfId="4843"/>
    <cellStyle name="_TableHead_Tableau_cashflows staats" xfId="4844"/>
    <cellStyle name="_TableHead_Tableau_dv01" xfId="1066"/>
    <cellStyle name="_TableHead_Tableau_excess returns bm matching pf" xfId="4845"/>
    <cellStyle name="_TableHead_Tableau_feitelijk rendement" xfId="4846"/>
    <cellStyle name="_TableHead_Tableau_feitelijk rendement 2" xfId="7321"/>
    <cellStyle name="_TableHead_Tableau_feitelijk rendement_bei rates" xfId="6685"/>
    <cellStyle name="_TableHead_Tableau_feitelijk rendement_par swap rates" xfId="6053"/>
    <cellStyle name="_TableHead_Tableau_ilb reeel only" xfId="4847"/>
    <cellStyle name="_TableHead_Tableau_nominale counterpart ilb" xfId="4848"/>
    <cellStyle name="_TableHead_Tableau_tijdseries" xfId="4849"/>
    <cellStyle name="_TableHead_Tableau_tijdseries 2" xfId="7322"/>
    <cellStyle name="_TableHead_Tableau_tijdseries_bei rates" xfId="6686"/>
    <cellStyle name="_TableHead_Tableau_tijdseries_par swap rates" xfId="6054"/>
    <cellStyle name="_TableHead_Tableau_vpv" xfId="4850"/>
    <cellStyle name="_TableHead_Tableau_vpv 2" xfId="7323"/>
    <cellStyle name="_TableHead_Tableau_vpv return serie" xfId="4851"/>
    <cellStyle name="_TableHead_Tableau_vpv return serie 2" xfId="7324"/>
    <cellStyle name="_TableHead_Tableau_vpv return serie_bei rates" xfId="6688"/>
    <cellStyle name="_TableHead_Tableau_vpv return serie_par swap rates" xfId="6056"/>
    <cellStyle name="_TableHead_Tableau_vpv_bei rates" xfId="6687"/>
    <cellStyle name="_TableHead_Tableau_vpv_par swap rates" xfId="6055"/>
    <cellStyle name="_TableRowHead" xfId="1067"/>
    <cellStyle name="_TableRowHead_allocatie" xfId="1068"/>
    <cellStyle name="_TableRowHead_allocatie 2" xfId="3445"/>
    <cellStyle name="_TableRowHead_allocatie 3" xfId="2292"/>
    <cellStyle name="_TableRowHead_allocatie_actuate" xfId="1069"/>
    <cellStyle name="_TableRowHead_allocatie_actuate 2" xfId="3446"/>
    <cellStyle name="_TableRowHead_allocatie_actuate 3" xfId="2293"/>
    <cellStyle name="_TableRowHead_allocatie_actuate_cashflows corp" xfId="4852"/>
    <cellStyle name="_TableRowHead_allocatie_actuate_cashflows Gov't AAA" xfId="4853"/>
    <cellStyle name="_TableRowHead_allocatie_actuate_cashflows ilb" xfId="4854"/>
    <cellStyle name="_TableRowHead_allocatie_actuate_cashflows lang staats" xfId="4855"/>
    <cellStyle name="_TableRowHead_allocatie_actuate_cashflows pan european 500mm" xfId="4856"/>
    <cellStyle name="_TableRowHead_allocatie_actuate_cashflows staats" xfId="4857"/>
    <cellStyle name="_TableRowHead_allocatie_actuate_excess returns bm matching pf" xfId="4858"/>
    <cellStyle name="_TableRowHead_allocatie_actuate_ilb reeel only" xfId="4859"/>
    <cellStyle name="_TableRowHead_allocatie_actuate_nominale counterpart ilb" xfId="4860"/>
    <cellStyle name="_TableRowHead_allocatie_actuate_tijdseries" xfId="4861"/>
    <cellStyle name="_TableRowHead_allocatie_actuate_tijdseries 2" xfId="7325"/>
    <cellStyle name="_TableRowHead_allocatie_actuate_tijdseries_bei rates" xfId="6689"/>
    <cellStyle name="_TableRowHead_allocatie_actuate_tijdseries_par swap rates" xfId="6057"/>
    <cellStyle name="_TableRowHead_allocatie_actuate_vpv" xfId="4862"/>
    <cellStyle name="_TableRowHead_allocatie_actuate_vpv 2" xfId="7326"/>
    <cellStyle name="_TableRowHead_allocatie_actuate_vpv return serie" xfId="4863"/>
    <cellStyle name="_TableRowHead_allocatie_actuate_vpv return serie 2" xfId="7327"/>
    <cellStyle name="_TableRowHead_allocatie_actuate_vpv return serie_bei rates" xfId="6691"/>
    <cellStyle name="_TableRowHead_allocatie_actuate_vpv return serie_par swap rates" xfId="6059"/>
    <cellStyle name="_TableRowHead_allocatie_actuate_vpv_bei rates" xfId="6690"/>
    <cellStyle name="_TableRowHead_allocatie_actuate_vpv_par swap rates" xfId="6058"/>
    <cellStyle name="_TableRowHead_allocatie_beleggingen" xfId="4864"/>
    <cellStyle name="_TableRowHead_allocatie_beleggingen 2" xfId="7328"/>
    <cellStyle name="_TableRowHead_allocatie_beleggingen_bei rates" xfId="6692"/>
    <cellStyle name="_TableRowHead_allocatie_beleggingen_par swap rates" xfId="6060"/>
    <cellStyle name="_TableRowHead_allocatie_cashflows corp" xfId="4865"/>
    <cellStyle name="_TableRowHead_allocatie_cashflows Gov't AAA" xfId="4866"/>
    <cellStyle name="_TableRowHead_allocatie_cashflows ilb" xfId="4867"/>
    <cellStyle name="_TableRowHead_allocatie_cashflows lang staats" xfId="4868"/>
    <cellStyle name="_TableRowHead_allocatie_cashflows pan european 500mm" xfId="4869"/>
    <cellStyle name="_TableRowHead_allocatie_cashflows staats" xfId="4870"/>
    <cellStyle name="_TableRowHead_allocatie_dv01" xfId="1070"/>
    <cellStyle name="_TableRowHead_allocatie_excess returns bm matching pf" xfId="4871"/>
    <cellStyle name="_TableRowHead_allocatie_feitelijk rendement" xfId="4872"/>
    <cellStyle name="_TableRowHead_allocatie_feitelijk rendement 2" xfId="7329"/>
    <cellStyle name="_TableRowHead_allocatie_feitelijk rendement_bei rates" xfId="6693"/>
    <cellStyle name="_TableRowHead_allocatie_feitelijk rendement_par swap rates" xfId="6061"/>
    <cellStyle name="_TableRowHead_allocatie_ilb reeel only" xfId="4873"/>
    <cellStyle name="_TableRowHead_allocatie_nominale counterpart ilb" xfId="4874"/>
    <cellStyle name="_TableRowHead_allocatie_tijdseries" xfId="4875"/>
    <cellStyle name="_TableRowHead_allocatie_tijdseries 2" xfId="7330"/>
    <cellStyle name="_TableRowHead_allocatie_tijdseries_bei rates" xfId="6694"/>
    <cellStyle name="_TableRowHead_allocatie_tijdseries_par swap rates" xfId="6062"/>
    <cellStyle name="_TableRowHead_allocatie_vpv" xfId="4876"/>
    <cellStyle name="_TableRowHead_allocatie_vpv 2" xfId="7331"/>
    <cellStyle name="_TableRowHead_allocatie_vpv return serie" xfId="4877"/>
    <cellStyle name="_TableRowHead_allocatie_vpv return serie 2" xfId="7332"/>
    <cellStyle name="_TableRowHead_allocatie_vpv return serie_bei rates" xfId="6696"/>
    <cellStyle name="_TableRowHead_allocatie_vpv return serie_par swap rates" xfId="6064"/>
    <cellStyle name="_TableRowHead_allocatie_vpv_bei rates" xfId="6695"/>
    <cellStyle name="_TableRowHead_allocatie_vpv_par swap rates" xfId="6063"/>
    <cellStyle name="_TableRowHead_Asset Cashflows" xfId="1071"/>
    <cellStyle name="_TableRowHead_Asset Cashflows 2" xfId="3448"/>
    <cellStyle name="_TableRowHead_Asset Cashflows 3" xfId="2294"/>
    <cellStyle name="_TableRowHead_Asset Cashflows_actuate" xfId="1072"/>
    <cellStyle name="_TableRowHead_Asset Cashflows_actuate 2" xfId="3449"/>
    <cellStyle name="_TableRowHead_Asset Cashflows_actuate 3" xfId="2295"/>
    <cellStyle name="_TableRowHead_Asset Cashflows_actuate_cashflows corp" xfId="4878"/>
    <cellStyle name="_TableRowHead_Asset Cashflows_actuate_cashflows Gov't AAA" xfId="4879"/>
    <cellStyle name="_TableRowHead_Asset Cashflows_actuate_cashflows ilb" xfId="4880"/>
    <cellStyle name="_TableRowHead_Asset Cashflows_actuate_cashflows lang staats" xfId="4881"/>
    <cellStyle name="_TableRowHead_Asset Cashflows_actuate_cashflows pan european 500mm" xfId="4882"/>
    <cellStyle name="_TableRowHead_Asset Cashflows_actuate_cashflows staats" xfId="4883"/>
    <cellStyle name="_TableRowHead_Asset Cashflows_actuate_excess returns bm matching pf" xfId="4884"/>
    <cellStyle name="_TableRowHead_Asset Cashflows_actuate_ilb reeel only" xfId="4885"/>
    <cellStyle name="_TableRowHead_Asset Cashflows_actuate_nominale counterpart ilb" xfId="4886"/>
    <cellStyle name="_TableRowHead_Asset Cashflows_actuate_tijdseries" xfId="4887"/>
    <cellStyle name="_TableRowHead_Asset Cashflows_actuate_tijdseries 2" xfId="7333"/>
    <cellStyle name="_TableRowHead_Asset Cashflows_actuate_tijdseries_bei rates" xfId="6697"/>
    <cellStyle name="_TableRowHead_Asset Cashflows_actuate_tijdseries_par swap rates" xfId="6065"/>
    <cellStyle name="_TableRowHead_Asset Cashflows_actuate_vpv" xfId="4888"/>
    <cellStyle name="_TableRowHead_Asset Cashflows_actuate_vpv 2" xfId="7334"/>
    <cellStyle name="_TableRowHead_Asset Cashflows_actuate_vpv return serie" xfId="4889"/>
    <cellStyle name="_TableRowHead_Asset Cashflows_actuate_vpv return serie 2" xfId="7335"/>
    <cellStyle name="_TableRowHead_Asset Cashflows_actuate_vpv return serie_bei rates" xfId="6699"/>
    <cellStyle name="_TableRowHead_Asset Cashflows_actuate_vpv return serie_par swap rates" xfId="6067"/>
    <cellStyle name="_TableRowHead_Asset Cashflows_actuate_vpv_bei rates" xfId="6698"/>
    <cellStyle name="_TableRowHead_Asset Cashflows_actuate_vpv_par swap rates" xfId="6066"/>
    <cellStyle name="_TableRowHead_Asset Cashflows_beleggingen" xfId="4890"/>
    <cellStyle name="_TableRowHead_Asset Cashflows_beleggingen 2" xfId="7336"/>
    <cellStyle name="_TableRowHead_Asset Cashflows_beleggingen_bei rates" xfId="6700"/>
    <cellStyle name="_TableRowHead_Asset Cashflows_beleggingen_par swap rates" xfId="6068"/>
    <cellStyle name="_TableRowHead_Asset Cashflows_cashflows corp" xfId="4891"/>
    <cellStyle name="_TableRowHead_Asset Cashflows_cashflows Gov't AAA" xfId="4892"/>
    <cellStyle name="_TableRowHead_Asset Cashflows_cashflows ilb" xfId="4893"/>
    <cellStyle name="_TableRowHead_Asset Cashflows_cashflows lang staats" xfId="4894"/>
    <cellStyle name="_TableRowHead_Asset Cashflows_cashflows pan european 500mm" xfId="4895"/>
    <cellStyle name="_TableRowHead_Asset Cashflows_cashflows staats" xfId="4896"/>
    <cellStyle name="_TableRowHead_Asset Cashflows_dv01" xfId="1073"/>
    <cellStyle name="_TableRowHead_Asset Cashflows_excess returns bm matching pf" xfId="4897"/>
    <cellStyle name="_TableRowHead_Asset Cashflows_feitelijk rendement" xfId="4898"/>
    <cellStyle name="_TableRowHead_Asset Cashflows_feitelijk rendement 2" xfId="7337"/>
    <cellStyle name="_TableRowHead_Asset Cashflows_feitelijk rendement_bei rates" xfId="6701"/>
    <cellStyle name="_TableRowHead_Asset Cashflows_feitelijk rendement_par swap rates" xfId="6069"/>
    <cellStyle name="_TableRowHead_Asset Cashflows_ilb reeel only" xfId="4899"/>
    <cellStyle name="_TableRowHead_Asset Cashflows_nominale counterpart ilb" xfId="4900"/>
    <cellStyle name="_TableRowHead_Asset Cashflows_tijdseries" xfId="4901"/>
    <cellStyle name="_TableRowHead_Asset Cashflows_tijdseries 2" xfId="7338"/>
    <cellStyle name="_TableRowHead_Asset Cashflows_tijdseries_bei rates" xfId="6702"/>
    <cellStyle name="_TableRowHead_Asset Cashflows_tijdseries_par swap rates" xfId="6070"/>
    <cellStyle name="_TableRowHead_Asset Cashflows_vpv" xfId="4902"/>
    <cellStyle name="_TableRowHead_Asset Cashflows_vpv 2" xfId="7339"/>
    <cellStyle name="_TableRowHead_Asset Cashflows_vpv return serie" xfId="4903"/>
    <cellStyle name="_TableRowHead_Asset Cashflows_vpv return serie 2" xfId="7340"/>
    <cellStyle name="_TableRowHead_Asset Cashflows_vpv return serie_bei rates" xfId="6704"/>
    <cellStyle name="_TableRowHead_Asset Cashflows_vpv return serie_par swap rates" xfId="6072"/>
    <cellStyle name="_TableRowHead_Asset Cashflows_vpv_bei rates" xfId="6703"/>
    <cellStyle name="_TableRowHead_Asset Cashflows_vpv_par swap rates" xfId="6071"/>
    <cellStyle name="_TableRowHead_CashFlows " xfId="1074"/>
    <cellStyle name="_TableRowHead_CashFlows  2" xfId="3451"/>
    <cellStyle name="_TableRowHead_CashFlows  3" xfId="2296"/>
    <cellStyle name="_TableRowHead_CashFlows _actuate" xfId="1075"/>
    <cellStyle name="_TableRowHead_CashFlows _actuate 2" xfId="3452"/>
    <cellStyle name="_TableRowHead_CashFlows _actuate 3" xfId="2297"/>
    <cellStyle name="_TableRowHead_CashFlows _actuate_cashflows corp" xfId="4904"/>
    <cellStyle name="_TableRowHead_CashFlows _actuate_cashflows Gov't AAA" xfId="4905"/>
    <cellStyle name="_TableRowHead_CashFlows _actuate_cashflows ilb" xfId="4906"/>
    <cellStyle name="_TableRowHead_CashFlows _actuate_cashflows lang staats" xfId="4907"/>
    <cellStyle name="_TableRowHead_CashFlows _actuate_cashflows pan european 500mm" xfId="4908"/>
    <cellStyle name="_TableRowHead_CashFlows _actuate_cashflows staats" xfId="4909"/>
    <cellStyle name="_TableRowHead_CashFlows _actuate_excess returns bm matching pf" xfId="4910"/>
    <cellStyle name="_TableRowHead_CashFlows _actuate_ilb reeel only" xfId="4911"/>
    <cellStyle name="_TableRowHead_CashFlows _actuate_nominale counterpart ilb" xfId="4912"/>
    <cellStyle name="_TableRowHead_CashFlows _actuate_tijdseries" xfId="4913"/>
    <cellStyle name="_TableRowHead_CashFlows _actuate_tijdseries 2" xfId="7341"/>
    <cellStyle name="_TableRowHead_CashFlows _actuate_tijdseries_bei rates" xfId="6705"/>
    <cellStyle name="_TableRowHead_CashFlows _actuate_tijdseries_par swap rates" xfId="6073"/>
    <cellStyle name="_TableRowHead_CashFlows _actuate_vpv" xfId="4914"/>
    <cellStyle name="_TableRowHead_CashFlows _actuate_vpv 2" xfId="7342"/>
    <cellStyle name="_TableRowHead_CashFlows _actuate_vpv return serie" xfId="4915"/>
    <cellStyle name="_TableRowHead_CashFlows _actuate_vpv return serie 2" xfId="7343"/>
    <cellStyle name="_TableRowHead_CashFlows _actuate_vpv return serie_bei rates" xfId="6707"/>
    <cellStyle name="_TableRowHead_CashFlows _actuate_vpv return serie_par swap rates" xfId="6075"/>
    <cellStyle name="_TableRowHead_CashFlows _actuate_vpv_bei rates" xfId="6706"/>
    <cellStyle name="_TableRowHead_CashFlows _actuate_vpv_par swap rates" xfId="6074"/>
    <cellStyle name="_TableRowHead_CashFlows _beleggingen" xfId="4916"/>
    <cellStyle name="_TableRowHead_CashFlows _beleggingen 2" xfId="7344"/>
    <cellStyle name="_TableRowHead_CashFlows _beleggingen_bei rates" xfId="6708"/>
    <cellStyle name="_TableRowHead_CashFlows _beleggingen_par swap rates" xfId="6076"/>
    <cellStyle name="_TableRowHead_CashFlows _cashflows corp" xfId="4917"/>
    <cellStyle name="_TableRowHead_CashFlows _cashflows Gov't AAA" xfId="4918"/>
    <cellStyle name="_TableRowHead_CashFlows _cashflows ilb" xfId="4919"/>
    <cellStyle name="_TableRowHead_CashFlows _cashflows lang staats" xfId="4920"/>
    <cellStyle name="_TableRowHead_CashFlows _cashflows pan european 500mm" xfId="4921"/>
    <cellStyle name="_TableRowHead_CashFlows _cashflows staats" xfId="4922"/>
    <cellStyle name="_TableRowHead_CashFlows _dv01" xfId="1076"/>
    <cellStyle name="_TableRowHead_CashFlows _excess returns bm matching pf" xfId="4923"/>
    <cellStyle name="_TableRowHead_CashFlows _feitelijk rendement" xfId="4924"/>
    <cellStyle name="_TableRowHead_CashFlows _feitelijk rendement 2" xfId="7345"/>
    <cellStyle name="_TableRowHead_CashFlows _feitelijk rendement_bei rates" xfId="6709"/>
    <cellStyle name="_TableRowHead_CashFlows _feitelijk rendement_par swap rates" xfId="6077"/>
    <cellStyle name="_TableRowHead_CashFlows _ilb reeel only" xfId="4925"/>
    <cellStyle name="_TableRowHead_CashFlows _nominale counterpart ilb" xfId="4926"/>
    <cellStyle name="_TableRowHead_CashFlows _tijdseries" xfId="4927"/>
    <cellStyle name="_TableRowHead_CashFlows _tijdseries 2" xfId="7346"/>
    <cellStyle name="_TableRowHead_CashFlows _tijdseries_bei rates" xfId="6710"/>
    <cellStyle name="_TableRowHead_CashFlows _tijdseries_par swap rates" xfId="6078"/>
    <cellStyle name="_TableRowHead_CashFlows _vpv" xfId="4928"/>
    <cellStyle name="_TableRowHead_CashFlows _vpv 2" xfId="7347"/>
    <cellStyle name="_TableRowHead_CashFlows _vpv return serie" xfId="4929"/>
    <cellStyle name="_TableRowHead_CashFlows _vpv return serie 2" xfId="7348"/>
    <cellStyle name="_TableRowHead_CashFlows _vpv return serie_bei rates" xfId="6712"/>
    <cellStyle name="_TableRowHead_CashFlows _vpv return serie_par swap rates" xfId="6080"/>
    <cellStyle name="_TableRowHead_CashFlows _vpv_bei rates" xfId="6711"/>
    <cellStyle name="_TableRowHead_CashFlows _vpv_par swap rates" xfId="6079"/>
    <cellStyle name="_TableRowHead_Combined CashFlows" xfId="1077"/>
    <cellStyle name="_TableRowHead_Combined CashFlows 2" xfId="3454"/>
    <cellStyle name="_TableRowHead_Combined CashFlows 3" xfId="2298"/>
    <cellStyle name="_TableRowHead_Combined CashFlows_actuate" xfId="1078"/>
    <cellStyle name="_TableRowHead_Combined CashFlows_actuate 2" xfId="3455"/>
    <cellStyle name="_TableRowHead_Combined CashFlows_actuate 3" xfId="2299"/>
    <cellStyle name="_TableRowHead_Combined CashFlows_actuate_cashflows corp" xfId="4930"/>
    <cellStyle name="_TableRowHead_Combined CashFlows_actuate_cashflows Gov't AAA" xfId="4931"/>
    <cellStyle name="_TableRowHead_Combined CashFlows_actuate_cashflows ilb" xfId="4932"/>
    <cellStyle name="_TableRowHead_Combined CashFlows_actuate_cashflows lang staats" xfId="4933"/>
    <cellStyle name="_TableRowHead_Combined CashFlows_actuate_cashflows pan european 500mm" xfId="4934"/>
    <cellStyle name="_TableRowHead_Combined CashFlows_actuate_cashflows staats" xfId="4935"/>
    <cellStyle name="_TableRowHead_Combined CashFlows_actuate_excess returns bm matching pf" xfId="4936"/>
    <cellStyle name="_TableRowHead_Combined CashFlows_actuate_ilb reeel only" xfId="4937"/>
    <cellStyle name="_TableRowHead_Combined CashFlows_actuate_nominale counterpart ilb" xfId="4938"/>
    <cellStyle name="_TableRowHead_Combined CashFlows_actuate_tijdseries" xfId="4939"/>
    <cellStyle name="_TableRowHead_Combined CashFlows_actuate_tijdseries 2" xfId="7349"/>
    <cellStyle name="_TableRowHead_Combined CashFlows_actuate_tijdseries_bei rates" xfId="6713"/>
    <cellStyle name="_TableRowHead_Combined CashFlows_actuate_tijdseries_par swap rates" xfId="6081"/>
    <cellStyle name="_TableRowHead_Combined CashFlows_actuate_vpv" xfId="4940"/>
    <cellStyle name="_TableRowHead_Combined CashFlows_actuate_vpv 2" xfId="7350"/>
    <cellStyle name="_TableRowHead_Combined CashFlows_actuate_vpv return serie" xfId="4941"/>
    <cellStyle name="_TableRowHead_Combined CashFlows_actuate_vpv return serie 2" xfId="7351"/>
    <cellStyle name="_TableRowHead_Combined CashFlows_actuate_vpv return serie_bei rates" xfId="6715"/>
    <cellStyle name="_TableRowHead_Combined CashFlows_actuate_vpv return serie_par swap rates" xfId="6083"/>
    <cellStyle name="_TableRowHead_Combined CashFlows_actuate_vpv_bei rates" xfId="6714"/>
    <cellStyle name="_TableRowHead_Combined CashFlows_actuate_vpv_par swap rates" xfId="6082"/>
    <cellStyle name="_TableRowHead_Combined CashFlows_beleggingen" xfId="4942"/>
    <cellStyle name="_TableRowHead_Combined CashFlows_beleggingen 2" xfId="7352"/>
    <cellStyle name="_TableRowHead_Combined CashFlows_beleggingen_bei rates" xfId="6716"/>
    <cellStyle name="_TableRowHead_Combined CashFlows_beleggingen_par swap rates" xfId="6084"/>
    <cellStyle name="_TableRowHead_Combined CashFlows_cashflows corp" xfId="4943"/>
    <cellStyle name="_TableRowHead_Combined CashFlows_cashflows Gov't AAA" xfId="4944"/>
    <cellStyle name="_TableRowHead_Combined CashFlows_cashflows ilb" xfId="4945"/>
    <cellStyle name="_TableRowHead_Combined CashFlows_cashflows lang staats" xfId="4946"/>
    <cellStyle name="_TableRowHead_Combined CashFlows_cashflows pan european 500mm" xfId="4947"/>
    <cellStyle name="_TableRowHead_Combined CashFlows_cashflows staats" xfId="4948"/>
    <cellStyle name="_TableRowHead_Combined CashFlows_dv01" xfId="1079"/>
    <cellStyle name="_TableRowHead_Combined CashFlows_excess returns bm matching pf" xfId="4949"/>
    <cellStyle name="_TableRowHead_Combined CashFlows_feitelijk rendement" xfId="4950"/>
    <cellStyle name="_TableRowHead_Combined CashFlows_feitelijk rendement 2" xfId="7353"/>
    <cellStyle name="_TableRowHead_Combined CashFlows_feitelijk rendement_bei rates" xfId="6717"/>
    <cellStyle name="_TableRowHead_Combined CashFlows_feitelijk rendement_par swap rates" xfId="6085"/>
    <cellStyle name="_TableRowHead_Combined CashFlows_ilb reeel only" xfId="4951"/>
    <cellStyle name="_TableRowHead_Combined CashFlows_nominale counterpart ilb" xfId="4952"/>
    <cellStyle name="_TableRowHead_Combined CashFlows_tijdseries" xfId="4953"/>
    <cellStyle name="_TableRowHead_Combined CashFlows_tijdseries 2" xfId="7354"/>
    <cellStyle name="_TableRowHead_Combined CashFlows_tijdseries_bei rates" xfId="6718"/>
    <cellStyle name="_TableRowHead_Combined CashFlows_tijdseries_par swap rates" xfId="6086"/>
    <cellStyle name="_TableRowHead_Combined CashFlows_vpv" xfId="4954"/>
    <cellStyle name="_TableRowHead_Combined CashFlows_vpv 2" xfId="7355"/>
    <cellStyle name="_TableRowHead_Combined CashFlows_vpv return serie" xfId="4955"/>
    <cellStyle name="_TableRowHead_Combined CashFlows_vpv return serie 2" xfId="7356"/>
    <cellStyle name="_TableRowHead_Combined CashFlows_vpv return serie_bei rates" xfId="6720"/>
    <cellStyle name="_TableRowHead_Combined CashFlows_vpv return serie_par swap rates" xfId="6088"/>
    <cellStyle name="_TableRowHead_Combined CashFlows_vpv_bei rates" xfId="6719"/>
    <cellStyle name="_TableRowHead_Combined CashFlows_vpv_par swap rates" xfId="6087"/>
    <cellStyle name="_TableRowHead_FP Liabilities_19oct05 v2" xfId="1080"/>
    <cellStyle name="_TableRowHead_FP Liabilities_19oct05 v2 2" xfId="3457"/>
    <cellStyle name="_TableRowHead_FP Liabilities_19oct05 v2 3" xfId="2300"/>
    <cellStyle name="_TableRowHead_FP Liabilities_19oct05 v2_actuate" xfId="1081"/>
    <cellStyle name="_TableRowHead_FP Liabilities_19oct05 v2_actuate 2" xfId="3458"/>
    <cellStyle name="_TableRowHead_FP Liabilities_19oct05 v2_actuate 3" xfId="2301"/>
    <cellStyle name="_TableRowHead_FP Liabilities_19oct05 v2_actuate_cashflows corp" xfId="4956"/>
    <cellStyle name="_TableRowHead_FP Liabilities_19oct05 v2_actuate_cashflows Gov't AAA" xfId="4957"/>
    <cellStyle name="_TableRowHead_FP Liabilities_19oct05 v2_actuate_cashflows ilb" xfId="4958"/>
    <cellStyle name="_TableRowHead_FP Liabilities_19oct05 v2_actuate_cashflows lang staats" xfId="4959"/>
    <cellStyle name="_TableRowHead_FP Liabilities_19oct05 v2_actuate_cashflows pan european 500mm" xfId="4960"/>
    <cellStyle name="_TableRowHead_FP Liabilities_19oct05 v2_actuate_cashflows staats" xfId="4961"/>
    <cellStyle name="_TableRowHead_FP Liabilities_19oct05 v2_actuate_excess returns bm matching pf" xfId="4962"/>
    <cellStyle name="_TableRowHead_FP Liabilities_19oct05 v2_actuate_ilb reeel only" xfId="4963"/>
    <cellStyle name="_TableRowHead_FP Liabilities_19oct05 v2_actuate_nominale counterpart ilb" xfId="4964"/>
    <cellStyle name="_TableRowHead_FP Liabilities_19oct05 v2_actuate_tijdseries" xfId="4965"/>
    <cellStyle name="_TableRowHead_FP Liabilities_19oct05 v2_actuate_tijdseries 2" xfId="7357"/>
    <cellStyle name="_TableRowHead_FP Liabilities_19oct05 v2_actuate_tijdseries_bei rates" xfId="6721"/>
    <cellStyle name="_TableRowHead_FP Liabilities_19oct05 v2_actuate_tijdseries_par swap rates" xfId="6089"/>
    <cellStyle name="_TableRowHead_FP Liabilities_19oct05 v2_actuate_vpv" xfId="4966"/>
    <cellStyle name="_TableRowHead_FP Liabilities_19oct05 v2_actuate_vpv 2" xfId="7358"/>
    <cellStyle name="_TableRowHead_FP Liabilities_19oct05 v2_actuate_vpv return serie" xfId="4967"/>
    <cellStyle name="_TableRowHead_FP Liabilities_19oct05 v2_actuate_vpv return serie 2" xfId="7359"/>
    <cellStyle name="_TableRowHead_FP Liabilities_19oct05 v2_actuate_vpv return serie_bei rates" xfId="6723"/>
    <cellStyle name="_TableRowHead_FP Liabilities_19oct05 v2_actuate_vpv return serie_par swap rates" xfId="6091"/>
    <cellStyle name="_TableRowHead_FP Liabilities_19oct05 v2_actuate_vpv_bei rates" xfId="6722"/>
    <cellStyle name="_TableRowHead_FP Liabilities_19oct05 v2_actuate_vpv_par swap rates" xfId="6090"/>
    <cellStyle name="_TableRowHead_FP Liabilities_19oct05 v2_beleggingen" xfId="4968"/>
    <cellStyle name="_TableRowHead_FP Liabilities_19oct05 v2_beleggingen 2" xfId="7360"/>
    <cellStyle name="_TableRowHead_FP Liabilities_19oct05 v2_beleggingen_bei rates" xfId="6724"/>
    <cellStyle name="_TableRowHead_FP Liabilities_19oct05 v2_beleggingen_par swap rates" xfId="6092"/>
    <cellStyle name="_TableRowHead_FP Liabilities_19oct05 v2_cashflows corp" xfId="4969"/>
    <cellStyle name="_TableRowHead_FP Liabilities_19oct05 v2_cashflows Gov't AAA" xfId="4970"/>
    <cellStyle name="_TableRowHead_FP Liabilities_19oct05 v2_cashflows ilb" xfId="4971"/>
    <cellStyle name="_TableRowHead_FP Liabilities_19oct05 v2_cashflows lang staats" xfId="4972"/>
    <cellStyle name="_TableRowHead_FP Liabilities_19oct05 v2_cashflows pan european 500mm" xfId="4973"/>
    <cellStyle name="_TableRowHead_FP Liabilities_19oct05 v2_cashflows staats" xfId="4974"/>
    <cellStyle name="_TableRowHead_FP Liabilities_19oct05 v2_dv01" xfId="1082"/>
    <cellStyle name="_TableRowHead_FP Liabilities_19oct05 v2_excess returns bm matching pf" xfId="4975"/>
    <cellStyle name="_TableRowHead_FP Liabilities_19oct05 v2_feitelijk rendement" xfId="4976"/>
    <cellStyle name="_TableRowHead_FP Liabilities_19oct05 v2_feitelijk rendement 2" xfId="7361"/>
    <cellStyle name="_TableRowHead_FP Liabilities_19oct05 v2_feitelijk rendement_bei rates" xfId="6725"/>
    <cellStyle name="_TableRowHead_FP Liabilities_19oct05 v2_feitelijk rendement_par swap rates" xfId="6093"/>
    <cellStyle name="_TableRowHead_FP Liabilities_19oct05 v2_ilb reeel only" xfId="4977"/>
    <cellStyle name="_TableRowHead_FP Liabilities_19oct05 v2_nominale counterpart ilb" xfId="4978"/>
    <cellStyle name="_TableRowHead_FP Liabilities_19oct05 v2_tijdseries" xfId="4979"/>
    <cellStyle name="_TableRowHead_FP Liabilities_19oct05 v2_tijdseries 2" xfId="7362"/>
    <cellStyle name="_TableRowHead_FP Liabilities_19oct05 v2_tijdseries_bei rates" xfId="6726"/>
    <cellStyle name="_TableRowHead_FP Liabilities_19oct05 v2_tijdseries_par swap rates" xfId="6094"/>
    <cellStyle name="_TableRowHead_FP Liabilities_19oct05 v2_vpv" xfId="4980"/>
    <cellStyle name="_TableRowHead_FP Liabilities_19oct05 v2_vpv 2" xfId="7363"/>
    <cellStyle name="_TableRowHead_FP Liabilities_19oct05 v2_vpv return serie" xfId="4981"/>
    <cellStyle name="_TableRowHead_FP Liabilities_19oct05 v2_vpv return serie 2" xfId="7364"/>
    <cellStyle name="_TableRowHead_FP Liabilities_19oct05 v2_vpv return serie_bei rates" xfId="6728"/>
    <cellStyle name="_TableRowHead_FP Liabilities_19oct05 v2_vpv return serie_par swap rates" xfId="6096"/>
    <cellStyle name="_TableRowHead_FP Liabilities_19oct05 v2_vpv_bei rates" xfId="6727"/>
    <cellStyle name="_TableRowHead_FP Liabilities_19oct05 v2_vpv_par swap rates" xfId="6095"/>
    <cellStyle name="_TableRowHead_Govt Bond Data" xfId="1083"/>
    <cellStyle name="_TableRowHead_INF Benchmark " xfId="1084"/>
    <cellStyle name="_TableRowHead_InitialPosition" xfId="1085"/>
    <cellStyle name="_TableRowHead_IR Benchmark" xfId="1086"/>
    <cellStyle name="_TableRowHead_June 05 CF" xfId="1087"/>
    <cellStyle name="_TableRowHead_June 05 CF 2" xfId="3464"/>
    <cellStyle name="_TableRowHead_June 05 CF 3" xfId="2302"/>
    <cellStyle name="_TableRowHead_June 05 CF_actuate" xfId="1088"/>
    <cellStyle name="_TableRowHead_June 05 CF_actuate 2" xfId="3465"/>
    <cellStyle name="_TableRowHead_June 05 CF_actuate 3" xfId="2303"/>
    <cellStyle name="_TableRowHead_June 05 CF_actuate_cashflows corp" xfId="4982"/>
    <cellStyle name="_TableRowHead_June 05 CF_actuate_cashflows Gov't AAA" xfId="4983"/>
    <cellStyle name="_TableRowHead_June 05 CF_actuate_cashflows ilb" xfId="4984"/>
    <cellStyle name="_TableRowHead_June 05 CF_actuate_cashflows lang staats" xfId="4985"/>
    <cellStyle name="_TableRowHead_June 05 CF_actuate_cashflows pan european 500mm" xfId="4986"/>
    <cellStyle name="_TableRowHead_June 05 CF_actuate_cashflows staats" xfId="4987"/>
    <cellStyle name="_TableRowHead_June 05 CF_actuate_excess returns bm matching pf" xfId="4988"/>
    <cellStyle name="_TableRowHead_June 05 CF_actuate_ilb reeel only" xfId="4989"/>
    <cellStyle name="_TableRowHead_June 05 CF_actuate_nominale counterpart ilb" xfId="4990"/>
    <cellStyle name="_TableRowHead_June 05 CF_actuate_tijdseries" xfId="4991"/>
    <cellStyle name="_TableRowHead_June 05 CF_actuate_tijdseries 2" xfId="7365"/>
    <cellStyle name="_TableRowHead_June 05 CF_actuate_tijdseries_bei rates" xfId="6729"/>
    <cellStyle name="_TableRowHead_June 05 CF_actuate_tijdseries_par swap rates" xfId="6097"/>
    <cellStyle name="_TableRowHead_June 05 CF_actuate_vpv" xfId="4992"/>
    <cellStyle name="_TableRowHead_June 05 CF_actuate_vpv 2" xfId="7366"/>
    <cellStyle name="_TableRowHead_June 05 CF_actuate_vpv return serie" xfId="4993"/>
    <cellStyle name="_TableRowHead_June 05 CF_actuate_vpv return serie 2" xfId="7367"/>
    <cellStyle name="_TableRowHead_June 05 CF_actuate_vpv return serie_bei rates" xfId="6731"/>
    <cellStyle name="_TableRowHead_June 05 CF_actuate_vpv return serie_par swap rates" xfId="6099"/>
    <cellStyle name="_TableRowHead_June 05 CF_actuate_vpv_bei rates" xfId="6730"/>
    <cellStyle name="_TableRowHead_June 05 CF_actuate_vpv_par swap rates" xfId="6098"/>
    <cellStyle name="_TableRowHead_June 05 CF_beleggingen" xfId="4994"/>
    <cellStyle name="_TableRowHead_June 05 CF_beleggingen 2" xfId="7368"/>
    <cellStyle name="_TableRowHead_June 05 CF_beleggingen_bei rates" xfId="6732"/>
    <cellStyle name="_TableRowHead_June 05 CF_beleggingen_par swap rates" xfId="6100"/>
    <cellStyle name="_TableRowHead_June 05 CF_cashflows corp" xfId="4995"/>
    <cellStyle name="_TableRowHead_June 05 CF_cashflows Gov't AAA" xfId="4996"/>
    <cellStyle name="_TableRowHead_June 05 CF_cashflows ilb" xfId="4997"/>
    <cellStyle name="_TableRowHead_June 05 CF_cashflows lang staats" xfId="4998"/>
    <cellStyle name="_TableRowHead_June 05 CF_cashflows pan european 500mm" xfId="4999"/>
    <cellStyle name="_TableRowHead_June 05 CF_cashflows staats" xfId="5000"/>
    <cellStyle name="_TableRowHead_June 05 CF_dv01" xfId="1089"/>
    <cellStyle name="_TableRowHead_June 05 CF_excess returns bm matching pf" xfId="5001"/>
    <cellStyle name="_TableRowHead_June 05 CF_feitelijk rendement" xfId="5002"/>
    <cellStyle name="_TableRowHead_June 05 CF_feitelijk rendement 2" xfId="7369"/>
    <cellStyle name="_TableRowHead_June 05 CF_feitelijk rendement_bei rates" xfId="6733"/>
    <cellStyle name="_TableRowHead_June 05 CF_feitelijk rendement_par swap rates" xfId="6101"/>
    <cellStyle name="_TableRowHead_June 05 CF_ilb reeel only" xfId="5003"/>
    <cellStyle name="_TableRowHead_June 05 CF_nominale counterpart ilb" xfId="5004"/>
    <cellStyle name="_TableRowHead_June 05 CF_tijdseries" xfId="5005"/>
    <cellStyle name="_TableRowHead_June 05 CF_tijdseries 2" xfId="7370"/>
    <cellStyle name="_TableRowHead_June 05 CF_tijdseries_bei rates" xfId="6734"/>
    <cellStyle name="_TableRowHead_June 05 CF_tijdseries_par swap rates" xfId="6102"/>
    <cellStyle name="_TableRowHead_June 05 CF_vpv" xfId="5006"/>
    <cellStyle name="_TableRowHead_June 05 CF_vpv 2" xfId="7371"/>
    <cellStyle name="_TableRowHead_June 05 CF_vpv return serie" xfId="5007"/>
    <cellStyle name="_TableRowHead_June 05 CF_vpv return serie 2" xfId="7372"/>
    <cellStyle name="_TableRowHead_June 05 CF_vpv return serie_bei rates" xfId="6736"/>
    <cellStyle name="_TableRowHead_June 05 CF_vpv return serie_par swap rates" xfId="6104"/>
    <cellStyle name="_TableRowHead_June 05 CF_vpv_bei rates" xfId="6735"/>
    <cellStyle name="_TableRowHead_June 05 CF_vpv_par swap rates" xfId="6103"/>
    <cellStyle name="_TableRowHead_June05" xfId="1090"/>
    <cellStyle name="_TableRowHead_LDI Characts" xfId="1091"/>
    <cellStyle name="_TableRowHead_Liabs DV01" xfId="1092"/>
    <cellStyle name="_TableRowHead_Liabs DV01 2" xfId="3469"/>
    <cellStyle name="_TableRowHead_Liabs DV01 3" xfId="2304"/>
    <cellStyle name="_TableRowHead_Liabs DV01_actuate" xfId="1093"/>
    <cellStyle name="_TableRowHead_Liabs DV01_actuate 2" xfId="3470"/>
    <cellStyle name="_TableRowHead_Liabs DV01_actuate 3" xfId="2305"/>
    <cellStyle name="_TableRowHead_Liabs DV01_actuate_cashflows corp" xfId="5008"/>
    <cellStyle name="_TableRowHead_Liabs DV01_actuate_cashflows Gov't AAA" xfId="5009"/>
    <cellStyle name="_TableRowHead_Liabs DV01_actuate_cashflows ilb" xfId="5010"/>
    <cellStyle name="_TableRowHead_Liabs DV01_actuate_cashflows lang staats" xfId="5011"/>
    <cellStyle name="_TableRowHead_Liabs DV01_actuate_cashflows pan european 500mm" xfId="5012"/>
    <cellStyle name="_TableRowHead_Liabs DV01_actuate_cashflows staats" xfId="5013"/>
    <cellStyle name="_TableRowHead_Liabs DV01_actuate_excess returns bm matching pf" xfId="5014"/>
    <cellStyle name="_TableRowHead_Liabs DV01_actuate_ilb reeel only" xfId="5015"/>
    <cellStyle name="_TableRowHead_Liabs DV01_actuate_nominale counterpart ilb" xfId="5016"/>
    <cellStyle name="_TableRowHead_Liabs DV01_actuate_tijdseries" xfId="5017"/>
    <cellStyle name="_TableRowHead_Liabs DV01_actuate_tijdseries 2" xfId="7373"/>
    <cellStyle name="_TableRowHead_Liabs DV01_actuate_tijdseries_bei rates" xfId="6737"/>
    <cellStyle name="_TableRowHead_Liabs DV01_actuate_tijdseries_par swap rates" xfId="6105"/>
    <cellStyle name="_TableRowHead_Liabs DV01_actuate_vpv" xfId="5018"/>
    <cellStyle name="_TableRowHead_Liabs DV01_actuate_vpv 2" xfId="7374"/>
    <cellStyle name="_TableRowHead_Liabs DV01_actuate_vpv return serie" xfId="5019"/>
    <cellStyle name="_TableRowHead_Liabs DV01_actuate_vpv return serie 2" xfId="7375"/>
    <cellStyle name="_TableRowHead_Liabs DV01_actuate_vpv return serie_bei rates" xfId="6739"/>
    <cellStyle name="_TableRowHead_Liabs DV01_actuate_vpv return serie_par swap rates" xfId="6107"/>
    <cellStyle name="_TableRowHead_Liabs DV01_actuate_vpv_bei rates" xfId="6738"/>
    <cellStyle name="_TableRowHead_Liabs DV01_actuate_vpv_par swap rates" xfId="6106"/>
    <cellStyle name="_TableRowHead_Liabs DV01_beleggingen" xfId="5020"/>
    <cellStyle name="_TableRowHead_Liabs DV01_beleggingen 2" xfId="7376"/>
    <cellStyle name="_TableRowHead_Liabs DV01_beleggingen_bei rates" xfId="6740"/>
    <cellStyle name="_TableRowHead_Liabs DV01_beleggingen_par swap rates" xfId="6108"/>
    <cellStyle name="_TableRowHead_Liabs DV01_cashflows corp" xfId="5021"/>
    <cellStyle name="_TableRowHead_Liabs DV01_cashflows Gov't AAA" xfId="5022"/>
    <cellStyle name="_TableRowHead_Liabs DV01_cashflows ilb" xfId="5023"/>
    <cellStyle name="_TableRowHead_Liabs DV01_cashflows lang staats" xfId="5024"/>
    <cellStyle name="_TableRowHead_Liabs DV01_cashflows pan european 500mm" xfId="5025"/>
    <cellStyle name="_TableRowHead_Liabs DV01_cashflows staats" xfId="5026"/>
    <cellStyle name="_TableRowHead_Liabs DV01_dv01" xfId="1094"/>
    <cellStyle name="_TableRowHead_Liabs DV01_excess returns bm matching pf" xfId="5027"/>
    <cellStyle name="_TableRowHead_Liabs DV01_feitelijk rendement" xfId="5028"/>
    <cellStyle name="_TableRowHead_Liabs DV01_feitelijk rendement 2" xfId="7377"/>
    <cellStyle name="_TableRowHead_Liabs DV01_feitelijk rendement_bei rates" xfId="6741"/>
    <cellStyle name="_TableRowHead_Liabs DV01_feitelijk rendement_par swap rates" xfId="6109"/>
    <cellStyle name="_TableRowHead_Liabs DV01_ilb reeel only" xfId="5029"/>
    <cellStyle name="_TableRowHead_Liabs DV01_nominale counterpart ilb" xfId="5030"/>
    <cellStyle name="_TableRowHead_Liabs DV01_tijdseries" xfId="5031"/>
    <cellStyle name="_TableRowHead_Liabs DV01_tijdseries 2" xfId="7378"/>
    <cellStyle name="_TableRowHead_Liabs DV01_tijdseries_bei rates" xfId="6742"/>
    <cellStyle name="_TableRowHead_Liabs DV01_tijdseries_par swap rates" xfId="6110"/>
    <cellStyle name="_TableRowHead_Liabs DV01_vpv" xfId="5032"/>
    <cellStyle name="_TableRowHead_Liabs DV01_vpv 2" xfId="7379"/>
    <cellStyle name="_TableRowHead_Liabs DV01_vpv return serie" xfId="5033"/>
    <cellStyle name="_TableRowHead_Liabs DV01_vpv return serie 2" xfId="7380"/>
    <cellStyle name="_TableRowHead_Liabs DV01_vpv return serie_bei rates" xfId="6744"/>
    <cellStyle name="_TableRowHead_Liabs DV01_vpv return serie_par swap rates" xfId="6112"/>
    <cellStyle name="_TableRowHead_Liabs DV01_vpv_bei rates" xfId="6743"/>
    <cellStyle name="_TableRowHead_Liabs DV01_vpv_par swap rates" xfId="6111"/>
    <cellStyle name="_TableRowHead_Main" xfId="1095"/>
    <cellStyle name="_TableRowHead_Main 2" xfId="3472"/>
    <cellStyle name="_TableRowHead_Main 3" xfId="2306"/>
    <cellStyle name="_TableRowHead_Main_actuate" xfId="1096"/>
    <cellStyle name="_TableRowHead_Main_actuate 2" xfId="3473"/>
    <cellStyle name="_TableRowHead_Main_actuate 3" xfId="2307"/>
    <cellStyle name="_TableRowHead_Main_actuate_cashflows corp" xfId="5034"/>
    <cellStyle name="_TableRowHead_Main_actuate_cashflows Gov't AAA" xfId="5035"/>
    <cellStyle name="_TableRowHead_Main_actuate_cashflows ilb" xfId="5036"/>
    <cellStyle name="_TableRowHead_Main_actuate_cashflows lang staats" xfId="5037"/>
    <cellStyle name="_TableRowHead_Main_actuate_cashflows pan european 500mm" xfId="5038"/>
    <cellStyle name="_TableRowHead_Main_actuate_cashflows staats" xfId="5039"/>
    <cellStyle name="_TableRowHead_Main_actuate_excess returns bm matching pf" xfId="5040"/>
    <cellStyle name="_TableRowHead_Main_actuate_ilb reeel only" xfId="5041"/>
    <cellStyle name="_TableRowHead_Main_actuate_nominale counterpart ilb" xfId="5042"/>
    <cellStyle name="_TableRowHead_Main_actuate_tijdseries" xfId="5043"/>
    <cellStyle name="_TableRowHead_Main_actuate_tijdseries 2" xfId="7381"/>
    <cellStyle name="_TableRowHead_Main_actuate_tijdseries_bei rates" xfId="6745"/>
    <cellStyle name="_TableRowHead_Main_actuate_tijdseries_par swap rates" xfId="6113"/>
    <cellStyle name="_TableRowHead_Main_actuate_vpv" xfId="5044"/>
    <cellStyle name="_TableRowHead_Main_actuate_vpv 2" xfId="7382"/>
    <cellStyle name="_TableRowHead_Main_actuate_vpv return serie" xfId="5045"/>
    <cellStyle name="_TableRowHead_Main_actuate_vpv return serie 2" xfId="7383"/>
    <cellStyle name="_TableRowHead_Main_actuate_vpv return serie_bei rates" xfId="6747"/>
    <cellStyle name="_TableRowHead_Main_actuate_vpv return serie_par swap rates" xfId="6115"/>
    <cellStyle name="_TableRowHead_Main_actuate_vpv_bei rates" xfId="6746"/>
    <cellStyle name="_TableRowHead_Main_actuate_vpv_par swap rates" xfId="6114"/>
    <cellStyle name="_TableRowHead_Main_beleggingen" xfId="5046"/>
    <cellStyle name="_TableRowHead_Main_beleggingen 2" xfId="7384"/>
    <cellStyle name="_TableRowHead_Main_beleggingen_bei rates" xfId="6748"/>
    <cellStyle name="_TableRowHead_Main_beleggingen_par swap rates" xfId="6116"/>
    <cellStyle name="_TableRowHead_Main_cashflows corp" xfId="5047"/>
    <cellStyle name="_TableRowHead_Main_cashflows Gov't AAA" xfId="5048"/>
    <cellStyle name="_TableRowHead_Main_cashflows ilb" xfId="5049"/>
    <cellStyle name="_TableRowHead_Main_cashflows lang staats" xfId="5050"/>
    <cellStyle name="_TableRowHead_Main_cashflows pan european 500mm" xfId="5051"/>
    <cellStyle name="_TableRowHead_Main_cashflows staats" xfId="5052"/>
    <cellStyle name="_TableRowHead_Main_dv01" xfId="1097"/>
    <cellStyle name="_TableRowHead_Main_excess returns bm matching pf" xfId="5053"/>
    <cellStyle name="_TableRowHead_Main_feitelijk rendement" xfId="5054"/>
    <cellStyle name="_TableRowHead_Main_feitelijk rendement 2" xfId="7385"/>
    <cellStyle name="_TableRowHead_Main_feitelijk rendement_bei rates" xfId="6749"/>
    <cellStyle name="_TableRowHead_Main_feitelijk rendement_par swap rates" xfId="6117"/>
    <cellStyle name="_TableRowHead_Main_ilb reeel only" xfId="5055"/>
    <cellStyle name="_TableRowHead_Main_nominale counterpart ilb" xfId="5056"/>
    <cellStyle name="_TableRowHead_Main_tijdseries" xfId="5057"/>
    <cellStyle name="_TableRowHead_Main_tijdseries 2" xfId="7386"/>
    <cellStyle name="_TableRowHead_Main_tijdseries_bei rates" xfId="6750"/>
    <cellStyle name="_TableRowHead_Main_tijdseries_par swap rates" xfId="6118"/>
    <cellStyle name="_TableRowHead_Main_vpv" xfId="5058"/>
    <cellStyle name="_TableRowHead_Main_vpv 2" xfId="7387"/>
    <cellStyle name="_TableRowHead_Main_vpv return serie" xfId="5059"/>
    <cellStyle name="_TableRowHead_Main_vpv return serie 2" xfId="7388"/>
    <cellStyle name="_TableRowHead_Main_vpv return serie_bei rates" xfId="6752"/>
    <cellStyle name="_TableRowHead_Main_vpv return serie_par swap rates" xfId="6120"/>
    <cellStyle name="_TableRowHead_Main_vpv_bei rates" xfId="6751"/>
    <cellStyle name="_TableRowHead_Main_vpv_par swap rates" xfId="6119"/>
    <cellStyle name="_TableRowHead_Matching PV Cashflows" xfId="1098"/>
    <cellStyle name="_TableRowHead_Matching PV Cashflows 2" xfId="3475"/>
    <cellStyle name="_TableRowHead_Matching PV Cashflows 3" xfId="2308"/>
    <cellStyle name="_TableRowHead_Matching PV Cashflows_actuate" xfId="1099"/>
    <cellStyle name="_TableRowHead_Matching PV Cashflows_actuate 2" xfId="3476"/>
    <cellStyle name="_TableRowHead_Matching PV Cashflows_actuate 3" xfId="2309"/>
    <cellStyle name="_TableRowHead_Matching PV Cashflows_actuate_cashflows corp" xfId="5060"/>
    <cellStyle name="_TableRowHead_Matching PV Cashflows_actuate_cashflows Gov't AAA" xfId="5061"/>
    <cellStyle name="_TableRowHead_Matching PV Cashflows_actuate_cashflows ilb" xfId="5062"/>
    <cellStyle name="_TableRowHead_Matching PV Cashflows_actuate_cashflows lang staats" xfId="5063"/>
    <cellStyle name="_TableRowHead_Matching PV Cashflows_actuate_cashflows pan european 500mm" xfId="5064"/>
    <cellStyle name="_TableRowHead_Matching PV Cashflows_actuate_cashflows staats" xfId="5065"/>
    <cellStyle name="_TableRowHead_Matching PV Cashflows_actuate_excess returns bm matching pf" xfId="5066"/>
    <cellStyle name="_TableRowHead_Matching PV Cashflows_actuate_ilb reeel only" xfId="5067"/>
    <cellStyle name="_TableRowHead_Matching PV Cashflows_actuate_nominale counterpart ilb" xfId="5068"/>
    <cellStyle name="_TableRowHead_Matching PV Cashflows_actuate_tijdseries" xfId="5069"/>
    <cellStyle name="_TableRowHead_Matching PV Cashflows_actuate_tijdseries 2" xfId="7389"/>
    <cellStyle name="_TableRowHead_Matching PV Cashflows_actuate_tijdseries_bei rates" xfId="6753"/>
    <cellStyle name="_TableRowHead_Matching PV Cashflows_actuate_tijdseries_par swap rates" xfId="6121"/>
    <cellStyle name="_TableRowHead_Matching PV Cashflows_actuate_vpv" xfId="5070"/>
    <cellStyle name="_TableRowHead_Matching PV Cashflows_actuate_vpv 2" xfId="7390"/>
    <cellStyle name="_TableRowHead_Matching PV Cashflows_actuate_vpv return serie" xfId="5071"/>
    <cellStyle name="_TableRowHead_Matching PV Cashflows_actuate_vpv return serie 2" xfId="7391"/>
    <cellStyle name="_TableRowHead_Matching PV Cashflows_actuate_vpv return serie_bei rates" xfId="6755"/>
    <cellStyle name="_TableRowHead_Matching PV Cashflows_actuate_vpv return serie_par swap rates" xfId="6123"/>
    <cellStyle name="_TableRowHead_Matching PV Cashflows_actuate_vpv_bei rates" xfId="6754"/>
    <cellStyle name="_TableRowHead_Matching PV Cashflows_actuate_vpv_par swap rates" xfId="6122"/>
    <cellStyle name="_TableRowHead_Matching PV Cashflows_beleggingen" xfId="5072"/>
    <cellStyle name="_TableRowHead_Matching PV Cashflows_beleggingen 2" xfId="7392"/>
    <cellStyle name="_TableRowHead_Matching PV Cashflows_beleggingen_bei rates" xfId="6756"/>
    <cellStyle name="_TableRowHead_Matching PV Cashflows_beleggingen_par swap rates" xfId="6124"/>
    <cellStyle name="_TableRowHead_Matching PV Cashflows_cashflows corp" xfId="5073"/>
    <cellStyle name="_TableRowHead_Matching PV Cashflows_cashflows Gov't AAA" xfId="5074"/>
    <cellStyle name="_TableRowHead_Matching PV Cashflows_cashflows ilb" xfId="5075"/>
    <cellStyle name="_TableRowHead_Matching PV Cashflows_cashflows lang staats" xfId="5076"/>
    <cellStyle name="_TableRowHead_Matching PV Cashflows_cashflows pan european 500mm" xfId="5077"/>
    <cellStyle name="_TableRowHead_Matching PV Cashflows_cashflows staats" xfId="5078"/>
    <cellStyle name="_TableRowHead_Matching PV Cashflows_dv01" xfId="1100"/>
    <cellStyle name="_TableRowHead_Matching PV Cashflows_excess returns bm matching pf" xfId="5079"/>
    <cellStyle name="_TableRowHead_Matching PV Cashflows_feitelijk rendement" xfId="5080"/>
    <cellStyle name="_TableRowHead_Matching PV Cashflows_feitelijk rendement 2" xfId="7393"/>
    <cellStyle name="_TableRowHead_Matching PV Cashflows_feitelijk rendement_bei rates" xfId="6757"/>
    <cellStyle name="_TableRowHead_Matching PV Cashflows_feitelijk rendement_par swap rates" xfId="6125"/>
    <cellStyle name="_TableRowHead_Matching PV Cashflows_ilb reeel only" xfId="5081"/>
    <cellStyle name="_TableRowHead_Matching PV Cashflows_nominale counterpart ilb" xfId="5082"/>
    <cellStyle name="_TableRowHead_Matching PV Cashflows_tijdseries" xfId="5083"/>
    <cellStyle name="_TableRowHead_Matching PV Cashflows_tijdseries 2" xfId="7394"/>
    <cellStyle name="_TableRowHead_Matching PV Cashflows_tijdseries_bei rates" xfId="6758"/>
    <cellStyle name="_TableRowHead_Matching PV Cashflows_tijdseries_par swap rates" xfId="6126"/>
    <cellStyle name="_TableRowHead_Matching PV Cashflows_vpv" xfId="5084"/>
    <cellStyle name="_TableRowHead_Matching PV Cashflows_vpv 2" xfId="7395"/>
    <cellStyle name="_TableRowHead_Matching PV Cashflows_vpv return serie" xfId="5085"/>
    <cellStyle name="_TableRowHead_Matching PV Cashflows_vpv return serie 2" xfId="7396"/>
    <cellStyle name="_TableRowHead_Matching PV Cashflows_vpv return serie_bei rates" xfId="6760"/>
    <cellStyle name="_TableRowHead_Matching PV Cashflows_vpv return serie_par swap rates" xfId="6128"/>
    <cellStyle name="_TableRowHead_Matching PV Cashflows_vpv_bei rates" xfId="6759"/>
    <cellStyle name="_TableRowHead_Matching PV Cashflows_vpv_par swap rates" xfId="6127"/>
    <cellStyle name="_TableRowHead_ModelSetup" xfId="1101"/>
    <cellStyle name="_TableRowHead_ModelSetup 2" xfId="3478"/>
    <cellStyle name="_TableRowHead_ModelSetup 3" xfId="2310"/>
    <cellStyle name="_TableRowHead_ModelSetup_actuate" xfId="1102"/>
    <cellStyle name="_TableRowHead_ModelSetup_actuate 2" xfId="3479"/>
    <cellStyle name="_TableRowHead_ModelSetup_actuate 3" xfId="2311"/>
    <cellStyle name="_TableRowHead_ModelSetup_actuate_cashflows corp" xfId="5086"/>
    <cellStyle name="_TableRowHead_ModelSetup_actuate_cashflows Gov't AAA" xfId="5087"/>
    <cellStyle name="_TableRowHead_ModelSetup_actuate_cashflows ilb" xfId="5088"/>
    <cellStyle name="_TableRowHead_ModelSetup_actuate_cashflows lang staats" xfId="5089"/>
    <cellStyle name="_TableRowHead_ModelSetup_actuate_cashflows pan european 500mm" xfId="5090"/>
    <cellStyle name="_TableRowHead_ModelSetup_actuate_cashflows staats" xfId="5091"/>
    <cellStyle name="_TableRowHead_ModelSetup_actuate_excess returns bm matching pf" xfId="5092"/>
    <cellStyle name="_TableRowHead_ModelSetup_actuate_ilb reeel only" xfId="5093"/>
    <cellStyle name="_TableRowHead_ModelSetup_actuate_nominale counterpart ilb" xfId="5094"/>
    <cellStyle name="_TableRowHead_ModelSetup_actuate_tijdseries" xfId="5095"/>
    <cellStyle name="_TableRowHead_ModelSetup_actuate_tijdseries 2" xfId="7397"/>
    <cellStyle name="_TableRowHead_ModelSetup_actuate_tijdseries_bei rates" xfId="6761"/>
    <cellStyle name="_TableRowHead_ModelSetup_actuate_tijdseries_par swap rates" xfId="6129"/>
    <cellStyle name="_TableRowHead_ModelSetup_actuate_vpv" xfId="5096"/>
    <cellStyle name="_TableRowHead_ModelSetup_actuate_vpv 2" xfId="7398"/>
    <cellStyle name="_TableRowHead_ModelSetup_actuate_vpv return serie" xfId="5097"/>
    <cellStyle name="_TableRowHead_ModelSetup_actuate_vpv return serie 2" xfId="7399"/>
    <cellStyle name="_TableRowHead_ModelSetup_actuate_vpv return serie_bei rates" xfId="6763"/>
    <cellStyle name="_TableRowHead_ModelSetup_actuate_vpv return serie_par swap rates" xfId="6131"/>
    <cellStyle name="_TableRowHead_ModelSetup_actuate_vpv_bei rates" xfId="6762"/>
    <cellStyle name="_TableRowHead_ModelSetup_actuate_vpv_par swap rates" xfId="6130"/>
    <cellStyle name="_TableRowHead_ModelSetup_beleggingen" xfId="5098"/>
    <cellStyle name="_TableRowHead_ModelSetup_beleggingen 2" xfId="7400"/>
    <cellStyle name="_TableRowHead_ModelSetup_beleggingen_bei rates" xfId="6764"/>
    <cellStyle name="_TableRowHead_ModelSetup_beleggingen_par swap rates" xfId="6132"/>
    <cellStyle name="_TableRowHead_ModelSetup_cashflows corp" xfId="5099"/>
    <cellStyle name="_TableRowHead_ModelSetup_cashflows Gov't AAA" xfId="5100"/>
    <cellStyle name="_TableRowHead_ModelSetup_cashflows ilb" xfId="5101"/>
    <cellStyle name="_TableRowHead_ModelSetup_cashflows lang staats" xfId="5102"/>
    <cellStyle name="_TableRowHead_ModelSetup_cashflows pan european 500mm" xfId="5103"/>
    <cellStyle name="_TableRowHead_ModelSetup_cashflows staats" xfId="5104"/>
    <cellStyle name="_TableRowHead_ModelSetup_dv01" xfId="1103"/>
    <cellStyle name="_TableRowHead_ModelSetup_excess returns bm matching pf" xfId="5105"/>
    <cellStyle name="_TableRowHead_ModelSetup_feitelijk rendement" xfId="5106"/>
    <cellStyle name="_TableRowHead_ModelSetup_feitelijk rendement 2" xfId="7401"/>
    <cellStyle name="_TableRowHead_ModelSetup_feitelijk rendement_bei rates" xfId="6765"/>
    <cellStyle name="_TableRowHead_ModelSetup_feitelijk rendement_par swap rates" xfId="6133"/>
    <cellStyle name="_TableRowHead_ModelSetup_ilb reeel only" xfId="5107"/>
    <cellStyle name="_TableRowHead_ModelSetup_nominale counterpart ilb" xfId="5108"/>
    <cellStyle name="_TableRowHead_ModelSetup_tijdseries" xfId="5109"/>
    <cellStyle name="_TableRowHead_ModelSetup_tijdseries 2" xfId="7402"/>
    <cellStyle name="_TableRowHead_ModelSetup_tijdseries_bei rates" xfId="6766"/>
    <cellStyle name="_TableRowHead_ModelSetup_tijdseries_par swap rates" xfId="6134"/>
    <cellStyle name="_TableRowHead_ModelSetup_vpv" xfId="5110"/>
    <cellStyle name="_TableRowHead_ModelSetup_vpv 2" xfId="7403"/>
    <cellStyle name="_TableRowHead_ModelSetup_vpv return serie" xfId="5111"/>
    <cellStyle name="_TableRowHead_ModelSetup_vpv return serie 2" xfId="7404"/>
    <cellStyle name="_TableRowHead_ModelSetup_vpv return serie_bei rates" xfId="6768"/>
    <cellStyle name="_TableRowHead_ModelSetup_vpv return serie_par swap rates" xfId="6136"/>
    <cellStyle name="_TableRowHead_ModelSetup_vpv_bei rates" xfId="6767"/>
    <cellStyle name="_TableRowHead_ModelSetup_vpv_par swap rates" xfId="6135"/>
    <cellStyle name="_TableRowHead_PME Swaps" xfId="1104"/>
    <cellStyle name="_TableRowHead_Pricer" xfId="1105"/>
    <cellStyle name="_TableRowHead_Pricer 2" xfId="3481"/>
    <cellStyle name="_TableRowHead_Pricer 3" xfId="2312"/>
    <cellStyle name="_TableRowHead_Pricer_actuate" xfId="1106"/>
    <cellStyle name="_TableRowHead_Pricer_actuate 2" xfId="3482"/>
    <cellStyle name="_TableRowHead_Pricer_actuate 3" xfId="2313"/>
    <cellStyle name="_TableRowHead_Pricer_actuate_cashflows corp" xfId="5112"/>
    <cellStyle name="_TableRowHead_Pricer_actuate_cashflows Gov't AAA" xfId="5113"/>
    <cellStyle name="_TableRowHead_Pricer_actuate_cashflows ilb" xfId="5114"/>
    <cellStyle name="_TableRowHead_Pricer_actuate_cashflows lang staats" xfId="5115"/>
    <cellStyle name="_TableRowHead_Pricer_actuate_cashflows pan european 500mm" xfId="5116"/>
    <cellStyle name="_TableRowHead_Pricer_actuate_cashflows staats" xfId="5117"/>
    <cellStyle name="_TableRowHead_Pricer_actuate_excess returns bm matching pf" xfId="5118"/>
    <cellStyle name="_TableRowHead_Pricer_actuate_ilb reeel only" xfId="5119"/>
    <cellStyle name="_TableRowHead_Pricer_actuate_nominale counterpart ilb" xfId="5120"/>
    <cellStyle name="_TableRowHead_Pricer_actuate_tijdseries" xfId="5121"/>
    <cellStyle name="_TableRowHead_Pricer_actuate_tijdseries 2" xfId="7405"/>
    <cellStyle name="_TableRowHead_Pricer_actuate_tijdseries_bei rates" xfId="6769"/>
    <cellStyle name="_TableRowHead_Pricer_actuate_tijdseries_par swap rates" xfId="6137"/>
    <cellStyle name="_TableRowHead_Pricer_actuate_vpv" xfId="5122"/>
    <cellStyle name="_TableRowHead_Pricer_actuate_vpv 2" xfId="7406"/>
    <cellStyle name="_TableRowHead_Pricer_actuate_vpv return serie" xfId="5123"/>
    <cellStyle name="_TableRowHead_Pricer_actuate_vpv return serie 2" xfId="7407"/>
    <cellStyle name="_TableRowHead_Pricer_actuate_vpv return serie_bei rates" xfId="6771"/>
    <cellStyle name="_TableRowHead_Pricer_actuate_vpv return serie_par swap rates" xfId="6139"/>
    <cellStyle name="_TableRowHead_Pricer_actuate_vpv_bei rates" xfId="6770"/>
    <cellStyle name="_TableRowHead_Pricer_actuate_vpv_par swap rates" xfId="6138"/>
    <cellStyle name="_TableRowHead_Pricer_beleggingen" xfId="5124"/>
    <cellStyle name="_TableRowHead_Pricer_beleggingen 2" xfId="7408"/>
    <cellStyle name="_TableRowHead_Pricer_beleggingen_bei rates" xfId="6772"/>
    <cellStyle name="_TableRowHead_Pricer_beleggingen_par swap rates" xfId="6140"/>
    <cellStyle name="_TableRowHead_Pricer_cashflows corp" xfId="5125"/>
    <cellStyle name="_TableRowHead_Pricer_cashflows Gov't AAA" xfId="5126"/>
    <cellStyle name="_TableRowHead_Pricer_cashflows ilb" xfId="5127"/>
    <cellStyle name="_TableRowHead_Pricer_cashflows lang staats" xfId="5128"/>
    <cellStyle name="_TableRowHead_Pricer_cashflows pan european 500mm" xfId="5129"/>
    <cellStyle name="_TableRowHead_Pricer_cashflows staats" xfId="5130"/>
    <cellStyle name="_TableRowHead_Pricer_dv01" xfId="1107"/>
    <cellStyle name="_TableRowHead_Pricer_excess returns bm matching pf" xfId="5131"/>
    <cellStyle name="_TableRowHead_Pricer_feitelijk rendement" xfId="5132"/>
    <cellStyle name="_TableRowHead_Pricer_feitelijk rendement 2" xfId="7409"/>
    <cellStyle name="_TableRowHead_Pricer_feitelijk rendement_bei rates" xfId="6773"/>
    <cellStyle name="_TableRowHead_Pricer_feitelijk rendement_par swap rates" xfId="6141"/>
    <cellStyle name="_TableRowHead_Pricer_ilb reeel only" xfId="5133"/>
    <cellStyle name="_TableRowHead_Pricer_nominale counterpart ilb" xfId="5134"/>
    <cellStyle name="_TableRowHead_Pricer_tijdseries" xfId="5135"/>
    <cellStyle name="_TableRowHead_Pricer_tijdseries 2" xfId="7410"/>
    <cellStyle name="_TableRowHead_Pricer_tijdseries_bei rates" xfId="6774"/>
    <cellStyle name="_TableRowHead_Pricer_tijdseries_par swap rates" xfId="6142"/>
    <cellStyle name="_TableRowHead_Pricer_vpv" xfId="5136"/>
    <cellStyle name="_TableRowHead_Pricer_vpv 2" xfId="7411"/>
    <cellStyle name="_TableRowHead_Pricer_vpv return serie" xfId="5137"/>
    <cellStyle name="_TableRowHead_Pricer_vpv return serie 2" xfId="7412"/>
    <cellStyle name="_TableRowHead_Pricer_vpv return serie_bei rates" xfId="6776"/>
    <cellStyle name="_TableRowHead_Pricer_vpv return serie_par swap rates" xfId="6144"/>
    <cellStyle name="_TableRowHead_Pricer_vpv_bei rates" xfId="6775"/>
    <cellStyle name="_TableRowHead_Pricer_vpv_par swap rates" xfId="6143"/>
    <cellStyle name="_TableRowHead_Sheet1" xfId="1108"/>
    <cellStyle name="_TableRowHead_Sheet1 2" xfId="3484"/>
    <cellStyle name="_TableRowHead_Sheet1 3" xfId="2314"/>
    <cellStyle name="_TableRowHead_Sheet1_actuate" xfId="1109"/>
    <cellStyle name="_TableRowHead_Sheet1_actuate 2" xfId="3485"/>
    <cellStyle name="_TableRowHead_Sheet1_actuate 3" xfId="2315"/>
    <cellStyle name="_TableRowHead_Sheet1_actuate_cashflows corp" xfId="5138"/>
    <cellStyle name="_TableRowHead_Sheet1_actuate_cashflows Gov't AAA" xfId="5139"/>
    <cellStyle name="_TableRowHead_Sheet1_actuate_cashflows ilb" xfId="5140"/>
    <cellStyle name="_TableRowHead_Sheet1_actuate_cashflows lang staats" xfId="5141"/>
    <cellStyle name="_TableRowHead_Sheet1_actuate_cashflows pan european 500mm" xfId="5142"/>
    <cellStyle name="_TableRowHead_Sheet1_actuate_cashflows staats" xfId="5143"/>
    <cellStyle name="_TableRowHead_Sheet1_actuate_excess returns bm matching pf" xfId="5144"/>
    <cellStyle name="_TableRowHead_Sheet1_actuate_ilb reeel only" xfId="5145"/>
    <cellStyle name="_TableRowHead_Sheet1_actuate_nominale counterpart ilb" xfId="5146"/>
    <cellStyle name="_TableRowHead_Sheet1_actuate_tijdseries" xfId="5147"/>
    <cellStyle name="_TableRowHead_Sheet1_actuate_tijdseries 2" xfId="7413"/>
    <cellStyle name="_TableRowHead_Sheet1_actuate_tijdseries_bei rates" xfId="6777"/>
    <cellStyle name="_TableRowHead_Sheet1_actuate_tijdseries_par swap rates" xfId="6145"/>
    <cellStyle name="_TableRowHead_Sheet1_actuate_vpv" xfId="5148"/>
    <cellStyle name="_TableRowHead_Sheet1_actuate_vpv 2" xfId="7414"/>
    <cellStyle name="_TableRowHead_Sheet1_actuate_vpv return serie" xfId="5149"/>
    <cellStyle name="_TableRowHead_Sheet1_actuate_vpv return serie 2" xfId="7415"/>
    <cellStyle name="_TableRowHead_Sheet1_actuate_vpv return serie_bei rates" xfId="6779"/>
    <cellStyle name="_TableRowHead_Sheet1_actuate_vpv return serie_par swap rates" xfId="6147"/>
    <cellStyle name="_TableRowHead_Sheet1_actuate_vpv_bei rates" xfId="6778"/>
    <cellStyle name="_TableRowHead_Sheet1_actuate_vpv_par swap rates" xfId="6146"/>
    <cellStyle name="_TableRowHead_Sheet1_beleggingen" xfId="5150"/>
    <cellStyle name="_TableRowHead_Sheet1_beleggingen 2" xfId="7416"/>
    <cellStyle name="_TableRowHead_Sheet1_beleggingen_bei rates" xfId="6780"/>
    <cellStyle name="_TableRowHead_Sheet1_beleggingen_par swap rates" xfId="6148"/>
    <cellStyle name="_TableRowHead_Sheet1_cashflows corp" xfId="5151"/>
    <cellStyle name="_TableRowHead_Sheet1_cashflows Gov't AAA" xfId="5152"/>
    <cellStyle name="_TableRowHead_Sheet1_cashflows ilb" xfId="5153"/>
    <cellStyle name="_TableRowHead_Sheet1_cashflows lang staats" xfId="5154"/>
    <cellStyle name="_TableRowHead_Sheet1_cashflows pan european 500mm" xfId="5155"/>
    <cellStyle name="_TableRowHead_Sheet1_cashflows staats" xfId="5156"/>
    <cellStyle name="_TableRowHead_Sheet1_dv01" xfId="1110"/>
    <cellStyle name="_TableRowHead_Sheet1_excess returns bm matching pf" xfId="5157"/>
    <cellStyle name="_TableRowHead_Sheet1_feitelijk rendement" xfId="5158"/>
    <cellStyle name="_TableRowHead_Sheet1_feitelijk rendement 2" xfId="7417"/>
    <cellStyle name="_TableRowHead_Sheet1_feitelijk rendement_bei rates" xfId="6781"/>
    <cellStyle name="_TableRowHead_Sheet1_feitelijk rendement_par swap rates" xfId="6149"/>
    <cellStyle name="_TableRowHead_Sheet1_Gexa Multi Asset Path Generator" xfId="1111"/>
    <cellStyle name="_TableRowHead_Sheet1_ilb reeel only" xfId="5159"/>
    <cellStyle name="_TableRowHead_Sheet1_nominale counterpart ilb" xfId="5160"/>
    <cellStyle name="_TableRowHead_Sheet1_tijdseries" xfId="5161"/>
    <cellStyle name="_TableRowHead_Sheet1_tijdseries 2" xfId="7418"/>
    <cellStyle name="_TableRowHead_Sheet1_tijdseries_bei rates" xfId="6782"/>
    <cellStyle name="_TableRowHead_Sheet1_tijdseries_par swap rates" xfId="6150"/>
    <cellStyle name="_TableRowHead_Sheet1_vpv" xfId="5162"/>
    <cellStyle name="_TableRowHead_Sheet1_vpv 2" xfId="7419"/>
    <cellStyle name="_TableRowHead_Sheet1_vpv return serie" xfId="5163"/>
    <cellStyle name="_TableRowHead_Sheet1_vpv return serie 2" xfId="7420"/>
    <cellStyle name="_TableRowHead_Sheet1_vpv return serie_bei rates" xfId="6784"/>
    <cellStyle name="_TableRowHead_Sheet1_vpv return serie_par swap rates" xfId="6152"/>
    <cellStyle name="_TableRowHead_Sheet1_vpv_bei rates" xfId="6783"/>
    <cellStyle name="_TableRowHead_Sheet1_vpv_par swap rates" xfId="6151"/>
    <cellStyle name="_TableRowHead_SPP Values as at 12 June 05" xfId="1112"/>
    <cellStyle name="_TableRowHead_Tableau" xfId="1113"/>
    <cellStyle name="_TableRowHead_Tableau 2" xfId="3489"/>
    <cellStyle name="_TableRowHead_Tableau 3" xfId="2316"/>
    <cellStyle name="_TableRowHead_Tableau_actuate" xfId="1114"/>
    <cellStyle name="_TableRowHead_Tableau_actuate 2" xfId="3490"/>
    <cellStyle name="_TableRowHead_Tableau_actuate 3" xfId="2317"/>
    <cellStyle name="_TableRowHead_Tableau_actuate_cashflows corp" xfId="5165"/>
    <cellStyle name="_TableRowHead_Tableau_actuate_cashflows Gov't AAA" xfId="5166"/>
    <cellStyle name="_TableRowHead_Tableau_actuate_cashflows ilb" xfId="5167"/>
    <cellStyle name="_TableRowHead_Tableau_actuate_cashflows lang staats" xfId="5168"/>
    <cellStyle name="_TableRowHead_Tableau_actuate_cashflows pan european 500mm" xfId="5169"/>
    <cellStyle name="_TableRowHead_Tableau_actuate_cashflows staats" xfId="5170"/>
    <cellStyle name="_TableRowHead_Tableau_actuate_excess returns bm matching pf" xfId="5171"/>
    <cellStyle name="_TableRowHead_Tableau_actuate_ilb reeel only" xfId="5172"/>
    <cellStyle name="_TableRowHead_Tableau_actuate_nominale counterpart ilb" xfId="5173"/>
    <cellStyle name="_TableRowHead_Tableau_actuate_tijdseries" xfId="5174"/>
    <cellStyle name="_TableRowHead_Tableau_actuate_tijdseries 2" xfId="7421"/>
    <cellStyle name="_TableRowHead_Tableau_actuate_tijdseries_bei rates" xfId="6785"/>
    <cellStyle name="_TableRowHead_Tableau_actuate_tijdseries_par swap rates" xfId="6153"/>
    <cellStyle name="_TableRowHead_Tableau_actuate_vpv" xfId="5175"/>
    <cellStyle name="_TableRowHead_Tableau_actuate_vpv 2" xfId="7422"/>
    <cellStyle name="_TableRowHead_Tableau_actuate_vpv return serie" xfId="5176"/>
    <cellStyle name="_TableRowHead_Tableau_actuate_vpv return serie 2" xfId="7423"/>
    <cellStyle name="_TableRowHead_Tableau_actuate_vpv return serie_bei rates" xfId="6787"/>
    <cellStyle name="_TableRowHead_Tableau_actuate_vpv return serie_par swap rates" xfId="6155"/>
    <cellStyle name="_TableRowHead_Tableau_actuate_vpv_bei rates" xfId="6786"/>
    <cellStyle name="_TableRowHead_Tableau_actuate_vpv_par swap rates" xfId="6154"/>
    <cellStyle name="_TableRowHead_Tableau_beleggingen" xfId="5177"/>
    <cellStyle name="_TableRowHead_Tableau_beleggingen 2" xfId="7424"/>
    <cellStyle name="_TableRowHead_Tableau_beleggingen_bei rates" xfId="6788"/>
    <cellStyle name="_TableRowHead_Tableau_beleggingen_par swap rates" xfId="6156"/>
    <cellStyle name="_TableRowHead_Tableau_cashflows corp" xfId="5178"/>
    <cellStyle name="_TableRowHead_Tableau_cashflows Gov't AAA" xfId="5179"/>
    <cellStyle name="_TableRowHead_Tableau_cashflows ilb" xfId="5180"/>
    <cellStyle name="_TableRowHead_Tableau_cashflows lang staats" xfId="5181"/>
    <cellStyle name="_TableRowHead_Tableau_cashflows pan european 500mm" xfId="5182"/>
    <cellStyle name="_TableRowHead_Tableau_cashflows staats" xfId="5183"/>
    <cellStyle name="_TableRowHead_Tableau_dv01" xfId="1115"/>
    <cellStyle name="_TableRowHead_Tableau_excess returns bm matching pf" xfId="5184"/>
    <cellStyle name="_TableRowHead_Tableau_feitelijk rendement" xfId="5185"/>
    <cellStyle name="_TableRowHead_Tableau_feitelijk rendement 2" xfId="7425"/>
    <cellStyle name="_TableRowHead_Tableau_feitelijk rendement_bei rates" xfId="6789"/>
    <cellStyle name="_TableRowHead_Tableau_feitelijk rendement_par swap rates" xfId="6157"/>
    <cellStyle name="_TableRowHead_Tableau_ilb reeel only" xfId="5186"/>
    <cellStyle name="_TableRowHead_Tableau_nominale counterpart ilb" xfId="5187"/>
    <cellStyle name="_TableRowHead_Tableau_tijdseries" xfId="5188"/>
    <cellStyle name="_TableRowHead_Tableau_tijdseries 2" xfId="7426"/>
    <cellStyle name="_TableRowHead_Tableau_tijdseries_bei rates" xfId="6790"/>
    <cellStyle name="_TableRowHead_Tableau_tijdseries_par swap rates" xfId="6158"/>
    <cellStyle name="_TableRowHead_Tableau_vpv" xfId="5189"/>
    <cellStyle name="_TableRowHead_Tableau_vpv 2" xfId="7427"/>
    <cellStyle name="_TableRowHead_Tableau_vpv return serie" xfId="5190"/>
    <cellStyle name="_TableRowHead_Tableau_vpv return serie 2" xfId="7428"/>
    <cellStyle name="_TableRowHead_Tableau_vpv return serie_bei rates" xfId="6792"/>
    <cellStyle name="_TableRowHead_Tableau_vpv return serie_par swap rates" xfId="6160"/>
    <cellStyle name="_TableRowHead_Tableau_vpv_bei rates" xfId="6791"/>
    <cellStyle name="_TableRowHead_Tableau_vpv_par swap rates" xfId="6159"/>
    <cellStyle name="_TableSuperHead" xfId="1116"/>
    <cellStyle name="_TableSuperHead_allocatie" xfId="1117"/>
    <cellStyle name="_TableSuperHead_allocatie 2" xfId="3493"/>
    <cellStyle name="_TableSuperHead_allocatie 3" xfId="2318"/>
    <cellStyle name="_TableSuperHead_allocatie_actuate" xfId="1118"/>
    <cellStyle name="_TableSuperHead_allocatie_actuate 2" xfId="3494"/>
    <cellStyle name="_TableSuperHead_allocatie_actuate 3" xfId="2319"/>
    <cellStyle name="_TableSuperHead_allocatie_actuate_cashflows corp" xfId="5191"/>
    <cellStyle name="_TableSuperHead_allocatie_actuate_cashflows Gov't AAA" xfId="5192"/>
    <cellStyle name="_TableSuperHead_allocatie_actuate_cashflows ilb" xfId="5193"/>
    <cellStyle name="_TableSuperHead_allocatie_actuate_cashflows lang staats" xfId="5194"/>
    <cellStyle name="_TableSuperHead_allocatie_actuate_cashflows pan european 500mm" xfId="5195"/>
    <cellStyle name="_TableSuperHead_allocatie_actuate_cashflows staats" xfId="5196"/>
    <cellStyle name="_TableSuperHead_allocatie_actuate_excess returns bm matching pf" xfId="5197"/>
    <cellStyle name="_TableSuperHead_allocatie_actuate_ilb reeel only" xfId="5198"/>
    <cellStyle name="_TableSuperHead_allocatie_actuate_nominale counterpart ilb" xfId="5199"/>
    <cellStyle name="_TableSuperHead_allocatie_actuate_tijdseries" xfId="5200"/>
    <cellStyle name="_TableSuperHead_allocatie_actuate_tijdseries 2" xfId="7429"/>
    <cellStyle name="_TableSuperHead_allocatie_actuate_tijdseries_bei rates" xfId="6793"/>
    <cellStyle name="_TableSuperHead_allocatie_actuate_tijdseries_par swap rates" xfId="6161"/>
    <cellStyle name="_TableSuperHead_allocatie_actuate_vpv" xfId="5201"/>
    <cellStyle name="_TableSuperHead_allocatie_actuate_vpv 2" xfId="7430"/>
    <cellStyle name="_TableSuperHead_allocatie_actuate_vpv return serie" xfId="5202"/>
    <cellStyle name="_TableSuperHead_allocatie_actuate_vpv return serie 2" xfId="7431"/>
    <cellStyle name="_TableSuperHead_allocatie_actuate_vpv return serie_bei rates" xfId="6795"/>
    <cellStyle name="_TableSuperHead_allocatie_actuate_vpv return serie_par swap rates" xfId="6163"/>
    <cellStyle name="_TableSuperHead_allocatie_actuate_vpv_bei rates" xfId="6794"/>
    <cellStyle name="_TableSuperHead_allocatie_actuate_vpv_par swap rates" xfId="6162"/>
    <cellStyle name="_TableSuperHead_allocatie_beleggingen" xfId="5203"/>
    <cellStyle name="_TableSuperHead_allocatie_beleggingen 2" xfId="7432"/>
    <cellStyle name="_TableSuperHead_allocatie_beleggingen_bei rates" xfId="6796"/>
    <cellStyle name="_TableSuperHead_allocatie_beleggingen_par swap rates" xfId="6164"/>
    <cellStyle name="_TableSuperHead_allocatie_cashflows corp" xfId="5204"/>
    <cellStyle name="_TableSuperHead_allocatie_cashflows Gov't AAA" xfId="5205"/>
    <cellStyle name="_TableSuperHead_allocatie_cashflows ilb" xfId="5206"/>
    <cellStyle name="_TableSuperHead_allocatie_cashflows lang staats" xfId="5207"/>
    <cellStyle name="_TableSuperHead_allocatie_cashflows pan european 500mm" xfId="5208"/>
    <cellStyle name="_TableSuperHead_allocatie_cashflows staats" xfId="5209"/>
    <cellStyle name="_TableSuperHead_allocatie_dv01" xfId="1119"/>
    <cellStyle name="_TableSuperHead_allocatie_excess returns bm matching pf" xfId="5210"/>
    <cellStyle name="_TableSuperHead_allocatie_feitelijk rendement" xfId="5211"/>
    <cellStyle name="_TableSuperHead_allocatie_feitelijk rendement 2" xfId="7433"/>
    <cellStyle name="_TableSuperHead_allocatie_feitelijk rendement_bei rates" xfId="6797"/>
    <cellStyle name="_TableSuperHead_allocatie_feitelijk rendement_par swap rates" xfId="6165"/>
    <cellStyle name="_TableSuperHead_allocatie_ilb reeel only" xfId="5212"/>
    <cellStyle name="_TableSuperHead_allocatie_nominale counterpart ilb" xfId="5213"/>
    <cellStyle name="_TableSuperHead_allocatie_tijdseries" xfId="5214"/>
    <cellStyle name="_TableSuperHead_allocatie_tijdseries 2" xfId="7434"/>
    <cellStyle name="_TableSuperHead_allocatie_tijdseries_bei rates" xfId="6798"/>
    <cellStyle name="_TableSuperHead_allocatie_tijdseries_par swap rates" xfId="6166"/>
    <cellStyle name="_TableSuperHead_allocatie_vpv" xfId="5215"/>
    <cellStyle name="_TableSuperHead_allocatie_vpv 2" xfId="7435"/>
    <cellStyle name="_TableSuperHead_allocatie_vpv return serie" xfId="5216"/>
    <cellStyle name="_TableSuperHead_allocatie_vpv return serie 2" xfId="7436"/>
    <cellStyle name="_TableSuperHead_allocatie_vpv return serie_bei rates" xfId="6800"/>
    <cellStyle name="_TableSuperHead_allocatie_vpv return serie_par swap rates" xfId="6168"/>
    <cellStyle name="_TableSuperHead_allocatie_vpv_bei rates" xfId="6799"/>
    <cellStyle name="_TableSuperHead_allocatie_vpv_par swap rates" xfId="6167"/>
    <cellStyle name="_TableSuperHead_Asset Cashflows" xfId="1120"/>
    <cellStyle name="_TableSuperHead_Asset Cashflows 2" xfId="3495"/>
    <cellStyle name="_TableSuperHead_Asset Cashflows 3" xfId="2320"/>
    <cellStyle name="_TableSuperHead_Asset Cashflows_actuate" xfId="1121"/>
    <cellStyle name="_TableSuperHead_Asset Cashflows_actuate 2" xfId="3496"/>
    <cellStyle name="_TableSuperHead_Asset Cashflows_actuate 3" xfId="2321"/>
    <cellStyle name="_TableSuperHead_Asset Cashflows_actuate_cashflows corp" xfId="5217"/>
    <cellStyle name="_TableSuperHead_Asset Cashflows_actuate_cashflows Gov't AAA" xfId="5218"/>
    <cellStyle name="_TableSuperHead_Asset Cashflows_actuate_cashflows ilb" xfId="5219"/>
    <cellStyle name="_TableSuperHead_Asset Cashflows_actuate_cashflows lang staats" xfId="5220"/>
    <cellStyle name="_TableSuperHead_Asset Cashflows_actuate_cashflows pan european 500mm" xfId="5221"/>
    <cellStyle name="_TableSuperHead_Asset Cashflows_actuate_cashflows staats" xfId="5222"/>
    <cellStyle name="_TableSuperHead_Asset Cashflows_actuate_excess returns bm matching pf" xfId="5223"/>
    <cellStyle name="_TableSuperHead_Asset Cashflows_actuate_ilb reeel only" xfId="5224"/>
    <cellStyle name="_TableSuperHead_Asset Cashflows_actuate_nominale counterpart ilb" xfId="5225"/>
    <cellStyle name="_TableSuperHead_Asset Cashflows_actuate_tijdseries" xfId="5226"/>
    <cellStyle name="_TableSuperHead_Asset Cashflows_actuate_tijdseries 2" xfId="7437"/>
    <cellStyle name="_TableSuperHead_Asset Cashflows_actuate_tijdseries_bei rates" xfId="6801"/>
    <cellStyle name="_TableSuperHead_Asset Cashflows_actuate_tijdseries_par swap rates" xfId="6169"/>
    <cellStyle name="_TableSuperHead_Asset Cashflows_actuate_vpv" xfId="5227"/>
    <cellStyle name="_TableSuperHead_Asset Cashflows_actuate_vpv 2" xfId="7438"/>
    <cellStyle name="_TableSuperHead_Asset Cashflows_actuate_vpv return serie" xfId="5228"/>
    <cellStyle name="_TableSuperHead_Asset Cashflows_actuate_vpv return serie 2" xfId="7439"/>
    <cellStyle name="_TableSuperHead_Asset Cashflows_actuate_vpv return serie_bei rates" xfId="6803"/>
    <cellStyle name="_TableSuperHead_Asset Cashflows_actuate_vpv return serie_par swap rates" xfId="6171"/>
    <cellStyle name="_TableSuperHead_Asset Cashflows_actuate_vpv_bei rates" xfId="6802"/>
    <cellStyle name="_TableSuperHead_Asset Cashflows_actuate_vpv_par swap rates" xfId="6170"/>
    <cellStyle name="_TableSuperHead_Asset Cashflows_beleggingen" xfId="5229"/>
    <cellStyle name="_TableSuperHead_Asset Cashflows_beleggingen 2" xfId="7440"/>
    <cellStyle name="_TableSuperHead_Asset Cashflows_beleggingen_bei rates" xfId="6804"/>
    <cellStyle name="_TableSuperHead_Asset Cashflows_beleggingen_par swap rates" xfId="6172"/>
    <cellStyle name="_TableSuperHead_Asset Cashflows_cashflows corp" xfId="5230"/>
    <cellStyle name="_TableSuperHead_Asset Cashflows_cashflows Gov't AAA" xfId="5231"/>
    <cellStyle name="_TableSuperHead_Asset Cashflows_cashflows ilb" xfId="5232"/>
    <cellStyle name="_TableSuperHead_Asset Cashflows_cashflows lang staats" xfId="5233"/>
    <cellStyle name="_TableSuperHead_Asset Cashflows_cashflows pan european 500mm" xfId="5234"/>
    <cellStyle name="_TableSuperHead_Asset Cashflows_cashflows staats" xfId="5235"/>
    <cellStyle name="_TableSuperHead_Asset Cashflows_dv01" xfId="1122"/>
    <cellStyle name="_TableSuperHead_Asset Cashflows_excess returns bm matching pf" xfId="5236"/>
    <cellStyle name="_TableSuperHead_Asset Cashflows_feitelijk rendement" xfId="5237"/>
    <cellStyle name="_TableSuperHead_Asset Cashflows_feitelijk rendement 2" xfId="7441"/>
    <cellStyle name="_TableSuperHead_Asset Cashflows_feitelijk rendement_bei rates" xfId="6805"/>
    <cellStyle name="_TableSuperHead_Asset Cashflows_feitelijk rendement_par swap rates" xfId="6173"/>
    <cellStyle name="_TableSuperHead_Asset Cashflows_ilb reeel only" xfId="5238"/>
    <cellStyle name="_TableSuperHead_Asset Cashflows_nominale counterpart ilb" xfId="5239"/>
    <cellStyle name="_TableSuperHead_Asset Cashflows_tijdseries" xfId="5240"/>
    <cellStyle name="_TableSuperHead_Asset Cashflows_tijdseries 2" xfId="7442"/>
    <cellStyle name="_TableSuperHead_Asset Cashflows_tijdseries_bei rates" xfId="6806"/>
    <cellStyle name="_TableSuperHead_Asset Cashflows_tijdseries_par swap rates" xfId="6174"/>
    <cellStyle name="_TableSuperHead_Asset Cashflows_vpv" xfId="5241"/>
    <cellStyle name="_TableSuperHead_Asset Cashflows_vpv 2" xfId="7443"/>
    <cellStyle name="_TableSuperHead_Asset Cashflows_vpv return serie" xfId="5242"/>
    <cellStyle name="_TableSuperHead_Asset Cashflows_vpv return serie 2" xfId="7444"/>
    <cellStyle name="_TableSuperHead_Asset Cashflows_vpv return serie_bei rates" xfId="6808"/>
    <cellStyle name="_TableSuperHead_Asset Cashflows_vpv return serie_par swap rates" xfId="6176"/>
    <cellStyle name="_TableSuperHead_Asset Cashflows_vpv_bei rates" xfId="6807"/>
    <cellStyle name="_TableSuperHead_Asset Cashflows_vpv_par swap rates" xfId="6175"/>
    <cellStyle name="_TableSuperHead_CashFlows " xfId="1123"/>
    <cellStyle name="_TableSuperHead_CashFlows  2" xfId="3497"/>
    <cellStyle name="_TableSuperHead_CashFlows  3" xfId="2322"/>
    <cellStyle name="_TableSuperHead_CashFlows _actuate" xfId="1124"/>
    <cellStyle name="_TableSuperHead_CashFlows _actuate 2" xfId="3498"/>
    <cellStyle name="_TableSuperHead_CashFlows _actuate 3" xfId="2323"/>
    <cellStyle name="_TableSuperHead_CashFlows _actuate_cashflows corp" xfId="5243"/>
    <cellStyle name="_TableSuperHead_CashFlows _actuate_cashflows Gov't AAA" xfId="5244"/>
    <cellStyle name="_TableSuperHead_CashFlows _actuate_cashflows ilb" xfId="5245"/>
    <cellStyle name="_TableSuperHead_CashFlows _actuate_cashflows lang staats" xfId="5246"/>
    <cellStyle name="_TableSuperHead_CashFlows _actuate_cashflows pan european 500mm" xfId="5247"/>
    <cellStyle name="_TableSuperHead_CashFlows _actuate_cashflows staats" xfId="5248"/>
    <cellStyle name="_TableSuperHead_CashFlows _actuate_excess returns bm matching pf" xfId="5249"/>
    <cellStyle name="_TableSuperHead_CashFlows _actuate_ilb reeel only" xfId="5250"/>
    <cellStyle name="_TableSuperHead_CashFlows _actuate_nominale counterpart ilb" xfId="5251"/>
    <cellStyle name="_TableSuperHead_CashFlows _actuate_tijdseries" xfId="5252"/>
    <cellStyle name="_TableSuperHead_CashFlows _actuate_tijdseries 2" xfId="7445"/>
    <cellStyle name="_TableSuperHead_CashFlows _actuate_tijdseries_bei rates" xfId="6809"/>
    <cellStyle name="_TableSuperHead_CashFlows _actuate_tijdseries_par swap rates" xfId="6177"/>
    <cellStyle name="_TableSuperHead_CashFlows _actuate_vpv" xfId="5253"/>
    <cellStyle name="_TableSuperHead_CashFlows _actuate_vpv 2" xfId="7446"/>
    <cellStyle name="_TableSuperHead_CashFlows _actuate_vpv return serie" xfId="5254"/>
    <cellStyle name="_TableSuperHead_CashFlows _actuate_vpv return serie 2" xfId="7447"/>
    <cellStyle name="_TableSuperHead_CashFlows _actuate_vpv return serie_bei rates" xfId="6811"/>
    <cellStyle name="_TableSuperHead_CashFlows _actuate_vpv return serie_par swap rates" xfId="6179"/>
    <cellStyle name="_TableSuperHead_CashFlows _actuate_vpv_bei rates" xfId="6810"/>
    <cellStyle name="_TableSuperHead_CashFlows _actuate_vpv_par swap rates" xfId="6178"/>
    <cellStyle name="_TableSuperHead_CashFlows _beleggingen" xfId="5255"/>
    <cellStyle name="_TableSuperHead_CashFlows _beleggingen 2" xfId="7448"/>
    <cellStyle name="_TableSuperHead_CashFlows _beleggingen_bei rates" xfId="6812"/>
    <cellStyle name="_TableSuperHead_CashFlows _beleggingen_par swap rates" xfId="6180"/>
    <cellStyle name="_TableSuperHead_CashFlows _cashflows corp" xfId="5256"/>
    <cellStyle name="_TableSuperHead_CashFlows _cashflows Gov't AAA" xfId="5257"/>
    <cellStyle name="_TableSuperHead_CashFlows _cashflows ilb" xfId="5258"/>
    <cellStyle name="_TableSuperHead_CashFlows _cashflows lang staats" xfId="5259"/>
    <cellStyle name="_TableSuperHead_CashFlows _cashflows pan european 500mm" xfId="5260"/>
    <cellStyle name="_TableSuperHead_CashFlows _cashflows staats" xfId="5261"/>
    <cellStyle name="_TableSuperHead_CashFlows _dv01" xfId="1125"/>
    <cellStyle name="_TableSuperHead_CashFlows _excess returns bm matching pf" xfId="5262"/>
    <cellStyle name="_TableSuperHead_CashFlows _feitelijk rendement" xfId="5263"/>
    <cellStyle name="_TableSuperHead_CashFlows _feitelijk rendement 2" xfId="7449"/>
    <cellStyle name="_TableSuperHead_CashFlows _feitelijk rendement_bei rates" xfId="6813"/>
    <cellStyle name="_TableSuperHead_CashFlows _feitelijk rendement_par swap rates" xfId="6181"/>
    <cellStyle name="_TableSuperHead_CashFlows _ilb reeel only" xfId="5264"/>
    <cellStyle name="_TableSuperHead_CashFlows _nominale counterpart ilb" xfId="5265"/>
    <cellStyle name="_TableSuperHead_CashFlows _tijdseries" xfId="5266"/>
    <cellStyle name="_TableSuperHead_CashFlows _tijdseries 2" xfId="7450"/>
    <cellStyle name="_TableSuperHead_CashFlows _tijdseries_bei rates" xfId="6814"/>
    <cellStyle name="_TableSuperHead_CashFlows _tijdseries_par swap rates" xfId="6182"/>
    <cellStyle name="_TableSuperHead_CashFlows _vpv" xfId="5267"/>
    <cellStyle name="_TableSuperHead_CashFlows _vpv 2" xfId="7451"/>
    <cellStyle name="_TableSuperHead_CashFlows _vpv return serie" xfId="5268"/>
    <cellStyle name="_TableSuperHead_CashFlows _vpv return serie 2" xfId="7452"/>
    <cellStyle name="_TableSuperHead_CashFlows _vpv return serie_bei rates" xfId="6816"/>
    <cellStyle name="_TableSuperHead_CashFlows _vpv return serie_par swap rates" xfId="6184"/>
    <cellStyle name="_TableSuperHead_CashFlows _vpv_bei rates" xfId="6815"/>
    <cellStyle name="_TableSuperHead_CashFlows _vpv_par swap rates" xfId="6183"/>
    <cellStyle name="_TableSuperHead_Combined CashFlows" xfId="1126"/>
    <cellStyle name="_TableSuperHead_Combined CashFlows 2" xfId="3500"/>
    <cellStyle name="_TableSuperHead_Combined CashFlows 3" xfId="2325"/>
    <cellStyle name="_TableSuperHead_Combined CashFlows_actuate" xfId="1127"/>
    <cellStyle name="_TableSuperHead_Combined CashFlows_actuate 2" xfId="3501"/>
    <cellStyle name="_TableSuperHead_Combined CashFlows_actuate 3" xfId="2326"/>
    <cellStyle name="_TableSuperHead_Combined CashFlows_actuate_cashflows corp" xfId="5269"/>
    <cellStyle name="_TableSuperHead_Combined CashFlows_actuate_cashflows Gov't AAA" xfId="5270"/>
    <cellStyle name="_TableSuperHead_Combined CashFlows_actuate_cashflows ilb" xfId="5271"/>
    <cellStyle name="_TableSuperHead_Combined CashFlows_actuate_cashflows lang staats" xfId="5272"/>
    <cellStyle name="_TableSuperHead_Combined CashFlows_actuate_cashflows pan european 500mm" xfId="5273"/>
    <cellStyle name="_TableSuperHead_Combined CashFlows_actuate_cashflows staats" xfId="5274"/>
    <cellStyle name="_TableSuperHead_Combined CashFlows_actuate_excess returns bm matching pf" xfId="5275"/>
    <cellStyle name="_TableSuperHead_Combined CashFlows_actuate_ilb reeel only" xfId="5276"/>
    <cellStyle name="_TableSuperHead_Combined CashFlows_actuate_nominale counterpart ilb" xfId="5277"/>
    <cellStyle name="_TableSuperHead_Combined CashFlows_actuate_tijdseries" xfId="5278"/>
    <cellStyle name="_TableSuperHead_Combined CashFlows_actuate_tijdseries 2" xfId="7453"/>
    <cellStyle name="_TableSuperHead_Combined CashFlows_actuate_tijdseries_bei rates" xfId="6817"/>
    <cellStyle name="_TableSuperHead_Combined CashFlows_actuate_tijdseries_par swap rates" xfId="6185"/>
    <cellStyle name="_TableSuperHead_Combined CashFlows_actuate_vpv" xfId="5279"/>
    <cellStyle name="_TableSuperHead_Combined CashFlows_actuate_vpv 2" xfId="7454"/>
    <cellStyle name="_TableSuperHead_Combined CashFlows_actuate_vpv return serie" xfId="5280"/>
    <cellStyle name="_TableSuperHead_Combined CashFlows_actuate_vpv return serie 2" xfId="7455"/>
    <cellStyle name="_TableSuperHead_Combined CashFlows_actuate_vpv return serie_bei rates" xfId="6819"/>
    <cellStyle name="_TableSuperHead_Combined CashFlows_actuate_vpv return serie_par swap rates" xfId="6187"/>
    <cellStyle name="_TableSuperHead_Combined CashFlows_actuate_vpv_bei rates" xfId="6818"/>
    <cellStyle name="_TableSuperHead_Combined CashFlows_actuate_vpv_par swap rates" xfId="6186"/>
    <cellStyle name="_TableSuperHead_Combined CashFlows_beleggingen" xfId="5281"/>
    <cellStyle name="_TableSuperHead_Combined CashFlows_beleggingen 2" xfId="7456"/>
    <cellStyle name="_TableSuperHead_Combined CashFlows_beleggingen_bei rates" xfId="6820"/>
    <cellStyle name="_TableSuperHead_Combined CashFlows_beleggingen_par swap rates" xfId="6188"/>
    <cellStyle name="_TableSuperHead_Combined CashFlows_cashflows corp" xfId="5282"/>
    <cellStyle name="_TableSuperHead_Combined CashFlows_cashflows Gov't AAA" xfId="5283"/>
    <cellStyle name="_TableSuperHead_Combined CashFlows_cashflows ilb" xfId="5284"/>
    <cellStyle name="_TableSuperHead_Combined CashFlows_cashflows lang staats" xfId="5285"/>
    <cellStyle name="_TableSuperHead_Combined CashFlows_cashflows pan european 500mm" xfId="5286"/>
    <cellStyle name="_TableSuperHead_Combined CashFlows_cashflows staats" xfId="5287"/>
    <cellStyle name="_TableSuperHead_Combined CashFlows_dv01" xfId="1128"/>
    <cellStyle name="_TableSuperHead_Combined CashFlows_excess returns bm matching pf" xfId="5288"/>
    <cellStyle name="_TableSuperHead_Combined CashFlows_feitelijk rendement" xfId="5289"/>
    <cellStyle name="_TableSuperHead_Combined CashFlows_feitelijk rendement 2" xfId="7457"/>
    <cellStyle name="_TableSuperHead_Combined CashFlows_feitelijk rendement_bei rates" xfId="6821"/>
    <cellStyle name="_TableSuperHead_Combined CashFlows_feitelijk rendement_par swap rates" xfId="6189"/>
    <cellStyle name="_TableSuperHead_Combined CashFlows_ilb reeel only" xfId="5290"/>
    <cellStyle name="_TableSuperHead_Combined CashFlows_nominale counterpart ilb" xfId="5291"/>
    <cellStyle name="_TableSuperHead_Combined CashFlows_tijdseries" xfId="5292"/>
    <cellStyle name="_TableSuperHead_Combined CashFlows_tijdseries 2" xfId="7458"/>
    <cellStyle name="_TableSuperHead_Combined CashFlows_tijdseries_bei rates" xfId="6822"/>
    <cellStyle name="_TableSuperHead_Combined CashFlows_tijdseries_par swap rates" xfId="6190"/>
    <cellStyle name="_TableSuperHead_Combined CashFlows_vpv" xfId="5293"/>
    <cellStyle name="_TableSuperHead_Combined CashFlows_vpv 2" xfId="7459"/>
    <cellStyle name="_TableSuperHead_Combined CashFlows_vpv return serie" xfId="5294"/>
    <cellStyle name="_TableSuperHead_Combined CashFlows_vpv return serie 2" xfId="7460"/>
    <cellStyle name="_TableSuperHead_Combined CashFlows_vpv return serie_bei rates" xfId="6824"/>
    <cellStyle name="_TableSuperHead_Combined CashFlows_vpv return serie_par swap rates" xfId="6192"/>
    <cellStyle name="_TableSuperHead_Combined CashFlows_vpv_bei rates" xfId="6823"/>
    <cellStyle name="_TableSuperHead_Combined CashFlows_vpv_par swap rates" xfId="6191"/>
    <cellStyle name="_TableSuperHead_FP Liabilities_19oct05 v2" xfId="1129"/>
    <cellStyle name="_TableSuperHead_FP Liabilities_19oct05 v2 2" xfId="3502"/>
    <cellStyle name="_TableSuperHead_FP Liabilities_19oct05 v2 3" xfId="2327"/>
    <cellStyle name="_TableSuperHead_FP Liabilities_19oct05 v2_actuate" xfId="1130"/>
    <cellStyle name="_TableSuperHead_FP Liabilities_19oct05 v2_actuate 2" xfId="3503"/>
    <cellStyle name="_TableSuperHead_FP Liabilities_19oct05 v2_actuate 3" xfId="2328"/>
    <cellStyle name="_TableSuperHead_FP Liabilities_19oct05 v2_actuate_cashflows corp" xfId="5295"/>
    <cellStyle name="_TableSuperHead_FP Liabilities_19oct05 v2_actuate_cashflows Gov't AAA" xfId="5296"/>
    <cellStyle name="_TableSuperHead_FP Liabilities_19oct05 v2_actuate_cashflows ilb" xfId="5297"/>
    <cellStyle name="_TableSuperHead_FP Liabilities_19oct05 v2_actuate_cashflows lang staats" xfId="5298"/>
    <cellStyle name="_TableSuperHead_FP Liabilities_19oct05 v2_actuate_cashflows pan european 500mm" xfId="5299"/>
    <cellStyle name="_TableSuperHead_FP Liabilities_19oct05 v2_actuate_cashflows staats" xfId="5300"/>
    <cellStyle name="_TableSuperHead_FP Liabilities_19oct05 v2_actuate_excess returns bm matching pf" xfId="5301"/>
    <cellStyle name="_TableSuperHead_FP Liabilities_19oct05 v2_actuate_ilb reeel only" xfId="5302"/>
    <cellStyle name="_TableSuperHead_FP Liabilities_19oct05 v2_actuate_nominale counterpart ilb" xfId="5303"/>
    <cellStyle name="_TableSuperHead_FP Liabilities_19oct05 v2_actuate_tijdseries" xfId="5304"/>
    <cellStyle name="_TableSuperHead_FP Liabilities_19oct05 v2_actuate_tijdseries 2" xfId="7461"/>
    <cellStyle name="_TableSuperHead_FP Liabilities_19oct05 v2_actuate_tijdseries_bei rates" xfId="6825"/>
    <cellStyle name="_TableSuperHead_FP Liabilities_19oct05 v2_actuate_tijdseries_par swap rates" xfId="6193"/>
    <cellStyle name="_TableSuperHead_FP Liabilities_19oct05 v2_actuate_vpv" xfId="5305"/>
    <cellStyle name="_TableSuperHead_FP Liabilities_19oct05 v2_actuate_vpv 2" xfId="7462"/>
    <cellStyle name="_TableSuperHead_FP Liabilities_19oct05 v2_actuate_vpv return serie" xfId="5306"/>
    <cellStyle name="_TableSuperHead_FP Liabilities_19oct05 v2_actuate_vpv return serie 2" xfId="7463"/>
    <cellStyle name="_TableSuperHead_FP Liabilities_19oct05 v2_actuate_vpv return serie_bei rates" xfId="6827"/>
    <cellStyle name="_TableSuperHead_FP Liabilities_19oct05 v2_actuate_vpv return serie_par swap rates" xfId="6195"/>
    <cellStyle name="_TableSuperHead_FP Liabilities_19oct05 v2_actuate_vpv_bei rates" xfId="6826"/>
    <cellStyle name="_TableSuperHead_FP Liabilities_19oct05 v2_actuate_vpv_par swap rates" xfId="6194"/>
    <cellStyle name="_TableSuperHead_FP Liabilities_19oct05 v2_beleggingen" xfId="5307"/>
    <cellStyle name="_TableSuperHead_FP Liabilities_19oct05 v2_beleggingen 2" xfId="7464"/>
    <cellStyle name="_TableSuperHead_FP Liabilities_19oct05 v2_beleggingen_bei rates" xfId="6828"/>
    <cellStyle name="_TableSuperHead_FP Liabilities_19oct05 v2_beleggingen_par swap rates" xfId="6196"/>
    <cellStyle name="_TableSuperHead_FP Liabilities_19oct05 v2_cashflows corp" xfId="5308"/>
    <cellStyle name="_TableSuperHead_FP Liabilities_19oct05 v2_cashflows Gov't AAA" xfId="5309"/>
    <cellStyle name="_TableSuperHead_FP Liabilities_19oct05 v2_cashflows ilb" xfId="5310"/>
    <cellStyle name="_TableSuperHead_FP Liabilities_19oct05 v2_cashflows lang staats" xfId="5311"/>
    <cellStyle name="_TableSuperHead_FP Liabilities_19oct05 v2_cashflows pan european 500mm" xfId="5312"/>
    <cellStyle name="_TableSuperHead_FP Liabilities_19oct05 v2_cashflows staats" xfId="5313"/>
    <cellStyle name="_TableSuperHead_FP Liabilities_19oct05 v2_dv01" xfId="1131"/>
    <cellStyle name="_TableSuperHead_FP Liabilities_19oct05 v2_excess returns bm matching pf" xfId="5314"/>
    <cellStyle name="_TableSuperHead_FP Liabilities_19oct05 v2_feitelijk rendement" xfId="5315"/>
    <cellStyle name="_TableSuperHead_FP Liabilities_19oct05 v2_feitelijk rendement 2" xfId="7465"/>
    <cellStyle name="_TableSuperHead_FP Liabilities_19oct05 v2_feitelijk rendement_bei rates" xfId="6829"/>
    <cellStyle name="_TableSuperHead_FP Liabilities_19oct05 v2_feitelijk rendement_par swap rates" xfId="6197"/>
    <cellStyle name="_TableSuperHead_FP Liabilities_19oct05 v2_ilb reeel only" xfId="5316"/>
    <cellStyle name="_TableSuperHead_FP Liabilities_19oct05 v2_nominale counterpart ilb" xfId="5317"/>
    <cellStyle name="_TableSuperHead_FP Liabilities_19oct05 v2_tijdseries" xfId="5318"/>
    <cellStyle name="_TableSuperHead_FP Liabilities_19oct05 v2_tijdseries 2" xfId="7466"/>
    <cellStyle name="_TableSuperHead_FP Liabilities_19oct05 v2_tijdseries_bei rates" xfId="6830"/>
    <cellStyle name="_TableSuperHead_FP Liabilities_19oct05 v2_tijdseries_par swap rates" xfId="6198"/>
    <cellStyle name="_TableSuperHead_FP Liabilities_19oct05 v2_vpv" xfId="5319"/>
    <cellStyle name="_TableSuperHead_FP Liabilities_19oct05 v2_vpv 2" xfId="7467"/>
    <cellStyle name="_TableSuperHead_FP Liabilities_19oct05 v2_vpv return serie" xfId="5320"/>
    <cellStyle name="_TableSuperHead_FP Liabilities_19oct05 v2_vpv return serie 2" xfId="7468"/>
    <cellStyle name="_TableSuperHead_FP Liabilities_19oct05 v2_vpv return serie_bei rates" xfId="6832"/>
    <cellStyle name="_TableSuperHead_FP Liabilities_19oct05 v2_vpv return serie_par swap rates" xfId="6200"/>
    <cellStyle name="_TableSuperHead_FP Liabilities_19oct05 v2_vpv_bei rates" xfId="6831"/>
    <cellStyle name="_TableSuperHead_FP Liabilities_19oct05 v2_vpv_par swap rates" xfId="6199"/>
    <cellStyle name="_TableSuperHead_Govt Bond Data" xfId="1132"/>
    <cellStyle name="_TableSuperHead_INF Benchmark " xfId="1133"/>
    <cellStyle name="_TableSuperHead_InitialPosition" xfId="1134"/>
    <cellStyle name="_TableSuperHead_IR Benchmark" xfId="1135"/>
    <cellStyle name="_TableSuperHead_June 05 CF" xfId="1136"/>
    <cellStyle name="_TableSuperHead_June 05 CF 2" xfId="3509"/>
    <cellStyle name="_TableSuperHead_June 05 CF 3" xfId="2329"/>
    <cellStyle name="_TableSuperHead_June 05 CF_actuate" xfId="1137"/>
    <cellStyle name="_TableSuperHead_June 05 CF_actuate 2" xfId="3510"/>
    <cellStyle name="_TableSuperHead_June 05 CF_actuate 3" xfId="2330"/>
    <cellStyle name="_TableSuperHead_June 05 CF_actuate_cashflows corp" xfId="5321"/>
    <cellStyle name="_TableSuperHead_June 05 CF_actuate_cashflows Gov't AAA" xfId="5322"/>
    <cellStyle name="_TableSuperHead_June 05 CF_actuate_cashflows ilb" xfId="5323"/>
    <cellStyle name="_TableSuperHead_June 05 CF_actuate_cashflows lang staats" xfId="5324"/>
    <cellStyle name="_TableSuperHead_June 05 CF_actuate_cashflows pan european 500mm" xfId="5325"/>
    <cellStyle name="_TableSuperHead_June 05 CF_actuate_cashflows staats" xfId="5326"/>
    <cellStyle name="_TableSuperHead_June 05 CF_actuate_excess returns bm matching pf" xfId="5327"/>
    <cellStyle name="_TableSuperHead_June 05 CF_actuate_ilb reeel only" xfId="5328"/>
    <cellStyle name="_TableSuperHead_June 05 CF_actuate_nominale counterpart ilb" xfId="5329"/>
    <cellStyle name="_TableSuperHead_June 05 CF_actuate_tijdseries" xfId="5330"/>
    <cellStyle name="_TableSuperHead_June 05 CF_actuate_tijdseries 2" xfId="7469"/>
    <cellStyle name="_TableSuperHead_June 05 CF_actuate_tijdseries_bei rates" xfId="6833"/>
    <cellStyle name="_TableSuperHead_June 05 CF_actuate_tijdseries_par swap rates" xfId="6201"/>
    <cellStyle name="_TableSuperHead_June 05 CF_actuate_vpv" xfId="5331"/>
    <cellStyle name="_TableSuperHead_June 05 CF_actuate_vpv 2" xfId="7470"/>
    <cellStyle name="_TableSuperHead_June 05 CF_actuate_vpv return serie" xfId="5332"/>
    <cellStyle name="_TableSuperHead_June 05 CF_actuate_vpv return serie 2" xfId="7471"/>
    <cellStyle name="_TableSuperHead_June 05 CF_actuate_vpv return serie_bei rates" xfId="6835"/>
    <cellStyle name="_TableSuperHead_June 05 CF_actuate_vpv return serie_par swap rates" xfId="6203"/>
    <cellStyle name="_TableSuperHead_June 05 CF_actuate_vpv_bei rates" xfId="6834"/>
    <cellStyle name="_TableSuperHead_June 05 CF_actuate_vpv_par swap rates" xfId="6202"/>
    <cellStyle name="_TableSuperHead_June 05 CF_beleggingen" xfId="5333"/>
    <cellStyle name="_TableSuperHead_June 05 CF_beleggingen 2" xfId="7472"/>
    <cellStyle name="_TableSuperHead_June 05 CF_beleggingen_bei rates" xfId="6836"/>
    <cellStyle name="_TableSuperHead_June 05 CF_beleggingen_par swap rates" xfId="6204"/>
    <cellStyle name="_TableSuperHead_June 05 CF_cashflows corp" xfId="5334"/>
    <cellStyle name="_TableSuperHead_June 05 CF_cashflows Gov't AAA" xfId="5335"/>
    <cellStyle name="_TableSuperHead_June 05 CF_cashflows ilb" xfId="5336"/>
    <cellStyle name="_TableSuperHead_June 05 CF_cashflows lang staats" xfId="5337"/>
    <cellStyle name="_TableSuperHead_June 05 CF_cashflows pan european 500mm" xfId="5338"/>
    <cellStyle name="_TableSuperHead_June 05 CF_cashflows staats" xfId="5339"/>
    <cellStyle name="_TableSuperHead_June 05 CF_dv01" xfId="1138"/>
    <cellStyle name="_TableSuperHead_June 05 CF_excess returns bm matching pf" xfId="5340"/>
    <cellStyle name="_TableSuperHead_June 05 CF_feitelijk rendement" xfId="5341"/>
    <cellStyle name="_TableSuperHead_June 05 CF_feitelijk rendement 2" xfId="7473"/>
    <cellStyle name="_TableSuperHead_June 05 CF_feitelijk rendement_bei rates" xfId="6837"/>
    <cellStyle name="_TableSuperHead_June 05 CF_feitelijk rendement_par swap rates" xfId="6205"/>
    <cellStyle name="_TableSuperHead_June 05 CF_ilb reeel only" xfId="5342"/>
    <cellStyle name="_TableSuperHead_June 05 CF_nominale counterpart ilb" xfId="5343"/>
    <cellStyle name="_TableSuperHead_June 05 CF_tijdseries" xfId="5344"/>
    <cellStyle name="_TableSuperHead_June 05 CF_tijdseries 2" xfId="7474"/>
    <cellStyle name="_TableSuperHead_June 05 CF_tijdseries_bei rates" xfId="6838"/>
    <cellStyle name="_TableSuperHead_June 05 CF_tijdseries_par swap rates" xfId="6206"/>
    <cellStyle name="_TableSuperHead_June 05 CF_vpv" xfId="5345"/>
    <cellStyle name="_TableSuperHead_June 05 CF_vpv 2" xfId="7475"/>
    <cellStyle name="_TableSuperHead_June 05 CF_vpv return serie" xfId="5346"/>
    <cellStyle name="_TableSuperHead_June 05 CF_vpv return serie 2" xfId="7476"/>
    <cellStyle name="_TableSuperHead_June 05 CF_vpv return serie_bei rates" xfId="6840"/>
    <cellStyle name="_TableSuperHead_June 05 CF_vpv return serie_par swap rates" xfId="6208"/>
    <cellStyle name="_TableSuperHead_June 05 CF_vpv_bei rates" xfId="6839"/>
    <cellStyle name="_TableSuperHead_June 05 CF_vpv_par swap rates" xfId="6207"/>
    <cellStyle name="_TableSuperHead_June05" xfId="1139"/>
    <cellStyle name="_TableSuperHead_LDI Characts" xfId="1140"/>
    <cellStyle name="_TableSuperHead_Liabs DV01" xfId="1141"/>
    <cellStyle name="_TableSuperHead_Liabs DV01 2" xfId="3514"/>
    <cellStyle name="_TableSuperHead_Liabs DV01 3" xfId="2331"/>
    <cellStyle name="_TableSuperHead_Liabs DV01_actuate" xfId="1142"/>
    <cellStyle name="_TableSuperHead_Liabs DV01_actuate 2" xfId="3515"/>
    <cellStyle name="_TableSuperHead_Liabs DV01_actuate 3" xfId="2332"/>
    <cellStyle name="_TableSuperHead_Liabs DV01_actuate_cashflows corp" xfId="5347"/>
    <cellStyle name="_TableSuperHead_Liabs DV01_actuate_cashflows Gov't AAA" xfId="5348"/>
    <cellStyle name="_TableSuperHead_Liabs DV01_actuate_cashflows ilb" xfId="5349"/>
    <cellStyle name="_TableSuperHead_Liabs DV01_actuate_cashflows lang staats" xfId="5350"/>
    <cellStyle name="_TableSuperHead_Liabs DV01_actuate_cashflows pan european 500mm" xfId="5351"/>
    <cellStyle name="_TableSuperHead_Liabs DV01_actuate_cashflows staats" xfId="5352"/>
    <cellStyle name="_TableSuperHead_Liabs DV01_actuate_excess returns bm matching pf" xfId="5353"/>
    <cellStyle name="_TableSuperHead_Liabs DV01_actuate_ilb reeel only" xfId="5354"/>
    <cellStyle name="_TableSuperHead_Liabs DV01_actuate_nominale counterpart ilb" xfId="5355"/>
    <cellStyle name="_TableSuperHead_Liabs DV01_actuate_tijdseries" xfId="5356"/>
    <cellStyle name="_TableSuperHead_Liabs DV01_actuate_tijdseries 2" xfId="7477"/>
    <cellStyle name="_TableSuperHead_Liabs DV01_actuate_tijdseries_bei rates" xfId="6841"/>
    <cellStyle name="_TableSuperHead_Liabs DV01_actuate_tijdseries_par swap rates" xfId="6209"/>
    <cellStyle name="_TableSuperHead_Liabs DV01_actuate_vpv" xfId="5357"/>
    <cellStyle name="_TableSuperHead_Liabs DV01_actuate_vpv 2" xfId="7478"/>
    <cellStyle name="_TableSuperHead_Liabs DV01_actuate_vpv return serie" xfId="5358"/>
    <cellStyle name="_TableSuperHead_Liabs DV01_actuate_vpv return serie 2" xfId="7479"/>
    <cellStyle name="_TableSuperHead_Liabs DV01_actuate_vpv return serie_bei rates" xfId="6843"/>
    <cellStyle name="_TableSuperHead_Liabs DV01_actuate_vpv return serie_par swap rates" xfId="6211"/>
    <cellStyle name="_TableSuperHead_Liabs DV01_actuate_vpv_bei rates" xfId="6842"/>
    <cellStyle name="_TableSuperHead_Liabs DV01_actuate_vpv_par swap rates" xfId="6210"/>
    <cellStyle name="_TableSuperHead_Liabs DV01_beleggingen" xfId="5359"/>
    <cellStyle name="_TableSuperHead_Liabs DV01_beleggingen 2" xfId="7480"/>
    <cellStyle name="_TableSuperHead_Liabs DV01_beleggingen_bei rates" xfId="6844"/>
    <cellStyle name="_TableSuperHead_Liabs DV01_beleggingen_par swap rates" xfId="6212"/>
    <cellStyle name="_TableSuperHead_Liabs DV01_cashflows corp" xfId="5360"/>
    <cellStyle name="_TableSuperHead_Liabs DV01_cashflows Gov't AAA" xfId="5361"/>
    <cellStyle name="_TableSuperHead_Liabs DV01_cashflows ilb" xfId="5362"/>
    <cellStyle name="_TableSuperHead_Liabs DV01_cashflows lang staats" xfId="5363"/>
    <cellStyle name="_TableSuperHead_Liabs DV01_cashflows pan european 500mm" xfId="5364"/>
    <cellStyle name="_TableSuperHead_Liabs DV01_cashflows staats" xfId="5365"/>
    <cellStyle name="_TableSuperHead_Liabs DV01_dv01" xfId="1143"/>
    <cellStyle name="_TableSuperHead_Liabs DV01_excess returns bm matching pf" xfId="5366"/>
    <cellStyle name="_TableSuperHead_Liabs DV01_feitelijk rendement" xfId="5367"/>
    <cellStyle name="_TableSuperHead_Liabs DV01_feitelijk rendement 2" xfId="7481"/>
    <cellStyle name="_TableSuperHead_Liabs DV01_feitelijk rendement_bei rates" xfId="6845"/>
    <cellStyle name="_TableSuperHead_Liabs DV01_feitelijk rendement_par swap rates" xfId="6213"/>
    <cellStyle name="_TableSuperHead_Liabs DV01_ilb reeel only" xfId="5368"/>
    <cellStyle name="_TableSuperHead_Liabs DV01_nominale counterpart ilb" xfId="5369"/>
    <cellStyle name="_TableSuperHead_Liabs DV01_tijdseries" xfId="5370"/>
    <cellStyle name="_TableSuperHead_Liabs DV01_tijdseries 2" xfId="7482"/>
    <cellStyle name="_TableSuperHead_Liabs DV01_tijdseries_bei rates" xfId="6846"/>
    <cellStyle name="_TableSuperHead_Liabs DV01_tijdseries_par swap rates" xfId="6214"/>
    <cellStyle name="_TableSuperHead_Liabs DV01_vpv" xfId="5371"/>
    <cellStyle name="_TableSuperHead_Liabs DV01_vpv 2" xfId="7483"/>
    <cellStyle name="_TableSuperHead_Liabs DV01_vpv return serie" xfId="5372"/>
    <cellStyle name="_TableSuperHead_Liabs DV01_vpv return serie 2" xfId="7484"/>
    <cellStyle name="_TableSuperHead_Liabs DV01_vpv return serie_bei rates" xfId="6848"/>
    <cellStyle name="_TableSuperHead_Liabs DV01_vpv return serie_par swap rates" xfId="6216"/>
    <cellStyle name="_TableSuperHead_Liabs DV01_vpv_bei rates" xfId="6847"/>
    <cellStyle name="_TableSuperHead_Liabs DV01_vpv_par swap rates" xfId="6215"/>
    <cellStyle name="_TableSuperHead_Main" xfId="1144"/>
    <cellStyle name="_TableSuperHead_Main 2" xfId="3517"/>
    <cellStyle name="_TableSuperHead_Main 3" xfId="2333"/>
    <cellStyle name="_TableSuperHead_Main_actuate" xfId="1145"/>
    <cellStyle name="_TableSuperHead_Main_actuate 2" xfId="3518"/>
    <cellStyle name="_TableSuperHead_Main_actuate 3" xfId="2334"/>
    <cellStyle name="_TableSuperHead_Main_actuate_cashflows corp" xfId="5373"/>
    <cellStyle name="_TableSuperHead_Main_actuate_cashflows Gov't AAA" xfId="5374"/>
    <cellStyle name="_TableSuperHead_Main_actuate_cashflows ilb" xfId="5375"/>
    <cellStyle name="_TableSuperHead_Main_actuate_cashflows lang staats" xfId="5376"/>
    <cellStyle name="_TableSuperHead_Main_actuate_cashflows pan european 500mm" xfId="5377"/>
    <cellStyle name="_TableSuperHead_Main_actuate_cashflows staats" xfId="5378"/>
    <cellStyle name="_TableSuperHead_Main_actuate_excess returns bm matching pf" xfId="5379"/>
    <cellStyle name="_TableSuperHead_Main_actuate_ilb reeel only" xfId="5380"/>
    <cellStyle name="_TableSuperHead_Main_actuate_nominale counterpart ilb" xfId="5381"/>
    <cellStyle name="_TableSuperHead_Main_actuate_tijdseries" xfId="5382"/>
    <cellStyle name="_TableSuperHead_Main_actuate_tijdseries 2" xfId="7485"/>
    <cellStyle name="_TableSuperHead_Main_actuate_tijdseries_bei rates" xfId="6849"/>
    <cellStyle name="_TableSuperHead_Main_actuate_tijdseries_par swap rates" xfId="6217"/>
    <cellStyle name="_TableSuperHead_Main_actuate_vpv" xfId="5383"/>
    <cellStyle name="_TableSuperHead_Main_actuate_vpv 2" xfId="7486"/>
    <cellStyle name="_TableSuperHead_Main_actuate_vpv return serie" xfId="5384"/>
    <cellStyle name="_TableSuperHead_Main_actuate_vpv return serie 2" xfId="7487"/>
    <cellStyle name="_TableSuperHead_Main_actuate_vpv return serie_bei rates" xfId="6851"/>
    <cellStyle name="_TableSuperHead_Main_actuate_vpv return serie_par swap rates" xfId="6219"/>
    <cellStyle name="_TableSuperHead_Main_actuate_vpv_bei rates" xfId="6850"/>
    <cellStyle name="_TableSuperHead_Main_actuate_vpv_par swap rates" xfId="6218"/>
    <cellStyle name="_TableSuperHead_Main_beleggingen" xfId="5385"/>
    <cellStyle name="_TableSuperHead_Main_beleggingen 2" xfId="7488"/>
    <cellStyle name="_TableSuperHead_Main_beleggingen_bei rates" xfId="6852"/>
    <cellStyle name="_TableSuperHead_Main_beleggingen_par swap rates" xfId="6220"/>
    <cellStyle name="_TableSuperHead_Main_cashflows corp" xfId="5386"/>
    <cellStyle name="_TableSuperHead_Main_cashflows Gov't AAA" xfId="5387"/>
    <cellStyle name="_TableSuperHead_Main_cashflows ilb" xfId="5388"/>
    <cellStyle name="_TableSuperHead_Main_cashflows lang staats" xfId="5389"/>
    <cellStyle name="_TableSuperHead_Main_cashflows pan european 500mm" xfId="5390"/>
    <cellStyle name="_TableSuperHead_Main_cashflows staats" xfId="5391"/>
    <cellStyle name="_TableSuperHead_Main_dv01" xfId="1146"/>
    <cellStyle name="_TableSuperHead_Main_excess returns bm matching pf" xfId="5392"/>
    <cellStyle name="_TableSuperHead_Main_feitelijk rendement" xfId="5393"/>
    <cellStyle name="_TableSuperHead_Main_feitelijk rendement 2" xfId="7489"/>
    <cellStyle name="_TableSuperHead_Main_feitelijk rendement_bei rates" xfId="6853"/>
    <cellStyle name="_TableSuperHead_Main_feitelijk rendement_par swap rates" xfId="6221"/>
    <cellStyle name="_TableSuperHead_Main_ilb reeel only" xfId="5394"/>
    <cellStyle name="_TableSuperHead_Main_nominale counterpart ilb" xfId="5395"/>
    <cellStyle name="_TableSuperHead_Main_tijdseries" xfId="5396"/>
    <cellStyle name="_TableSuperHead_Main_tijdseries 2" xfId="7490"/>
    <cellStyle name="_TableSuperHead_Main_tijdseries_bei rates" xfId="6854"/>
    <cellStyle name="_TableSuperHead_Main_tijdseries_par swap rates" xfId="6222"/>
    <cellStyle name="_TableSuperHead_Main_vpv" xfId="5397"/>
    <cellStyle name="_TableSuperHead_Main_vpv 2" xfId="7491"/>
    <cellStyle name="_TableSuperHead_Main_vpv return serie" xfId="5398"/>
    <cellStyle name="_TableSuperHead_Main_vpv return serie 2" xfId="7492"/>
    <cellStyle name="_TableSuperHead_Main_vpv return serie_bei rates" xfId="6856"/>
    <cellStyle name="_TableSuperHead_Main_vpv return serie_par swap rates" xfId="6224"/>
    <cellStyle name="_TableSuperHead_Main_vpv_bei rates" xfId="6855"/>
    <cellStyle name="_TableSuperHead_Main_vpv_par swap rates" xfId="6223"/>
    <cellStyle name="_TableSuperHead_Matching PV Cashflows" xfId="1147"/>
    <cellStyle name="_TableSuperHead_Matching PV Cashflows 2" xfId="3520"/>
    <cellStyle name="_TableSuperHead_Matching PV Cashflows 3" xfId="2335"/>
    <cellStyle name="_TableSuperHead_Matching PV Cashflows_actuate" xfId="1148"/>
    <cellStyle name="_TableSuperHead_Matching PV Cashflows_actuate 2" xfId="3521"/>
    <cellStyle name="_TableSuperHead_Matching PV Cashflows_actuate 3" xfId="2336"/>
    <cellStyle name="_TableSuperHead_Matching PV Cashflows_actuate_cashflows corp" xfId="5399"/>
    <cellStyle name="_TableSuperHead_Matching PV Cashflows_actuate_cashflows Gov't AAA" xfId="5400"/>
    <cellStyle name="_TableSuperHead_Matching PV Cashflows_actuate_cashflows ilb" xfId="5401"/>
    <cellStyle name="_TableSuperHead_Matching PV Cashflows_actuate_cashflows lang staats" xfId="5402"/>
    <cellStyle name="_TableSuperHead_Matching PV Cashflows_actuate_cashflows pan european 500mm" xfId="5403"/>
    <cellStyle name="_TableSuperHead_Matching PV Cashflows_actuate_cashflows staats" xfId="5404"/>
    <cellStyle name="_TableSuperHead_Matching PV Cashflows_actuate_excess returns bm matching pf" xfId="5405"/>
    <cellStyle name="_TableSuperHead_Matching PV Cashflows_actuate_ilb reeel only" xfId="5406"/>
    <cellStyle name="_TableSuperHead_Matching PV Cashflows_actuate_nominale counterpart ilb" xfId="5407"/>
    <cellStyle name="_TableSuperHead_Matching PV Cashflows_actuate_tijdseries" xfId="5408"/>
    <cellStyle name="_TableSuperHead_Matching PV Cashflows_actuate_tijdseries 2" xfId="7493"/>
    <cellStyle name="_TableSuperHead_Matching PV Cashflows_actuate_tijdseries_bei rates" xfId="6857"/>
    <cellStyle name="_TableSuperHead_Matching PV Cashflows_actuate_tijdseries_par swap rates" xfId="6225"/>
    <cellStyle name="_TableSuperHead_Matching PV Cashflows_actuate_vpv" xfId="5409"/>
    <cellStyle name="_TableSuperHead_Matching PV Cashflows_actuate_vpv 2" xfId="7494"/>
    <cellStyle name="_TableSuperHead_Matching PV Cashflows_actuate_vpv return serie" xfId="5410"/>
    <cellStyle name="_TableSuperHead_Matching PV Cashflows_actuate_vpv return serie 2" xfId="7495"/>
    <cellStyle name="_TableSuperHead_Matching PV Cashflows_actuate_vpv return serie_bei rates" xfId="6859"/>
    <cellStyle name="_TableSuperHead_Matching PV Cashflows_actuate_vpv return serie_par swap rates" xfId="6227"/>
    <cellStyle name="_TableSuperHead_Matching PV Cashflows_actuate_vpv_bei rates" xfId="6858"/>
    <cellStyle name="_TableSuperHead_Matching PV Cashflows_actuate_vpv_par swap rates" xfId="6226"/>
    <cellStyle name="_TableSuperHead_Matching PV Cashflows_beleggingen" xfId="5411"/>
    <cellStyle name="_TableSuperHead_Matching PV Cashflows_beleggingen 2" xfId="7496"/>
    <cellStyle name="_TableSuperHead_Matching PV Cashflows_beleggingen_bei rates" xfId="6860"/>
    <cellStyle name="_TableSuperHead_Matching PV Cashflows_beleggingen_par swap rates" xfId="6228"/>
    <cellStyle name="_TableSuperHead_Matching PV Cashflows_cashflows corp" xfId="5412"/>
    <cellStyle name="_TableSuperHead_Matching PV Cashflows_cashflows Gov't AAA" xfId="5413"/>
    <cellStyle name="_TableSuperHead_Matching PV Cashflows_cashflows ilb" xfId="5414"/>
    <cellStyle name="_TableSuperHead_Matching PV Cashflows_cashflows lang staats" xfId="5415"/>
    <cellStyle name="_TableSuperHead_Matching PV Cashflows_cashflows pan european 500mm" xfId="5416"/>
    <cellStyle name="_TableSuperHead_Matching PV Cashflows_cashflows staats" xfId="5417"/>
    <cellStyle name="_TableSuperHead_Matching PV Cashflows_dv01" xfId="1149"/>
    <cellStyle name="_TableSuperHead_Matching PV Cashflows_excess returns bm matching pf" xfId="5418"/>
    <cellStyle name="_TableSuperHead_Matching PV Cashflows_feitelijk rendement" xfId="5419"/>
    <cellStyle name="_TableSuperHead_Matching PV Cashflows_feitelijk rendement 2" xfId="7497"/>
    <cellStyle name="_TableSuperHead_Matching PV Cashflows_feitelijk rendement_bei rates" xfId="6861"/>
    <cellStyle name="_TableSuperHead_Matching PV Cashflows_feitelijk rendement_par swap rates" xfId="6229"/>
    <cellStyle name="_TableSuperHead_Matching PV Cashflows_ilb reeel only" xfId="5420"/>
    <cellStyle name="_TableSuperHead_Matching PV Cashflows_nominale counterpart ilb" xfId="5421"/>
    <cellStyle name="_TableSuperHead_Matching PV Cashflows_tijdseries" xfId="5422"/>
    <cellStyle name="_TableSuperHead_Matching PV Cashflows_tijdseries 2" xfId="7498"/>
    <cellStyle name="_TableSuperHead_Matching PV Cashflows_tijdseries_bei rates" xfId="6862"/>
    <cellStyle name="_TableSuperHead_Matching PV Cashflows_tijdseries_par swap rates" xfId="6230"/>
    <cellStyle name="_TableSuperHead_Matching PV Cashflows_vpv" xfId="5423"/>
    <cellStyle name="_TableSuperHead_Matching PV Cashflows_vpv 2" xfId="7499"/>
    <cellStyle name="_TableSuperHead_Matching PV Cashflows_vpv return serie" xfId="5424"/>
    <cellStyle name="_TableSuperHead_Matching PV Cashflows_vpv return serie 2" xfId="7500"/>
    <cellStyle name="_TableSuperHead_Matching PV Cashflows_vpv return serie_bei rates" xfId="6864"/>
    <cellStyle name="_TableSuperHead_Matching PV Cashflows_vpv return serie_par swap rates" xfId="6232"/>
    <cellStyle name="_TableSuperHead_Matching PV Cashflows_vpv_bei rates" xfId="6863"/>
    <cellStyle name="_TableSuperHead_Matching PV Cashflows_vpv_par swap rates" xfId="6231"/>
    <cellStyle name="_TableSuperHead_ModelSetup" xfId="1150"/>
    <cellStyle name="_TableSuperHead_ModelSetup 2" xfId="3523"/>
    <cellStyle name="_TableSuperHead_ModelSetup 3" xfId="2337"/>
    <cellStyle name="_TableSuperHead_ModelSetup_actuate" xfId="1151"/>
    <cellStyle name="_TableSuperHead_ModelSetup_actuate 2" xfId="3524"/>
    <cellStyle name="_TableSuperHead_ModelSetup_actuate 3" xfId="2338"/>
    <cellStyle name="_TableSuperHead_ModelSetup_actuate_cashflows corp" xfId="5425"/>
    <cellStyle name="_TableSuperHead_ModelSetup_actuate_cashflows Gov't AAA" xfId="5426"/>
    <cellStyle name="_TableSuperHead_ModelSetup_actuate_cashflows ilb" xfId="5427"/>
    <cellStyle name="_TableSuperHead_ModelSetup_actuate_cashflows lang staats" xfId="5428"/>
    <cellStyle name="_TableSuperHead_ModelSetup_actuate_cashflows pan european 500mm" xfId="5429"/>
    <cellStyle name="_TableSuperHead_ModelSetup_actuate_cashflows staats" xfId="5430"/>
    <cellStyle name="_TableSuperHead_ModelSetup_actuate_excess returns bm matching pf" xfId="5431"/>
    <cellStyle name="_TableSuperHead_ModelSetup_actuate_ilb reeel only" xfId="5432"/>
    <cellStyle name="_TableSuperHead_ModelSetup_actuate_nominale counterpart ilb" xfId="5433"/>
    <cellStyle name="_TableSuperHead_ModelSetup_actuate_tijdseries" xfId="5434"/>
    <cellStyle name="_TableSuperHead_ModelSetup_actuate_tijdseries 2" xfId="7501"/>
    <cellStyle name="_TableSuperHead_ModelSetup_actuate_tijdseries_bei rates" xfId="6865"/>
    <cellStyle name="_TableSuperHead_ModelSetup_actuate_tijdseries_par swap rates" xfId="6233"/>
    <cellStyle name="_TableSuperHead_ModelSetup_actuate_vpv" xfId="5435"/>
    <cellStyle name="_TableSuperHead_ModelSetup_actuate_vpv 2" xfId="7502"/>
    <cellStyle name="_TableSuperHead_ModelSetup_actuate_vpv return serie" xfId="5436"/>
    <cellStyle name="_TableSuperHead_ModelSetup_actuate_vpv return serie 2" xfId="7503"/>
    <cellStyle name="_TableSuperHead_ModelSetup_actuate_vpv return serie_bei rates" xfId="6867"/>
    <cellStyle name="_TableSuperHead_ModelSetup_actuate_vpv return serie_par swap rates" xfId="6235"/>
    <cellStyle name="_TableSuperHead_ModelSetup_actuate_vpv_bei rates" xfId="6866"/>
    <cellStyle name="_TableSuperHead_ModelSetup_actuate_vpv_par swap rates" xfId="6234"/>
    <cellStyle name="_TableSuperHead_ModelSetup_beleggingen" xfId="5437"/>
    <cellStyle name="_TableSuperHead_ModelSetup_beleggingen 2" xfId="7504"/>
    <cellStyle name="_TableSuperHead_ModelSetup_beleggingen_bei rates" xfId="6868"/>
    <cellStyle name="_TableSuperHead_ModelSetup_beleggingen_par swap rates" xfId="6236"/>
    <cellStyle name="_TableSuperHead_ModelSetup_cashflows corp" xfId="5438"/>
    <cellStyle name="_TableSuperHead_ModelSetup_cashflows Gov't AAA" xfId="5439"/>
    <cellStyle name="_TableSuperHead_ModelSetup_cashflows ilb" xfId="5440"/>
    <cellStyle name="_TableSuperHead_ModelSetup_cashflows lang staats" xfId="5441"/>
    <cellStyle name="_TableSuperHead_ModelSetup_cashflows pan european 500mm" xfId="5442"/>
    <cellStyle name="_TableSuperHead_ModelSetup_cashflows staats" xfId="5443"/>
    <cellStyle name="_TableSuperHead_ModelSetup_dv01" xfId="1152"/>
    <cellStyle name="_TableSuperHead_ModelSetup_excess returns bm matching pf" xfId="5444"/>
    <cellStyle name="_TableSuperHead_ModelSetup_feitelijk rendement" xfId="5445"/>
    <cellStyle name="_TableSuperHead_ModelSetup_feitelijk rendement 2" xfId="7505"/>
    <cellStyle name="_TableSuperHead_ModelSetup_feitelijk rendement_bei rates" xfId="6869"/>
    <cellStyle name="_TableSuperHead_ModelSetup_feitelijk rendement_par swap rates" xfId="6237"/>
    <cellStyle name="_TableSuperHead_ModelSetup_ilb reeel only" xfId="5446"/>
    <cellStyle name="_TableSuperHead_ModelSetup_nominale counterpart ilb" xfId="5447"/>
    <cellStyle name="_TableSuperHead_ModelSetup_tijdseries" xfId="5448"/>
    <cellStyle name="_TableSuperHead_ModelSetup_tijdseries 2" xfId="7506"/>
    <cellStyle name="_TableSuperHead_ModelSetup_tijdseries_bei rates" xfId="6870"/>
    <cellStyle name="_TableSuperHead_ModelSetup_tijdseries_par swap rates" xfId="6238"/>
    <cellStyle name="_TableSuperHead_ModelSetup_vpv" xfId="5449"/>
    <cellStyle name="_TableSuperHead_ModelSetup_vpv 2" xfId="7507"/>
    <cellStyle name="_TableSuperHead_ModelSetup_vpv return serie" xfId="5450"/>
    <cellStyle name="_TableSuperHead_ModelSetup_vpv return serie 2" xfId="7508"/>
    <cellStyle name="_TableSuperHead_ModelSetup_vpv return serie_bei rates" xfId="6872"/>
    <cellStyle name="_TableSuperHead_ModelSetup_vpv return serie_par swap rates" xfId="6240"/>
    <cellStyle name="_TableSuperHead_ModelSetup_vpv_bei rates" xfId="6871"/>
    <cellStyle name="_TableSuperHead_ModelSetup_vpv_par swap rates" xfId="6239"/>
    <cellStyle name="_TableSuperHead_PME Swaps" xfId="1153"/>
    <cellStyle name="_TableSuperHead_Pricer" xfId="1154"/>
    <cellStyle name="_TableSuperHead_Pricer 2" xfId="3527"/>
    <cellStyle name="_TableSuperHead_Pricer 3" xfId="2339"/>
    <cellStyle name="_TableSuperHead_Pricer_actuate" xfId="1155"/>
    <cellStyle name="_TableSuperHead_Pricer_actuate 2" xfId="3528"/>
    <cellStyle name="_TableSuperHead_Pricer_actuate 3" xfId="2340"/>
    <cellStyle name="_TableSuperHead_Pricer_actuate_cashflows corp" xfId="5452"/>
    <cellStyle name="_TableSuperHead_Pricer_actuate_cashflows Gov't AAA" xfId="5453"/>
    <cellStyle name="_TableSuperHead_Pricer_actuate_cashflows ilb" xfId="5454"/>
    <cellStyle name="_TableSuperHead_Pricer_actuate_cashflows lang staats" xfId="5455"/>
    <cellStyle name="_TableSuperHead_Pricer_actuate_cashflows pan european 500mm" xfId="5456"/>
    <cellStyle name="_TableSuperHead_Pricer_actuate_cashflows staats" xfId="5457"/>
    <cellStyle name="_TableSuperHead_Pricer_actuate_excess returns bm matching pf" xfId="5458"/>
    <cellStyle name="_TableSuperHead_Pricer_actuate_ilb reeel only" xfId="5459"/>
    <cellStyle name="_TableSuperHead_Pricer_actuate_nominale counterpart ilb" xfId="5460"/>
    <cellStyle name="_TableSuperHead_Pricer_actuate_tijdseries" xfId="5461"/>
    <cellStyle name="_TableSuperHead_Pricer_actuate_tijdseries 2" xfId="7509"/>
    <cellStyle name="_TableSuperHead_Pricer_actuate_tijdseries_bei rates" xfId="6873"/>
    <cellStyle name="_TableSuperHead_Pricer_actuate_tijdseries_par swap rates" xfId="6241"/>
    <cellStyle name="_TableSuperHead_Pricer_actuate_vpv" xfId="5462"/>
    <cellStyle name="_TableSuperHead_Pricer_actuate_vpv 2" xfId="7510"/>
    <cellStyle name="_TableSuperHead_Pricer_actuate_vpv return serie" xfId="5463"/>
    <cellStyle name="_TableSuperHead_Pricer_actuate_vpv return serie 2" xfId="7511"/>
    <cellStyle name="_TableSuperHead_Pricer_actuate_vpv return serie_bei rates" xfId="6875"/>
    <cellStyle name="_TableSuperHead_Pricer_actuate_vpv return serie_par swap rates" xfId="6243"/>
    <cellStyle name="_TableSuperHead_Pricer_actuate_vpv_bei rates" xfId="6874"/>
    <cellStyle name="_TableSuperHead_Pricer_actuate_vpv_par swap rates" xfId="6242"/>
    <cellStyle name="_TableSuperHead_Pricer_beleggingen" xfId="5464"/>
    <cellStyle name="_TableSuperHead_Pricer_beleggingen 2" xfId="7512"/>
    <cellStyle name="_TableSuperHead_Pricer_beleggingen_bei rates" xfId="6876"/>
    <cellStyle name="_TableSuperHead_Pricer_beleggingen_par swap rates" xfId="6244"/>
    <cellStyle name="_TableSuperHead_Pricer_cashflows corp" xfId="5465"/>
    <cellStyle name="_TableSuperHead_Pricer_cashflows Gov't AAA" xfId="5466"/>
    <cellStyle name="_TableSuperHead_Pricer_cashflows ilb" xfId="5467"/>
    <cellStyle name="_TableSuperHead_Pricer_cashflows lang staats" xfId="5468"/>
    <cellStyle name="_TableSuperHead_Pricer_cashflows pan european 500mm" xfId="5469"/>
    <cellStyle name="_TableSuperHead_Pricer_cashflows staats" xfId="5470"/>
    <cellStyle name="_TableSuperHead_Pricer_dv01" xfId="1156"/>
    <cellStyle name="_TableSuperHead_Pricer_excess returns bm matching pf" xfId="5471"/>
    <cellStyle name="_TableSuperHead_Pricer_feitelijk rendement" xfId="5472"/>
    <cellStyle name="_TableSuperHead_Pricer_feitelijk rendement 2" xfId="7513"/>
    <cellStyle name="_TableSuperHead_Pricer_feitelijk rendement_bei rates" xfId="6877"/>
    <cellStyle name="_TableSuperHead_Pricer_feitelijk rendement_par swap rates" xfId="6245"/>
    <cellStyle name="_TableSuperHead_Pricer_ilb reeel only" xfId="5473"/>
    <cellStyle name="_TableSuperHead_Pricer_nominale counterpart ilb" xfId="5474"/>
    <cellStyle name="_TableSuperHead_Pricer_tijdseries" xfId="5475"/>
    <cellStyle name="_TableSuperHead_Pricer_tijdseries 2" xfId="7514"/>
    <cellStyle name="_TableSuperHead_Pricer_tijdseries_bei rates" xfId="6878"/>
    <cellStyle name="_TableSuperHead_Pricer_tijdseries_par swap rates" xfId="6246"/>
    <cellStyle name="_TableSuperHead_Pricer_vpv" xfId="5476"/>
    <cellStyle name="_TableSuperHead_Pricer_vpv 2" xfId="7515"/>
    <cellStyle name="_TableSuperHead_Pricer_vpv return serie" xfId="5477"/>
    <cellStyle name="_TableSuperHead_Pricer_vpv return serie 2" xfId="7516"/>
    <cellStyle name="_TableSuperHead_Pricer_vpv return serie_bei rates" xfId="6880"/>
    <cellStyle name="_TableSuperHead_Pricer_vpv return serie_par swap rates" xfId="6248"/>
    <cellStyle name="_TableSuperHead_Pricer_vpv_bei rates" xfId="6879"/>
    <cellStyle name="_TableSuperHead_Pricer_vpv_par swap rates" xfId="6247"/>
    <cellStyle name="_TableSuperHead_Sheet1" xfId="1157"/>
    <cellStyle name="_TableSuperHead_Sheet1 2" xfId="3530"/>
    <cellStyle name="_TableSuperHead_Sheet1 3" xfId="2341"/>
    <cellStyle name="_TableSuperHead_Sheet1_actuate" xfId="1158"/>
    <cellStyle name="_TableSuperHead_Sheet1_actuate 2" xfId="3531"/>
    <cellStyle name="_TableSuperHead_Sheet1_actuate 3" xfId="2342"/>
    <cellStyle name="_TableSuperHead_Sheet1_actuate_cashflows corp" xfId="5478"/>
    <cellStyle name="_TableSuperHead_Sheet1_actuate_cashflows Gov't AAA" xfId="5479"/>
    <cellStyle name="_TableSuperHead_Sheet1_actuate_cashflows ilb" xfId="5480"/>
    <cellStyle name="_TableSuperHead_Sheet1_actuate_cashflows lang staats" xfId="5481"/>
    <cellStyle name="_TableSuperHead_Sheet1_actuate_cashflows pan european 500mm" xfId="5482"/>
    <cellStyle name="_TableSuperHead_Sheet1_actuate_cashflows staats" xfId="5483"/>
    <cellStyle name="_TableSuperHead_Sheet1_actuate_excess returns bm matching pf" xfId="5484"/>
    <cellStyle name="_TableSuperHead_Sheet1_actuate_ilb reeel only" xfId="5485"/>
    <cellStyle name="_TableSuperHead_Sheet1_actuate_nominale counterpart ilb" xfId="5486"/>
    <cellStyle name="_TableSuperHead_Sheet1_actuate_tijdseries" xfId="5487"/>
    <cellStyle name="_TableSuperHead_Sheet1_actuate_tijdseries 2" xfId="7517"/>
    <cellStyle name="_TableSuperHead_Sheet1_actuate_tijdseries_bei rates" xfId="6881"/>
    <cellStyle name="_TableSuperHead_Sheet1_actuate_tijdseries_par swap rates" xfId="6249"/>
    <cellStyle name="_TableSuperHead_Sheet1_actuate_vpv" xfId="5488"/>
    <cellStyle name="_TableSuperHead_Sheet1_actuate_vpv 2" xfId="7518"/>
    <cellStyle name="_TableSuperHead_Sheet1_actuate_vpv return serie" xfId="5489"/>
    <cellStyle name="_TableSuperHead_Sheet1_actuate_vpv return serie 2" xfId="7519"/>
    <cellStyle name="_TableSuperHead_Sheet1_actuate_vpv return serie_bei rates" xfId="6883"/>
    <cellStyle name="_TableSuperHead_Sheet1_actuate_vpv return serie_par swap rates" xfId="6251"/>
    <cellStyle name="_TableSuperHead_Sheet1_actuate_vpv_bei rates" xfId="6882"/>
    <cellStyle name="_TableSuperHead_Sheet1_actuate_vpv_par swap rates" xfId="6250"/>
    <cellStyle name="_TableSuperHead_Sheet1_beleggingen" xfId="5490"/>
    <cellStyle name="_TableSuperHead_Sheet1_beleggingen 2" xfId="7520"/>
    <cellStyle name="_TableSuperHead_Sheet1_beleggingen_bei rates" xfId="6884"/>
    <cellStyle name="_TableSuperHead_Sheet1_beleggingen_par swap rates" xfId="6252"/>
    <cellStyle name="_TableSuperHead_Sheet1_cashflows corp" xfId="5491"/>
    <cellStyle name="_TableSuperHead_Sheet1_cashflows Gov't AAA" xfId="5492"/>
    <cellStyle name="_TableSuperHead_Sheet1_cashflows ilb" xfId="5493"/>
    <cellStyle name="_TableSuperHead_Sheet1_cashflows lang staats" xfId="5494"/>
    <cellStyle name="_TableSuperHead_Sheet1_cashflows pan european 500mm" xfId="5495"/>
    <cellStyle name="_TableSuperHead_Sheet1_cashflows staats" xfId="5496"/>
    <cellStyle name="_TableSuperHead_Sheet1_dv01" xfId="1159"/>
    <cellStyle name="_TableSuperHead_Sheet1_excess returns bm matching pf" xfId="5497"/>
    <cellStyle name="_TableSuperHead_Sheet1_feitelijk rendement" xfId="5498"/>
    <cellStyle name="_TableSuperHead_Sheet1_feitelijk rendement 2" xfId="7521"/>
    <cellStyle name="_TableSuperHead_Sheet1_feitelijk rendement_bei rates" xfId="6885"/>
    <cellStyle name="_TableSuperHead_Sheet1_feitelijk rendement_par swap rates" xfId="6253"/>
    <cellStyle name="_TableSuperHead_Sheet1_Gexa Multi Asset Path Generator" xfId="1160"/>
    <cellStyle name="_TableSuperHead_Sheet1_ilb reeel only" xfId="5499"/>
    <cellStyle name="_TableSuperHead_Sheet1_nominale counterpart ilb" xfId="5500"/>
    <cellStyle name="_TableSuperHead_Sheet1_tijdseries" xfId="5501"/>
    <cellStyle name="_TableSuperHead_Sheet1_tijdseries 2" xfId="7522"/>
    <cellStyle name="_TableSuperHead_Sheet1_tijdseries_bei rates" xfId="6886"/>
    <cellStyle name="_TableSuperHead_Sheet1_tijdseries_par swap rates" xfId="6254"/>
    <cellStyle name="_TableSuperHead_Sheet1_vpv" xfId="5502"/>
    <cellStyle name="_TableSuperHead_Sheet1_vpv 2" xfId="7523"/>
    <cellStyle name="_TableSuperHead_Sheet1_vpv return serie" xfId="5503"/>
    <cellStyle name="_TableSuperHead_Sheet1_vpv return serie 2" xfId="7524"/>
    <cellStyle name="_TableSuperHead_Sheet1_vpv return serie_bei rates" xfId="6888"/>
    <cellStyle name="_TableSuperHead_Sheet1_vpv return serie_par swap rates" xfId="6256"/>
    <cellStyle name="_TableSuperHead_Sheet1_vpv_bei rates" xfId="6887"/>
    <cellStyle name="_TableSuperHead_Sheet1_vpv_par swap rates" xfId="6255"/>
    <cellStyle name="_TableSuperHead_SPP Values as at 12 June 05" xfId="1161"/>
    <cellStyle name="_TableSuperHead_Tableau" xfId="1162"/>
    <cellStyle name="_TableSuperHead_Tableau 2" xfId="3535"/>
    <cellStyle name="_TableSuperHead_Tableau 3" xfId="2343"/>
    <cellStyle name="_TableSuperHead_Tableau_actuate" xfId="1163"/>
    <cellStyle name="_TableSuperHead_Tableau_actuate 2" xfId="3536"/>
    <cellStyle name="_TableSuperHead_Tableau_actuate 3" xfId="2344"/>
    <cellStyle name="_TableSuperHead_Tableau_actuate_cashflows corp" xfId="5504"/>
    <cellStyle name="_TableSuperHead_Tableau_actuate_cashflows Gov't AAA" xfId="5505"/>
    <cellStyle name="_TableSuperHead_Tableau_actuate_cashflows ilb" xfId="5506"/>
    <cellStyle name="_TableSuperHead_Tableau_actuate_cashflows lang staats" xfId="5507"/>
    <cellStyle name="_TableSuperHead_Tableau_actuate_cashflows pan european 500mm" xfId="5508"/>
    <cellStyle name="_TableSuperHead_Tableau_actuate_cashflows staats" xfId="5509"/>
    <cellStyle name="_TableSuperHead_Tableau_actuate_excess returns bm matching pf" xfId="5510"/>
    <cellStyle name="_TableSuperHead_Tableau_actuate_ilb reeel only" xfId="5511"/>
    <cellStyle name="_TableSuperHead_Tableau_actuate_nominale counterpart ilb" xfId="5512"/>
    <cellStyle name="_TableSuperHead_Tableau_actuate_tijdseries" xfId="5513"/>
    <cellStyle name="_TableSuperHead_Tableau_actuate_tijdseries 2" xfId="7525"/>
    <cellStyle name="_TableSuperHead_Tableau_actuate_tijdseries_bei rates" xfId="6889"/>
    <cellStyle name="_TableSuperHead_Tableau_actuate_tijdseries_par swap rates" xfId="6257"/>
    <cellStyle name="_TableSuperHead_Tableau_actuate_vpv" xfId="5514"/>
    <cellStyle name="_TableSuperHead_Tableau_actuate_vpv 2" xfId="7526"/>
    <cellStyle name="_TableSuperHead_Tableau_actuate_vpv return serie" xfId="5515"/>
    <cellStyle name="_TableSuperHead_Tableau_actuate_vpv return serie 2" xfId="7527"/>
    <cellStyle name="_TableSuperHead_Tableau_actuate_vpv return serie_bei rates" xfId="6891"/>
    <cellStyle name="_TableSuperHead_Tableau_actuate_vpv return serie_par swap rates" xfId="6259"/>
    <cellStyle name="_TableSuperHead_Tableau_actuate_vpv_bei rates" xfId="6890"/>
    <cellStyle name="_TableSuperHead_Tableau_actuate_vpv_par swap rates" xfId="6258"/>
    <cellStyle name="_TableSuperHead_Tableau_beleggingen" xfId="5516"/>
    <cellStyle name="_TableSuperHead_Tableau_beleggingen 2" xfId="7528"/>
    <cellStyle name="_TableSuperHead_Tableau_beleggingen_bei rates" xfId="6892"/>
    <cellStyle name="_TableSuperHead_Tableau_beleggingen_par swap rates" xfId="6260"/>
    <cellStyle name="_TableSuperHead_Tableau_cashflows corp" xfId="5517"/>
    <cellStyle name="_TableSuperHead_Tableau_cashflows Gov't AAA" xfId="5518"/>
    <cellStyle name="_TableSuperHead_Tableau_cashflows ilb" xfId="5519"/>
    <cellStyle name="_TableSuperHead_Tableau_cashflows lang staats" xfId="5520"/>
    <cellStyle name="_TableSuperHead_Tableau_cashflows pan european 500mm" xfId="5521"/>
    <cellStyle name="_TableSuperHead_Tableau_cashflows staats" xfId="5522"/>
    <cellStyle name="_TableSuperHead_Tableau_dv01" xfId="1164"/>
    <cellStyle name="_TableSuperHead_Tableau_excess returns bm matching pf" xfId="5523"/>
    <cellStyle name="_TableSuperHead_Tableau_feitelijk rendement" xfId="5524"/>
    <cellStyle name="_TableSuperHead_Tableau_feitelijk rendement 2" xfId="7529"/>
    <cellStyle name="_TableSuperHead_Tableau_feitelijk rendement_bei rates" xfId="6893"/>
    <cellStyle name="_TableSuperHead_Tableau_feitelijk rendement_par swap rates" xfId="6261"/>
    <cellStyle name="_TableSuperHead_Tableau_ilb reeel only" xfId="5525"/>
    <cellStyle name="_TableSuperHead_Tableau_nominale counterpart ilb" xfId="5526"/>
    <cellStyle name="_TableSuperHead_Tableau_tijdseries" xfId="5527"/>
    <cellStyle name="_TableSuperHead_Tableau_tijdseries 2" xfId="7530"/>
    <cellStyle name="_TableSuperHead_Tableau_tijdseries_bei rates" xfId="6894"/>
    <cellStyle name="_TableSuperHead_Tableau_tijdseries_par swap rates" xfId="6262"/>
    <cellStyle name="_TableSuperHead_Tableau_vpv" xfId="5528"/>
    <cellStyle name="_TableSuperHead_Tableau_vpv 2" xfId="7531"/>
    <cellStyle name="_TableSuperHead_Tableau_vpv return serie" xfId="5529"/>
    <cellStyle name="_TableSuperHead_Tableau_vpv return serie 2" xfId="7532"/>
    <cellStyle name="_TableSuperHead_Tableau_vpv return serie_bei rates" xfId="6896"/>
    <cellStyle name="_TableSuperHead_Tableau_vpv return serie_par swap rates" xfId="6264"/>
    <cellStyle name="_TableSuperHead_Tableau_vpv_bei rates" xfId="6895"/>
    <cellStyle name="_TableSuperHead_Tableau_vpv_par swap rates" xfId="6263"/>
    <cellStyle name="_tijdseries" xfId="5530"/>
    <cellStyle name="_vpv" xfId="5531"/>
    <cellStyle name="_vpv return serie" xfId="5532"/>
    <cellStyle name="20 % - Accent1" xfId="7647"/>
    <cellStyle name="20 % - Accent2" xfId="7651"/>
    <cellStyle name="20 % - Accent3" xfId="7649"/>
    <cellStyle name="20 % - Accent4" xfId="7639"/>
    <cellStyle name="20 % - Accent5" xfId="7655"/>
    <cellStyle name="20 % - Accent6" xfId="7656"/>
    <cellStyle name="20% - Accent1" xfId="7616" builtinId="30" customBuiltin="1"/>
    <cellStyle name="20% - Accent1 2" xfId="5533"/>
    <cellStyle name="20% - Accent1 3" xfId="1165"/>
    <cellStyle name="20% - Accent2" xfId="7620" builtinId="34" customBuiltin="1"/>
    <cellStyle name="20% - Accent2 2" xfId="5534"/>
    <cellStyle name="20% - Accent2 3" xfId="1166"/>
    <cellStyle name="20% - Accent3" xfId="7624" builtinId="38" customBuiltin="1"/>
    <cellStyle name="20% - Accent3 2" xfId="5535"/>
    <cellStyle name="20% - Accent3 3" xfId="1167"/>
    <cellStyle name="20% - Accent4" xfId="7628" builtinId="42" customBuiltin="1"/>
    <cellStyle name="20% - Accent4 2" xfId="5536"/>
    <cellStyle name="20% - Accent4 3" xfId="1168"/>
    <cellStyle name="20% - Accent5" xfId="7632" builtinId="46" customBuiltin="1"/>
    <cellStyle name="20% - Accent5 2" xfId="5537"/>
    <cellStyle name="20% - Accent5 3" xfId="1169"/>
    <cellStyle name="20% - Accent6" xfId="7636" builtinId="50" customBuiltin="1"/>
    <cellStyle name="20% - Accent6 2" xfId="5538"/>
    <cellStyle name="20% - Accent6 3" xfId="1170"/>
    <cellStyle name="40 % - Accent1" xfId="7660"/>
    <cellStyle name="40 % - Accent2" xfId="7642"/>
    <cellStyle name="40 % - Accent3" xfId="7663"/>
    <cellStyle name="40 % - Accent4" xfId="7640"/>
    <cellStyle name="40 % - Accent5" xfId="7661"/>
    <cellStyle name="40 % - Accent6" xfId="7641"/>
    <cellStyle name="40% - Accent1" xfId="7617" builtinId="31" customBuiltin="1"/>
    <cellStyle name="40% - Accent1 2" xfId="5539"/>
    <cellStyle name="40% - Accent1 3" xfId="1171"/>
    <cellStyle name="40% - Accent2" xfId="7621" builtinId="35" customBuiltin="1"/>
    <cellStyle name="40% - Accent2 2" xfId="5540"/>
    <cellStyle name="40% - Accent2 3" xfId="1172"/>
    <cellStyle name="40% - Accent3" xfId="7625" builtinId="39" customBuiltin="1"/>
    <cellStyle name="40% - Accent3 2" xfId="5541"/>
    <cellStyle name="40% - Accent3 3" xfId="1173"/>
    <cellStyle name="40% - Accent4" xfId="7629" builtinId="43" customBuiltin="1"/>
    <cellStyle name="40% - Accent4 2" xfId="5542"/>
    <cellStyle name="40% - Accent4 3" xfId="1174"/>
    <cellStyle name="40% - Accent5" xfId="7633" builtinId="47" customBuiltin="1"/>
    <cellStyle name="40% - Accent5 2" xfId="5543"/>
    <cellStyle name="40% - Accent5 3" xfId="1175"/>
    <cellStyle name="40% - Accent6" xfId="7637" builtinId="51" customBuiltin="1"/>
    <cellStyle name="40% - Accent6 2" xfId="5544"/>
    <cellStyle name="40% - Accent6 3" xfId="1176"/>
    <cellStyle name="60 % - Accent1" xfId="7644"/>
    <cellStyle name="60 % - Accent2" xfId="7664"/>
    <cellStyle name="60 % - Accent3" xfId="7654"/>
    <cellStyle name="60 % - Accent4" xfId="7643"/>
    <cellStyle name="60 % - Accent5" xfId="7650"/>
    <cellStyle name="60 % - Accent6" xfId="7662"/>
    <cellStyle name="60% - Accent1" xfId="7618" builtinId="32" customBuiltin="1"/>
    <cellStyle name="60% - Accent1 2" xfId="5545"/>
    <cellStyle name="60% - Accent1 3" xfId="1177"/>
    <cellStyle name="60% - Accent2" xfId="7622" builtinId="36" customBuiltin="1"/>
    <cellStyle name="60% - Accent2 2" xfId="5546"/>
    <cellStyle name="60% - Accent2 3" xfId="1178"/>
    <cellStyle name="60% - Accent3" xfId="7626" builtinId="40" customBuiltin="1"/>
    <cellStyle name="60% - Accent3 2" xfId="5547"/>
    <cellStyle name="60% - Accent3 3" xfId="1179"/>
    <cellStyle name="60% - Accent4" xfId="7630" builtinId="44" customBuiltin="1"/>
    <cellStyle name="60% - Accent4 2" xfId="5548"/>
    <cellStyle name="60% - Accent4 3" xfId="1180"/>
    <cellStyle name="60% - Accent5" xfId="7634" builtinId="48" customBuiltin="1"/>
    <cellStyle name="60% - Accent5 2" xfId="5549"/>
    <cellStyle name="60% - Accent5 3" xfId="1181"/>
    <cellStyle name="60% - Accent6" xfId="7638" builtinId="52" customBuiltin="1"/>
    <cellStyle name="60% - Accent6 2" xfId="5550"/>
    <cellStyle name="60% - Accent6 3" xfId="1182"/>
    <cellStyle name="ABC" xfId="7665"/>
    <cellStyle name="Accent1" xfId="7615" builtinId="29" customBuiltin="1"/>
    <cellStyle name="Accent1 2" xfId="5551"/>
    <cellStyle name="Accent1 3" xfId="1183"/>
    <cellStyle name="Accent2" xfId="7619" builtinId="33" customBuiltin="1"/>
    <cellStyle name="Accent2 2" xfId="5552"/>
    <cellStyle name="Accent2 3" xfId="1184"/>
    <cellStyle name="Accent3" xfId="7623" builtinId="37" customBuiltin="1"/>
    <cellStyle name="Accent3 2" xfId="5553"/>
    <cellStyle name="Accent3 3" xfId="1185"/>
    <cellStyle name="Accent4" xfId="7627" builtinId="41" customBuiltin="1"/>
    <cellStyle name="Accent4 2" xfId="5554"/>
    <cellStyle name="Accent4 3" xfId="1186"/>
    <cellStyle name="Accent5" xfId="7631" builtinId="45" customBuiltin="1"/>
    <cellStyle name="Accent5 2" xfId="5555"/>
    <cellStyle name="Accent5 3" xfId="1187"/>
    <cellStyle name="Accent6" xfId="7635" builtinId="49" customBuiltin="1"/>
    <cellStyle name="Accent6 2" xfId="5556"/>
    <cellStyle name="Accent6 3" xfId="1188"/>
    <cellStyle name="Andre's Title" xfId="1189"/>
    <cellStyle name="Andre's Title 2" xfId="3559"/>
    <cellStyle name="Andre's Title 3" xfId="2345"/>
    <cellStyle name="Avertissement" xfId="7666"/>
    <cellStyle name="Bad" xfId="7605" builtinId="27" customBuiltin="1"/>
    <cellStyle name="Bad 2" xfId="5557"/>
    <cellStyle name="Bad 3" xfId="1190"/>
    <cellStyle name="Berekening" xfId="1191"/>
    <cellStyle name="Blauw" xfId="1192"/>
    <cellStyle name="Blue" xfId="1193"/>
    <cellStyle name="Body" xfId="1194"/>
    <cellStyle name="Body 2" xfId="3564"/>
    <cellStyle name="Body 3" xfId="2346"/>
    <cellStyle name="Bold" xfId="7667"/>
    <cellStyle name="BoldRight" xfId="7668"/>
    <cellStyle name="BoxHeading" xfId="1195"/>
    <cellStyle name="BoxHeading 2" xfId="3565"/>
    <cellStyle name="BoxHeading 3" xfId="2347"/>
    <cellStyle name="Calcul" xfId="7669"/>
    <cellStyle name="Calculation" xfId="7608" builtinId="22" customBuiltin="1"/>
    <cellStyle name="Calculation 2" xfId="5558"/>
    <cellStyle name="Calculation 3" xfId="1196"/>
    <cellStyle name="Cast" xfId="1197"/>
    <cellStyle name="Cellule liée" xfId="7670"/>
    <cellStyle name="Check Cell" xfId="7610" builtinId="23" customBuiltin="1"/>
    <cellStyle name="Check Cell 2" xfId="5559"/>
    <cellStyle name="Check Cell 3" xfId="1198"/>
    <cellStyle name="Co. Names" xfId="1199"/>
    <cellStyle name="Co. Names - Bold" xfId="1200"/>
    <cellStyle name="Co. Names 2" xfId="3568"/>
    <cellStyle name="Co. Names 3" xfId="3855"/>
    <cellStyle name="Co. Names 4" xfId="5560"/>
    <cellStyle name="Co. Names 5" xfId="7544"/>
    <cellStyle name="Co. Names 6" xfId="2348"/>
    <cellStyle name="Co. Names 7" xfId="7546"/>
    <cellStyle name="Co. Names 8" xfId="7550"/>
    <cellStyle name="Co. Names_beleggingen" xfId="5561"/>
    <cellStyle name="ColumnHead" xfId="1201"/>
    <cellStyle name="Comma 10" xfId="7575"/>
    <cellStyle name="Comma 2" xfId="5562"/>
    <cellStyle name="Comma 2 10" xfId="7595"/>
    <cellStyle name="Comma 2 11" xfId="7556"/>
    <cellStyle name="Comma 2 12" xfId="7555"/>
    <cellStyle name="Comma 2 13" xfId="7561"/>
    <cellStyle name="Comma 2 14" xfId="7594"/>
    <cellStyle name="Comma 2 15" xfId="7579"/>
    <cellStyle name="Comma 2 16" xfId="7583"/>
    <cellStyle name="Comma 2 17" xfId="7572"/>
    <cellStyle name="Comma 2 18" xfId="7570"/>
    <cellStyle name="Comma 2 19" xfId="7584"/>
    <cellStyle name="Comma 2 2" xfId="7596"/>
    <cellStyle name="Comma 2 2 2" xfId="7592"/>
    <cellStyle name="Comma 2 2 2 2" xfId="7563"/>
    <cellStyle name="Comma 2 2 3" xfId="7565"/>
    <cellStyle name="Comma 2 2 4" xfId="7582"/>
    <cellStyle name="Comma 2 2 5" xfId="7598"/>
    <cellStyle name="Comma 2 2 6" xfId="7587"/>
    <cellStyle name="Comma 2 2 7" xfId="7597"/>
    <cellStyle name="Comma 2 2 8" xfId="7566"/>
    <cellStyle name="Comma 2 20" xfId="7581"/>
    <cellStyle name="Comma 2 21" xfId="7554"/>
    <cellStyle name="Comma 2 22" xfId="7696"/>
    <cellStyle name="Comma 2 3" xfId="7543"/>
    <cellStyle name="Comma 2 4" xfId="7571"/>
    <cellStyle name="Comma 2 4 2" xfId="7591"/>
    <cellStyle name="Comma 2 5" xfId="7567"/>
    <cellStyle name="Comma 2 6" xfId="7557"/>
    <cellStyle name="Comma 2 7" xfId="7560"/>
    <cellStyle name="Comma 2 8" xfId="7578"/>
    <cellStyle name="Comma 2 9" xfId="7562"/>
    <cellStyle name="Comma 3" xfId="3860"/>
    <cellStyle name="Comma 3 2" xfId="7568"/>
    <cellStyle name="Comma 4" xfId="1202"/>
    <cellStyle name="Comma 4 2" xfId="7698"/>
    <cellStyle name="Comma 4 3" xfId="7697"/>
    <cellStyle name="Comma 5" xfId="3"/>
    <cellStyle name="Comma 6" xfId="7573"/>
    <cellStyle name="Comma 7" xfId="7588"/>
    <cellStyle name="Comma 8" xfId="7589"/>
    <cellStyle name="Comma 9" xfId="7585"/>
    <cellStyle name="Commentaire" xfId="7671"/>
    <cellStyle name="Computed" xfId="1203"/>
    <cellStyle name="Controlecel" xfId="1204"/>
    <cellStyle name="CoTitle" xfId="1205"/>
    <cellStyle name="CoTitle 2" xfId="3573"/>
    <cellStyle name="CoTitle 3" xfId="2349"/>
    <cellStyle name="Coupon" xfId="1206"/>
    <cellStyle name="Currency [2]" xfId="1207"/>
    <cellStyle name="Currency 2" xfId="7533"/>
    <cellStyle name="Datum" xfId="1208"/>
    <cellStyle name="Dezimal [0]_Assetklassen" xfId="1209"/>
    <cellStyle name="Dezimal_Assetklassen" xfId="1210"/>
    <cellStyle name="Entrée" xfId="7672"/>
    <cellStyle name="Euro" xfId="1211"/>
    <cellStyle name="Euro 2" xfId="7534"/>
    <cellStyle name="Euro 3" xfId="7673"/>
    <cellStyle name="Explanatory Text" xfId="7613" builtinId="53" customBuiltin="1"/>
    <cellStyle name="Explanatory Text 2" xfId="5563"/>
    <cellStyle name="Explanatory Text 3" xfId="1212"/>
    <cellStyle name="Footnotes" xfId="1213"/>
    <cellStyle name="Footnotes 2" xfId="3577"/>
    <cellStyle name="Footnotes 3" xfId="2350"/>
    <cellStyle name="Formula" xfId="1214"/>
    <cellStyle name="Formula 2" xfId="3578"/>
    <cellStyle name="Formula 3" xfId="2351"/>
    <cellStyle name="FullTime" xfId="1215"/>
    <cellStyle name="FullTime 2" xfId="3579"/>
    <cellStyle name="FullTime 3" xfId="2352"/>
    <cellStyle name="Gekoppelde cel" xfId="1216"/>
    <cellStyle name="Gevolgde hyperlink" xfId="1217"/>
    <cellStyle name="Goed" xfId="1218"/>
    <cellStyle name="Good" xfId="7604" builtinId="26" customBuiltin="1"/>
    <cellStyle name="Good 2" xfId="5564"/>
    <cellStyle name="Good 3" xfId="1219"/>
    <cellStyle name="HardeWaarde" xfId="1220"/>
    <cellStyle name="HardeWaarde 2" xfId="3583"/>
    <cellStyle name="HardeWaarde 3" xfId="2353"/>
    <cellStyle name="Header" xfId="1221"/>
    <cellStyle name="Header1" xfId="1222"/>
    <cellStyle name="Header1 2" xfId="3585"/>
    <cellStyle name="Header1 3" xfId="2354"/>
    <cellStyle name="Header2" xfId="1223"/>
    <cellStyle name="Header2 2" xfId="7535"/>
    <cellStyle name="Heading 1" xfId="7600" builtinId="16" customBuiltin="1"/>
    <cellStyle name="Heading 1 2" xfId="5565"/>
    <cellStyle name="Heading 1 3" xfId="1224"/>
    <cellStyle name="Heading 2" xfId="7601" builtinId="17" customBuiltin="1"/>
    <cellStyle name="Heading 2 2" xfId="5566"/>
    <cellStyle name="Heading 2 3" xfId="1225"/>
    <cellStyle name="Heading 3" xfId="7602" builtinId="18" customBuiltin="1"/>
    <cellStyle name="Heading 3 2" xfId="5567"/>
    <cellStyle name="Heading 3 3" xfId="1226"/>
    <cellStyle name="Heading 4" xfId="7603" builtinId="19" customBuiltin="1"/>
    <cellStyle name="Heading 4 2" xfId="5568"/>
    <cellStyle name="Heading 4 3" xfId="1227"/>
    <cellStyle name="Input" xfId="2" builtinId="20" customBuiltin="1"/>
    <cellStyle name="Input 2" xfId="3591"/>
    <cellStyle name="Input 2 2" xfId="7674"/>
    <cellStyle name="Input 3" xfId="5569"/>
    <cellStyle name="Input 4" xfId="2355"/>
    <cellStyle name="Input 5" xfId="1228"/>
    <cellStyle name="InputCell" xfId="1229"/>
    <cellStyle name="InputCell 2" xfId="3592"/>
    <cellStyle name="InputCell 3" xfId="2356"/>
    <cellStyle name="Insatisfaisant" xfId="7675"/>
    <cellStyle name="Invoer" xfId="1230"/>
    <cellStyle name="Jaartal" xfId="1231"/>
    <cellStyle name="Komma_swaptionBO" xfId="1232"/>
    <cellStyle name="Komma+" xfId="5570"/>
    <cellStyle name="Komma0 - Opmaakprofiel2" xfId="1233"/>
    <cellStyle name="Komma0 - Opmaakprofiel3" xfId="1234"/>
    <cellStyle name="Komma1 - Opmaakprofiel1" xfId="1235"/>
    <cellStyle name="Kop 1" xfId="1236"/>
    <cellStyle name="Kop 2" xfId="1237"/>
    <cellStyle name="Kop 3" xfId="1238"/>
    <cellStyle name="Kop 4" xfId="1239"/>
    <cellStyle name="Kopje" xfId="1240"/>
    <cellStyle name="Kopje 2" xfId="3602"/>
    <cellStyle name="Kopje 3" xfId="2357"/>
    <cellStyle name="Label" xfId="1241"/>
    <cellStyle name="Linked Cell" xfId="7609" builtinId="24" customBuiltin="1"/>
    <cellStyle name="Linked Cell 2" xfId="5571"/>
    <cellStyle name="Linked Cell 3" xfId="1242"/>
    <cellStyle name="Millares [0]_ODDO1.xls Gráfico 1" xfId="1243"/>
    <cellStyle name="Millares_ODDO1.xls Gráfico 1" xfId="1244"/>
    <cellStyle name="MLComma0" xfId="1245"/>
    <cellStyle name="MLComma0 2" xfId="3604"/>
    <cellStyle name="MLComma0 3" xfId="2358"/>
    <cellStyle name="MLMultiple0" xfId="1246"/>
    <cellStyle name="MLPercent0" xfId="1247"/>
    <cellStyle name="Moneda [0]_ODDO1.xls Gráfico 1" xfId="1248"/>
    <cellStyle name="Moneda_ODDO1.xls Gráfico 1" xfId="1249"/>
    <cellStyle name="Neutraal" xfId="1250"/>
    <cellStyle name="Neutral" xfId="7606" builtinId="28" customBuiltin="1"/>
    <cellStyle name="Neutral 2" xfId="5572"/>
    <cellStyle name="Neutral 3" xfId="1251"/>
    <cellStyle name="Neutre" xfId="7676"/>
    <cellStyle name="Normal" xfId="0" builtinId="0"/>
    <cellStyle name="Normal - Style1" xfId="1252"/>
    <cellStyle name="Normal - Style1 2" xfId="3609"/>
    <cellStyle name="Normal - Style1 3" xfId="2359"/>
    <cellStyle name="Normal 2" xfId="5573"/>
    <cellStyle name="Normal 2 2" xfId="7564"/>
    <cellStyle name="Normal 2 2 2" xfId="7677"/>
    <cellStyle name="Normal 3" xfId="5574"/>
    <cellStyle name="Normal 3 2" xfId="7679"/>
    <cellStyle name="Normal 3 3" xfId="7678"/>
    <cellStyle name="Normal 4" xfId="5575"/>
    <cellStyle name="Normal 5" xfId="6905"/>
    <cellStyle name="Normal 6" xfId="3859"/>
    <cellStyle name="Normal 7" xfId="3862"/>
    <cellStyle name="Normal 8" xfId="5639"/>
    <cellStyle name="Normal 9" xfId="4"/>
    <cellStyle name="Note" xfId="7612" builtinId="10" customBuiltin="1"/>
    <cellStyle name="Note 2" xfId="5577"/>
    <cellStyle name="Note 2 2" xfId="7680"/>
    <cellStyle name="Note 3" xfId="5578"/>
    <cellStyle name="Note 4" xfId="5579"/>
    <cellStyle name="Note 5" xfId="5576"/>
    <cellStyle name="Note 6" xfId="1253"/>
    <cellStyle name="Notes" xfId="1254"/>
    <cellStyle name="Notional" xfId="1255"/>
    <cellStyle name="Notitie" xfId="1256"/>
    <cellStyle name="Notitie 2" xfId="7536"/>
    <cellStyle name="Npv" xfId="1257"/>
    <cellStyle name="Npv 2" xfId="3612"/>
    <cellStyle name="Npv 3" xfId="2360"/>
    <cellStyle name="Number" xfId="7576"/>
    <cellStyle name="Numbers" xfId="1258"/>
    <cellStyle name="Numbers - Bold" xfId="1259"/>
    <cellStyle name="Numbers - Bold - Italic" xfId="1260"/>
    <cellStyle name="Numbers - Bold - Italic 2" xfId="3614"/>
    <cellStyle name="Numbers - Bold - Italic 3" xfId="2362"/>
    <cellStyle name="Numbers - Bold_beleggingen" xfId="5581"/>
    <cellStyle name="Numbers - Large" xfId="1261"/>
    <cellStyle name="Numbers 2" xfId="3613"/>
    <cellStyle name="Numbers 3" xfId="3856"/>
    <cellStyle name="Numbers 4" xfId="5580"/>
    <cellStyle name="Numbers 5" xfId="7545"/>
    <cellStyle name="Numbers 6" xfId="2361"/>
    <cellStyle name="Numbers 7" xfId="7547"/>
    <cellStyle name="Numbers 8" xfId="7549"/>
    <cellStyle name="Numbers_beleggingen" xfId="5582"/>
    <cellStyle name="Ongeldig" xfId="1262"/>
    <cellStyle name="Output" xfId="7607" builtinId="21" customBuiltin="1"/>
    <cellStyle name="Output 2" xfId="5583"/>
    <cellStyle name="Output 3" xfId="1263"/>
    <cellStyle name="OutputPlain" xfId="7681"/>
    <cellStyle name="Percent" xfId="1" builtinId="5"/>
    <cellStyle name="Percent 2" xfId="5584"/>
    <cellStyle name="Percent 2 10" xfId="7695"/>
    <cellStyle name="Percent 2 2" xfId="7593"/>
    <cellStyle name="Percent 2 3" xfId="7569"/>
    <cellStyle name="Percent 2 4" xfId="7577"/>
    <cellStyle name="Percent 2 5" xfId="7558"/>
    <cellStyle name="Percent 2 6" xfId="7574"/>
    <cellStyle name="Percent 2 7" xfId="7586"/>
    <cellStyle name="Percent 2 8" xfId="7590"/>
    <cellStyle name="Percent 2 9" xfId="7580"/>
    <cellStyle name="Percent 3" xfId="3861"/>
    <cellStyle name="Percent 3 2" xfId="7559"/>
    <cellStyle name="Percent 3 2 2" xfId="7682"/>
    <cellStyle name="Percent 4" xfId="1264"/>
    <cellStyle name="Percentage" xfId="1265"/>
    <cellStyle name="Percentage 2" xfId="3618"/>
    <cellStyle name="Percentage 3" xfId="2363"/>
    <cellStyle name="Price" xfId="1266"/>
    <cellStyle name="Procent 2" xfId="7552"/>
    <cellStyle name="r" xfId="1267"/>
    <cellStyle name="r 2" xfId="3620"/>
    <cellStyle name="r 3" xfId="2364"/>
    <cellStyle name="r_beleggingen" xfId="5585"/>
    <cellStyle name="r_cashflows corp" xfId="5586"/>
    <cellStyle name="r_cashflows Gov't AAA" xfId="5587"/>
    <cellStyle name="r_cashflows ilb" xfId="5588"/>
    <cellStyle name="r_cashflows lang staats" xfId="5589"/>
    <cellStyle name="r_cashflows pan european 500mm" xfId="5590"/>
    <cellStyle name="r_cashflows staats" xfId="5591"/>
    <cellStyle name="r_cashflows vpv" xfId="5592"/>
    <cellStyle name="r_custom cfs" xfId="5593"/>
    <cellStyle name="r_custom cfs 2" xfId="7537"/>
    <cellStyle name="r_custom cfs_bei rates" xfId="6897"/>
    <cellStyle name="r_custom cfs_par swap rates" xfId="6265"/>
    <cellStyle name="r_Data ver Grafieken (norm)" xfId="5594"/>
    <cellStyle name="r_feitelijk rendement" xfId="5595"/>
    <cellStyle name="r_ilb reeel only" xfId="5596"/>
    <cellStyle name="r_increm pf" xfId="1268"/>
    <cellStyle name="r_increm pf_beleggingen" xfId="5597"/>
    <cellStyle name="r_increm pf_cashflows corp" xfId="5598"/>
    <cellStyle name="r_increm pf_cashflows Gov't AAA" xfId="5599"/>
    <cellStyle name="r_increm pf_cashflows ilb" xfId="5600"/>
    <cellStyle name="r_increm pf_cashflows lang staats" xfId="5601"/>
    <cellStyle name="r_increm pf_cashflows pan european 500mm" xfId="5602"/>
    <cellStyle name="r_increm pf_cashflows staats" xfId="5603"/>
    <cellStyle name="r_increm pf_cashflows vpv" xfId="5604"/>
    <cellStyle name="r_increm pf_custom cfs" xfId="5605"/>
    <cellStyle name="r_increm pf_custom cfs 2" xfId="7538"/>
    <cellStyle name="r_increm pf_custom cfs_bei rates" xfId="6898"/>
    <cellStyle name="r_increm pf_custom cfs_par swap rates" xfId="6266"/>
    <cellStyle name="r_increm pf_Data ver Grafieken (norm)" xfId="5606"/>
    <cellStyle name="r_increm pf_feitelijk rendement" xfId="5607"/>
    <cellStyle name="r_increm pf_ilb reeel only" xfId="5608"/>
    <cellStyle name="r_increm pf_instellingen" xfId="5609"/>
    <cellStyle name="r_increm pf_instellingen_bei rates" xfId="6899"/>
    <cellStyle name="r_increm pf_instellingen_par swap rates" xfId="6267"/>
    <cellStyle name="r_increm pf_Klantinfo" xfId="5610"/>
    <cellStyle name="r_increm pf_menu" xfId="5611"/>
    <cellStyle name="r_increm pf_menu 2" xfId="7539"/>
    <cellStyle name="r_increm pf_menu_bei rates" xfId="6900"/>
    <cellStyle name="r_increm pf_menu_par swap rates" xfId="6268"/>
    <cellStyle name="r_increm pf_nom swaps" xfId="5612"/>
    <cellStyle name="r_increm pf_nominale counterpart ilb" xfId="5613"/>
    <cellStyle name="r_increm pf_output Liab opt" xfId="5614"/>
    <cellStyle name="r_increm pf_rekensheet" xfId="5615"/>
    <cellStyle name="r_increm pf_return reeksen" xfId="5616"/>
    <cellStyle name="r_increm pf_return reeksen 2" xfId="7540"/>
    <cellStyle name="r_increm pf_return reeksen_bei rates" xfId="6901"/>
    <cellStyle name="r_increm pf_return reeksen_par swap rates" xfId="6269"/>
    <cellStyle name="r_increm pf_tijdseries" xfId="5617"/>
    <cellStyle name="r_increm pf_tijdseries indices" xfId="5618"/>
    <cellStyle name="r_increm pf_vpv" xfId="5619"/>
    <cellStyle name="r_increm pf_VPV EN SWAPS" xfId="5620"/>
    <cellStyle name="r_increm pf_vpv return serie" xfId="5621"/>
    <cellStyle name="r_increm pf_z.c. infl swaps" xfId="5622"/>
    <cellStyle name="r_instellingen" xfId="5623"/>
    <cellStyle name="r_instellingen_bei rates" xfId="6902"/>
    <cellStyle name="r_instellingen_par swap rates" xfId="6270"/>
    <cellStyle name="r_Klantinfo" xfId="5624"/>
    <cellStyle name="r_menu" xfId="5625"/>
    <cellStyle name="r_menu 2" xfId="7541"/>
    <cellStyle name="r_menu_bei rates" xfId="6903"/>
    <cellStyle name="r_menu_par swap rates" xfId="6271"/>
    <cellStyle name="r_nom swaps" xfId="5626"/>
    <cellStyle name="r_nominale counterpart ilb" xfId="5627"/>
    <cellStyle name="r_output Liab opt" xfId="5628"/>
    <cellStyle name="r_rekensheet" xfId="5629"/>
    <cellStyle name="r_return reeksen" xfId="5630"/>
    <cellStyle name="r_return reeksen 2" xfId="7542"/>
    <cellStyle name="r_return reeksen_bei rates" xfId="6904"/>
    <cellStyle name="r_return reeksen_par swap rates" xfId="6272"/>
    <cellStyle name="r_tijdseries" xfId="5631"/>
    <cellStyle name="r_tijdseries indices" xfId="5632"/>
    <cellStyle name="r_vpv" xfId="5633"/>
    <cellStyle name="r_VPV EN SWAPS" xfId="5634"/>
    <cellStyle name="r_vpv return serie" xfId="5635"/>
    <cellStyle name="r_z.c. infl swaps" xfId="5636"/>
    <cellStyle name="realtime" xfId="1269"/>
    <cellStyle name="RightNumber" xfId="7683"/>
    <cellStyle name="RiskValue" xfId="1270"/>
    <cellStyle name="RiskValue 2" xfId="3623"/>
    <cellStyle name="RiskValue 3" xfId="2365"/>
    <cellStyle name="RowHead" xfId="1271"/>
    <cellStyle name="RowHead 2" xfId="3624"/>
    <cellStyle name="RowHead 3" xfId="2366"/>
    <cellStyle name="Satisfaisant" xfId="7684"/>
    <cellStyle name="Sortie" xfId="7685"/>
    <cellStyle name="Spread" xfId="1272"/>
    <cellStyle name="Standaard 2" xfId="7553"/>
    <cellStyle name="Standaard_~4815019" xfId="1273"/>
    <cellStyle name="Std_2" xfId="1274"/>
    <cellStyle name="Style 1" xfId="1275"/>
    <cellStyle name="Style 1 2" xfId="3627"/>
    <cellStyle name="Style 1 3" xfId="2367"/>
    <cellStyle name="Style 1 4" xfId="7686"/>
    <cellStyle name="Style 48" xfId="1276"/>
    <cellStyle name="Style 49" xfId="1277"/>
    <cellStyle name="Style 50" xfId="1278"/>
    <cellStyle name="Style 50 2" xfId="3630"/>
    <cellStyle name="Style 50 3" xfId="2368"/>
    <cellStyle name="Style 51" xfId="1279"/>
    <cellStyle name="Style 51 2" xfId="3631"/>
    <cellStyle name="Style 51 3" xfId="2369"/>
    <cellStyle name="Style 52" xfId="1280"/>
    <cellStyle name="Style 53" xfId="1281"/>
    <cellStyle name="Style 54" xfId="1282"/>
    <cellStyle name="Style 54 2" xfId="3634"/>
    <cellStyle name="Style 54 3" xfId="2370"/>
    <cellStyle name="Style 55" xfId="1283"/>
    <cellStyle name="Style 55 2" xfId="3635"/>
    <cellStyle name="Style 55 3" xfId="2371"/>
    <cellStyle name="Style 56" xfId="1284"/>
    <cellStyle name="Style 57" xfId="1285"/>
    <cellStyle name="Style 58" xfId="1286"/>
    <cellStyle name="Style 58 2" xfId="3638"/>
    <cellStyle name="Style 58 3" xfId="2372"/>
    <cellStyle name="Style 59" xfId="1287"/>
    <cellStyle name="Style 59 2" xfId="3639"/>
    <cellStyle name="Style 59 3" xfId="2373"/>
    <cellStyle name="Style 60" xfId="1288"/>
    <cellStyle name="Style 60 2" xfId="3640"/>
    <cellStyle name="Style 60 3" xfId="2374"/>
    <cellStyle name="Style 61" xfId="1289"/>
    <cellStyle name="Style 61 2" xfId="3641"/>
    <cellStyle name="Style 61 3" xfId="2375"/>
    <cellStyle name="Style 62" xfId="1290"/>
    <cellStyle name="Style 62 2" xfId="3642"/>
    <cellStyle name="Style 62 3" xfId="2376"/>
    <cellStyle name="Style 63" xfId="1291"/>
    <cellStyle name="Style 63 2" xfId="3643"/>
    <cellStyle name="Style 63 3" xfId="2377"/>
    <cellStyle name="Style 64" xfId="1292"/>
    <cellStyle name="Style 64 2" xfId="3644"/>
    <cellStyle name="Style 64 3" xfId="2378"/>
    <cellStyle name="Style 65" xfId="1293"/>
    <cellStyle name="Style 65 2" xfId="3645"/>
    <cellStyle name="Style 65 3" xfId="2379"/>
    <cellStyle name="Style 66" xfId="1294"/>
    <cellStyle name="Style 66 2" xfId="3646"/>
    <cellStyle name="Style 66 3" xfId="2380"/>
    <cellStyle name="Style 67" xfId="1295"/>
    <cellStyle name="Style 67 2" xfId="3647"/>
    <cellStyle name="Style 67 3" xfId="2381"/>
    <cellStyle name="Style 68" xfId="1296"/>
    <cellStyle name="Style 68 2" xfId="3648"/>
    <cellStyle name="Style 68 3" xfId="2382"/>
    <cellStyle name="Style 69" xfId="1297"/>
    <cellStyle name="Style 69 2" xfId="3649"/>
    <cellStyle name="Style 69 3" xfId="2383"/>
    <cellStyle name="Style 70" xfId="1298"/>
    <cellStyle name="Style 70 2" xfId="3650"/>
    <cellStyle name="Style 70 3" xfId="2384"/>
    <cellStyle name="Style 71" xfId="1299"/>
    <cellStyle name="Style 71 2" xfId="3651"/>
    <cellStyle name="Style 71 3" xfId="2385"/>
    <cellStyle name="Style 72" xfId="1300"/>
    <cellStyle name="Style 72 2" xfId="3652"/>
    <cellStyle name="Style 72 3" xfId="2386"/>
    <cellStyle name="Style 73" xfId="1301"/>
    <cellStyle name="Style 73 2" xfId="3653"/>
    <cellStyle name="Style 73 3" xfId="2387"/>
    <cellStyle name="Style 74" xfId="1302"/>
    <cellStyle name="Style 74 2" xfId="3654"/>
    <cellStyle name="Style 74 3" xfId="2388"/>
    <cellStyle name="swpBody01" xfId="1303"/>
    <cellStyle name="Texte explicatif" xfId="7687"/>
    <cellStyle name="Titel" xfId="1304"/>
    <cellStyle name="Title" xfId="7599" builtinId="15" customBuiltin="1"/>
    <cellStyle name="Title - PROJECT" xfId="1306"/>
    <cellStyle name="Title - Underline" xfId="1307"/>
    <cellStyle name="Title 2" xfId="5637"/>
    <cellStyle name="Title 2 2" xfId="7688"/>
    <cellStyle name="Title 3" xfId="1305"/>
    <cellStyle name="Titles - Col. Headings" xfId="1308"/>
    <cellStyle name="Titles - Other" xfId="1309"/>
    <cellStyle name="Titre" xfId="7689"/>
    <cellStyle name="Titre 1" xfId="7690"/>
    <cellStyle name="Titre 2" xfId="7691"/>
    <cellStyle name="Titre 3" xfId="7692"/>
    <cellStyle name="Titre 4" xfId="7693"/>
    <cellStyle name="Totaal" xfId="1310"/>
    <cellStyle name="Total" xfId="7614" builtinId="25" customBuiltin="1"/>
    <cellStyle name="Total 2" xfId="5638"/>
    <cellStyle name="Total 3" xfId="1311"/>
    <cellStyle name="Uitvoer" xfId="1312"/>
    <cellStyle name="Valuta_Inputrapportages jaar" xfId="1313"/>
    <cellStyle name="Vérification" xfId="7694"/>
    <cellStyle name="Verklarende tekst" xfId="1314"/>
    <cellStyle name="Vet" xfId="1315"/>
    <cellStyle name="Vet 2" xfId="3665"/>
    <cellStyle name="Vet 3" xfId="2389"/>
    <cellStyle name="Volatility" xfId="1316"/>
    <cellStyle name="Volatility 2" xfId="3666"/>
    <cellStyle name="Volatility 3" xfId="2390"/>
    <cellStyle name="Waarschuwingstekst" xfId="1317"/>
    <cellStyle name="Währung [0]_Assetklassen" xfId="1318"/>
    <cellStyle name="Währung_Assetklassen" xfId="1319"/>
    <cellStyle name="Warning Text" xfId="7611" builtinId="11" customBuiltin="1"/>
    <cellStyle name="Warning Text 2" xfId="5640"/>
    <cellStyle name="Warning Text 3" xfId="132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43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panel'!$A$3:$A$11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'Control panel'!$B$3:$B$11</c:f>
              <c:numCache>
                <c:formatCode>0.0%</c:formatCode>
                <c:ptCount val="9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  <c:pt idx="8">
                  <c:v>0</c:v>
                </c:pt>
              </c:numCache>
            </c:numRef>
          </c:val>
        </c:ser>
        <c:gapWidth val="100"/>
        <c:splitType val="pos"/>
        <c:splitPos val="8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1"/>
          <c:w val="0.5562682138416909"/>
          <c:h val="0.69258218413304939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mixen'!$A$88:$A$96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mixen'!$B$88:$B$96</c:f>
              <c:numCache>
                <c:formatCode>0.0%</c:formatCode>
                <c:ptCount val="9"/>
                <c:pt idx="0">
                  <c:v>0.56614837782291871</c:v>
                </c:pt>
                <c:pt idx="1">
                  <c:v>0.10501742960356247</c:v>
                </c:pt>
                <c:pt idx="2">
                  <c:v>7.2949631494426681E-2</c:v>
                </c:pt>
                <c:pt idx="3">
                  <c:v>7.9449900411325464E-2</c:v>
                </c:pt>
                <c:pt idx="4">
                  <c:v>6.2337880651623594E-2</c:v>
                </c:pt>
                <c:pt idx="5">
                  <c:v>3.2719897869213317E-2</c:v>
                </c:pt>
                <c:pt idx="6">
                  <c:v>3.0634868515694108E-2</c:v>
                </c:pt>
                <c:pt idx="7">
                  <c:v>4.6750473476693123E-2</c:v>
                </c:pt>
                <c:pt idx="8">
                  <c:v>3.9915401545420979E-3</c:v>
                </c:pt>
              </c:numCache>
            </c:numRef>
          </c:val>
        </c:ser>
        <c:gapWidth val="100"/>
        <c:splitType val="pos"/>
        <c:splitPos val="8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51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mixen'!$S$88:$S$96</c:f>
              <c:numCache>
                <c:formatCode>0.0%</c:formatCode>
                <c:ptCount val="9"/>
                <c:pt idx="0">
                  <c:v>0.55574686295980258</c:v>
                </c:pt>
                <c:pt idx="1">
                  <c:v>8.4101930206941483E-2</c:v>
                </c:pt>
                <c:pt idx="2">
                  <c:v>6.1497472593120231E-2</c:v>
                </c:pt>
                <c:pt idx="3">
                  <c:v>7.6716707493405922E-2</c:v>
                </c:pt>
                <c:pt idx="4">
                  <c:v>4.4583852556947454E-2</c:v>
                </c:pt>
                <c:pt idx="5">
                  <c:v>1.5633278291625349E-2</c:v>
                </c:pt>
                <c:pt idx="6">
                  <c:v>3.0634868515694261E-2</c:v>
                </c:pt>
                <c:pt idx="7">
                  <c:v>4.6750473476693526E-2</c:v>
                </c:pt>
                <c:pt idx="8">
                  <c:v>2.9735572955832089E-4</c:v>
                </c:pt>
              </c:numCache>
            </c:numRef>
          </c:val>
        </c:ser>
        <c:ser>
          <c:idx val="1"/>
          <c:order val="1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mixen'!$T$88:$T$96</c:f>
              <c:numCache>
                <c:formatCode>0.0%</c:formatCode>
                <c:ptCount val="9"/>
                <c:pt idx="0">
                  <c:v>1.0401514863116135E-2</c:v>
                </c:pt>
                <c:pt idx="1">
                  <c:v>2.091549939662099E-2</c:v>
                </c:pt>
                <c:pt idx="2">
                  <c:v>1.145215890130645E-2</c:v>
                </c:pt>
                <c:pt idx="3">
                  <c:v>2.7331929179195413E-3</c:v>
                </c:pt>
                <c:pt idx="4">
                  <c:v>1.775402809467614E-2</c:v>
                </c:pt>
                <c:pt idx="5">
                  <c:v>1.7086619577587968E-2</c:v>
                </c:pt>
                <c:pt idx="6">
                  <c:v>-1.5265566588595902E-16</c:v>
                </c:pt>
                <c:pt idx="7">
                  <c:v>-4.0245584642661925E-16</c:v>
                </c:pt>
                <c:pt idx="8">
                  <c:v>3.694184424983777E-3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mixen'!$U$88:$U$96</c:f>
              <c:numCache>
                <c:formatCode>0.0%</c:formatCode>
                <c:ptCount val="9"/>
                <c:pt idx="0">
                  <c:v>1.0315258830243645E-2</c:v>
                </c:pt>
                <c:pt idx="1">
                  <c:v>2.218484947605634E-2</c:v>
                </c:pt>
                <c:pt idx="2">
                  <c:v>8.2729697904179167E-3</c:v>
                </c:pt>
                <c:pt idx="3">
                  <c:v>1.8133848063416474E-3</c:v>
                </c:pt>
                <c:pt idx="4">
                  <c:v>1.5614411822981268E-2</c:v>
                </c:pt>
                <c:pt idx="5">
                  <c:v>1.5056338265489556E-2</c:v>
                </c:pt>
                <c:pt idx="6">
                  <c:v>1.5265566588595902E-16</c:v>
                </c:pt>
                <c:pt idx="7">
                  <c:v>4.0245584642661925E-16</c:v>
                </c:pt>
                <c:pt idx="8">
                  <c:v>1.9113911585044979E-3</c:v>
                </c:pt>
              </c:numCache>
            </c:numRef>
          </c:val>
        </c:ser>
        <c:overlap val="100"/>
        <c:axId val="85960192"/>
        <c:axId val="85962112"/>
      </c:barChart>
      <c:lineChart>
        <c:grouping val="standard"/>
        <c:ser>
          <c:idx val="3"/>
          <c:order val="3"/>
          <c:tx>
            <c:strRef>
              <c:f>'Control panel'!$A$3:$A$11</c:f>
              <c:strCache>
                <c:ptCount val="1"/>
                <c:pt idx="0">
                  <c:v>Nominale matching High Yield Emerging market debt Aandelen ontwikkeld Aandelen opkomend Commodities Hedge funds Onroerend goed Periferie bonds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panel'!$B$3:$B$11</c:f>
              <c:numCache>
                <c:formatCode>0.0%</c:formatCode>
                <c:ptCount val="9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  <c:pt idx="8">
                  <c:v>0</c:v>
                </c:pt>
              </c:numCache>
            </c:numRef>
          </c:val>
        </c:ser>
        <c:marker val="1"/>
        <c:axId val="85960192"/>
        <c:axId val="85962112"/>
      </c:lineChart>
      <c:catAx>
        <c:axId val="85960192"/>
        <c:scaling>
          <c:orientation val="minMax"/>
        </c:scaling>
        <c:axPos val="b"/>
        <c:tickLblPos val="nextTo"/>
        <c:crossAx val="85962112"/>
        <c:crosses val="autoZero"/>
        <c:auto val="1"/>
        <c:lblAlgn val="ctr"/>
        <c:lblOffset val="100"/>
      </c:catAx>
      <c:valAx>
        <c:axId val="85962112"/>
        <c:scaling>
          <c:orientation val="minMax"/>
        </c:scaling>
        <c:axPos val="l"/>
        <c:majorGridlines/>
        <c:numFmt formatCode="0%" sourceLinked="0"/>
        <c:tickLblPos val="nextTo"/>
        <c:crossAx val="8596019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Scenarios!$B$24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Scenarios!$B$25:$B$33</c:f>
              <c:numCache>
                <c:formatCode>0.0%</c:formatCode>
                <c:ptCount val="9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  <c:pt idx="8">
                  <c:v>2.5656887462827429E-2</c:v>
                </c:pt>
              </c:numCache>
            </c:numRef>
          </c:val>
        </c:ser>
        <c:ser>
          <c:idx val="1"/>
          <c:order val="1"/>
          <c:tx>
            <c:strRef>
              <c:f>Scenarios!$C$24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Scenarios!$C$25:$C$33</c:f>
              <c:numCache>
                <c:formatCode>0.0%</c:formatCode>
                <c:ptCount val="9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  <c:pt idx="8">
                  <c:v>3.8404573676165434E-3</c:v>
                </c:pt>
              </c:numCache>
            </c:numRef>
          </c:val>
        </c:ser>
        <c:ser>
          <c:idx val="2"/>
          <c:order val="2"/>
          <c:tx>
            <c:strRef>
              <c:f>Scenarios!$D$24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Scenarios!$D$25:$D$33</c:f>
              <c:numCache>
                <c:formatCode>0.0%</c:formatCode>
                <c:ptCount val="9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  <c:pt idx="8">
                  <c:v>-0.14672572762255914</c:v>
                </c:pt>
              </c:numCache>
            </c:numRef>
          </c:val>
        </c:ser>
        <c:ser>
          <c:idx val="3"/>
          <c:order val="3"/>
          <c:tx>
            <c:strRef>
              <c:f>Scenarios!$E$24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Scenarios!$E$25:$E$33</c:f>
              <c:numCache>
                <c:formatCode>0.0%</c:formatCode>
                <c:ptCount val="9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  <c:pt idx="8">
                  <c:v>2.2147204340377598E-2</c:v>
                </c:pt>
              </c:numCache>
            </c:numRef>
          </c:val>
        </c:ser>
        <c:ser>
          <c:idx val="4"/>
          <c:order val="4"/>
          <c:tx>
            <c:strRef>
              <c:f>Scenarios!$F$24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Scenarios!$F$25:$F$33</c:f>
              <c:numCache>
                <c:formatCode>0.0%</c:formatCode>
                <c:ptCount val="9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  <c:pt idx="8">
                  <c:v>-0.34409214194437909</c:v>
                </c:pt>
              </c:numCache>
            </c:numRef>
          </c:val>
        </c:ser>
        <c:ser>
          <c:idx val="5"/>
          <c:order val="5"/>
          <c:tx>
            <c:strRef>
              <c:f>Scenarios!$G$24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Scenarios!$G$25:$G$33</c:f>
              <c:numCache>
                <c:formatCode>0.0%</c:formatCode>
                <c:ptCount val="9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  <c:pt idx="8">
                  <c:v>-0.70677044028756997</c:v>
                </c:pt>
              </c:numCache>
            </c:numRef>
          </c:val>
        </c:ser>
        <c:ser>
          <c:idx val="6"/>
          <c:order val="6"/>
          <c:tx>
            <c:strRef>
              <c:f>Scenarios!$H$24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Scenarios!$H$25:$H$33</c:f>
              <c:numCache>
                <c:formatCode>0.0%</c:formatCode>
                <c:ptCount val="9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  <c:pt idx="8">
                  <c:v>0.16161778235216684</c:v>
                </c:pt>
              </c:numCache>
            </c:numRef>
          </c:val>
        </c:ser>
        <c:axId val="327388544"/>
        <c:axId val="327394432"/>
      </c:barChart>
      <c:catAx>
        <c:axId val="327388544"/>
        <c:scaling>
          <c:orientation val="minMax"/>
        </c:scaling>
        <c:axPos val="b"/>
        <c:tickLblPos val="nextTo"/>
        <c:crossAx val="327394432"/>
        <c:crosses val="autoZero"/>
        <c:auto val="1"/>
        <c:lblAlgn val="ctr"/>
        <c:lblOffset val="100"/>
      </c:catAx>
      <c:valAx>
        <c:axId val="327394432"/>
        <c:scaling>
          <c:orientation val="minMax"/>
        </c:scaling>
        <c:axPos val="l"/>
        <c:majorGridlines/>
        <c:numFmt formatCode="0.0%" sourceLinked="1"/>
        <c:tickLblPos val="nextTo"/>
        <c:crossAx val="327388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93"/>
          <c:y val="0.30999086720262192"/>
          <c:w val="0.27290015295627634"/>
          <c:h val="0.50313982945017732"/>
        </c:manualLayout>
      </c:layout>
    </c:legend>
    <c:plotVisOnly val="1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return'!$R$81:$R$88</c:f>
              <c:numCache>
                <c:formatCode>0.0%</c:formatCode>
                <c:ptCount val="8"/>
                <c:pt idx="0">
                  <c:v>0.17473905222356728</c:v>
                </c:pt>
                <c:pt idx="1">
                  <c:v>0.13422447233026588</c:v>
                </c:pt>
                <c:pt idx="2">
                  <c:v>0.17301882759665085</c:v>
                </c:pt>
                <c:pt idx="3">
                  <c:v>8.6799462078163969E-2</c:v>
                </c:pt>
                <c:pt idx="4">
                  <c:v>1.5676629396173508E-2</c:v>
                </c:pt>
                <c:pt idx="5">
                  <c:v>6.8424821739657624E-2</c:v>
                </c:pt>
                <c:pt idx="6">
                  <c:v>0.10441999489074197</c:v>
                </c:pt>
                <c:pt idx="7">
                  <c:v>1.4220941950753523E-4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return'!$S$81:$S$88</c:f>
              <c:numCache>
                <c:formatCode>0.0%</c:formatCode>
                <c:ptCount val="8"/>
                <c:pt idx="0">
                  <c:v>6.5964124606475272E-2</c:v>
                </c:pt>
                <c:pt idx="1">
                  <c:v>3.3565512140104392E-2</c:v>
                </c:pt>
                <c:pt idx="2">
                  <c:v>1.0319698198445776E-2</c:v>
                </c:pt>
                <c:pt idx="3">
                  <c:v>5.760206238455351E-2</c:v>
                </c:pt>
                <c:pt idx="4">
                  <c:v>6.0308022538329578E-2</c:v>
                </c:pt>
                <c:pt idx="5">
                  <c:v>2.2649480725376869E-3</c:v>
                </c:pt>
                <c:pt idx="6">
                  <c:v>3.4564337933102873E-3</c:v>
                </c:pt>
                <c:pt idx="7">
                  <c:v>9.0737285915150675E-3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return'!$T$81:$T$88</c:f>
              <c:numCache>
                <c:formatCode>0.0%</c:formatCode>
                <c:ptCount val="8"/>
                <c:pt idx="0">
                  <c:v>5.8656746964726392E-2</c:v>
                </c:pt>
                <c:pt idx="1">
                  <c:v>3.3509590645223825E-2</c:v>
                </c:pt>
                <c:pt idx="2">
                  <c:v>9.9652414929300437E-3</c:v>
                </c:pt>
                <c:pt idx="3">
                  <c:v>5.6099904186276472E-2</c:v>
                </c:pt>
                <c:pt idx="4">
                  <c:v>5.465108193810371E-2</c:v>
                </c:pt>
                <c:pt idx="5">
                  <c:v>2.6246033746378655E-3</c:v>
                </c:pt>
                <c:pt idx="6">
                  <c:v>4.0052873212099993E-3</c:v>
                </c:pt>
                <c:pt idx="7">
                  <c:v>1.0705142139380484E-2</c:v>
                </c:pt>
              </c:numCache>
            </c:numRef>
          </c:val>
        </c:ser>
        <c:overlap val="100"/>
        <c:axId val="85806080"/>
        <c:axId val="85812352"/>
      </c:barChart>
      <c:lineChart>
        <c:grouping val="standard"/>
        <c:ser>
          <c:idx val="3"/>
          <c:order val="3"/>
          <c:tx>
            <c:strRef>
              <c:f>'Control panel'!$W$4:$W$11</c:f>
              <c:strCache>
                <c:ptCount val="1"/>
                <c:pt idx="0">
                  <c:v>High Yield Emerging market debt Aandelen ontwikkeld Aandelen opkomend Commodities Hedge funds Onroerend goed Periferie bonds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panel'!$X$4:$X$11</c:f>
              <c:numCache>
                <c:formatCode>0.0%</c:formatCode>
                <c:ptCount val="8"/>
                <c:pt idx="0">
                  <c:v>0.2199703193771177</c:v>
                </c:pt>
                <c:pt idx="1">
                  <c:v>0.21320013768558083</c:v>
                </c:pt>
                <c:pt idx="2">
                  <c:v>0.2313116786840628</c:v>
                </c:pt>
                <c:pt idx="3">
                  <c:v>0.1147731419357</c:v>
                </c:pt>
                <c:pt idx="4">
                  <c:v>4.6641620673837786E-2</c:v>
                </c:pt>
                <c:pt idx="5">
                  <c:v>6.8922944445396317E-2</c:v>
                </c:pt>
                <c:pt idx="6">
                  <c:v>0.10518015719830477</c:v>
                </c:pt>
                <c:pt idx="7">
                  <c:v>0</c:v>
                </c:pt>
              </c:numCache>
            </c:numRef>
          </c:val>
        </c:ser>
        <c:marker val="1"/>
        <c:axId val="85806080"/>
        <c:axId val="85812352"/>
      </c:lineChart>
      <c:catAx>
        <c:axId val="85806080"/>
        <c:scaling>
          <c:orientation val="minMax"/>
        </c:scaling>
        <c:axPos val="b"/>
        <c:numFmt formatCode="General" sourceLinked="1"/>
        <c:tickLblPos val="nextTo"/>
        <c:crossAx val="85812352"/>
        <c:crosses val="autoZero"/>
        <c:auto val="1"/>
        <c:lblAlgn val="ctr"/>
        <c:lblOffset val="100"/>
      </c:catAx>
      <c:valAx>
        <c:axId val="85812352"/>
        <c:scaling>
          <c:orientation val="minMax"/>
        </c:scaling>
        <c:axPos val="l"/>
        <c:majorGridlines/>
        <c:numFmt formatCode="0%" sourceLinked="0"/>
        <c:tickLblPos val="nextTo"/>
        <c:crossAx val="8580608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Scenarios!$B$24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Scenarios!$B$25:$B$33</c:f>
              <c:numCache>
                <c:formatCode>0.0%</c:formatCode>
                <c:ptCount val="9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  <c:pt idx="8">
                  <c:v>2.5656887462827429E-2</c:v>
                </c:pt>
              </c:numCache>
            </c:numRef>
          </c:val>
        </c:ser>
        <c:ser>
          <c:idx val="1"/>
          <c:order val="1"/>
          <c:tx>
            <c:strRef>
              <c:f>Scenarios!$C$24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Scenarios!$C$25:$C$33</c:f>
              <c:numCache>
                <c:formatCode>0.0%</c:formatCode>
                <c:ptCount val="9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  <c:pt idx="8">
                  <c:v>3.8404573676165434E-3</c:v>
                </c:pt>
              </c:numCache>
            </c:numRef>
          </c:val>
        </c:ser>
        <c:ser>
          <c:idx val="2"/>
          <c:order val="2"/>
          <c:tx>
            <c:strRef>
              <c:f>Scenarios!$D$24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Scenarios!$D$25:$D$33</c:f>
              <c:numCache>
                <c:formatCode>0.0%</c:formatCode>
                <c:ptCount val="9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  <c:pt idx="8">
                  <c:v>-0.14672572762255914</c:v>
                </c:pt>
              </c:numCache>
            </c:numRef>
          </c:val>
        </c:ser>
        <c:ser>
          <c:idx val="3"/>
          <c:order val="3"/>
          <c:tx>
            <c:strRef>
              <c:f>Scenarios!$E$24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Scenarios!$E$25:$E$33</c:f>
              <c:numCache>
                <c:formatCode>0.0%</c:formatCode>
                <c:ptCount val="9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  <c:pt idx="8">
                  <c:v>2.2147204340377598E-2</c:v>
                </c:pt>
              </c:numCache>
            </c:numRef>
          </c:val>
        </c:ser>
        <c:ser>
          <c:idx val="4"/>
          <c:order val="4"/>
          <c:tx>
            <c:strRef>
              <c:f>Scenarios!$F$24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Scenarios!$F$25:$F$33</c:f>
              <c:numCache>
                <c:formatCode>0.0%</c:formatCode>
                <c:ptCount val="9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  <c:pt idx="8">
                  <c:v>-0.34409214194437909</c:v>
                </c:pt>
              </c:numCache>
            </c:numRef>
          </c:val>
        </c:ser>
        <c:ser>
          <c:idx val="5"/>
          <c:order val="5"/>
          <c:tx>
            <c:strRef>
              <c:f>Scenarios!$G$24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Scenarios!$G$25:$G$33</c:f>
              <c:numCache>
                <c:formatCode>0.0%</c:formatCode>
                <c:ptCount val="9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  <c:pt idx="8">
                  <c:v>-0.70677044028756997</c:v>
                </c:pt>
              </c:numCache>
            </c:numRef>
          </c:val>
        </c:ser>
        <c:ser>
          <c:idx val="6"/>
          <c:order val="6"/>
          <c:tx>
            <c:strRef>
              <c:f>Scenarios!$H$24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Scenarios!$H$25:$H$33</c:f>
              <c:numCache>
                <c:formatCode>0.0%</c:formatCode>
                <c:ptCount val="9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  <c:pt idx="8">
                  <c:v>0.16161778235216684</c:v>
                </c:pt>
              </c:numCache>
            </c:numRef>
          </c:val>
        </c:ser>
        <c:axId val="328537600"/>
        <c:axId val="328539136"/>
      </c:barChart>
      <c:catAx>
        <c:axId val="328537600"/>
        <c:scaling>
          <c:orientation val="minMax"/>
        </c:scaling>
        <c:axPos val="b"/>
        <c:tickLblPos val="nextTo"/>
        <c:crossAx val="328539136"/>
        <c:crosses val="autoZero"/>
        <c:auto val="1"/>
        <c:lblAlgn val="ctr"/>
        <c:lblOffset val="100"/>
      </c:catAx>
      <c:valAx>
        <c:axId val="328539136"/>
        <c:scaling>
          <c:orientation val="minMax"/>
        </c:scaling>
        <c:axPos val="l"/>
        <c:majorGridlines/>
        <c:numFmt formatCode="0.0%" sourceLinked="1"/>
        <c:tickLblPos val="nextTo"/>
        <c:crossAx val="3285376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88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mixen'!$S$4:$S$12</c:f>
              <c:numCache>
                <c:formatCode>0.0%</c:formatCode>
                <c:ptCount val="9"/>
                <c:pt idx="0">
                  <c:v>0.53466959954285942</c:v>
                </c:pt>
                <c:pt idx="1">
                  <c:v>4.2738035210043851E-2</c:v>
                </c:pt>
                <c:pt idx="2">
                  <c:v>3.7405185654859924E-2</c:v>
                </c:pt>
                <c:pt idx="3">
                  <c:v>6.3424836550739522E-2</c:v>
                </c:pt>
                <c:pt idx="4">
                  <c:v>3.4385607364924353E-2</c:v>
                </c:pt>
                <c:pt idx="5">
                  <c:v>1.0582664338511858E-2</c:v>
                </c:pt>
                <c:pt idx="6">
                  <c:v>2.4471384977792141E-2</c:v>
                </c:pt>
                <c:pt idx="7">
                  <c:v>2.345827237447351E-2</c:v>
                </c:pt>
                <c:pt idx="8">
                  <c:v>9.7188525556245395E-3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mixen'!$T$4:$T$12</c:f>
              <c:numCache>
                <c:formatCode>0.0%</c:formatCode>
                <c:ptCount val="9"/>
                <c:pt idx="0">
                  <c:v>1.4385437478047436E-2</c:v>
                </c:pt>
                <c:pt idx="1">
                  <c:v>3.7456333421967178E-2</c:v>
                </c:pt>
                <c:pt idx="2">
                  <c:v>4.9679657735813551E-2</c:v>
                </c:pt>
                <c:pt idx="3">
                  <c:v>1.8320986937289369E-2</c:v>
                </c:pt>
                <c:pt idx="4">
                  <c:v>1.6263291192816484E-2</c:v>
                </c:pt>
                <c:pt idx="5">
                  <c:v>1.0690866400977309E-2</c:v>
                </c:pt>
                <c:pt idx="6">
                  <c:v>2.7307858566842733E-2</c:v>
                </c:pt>
                <c:pt idx="7">
                  <c:v>2.6120355070914848E-2</c:v>
                </c:pt>
                <c:pt idx="8">
                  <c:v>1.8920774625501666E-2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mixen'!$U$4:$U$12</c:f>
              <c:numCache>
                <c:formatCode>0.0%</c:formatCode>
                <c:ptCount val="9"/>
                <c:pt idx="0">
                  <c:v>1.3552379266270842E-2</c:v>
                </c:pt>
                <c:pt idx="1">
                  <c:v>3.1373125936311419E-2</c:v>
                </c:pt>
                <c:pt idx="2">
                  <c:v>4.1283618564728161E-2</c:v>
                </c:pt>
                <c:pt idx="3">
                  <c:v>1.9449408893968179E-2</c:v>
                </c:pt>
                <c:pt idx="4">
                  <c:v>1.6279816954502313E-2</c:v>
                </c:pt>
                <c:pt idx="5">
                  <c:v>9.2544198166919327E-3</c:v>
                </c:pt>
                <c:pt idx="6">
                  <c:v>2.0600340817774419E-2</c:v>
                </c:pt>
                <c:pt idx="7">
                  <c:v>2.3434163283004426E-2</c:v>
                </c:pt>
                <c:pt idx="8">
                  <c:v>1.6177995392236973E-2</c:v>
                </c:pt>
              </c:numCache>
            </c:numRef>
          </c:val>
        </c:ser>
        <c:gapWidth val="100"/>
        <c:overlap val="100"/>
        <c:axId val="329270400"/>
        <c:axId val="329271936"/>
      </c:barChart>
      <c:catAx>
        <c:axId val="329270400"/>
        <c:scaling>
          <c:orientation val="minMax"/>
        </c:scaling>
        <c:axPos val="l"/>
        <c:numFmt formatCode="0%" sourceLinked="1"/>
        <c:tickLblPos val="nextTo"/>
        <c:crossAx val="329271936"/>
        <c:crosses val="autoZero"/>
        <c:auto val="1"/>
        <c:lblAlgn val="ctr"/>
        <c:lblOffset val="100"/>
      </c:catAx>
      <c:valAx>
        <c:axId val="329271936"/>
        <c:scaling>
          <c:orientation val="minMax"/>
        </c:scaling>
        <c:axPos val="b"/>
        <c:majorGridlines/>
        <c:numFmt formatCode="0%" sourceLinked="0"/>
        <c:tickLblPos val="nextTo"/>
        <c:crossAx val="329270400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mixen'!$S$88:$S$96</c:f>
              <c:numCache>
                <c:formatCode>0.0%</c:formatCode>
                <c:ptCount val="9"/>
                <c:pt idx="0">
                  <c:v>0.55574686295980258</c:v>
                </c:pt>
                <c:pt idx="1">
                  <c:v>8.4101930206941483E-2</c:v>
                </c:pt>
                <c:pt idx="2">
                  <c:v>6.1497472593120231E-2</c:v>
                </c:pt>
                <c:pt idx="3">
                  <c:v>7.6716707493405922E-2</c:v>
                </c:pt>
                <c:pt idx="4">
                  <c:v>4.4583852556947454E-2</c:v>
                </c:pt>
                <c:pt idx="5">
                  <c:v>1.5633278291625349E-2</c:v>
                </c:pt>
                <c:pt idx="6">
                  <c:v>3.0634868515694261E-2</c:v>
                </c:pt>
                <c:pt idx="7">
                  <c:v>4.6750473476693526E-2</c:v>
                </c:pt>
                <c:pt idx="8">
                  <c:v>2.9735572955832089E-4</c:v>
                </c:pt>
              </c:numCache>
            </c:numRef>
          </c:val>
        </c:ser>
        <c:ser>
          <c:idx val="1"/>
          <c:order val="1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mixen'!$T$88:$T$96</c:f>
              <c:numCache>
                <c:formatCode>0.0%</c:formatCode>
                <c:ptCount val="9"/>
                <c:pt idx="0">
                  <c:v>1.0401514863116135E-2</c:v>
                </c:pt>
                <c:pt idx="1">
                  <c:v>2.091549939662099E-2</c:v>
                </c:pt>
                <c:pt idx="2">
                  <c:v>1.145215890130645E-2</c:v>
                </c:pt>
                <c:pt idx="3">
                  <c:v>2.7331929179195413E-3</c:v>
                </c:pt>
                <c:pt idx="4">
                  <c:v>1.775402809467614E-2</c:v>
                </c:pt>
                <c:pt idx="5">
                  <c:v>1.7086619577587968E-2</c:v>
                </c:pt>
                <c:pt idx="6">
                  <c:v>-1.5265566588595902E-16</c:v>
                </c:pt>
                <c:pt idx="7">
                  <c:v>-4.0245584642661925E-16</c:v>
                </c:pt>
                <c:pt idx="8">
                  <c:v>3.694184424983777E-3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mixen'!$U$88:$U$96</c:f>
              <c:numCache>
                <c:formatCode>0.0%</c:formatCode>
                <c:ptCount val="9"/>
                <c:pt idx="0">
                  <c:v>1.0315258830243645E-2</c:v>
                </c:pt>
                <c:pt idx="1">
                  <c:v>2.218484947605634E-2</c:v>
                </c:pt>
                <c:pt idx="2">
                  <c:v>8.2729697904179167E-3</c:v>
                </c:pt>
                <c:pt idx="3">
                  <c:v>1.8133848063416474E-3</c:v>
                </c:pt>
                <c:pt idx="4">
                  <c:v>1.5614411822981268E-2</c:v>
                </c:pt>
                <c:pt idx="5">
                  <c:v>1.5056338265489556E-2</c:v>
                </c:pt>
                <c:pt idx="6">
                  <c:v>1.5265566588595902E-16</c:v>
                </c:pt>
                <c:pt idx="7">
                  <c:v>4.0245584642661925E-16</c:v>
                </c:pt>
                <c:pt idx="8">
                  <c:v>1.9113911585044979E-3</c:v>
                </c:pt>
              </c:numCache>
            </c:numRef>
          </c:val>
        </c:ser>
        <c:gapWidth val="100"/>
        <c:overlap val="100"/>
        <c:axId val="329297280"/>
        <c:axId val="329303168"/>
      </c:barChart>
      <c:catAx>
        <c:axId val="329297280"/>
        <c:scaling>
          <c:orientation val="minMax"/>
        </c:scaling>
        <c:axPos val="l"/>
        <c:numFmt formatCode="0%" sourceLinked="1"/>
        <c:tickLblPos val="nextTo"/>
        <c:crossAx val="329303168"/>
        <c:crosses val="autoZero"/>
        <c:auto val="1"/>
        <c:lblAlgn val="ctr"/>
        <c:lblOffset val="100"/>
      </c:catAx>
      <c:valAx>
        <c:axId val="329303168"/>
        <c:scaling>
          <c:orientation val="minMax"/>
        </c:scaling>
        <c:axPos val="b"/>
        <c:majorGridlines/>
        <c:numFmt formatCode="0%" sourceLinked="0"/>
        <c:tickLblPos val="nextTo"/>
        <c:crossAx val="3292972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mixen'!$R$15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mixen'!$R$16:$R$24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mixen'!$S$16:$S$24</c:f>
              <c:numCache>
                <c:formatCode>0.0%</c:formatCode>
                <c:ptCount val="9"/>
                <c:pt idx="0">
                  <c:v>0.53531474935557899</c:v>
                </c:pt>
                <c:pt idx="1">
                  <c:v>0.12144664104885206</c:v>
                </c:pt>
                <c:pt idx="2">
                  <c:v>5.4676472617312087E-3</c:v>
                </c:pt>
                <c:pt idx="3">
                  <c:v>2.2634654506626458E-4</c:v>
                </c:pt>
                <c:pt idx="4">
                  <c:v>2.2890426197097722E-2</c:v>
                </c:pt>
                <c:pt idx="5">
                  <c:v>0.10728225744128131</c:v>
                </c:pt>
                <c:pt idx="6">
                  <c:v>1.166551203378801E-2</c:v>
                </c:pt>
                <c:pt idx="7">
                  <c:v>9.5150881318663858E-4</c:v>
                </c:pt>
                <c:pt idx="8">
                  <c:v>3.8849386726861322E-4</c:v>
                </c:pt>
              </c:numCache>
            </c:numRef>
          </c:val>
        </c:ser>
        <c:ser>
          <c:idx val="1"/>
          <c:order val="1"/>
          <c:cat>
            <c:strRef>
              <c:f>'Samenvatting mixen'!$R$16:$R$24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mixen'!$T$16:$T$24</c:f>
              <c:numCache>
                <c:formatCode>0.0%</c:formatCode>
                <c:ptCount val="9"/>
                <c:pt idx="0">
                  <c:v>3.1834681267375431E-2</c:v>
                </c:pt>
                <c:pt idx="1">
                  <c:v>6.7611980582470504E-2</c:v>
                </c:pt>
                <c:pt idx="2">
                  <c:v>1.1947332638019208E-2</c:v>
                </c:pt>
                <c:pt idx="3">
                  <c:v>1.2699415761846437E-3</c:v>
                </c:pt>
                <c:pt idx="4">
                  <c:v>3.0131719558038363E-2</c:v>
                </c:pt>
                <c:pt idx="5">
                  <c:v>2.6884820837493051E-2</c:v>
                </c:pt>
                <c:pt idx="6">
                  <c:v>1.931642554134904E-2</c:v>
                </c:pt>
                <c:pt idx="7">
                  <c:v>2.9795325829853315E-3</c:v>
                </c:pt>
                <c:pt idx="8">
                  <c:v>2.3899828522334823E-3</c:v>
                </c:pt>
              </c:numCache>
            </c:numRef>
          </c:val>
        </c:ser>
        <c:ser>
          <c:idx val="2"/>
          <c:order val="2"/>
          <c:cat>
            <c:strRef>
              <c:f>'Samenvatting mixen'!$R$16:$R$24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mixen'!$U$16:$U$24</c:f>
              <c:numCache>
                <c:formatCode>0.0%</c:formatCode>
                <c:ptCount val="9"/>
                <c:pt idx="0">
                  <c:v>3.0983147103033404E-2</c:v>
                </c:pt>
                <c:pt idx="1">
                  <c:v>6.1650789853204185E-2</c:v>
                </c:pt>
                <c:pt idx="2">
                  <c:v>7.6430686600493063E-3</c:v>
                </c:pt>
                <c:pt idx="3">
                  <c:v>5.0328424649256128E-4</c:v>
                </c:pt>
                <c:pt idx="4">
                  <c:v>2.7515639533871955E-2</c:v>
                </c:pt>
                <c:pt idx="5">
                  <c:v>2.325460056205636E-2</c:v>
                </c:pt>
                <c:pt idx="6">
                  <c:v>1.2971003472877662E-2</c:v>
                </c:pt>
                <c:pt idx="7">
                  <c:v>1.9958113561391704E-3</c:v>
                </c:pt>
                <c:pt idx="8">
                  <c:v>1.2041957992861216E-3</c:v>
                </c:pt>
              </c:numCache>
            </c:numRef>
          </c:val>
        </c:ser>
        <c:gapWidth val="100"/>
        <c:overlap val="100"/>
        <c:axId val="329341184"/>
        <c:axId val="329351168"/>
      </c:barChart>
      <c:catAx>
        <c:axId val="329341184"/>
        <c:scaling>
          <c:orientation val="minMax"/>
        </c:scaling>
        <c:axPos val="l"/>
        <c:numFmt formatCode="0%" sourceLinked="1"/>
        <c:tickLblPos val="nextTo"/>
        <c:crossAx val="329351168"/>
        <c:crosses val="autoZero"/>
        <c:auto val="1"/>
        <c:lblAlgn val="ctr"/>
        <c:lblOffset val="100"/>
      </c:catAx>
      <c:valAx>
        <c:axId val="329351168"/>
        <c:scaling>
          <c:orientation val="minMax"/>
        </c:scaling>
        <c:axPos val="b"/>
        <c:majorGridlines/>
        <c:numFmt formatCode="0%" sourceLinked="0"/>
        <c:tickLblPos val="nextTo"/>
        <c:crossAx val="3293411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mixen'!$R$39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mixen'!$R$40:$R$48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mixen'!$S$40:$S$48</c:f>
              <c:numCache>
                <c:formatCode>0.0%</c:formatCode>
                <c:ptCount val="9"/>
                <c:pt idx="0">
                  <c:v>0.47536954602641435</c:v>
                </c:pt>
                <c:pt idx="1">
                  <c:v>0.29662992095454072</c:v>
                </c:pt>
                <c:pt idx="2">
                  <c:v>2.2688190208372708E-3</c:v>
                </c:pt>
                <c:pt idx="3">
                  <c:v>1.9530495872201548E-3</c:v>
                </c:pt>
                <c:pt idx="4">
                  <c:v>1.5322546909509384E-2</c:v>
                </c:pt>
                <c:pt idx="5">
                  <c:v>3.4666419238722712E-2</c:v>
                </c:pt>
                <c:pt idx="6">
                  <c:v>5.7557614226679838E-3</c:v>
                </c:pt>
                <c:pt idx="7">
                  <c:v>3.2506103188568529E-3</c:v>
                </c:pt>
                <c:pt idx="8">
                  <c:v>5.730121329020029E-4</c:v>
                </c:pt>
              </c:numCache>
            </c:numRef>
          </c:val>
        </c:ser>
        <c:ser>
          <c:idx val="1"/>
          <c:order val="1"/>
          <c:cat>
            <c:strRef>
              <c:f>'Samenvatting mixen'!$R$40:$R$48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mixen'!$T$40:$T$48</c:f>
              <c:numCache>
                <c:formatCode>0.0%</c:formatCode>
                <c:ptCount val="9"/>
                <c:pt idx="0">
                  <c:v>2.2755665176681483E-2</c:v>
                </c:pt>
                <c:pt idx="1">
                  <c:v>5.4647291998043634E-2</c:v>
                </c:pt>
                <c:pt idx="2">
                  <c:v>5.635710345995245E-3</c:v>
                </c:pt>
                <c:pt idx="3">
                  <c:v>6.2926527164051532E-3</c:v>
                </c:pt>
                <c:pt idx="4">
                  <c:v>2.2410645502768695E-2</c:v>
                </c:pt>
                <c:pt idx="5">
                  <c:v>2.855887475301809E-2</c:v>
                </c:pt>
                <c:pt idx="6">
                  <c:v>1.1833528007074412E-2</c:v>
                </c:pt>
                <c:pt idx="7">
                  <c:v>8.3844511547221962E-3</c:v>
                </c:pt>
                <c:pt idx="8">
                  <c:v>3.6914947336195479E-3</c:v>
                </c:pt>
              </c:numCache>
            </c:numRef>
          </c:val>
        </c:ser>
        <c:ser>
          <c:idx val="2"/>
          <c:order val="2"/>
          <c:cat>
            <c:strRef>
              <c:f>'Samenvatting mixen'!$R$40:$R$48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mixen'!$U$40:$U$48</c:f>
              <c:numCache>
                <c:formatCode>0.0%</c:formatCode>
                <c:ptCount val="9"/>
                <c:pt idx="0">
                  <c:v>2.1201952694787085E-2</c:v>
                </c:pt>
                <c:pt idx="1">
                  <c:v>4.8883562467253172E-2</c:v>
                </c:pt>
                <c:pt idx="2">
                  <c:v>3.6590119396783631E-3</c:v>
                </c:pt>
                <c:pt idx="3">
                  <c:v>3.1142169845168391E-3</c:v>
                </c:pt>
                <c:pt idx="4">
                  <c:v>1.7323579209264299E-2</c:v>
                </c:pt>
                <c:pt idx="5">
                  <c:v>2.864495521858991E-2</c:v>
                </c:pt>
                <c:pt idx="6">
                  <c:v>6.8806095836722037E-3</c:v>
                </c:pt>
                <c:pt idx="7">
                  <c:v>5.5845044386316454E-3</c:v>
                </c:pt>
                <c:pt idx="8">
                  <c:v>1.9577490227948502E-3</c:v>
                </c:pt>
              </c:numCache>
            </c:numRef>
          </c:val>
        </c:ser>
        <c:gapWidth val="100"/>
        <c:overlap val="100"/>
        <c:axId val="329143040"/>
        <c:axId val="329144576"/>
      </c:barChart>
      <c:catAx>
        <c:axId val="329143040"/>
        <c:scaling>
          <c:orientation val="minMax"/>
        </c:scaling>
        <c:axPos val="l"/>
        <c:tickLblPos val="nextTo"/>
        <c:crossAx val="329144576"/>
        <c:crosses val="autoZero"/>
        <c:auto val="1"/>
        <c:lblAlgn val="ctr"/>
        <c:lblOffset val="100"/>
      </c:catAx>
      <c:valAx>
        <c:axId val="329144576"/>
        <c:scaling>
          <c:orientation val="minMax"/>
        </c:scaling>
        <c:axPos val="b"/>
        <c:majorGridlines/>
        <c:numFmt formatCode="0%" sourceLinked="0"/>
        <c:tickLblPos val="nextTo"/>
        <c:crossAx val="3291430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mixen'!$R$51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mixen'!$R$52:$R$60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mixen'!$S$52:$S$60</c:f>
              <c:numCache>
                <c:formatCode>0.0%</c:formatCode>
                <c:ptCount val="9"/>
                <c:pt idx="0">
                  <c:v>0.83146563985541433</c:v>
                </c:pt>
                <c:pt idx="1">
                  <c:v>3.4502230061134264E-6</c:v>
                </c:pt>
                <c:pt idx="2">
                  <c:v>4.726117011851404E-6</c:v>
                </c:pt>
                <c:pt idx="3">
                  <c:v>9.5967816305573729E-7</c:v>
                </c:pt>
                <c:pt idx="4">
                  <c:v>1.2315674261329075E-6</c:v>
                </c:pt>
                <c:pt idx="5">
                  <c:v>6.0153983873630263E-7</c:v>
                </c:pt>
                <c:pt idx="6">
                  <c:v>3.3252874515040637E-5</c:v>
                </c:pt>
                <c:pt idx="7">
                  <c:v>1.0965818085016266E-6</c:v>
                </c:pt>
                <c:pt idx="8">
                  <c:v>0.1250711657311373</c:v>
                </c:pt>
              </c:numCache>
            </c:numRef>
          </c:val>
        </c:ser>
        <c:ser>
          <c:idx val="1"/>
          <c:order val="1"/>
          <c:cat>
            <c:strRef>
              <c:f>'Samenvatting mixen'!$R$52:$R$60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mixen'!$T$52:$T$60</c:f>
              <c:numCache>
                <c:formatCode>0.0%</c:formatCode>
                <c:ptCount val="9"/>
                <c:pt idx="0">
                  <c:v>2.1761266341378427E-2</c:v>
                </c:pt>
                <c:pt idx="1">
                  <c:v>2.0597168498422697E-4</c:v>
                </c:pt>
                <c:pt idx="2">
                  <c:v>2.5526466374361378E-4</c:v>
                </c:pt>
                <c:pt idx="3">
                  <c:v>1.152630431465605E-4</c:v>
                </c:pt>
                <c:pt idx="4">
                  <c:v>1.6232190579087651E-4</c:v>
                </c:pt>
                <c:pt idx="5">
                  <c:v>1.1781923022236318E-4</c:v>
                </c:pt>
                <c:pt idx="6">
                  <c:v>6.2632539431521574E-4</c:v>
                </c:pt>
                <c:pt idx="7">
                  <c:v>1.7067743054977052E-4</c:v>
                </c:pt>
                <c:pt idx="8">
                  <c:v>2.0002966137547734E-2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mixen'!$R$52:$R$60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mixen'!$U$52:$U$60</c:f>
              <c:numCache>
                <c:formatCode>0.0%</c:formatCode>
                <c:ptCount val="9"/>
                <c:pt idx="0">
                  <c:v>2.0239610237643757E-2</c:v>
                </c:pt>
                <c:pt idx="1">
                  <c:v>3.0130180558148603E-5</c:v>
                </c:pt>
                <c:pt idx="2">
                  <c:v>8.1138746553806047E-5</c:v>
                </c:pt>
                <c:pt idx="3">
                  <c:v>2.4798040766966234E-5</c:v>
                </c:pt>
                <c:pt idx="4">
                  <c:v>2.5031557860417676E-5</c:v>
                </c:pt>
                <c:pt idx="5">
                  <c:v>1.7921612075184095E-5</c:v>
                </c:pt>
                <c:pt idx="6">
                  <c:v>2.1407859258911215E-4</c:v>
                </c:pt>
                <c:pt idx="7">
                  <c:v>1.551935744370205E-5</c:v>
                </c:pt>
                <c:pt idx="8">
                  <c:v>2.1414985133186681E-2</c:v>
                </c:pt>
              </c:numCache>
            </c:numRef>
          </c:val>
        </c:ser>
        <c:gapWidth val="100"/>
        <c:overlap val="100"/>
        <c:axId val="329161728"/>
        <c:axId val="329163520"/>
      </c:barChart>
      <c:catAx>
        <c:axId val="329161728"/>
        <c:scaling>
          <c:orientation val="minMax"/>
        </c:scaling>
        <c:axPos val="l"/>
        <c:tickLblPos val="nextTo"/>
        <c:crossAx val="329163520"/>
        <c:crosses val="autoZero"/>
        <c:auto val="1"/>
        <c:lblAlgn val="ctr"/>
        <c:lblOffset val="100"/>
      </c:catAx>
      <c:valAx>
        <c:axId val="329163520"/>
        <c:scaling>
          <c:orientation val="minMax"/>
        </c:scaling>
        <c:axPos val="b"/>
        <c:majorGridlines/>
        <c:numFmt formatCode="0%" sourceLinked="0"/>
        <c:tickLblPos val="nextTo"/>
        <c:crossAx val="3291617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mixen'!$R$63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mixen'!$R$64:$R$72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mixen'!$S$64:$S$72</c:f>
              <c:numCache>
                <c:formatCode>0.0%</c:formatCode>
                <c:ptCount val="9"/>
                <c:pt idx="0">
                  <c:v>0.89949518251032301</c:v>
                </c:pt>
                <c:pt idx="1">
                  <c:v>4.357292123203825E-6</c:v>
                </c:pt>
                <c:pt idx="2">
                  <c:v>3.4757953631602951E-5</c:v>
                </c:pt>
                <c:pt idx="3">
                  <c:v>1.1432639917064061E-6</c:v>
                </c:pt>
                <c:pt idx="4">
                  <c:v>3.2757063745588116E-6</c:v>
                </c:pt>
                <c:pt idx="5">
                  <c:v>8.7590494252769134E-7</c:v>
                </c:pt>
                <c:pt idx="6">
                  <c:v>9.5898839634817629E-2</c:v>
                </c:pt>
                <c:pt idx="7">
                  <c:v>1.690338987379399E-6</c:v>
                </c:pt>
                <c:pt idx="8">
                  <c:v>4.0294616341998916E-7</c:v>
                </c:pt>
              </c:numCache>
            </c:numRef>
          </c:val>
        </c:ser>
        <c:ser>
          <c:idx val="1"/>
          <c:order val="1"/>
          <c:cat>
            <c:strRef>
              <c:f>'Samenvatting mixen'!$R$64:$R$72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mixen'!$T$64:$T$72</c:f>
              <c:numCache>
                <c:formatCode>0.0%</c:formatCode>
                <c:ptCount val="9"/>
                <c:pt idx="0">
                  <c:v>1.0846422909075448E-3</c:v>
                </c:pt>
                <c:pt idx="1">
                  <c:v>2.9580241136892207E-4</c:v>
                </c:pt>
                <c:pt idx="2">
                  <c:v>9.6434289656626543E-4</c:v>
                </c:pt>
                <c:pt idx="3">
                  <c:v>2.05399518375673E-4</c:v>
                </c:pt>
                <c:pt idx="4">
                  <c:v>2.6681826753106039E-4</c:v>
                </c:pt>
                <c:pt idx="5">
                  <c:v>1.8144205605563992E-4</c:v>
                </c:pt>
                <c:pt idx="6">
                  <c:v>1.2492756498291152E-3</c:v>
                </c:pt>
                <c:pt idx="7">
                  <c:v>2.1378164891773996E-4</c:v>
                </c:pt>
                <c:pt idx="8">
                  <c:v>9.7969709093016465E-5</c:v>
                </c:pt>
              </c:numCache>
            </c:numRef>
          </c:val>
        </c:ser>
        <c:ser>
          <c:idx val="2"/>
          <c:order val="2"/>
          <c:cat>
            <c:strRef>
              <c:f>'Samenvatting mixen'!$R$64:$R$72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mixen'!$U$64:$U$72</c:f>
              <c:numCache>
                <c:formatCode>0.0%</c:formatCode>
                <c:ptCount val="9"/>
                <c:pt idx="0">
                  <c:v>8.4542582175994863E-4</c:v>
                </c:pt>
                <c:pt idx="1">
                  <c:v>8.5977910540074106E-5</c:v>
                </c:pt>
                <c:pt idx="2">
                  <c:v>4.0544078194000143E-4</c:v>
                </c:pt>
                <c:pt idx="3">
                  <c:v>4.5760281543766676E-5</c:v>
                </c:pt>
                <c:pt idx="4">
                  <c:v>6.897297383946804E-5</c:v>
                </c:pt>
                <c:pt idx="5">
                  <c:v>-5.1247464822255209E-6</c:v>
                </c:pt>
                <c:pt idx="6">
                  <c:v>1.2950177919710537E-3</c:v>
                </c:pt>
                <c:pt idx="7">
                  <c:v>2.4392830717223478E-5</c:v>
                </c:pt>
                <c:pt idx="8">
                  <c:v>1.5045727726673344E-5</c:v>
                </c:pt>
              </c:numCache>
            </c:numRef>
          </c:val>
        </c:ser>
        <c:gapWidth val="100"/>
        <c:overlap val="100"/>
        <c:axId val="329197056"/>
        <c:axId val="329198592"/>
      </c:barChart>
      <c:catAx>
        <c:axId val="329197056"/>
        <c:scaling>
          <c:orientation val="minMax"/>
        </c:scaling>
        <c:axPos val="l"/>
        <c:tickLblPos val="nextTo"/>
        <c:crossAx val="329198592"/>
        <c:crosses val="autoZero"/>
        <c:auto val="1"/>
        <c:lblAlgn val="ctr"/>
        <c:lblOffset val="100"/>
      </c:catAx>
      <c:valAx>
        <c:axId val="329198592"/>
        <c:scaling>
          <c:orientation val="minMax"/>
        </c:scaling>
        <c:axPos val="b"/>
        <c:majorGridlines/>
        <c:numFmt formatCode="0%" sourceLinked="0"/>
        <c:tickLblPos val="nextTo"/>
        <c:crossAx val="3291970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mixen'!$R$27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mixen'!$R$28:$R$36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mixen'!$S$28:$S$36</c:f>
              <c:numCache>
                <c:formatCode>0.0%</c:formatCode>
                <c:ptCount val="9"/>
                <c:pt idx="0">
                  <c:v>0.7539267667613434</c:v>
                </c:pt>
                <c:pt idx="1">
                  <c:v>3.2699477939515409E-4</c:v>
                </c:pt>
                <c:pt idx="2">
                  <c:v>4.3023173271137926E-3</c:v>
                </c:pt>
                <c:pt idx="3">
                  <c:v>1.1378794284844907E-5</c:v>
                </c:pt>
                <c:pt idx="4">
                  <c:v>2.2994417280297001E-4</c:v>
                </c:pt>
                <c:pt idx="5">
                  <c:v>0.1435325178570514</c:v>
                </c:pt>
                <c:pt idx="6">
                  <c:v>1.1280033848489125E-3</c:v>
                </c:pt>
                <c:pt idx="7">
                  <c:v>4.9972680565638975E-5</c:v>
                </c:pt>
                <c:pt idx="8">
                  <c:v>3.204060843600538E-5</c:v>
                </c:pt>
              </c:numCache>
            </c:numRef>
          </c:val>
        </c:ser>
        <c:ser>
          <c:idx val="1"/>
          <c:order val="1"/>
          <c:cat>
            <c:strRef>
              <c:f>'Samenvatting mixen'!$R$28:$R$36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mixen'!$T$28:$T$36</c:f>
              <c:numCache>
                <c:formatCode>0.0%</c:formatCode>
                <c:ptCount val="9"/>
                <c:pt idx="0">
                  <c:v>4.3083311800082846E-2</c:v>
                </c:pt>
                <c:pt idx="1">
                  <c:v>1.4520237491029609E-3</c:v>
                </c:pt>
                <c:pt idx="2">
                  <c:v>1.0158191646530727E-2</c:v>
                </c:pt>
                <c:pt idx="3">
                  <c:v>3.3541534543908618E-4</c:v>
                </c:pt>
                <c:pt idx="4">
                  <c:v>1.3185412756899491E-3</c:v>
                </c:pt>
                <c:pt idx="5">
                  <c:v>3.5318484047603765E-2</c:v>
                </c:pt>
                <c:pt idx="6">
                  <c:v>3.7329603581603104E-3</c:v>
                </c:pt>
                <c:pt idx="7">
                  <c:v>6.3009404346623353E-4</c:v>
                </c:pt>
                <c:pt idx="8">
                  <c:v>4.3104136808107697E-4</c:v>
                </c:pt>
              </c:numCache>
            </c:numRef>
          </c:val>
        </c:ser>
        <c:ser>
          <c:idx val="2"/>
          <c:order val="2"/>
          <c:cat>
            <c:strRef>
              <c:f>'Samenvatting mixen'!$R$28:$R$36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mixen'!$U$28:$U$36</c:f>
              <c:numCache>
                <c:formatCode>0.0%</c:formatCode>
                <c:ptCount val="9"/>
                <c:pt idx="0">
                  <c:v>3.9964081241205873E-2</c:v>
                </c:pt>
                <c:pt idx="1">
                  <c:v>7.6788876846714841E-4</c:v>
                </c:pt>
                <c:pt idx="2">
                  <c:v>5.0630267572630318E-3</c:v>
                </c:pt>
                <c:pt idx="3">
                  <c:v>1.0498628819095867E-4</c:v>
                </c:pt>
                <c:pt idx="4">
                  <c:v>6.0075869667268423E-4</c:v>
                </c:pt>
                <c:pt idx="5">
                  <c:v>3.8977134300842903E-2</c:v>
                </c:pt>
                <c:pt idx="6">
                  <c:v>2.1318836508842295E-3</c:v>
                </c:pt>
                <c:pt idx="7">
                  <c:v>3.4777561470985434E-4</c:v>
                </c:pt>
                <c:pt idx="8">
                  <c:v>1.1796790430891867E-4</c:v>
                </c:pt>
              </c:numCache>
            </c:numRef>
          </c:val>
        </c:ser>
        <c:gapWidth val="100"/>
        <c:overlap val="100"/>
        <c:axId val="329232384"/>
        <c:axId val="329233920"/>
      </c:barChart>
      <c:catAx>
        <c:axId val="329232384"/>
        <c:scaling>
          <c:orientation val="minMax"/>
        </c:scaling>
        <c:axPos val="l"/>
        <c:numFmt formatCode="0%" sourceLinked="1"/>
        <c:tickLblPos val="nextTo"/>
        <c:crossAx val="329233920"/>
        <c:crosses val="autoZero"/>
        <c:auto val="1"/>
        <c:lblAlgn val="ctr"/>
        <c:lblOffset val="100"/>
      </c:catAx>
      <c:valAx>
        <c:axId val="329233920"/>
        <c:scaling>
          <c:orientation val="minMax"/>
        </c:scaling>
        <c:axPos val="b"/>
        <c:majorGridlines/>
        <c:numFmt formatCode="0%" sourceLinked="0"/>
        <c:tickLblPos val="nextTo"/>
        <c:crossAx val="3292323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mixen'!$R$75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mixen'!$R$76:$R$84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mixen'!$S$76:$S$84</c:f>
              <c:numCache>
                <c:formatCode>0.0%</c:formatCode>
                <c:ptCount val="9"/>
                <c:pt idx="0">
                  <c:v>0.72169873722084021</c:v>
                </c:pt>
                <c:pt idx="1">
                  <c:v>5.2110991923626487E-3</c:v>
                </c:pt>
                <c:pt idx="2">
                  <c:v>1.4530619374509605E-3</c:v>
                </c:pt>
                <c:pt idx="3">
                  <c:v>1.3623588598915141E-4</c:v>
                </c:pt>
                <c:pt idx="4">
                  <c:v>1.5867355020101134E-4</c:v>
                </c:pt>
                <c:pt idx="5">
                  <c:v>3.2881841263445177E-2</c:v>
                </c:pt>
                <c:pt idx="6">
                  <c:v>8.9038041476021818E-3</c:v>
                </c:pt>
                <c:pt idx="7">
                  <c:v>0.11182263634040499</c:v>
                </c:pt>
                <c:pt idx="8">
                  <c:v>1.4736574121463165E-5</c:v>
                </c:pt>
              </c:numCache>
            </c:numRef>
          </c:val>
        </c:ser>
        <c:ser>
          <c:idx val="1"/>
          <c:order val="1"/>
          <c:cat>
            <c:strRef>
              <c:f>'Samenvatting mixen'!$R$76:$R$84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mixen'!$T$76:$T$84</c:f>
              <c:numCache>
                <c:formatCode>0.0%</c:formatCode>
                <c:ptCount val="9"/>
                <c:pt idx="0">
                  <c:v>1.0547389562228338E-2</c:v>
                </c:pt>
                <c:pt idx="1">
                  <c:v>1.7822151491488601E-2</c:v>
                </c:pt>
                <c:pt idx="2">
                  <c:v>1.030011410332996E-2</c:v>
                </c:pt>
                <c:pt idx="3">
                  <c:v>2.7756320361179638E-3</c:v>
                </c:pt>
                <c:pt idx="4">
                  <c:v>2.4827195073723425E-3</c:v>
                </c:pt>
                <c:pt idx="5">
                  <c:v>1.4075452995065386E-2</c:v>
                </c:pt>
                <c:pt idx="6">
                  <c:v>2.9716982857394013E-2</c:v>
                </c:pt>
                <c:pt idx="7">
                  <c:v>2.9332685316332485E-2</c:v>
                </c:pt>
                <c:pt idx="8">
                  <c:v>6.6604601825297921E-4</c:v>
                </c:pt>
              </c:numCache>
            </c:numRef>
          </c:val>
        </c:ser>
        <c:ser>
          <c:idx val="2"/>
          <c:order val="2"/>
          <c:cat>
            <c:strRef>
              <c:f>'Samenvatting mixen'!$R$76:$R$84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mixen'!$U$76:$U$84</c:f>
              <c:numCache>
                <c:formatCode>0.0%</c:formatCode>
                <c:ptCount val="9"/>
                <c:pt idx="0">
                  <c:v>8.8876676057105808E-3</c:v>
                </c:pt>
                <c:pt idx="1">
                  <c:v>9.8241557674483802E-3</c:v>
                </c:pt>
                <c:pt idx="2">
                  <c:v>6.9969619018059002E-3</c:v>
                </c:pt>
                <c:pt idx="3">
                  <c:v>1.296130498802259E-3</c:v>
                </c:pt>
                <c:pt idx="4">
                  <c:v>8.6036222365567768E-4</c:v>
                </c:pt>
                <c:pt idx="5">
                  <c:v>1.3747021557863906E-2</c:v>
                </c:pt>
                <c:pt idx="6">
                  <c:v>2.2629331783532054E-2</c:v>
                </c:pt>
                <c:pt idx="7">
                  <c:v>2.7504982573338027E-2</c:v>
                </c:pt>
                <c:pt idx="8">
                  <c:v>2.404555350347487E-4</c:v>
                </c:pt>
              </c:numCache>
            </c:numRef>
          </c:val>
        </c:ser>
        <c:gapWidth val="100"/>
        <c:overlap val="100"/>
        <c:axId val="329406720"/>
        <c:axId val="329420800"/>
      </c:barChart>
      <c:catAx>
        <c:axId val="329406720"/>
        <c:scaling>
          <c:orientation val="minMax"/>
        </c:scaling>
        <c:axPos val="l"/>
        <c:tickLblPos val="nextTo"/>
        <c:crossAx val="329420800"/>
        <c:crosses val="autoZero"/>
        <c:auto val="1"/>
        <c:lblAlgn val="ctr"/>
        <c:lblOffset val="100"/>
      </c:catAx>
      <c:valAx>
        <c:axId val="329420800"/>
        <c:scaling>
          <c:orientation val="minMax"/>
        </c:scaling>
        <c:axPos val="b"/>
        <c:majorGridlines/>
        <c:numFmt formatCode="0%" sourceLinked="0"/>
        <c:tickLblPos val="nextTo"/>
        <c:crossAx val="3294067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return'!$Q$4:$Q$11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return'!$R$4:$R$11</c:f>
              <c:numCache>
                <c:formatCode>0.0%</c:formatCode>
                <c:ptCount val="8"/>
                <c:pt idx="0">
                  <c:v>6.6231757829361221E-2</c:v>
                </c:pt>
                <c:pt idx="1">
                  <c:v>5.1540464678186543E-2</c:v>
                </c:pt>
                <c:pt idx="2">
                  <c:v>0.12085413217094061</c:v>
                </c:pt>
                <c:pt idx="3">
                  <c:v>5.6505540865508817E-2</c:v>
                </c:pt>
                <c:pt idx="4">
                  <c:v>1.6599437540652445E-2</c:v>
                </c:pt>
                <c:pt idx="5">
                  <c:v>3.8269124534151572E-2</c:v>
                </c:pt>
                <c:pt idx="6">
                  <c:v>3.0742053977432036E-2</c:v>
                </c:pt>
                <c:pt idx="7">
                  <c:v>1.1020601163848358E-2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return'!$Q$4:$Q$11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return'!$S$4:$S$11</c:f>
              <c:numCache>
                <c:formatCode>0.0%</c:formatCode>
                <c:ptCount val="8"/>
                <c:pt idx="0">
                  <c:v>0.11168377986314229</c:v>
                </c:pt>
                <c:pt idx="1">
                  <c:v>0.13862993790267725</c:v>
                </c:pt>
                <c:pt idx="2">
                  <c:v>6.1193722124929975E-2</c:v>
                </c:pt>
                <c:pt idx="3">
                  <c:v>5.7290884467103918E-2</c:v>
                </c:pt>
                <c:pt idx="4">
                  <c:v>3.0639636883209895E-2</c:v>
                </c:pt>
                <c:pt idx="5">
                  <c:v>7.5651000789275211E-2</c:v>
                </c:pt>
                <c:pt idx="6">
                  <c:v>7.9243013737133938E-2</c:v>
                </c:pt>
                <c:pt idx="7">
                  <c:v>5.3904911472445777E-2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return'!$Q$4:$Q$11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return'!$T$4:$T$11</c:f>
              <c:numCache>
                <c:formatCode>0.0%</c:formatCode>
                <c:ptCount val="8"/>
                <c:pt idx="0">
                  <c:v>0.11363423376469978</c:v>
                </c:pt>
                <c:pt idx="1">
                  <c:v>0.14723466587468939</c:v>
                </c:pt>
                <c:pt idx="2">
                  <c:v>5.9591663596242295E-2</c:v>
                </c:pt>
                <c:pt idx="3">
                  <c:v>5.4802984990586293E-2</c:v>
                </c:pt>
                <c:pt idx="4">
                  <c:v>3.3533839203393381E-2</c:v>
                </c:pt>
                <c:pt idx="5">
                  <c:v>7.902954395953006E-2</c:v>
                </c:pt>
                <c:pt idx="6">
                  <c:v>7.3167280884557678E-2</c:v>
                </c:pt>
                <c:pt idx="7">
                  <c:v>5.577200142015655E-2</c:v>
                </c:pt>
              </c:numCache>
            </c:numRef>
          </c:val>
        </c:ser>
        <c:gapWidth val="101"/>
        <c:overlap val="100"/>
        <c:axId val="329528448"/>
        <c:axId val="329529984"/>
      </c:barChart>
      <c:catAx>
        <c:axId val="329528448"/>
        <c:scaling>
          <c:orientation val="minMax"/>
        </c:scaling>
        <c:axPos val="l"/>
        <c:tickLblPos val="nextTo"/>
        <c:crossAx val="329529984"/>
        <c:crosses val="autoZero"/>
        <c:auto val="1"/>
        <c:lblAlgn val="ctr"/>
        <c:lblOffset val="100"/>
      </c:catAx>
      <c:valAx>
        <c:axId val="329529984"/>
        <c:scaling>
          <c:orientation val="minMax"/>
        </c:scaling>
        <c:axPos val="b"/>
        <c:majorGridlines/>
        <c:numFmt formatCode="0%" sourceLinked="0"/>
        <c:tickLblPos val="nextTo"/>
        <c:crossAx val="3295284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return'!$Q$15:$Q$22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return'!$R$15:$R$22</c:f>
              <c:numCache>
                <c:formatCode>0.0%</c:formatCode>
                <c:ptCount val="8"/>
                <c:pt idx="0">
                  <c:v>0.24987791128777784</c:v>
                </c:pt>
                <c:pt idx="1">
                  <c:v>7.1725074898943558E-3</c:v>
                </c:pt>
                <c:pt idx="2">
                  <c:v>1.7630256756764502E-4</c:v>
                </c:pt>
                <c:pt idx="3">
                  <c:v>3.1575471639736265E-2</c:v>
                </c:pt>
                <c:pt idx="4">
                  <c:v>0.20524648770532428</c:v>
                </c:pt>
                <c:pt idx="5">
                  <c:v>1.6822178451722528E-2</c:v>
                </c:pt>
                <c:pt idx="6">
                  <c:v>1.0933099339579704E-3</c:v>
                </c:pt>
                <c:pt idx="7">
                  <c:v>2.8945583425487751E-4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return'!$Q$15:$Q$22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return'!$S$15:$S$22</c:f>
              <c:numCache>
                <c:formatCode>0.0%</c:formatCode>
                <c:ptCount val="8"/>
                <c:pt idx="0">
                  <c:v>0.17208849941957846</c:v>
                </c:pt>
                <c:pt idx="1">
                  <c:v>3.3184006892055612E-2</c:v>
                </c:pt>
                <c:pt idx="2">
                  <c:v>3.3422636480189226E-3</c:v>
                </c:pt>
                <c:pt idx="3">
                  <c:v>9.557417717174152E-2</c:v>
                </c:pt>
                <c:pt idx="4">
                  <c:v>0.1146502023545512</c:v>
                </c:pt>
                <c:pt idx="5">
                  <c:v>5.4761084981264946E-2</c:v>
                </c:pt>
                <c:pt idx="6">
                  <c:v>7.9945006482697485E-3</c:v>
                </c:pt>
                <c:pt idx="7">
                  <c:v>6.1516399742835362E-3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return'!$Q$15:$Q$22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return'!$T$15:$T$22</c:f>
              <c:numCache>
                <c:formatCode>0.0%</c:formatCode>
                <c:ptCount val="8"/>
                <c:pt idx="0">
                  <c:v>0.15713351457801383</c:v>
                </c:pt>
                <c:pt idx="1">
                  <c:v>3.292448368514149E-2</c:v>
                </c:pt>
                <c:pt idx="2">
                  <c:v>2.9431936212359145E-3</c:v>
                </c:pt>
                <c:pt idx="3">
                  <c:v>9.4263474033159711E-2</c:v>
                </c:pt>
                <c:pt idx="4">
                  <c:v>0.11751392446342268</c:v>
                </c:pt>
                <c:pt idx="5">
                  <c:v>5.3117699752058573E-2</c:v>
                </c:pt>
                <c:pt idx="6">
                  <c:v>8.267718112506213E-3</c:v>
                </c:pt>
                <c:pt idx="7">
                  <c:v>6.4708661642733263E-3</c:v>
                </c:pt>
              </c:numCache>
            </c:numRef>
          </c:val>
        </c:ser>
        <c:gapWidth val="101"/>
        <c:overlap val="100"/>
        <c:axId val="329547136"/>
        <c:axId val="329569408"/>
      </c:barChart>
      <c:catAx>
        <c:axId val="329547136"/>
        <c:scaling>
          <c:orientation val="minMax"/>
        </c:scaling>
        <c:axPos val="l"/>
        <c:tickLblPos val="nextTo"/>
        <c:crossAx val="329569408"/>
        <c:crosses val="autoZero"/>
        <c:auto val="1"/>
        <c:lblAlgn val="ctr"/>
        <c:lblOffset val="100"/>
      </c:catAx>
      <c:valAx>
        <c:axId val="329569408"/>
        <c:scaling>
          <c:orientation val="minMax"/>
        </c:scaling>
        <c:axPos val="b"/>
        <c:majorGridlines/>
        <c:numFmt formatCode="0%" sourceLinked="0"/>
        <c:tickLblPos val="nextTo"/>
        <c:crossAx val="3295471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return'!$Q$26:$Q$33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return'!$R$26:$R$33</c:f>
              <c:numCache>
                <c:formatCode>0.0%</c:formatCode>
                <c:ptCount val="8"/>
                <c:pt idx="0">
                  <c:v>8.8678413219821282E-4</c:v>
                </c:pt>
                <c:pt idx="1">
                  <c:v>1.3798059549431719E-2</c:v>
                </c:pt>
                <c:pt idx="2">
                  <c:v>1.4593518345543085E-5</c:v>
                </c:pt>
                <c:pt idx="3">
                  <c:v>4.4270927651853843E-4</c:v>
                </c:pt>
                <c:pt idx="4">
                  <c:v>0.82519966988551541</c:v>
                </c:pt>
                <c:pt idx="5">
                  <c:v>2.8828667998473919E-3</c:v>
                </c:pt>
                <c:pt idx="6">
                  <c:v>1.0365705064496159E-4</c:v>
                </c:pt>
                <c:pt idx="7">
                  <c:v>5.1823005747400502E-5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return'!$Q$26:$Q$33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return'!$S$26:$S$33</c:f>
              <c:numCache>
                <c:formatCode>0.0%</c:formatCode>
                <c:ptCount val="8"/>
                <c:pt idx="0">
                  <c:v>8.1279755800697882E-3</c:v>
                </c:pt>
                <c:pt idx="1">
                  <c:v>5.5171416636416636E-2</c:v>
                </c:pt>
                <c:pt idx="2">
                  <c:v>1.6771827200463387E-3</c:v>
                </c:pt>
                <c:pt idx="3">
                  <c:v>7.2991160760725437E-3</c:v>
                </c:pt>
                <c:pt idx="4">
                  <c:v>5.7972771658562738E-2</c:v>
                </c:pt>
                <c:pt idx="5">
                  <c:v>2.0771354123494283E-2</c:v>
                </c:pt>
                <c:pt idx="6">
                  <c:v>3.3009776278010378E-3</c:v>
                </c:pt>
                <c:pt idx="7">
                  <c:v>2.2990423592872122E-3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return'!$Q$26:$Q$33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return'!$T$26:$T$33</c:f>
              <c:numCache>
                <c:formatCode>0.0%</c:formatCode>
                <c:ptCount val="8"/>
                <c:pt idx="0">
                  <c:v>7.6264150390000351E-3</c:v>
                </c:pt>
                <c:pt idx="1">
                  <c:v>5.3922459747349397E-2</c:v>
                </c:pt>
                <c:pt idx="2">
                  <c:v>1.9152128391842396E-3</c:v>
                </c:pt>
                <c:pt idx="3">
                  <c:v>8.1167797450242933E-3</c:v>
                </c:pt>
                <c:pt idx="4">
                  <c:v>5.580822607097502E-2</c:v>
                </c:pt>
                <c:pt idx="5">
                  <c:v>2.2619037962837912E-2</c:v>
                </c:pt>
                <c:pt idx="6">
                  <c:v>4.0209663487870868E-3</c:v>
                </c:pt>
                <c:pt idx="7">
                  <c:v>2.0730793584343185E-3</c:v>
                </c:pt>
              </c:numCache>
            </c:numRef>
          </c:val>
        </c:ser>
        <c:gapWidth val="101"/>
        <c:overlap val="100"/>
        <c:axId val="329602944"/>
        <c:axId val="329604480"/>
      </c:barChart>
      <c:catAx>
        <c:axId val="329602944"/>
        <c:scaling>
          <c:orientation val="minMax"/>
        </c:scaling>
        <c:axPos val="l"/>
        <c:tickLblPos val="nextTo"/>
        <c:crossAx val="329604480"/>
        <c:crosses val="autoZero"/>
        <c:auto val="1"/>
        <c:lblAlgn val="ctr"/>
        <c:lblOffset val="100"/>
      </c:catAx>
      <c:valAx>
        <c:axId val="329604480"/>
        <c:scaling>
          <c:orientation val="minMax"/>
        </c:scaling>
        <c:axPos val="b"/>
        <c:majorGridlines/>
        <c:numFmt formatCode="0%" sourceLinked="0"/>
        <c:tickLblPos val="nextTo"/>
        <c:crossAx val="3296029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return'!$Q$37:$Q$44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return'!$R$37:$R$44</c:f>
              <c:numCache>
                <c:formatCode>0.0%</c:formatCode>
                <c:ptCount val="8"/>
                <c:pt idx="0">
                  <c:v>0.58560829165328654</c:v>
                </c:pt>
                <c:pt idx="1">
                  <c:v>2.580178372177608E-3</c:v>
                </c:pt>
                <c:pt idx="2">
                  <c:v>1.7483833572427862E-3</c:v>
                </c:pt>
                <c:pt idx="3">
                  <c:v>1.6572011801079672E-2</c:v>
                </c:pt>
                <c:pt idx="4">
                  <c:v>4.1922136875637159E-2</c:v>
                </c:pt>
                <c:pt idx="5">
                  <c:v>6.0761425181454541E-3</c:v>
                </c:pt>
                <c:pt idx="6">
                  <c:v>3.7265962422271342E-3</c:v>
                </c:pt>
                <c:pt idx="7">
                  <c:v>4.1345072527573394E-4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return'!$Q$37:$Q$44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return'!$S$37:$S$44</c:f>
              <c:numCache>
                <c:formatCode>0.0%</c:formatCode>
                <c:ptCount val="8"/>
                <c:pt idx="0">
                  <c:v>0.10850348678226918</c:v>
                </c:pt>
                <c:pt idx="1">
                  <c:v>1.3106631478521133E-2</c:v>
                </c:pt>
                <c:pt idx="2">
                  <c:v>1.4762435970902675E-2</c:v>
                </c:pt>
                <c:pt idx="3">
                  <c:v>6.0419713348090015E-2</c:v>
                </c:pt>
                <c:pt idx="4">
                  <c:v>8.8027919578704414E-2</c:v>
                </c:pt>
                <c:pt idx="5">
                  <c:v>2.8856735425822105E-2</c:v>
                </c:pt>
                <c:pt idx="6">
                  <c:v>1.9507102950305749E-2</c:v>
                </c:pt>
                <c:pt idx="7">
                  <c:v>8.1687829203127161E-3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return'!$Q$37:$Q$44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return'!$T$37:$T$44</c:f>
              <c:numCache>
                <c:formatCode>0.0%</c:formatCode>
                <c:ptCount val="8"/>
                <c:pt idx="0">
                  <c:v>0.11798303179125214</c:v>
                </c:pt>
                <c:pt idx="1">
                  <c:v>1.4202202825781104E-2</c:v>
                </c:pt>
                <c:pt idx="2">
                  <c:v>1.2541436318073942E-2</c:v>
                </c:pt>
                <c:pt idx="3">
                  <c:v>6.1230482411307019E-2</c:v>
                </c:pt>
                <c:pt idx="4">
                  <c:v>9.1795693236331299E-2</c:v>
                </c:pt>
                <c:pt idx="5">
                  <c:v>2.6102253319130825E-2</c:v>
                </c:pt>
                <c:pt idx="6">
                  <c:v>2.0044746511017709E-2</c:v>
                </c:pt>
                <c:pt idx="7">
                  <c:v>8.4061089374265711E-3</c:v>
                </c:pt>
              </c:numCache>
            </c:numRef>
          </c:val>
        </c:ser>
        <c:gapWidth val="100"/>
        <c:overlap val="100"/>
        <c:axId val="329646464"/>
        <c:axId val="329648000"/>
      </c:barChart>
      <c:catAx>
        <c:axId val="329646464"/>
        <c:scaling>
          <c:orientation val="minMax"/>
        </c:scaling>
        <c:axPos val="l"/>
        <c:tickLblPos val="nextTo"/>
        <c:crossAx val="329648000"/>
        <c:crosses val="autoZero"/>
        <c:auto val="1"/>
        <c:lblAlgn val="ctr"/>
        <c:lblOffset val="100"/>
      </c:catAx>
      <c:valAx>
        <c:axId val="329648000"/>
        <c:scaling>
          <c:orientation val="minMax"/>
        </c:scaling>
        <c:axPos val="b"/>
        <c:majorGridlines/>
        <c:numFmt formatCode="0%" sourceLinked="0"/>
        <c:tickLblPos val="nextTo"/>
        <c:crossAx val="3296464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return'!$Q$48:$Q$55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return'!$R$48:$R$55</c:f>
              <c:numCache>
                <c:formatCode>0.0%</c:formatCode>
                <c:ptCount val="8"/>
                <c:pt idx="0">
                  <c:v>3.7442322971738953E-6</c:v>
                </c:pt>
                <c:pt idx="1">
                  <c:v>5.5699956354084685E-6</c:v>
                </c:pt>
                <c:pt idx="2">
                  <c:v>5.7332667324219061E-7</c:v>
                </c:pt>
                <c:pt idx="3">
                  <c:v>9.5638956105710569E-7</c:v>
                </c:pt>
                <c:pt idx="4">
                  <c:v>2.9670623404360469E-7</c:v>
                </c:pt>
                <c:pt idx="5">
                  <c:v>5.1260444481422263E-5</c:v>
                </c:pt>
                <c:pt idx="6">
                  <c:v>9.1390647137958608E-7</c:v>
                </c:pt>
                <c:pt idx="7">
                  <c:v>0.98078190115486708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return'!$Q$48:$Q$55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return'!$S$48:$S$55</c:f>
              <c:numCache>
                <c:formatCode>0.0%</c:formatCode>
                <c:ptCount val="8"/>
                <c:pt idx="0">
                  <c:v>1.4158377032017296E-3</c:v>
                </c:pt>
                <c:pt idx="1">
                  <c:v>1.7388316909226905E-3</c:v>
                </c:pt>
                <c:pt idx="2">
                  <c:v>7.9006862116947111E-4</c:v>
                </c:pt>
                <c:pt idx="3">
                  <c:v>1.1040378226744466E-3</c:v>
                </c:pt>
                <c:pt idx="4">
                  <c:v>8.0252983679264837E-4</c:v>
                </c:pt>
                <c:pt idx="5">
                  <c:v>4.3162541514734816E-3</c:v>
                </c:pt>
                <c:pt idx="6">
                  <c:v>1.1676817407517714E-3</c:v>
                </c:pt>
                <c:pt idx="7">
                  <c:v>7.8195422767923795E-3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return'!$Q$48:$Q$55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return'!$T$48:$T$55</c:f>
              <c:numCache>
                <c:formatCode>0.0%</c:formatCode>
                <c:ptCount val="8"/>
                <c:pt idx="0">
                  <c:v>1.499943269654974E-3</c:v>
                </c:pt>
                <c:pt idx="1">
                  <c:v>1.8341683737044287E-3</c:v>
                </c:pt>
                <c:pt idx="2">
                  <c:v>1.0090480952694534E-3</c:v>
                </c:pt>
                <c:pt idx="3">
                  <c:v>1.2007181264276274E-3</c:v>
                </c:pt>
                <c:pt idx="4">
                  <c:v>7.2534677064596737E-4</c:v>
                </c:pt>
                <c:pt idx="5">
                  <c:v>5.1508133350444086E-3</c:v>
                </c:pt>
                <c:pt idx="6">
                  <c:v>1.2768596590133881E-3</c:v>
                </c:pt>
                <c:pt idx="7">
                  <c:v>7.9273319636545825E-3</c:v>
                </c:pt>
              </c:numCache>
            </c:numRef>
          </c:val>
        </c:ser>
        <c:gapWidth val="100"/>
        <c:overlap val="100"/>
        <c:axId val="329673344"/>
        <c:axId val="329687424"/>
      </c:barChart>
      <c:catAx>
        <c:axId val="329673344"/>
        <c:scaling>
          <c:orientation val="minMax"/>
        </c:scaling>
        <c:axPos val="l"/>
        <c:tickLblPos val="nextTo"/>
        <c:crossAx val="329687424"/>
        <c:crosses val="autoZero"/>
        <c:auto val="1"/>
        <c:lblAlgn val="ctr"/>
        <c:lblOffset val="100"/>
      </c:catAx>
      <c:valAx>
        <c:axId val="329687424"/>
        <c:scaling>
          <c:orientation val="minMax"/>
        </c:scaling>
        <c:axPos val="b"/>
        <c:majorGridlines/>
        <c:numFmt formatCode="0%" sourceLinked="0"/>
        <c:tickLblPos val="nextTo"/>
        <c:crossAx val="3296733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return'!$Q$80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return'!$R$81:$R$88</c:f>
              <c:numCache>
                <c:formatCode>0.0%</c:formatCode>
                <c:ptCount val="8"/>
                <c:pt idx="0">
                  <c:v>0.17473905222356728</c:v>
                </c:pt>
                <c:pt idx="1">
                  <c:v>0.13422447233026588</c:v>
                </c:pt>
                <c:pt idx="2">
                  <c:v>0.17301882759665085</c:v>
                </c:pt>
                <c:pt idx="3">
                  <c:v>8.6799462078163969E-2</c:v>
                </c:pt>
                <c:pt idx="4">
                  <c:v>1.5676629396173508E-2</c:v>
                </c:pt>
                <c:pt idx="5">
                  <c:v>6.8424821739657624E-2</c:v>
                </c:pt>
                <c:pt idx="6">
                  <c:v>0.10441999489074197</c:v>
                </c:pt>
                <c:pt idx="7">
                  <c:v>1.4220941950753523E-4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return'!$S$81:$S$88</c:f>
              <c:numCache>
                <c:formatCode>0.0%</c:formatCode>
                <c:ptCount val="8"/>
                <c:pt idx="0">
                  <c:v>6.5964124606475272E-2</c:v>
                </c:pt>
                <c:pt idx="1">
                  <c:v>3.3565512140104392E-2</c:v>
                </c:pt>
                <c:pt idx="2">
                  <c:v>1.0319698198445776E-2</c:v>
                </c:pt>
                <c:pt idx="3">
                  <c:v>5.760206238455351E-2</c:v>
                </c:pt>
                <c:pt idx="4">
                  <c:v>6.0308022538329578E-2</c:v>
                </c:pt>
                <c:pt idx="5">
                  <c:v>2.2649480725376869E-3</c:v>
                </c:pt>
                <c:pt idx="6">
                  <c:v>3.4564337933102873E-3</c:v>
                </c:pt>
                <c:pt idx="7">
                  <c:v>9.0737285915150675E-3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return'!$T$81:$T$88</c:f>
              <c:numCache>
                <c:formatCode>0.0%</c:formatCode>
                <c:ptCount val="8"/>
                <c:pt idx="0">
                  <c:v>5.8656746964726392E-2</c:v>
                </c:pt>
                <c:pt idx="1">
                  <c:v>3.3509590645223825E-2</c:v>
                </c:pt>
                <c:pt idx="2">
                  <c:v>9.9652414929300437E-3</c:v>
                </c:pt>
                <c:pt idx="3">
                  <c:v>5.6099904186276472E-2</c:v>
                </c:pt>
                <c:pt idx="4">
                  <c:v>5.465108193810371E-2</c:v>
                </c:pt>
                <c:pt idx="5">
                  <c:v>2.6246033746378655E-3</c:v>
                </c:pt>
                <c:pt idx="6">
                  <c:v>4.0052873212099993E-3</c:v>
                </c:pt>
                <c:pt idx="7">
                  <c:v>1.0705142139380484E-2</c:v>
                </c:pt>
              </c:numCache>
            </c:numRef>
          </c:val>
        </c:ser>
        <c:gapWidth val="100"/>
        <c:overlap val="100"/>
        <c:axId val="329708672"/>
        <c:axId val="329710208"/>
      </c:barChart>
      <c:catAx>
        <c:axId val="329708672"/>
        <c:scaling>
          <c:orientation val="minMax"/>
        </c:scaling>
        <c:axPos val="l"/>
        <c:tickLblPos val="nextTo"/>
        <c:crossAx val="329710208"/>
        <c:crosses val="autoZero"/>
        <c:auto val="1"/>
        <c:lblAlgn val="ctr"/>
        <c:lblOffset val="100"/>
      </c:catAx>
      <c:valAx>
        <c:axId val="329710208"/>
        <c:scaling>
          <c:orientation val="minMax"/>
        </c:scaling>
        <c:axPos val="b"/>
        <c:majorGridlines/>
        <c:numFmt formatCode="0%" sourceLinked="0"/>
        <c:tickLblPos val="nextTo"/>
        <c:crossAx val="3297086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return'!$A$81:$A$88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return'!$B$81:$B$88</c:f>
              <c:numCache>
                <c:formatCode>0.0%</c:formatCode>
                <c:ptCount val="8"/>
                <c:pt idx="0">
                  <c:v>0.24070317683004255</c:v>
                </c:pt>
                <c:pt idx="1">
                  <c:v>0.16778998447037027</c:v>
                </c:pt>
                <c:pt idx="2">
                  <c:v>0.18333852579509663</c:v>
                </c:pt>
                <c:pt idx="3">
                  <c:v>0.14440152446271748</c:v>
                </c:pt>
                <c:pt idx="4">
                  <c:v>7.5984651934503086E-2</c:v>
                </c:pt>
                <c:pt idx="5">
                  <c:v>7.0689769812195311E-2</c:v>
                </c:pt>
                <c:pt idx="6">
                  <c:v>0.10787642868405226</c:v>
                </c:pt>
                <c:pt idx="7">
                  <c:v>9.2159380110226029E-3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return'!$A$111:$A$118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return'!$B$111:$B$118</c:f>
              <c:numCache>
                <c:formatCode>0.0%</c:formatCode>
                <c:ptCount val="8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  <c:pt idx="7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return'!$Q$70:$Q$77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return'!$R$70:$R$77</c:f>
              <c:numCache>
                <c:formatCode>0.0%</c:formatCode>
                <c:ptCount val="8"/>
                <c:pt idx="0">
                  <c:v>1.0193208893065605E-2</c:v>
                </c:pt>
                <c:pt idx="1">
                  <c:v>2.1186030887752152E-3</c:v>
                </c:pt>
                <c:pt idx="2">
                  <c:v>1.2795911810630298E-4</c:v>
                </c:pt>
                <c:pt idx="3">
                  <c:v>1.4466410692700013E-4</c:v>
                </c:pt>
                <c:pt idx="4">
                  <c:v>9.7610679411279919E-2</c:v>
                </c:pt>
                <c:pt idx="5">
                  <c:v>1.5335050853540758E-2</c:v>
                </c:pt>
                <c:pt idx="6">
                  <c:v>0.37068119127118609</c:v>
                </c:pt>
                <c:pt idx="7">
                  <c:v>8.9518147891996581E-6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return'!$Q$70:$Q$77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return'!$S$70:$S$77</c:f>
              <c:numCache>
                <c:formatCode>0.0%</c:formatCode>
                <c:ptCount val="8"/>
                <c:pt idx="0">
                  <c:v>7.5080455292694748E-2</c:v>
                </c:pt>
                <c:pt idx="1">
                  <c:v>4.1667993875361034E-2</c:v>
                </c:pt>
                <c:pt idx="2">
                  <c:v>1.0915517039979419E-2</c:v>
                </c:pt>
                <c:pt idx="3">
                  <c:v>9.8945838225867333E-3</c:v>
                </c:pt>
                <c:pt idx="4">
                  <c:v>8.1076837913952052E-2</c:v>
                </c:pt>
                <c:pt idx="5">
                  <c:v>0.12526386209044285</c:v>
                </c:pt>
                <c:pt idx="6">
                  <c:v>0.15734746747403078</c:v>
                </c:pt>
                <c:pt idx="7">
                  <c:v>2.5329739332815983E-3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return'!$Q$70:$Q$77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return'!$T$70:$T$77</c:f>
              <c:numCache>
                <c:formatCode>0.0%</c:formatCode>
                <c:ptCount val="8"/>
                <c:pt idx="0">
                  <c:v>7.6248249371500737E-2</c:v>
                </c:pt>
                <c:pt idx="1">
                  <c:v>4.2350397042472336E-2</c:v>
                </c:pt>
                <c:pt idx="2">
                  <c:v>1.270891244577449E-2</c:v>
                </c:pt>
                <c:pt idx="3">
                  <c:v>1.018809230793547E-2</c:v>
                </c:pt>
                <c:pt idx="4">
                  <c:v>8.3124299718739747E-2</c:v>
                </c:pt>
                <c:pt idx="5">
                  <c:v>0.12993581715753325</c:v>
                </c:pt>
                <c:pt idx="6">
                  <c:v>0.15217620252590114</c:v>
                </c:pt>
                <c:pt idx="7">
                  <c:v>3.0145360713923317E-3</c:v>
                </c:pt>
              </c:numCache>
            </c:numRef>
          </c:val>
        </c:ser>
        <c:gapWidth val="100"/>
        <c:overlap val="100"/>
        <c:axId val="329817472"/>
        <c:axId val="329827456"/>
      </c:barChart>
      <c:catAx>
        <c:axId val="329817472"/>
        <c:scaling>
          <c:orientation val="minMax"/>
        </c:scaling>
        <c:axPos val="l"/>
        <c:tickLblPos val="nextTo"/>
        <c:crossAx val="329827456"/>
        <c:crosses val="autoZero"/>
        <c:auto val="1"/>
        <c:lblAlgn val="ctr"/>
        <c:lblOffset val="100"/>
      </c:catAx>
      <c:valAx>
        <c:axId val="329827456"/>
        <c:scaling>
          <c:orientation val="minMax"/>
        </c:scaling>
        <c:axPos val="b"/>
        <c:majorGridlines/>
        <c:numFmt formatCode="0%" sourceLinked="0"/>
        <c:tickLblPos val="nextTo"/>
        <c:crossAx val="3298174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return'!$Q$58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061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return'!$Q$59:$Q$66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return'!$R$59:$R$66</c:f>
              <c:numCache>
                <c:formatCode>0.0%</c:formatCode>
                <c:ptCount val="8"/>
                <c:pt idx="0">
                  <c:v>5.9884942021812416E-6</c:v>
                </c:pt>
                <c:pt idx="1">
                  <c:v>4.8168490367931526E-5</c:v>
                </c:pt>
                <c:pt idx="2">
                  <c:v>1.5384432880526997E-6</c:v>
                </c:pt>
                <c:pt idx="3">
                  <c:v>6.7729997238123132E-6</c:v>
                </c:pt>
                <c:pt idx="4">
                  <c:v>5.8775365793094494E-7</c:v>
                </c:pt>
                <c:pt idx="5">
                  <c:v>0.96255983927705868</c:v>
                </c:pt>
                <c:pt idx="6">
                  <c:v>1.7109190219172487E-6</c:v>
                </c:pt>
                <c:pt idx="7">
                  <c:v>1.4719717274272098E-7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return'!$Q$59:$Q$66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return'!$S$59:$S$66</c:f>
              <c:numCache>
                <c:formatCode>0.0%</c:formatCode>
                <c:ptCount val="8"/>
                <c:pt idx="0">
                  <c:v>3.0038342394627989E-3</c:v>
                </c:pt>
                <c:pt idx="1">
                  <c:v>9.9878862503020808E-3</c:v>
                </c:pt>
                <c:pt idx="2">
                  <c:v>2.0727983263761742E-3</c:v>
                </c:pt>
                <c:pt idx="3">
                  <c:v>2.7115117565212669E-3</c:v>
                </c:pt>
                <c:pt idx="4">
                  <c:v>1.8266200521892765E-3</c:v>
                </c:pt>
                <c:pt idx="5">
                  <c:v>1.4624077378971645E-2</c:v>
                </c:pt>
                <c:pt idx="6">
                  <c:v>2.1591978771009347E-3</c:v>
                </c:pt>
                <c:pt idx="7">
                  <c:v>9.8932054458104922E-4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return'!$Q$59:$Q$66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return'!$T$59:$T$66</c:f>
              <c:numCache>
                <c:formatCode>0.0%</c:formatCode>
                <c:ptCount val="8"/>
                <c:pt idx="0">
                  <c:v>3.6798515940889686E-3</c:v>
                </c:pt>
                <c:pt idx="1">
                  <c:v>1.2807077538080637E-2</c:v>
                </c:pt>
                <c:pt idx="2">
                  <c:v>1.913159413355096E-3</c:v>
                </c:pt>
                <c:pt idx="3">
                  <c:v>3.4786912719231089E-3</c:v>
                </c:pt>
                <c:pt idx="4">
                  <c:v>1.9595853105944948E-3</c:v>
                </c:pt>
                <c:pt idx="5">
                  <c:v>1.5218664567446805E-2</c:v>
                </c:pt>
                <c:pt idx="6">
                  <c:v>2.011514697481875E-3</c:v>
                </c:pt>
                <c:pt idx="7">
                  <c:v>9.1689482467175159E-4</c:v>
                </c:pt>
              </c:numCache>
            </c:numRef>
          </c:val>
        </c:ser>
        <c:gapWidth val="100"/>
        <c:overlap val="100"/>
        <c:axId val="330958720"/>
        <c:axId val="330960256"/>
      </c:barChart>
      <c:catAx>
        <c:axId val="330958720"/>
        <c:scaling>
          <c:orientation val="minMax"/>
        </c:scaling>
        <c:axPos val="l"/>
        <c:tickLblPos val="nextTo"/>
        <c:crossAx val="330960256"/>
        <c:crosses val="autoZero"/>
        <c:auto val="1"/>
        <c:lblAlgn val="ctr"/>
        <c:lblOffset val="100"/>
      </c:catAx>
      <c:valAx>
        <c:axId val="330960256"/>
        <c:scaling>
          <c:orientation val="minMax"/>
        </c:scaling>
        <c:axPos val="b"/>
        <c:majorGridlines/>
        <c:numFmt formatCode="0%" sourceLinked="0"/>
        <c:tickLblPos val="nextTo"/>
        <c:crossAx val="3309587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13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14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584105</xdr:colOff>
      <xdr:row>1</xdr:row>
      <xdr:rowOff>190502</xdr:rowOff>
    </xdr:from>
    <xdr:to>
      <xdr:col>23</xdr:col>
      <xdr:colOff>392205</xdr:colOff>
      <xdr:row>18</xdr:row>
      <xdr:rowOff>113462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22</xdr:row>
      <xdr:rowOff>28575</xdr:rowOff>
    </xdr:from>
    <xdr:to>
      <xdr:col>13</xdr:col>
      <xdr:colOff>114300</xdr:colOff>
      <xdr:row>39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17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19</xdr:row>
      <xdr:rowOff>123825</xdr:rowOff>
    </xdr:from>
    <xdr:to>
      <xdr:col>29</xdr:col>
      <xdr:colOff>561975</xdr:colOff>
      <xdr:row>35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36</xdr:row>
      <xdr:rowOff>95250</xdr:rowOff>
    </xdr:from>
    <xdr:to>
      <xdr:col>29</xdr:col>
      <xdr:colOff>495300</xdr:colOff>
      <xdr:row>50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36</xdr:row>
      <xdr:rowOff>66675</xdr:rowOff>
    </xdr:from>
    <xdr:to>
      <xdr:col>37</xdr:col>
      <xdr:colOff>133350</xdr:colOff>
      <xdr:row>50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52</xdr:row>
      <xdr:rowOff>95250</xdr:rowOff>
    </xdr:from>
    <xdr:to>
      <xdr:col>30</xdr:col>
      <xdr:colOff>95250</xdr:colOff>
      <xdr:row>66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19</xdr:row>
      <xdr:rowOff>95250</xdr:rowOff>
    </xdr:from>
    <xdr:to>
      <xdr:col>37</xdr:col>
      <xdr:colOff>285750</xdr:colOff>
      <xdr:row>33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52</xdr:row>
      <xdr:rowOff>57150</xdr:rowOff>
    </xdr:from>
    <xdr:to>
      <xdr:col>37</xdr:col>
      <xdr:colOff>114300</xdr:colOff>
      <xdr:row>66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19</xdr:row>
      <xdr:rowOff>95250</xdr:rowOff>
    </xdr:from>
    <xdr:to>
      <xdr:col>28</xdr:col>
      <xdr:colOff>295275</xdr:colOff>
      <xdr:row>35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19</xdr:row>
      <xdr:rowOff>95250</xdr:rowOff>
    </xdr:from>
    <xdr:to>
      <xdr:col>35</xdr:col>
      <xdr:colOff>600075</xdr:colOff>
      <xdr:row>35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35</xdr:row>
      <xdr:rowOff>180975</xdr:rowOff>
    </xdr:from>
    <xdr:to>
      <xdr:col>28</xdr:col>
      <xdr:colOff>295275</xdr:colOff>
      <xdr:row>51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35</xdr:row>
      <xdr:rowOff>180975</xdr:rowOff>
    </xdr:from>
    <xdr:to>
      <xdr:col>36</xdr:col>
      <xdr:colOff>0</xdr:colOff>
      <xdr:row>51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18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90</xdr:row>
      <xdr:rowOff>180974</xdr:rowOff>
    </xdr:from>
    <xdr:to>
      <xdr:col>15</xdr:col>
      <xdr:colOff>152400</xdr:colOff>
      <xdr:row>108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90</xdr:row>
      <xdr:rowOff>180974</xdr:rowOff>
    </xdr:from>
    <xdr:to>
      <xdr:col>5</xdr:col>
      <xdr:colOff>704849</xdr:colOff>
      <xdr:row>108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55</xdr:row>
      <xdr:rowOff>133350</xdr:rowOff>
    </xdr:from>
    <xdr:to>
      <xdr:col>28</xdr:col>
      <xdr:colOff>504825</xdr:colOff>
      <xdr:row>71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55</xdr:row>
      <xdr:rowOff>95250</xdr:rowOff>
    </xdr:from>
    <xdr:to>
      <xdr:col>37</xdr:col>
      <xdr:colOff>38100</xdr:colOff>
      <xdr:row>70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Y206"/>
  <sheetViews>
    <sheetView tabSelected="1" zoomScale="85" zoomScaleNormal="85" workbookViewId="0"/>
  </sheetViews>
  <sheetFormatPr defaultRowHeight="15"/>
  <cols>
    <col min="1" max="1" width="32.7109375" style="70" customWidth="1"/>
    <col min="2" max="6" width="15.7109375" style="70" customWidth="1"/>
    <col min="7" max="7" width="17.28515625" style="70" customWidth="1"/>
    <col min="8" max="22" width="9.140625" style="70"/>
    <col min="23" max="23" width="9.140625" style="127"/>
    <col min="24" max="24" width="20.42578125" style="127" bestFit="1" customWidth="1"/>
    <col min="25" max="16384" width="9.140625" style="70"/>
  </cols>
  <sheetData>
    <row r="1" spans="1:25" ht="15.75" thickBot="1">
      <c r="A1" s="131"/>
      <c r="B1" s="224" t="s">
        <v>100</v>
      </c>
      <c r="C1" s="308" t="s">
        <v>93</v>
      </c>
      <c r="D1" s="308"/>
      <c r="E1" s="309"/>
      <c r="F1" s="224" t="s">
        <v>123</v>
      </c>
      <c r="G1" s="224" t="s">
        <v>98</v>
      </c>
      <c r="X1" s="307"/>
      <c r="Y1" s="307"/>
    </row>
    <row r="2" spans="1:25" ht="15.75" thickBot="1">
      <c r="A2" s="133"/>
      <c r="B2" s="225" t="s">
        <v>101</v>
      </c>
      <c r="C2" s="134" t="s">
        <v>91</v>
      </c>
      <c r="D2" s="135" t="s">
        <v>92</v>
      </c>
      <c r="E2" s="136" t="s">
        <v>23</v>
      </c>
      <c r="F2" s="225" t="s">
        <v>101</v>
      </c>
      <c r="G2" s="225" t="s">
        <v>101</v>
      </c>
      <c r="Y2" s="307"/>
    </row>
    <row r="3" spans="1:25">
      <c r="A3" s="137" t="str">
        <f>Scenarios!A4</f>
        <v>Nominale matching</v>
      </c>
      <c r="B3" s="212">
        <v>0.55552002657163746</v>
      </c>
      <c r="C3" s="292">
        <v>0.5</v>
      </c>
      <c r="D3" s="287">
        <v>0.6</v>
      </c>
      <c r="E3" s="139">
        <v>0.99</v>
      </c>
      <c r="F3" s="138">
        <f>'Samenvatting mixen'!B88</f>
        <v>0.56614837782291871</v>
      </c>
      <c r="G3" s="288">
        <f>+F3-B3</f>
        <v>1.0628351251281254E-2</v>
      </c>
      <c r="H3" s="277"/>
      <c r="V3" s="127"/>
      <c r="Y3" s="307"/>
    </row>
    <row r="4" spans="1:25">
      <c r="A4" s="137" t="str">
        <f>Scenarios!A5</f>
        <v>High Yield</v>
      </c>
      <c r="B4" s="212">
        <v>9.7772401711769694E-2</v>
      </c>
      <c r="C4" s="275">
        <v>0.05</v>
      </c>
      <c r="D4" s="212">
        <v>0.15</v>
      </c>
      <c r="E4" s="139">
        <v>0.99</v>
      </c>
      <c r="F4" s="138">
        <f>'Samenvatting mixen'!B89</f>
        <v>0.10501742960356247</v>
      </c>
      <c r="G4" s="287">
        <f t="shared" ref="G4:G11" si="0">+F4-B4</f>
        <v>7.2450278917927796E-3</v>
      </c>
      <c r="H4" s="278"/>
      <c r="V4" s="127"/>
      <c r="W4" s="127" t="str">
        <f>A4</f>
        <v>High Yield</v>
      </c>
      <c r="X4" s="128">
        <f>B4/SUM($B$4:$B$11)</f>
        <v>0.2199703193771177</v>
      </c>
      <c r="Y4" s="307"/>
    </row>
    <row r="5" spans="1:25">
      <c r="A5" s="137" t="str">
        <f>Scenarios!A6</f>
        <v>Emerging market debt</v>
      </c>
      <c r="B5" s="212">
        <v>9.4763191533410202E-2</v>
      </c>
      <c r="C5" s="275">
        <v>0.05</v>
      </c>
      <c r="D5" s="212">
        <v>0.2</v>
      </c>
      <c r="E5" s="139">
        <v>0.99</v>
      </c>
      <c r="F5" s="138">
        <f>'Samenvatting mixen'!B90</f>
        <v>7.2949631494426681E-2</v>
      </c>
      <c r="G5" s="138">
        <f t="shared" si="0"/>
        <v>-2.181356003898352E-2</v>
      </c>
      <c r="V5" s="127"/>
      <c r="W5" s="127" t="str">
        <f t="shared" ref="W5:W11" si="1">A5</f>
        <v>Emerging market debt</v>
      </c>
      <c r="X5" s="128">
        <f t="shared" ref="X5:X11" si="2">B5/SUM($B$4:$B$11)</f>
        <v>0.21320013768558083</v>
      </c>
      <c r="Y5" s="307"/>
    </row>
    <row r="6" spans="1:25">
      <c r="A6" s="137" t="str">
        <f>Scenarios!A7</f>
        <v>Aandelen ontwikkeld</v>
      </c>
      <c r="B6" s="275">
        <v>0.10281340879516217</v>
      </c>
      <c r="C6" s="275">
        <v>7.4999999999999997E-2</v>
      </c>
      <c r="D6" s="212">
        <v>0.3</v>
      </c>
      <c r="E6" s="139">
        <v>0.99</v>
      </c>
      <c r="F6" s="138">
        <f>'Samenvatting mixen'!B91</f>
        <v>7.9449900411325464E-2</v>
      </c>
      <c r="G6" s="138">
        <f t="shared" si="0"/>
        <v>-2.3363508383836704E-2</v>
      </c>
      <c r="H6" s="277"/>
      <c r="V6" s="127"/>
      <c r="W6" s="127" t="str">
        <f t="shared" si="1"/>
        <v>Aandelen ontwikkeld</v>
      </c>
      <c r="X6" s="128">
        <f t="shared" si="2"/>
        <v>0.2313116786840628</v>
      </c>
      <c r="Y6" s="307"/>
    </row>
    <row r="7" spans="1:25">
      <c r="A7" s="137" t="str">
        <f>Scenarios!A8</f>
        <v>Aandelen opkomend</v>
      </c>
      <c r="B7" s="275">
        <v>5.1014363077869621E-2</v>
      </c>
      <c r="C7" s="275">
        <v>2.5000000000000001E-2</v>
      </c>
      <c r="D7" s="212">
        <v>0.15</v>
      </c>
      <c r="E7" s="139">
        <v>0.99</v>
      </c>
      <c r="F7" s="138">
        <f>'Samenvatting mixen'!B92</f>
        <v>6.2337880651623594E-2</v>
      </c>
      <c r="G7" s="138">
        <f t="shared" si="0"/>
        <v>1.1323517573753973E-2</v>
      </c>
      <c r="H7" s="277"/>
      <c r="V7" s="127"/>
      <c r="W7" s="127" t="str">
        <f t="shared" si="1"/>
        <v>Aandelen opkomend</v>
      </c>
      <c r="X7" s="128">
        <f t="shared" si="2"/>
        <v>0.1147731419357</v>
      </c>
      <c r="Y7" s="307"/>
    </row>
    <row r="8" spans="1:25">
      <c r="A8" s="137" t="str">
        <f>Scenarios!A9</f>
        <v>Commodities</v>
      </c>
      <c r="B8" s="212">
        <v>2.0731266317763185E-2</v>
      </c>
      <c r="C8" s="275">
        <v>0</v>
      </c>
      <c r="D8" s="212">
        <v>0.1</v>
      </c>
      <c r="E8" s="139">
        <v>0.99</v>
      </c>
      <c r="F8" s="138">
        <f>'Samenvatting mixen'!B93</f>
        <v>3.2719897869213317E-2</v>
      </c>
      <c r="G8" s="138">
        <f t="shared" si="0"/>
        <v>1.1988631551450132E-2</v>
      </c>
      <c r="H8" s="277"/>
      <c r="V8" s="127"/>
      <c r="W8" s="127" t="str">
        <f t="shared" si="1"/>
        <v>Commodities</v>
      </c>
      <c r="X8" s="128">
        <f t="shared" si="2"/>
        <v>4.6641620673837786E-2</v>
      </c>
      <c r="Y8" s="307"/>
    </row>
    <row r="9" spans="1:25">
      <c r="A9" s="137" t="str">
        <f>Scenarios!A10</f>
        <v>Hedge funds</v>
      </c>
      <c r="B9" s="212">
        <v>3.0634868515694261E-2</v>
      </c>
      <c r="C9" s="275">
        <v>3.0634868515694261E-2</v>
      </c>
      <c r="D9" s="212">
        <v>3.0634868515694261E-2</v>
      </c>
      <c r="E9" s="139">
        <v>0.99</v>
      </c>
      <c r="F9" s="138">
        <f>'Samenvatting mixen'!B94</f>
        <v>3.0634868515694108E-2</v>
      </c>
      <c r="G9" s="138">
        <f t="shared" si="0"/>
        <v>-1.5265566588595902E-16</v>
      </c>
      <c r="V9" s="127"/>
      <c r="W9" s="127" t="str">
        <f t="shared" si="1"/>
        <v>Hedge funds</v>
      </c>
      <c r="X9" s="128">
        <f t="shared" si="2"/>
        <v>6.8922944445396317E-2</v>
      </c>
      <c r="Y9" s="307"/>
    </row>
    <row r="10" spans="1:25">
      <c r="A10" s="293" t="s">
        <v>11</v>
      </c>
      <c r="B10" s="212">
        <v>4.6750473476693498E-2</v>
      </c>
      <c r="C10" s="275">
        <v>4.6750473476693526E-2</v>
      </c>
      <c r="D10" s="212">
        <v>4.6750473476693526E-2</v>
      </c>
      <c r="E10" s="139">
        <v>0.99</v>
      </c>
      <c r="F10" s="138">
        <f>'Samenvatting mixen'!B95</f>
        <v>4.6750473476693123E-2</v>
      </c>
      <c r="G10" s="138">
        <f t="shared" ref="G10" si="3">+F10-B10</f>
        <v>-3.7470027081099033E-16</v>
      </c>
      <c r="V10" s="127"/>
      <c r="W10" s="127" t="str">
        <f t="shared" si="1"/>
        <v>Onroerend goed</v>
      </c>
      <c r="X10" s="128">
        <f t="shared" si="2"/>
        <v>0.10518015719830477</v>
      </c>
      <c r="Y10" s="307"/>
    </row>
    <row r="11" spans="1:25" ht="15.75" thickBot="1">
      <c r="A11" s="185" t="s">
        <v>131</v>
      </c>
      <c r="B11" s="213">
        <v>0</v>
      </c>
      <c r="C11" s="276">
        <v>0</v>
      </c>
      <c r="D11" s="212">
        <v>1</v>
      </c>
      <c r="E11" s="141">
        <v>0.99</v>
      </c>
      <c r="F11" s="140">
        <f>'Samenvatting mixen'!B96</f>
        <v>3.9915401545420979E-3</v>
      </c>
      <c r="G11" s="140">
        <f t="shared" si="0"/>
        <v>3.9915401545420979E-3</v>
      </c>
      <c r="V11" s="127"/>
      <c r="W11" s="127" t="str">
        <f t="shared" si="1"/>
        <v>Periferie bonds</v>
      </c>
      <c r="X11" s="128">
        <f t="shared" si="2"/>
        <v>0</v>
      </c>
      <c r="Y11" s="307"/>
    </row>
    <row r="12" spans="1:25" ht="15.75" thickBot="1">
      <c r="A12" s="142" t="s">
        <v>89</v>
      </c>
      <c r="B12" s="143">
        <f>Scenarios!C13</f>
        <v>9.982328696892509E-2</v>
      </c>
      <c r="C12" s="132"/>
      <c r="D12" s="144" t="s">
        <v>102</v>
      </c>
      <c r="E12" s="145">
        <v>0.99</v>
      </c>
      <c r="F12" s="132"/>
      <c r="V12" s="127"/>
      <c r="X12" s="129"/>
      <c r="Y12" s="307"/>
    </row>
    <row r="13" spans="1:25">
      <c r="A13" s="166" t="s">
        <v>103</v>
      </c>
      <c r="B13" s="146">
        <v>0.03</v>
      </c>
      <c r="C13" s="132"/>
      <c r="D13" s="147"/>
      <c r="E13" s="148"/>
      <c r="F13" s="132"/>
      <c r="V13" s="127"/>
      <c r="Y13" s="307"/>
    </row>
    <row r="14" spans="1:25">
      <c r="A14" s="132"/>
      <c r="B14" s="132"/>
      <c r="C14" s="132"/>
      <c r="D14" s="147"/>
      <c r="E14" s="148"/>
      <c r="F14" s="132"/>
      <c r="Y14" s="307"/>
    </row>
    <row r="15" spans="1:25">
      <c r="A15" s="132"/>
      <c r="B15" s="132"/>
      <c r="C15" s="132"/>
      <c r="D15" s="132"/>
      <c r="E15" s="132"/>
      <c r="F15" s="132"/>
    </row>
    <row r="16" spans="1:25">
      <c r="A16" s="284" t="s">
        <v>129</v>
      </c>
      <c r="B16" s="282">
        <f t="array" ref="B16">+MMULT(TRANSPOSE(F3:F11),MMULT('Absolute visies'!O4:W12,F3:F11))^(0.5)</f>
        <v>9.8170094018437015E-2</v>
      </c>
      <c r="C16" s="283"/>
      <c r="D16" s="283"/>
      <c r="E16" s="283"/>
      <c r="F16" s="211"/>
    </row>
    <row r="17" spans="1:6">
      <c r="A17" s="159"/>
      <c r="B17" s="211"/>
      <c r="C17" s="211"/>
      <c r="D17" s="211"/>
      <c r="E17" s="211"/>
      <c r="F17" s="159"/>
    </row>
    <row r="18" spans="1:6">
      <c r="A18" s="159"/>
      <c r="B18" s="157"/>
      <c r="C18" s="157"/>
      <c r="D18" s="157"/>
      <c r="E18" s="157"/>
      <c r="F18" s="148"/>
    </row>
    <row r="19" spans="1:6">
      <c r="A19" s="159"/>
      <c r="B19" s="157"/>
      <c r="C19" s="157"/>
      <c r="D19" s="157"/>
      <c r="E19" s="157"/>
      <c r="F19" s="148"/>
    </row>
    <row r="20" spans="1:6">
      <c r="A20" s="159"/>
      <c r="B20" s="157"/>
      <c r="C20" s="157"/>
      <c r="D20" s="157"/>
      <c r="E20" s="157"/>
      <c r="F20" s="148"/>
    </row>
    <row r="21" spans="1:6">
      <c r="A21" s="159"/>
      <c r="B21" s="159"/>
      <c r="C21" s="159"/>
      <c r="D21" s="159"/>
      <c r="E21" s="159"/>
      <c r="F21" s="148"/>
    </row>
    <row r="22" spans="1:6">
      <c r="A22" s="132"/>
      <c r="B22" s="132"/>
      <c r="C22" s="132"/>
      <c r="D22" s="132"/>
      <c r="E22" s="132"/>
      <c r="F22" s="132"/>
    </row>
    <row r="23" spans="1:6">
      <c r="A23" s="159" t="s">
        <v>14</v>
      </c>
      <c r="B23" s="160" t="s">
        <v>49</v>
      </c>
      <c r="C23" s="132"/>
      <c r="D23" s="132"/>
      <c r="E23" s="132"/>
      <c r="F23" s="132"/>
    </row>
    <row r="24" spans="1:6" ht="15.75" thickBot="1">
      <c r="A24" s="132"/>
      <c r="B24" s="132"/>
      <c r="C24" s="132"/>
      <c r="D24" s="132"/>
      <c r="E24" s="132"/>
      <c r="F24" s="132"/>
    </row>
    <row r="25" spans="1:6" ht="15.75" thickBot="1">
      <c r="A25" s="161" t="s">
        <v>93</v>
      </c>
      <c r="B25" s="162"/>
      <c r="C25" s="136" t="s">
        <v>106</v>
      </c>
      <c r="D25" s="132"/>
      <c r="E25" s="132"/>
      <c r="F25" s="132"/>
    </row>
    <row r="26" spans="1:6">
      <c r="A26" s="163" t="s">
        <v>105</v>
      </c>
      <c r="B26" s="138">
        <v>0</v>
      </c>
      <c r="C26" s="164">
        <v>0</v>
      </c>
      <c r="D26" s="132"/>
      <c r="E26" s="132"/>
      <c r="F26" s="132"/>
    </row>
    <row r="27" spans="1:6">
      <c r="A27" s="163" t="s">
        <v>104</v>
      </c>
      <c r="B27" s="212">
        <f>+B12</f>
        <v>9.982328696892509E-2</v>
      </c>
      <c r="C27" s="164">
        <v>1</v>
      </c>
      <c r="D27" s="132"/>
      <c r="E27" s="132"/>
      <c r="F27" s="132"/>
    </row>
    <row r="28" spans="1:6" ht="15.75" thickBot="1">
      <c r="A28" s="165" t="s">
        <v>107</v>
      </c>
      <c r="B28" s="140">
        <v>0.02</v>
      </c>
      <c r="C28" s="153">
        <v>0</v>
      </c>
      <c r="D28" s="132"/>
      <c r="E28" s="132"/>
      <c r="F28" s="132"/>
    </row>
    <row r="29" spans="1:6">
      <c r="A29" s="132"/>
      <c r="B29" s="132"/>
      <c r="C29" s="132"/>
      <c r="D29" s="132"/>
      <c r="E29" s="132"/>
      <c r="F29" s="132"/>
    </row>
    <row r="30" spans="1:6">
      <c r="A30" s="196" t="s">
        <v>108</v>
      </c>
      <c r="B30" s="132"/>
      <c r="C30" s="132"/>
      <c r="D30" s="132"/>
      <c r="E30" s="132"/>
      <c r="F30" s="132"/>
    </row>
    <row r="31" spans="1:6">
      <c r="A31" s="166" t="s">
        <v>53</v>
      </c>
      <c r="B31" s="167">
        <v>0</v>
      </c>
      <c r="C31" s="132"/>
      <c r="D31" s="132"/>
      <c r="E31" s="132"/>
      <c r="F31" s="132"/>
    </row>
    <row r="32" spans="1:6">
      <c r="A32" s="166" t="s">
        <v>54</v>
      </c>
      <c r="B32" s="168">
        <v>2</v>
      </c>
      <c r="C32" s="132"/>
      <c r="D32" s="132"/>
      <c r="E32" s="132"/>
      <c r="F32" s="132"/>
    </row>
    <row r="33" spans="1:6">
      <c r="A33" s="132"/>
      <c r="B33" s="132"/>
      <c r="C33" s="132"/>
      <c r="D33" s="132"/>
      <c r="E33" s="132"/>
      <c r="F33" s="132"/>
    </row>
    <row r="34" spans="1:6">
      <c r="A34" s="70" t="s">
        <v>111</v>
      </c>
    </row>
    <row r="35" spans="1:6">
      <c r="A35" s="197" t="s">
        <v>109</v>
      </c>
      <c r="B35" s="169">
        <v>500</v>
      </c>
    </row>
    <row r="36" spans="1:6">
      <c r="A36" s="197" t="s">
        <v>110</v>
      </c>
      <c r="B36" s="169" t="s">
        <v>60</v>
      </c>
    </row>
    <row r="45" spans="1:6">
      <c r="A45" s="70" t="s">
        <v>135</v>
      </c>
    </row>
    <row r="100" spans="1:1">
      <c r="A100" s="69" t="s">
        <v>14</v>
      </c>
    </row>
    <row r="101" spans="1:1">
      <c r="A101" s="70" t="s">
        <v>58</v>
      </c>
    </row>
    <row r="102" spans="1:1">
      <c r="A102" s="70" t="s">
        <v>49</v>
      </c>
    </row>
    <row r="103" spans="1:1">
      <c r="A103" s="70" t="s">
        <v>50</v>
      </c>
    </row>
    <row r="104" spans="1:1">
      <c r="A104" s="70" t="s">
        <v>51</v>
      </c>
    </row>
    <row r="106" spans="1:1">
      <c r="A106" s="169">
        <v>0</v>
      </c>
    </row>
    <row r="107" spans="1:1">
      <c r="A107" s="169">
        <v>1</v>
      </c>
    </row>
    <row r="108" spans="1:1">
      <c r="A108" s="169">
        <v>2</v>
      </c>
    </row>
    <row r="110" spans="1:1">
      <c r="A110" s="169" t="s">
        <v>60</v>
      </c>
    </row>
    <row r="111" spans="1:1">
      <c r="A111" s="169" t="s">
        <v>61</v>
      </c>
    </row>
    <row r="199" spans="1:6" ht="15.75" thickBot="1"/>
    <row r="200" spans="1:6">
      <c r="A200" s="149"/>
      <c r="B200" s="310" t="s">
        <v>98</v>
      </c>
      <c r="C200" s="308"/>
      <c r="D200" s="308"/>
      <c r="E200" s="309"/>
      <c r="F200" s="210" t="s">
        <v>99</v>
      </c>
    </row>
    <row r="201" spans="1:6" ht="15.75" thickBot="1">
      <c r="A201" s="150"/>
      <c r="B201" s="151" t="s">
        <v>94</v>
      </c>
      <c r="C201" s="152" t="s">
        <v>78</v>
      </c>
      <c r="D201" s="152" t="s">
        <v>95</v>
      </c>
      <c r="E201" s="153" t="s">
        <v>96</v>
      </c>
      <c r="F201" s="154"/>
    </row>
    <row r="202" spans="1:6">
      <c r="A202" s="155" t="s">
        <v>27</v>
      </c>
      <c r="B202" s="156">
        <v>-1E-3</v>
      </c>
      <c r="C202" s="157">
        <v>9.5665806092079075E-4</v>
      </c>
      <c r="D202" s="157">
        <v>-4.2098094805683751E-3</v>
      </c>
      <c r="E202" s="158">
        <v>-2.1826028553036574E-3</v>
      </c>
      <c r="F202" s="139">
        <v>0.6</v>
      </c>
    </row>
    <row r="203" spans="1:6">
      <c r="A203" s="155" t="s">
        <v>29</v>
      </c>
      <c r="B203" s="156">
        <v>-0.01</v>
      </c>
      <c r="C203" s="157">
        <v>-1.5821642227643869E-2</v>
      </c>
      <c r="D203" s="157">
        <v>2.4975428417868189E-2</v>
      </c>
      <c r="E203" s="158">
        <v>7.9322737499224957E-3</v>
      </c>
      <c r="F203" s="139">
        <v>0.4</v>
      </c>
    </row>
    <row r="204" spans="1:6">
      <c r="A204" s="155" t="s">
        <v>28</v>
      </c>
      <c r="B204" s="156">
        <v>9.9999999999999985E-3</v>
      </c>
      <c r="C204" s="157">
        <v>7.8062556418956319E-18</v>
      </c>
      <c r="D204" s="157">
        <v>-3.0000000000000002E-2</v>
      </c>
      <c r="E204" s="158">
        <v>-2.0000000000000004E-2</v>
      </c>
      <c r="F204" s="139">
        <v>0</v>
      </c>
    </row>
    <row r="205" spans="1:6" ht="15.75" thickBot="1">
      <c r="A205" s="155" t="s">
        <v>97</v>
      </c>
      <c r="B205" s="156">
        <v>1.0378578383895283E-2</v>
      </c>
      <c r="C205" s="157">
        <v>1.3858854184576361E-2</v>
      </c>
      <c r="D205" s="157">
        <v>1.3462277224022302E-3</v>
      </c>
      <c r="E205" s="158">
        <v>7.8027138965618484E-4</v>
      </c>
      <c r="F205" s="139">
        <v>0</v>
      </c>
    </row>
    <row r="206" spans="1:6" ht="15.75" thickBot="1">
      <c r="A206" s="162" t="s">
        <v>70</v>
      </c>
      <c r="B206" s="161"/>
      <c r="C206" s="170"/>
      <c r="D206" s="170"/>
      <c r="E206" s="171"/>
      <c r="F206" s="145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7"/>
  <sheetViews>
    <sheetView zoomScale="85" zoomScaleNormal="85" workbookViewId="0">
      <selection activeCell="D19" sqref="D19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2"/>
      <c r="C1" s="72"/>
      <c r="D1" s="73"/>
    </row>
    <row r="2" spans="1:21" ht="15" customHeight="1">
      <c r="A2" s="74"/>
      <c r="B2" s="294" t="s">
        <v>79</v>
      </c>
      <c r="C2" s="13" t="s">
        <v>79</v>
      </c>
      <c r="D2" s="274" t="s">
        <v>116</v>
      </c>
      <c r="E2" s="312" t="s">
        <v>117</v>
      </c>
      <c r="F2" s="313"/>
      <c r="G2" s="313"/>
      <c r="H2" s="313"/>
      <c r="I2" s="313"/>
      <c r="J2" s="313"/>
      <c r="K2" s="313"/>
      <c r="L2" s="313"/>
      <c r="M2" s="314"/>
    </row>
    <row r="3" spans="1:21" ht="13.5" thickBot="1">
      <c r="A3" s="96"/>
      <c r="B3" s="295" t="s">
        <v>80</v>
      </c>
      <c r="C3" s="75" t="s">
        <v>82</v>
      </c>
      <c r="D3" s="75" t="s">
        <v>2</v>
      </c>
      <c r="E3" s="187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5" t="s">
        <v>77</v>
      </c>
      <c r="M3" s="29" t="s">
        <v>136</v>
      </c>
      <c r="S3" s="77"/>
      <c r="T3" s="71"/>
      <c r="U3" s="71"/>
    </row>
    <row r="4" spans="1:21">
      <c r="A4" s="97" t="s">
        <v>4</v>
      </c>
      <c r="B4" s="16">
        <f>'Control panel'!B3</f>
        <v>0.55552002657163746</v>
      </c>
      <c r="C4" s="172">
        <v>0</v>
      </c>
      <c r="D4" s="217">
        <v>4.3450149472468363E-2</v>
      </c>
      <c r="E4" s="214">
        <v>1</v>
      </c>
      <c r="F4" s="215">
        <v>0.5243300313487167</v>
      </c>
      <c r="G4" s="215">
        <v>0.5048621610682209</v>
      </c>
      <c r="H4" s="215">
        <v>0.25487540552021803</v>
      </c>
      <c r="I4" s="215">
        <v>0.29680815289592971</v>
      </c>
      <c r="J4" s="215">
        <v>0.25154461316198484</v>
      </c>
      <c r="K4" s="215">
        <v>0.48821319241673689</v>
      </c>
      <c r="L4" s="215">
        <v>0.39542796227510119</v>
      </c>
      <c r="M4" s="216">
        <v>0.47422188785278757</v>
      </c>
      <c r="N4" s="265"/>
      <c r="O4" s="265"/>
      <c r="P4" s="265"/>
      <c r="S4" s="79"/>
      <c r="T4" s="6"/>
      <c r="U4" s="80"/>
    </row>
    <row r="5" spans="1:21">
      <c r="A5" s="97" t="s">
        <v>5</v>
      </c>
      <c r="B5" s="20">
        <f>'Control panel'!B4</f>
        <v>9.7772401711769694E-2</v>
      </c>
      <c r="C5" s="172">
        <v>0.03</v>
      </c>
      <c r="D5" s="217">
        <v>0.15853561014014847</v>
      </c>
      <c r="E5" s="217">
        <v>0.52433003134871636</v>
      </c>
      <c r="F5" s="266">
        <v>1</v>
      </c>
      <c r="G5" s="266">
        <v>0.94338322745767289</v>
      </c>
      <c r="H5" s="266">
        <v>0.74070013517974964</v>
      </c>
      <c r="I5" s="266">
        <v>0.74187676376193956</v>
      </c>
      <c r="J5" s="266">
        <v>0.60846903584875156</v>
      </c>
      <c r="K5" s="266">
        <v>0.86668583493806206</v>
      </c>
      <c r="L5" s="266">
        <v>0.86259221475724557</v>
      </c>
      <c r="M5" s="267">
        <v>0.75906077754107681</v>
      </c>
      <c r="N5" s="265"/>
      <c r="O5" s="265"/>
      <c r="P5" s="265"/>
      <c r="S5" s="79"/>
      <c r="T5" s="6"/>
      <c r="U5" s="80"/>
    </row>
    <row r="6" spans="1:21">
      <c r="A6" s="97" t="s">
        <v>6</v>
      </c>
      <c r="B6" s="20">
        <f>'Control panel'!B5</f>
        <v>9.4763191533410202E-2</v>
      </c>
      <c r="C6" s="172">
        <v>3.139819541969964E-2</v>
      </c>
      <c r="D6" s="217">
        <v>0.16217253275473525</v>
      </c>
      <c r="E6" s="217">
        <v>0.50486216106822102</v>
      </c>
      <c r="F6" s="266">
        <v>0.943383227457673</v>
      </c>
      <c r="G6" s="266">
        <v>1</v>
      </c>
      <c r="H6" s="266">
        <v>0.77223648924957744</v>
      </c>
      <c r="I6" s="266">
        <v>0.79023745754825636</v>
      </c>
      <c r="J6" s="266">
        <v>0.63110682083437419</v>
      </c>
      <c r="K6" s="266">
        <v>0.87120901203593171</v>
      </c>
      <c r="L6" s="266">
        <v>0.86536847063850975</v>
      </c>
      <c r="M6" s="267">
        <v>0.72481655312346349</v>
      </c>
      <c r="N6" s="265"/>
      <c r="O6" s="265"/>
      <c r="P6" s="265"/>
      <c r="S6" s="79"/>
      <c r="T6" s="6"/>
      <c r="U6" s="80"/>
    </row>
    <row r="7" spans="1:21">
      <c r="A7" s="97" t="s">
        <v>7</v>
      </c>
      <c r="B7" s="20">
        <f>'Control panel'!B6</f>
        <v>0.10281340879516217</v>
      </c>
      <c r="C7" s="172">
        <v>5.6592124636374697E-2</v>
      </c>
      <c r="D7" s="217">
        <v>0.28718972670468956</v>
      </c>
      <c r="E7" s="217">
        <v>0.2548754055202187</v>
      </c>
      <c r="F7" s="266">
        <v>0.74070013517974975</v>
      </c>
      <c r="G7" s="266">
        <v>0.77223648924957744</v>
      </c>
      <c r="H7" s="266">
        <v>1</v>
      </c>
      <c r="I7" s="266">
        <v>0.81106497730540505</v>
      </c>
      <c r="J7" s="266">
        <v>0.69909036020626758</v>
      </c>
      <c r="K7" s="266">
        <v>0.74571542163255744</v>
      </c>
      <c r="L7" s="266">
        <v>0.88603334197313832</v>
      </c>
      <c r="M7" s="267">
        <v>0.62515021546234684</v>
      </c>
      <c r="N7" s="265"/>
      <c r="O7" s="265"/>
      <c r="P7" s="265"/>
      <c r="S7" s="79"/>
      <c r="T7" s="6"/>
      <c r="U7" s="80"/>
    </row>
    <row r="8" spans="1:21">
      <c r="A8" s="97" t="s">
        <v>8</v>
      </c>
      <c r="B8" s="20">
        <f>'Control panel'!B7</f>
        <v>5.1014363077869621E-2</v>
      </c>
      <c r="C8" s="172">
        <v>5.6149706786613261E-2</v>
      </c>
      <c r="D8" s="217">
        <v>0.29616397669669142</v>
      </c>
      <c r="E8" s="217">
        <v>0.29680815289593021</v>
      </c>
      <c r="F8" s="266">
        <v>0.74187676376193967</v>
      </c>
      <c r="G8" s="266">
        <v>0.79023745754825636</v>
      </c>
      <c r="H8" s="266">
        <v>0.81106497730540505</v>
      </c>
      <c r="I8" s="266">
        <v>0.99999999999999978</v>
      </c>
      <c r="J8" s="266">
        <v>0.63944069654526292</v>
      </c>
      <c r="K8" s="266">
        <v>0.64591301484464436</v>
      </c>
      <c r="L8" s="266">
        <v>0.78448428807756676</v>
      </c>
      <c r="M8" s="267">
        <v>0.51393319492259693</v>
      </c>
      <c r="N8" s="265"/>
      <c r="O8" s="265"/>
      <c r="P8" s="265"/>
      <c r="S8" s="79"/>
      <c r="T8" s="6"/>
      <c r="U8" s="80"/>
    </row>
    <row r="9" spans="1:21">
      <c r="A9" s="97" t="s">
        <v>9</v>
      </c>
      <c r="B9" s="20">
        <f>'Control panel'!B8</f>
        <v>2.0731266317763185E-2</v>
      </c>
      <c r="C9" s="172">
        <v>5.1695827746959064E-2</v>
      </c>
      <c r="D9" s="217">
        <v>0.32648216646211403</v>
      </c>
      <c r="E9" s="217">
        <v>0.25154461316198523</v>
      </c>
      <c r="F9" s="266">
        <v>0.60846903584875167</v>
      </c>
      <c r="G9" s="266">
        <v>0.6311068208343743</v>
      </c>
      <c r="H9" s="266">
        <v>0.69909036020626758</v>
      </c>
      <c r="I9" s="266">
        <v>0.63944069654526281</v>
      </c>
      <c r="J9" s="266">
        <v>0.99999999999999978</v>
      </c>
      <c r="K9" s="266">
        <v>0.57555638609831095</v>
      </c>
      <c r="L9" s="266">
        <v>0.6706441294402975</v>
      </c>
      <c r="M9" s="267">
        <v>0.49865020725851583</v>
      </c>
      <c r="N9" s="265"/>
      <c r="O9" s="265"/>
      <c r="P9" s="265"/>
      <c r="S9" s="79"/>
      <c r="T9" s="6"/>
      <c r="U9" s="80"/>
    </row>
    <row r="10" spans="1:21">
      <c r="A10" s="97" t="s">
        <v>10</v>
      </c>
      <c r="B10" s="20">
        <f>'Control panel'!B9</f>
        <v>3.0634868515694261E-2</v>
      </c>
      <c r="C10" s="172">
        <v>2.8296106892401265E-2</v>
      </c>
      <c r="D10" s="217">
        <v>0.16076897495152093</v>
      </c>
      <c r="E10" s="217">
        <v>0.488213192416737</v>
      </c>
      <c r="F10" s="266">
        <v>0.86668583493806206</v>
      </c>
      <c r="G10" s="266">
        <v>0.87120901203593182</v>
      </c>
      <c r="H10" s="266">
        <v>0.74571542163255744</v>
      </c>
      <c r="I10" s="266">
        <v>0.64591301484464425</v>
      </c>
      <c r="J10" s="266">
        <v>0.57555638609831083</v>
      </c>
      <c r="K10" s="266">
        <v>1.0000000000000002</v>
      </c>
      <c r="L10" s="266">
        <v>0.79740125449060317</v>
      </c>
      <c r="M10" s="267">
        <v>0.6990511874231996</v>
      </c>
      <c r="N10" s="265"/>
      <c r="O10" s="265"/>
      <c r="P10" s="265"/>
      <c r="S10" s="79"/>
      <c r="T10" s="6"/>
      <c r="U10" s="80"/>
    </row>
    <row r="11" spans="1:21" s="265" customFormat="1">
      <c r="A11" s="97" t="s">
        <v>11</v>
      </c>
      <c r="B11" s="20">
        <f>'Control panel'!B10</f>
        <v>4.6750473476693498E-2</v>
      </c>
      <c r="C11" s="172">
        <v>3.9623116882628269E-2</v>
      </c>
      <c r="D11" s="217">
        <v>0.20064050365322861</v>
      </c>
      <c r="E11" s="217">
        <v>0.39542796227510135</v>
      </c>
      <c r="F11" s="266">
        <v>0.86259221475724557</v>
      </c>
      <c r="G11" s="266">
        <v>0.86536847063850963</v>
      </c>
      <c r="H11" s="266">
        <v>0.88603334197313832</v>
      </c>
      <c r="I11" s="266">
        <v>0.78448428807756676</v>
      </c>
      <c r="J11" s="266">
        <v>0.67064412944029761</v>
      </c>
      <c r="K11" s="266">
        <v>0.79740125449060328</v>
      </c>
      <c r="L11" s="266">
        <v>1.0000000000000002</v>
      </c>
      <c r="M11" s="267">
        <v>0.74626676152997484</v>
      </c>
      <c r="S11" s="79"/>
      <c r="T11" s="6"/>
      <c r="U11" s="80"/>
    </row>
    <row r="12" spans="1:21" ht="13.5" thickBot="1">
      <c r="A12" s="98" t="s">
        <v>131</v>
      </c>
      <c r="B12" s="296">
        <f>'Control panel'!B11</f>
        <v>0</v>
      </c>
      <c r="C12" s="173">
        <v>2.5656887462827429E-2</v>
      </c>
      <c r="D12" s="218">
        <v>0.17312066928436093</v>
      </c>
      <c r="E12" s="218">
        <v>0.47422188785278774</v>
      </c>
      <c r="F12" s="268">
        <v>0.75906077754107693</v>
      </c>
      <c r="G12" s="268">
        <v>0.72481655312346349</v>
      </c>
      <c r="H12" s="268">
        <v>0.62515021546234673</v>
      </c>
      <c r="I12" s="268">
        <v>0.51393319492259693</v>
      </c>
      <c r="J12" s="268">
        <v>0.49865020725851572</v>
      </c>
      <c r="K12" s="268">
        <v>0.69905118742319949</v>
      </c>
      <c r="L12" s="268">
        <v>0.74626676152997495</v>
      </c>
      <c r="M12" s="269">
        <v>0.99999999999999989</v>
      </c>
      <c r="N12" s="265"/>
      <c r="O12" s="265"/>
      <c r="P12" s="265"/>
    </row>
    <row r="13" spans="1:21">
      <c r="A13" s="79"/>
      <c r="B13" s="104" t="s">
        <v>89</v>
      </c>
      <c r="C13" s="80">
        <v>9.982328696892509E-2</v>
      </c>
      <c r="D13" s="78"/>
      <c r="E13" s="78"/>
      <c r="F13" s="78"/>
      <c r="G13" s="78"/>
      <c r="H13" s="78"/>
      <c r="I13" s="78"/>
      <c r="J13" s="78"/>
      <c r="K13" s="78"/>
      <c r="L13" s="81"/>
      <c r="N13" s="265"/>
      <c r="O13" s="265"/>
      <c r="P13" s="265"/>
    </row>
    <row r="14" spans="1:21">
      <c r="A14" s="79" t="s">
        <v>85</v>
      </c>
      <c r="N14" s="265"/>
      <c r="O14" s="265"/>
      <c r="P14" s="265"/>
    </row>
    <row r="15" spans="1:21">
      <c r="A15" s="82" t="s">
        <v>45</v>
      </c>
      <c r="B15" s="83" t="s">
        <v>58</v>
      </c>
      <c r="C15" s="94" t="s">
        <v>86</v>
      </c>
      <c r="H15" s="265"/>
      <c r="N15" s="265"/>
      <c r="O15" s="265"/>
      <c r="P15" s="265"/>
    </row>
    <row r="16" spans="1:21">
      <c r="A16" s="82" t="s">
        <v>83</v>
      </c>
      <c r="B16" s="84" t="s">
        <v>4</v>
      </c>
      <c r="C16" s="195">
        <v>0</v>
      </c>
      <c r="H16" s="265"/>
    </row>
    <row r="17" spans="1:24">
      <c r="A17" s="82" t="s">
        <v>84</v>
      </c>
      <c r="B17" s="84" t="s">
        <v>5</v>
      </c>
      <c r="C17" s="195">
        <v>0.03</v>
      </c>
    </row>
    <row r="18" spans="1:24">
      <c r="D18" s="93"/>
      <c r="E18" s="93"/>
      <c r="G18" s="311"/>
      <c r="H18" s="311"/>
      <c r="I18" s="311"/>
      <c r="J18" s="311"/>
    </row>
    <row r="19" spans="1:24">
      <c r="D19" s="93"/>
      <c r="E19" s="93"/>
      <c r="S19" s="79"/>
      <c r="T19" s="311"/>
      <c r="U19" s="311"/>
      <c r="V19" s="311"/>
      <c r="W19" s="311"/>
      <c r="X19" s="311"/>
    </row>
    <row r="20" spans="1:24">
      <c r="D20" s="93"/>
      <c r="E20" s="93"/>
      <c r="S20" s="79"/>
      <c r="T20" s="247"/>
      <c r="U20" s="247"/>
      <c r="V20" s="247"/>
      <c r="W20" s="247"/>
      <c r="X20" s="247"/>
    </row>
    <row r="21" spans="1:24">
      <c r="D21" s="93"/>
      <c r="E21" s="93"/>
      <c r="S21" s="79"/>
      <c r="T21" s="247"/>
      <c r="U21" s="247"/>
      <c r="V21" s="247"/>
      <c r="W21" s="247"/>
      <c r="X21" s="247"/>
    </row>
    <row r="22" spans="1:24">
      <c r="D22" s="80"/>
      <c r="E22" s="93"/>
      <c r="F22" s="86"/>
      <c r="S22" s="77"/>
      <c r="T22" s="80"/>
      <c r="U22" s="80"/>
      <c r="V22" s="80"/>
      <c r="W22" s="80"/>
      <c r="X22" s="80"/>
    </row>
    <row r="23" spans="1:24" ht="13.5" thickBot="1">
      <c r="D23" s="93"/>
      <c r="E23" s="93"/>
      <c r="F23" s="77"/>
      <c r="S23" s="77"/>
      <c r="T23" s="80"/>
      <c r="U23" s="80"/>
      <c r="V23" s="80"/>
      <c r="W23" s="80"/>
      <c r="X23" s="80"/>
    </row>
    <row r="24" spans="1:24" ht="13.5" thickBot="1">
      <c r="A24" s="226" t="s">
        <v>115</v>
      </c>
      <c r="B24" s="260" t="s">
        <v>70</v>
      </c>
      <c r="C24" s="261" t="s">
        <v>112</v>
      </c>
      <c r="D24" s="261" t="s">
        <v>125</v>
      </c>
      <c r="E24" s="261" t="s">
        <v>126</v>
      </c>
      <c r="F24" s="261" t="s">
        <v>113</v>
      </c>
      <c r="G24" s="261" t="s">
        <v>114</v>
      </c>
      <c r="H24" s="262" t="s">
        <v>127</v>
      </c>
      <c r="I24" s="264" t="s">
        <v>30</v>
      </c>
      <c r="S24" s="77"/>
      <c r="T24" s="80"/>
      <c r="U24" s="80"/>
      <c r="V24" s="80"/>
      <c r="W24" s="80"/>
      <c r="X24" s="80"/>
    </row>
    <row r="25" spans="1:24">
      <c r="A25" s="14" t="s">
        <v>4</v>
      </c>
      <c r="B25" s="21">
        <f t="shared" ref="B25:B32" si="0">C4</f>
        <v>0</v>
      </c>
      <c r="C25" s="266">
        <v>-3.2445168309994665E-3</v>
      </c>
      <c r="D25" s="266">
        <v>-1.0761362748873404E-3</v>
      </c>
      <c r="E25" s="266">
        <v>-3.4179872754884488E-3</v>
      </c>
      <c r="F25" s="266">
        <v>-2.5720358328627513E-2</v>
      </c>
      <c r="G25" s="266">
        <v>-0.26287574291051119</v>
      </c>
      <c r="H25" s="267">
        <v>-3.2441343963196256E-3</v>
      </c>
      <c r="I25" s="285">
        <f>+SUMPRODUCT(B25:H25,$B$35:$H$35)</f>
        <v>-3.2445168309994665E-3</v>
      </c>
      <c r="S25" s="77"/>
      <c r="T25" s="80"/>
      <c r="U25" s="80"/>
      <c r="V25" s="80"/>
      <c r="W25" s="80"/>
      <c r="X25" s="80"/>
    </row>
    <row r="26" spans="1:24">
      <c r="A26" s="18" t="s">
        <v>5</v>
      </c>
      <c r="B26" s="21">
        <f t="shared" si="0"/>
        <v>0.03</v>
      </c>
      <c r="C26" s="266">
        <v>3.2492969125133414E-2</v>
      </c>
      <c r="D26" s="266">
        <v>-8.65324500372157E-2</v>
      </c>
      <c r="E26" s="266">
        <v>5.1526244290784291E-2</v>
      </c>
      <c r="F26" s="266">
        <v>-0.43934344866388231</v>
      </c>
      <c r="G26" s="266">
        <v>-0.41627425662388229</v>
      </c>
      <c r="H26" s="267">
        <v>0.27529934429078429</v>
      </c>
      <c r="I26" s="172">
        <f t="shared" ref="I26:I33" si="1">+SUMPRODUCT(B26:H26,$B$35:$H$35)</f>
        <v>3.2492969125133414E-2</v>
      </c>
      <c r="S26" s="77"/>
      <c r="T26" s="80"/>
      <c r="U26" s="80"/>
      <c r="V26" s="80"/>
      <c r="W26" s="80"/>
      <c r="X26" s="80"/>
    </row>
    <row r="27" spans="1:24">
      <c r="A27" s="18" t="s">
        <v>6</v>
      </c>
      <c r="B27" s="21">
        <f t="shared" si="0"/>
        <v>3.139819541969964E-2</v>
      </c>
      <c r="C27" s="266">
        <v>1.45681608513176E-2</v>
      </c>
      <c r="D27" s="266">
        <v>-2.1111513867647543E-2</v>
      </c>
      <c r="E27" s="266">
        <v>3.2357333960853253E-3</v>
      </c>
      <c r="F27" s="266">
        <v>-0.41802644813429485</v>
      </c>
      <c r="G27" s="266">
        <v>-0.17149574156312622</v>
      </c>
      <c r="H27" s="267">
        <v>0.25817653707968463</v>
      </c>
      <c r="I27" s="172">
        <f t="shared" si="1"/>
        <v>1.45681608513176E-2</v>
      </c>
      <c r="S27" s="77"/>
      <c r="T27" s="80"/>
      <c r="U27" s="80"/>
      <c r="V27" s="80"/>
      <c r="W27" s="80"/>
      <c r="X27" s="80"/>
    </row>
    <row r="28" spans="1:24">
      <c r="A28" s="18" t="s">
        <v>7</v>
      </c>
      <c r="B28" s="21">
        <f t="shared" si="0"/>
        <v>5.6592124636374697E-2</v>
      </c>
      <c r="C28" s="266">
        <v>-1.272492445230269E-2</v>
      </c>
      <c r="D28" s="266">
        <v>-0.19311368459773193</v>
      </c>
      <c r="E28" s="266">
        <v>4.3944352615336905E-2</v>
      </c>
      <c r="F28" s="266">
        <v>-0.5992014650452413</v>
      </c>
      <c r="G28" s="266">
        <v>-0.47126055414190038</v>
      </c>
      <c r="H28" s="267">
        <v>0.40935864013329615</v>
      </c>
      <c r="I28" s="172">
        <f t="shared" si="1"/>
        <v>-1.272492445230269E-2</v>
      </c>
      <c r="J28" s="71"/>
    </row>
    <row r="29" spans="1:24">
      <c r="A29" s="18" t="s">
        <v>8</v>
      </c>
      <c r="B29" s="21">
        <f t="shared" si="0"/>
        <v>5.6149706786613261E-2</v>
      </c>
      <c r="C29" s="266">
        <v>5.7893485302571407E-2</v>
      </c>
      <c r="D29" s="266">
        <v>-6.9261756645690273E-2</v>
      </c>
      <c r="E29" s="266">
        <v>7.474963400472559E-2</v>
      </c>
      <c r="F29" s="266">
        <v>-0.42661422498990775</v>
      </c>
      <c r="G29" s="266">
        <v>-0.26558788944909251</v>
      </c>
      <c r="H29" s="267">
        <v>0.37672139820686834</v>
      </c>
      <c r="I29" s="172">
        <f t="shared" si="1"/>
        <v>5.7893485302571407E-2</v>
      </c>
      <c r="J29" s="89"/>
      <c r="U29" s="90"/>
    </row>
    <row r="30" spans="1:24">
      <c r="A30" s="18" t="s">
        <v>9</v>
      </c>
      <c r="B30" s="21">
        <f t="shared" si="0"/>
        <v>5.1695827746959064E-2</v>
      </c>
      <c r="C30" s="266">
        <v>7.1858480605475325E-2</v>
      </c>
      <c r="D30" s="266">
        <v>1.202667991596415E-2</v>
      </c>
      <c r="E30" s="266">
        <v>8.5249207175964209E-2</v>
      </c>
      <c r="F30" s="266">
        <v>-0.52128297967070236</v>
      </c>
      <c r="G30" s="266">
        <v>-0.54077311463070243</v>
      </c>
      <c r="H30" s="267">
        <v>0.621322616702631</v>
      </c>
      <c r="I30" s="172">
        <f t="shared" si="1"/>
        <v>7.1858480605475325E-2</v>
      </c>
      <c r="J30" s="91"/>
      <c r="U30" s="90"/>
    </row>
    <row r="31" spans="1:24">
      <c r="A31" s="18" t="s">
        <v>10</v>
      </c>
      <c r="B31" s="21">
        <f t="shared" si="0"/>
        <v>2.8296106892401265E-2</v>
      </c>
      <c r="C31" s="266">
        <v>1.8730269708989476E-2</v>
      </c>
      <c r="D31" s="266">
        <v>-4.6790508294452839E-2</v>
      </c>
      <c r="E31" s="266">
        <v>1.8215216611987023E-2</v>
      </c>
      <c r="F31" s="266">
        <v>-0.25630468560846492</v>
      </c>
      <c r="G31" s="266">
        <v>-6.931471876793301E-3</v>
      </c>
      <c r="H31" s="267">
        <v>0.28021842301080391</v>
      </c>
      <c r="I31" s="172">
        <f t="shared" si="1"/>
        <v>1.8730269708989476E-2</v>
      </c>
      <c r="J31" s="91"/>
      <c r="U31" s="90"/>
    </row>
    <row r="32" spans="1:24" s="265" customFormat="1">
      <c r="A32" s="18" t="s">
        <v>11</v>
      </c>
      <c r="B32" s="21">
        <f t="shared" si="0"/>
        <v>3.9623116882628269E-2</v>
      </c>
      <c r="C32" s="266">
        <v>-5.9825766089863959E-3</v>
      </c>
      <c r="D32" s="266">
        <v>-0.13956067047136589</v>
      </c>
      <c r="E32" s="266">
        <v>2.7964399001126676E-2</v>
      </c>
      <c r="F32" s="266">
        <v>-0.45200242221105646</v>
      </c>
      <c r="G32" s="266">
        <v>-0.48031312669988807</v>
      </c>
      <c r="H32" s="267">
        <v>0.41038049782760322</v>
      </c>
      <c r="I32" s="172">
        <f t="shared" si="1"/>
        <v>-5.9825766089863959E-3</v>
      </c>
      <c r="J32" s="91"/>
      <c r="U32" s="90"/>
    </row>
    <row r="33" spans="1:21" ht="13.5" thickBot="1">
      <c r="A33" s="22" t="s">
        <v>131</v>
      </c>
      <c r="B33" s="25">
        <f t="shared" ref="B33" si="2">C12</f>
        <v>2.5656887462827429E-2</v>
      </c>
      <c r="C33" s="268">
        <v>3.8404573676165434E-3</v>
      </c>
      <c r="D33" s="268">
        <v>-0.14672572762255914</v>
      </c>
      <c r="E33" s="268">
        <v>2.2147204340377598E-2</v>
      </c>
      <c r="F33" s="268">
        <v>-0.34409214194437909</v>
      </c>
      <c r="G33" s="268">
        <v>-0.70677044028756997</v>
      </c>
      <c r="H33" s="269">
        <v>0.16161778235216684</v>
      </c>
      <c r="I33" s="286">
        <f t="shared" si="1"/>
        <v>3.8404573676165434E-3</v>
      </c>
      <c r="J33" s="91"/>
      <c r="U33" s="90"/>
    </row>
    <row r="34" spans="1:21" ht="13.5" thickBot="1">
      <c r="D34" s="93"/>
      <c r="E34" s="93"/>
      <c r="H34" s="79"/>
      <c r="I34" s="79"/>
      <c r="J34" s="79"/>
      <c r="U34" s="90"/>
    </row>
    <row r="35" spans="1:21" ht="13.5" thickBot="1">
      <c r="A35" s="270" t="s">
        <v>122</v>
      </c>
      <c r="B35" s="263">
        <f>Optimalisatie!B13</f>
        <v>0</v>
      </c>
      <c r="C35" s="263">
        <f>Optimalisatie!C13</f>
        <v>1</v>
      </c>
      <c r="D35" s="263">
        <f>Optimalisatie!D13</f>
        <v>0</v>
      </c>
      <c r="E35" s="263">
        <f>Optimalisatie!E13</f>
        <v>0</v>
      </c>
      <c r="F35" s="263">
        <f>Optimalisatie!F13</f>
        <v>0</v>
      </c>
      <c r="G35" s="263">
        <f>Optimalisatie!G13</f>
        <v>0</v>
      </c>
      <c r="H35" s="263">
        <f>Optimalisatie!H13</f>
        <v>0</v>
      </c>
      <c r="I35" s="273">
        <f>+$B$35+((100%-$B$35)*(D35+E35+F35+G35+H35+C35))</f>
        <v>1</v>
      </c>
      <c r="U35" s="90"/>
    </row>
    <row r="36" spans="1:21" ht="13.5" thickBot="1">
      <c r="U36" s="90"/>
    </row>
    <row r="37" spans="1:21" ht="13.5" thickBot="1">
      <c r="A37" s="270" t="s">
        <v>128</v>
      </c>
      <c r="B37" s="280">
        <f>Optimalisatie!B15</f>
        <v>0</v>
      </c>
      <c r="C37" s="279">
        <f>SUMPRODUCT(C25:C33,'Control panel'!$F$3:$F$11)</f>
        <v>7.8967978664565321E-3</v>
      </c>
      <c r="D37" s="279">
        <f>SUMPRODUCT(D25:D33,'Control panel'!$F$3:$F$11)</f>
        <v>-3.9047337959938019E-2</v>
      </c>
      <c r="E37" s="279">
        <f>SUMPRODUCT(E25:E33,'Control panel'!$F$3:$F$11)</f>
        <v>1.6606336009584055E-2</v>
      </c>
      <c r="F37" s="279">
        <f>SUMPRODUCT(F25:F33,'Control panel'!$F$3:$F$11)</f>
        <v>-0.21280882860058234</v>
      </c>
      <c r="G37" s="279">
        <f>SUMPRODUCT(G25:G33,'Control panel'!$F$3:$F$11)</f>
        <v>-0.30223342375124274</v>
      </c>
      <c r="H37" s="279">
        <f>SUMPRODUCT(H25:H33,'Control panel'!$F$3:$F$11)</f>
        <v>0.15066062162889898</v>
      </c>
      <c r="I37" s="281">
        <f>SUMPRODUCT(I25:I33,'Control panel'!$F$3:$F$11)</f>
        <v>7.8967978664565321E-3</v>
      </c>
    </row>
    <row r="40" spans="1:21" ht="13.5" thickBot="1"/>
    <row r="41" spans="1:21" ht="13.5" thickBot="1">
      <c r="A41" s="271" t="s">
        <v>118</v>
      </c>
      <c r="B41" s="272">
        <v>8</v>
      </c>
    </row>
    <row r="42" spans="1:21" ht="13.5" thickBot="1">
      <c r="A42" s="271" t="s">
        <v>130</v>
      </c>
      <c r="B42" s="272">
        <v>9</v>
      </c>
    </row>
    <row r="45" spans="1:21">
      <c r="C45" s="265"/>
      <c r="D45" s="265"/>
      <c r="E45" s="265"/>
      <c r="F45" s="265"/>
      <c r="G45" s="265"/>
      <c r="H45" s="265"/>
      <c r="I45" s="265"/>
    </row>
    <row r="46" spans="1:21">
      <c r="C46" s="265"/>
      <c r="D46" s="265"/>
      <c r="E46" s="265"/>
      <c r="F46" s="265"/>
      <c r="G46" s="265"/>
      <c r="H46" s="265"/>
      <c r="I46" s="265"/>
    </row>
    <row r="47" spans="1:21">
      <c r="A47" s="265"/>
      <c r="B47" s="265"/>
      <c r="C47" s="265"/>
      <c r="D47" s="265"/>
      <c r="E47" s="265"/>
      <c r="F47" s="265"/>
      <c r="G47" s="265"/>
      <c r="H47" s="265"/>
      <c r="I47" s="265"/>
    </row>
    <row r="48" spans="1:21">
      <c r="A48" s="265"/>
      <c r="B48" s="265"/>
      <c r="C48" s="265"/>
      <c r="D48" s="265"/>
      <c r="E48" s="265"/>
      <c r="F48" s="265"/>
      <c r="G48" s="265"/>
      <c r="H48" s="265"/>
      <c r="I48" s="265"/>
    </row>
    <row r="49" spans="1:13">
      <c r="A49" s="265"/>
      <c r="B49" s="265"/>
      <c r="C49" s="265"/>
      <c r="D49" s="265"/>
      <c r="E49" s="265"/>
      <c r="F49" s="265"/>
      <c r="G49" s="265"/>
      <c r="H49" s="265"/>
      <c r="I49" s="265"/>
    </row>
    <row r="50" spans="1:13">
      <c r="A50" s="265"/>
      <c r="B50" s="265"/>
      <c r="C50" s="265"/>
      <c r="D50" s="265"/>
      <c r="E50" s="265"/>
      <c r="F50" s="265"/>
      <c r="G50" s="265"/>
      <c r="H50" s="265"/>
      <c r="I50" s="265"/>
    </row>
    <row r="51" spans="1:13">
      <c r="A51" s="265"/>
      <c r="B51" s="265"/>
      <c r="C51" s="265"/>
      <c r="D51" s="265"/>
      <c r="E51" s="265"/>
      <c r="F51" s="265"/>
      <c r="G51" s="265"/>
      <c r="H51" s="265"/>
      <c r="I51" s="265"/>
    </row>
    <row r="52" spans="1:13">
      <c r="A52" s="265"/>
      <c r="B52" s="265"/>
      <c r="C52" s="265"/>
      <c r="D52" s="265"/>
      <c r="E52" s="265"/>
      <c r="F52" s="265"/>
      <c r="G52" s="265"/>
      <c r="H52" s="265"/>
      <c r="I52" s="265"/>
    </row>
    <row r="53" spans="1:13">
      <c r="A53" s="265"/>
      <c r="B53" s="265"/>
      <c r="C53" s="265"/>
      <c r="D53" s="265"/>
      <c r="E53" s="265"/>
      <c r="F53" s="265"/>
      <c r="G53" s="265"/>
      <c r="H53" s="265"/>
      <c r="I53" s="265"/>
    </row>
    <row r="54" spans="1:13">
      <c r="A54" s="265"/>
      <c r="B54" s="265"/>
      <c r="C54" s="265"/>
      <c r="D54" s="265"/>
      <c r="E54" s="265"/>
      <c r="F54" s="265"/>
      <c r="G54" s="265"/>
      <c r="H54" s="265"/>
      <c r="I54" s="265"/>
    </row>
    <row r="55" spans="1:13">
      <c r="A55" s="265"/>
      <c r="B55" s="265"/>
      <c r="C55" s="265"/>
      <c r="D55" s="265"/>
      <c r="E55" s="265"/>
      <c r="F55" s="265"/>
      <c r="G55" s="265"/>
      <c r="H55" s="265"/>
      <c r="I55" s="265"/>
    </row>
    <row r="56" spans="1:13" ht="15">
      <c r="A56" s="265"/>
      <c r="B56" s="265"/>
      <c r="C56" s="265"/>
      <c r="D56" s="330"/>
      <c r="E56" s="331"/>
      <c r="F56" s="331"/>
      <c r="G56" s="331"/>
      <c r="H56" s="331"/>
      <c r="I56" s="331"/>
      <c r="J56" s="331"/>
      <c r="K56" s="331"/>
      <c r="L56" s="331"/>
      <c r="M56" s="331"/>
    </row>
    <row r="57" spans="1:13" ht="15">
      <c r="A57" s="265"/>
      <c r="B57" s="265"/>
      <c r="C57" s="265"/>
      <c r="D57" s="330"/>
      <c r="E57" s="331"/>
      <c r="F57" s="331"/>
      <c r="G57" s="331"/>
      <c r="H57" s="331"/>
      <c r="I57" s="331"/>
      <c r="J57" s="331"/>
      <c r="K57" s="331"/>
      <c r="L57" s="331"/>
      <c r="M57" s="331"/>
    </row>
    <row r="58" spans="1:13" ht="15">
      <c r="A58" s="265"/>
      <c r="B58" s="265"/>
      <c r="C58" s="265"/>
      <c r="D58" s="330"/>
      <c r="E58" s="331"/>
      <c r="F58" s="331"/>
      <c r="G58" s="331"/>
      <c r="H58" s="331"/>
      <c r="I58" s="331"/>
      <c r="J58" s="331"/>
      <c r="K58" s="331"/>
      <c r="L58" s="331"/>
      <c r="M58" s="331"/>
    </row>
    <row r="59" spans="1:13" ht="15">
      <c r="C59" s="265"/>
      <c r="D59" s="330"/>
      <c r="E59" s="331"/>
      <c r="F59" s="331"/>
      <c r="G59" s="331"/>
      <c r="H59" s="331"/>
      <c r="I59" s="331"/>
      <c r="J59" s="331"/>
      <c r="K59" s="331"/>
      <c r="L59" s="331"/>
      <c r="M59" s="331"/>
    </row>
    <row r="60" spans="1:13" ht="15">
      <c r="C60" s="265"/>
      <c r="D60" s="330"/>
      <c r="E60" s="331"/>
      <c r="F60" s="331"/>
      <c r="G60" s="331"/>
      <c r="H60" s="331"/>
      <c r="I60" s="331"/>
      <c r="J60" s="331"/>
      <c r="K60" s="331"/>
      <c r="L60" s="331"/>
      <c r="M60" s="331"/>
    </row>
    <row r="61" spans="1:13" ht="15">
      <c r="B61" s="265"/>
      <c r="C61" s="265"/>
      <c r="D61" s="330"/>
      <c r="E61" s="331"/>
      <c r="F61" s="331"/>
      <c r="G61" s="331"/>
      <c r="H61" s="331"/>
      <c r="I61" s="331"/>
      <c r="J61" s="331"/>
      <c r="K61" s="331"/>
      <c r="L61" s="331"/>
      <c r="M61" s="331"/>
    </row>
    <row r="62" spans="1:13" ht="15">
      <c r="B62" s="265"/>
      <c r="C62" s="265"/>
      <c r="D62" s="330"/>
      <c r="E62" s="331"/>
      <c r="F62" s="331"/>
      <c r="G62" s="331"/>
      <c r="H62" s="331"/>
      <c r="I62" s="331"/>
      <c r="J62" s="331"/>
      <c r="K62" s="331"/>
      <c r="L62" s="331"/>
      <c r="M62" s="331"/>
    </row>
    <row r="63" spans="1:13" ht="15">
      <c r="B63" s="265"/>
      <c r="C63" s="265"/>
      <c r="D63" s="330"/>
      <c r="E63" s="331"/>
      <c r="F63" s="331"/>
      <c r="G63" s="331"/>
      <c r="H63" s="331"/>
      <c r="I63" s="331"/>
      <c r="J63" s="331"/>
      <c r="K63" s="331"/>
      <c r="L63" s="331"/>
      <c r="M63" s="331"/>
    </row>
    <row r="64" spans="1:13" ht="15">
      <c r="B64" s="265"/>
      <c r="C64" s="265"/>
      <c r="D64" s="330"/>
      <c r="E64" s="331"/>
      <c r="F64" s="331"/>
      <c r="G64" s="331"/>
      <c r="H64" s="331"/>
      <c r="I64" s="331"/>
      <c r="J64" s="331"/>
      <c r="K64" s="331"/>
      <c r="L64" s="331"/>
      <c r="M64" s="331"/>
    </row>
    <row r="65" spans="2:9">
      <c r="B65" s="265"/>
      <c r="C65" s="265"/>
      <c r="D65" s="265"/>
      <c r="E65" s="265"/>
      <c r="F65" s="265"/>
      <c r="G65" s="265"/>
      <c r="H65" s="265"/>
      <c r="I65" s="265"/>
    </row>
    <row r="66" spans="2:9">
      <c r="B66" s="265"/>
      <c r="C66" s="265"/>
      <c r="D66" s="265"/>
      <c r="E66" s="265"/>
      <c r="F66" s="265"/>
      <c r="G66" s="265"/>
      <c r="H66" s="265"/>
      <c r="I66" s="265"/>
    </row>
    <row r="67" spans="2:9">
      <c r="B67" s="265"/>
      <c r="C67" s="265"/>
      <c r="D67" s="265"/>
      <c r="E67" s="265"/>
      <c r="F67" s="265"/>
      <c r="G67" s="265"/>
      <c r="H67" s="265"/>
      <c r="I67" s="265"/>
    </row>
    <row r="68" spans="2:9">
      <c r="B68" s="265"/>
      <c r="C68" s="265"/>
      <c r="D68" s="265"/>
      <c r="E68" s="265"/>
      <c r="F68" s="265"/>
      <c r="G68" s="265"/>
      <c r="H68" s="265"/>
      <c r="I68" s="265"/>
    </row>
    <row r="69" spans="2:9">
      <c r="B69" s="265"/>
      <c r="C69" s="265"/>
      <c r="D69" s="265"/>
      <c r="E69" s="265"/>
      <c r="F69" s="265"/>
      <c r="G69" s="265"/>
      <c r="H69" s="265"/>
      <c r="I69" s="265"/>
    </row>
    <row r="70" spans="2:9">
      <c r="B70" s="265"/>
      <c r="C70" s="265"/>
      <c r="D70" s="265"/>
      <c r="E70" s="265"/>
      <c r="F70" s="265"/>
      <c r="G70" s="265"/>
      <c r="H70" s="265"/>
      <c r="I70" s="265"/>
    </row>
    <row r="71" spans="2:9">
      <c r="B71" s="265"/>
      <c r="C71" s="265"/>
      <c r="D71" s="265"/>
      <c r="E71" s="265"/>
      <c r="F71" s="265"/>
      <c r="G71" s="265"/>
      <c r="H71" s="265"/>
      <c r="I71" s="265"/>
    </row>
    <row r="97" spans="1:2">
      <c r="B97" s="94"/>
    </row>
    <row r="98" spans="1:2">
      <c r="B98" s="94"/>
    </row>
    <row r="100" spans="1:2">
      <c r="B100" s="94"/>
    </row>
    <row r="102" spans="1:2">
      <c r="A102" s="95" t="s">
        <v>81</v>
      </c>
    </row>
    <row r="103" spans="1:2">
      <c r="A103" s="3" t="s">
        <v>58</v>
      </c>
      <c r="B103" s="94">
        <v>0</v>
      </c>
    </row>
    <row r="104" spans="1:2">
      <c r="A104" s="3" t="str">
        <f t="shared" ref="A104:A112" si="3">A4</f>
        <v>Nominale matching</v>
      </c>
      <c r="B104" s="94">
        <v>1</v>
      </c>
    </row>
    <row r="105" spans="1:2">
      <c r="A105" s="3" t="str">
        <f t="shared" si="3"/>
        <v>High Yield</v>
      </c>
      <c r="B105" s="94">
        <v>2</v>
      </c>
    </row>
    <row r="106" spans="1:2">
      <c r="A106" s="3" t="str">
        <f t="shared" si="3"/>
        <v>Emerging market debt</v>
      </c>
      <c r="B106" s="94">
        <v>3</v>
      </c>
    </row>
    <row r="107" spans="1:2">
      <c r="A107" s="3" t="str">
        <f t="shared" si="3"/>
        <v>Aandelen ontwikkeld</v>
      </c>
      <c r="B107" s="94">
        <v>4</v>
      </c>
    </row>
    <row r="108" spans="1:2">
      <c r="A108" s="3" t="str">
        <f t="shared" si="3"/>
        <v>Aandelen opkomend</v>
      </c>
      <c r="B108" s="94">
        <v>5</v>
      </c>
    </row>
    <row r="109" spans="1:2">
      <c r="A109" s="3" t="str">
        <f t="shared" si="3"/>
        <v>Commodities</v>
      </c>
      <c r="B109" s="94">
        <v>6</v>
      </c>
    </row>
    <row r="110" spans="1:2">
      <c r="A110" s="3" t="str">
        <f t="shared" si="3"/>
        <v>Hedge funds</v>
      </c>
      <c r="B110" s="94">
        <v>7</v>
      </c>
    </row>
    <row r="111" spans="1:2">
      <c r="A111" s="265" t="str">
        <f t="shared" si="3"/>
        <v>Onroerend goed</v>
      </c>
      <c r="B111" s="94">
        <v>8</v>
      </c>
    </row>
    <row r="112" spans="1:2" s="265" customFormat="1">
      <c r="A112" s="265" t="str">
        <f t="shared" si="3"/>
        <v>Periferie bonds</v>
      </c>
      <c r="B112" s="94">
        <v>9</v>
      </c>
    </row>
    <row r="113" spans="1:3">
      <c r="C113" s="265" t="s">
        <v>132</v>
      </c>
    </row>
    <row r="114" spans="1:3">
      <c r="A114" s="27" t="s">
        <v>59</v>
      </c>
    </row>
    <row r="115" spans="1:3">
      <c r="A115" s="3" t="s">
        <v>45</v>
      </c>
      <c r="B115" s="94">
        <f>VLOOKUP(B15,$A$103:$B$111,2,0)</f>
        <v>0</v>
      </c>
    </row>
    <row r="116" spans="1:3">
      <c r="A116" s="3" t="s">
        <v>87</v>
      </c>
      <c r="B116" s="94">
        <f t="shared" ref="B116:B117" si="4">VLOOKUP(B16,$A$103:$B$111,2,0)</f>
        <v>1</v>
      </c>
    </row>
    <row r="117" spans="1:3">
      <c r="A117" s="3" t="s">
        <v>88</v>
      </c>
      <c r="B117" s="94">
        <f t="shared" si="4"/>
        <v>2</v>
      </c>
    </row>
  </sheetData>
  <mergeCells count="3">
    <mergeCell ref="G18:J18"/>
    <mergeCell ref="T19:X19"/>
    <mergeCell ref="E2:M2"/>
  </mergeCells>
  <dataValidations count="3">
    <dataValidation type="list" allowBlank="1" showInputMessage="1" showErrorMessage="1" sqref="B15">
      <formula1>$A$103:$A$112</formula1>
    </dataValidation>
    <dataValidation type="list" allowBlank="1" showInputMessage="1" showErrorMessage="1" sqref="B16:B17">
      <formula1>$A$104:$A$112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W1048576"/>
  <sheetViews>
    <sheetView workbookViewId="0">
      <selection activeCell="F16" sqref="F16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3">
      <c r="A1" s="37" t="s">
        <v>0</v>
      </c>
    </row>
    <row r="2" spans="1:23" ht="13.5" thickBot="1"/>
    <row r="3" spans="1:23" ht="13.5" thickBot="1">
      <c r="A3" s="38" t="s">
        <v>70</v>
      </c>
      <c r="B3" s="39" t="s">
        <v>1</v>
      </c>
      <c r="C3" s="289" t="s">
        <v>2</v>
      </c>
      <c r="D3" s="315" t="s">
        <v>3</v>
      </c>
      <c r="E3" s="316"/>
      <c r="F3" s="316"/>
      <c r="G3" s="316"/>
      <c r="H3" s="316"/>
      <c r="I3" s="316"/>
      <c r="J3" s="316"/>
      <c r="K3" s="316"/>
      <c r="L3" s="291"/>
      <c r="O3" s="36" t="s">
        <v>4</v>
      </c>
      <c r="P3" s="36" t="s">
        <v>5</v>
      </c>
      <c r="Q3" s="36" t="s">
        <v>6</v>
      </c>
      <c r="R3" s="36" t="s">
        <v>7</v>
      </c>
      <c r="S3" s="36" t="s">
        <v>8</v>
      </c>
      <c r="T3" s="36" t="s">
        <v>9</v>
      </c>
      <c r="U3" s="36" t="s">
        <v>10</v>
      </c>
      <c r="V3" s="36" t="s">
        <v>11</v>
      </c>
      <c r="W3" s="36" t="s">
        <v>131</v>
      </c>
    </row>
    <row r="4" spans="1:23">
      <c r="A4" s="40" t="s">
        <v>4</v>
      </c>
      <c r="B4" s="41">
        <f>Scenarios!B25</f>
        <v>0</v>
      </c>
      <c r="C4" s="302">
        <f>Scenarios!D4</f>
        <v>4.3450149472468363E-2</v>
      </c>
      <c r="D4" s="304">
        <f>Scenarios!E4</f>
        <v>1</v>
      </c>
      <c r="E4" s="305">
        <f>Scenarios!F4</f>
        <v>0.5243300313487167</v>
      </c>
      <c r="F4" s="305">
        <f>Scenarios!G4</f>
        <v>0.5048621610682209</v>
      </c>
      <c r="G4" s="305">
        <f>Scenarios!H4</f>
        <v>0.25487540552021803</v>
      </c>
      <c r="H4" s="305">
        <f>Scenarios!I4</f>
        <v>0.29680815289592971</v>
      </c>
      <c r="I4" s="305">
        <f>Scenarios!J4</f>
        <v>0.25154461316198484</v>
      </c>
      <c r="J4" s="305">
        <f>Scenarios!K4</f>
        <v>0.48821319241673689</v>
      </c>
      <c r="K4" s="305">
        <f>Scenarios!L4</f>
        <v>0.39542796227510119</v>
      </c>
      <c r="L4" s="306">
        <f>Scenarios!M4</f>
        <v>0.47422188785278757</v>
      </c>
      <c r="M4" s="227" t="s">
        <v>119</v>
      </c>
      <c r="O4" s="36">
        <f t="array" ref="O4:W12">+D4:L12*TRANSPOSE(C4:C12)*C4:C12</f>
        <v>1.8879154891798429E-3</v>
      </c>
      <c r="P4" s="36">
        <v>3.6117928682326554E-3</v>
      </c>
      <c r="Q4" s="36">
        <v>3.5574712270892636E-3</v>
      </c>
      <c r="R4" s="36">
        <v>3.1804465765196827E-3</v>
      </c>
      <c r="S4" s="36">
        <v>3.8194368502445994E-3</v>
      </c>
      <c r="T4" s="36">
        <v>3.5683361505022097E-3</v>
      </c>
      <c r="U4" s="36">
        <v>3.4103820061645372E-3</v>
      </c>
      <c r="V4" s="36">
        <v>3.4472855653615016E-3</v>
      </c>
      <c r="W4" s="36">
        <v>3.5671534525267834E-3</v>
      </c>
    </row>
    <row r="5" spans="1:23">
      <c r="A5" s="40" t="s">
        <v>5</v>
      </c>
      <c r="B5" s="41">
        <f>Scenarios!B26</f>
        <v>0.03</v>
      </c>
      <c r="C5" s="302">
        <f>Scenarios!D5</f>
        <v>0.15853561014014847</v>
      </c>
      <c r="D5" s="105">
        <f>Scenarios!E5</f>
        <v>0.52433003134871636</v>
      </c>
      <c r="E5" s="106">
        <f>Scenarios!F5</f>
        <v>1</v>
      </c>
      <c r="F5" s="106">
        <f>Scenarios!G5</f>
        <v>0.94338322745767289</v>
      </c>
      <c r="G5" s="106">
        <f>Scenarios!H5</f>
        <v>0.74070013517974964</v>
      </c>
      <c r="H5" s="106">
        <f>Scenarios!I5</f>
        <v>0.74187676376193956</v>
      </c>
      <c r="I5" s="106">
        <f>Scenarios!J5</f>
        <v>0.60846903584875156</v>
      </c>
      <c r="J5" s="106">
        <f>Scenarios!K5</f>
        <v>0.86668583493806206</v>
      </c>
      <c r="K5" s="106">
        <f>Scenarios!L5</f>
        <v>0.86259221475724557</v>
      </c>
      <c r="L5" s="107">
        <f>Scenarios!M5</f>
        <v>0.75906077754107681</v>
      </c>
      <c r="O5" s="36">
        <v>3.6117928682326524E-3</v>
      </c>
      <c r="P5" s="36">
        <v>2.5133539682509146E-2</v>
      </c>
      <c r="Q5" s="36">
        <v>2.42544973313066E-2</v>
      </c>
      <c r="R5" s="36">
        <v>3.3723927940032879E-2</v>
      </c>
      <c r="S5" s="36">
        <v>3.4832996012383759E-2</v>
      </c>
      <c r="T5" s="36">
        <v>3.149377892134287E-2</v>
      </c>
      <c r="U5" s="36">
        <v>2.2089748417517992E-2</v>
      </c>
      <c r="V5" s="36">
        <v>2.7437906502276666E-2</v>
      </c>
      <c r="W5" s="36">
        <v>2.0833023405731878E-2</v>
      </c>
    </row>
    <row r="6" spans="1:23">
      <c r="A6" s="40" t="s">
        <v>6</v>
      </c>
      <c r="B6" s="41">
        <f>Scenarios!B27</f>
        <v>3.139819541969964E-2</v>
      </c>
      <c r="C6" s="302">
        <f>Scenarios!D6</f>
        <v>0.16217253275473525</v>
      </c>
      <c r="D6" s="105">
        <f>Scenarios!E6</f>
        <v>0.50486216106822102</v>
      </c>
      <c r="E6" s="106">
        <f>Scenarios!F6</f>
        <v>0.943383227457673</v>
      </c>
      <c r="F6" s="106">
        <f>Scenarios!G6</f>
        <v>1</v>
      </c>
      <c r="G6" s="106">
        <f>Scenarios!H6</f>
        <v>0.77223648924957744</v>
      </c>
      <c r="H6" s="106">
        <f>Scenarios!I6</f>
        <v>0.79023745754825636</v>
      </c>
      <c r="I6" s="106">
        <f>Scenarios!J6</f>
        <v>0.63110682083437419</v>
      </c>
      <c r="J6" s="106">
        <f>Scenarios!K6</f>
        <v>0.87120901203593171</v>
      </c>
      <c r="K6" s="106">
        <f>Scenarios!L6</f>
        <v>0.86536847063850975</v>
      </c>
      <c r="L6" s="107">
        <f>Scenarios!M6</f>
        <v>0.72481655312346349</v>
      </c>
      <c r="O6" s="36">
        <v>3.5574712270892645E-3</v>
      </c>
      <c r="P6" s="36">
        <v>2.42544973313066E-2</v>
      </c>
      <c r="Q6" s="36">
        <v>2.6299930380085677E-2</v>
      </c>
      <c r="R6" s="36">
        <v>3.5966362616362865E-2</v>
      </c>
      <c r="S6" s="36">
        <v>3.7954838153009651E-2</v>
      </c>
      <c r="T6" s="36">
        <v>3.3414859318395565E-2</v>
      </c>
      <c r="U6" s="36">
        <v>2.271443305379434E-2</v>
      </c>
      <c r="V6" s="36">
        <v>2.8157686969952241E-2</v>
      </c>
      <c r="W6" s="36">
        <v>2.034952727464746E-2</v>
      </c>
    </row>
    <row r="7" spans="1:23">
      <c r="A7" s="40" t="s">
        <v>7</v>
      </c>
      <c r="B7" s="41">
        <f>Scenarios!B28</f>
        <v>5.6592124636374697E-2</v>
      </c>
      <c r="C7" s="302">
        <f>Scenarios!D7</f>
        <v>0.28718972670468956</v>
      </c>
      <c r="D7" s="105">
        <f>Scenarios!E7</f>
        <v>0.2548754055202187</v>
      </c>
      <c r="E7" s="106">
        <f>Scenarios!F7</f>
        <v>0.74070013517974975</v>
      </c>
      <c r="F7" s="106">
        <f>Scenarios!G7</f>
        <v>0.77223648924957744</v>
      </c>
      <c r="G7" s="106">
        <f>Scenarios!H7</f>
        <v>1</v>
      </c>
      <c r="H7" s="106">
        <f>Scenarios!I7</f>
        <v>0.81106497730540505</v>
      </c>
      <c r="I7" s="106">
        <f>Scenarios!J7</f>
        <v>0.69909036020626758</v>
      </c>
      <c r="J7" s="106">
        <f>Scenarios!K7</f>
        <v>0.74571542163255744</v>
      </c>
      <c r="K7" s="106">
        <f>Scenarios!L7</f>
        <v>0.88603334197313832</v>
      </c>
      <c r="L7" s="107">
        <f>Scenarios!M7</f>
        <v>0.62515021546234684</v>
      </c>
      <c r="O7" s="36">
        <v>3.1804465765196909E-3</v>
      </c>
      <c r="P7" s="36">
        <v>3.3723927940032886E-2</v>
      </c>
      <c r="Q7" s="36">
        <v>3.5966362616362865E-2</v>
      </c>
      <c r="R7" s="36">
        <v>8.2477939124714281E-2</v>
      </c>
      <c r="S7" s="36">
        <v>6.8985335649692545E-2</v>
      </c>
      <c r="T7" s="36">
        <v>6.5548336970937676E-2</v>
      </c>
      <c r="U7" s="36">
        <v>3.4430574368130892E-2</v>
      </c>
      <c r="V7" s="36">
        <v>5.1054917016870496E-2</v>
      </c>
      <c r="W7" s="36">
        <v>3.1081517045807545E-2</v>
      </c>
    </row>
    <row r="8" spans="1:23">
      <c r="A8" s="40" t="s">
        <v>8</v>
      </c>
      <c r="B8" s="41">
        <f>Scenarios!B29</f>
        <v>5.6149706786613261E-2</v>
      </c>
      <c r="C8" s="302">
        <f>Scenarios!D8</f>
        <v>0.29616397669669142</v>
      </c>
      <c r="D8" s="105">
        <f>Scenarios!E8</f>
        <v>0.29680815289593021</v>
      </c>
      <c r="E8" s="106">
        <f>Scenarios!F8</f>
        <v>0.74187676376193967</v>
      </c>
      <c r="F8" s="106">
        <f>Scenarios!G8</f>
        <v>0.79023745754825636</v>
      </c>
      <c r="G8" s="106">
        <f>Scenarios!H8</f>
        <v>0.81106497730540505</v>
      </c>
      <c r="H8" s="106">
        <f>Scenarios!I8</f>
        <v>0.99999999999999978</v>
      </c>
      <c r="I8" s="106">
        <f>Scenarios!J8</f>
        <v>0.63944069654526292</v>
      </c>
      <c r="J8" s="106">
        <f>Scenarios!K8</f>
        <v>0.64591301484464436</v>
      </c>
      <c r="K8" s="106">
        <f>Scenarios!L8</f>
        <v>0.78448428807756676</v>
      </c>
      <c r="L8" s="107">
        <f>Scenarios!M8</f>
        <v>0.51393319492259693</v>
      </c>
      <c r="O8" s="36">
        <v>3.8194368502446055E-3</v>
      </c>
      <c r="P8" s="36">
        <v>3.4832996012383766E-2</v>
      </c>
      <c r="Q8" s="36">
        <v>3.7954838153009651E-2</v>
      </c>
      <c r="R8" s="36">
        <v>6.8985335649692545E-2</v>
      </c>
      <c r="S8" s="36">
        <v>8.7713101092798368E-2</v>
      </c>
      <c r="T8" s="36">
        <v>6.1828964000340367E-2</v>
      </c>
      <c r="U8" s="36">
        <v>3.0754488693050051E-2</v>
      </c>
      <c r="V8" s="36">
        <v>4.6616009330699086E-2</v>
      </c>
      <c r="W8" s="36">
        <v>2.6350437176914796E-2</v>
      </c>
    </row>
    <row r="9" spans="1:23">
      <c r="A9" s="40" t="s">
        <v>9</v>
      </c>
      <c r="B9" s="41">
        <f>Scenarios!B30</f>
        <v>5.1695827746959064E-2</v>
      </c>
      <c r="C9" s="302">
        <f>Scenarios!D9</f>
        <v>0.32648216646211403</v>
      </c>
      <c r="D9" s="105">
        <f>Scenarios!E9</f>
        <v>0.25154461316198523</v>
      </c>
      <c r="E9" s="106">
        <f>Scenarios!F9</f>
        <v>0.60846903584875167</v>
      </c>
      <c r="F9" s="106">
        <f>Scenarios!G9</f>
        <v>0.6311068208343743</v>
      </c>
      <c r="G9" s="106">
        <f>Scenarios!H9</f>
        <v>0.69909036020626758</v>
      </c>
      <c r="H9" s="106">
        <f>Scenarios!I9</f>
        <v>0.63944069654526281</v>
      </c>
      <c r="I9" s="106">
        <f>Scenarios!J9</f>
        <v>0.99999999999999978</v>
      </c>
      <c r="J9" s="106">
        <f>Scenarios!K9</f>
        <v>0.57555638609831095</v>
      </c>
      <c r="K9" s="106">
        <f>Scenarios!L9</f>
        <v>0.6706441294402975</v>
      </c>
      <c r="L9" s="107">
        <f>Scenarios!M9</f>
        <v>0.49865020725851583</v>
      </c>
      <c r="O9" s="36">
        <v>3.5683361505022149E-3</v>
      </c>
      <c r="P9" s="36">
        <v>3.1493778921342877E-2</v>
      </c>
      <c r="Q9" s="36">
        <v>3.3414859318395572E-2</v>
      </c>
      <c r="R9" s="36">
        <v>6.5548336970937676E-2</v>
      </c>
      <c r="S9" s="36">
        <v>6.182896400034036E-2</v>
      </c>
      <c r="T9" s="36">
        <v>0.10659060501779552</v>
      </c>
      <c r="U9" s="36">
        <v>3.0209920570797095E-2</v>
      </c>
      <c r="V9" s="36">
        <v>4.3930910080429195E-2</v>
      </c>
      <c r="W9" s="36">
        <v>2.8184114203008197E-2</v>
      </c>
    </row>
    <row r="10" spans="1:23">
      <c r="A10" s="40" t="s">
        <v>10</v>
      </c>
      <c r="B10" s="41">
        <f>Scenarios!B31</f>
        <v>2.8296106892401265E-2</v>
      </c>
      <c r="C10" s="302">
        <f>Scenarios!D10</f>
        <v>0.16076897495152093</v>
      </c>
      <c r="D10" s="105">
        <f>Scenarios!E10</f>
        <v>0.488213192416737</v>
      </c>
      <c r="E10" s="106">
        <f>Scenarios!F10</f>
        <v>0.86668583493806206</v>
      </c>
      <c r="F10" s="106">
        <f>Scenarios!G10</f>
        <v>0.87120901203593182</v>
      </c>
      <c r="G10" s="106">
        <f>Scenarios!H10</f>
        <v>0.74571542163255744</v>
      </c>
      <c r="H10" s="106">
        <f>Scenarios!I10</f>
        <v>0.64591301484464425</v>
      </c>
      <c r="I10" s="106">
        <f>Scenarios!J10</f>
        <v>0.57555638609831083</v>
      </c>
      <c r="J10" s="106">
        <f>Scenarios!K10</f>
        <v>1.0000000000000002</v>
      </c>
      <c r="K10" s="106">
        <f>Scenarios!L10</f>
        <v>0.79740125449060317</v>
      </c>
      <c r="L10" s="107">
        <f>Scenarios!M10</f>
        <v>0.6990511874231996</v>
      </c>
      <c r="O10" s="36">
        <v>3.4103820061645385E-3</v>
      </c>
      <c r="P10" s="36">
        <v>2.2089748417517995E-2</v>
      </c>
      <c r="Q10" s="36">
        <v>2.2714433053794343E-2</v>
      </c>
      <c r="R10" s="36">
        <v>3.4430574368130892E-2</v>
      </c>
      <c r="S10" s="36">
        <v>3.0754488693050048E-2</v>
      </c>
      <c r="T10" s="36">
        <v>3.0209920570797091E-2</v>
      </c>
      <c r="U10" s="36">
        <v>2.5846663306962767E-2</v>
      </c>
      <c r="V10" s="36">
        <v>2.5721587353605819E-2</v>
      </c>
      <c r="W10" s="36">
        <v>1.9456295018597098E-2</v>
      </c>
    </row>
    <row r="11" spans="1:23">
      <c r="A11" s="40" t="s">
        <v>11</v>
      </c>
      <c r="B11" s="41">
        <f>Scenarios!B32</f>
        <v>3.9623116882628269E-2</v>
      </c>
      <c r="C11" s="302">
        <f>Scenarios!D11</f>
        <v>0.20064050365322861</v>
      </c>
      <c r="D11" s="105">
        <f>Scenarios!E11</f>
        <v>0.39542796227510135</v>
      </c>
      <c r="E11" s="106">
        <f>Scenarios!F11</f>
        <v>0.86259221475724557</v>
      </c>
      <c r="F11" s="106">
        <f>Scenarios!G11</f>
        <v>0.86536847063850963</v>
      </c>
      <c r="G11" s="106">
        <f>Scenarios!H11</f>
        <v>0.88603334197313832</v>
      </c>
      <c r="H11" s="106">
        <f>Scenarios!I11</f>
        <v>0.78448428807756676</v>
      </c>
      <c r="I11" s="106">
        <f>Scenarios!J11</f>
        <v>0.67064412944029761</v>
      </c>
      <c r="J11" s="106">
        <f>Scenarios!K11</f>
        <v>0.79740125449060328</v>
      </c>
      <c r="K11" s="106">
        <f>Scenarios!L11</f>
        <v>1.0000000000000002</v>
      </c>
      <c r="L11" s="107">
        <f>Scenarios!M11</f>
        <v>0.74626676152997484</v>
      </c>
      <c r="O11" s="36">
        <v>3.4472855653615029E-3</v>
      </c>
      <c r="P11" s="36">
        <v>2.7437906502276666E-2</v>
      </c>
      <c r="Q11" s="36">
        <v>2.8157686969952238E-2</v>
      </c>
      <c r="R11" s="36">
        <v>5.1054917016870503E-2</v>
      </c>
      <c r="S11" s="36">
        <v>4.6616009330699093E-2</v>
      </c>
      <c r="T11" s="36">
        <v>4.3930910080429195E-2</v>
      </c>
      <c r="U11" s="36">
        <v>2.5721587353605819E-2</v>
      </c>
      <c r="V11" s="36">
        <v>4.0256611706221253E-2</v>
      </c>
      <c r="W11" s="36">
        <v>2.59215896020062E-2</v>
      </c>
    </row>
    <row r="12" spans="1:23" ht="13.5" thickBot="1">
      <c r="A12" s="42" t="s">
        <v>131</v>
      </c>
      <c r="B12" s="297">
        <f>Scenarios!B33</f>
        <v>2.5656887462827429E-2</v>
      </c>
      <c r="C12" s="303">
        <f>Scenarios!D12</f>
        <v>0.17312066928436093</v>
      </c>
      <c r="D12" s="108">
        <f>Scenarios!E12</f>
        <v>0.47422188785278774</v>
      </c>
      <c r="E12" s="109">
        <f>Scenarios!F12</f>
        <v>0.75906077754107693</v>
      </c>
      <c r="F12" s="109">
        <f>Scenarios!G12</f>
        <v>0.72481655312346349</v>
      </c>
      <c r="G12" s="109">
        <f>Scenarios!H12</f>
        <v>0.62515021546234673</v>
      </c>
      <c r="H12" s="109">
        <f>Scenarios!I12</f>
        <v>0.51393319492259693</v>
      </c>
      <c r="I12" s="109">
        <f>Scenarios!J12</f>
        <v>0.49865020725851572</v>
      </c>
      <c r="J12" s="109">
        <f>Scenarios!K12</f>
        <v>0.69905118742319949</v>
      </c>
      <c r="K12" s="109">
        <f>Scenarios!L12</f>
        <v>0.74626676152997495</v>
      </c>
      <c r="L12" s="110">
        <f>Scenarios!M12</f>
        <v>0.99999999999999989</v>
      </c>
      <c r="O12" s="36">
        <v>3.5671534525267847E-3</v>
      </c>
      <c r="P12" s="36">
        <v>2.0833023405731881E-2</v>
      </c>
      <c r="Q12" s="36">
        <v>2.0349527274647464E-2</v>
      </c>
      <c r="R12" s="36">
        <v>3.1081517045807538E-2</v>
      </c>
      <c r="S12" s="36">
        <v>2.6350437176914793E-2</v>
      </c>
      <c r="T12" s="36">
        <v>2.8184114203008193E-2</v>
      </c>
      <c r="U12" s="36">
        <v>1.9456295018597095E-2</v>
      </c>
      <c r="V12" s="36">
        <v>2.5921589602006204E-2</v>
      </c>
      <c r="W12" s="36">
        <v>2.9970766133465065E-2</v>
      </c>
    </row>
    <row r="14" spans="1:23" ht="13.5" thickBot="1"/>
    <row r="15" spans="1:23" ht="13.5" thickBot="1">
      <c r="A15" s="38" t="str">
        <f>Scenarios!C24</f>
        <v>Base Case</v>
      </c>
      <c r="B15" s="39" t="s">
        <v>1</v>
      </c>
      <c r="C15" s="39" t="s">
        <v>2</v>
      </c>
      <c r="D15" s="315" t="s">
        <v>3</v>
      </c>
      <c r="E15" s="316"/>
      <c r="F15" s="316"/>
      <c r="G15" s="316"/>
      <c r="H15" s="316"/>
      <c r="I15" s="316"/>
      <c r="J15" s="316"/>
      <c r="K15" s="316"/>
      <c r="L15" s="291"/>
    </row>
    <row r="16" spans="1:23">
      <c r="A16" s="40" t="s">
        <v>4</v>
      </c>
      <c r="B16" s="299">
        <f>Scenarios!C25</f>
        <v>-3.2445168309994665E-3</v>
      </c>
      <c r="C16" s="41">
        <f>C4</f>
        <v>4.3450149472468363E-2</v>
      </c>
      <c r="D16" s="304">
        <f>D4</f>
        <v>1</v>
      </c>
      <c r="E16" s="305">
        <f t="shared" ref="E16:L17" si="0">E4</f>
        <v>0.5243300313487167</v>
      </c>
      <c r="F16" s="305">
        <f t="shared" si="0"/>
        <v>0.5048621610682209</v>
      </c>
      <c r="G16" s="305">
        <f t="shared" si="0"/>
        <v>0.25487540552021803</v>
      </c>
      <c r="H16" s="305">
        <f t="shared" si="0"/>
        <v>0.29680815289592971</v>
      </c>
      <c r="I16" s="305">
        <f t="shared" si="0"/>
        <v>0.25154461316198484</v>
      </c>
      <c r="J16" s="305">
        <f t="shared" si="0"/>
        <v>0.48821319241673689</v>
      </c>
      <c r="K16" s="305">
        <f t="shared" si="0"/>
        <v>0.39542796227510119</v>
      </c>
      <c r="L16" s="306">
        <f t="shared" si="0"/>
        <v>0.47422188785278757</v>
      </c>
      <c r="M16" s="227" t="s">
        <v>119</v>
      </c>
    </row>
    <row r="17" spans="1:13">
      <c r="A17" s="40" t="s">
        <v>5</v>
      </c>
      <c r="B17" s="41">
        <f>Scenarios!C26</f>
        <v>3.2492969125133414E-2</v>
      </c>
      <c r="C17" s="41">
        <f t="shared" ref="C17:L24" si="1">C5</f>
        <v>0.15853561014014847</v>
      </c>
      <c r="D17" s="105">
        <f t="shared" si="1"/>
        <v>0.52433003134871636</v>
      </c>
      <c r="E17" s="106">
        <f t="shared" si="1"/>
        <v>1</v>
      </c>
      <c r="F17" s="106">
        <f t="shared" si="1"/>
        <v>0.94338322745767289</v>
      </c>
      <c r="G17" s="106">
        <f t="shared" si="1"/>
        <v>0.74070013517974964</v>
      </c>
      <c r="H17" s="106">
        <f t="shared" si="1"/>
        <v>0.74187676376193956</v>
      </c>
      <c r="I17" s="106">
        <f t="shared" si="1"/>
        <v>0.60846903584875156</v>
      </c>
      <c r="J17" s="106">
        <f t="shared" si="1"/>
        <v>0.86668583493806206</v>
      </c>
      <c r="K17" s="106">
        <f t="shared" si="1"/>
        <v>0.86259221475724557</v>
      </c>
      <c r="L17" s="107">
        <f t="shared" si="0"/>
        <v>0.75906077754107681</v>
      </c>
    </row>
    <row r="18" spans="1:13">
      <c r="A18" s="40" t="s">
        <v>6</v>
      </c>
      <c r="B18" s="41">
        <f>Scenarios!C27</f>
        <v>1.45681608513176E-2</v>
      </c>
      <c r="C18" s="41">
        <f t="shared" si="1"/>
        <v>0.16217253275473525</v>
      </c>
      <c r="D18" s="105">
        <f t="shared" si="1"/>
        <v>0.50486216106822102</v>
      </c>
      <c r="E18" s="106">
        <f t="shared" si="1"/>
        <v>0.943383227457673</v>
      </c>
      <c r="F18" s="106">
        <f t="shared" si="1"/>
        <v>1</v>
      </c>
      <c r="G18" s="106">
        <f t="shared" si="1"/>
        <v>0.77223648924957744</v>
      </c>
      <c r="H18" s="106">
        <f t="shared" si="1"/>
        <v>0.79023745754825636</v>
      </c>
      <c r="I18" s="106">
        <f t="shared" si="1"/>
        <v>0.63110682083437419</v>
      </c>
      <c r="J18" s="106">
        <f t="shared" si="1"/>
        <v>0.87120901203593171</v>
      </c>
      <c r="K18" s="106">
        <f t="shared" si="1"/>
        <v>0.86536847063850975</v>
      </c>
      <c r="L18" s="107">
        <f t="shared" si="1"/>
        <v>0.72481655312346349</v>
      </c>
    </row>
    <row r="19" spans="1:13">
      <c r="A19" s="40" t="s">
        <v>7</v>
      </c>
      <c r="B19" s="41">
        <f>Scenarios!C28</f>
        <v>-1.272492445230269E-2</v>
      </c>
      <c r="C19" s="41">
        <f t="shared" si="1"/>
        <v>0.28718972670468956</v>
      </c>
      <c r="D19" s="105">
        <f t="shared" si="1"/>
        <v>0.2548754055202187</v>
      </c>
      <c r="E19" s="106">
        <f t="shared" si="1"/>
        <v>0.74070013517974975</v>
      </c>
      <c r="F19" s="106">
        <f t="shared" si="1"/>
        <v>0.77223648924957744</v>
      </c>
      <c r="G19" s="106">
        <f t="shared" si="1"/>
        <v>1</v>
      </c>
      <c r="H19" s="106">
        <f t="shared" si="1"/>
        <v>0.81106497730540505</v>
      </c>
      <c r="I19" s="106">
        <f t="shared" si="1"/>
        <v>0.69909036020626758</v>
      </c>
      <c r="J19" s="106">
        <f t="shared" si="1"/>
        <v>0.74571542163255744</v>
      </c>
      <c r="K19" s="106">
        <f t="shared" si="1"/>
        <v>0.88603334197313832</v>
      </c>
      <c r="L19" s="107">
        <f t="shared" si="1"/>
        <v>0.62515021546234684</v>
      </c>
    </row>
    <row r="20" spans="1:13">
      <c r="A20" s="40" t="s">
        <v>8</v>
      </c>
      <c r="B20" s="41">
        <f>Scenarios!C29</f>
        <v>5.7893485302571407E-2</v>
      </c>
      <c r="C20" s="41">
        <f t="shared" si="1"/>
        <v>0.29616397669669142</v>
      </c>
      <c r="D20" s="105">
        <f t="shared" si="1"/>
        <v>0.29680815289593021</v>
      </c>
      <c r="E20" s="106">
        <f t="shared" si="1"/>
        <v>0.74187676376193967</v>
      </c>
      <c r="F20" s="106">
        <f t="shared" si="1"/>
        <v>0.79023745754825636</v>
      </c>
      <c r="G20" s="106">
        <f t="shared" si="1"/>
        <v>0.81106497730540505</v>
      </c>
      <c r="H20" s="106">
        <f t="shared" si="1"/>
        <v>0.99999999999999978</v>
      </c>
      <c r="I20" s="106">
        <f t="shared" si="1"/>
        <v>0.63944069654526292</v>
      </c>
      <c r="J20" s="106">
        <f t="shared" si="1"/>
        <v>0.64591301484464436</v>
      </c>
      <c r="K20" s="106">
        <f t="shared" si="1"/>
        <v>0.78448428807756676</v>
      </c>
      <c r="L20" s="107">
        <f t="shared" si="1"/>
        <v>0.51393319492259693</v>
      </c>
    </row>
    <row r="21" spans="1:13">
      <c r="A21" s="40" t="s">
        <v>9</v>
      </c>
      <c r="B21" s="41">
        <f>Scenarios!C30</f>
        <v>7.1858480605475325E-2</v>
      </c>
      <c r="C21" s="41">
        <f t="shared" si="1"/>
        <v>0.32648216646211403</v>
      </c>
      <c r="D21" s="105">
        <f t="shared" si="1"/>
        <v>0.25154461316198523</v>
      </c>
      <c r="E21" s="106">
        <f t="shared" si="1"/>
        <v>0.60846903584875167</v>
      </c>
      <c r="F21" s="106">
        <f t="shared" si="1"/>
        <v>0.6311068208343743</v>
      </c>
      <c r="G21" s="106">
        <f t="shared" si="1"/>
        <v>0.69909036020626758</v>
      </c>
      <c r="H21" s="106">
        <f t="shared" si="1"/>
        <v>0.63944069654526281</v>
      </c>
      <c r="I21" s="106">
        <f t="shared" si="1"/>
        <v>0.99999999999999978</v>
      </c>
      <c r="J21" s="106">
        <f t="shared" si="1"/>
        <v>0.57555638609831095</v>
      </c>
      <c r="K21" s="106">
        <f t="shared" si="1"/>
        <v>0.6706441294402975</v>
      </c>
      <c r="L21" s="107">
        <f t="shared" si="1"/>
        <v>0.49865020725851583</v>
      </c>
    </row>
    <row r="22" spans="1:13">
      <c r="A22" s="40" t="s">
        <v>10</v>
      </c>
      <c r="B22" s="41">
        <f>Scenarios!C31</f>
        <v>1.8730269708989476E-2</v>
      </c>
      <c r="C22" s="41">
        <f t="shared" si="1"/>
        <v>0.16076897495152093</v>
      </c>
      <c r="D22" s="105">
        <f t="shared" si="1"/>
        <v>0.488213192416737</v>
      </c>
      <c r="E22" s="106">
        <f t="shared" si="1"/>
        <v>0.86668583493806206</v>
      </c>
      <c r="F22" s="106">
        <f t="shared" si="1"/>
        <v>0.87120901203593182</v>
      </c>
      <c r="G22" s="106">
        <f t="shared" si="1"/>
        <v>0.74571542163255744</v>
      </c>
      <c r="H22" s="106">
        <f t="shared" si="1"/>
        <v>0.64591301484464425</v>
      </c>
      <c r="I22" s="106">
        <f t="shared" si="1"/>
        <v>0.57555638609831083</v>
      </c>
      <c r="J22" s="106">
        <f t="shared" si="1"/>
        <v>1.0000000000000002</v>
      </c>
      <c r="K22" s="106">
        <f t="shared" si="1"/>
        <v>0.79740125449060317</v>
      </c>
      <c r="L22" s="107">
        <f t="shared" si="1"/>
        <v>0.6990511874231996</v>
      </c>
    </row>
    <row r="23" spans="1:13">
      <c r="A23" s="40" t="s">
        <v>11</v>
      </c>
      <c r="B23" s="41">
        <f>Scenarios!C32</f>
        <v>-5.9825766089863959E-3</v>
      </c>
      <c r="C23" s="41">
        <f t="shared" si="1"/>
        <v>0.20064050365322861</v>
      </c>
      <c r="D23" s="105">
        <f t="shared" si="1"/>
        <v>0.39542796227510135</v>
      </c>
      <c r="E23" s="106">
        <f t="shared" si="1"/>
        <v>0.86259221475724557</v>
      </c>
      <c r="F23" s="106">
        <f t="shared" si="1"/>
        <v>0.86536847063850963</v>
      </c>
      <c r="G23" s="106">
        <f t="shared" si="1"/>
        <v>0.88603334197313832</v>
      </c>
      <c r="H23" s="106">
        <f t="shared" si="1"/>
        <v>0.78448428807756676</v>
      </c>
      <c r="I23" s="106">
        <f t="shared" si="1"/>
        <v>0.67064412944029761</v>
      </c>
      <c r="J23" s="106">
        <f t="shared" si="1"/>
        <v>0.79740125449060328</v>
      </c>
      <c r="K23" s="106">
        <f t="shared" si="1"/>
        <v>1.0000000000000002</v>
      </c>
      <c r="L23" s="107">
        <f t="shared" si="1"/>
        <v>0.74626676152997484</v>
      </c>
    </row>
    <row r="24" spans="1:13" ht="13.5" thickBot="1">
      <c r="A24" s="42" t="s">
        <v>131</v>
      </c>
      <c r="B24" s="297">
        <f>Scenarios!C33</f>
        <v>3.8404573676165434E-3</v>
      </c>
      <c r="C24" s="297">
        <f t="shared" si="1"/>
        <v>0.17312066928436093</v>
      </c>
      <c r="D24" s="108">
        <f t="shared" si="1"/>
        <v>0.47422188785278774</v>
      </c>
      <c r="E24" s="109">
        <f t="shared" si="1"/>
        <v>0.75906077754107693</v>
      </c>
      <c r="F24" s="109">
        <f t="shared" si="1"/>
        <v>0.72481655312346349</v>
      </c>
      <c r="G24" s="109">
        <f t="shared" si="1"/>
        <v>0.62515021546234673</v>
      </c>
      <c r="H24" s="109">
        <f t="shared" si="1"/>
        <v>0.51393319492259693</v>
      </c>
      <c r="I24" s="109">
        <f t="shared" si="1"/>
        <v>0.49865020725851572</v>
      </c>
      <c r="J24" s="109">
        <f t="shared" si="1"/>
        <v>0.69905118742319949</v>
      </c>
      <c r="K24" s="109">
        <f t="shared" si="1"/>
        <v>0.74626676152997495</v>
      </c>
      <c r="L24" s="110">
        <f t="shared" si="1"/>
        <v>0.99999999999999989</v>
      </c>
    </row>
    <row r="26" spans="1:13" ht="13.5" thickBot="1"/>
    <row r="27" spans="1:13" ht="13.5" thickBot="1">
      <c r="A27" s="38" t="str">
        <f>Scenarios!D24</f>
        <v>Base - muddle down</v>
      </c>
      <c r="B27" s="39" t="s">
        <v>1</v>
      </c>
      <c r="C27" s="39" t="s">
        <v>2</v>
      </c>
      <c r="D27" s="315" t="s">
        <v>3</v>
      </c>
      <c r="E27" s="316"/>
      <c r="F27" s="316"/>
      <c r="G27" s="316"/>
      <c r="H27" s="316"/>
      <c r="I27" s="316"/>
      <c r="J27" s="316"/>
      <c r="K27" s="316"/>
      <c r="L27" s="291"/>
    </row>
    <row r="28" spans="1:13">
      <c r="A28" s="40" t="s">
        <v>4</v>
      </c>
      <c r="B28" s="299">
        <f>Scenarios!D25</f>
        <v>-1.0761362748873404E-3</v>
      </c>
      <c r="C28" s="41">
        <f t="shared" ref="C28:L36" si="2">C16</f>
        <v>4.3450149472468363E-2</v>
      </c>
      <c r="D28" s="304">
        <f t="shared" si="2"/>
        <v>1</v>
      </c>
      <c r="E28" s="305">
        <f t="shared" si="2"/>
        <v>0.5243300313487167</v>
      </c>
      <c r="F28" s="305">
        <f t="shared" si="2"/>
        <v>0.5048621610682209</v>
      </c>
      <c r="G28" s="305">
        <f t="shared" si="2"/>
        <v>0.25487540552021803</v>
      </c>
      <c r="H28" s="305">
        <f t="shared" si="2"/>
        <v>0.29680815289592971</v>
      </c>
      <c r="I28" s="305">
        <f t="shared" si="2"/>
        <v>0.25154461316198484</v>
      </c>
      <c r="J28" s="305">
        <f t="shared" si="2"/>
        <v>0.48821319241673689</v>
      </c>
      <c r="K28" s="305">
        <f t="shared" si="2"/>
        <v>0.39542796227510119</v>
      </c>
      <c r="L28" s="306">
        <f t="shared" si="2"/>
        <v>0.47422188785278757</v>
      </c>
      <c r="M28" s="227" t="s">
        <v>119</v>
      </c>
    </row>
    <row r="29" spans="1:13">
      <c r="A29" s="40" t="s">
        <v>5</v>
      </c>
      <c r="B29" s="41">
        <f>Scenarios!D26</f>
        <v>-8.65324500372157E-2</v>
      </c>
      <c r="C29" s="41">
        <f t="shared" ref="C29:K29" si="3">C17</f>
        <v>0.15853561014014847</v>
      </c>
      <c r="D29" s="105">
        <f t="shared" si="3"/>
        <v>0.52433003134871636</v>
      </c>
      <c r="E29" s="106">
        <f t="shared" si="3"/>
        <v>1</v>
      </c>
      <c r="F29" s="106">
        <f t="shared" si="3"/>
        <v>0.94338322745767289</v>
      </c>
      <c r="G29" s="106">
        <f t="shared" si="3"/>
        <v>0.74070013517974964</v>
      </c>
      <c r="H29" s="106">
        <f t="shared" si="3"/>
        <v>0.74187676376193956</v>
      </c>
      <c r="I29" s="106">
        <f t="shared" si="3"/>
        <v>0.60846903584875156</v>
      </c>
      <c r="J29" s="106">
        <f t="shared" si="3"/>
        <v>0.86668583493806206</v>
      </c>
      <c r="K29" s="106">
        <f t="shared" si="3"/>
        <v>0.86259221475724557</v>
      </c>
      <c r="L29" s="107">
        <f t="shared" si="2"/>
        <v>0.75906077754107681</v>
      </c>
    </row>
    <row r="30" spans="1:13">
      <c r="A30" s="40" t="s">
        <v>6</v>
      </c>
      <c r="B30" s="41">
        <f>Scenarios!D27</f>
        <v>-2.1111513867647543E-2</v>
      </c>
      <c r="C30" s="41">
        <f t="shared" ref="C30:K30" si="4">C18</f>
        <v>0.16217253275473525</v>
      </c>
      <c r="D30" s="105">
        <f t="shared" si="4"/>
        <v>0.50486216106822102</v>
      </c>
      <c r="E30" s="106">
        <f t="shared" si="4"/>
        <v>0.943383227457673</v>
      </c>
      <c r="F30" s="106">
        <f t="shared" si="4"/>
        <v>1</v>
      </c>
      <c r="G30" s="106">
        <f t="shared" si="4"/>
        <v>0.77223648924957744</v>
      </c>
      <c r="H30" s="106">
        <f t="shared" si="4"/>
        <v>0.79023745754825636</v>
      </c>
      <c r="I30" s="106">
        <f t="shared" si="4"/>
        <v>0.63110682083437419</v>
      </c>
      <c r="J30" s="106">
        <f t="shared" si="4"/>
        <v>0.87120901203593171</v>
      </c>
      <c r="K30" s="106">
        <f t="shared" si="4"/>
        <v>0.86536847063850975</v>
      </c>
      <c r="L30" s="107">
        <f t="shared" si="2"/>
        <v>0.72481655312346349</v>
      </c>
    </row>
    <row r="31" spans="1:13">
      <c r="A31" s="40" t="s">
        <v>7</v>
      </c>
      <c r="B31" s="41">
        <f>Scenarios!D28</f>
        <v>-0.19311368459773193</v>
      </c>
      <c r="C31" s="41">
        <f t="shared" ref="C31:K31" si="5">C19</f>
        <v>0.28718972670468956</v>
      </c>
      <c r="D31" s="105">
        <f t="shared" si="5"/>
        <v>0.2548754055202187</v>
      </c>
      <c r="E31" s="106">
        <f t="shared" si="5"/>
        <v>0.74070013517974975</v>
      </c>
      <c r="F31" s="106">
        <f t="shared" si="5"/>
        <v>0.77223648924957744</v>
      </c>
      <c r="G31" s="106">
        <f t="shared" si="5"/>
        <v>1</v>
      </c>
      <c r="H31" s="106">
        <f t="shared" si="5"/>
        <v>0.81106497730540505</v>
      </c>
      <c r="I31" s="106">
        <f t="shared" si="5"/>
        <v>0.69909036020626758</v>
      </c>
      <c r="J31" s="106">
        <f t="shared" si="5"/>
        <v>0.74571542163255744</v>
      </c>
      <c r="K31" s="106">
        <f t="shared" si="5"/>
        <v>0.88603334197313832</v>
      </c>
      <c r="L31" s="107">
        <f t="shared" si="2"/>
        <v>0.62515021546234684</v>
      </c>
    </row>
    <row r="32" spans="1:13">
      <c r="A32" s="40" t="s">
        <v>8</v>
      </c>
      <c r="B32" s="41">
        <f>Scenarios!D29</f>
        <v>-6.9261756645690273E-2</v>
      </c>
      <c r="C32" s="41">
        <f t="shared" ref="C32:K32" si="6">C20</f>
        <v>0.29616397669669142</v>
      </c>
      <c r="D32" s="105">
        <f t="shared" si="6"/>
        <v>0.29680815289593021</v>
      </c>
      <c r="E32" s="106">
        <f t="shared" si="6"/>
        <v>0.74187676376193967</v>
      </c>
      <c r="F32" s="106">
        <f t="shared" si="6"/>
        <v>0.79023745754825636</v>
      </c>
      <c r="G32" s="106">
        <f t="shared" si="6"/>
        <v>0.81106497730540505</v>
      </c>
      <c r="H32" s="106">
        <f t="shared" si="6"/>
        <v>0.99999999999999978</v>
      </c>
      <c r="I32" s="106">
        <f t="shared" si="6"/>
        <v>0.63944069654526292</v>
      </c>
      <c r="J32" s="106">
        <f t="shared" si="6"/>
        <v>0.64591301484464436</v>
      </c>
      <c r="K32" s="106">
        <f t="shared" si="6"/>
        <v>0.78448428807756676</v>
      </c>
      <c r="L32" s="107">
        <f t="shared" si="2"/>
        <v>0.51393319492259693</v>
      </c>
    </row>
    <row r="33" spans="1:13">
      <c r="A33" s="40" t="s">
        <v>9</v>
      </c>
      <c r="B33" s="41">
        <f>Scenarios!D30</f>
        <v>1.202667991596415E-2</v>
      </c>
      <c r="C33" s="41">
        <f t="shared" ref="C33:K33" si="7">C21</f>
        <v>0.32648216646211403</v>
      </c>
      <c r="D33" s="105">
        <f t="shared" si="7"/>
        <v>0.25154461316198523</v>
      </c>
      <c r="E33" s="106">
        <f t="shared" si="7"/>
        <v>0.60846903584875167</v>
      </c>
      <c r="F33" s="106">
        <f t="shared" si="7"/>
        <v>0.6311068208343743</v>
      </c>
      <c r="G33" s="106">
        <f t="shared" si="7"/>
        <v>0.69909036020626758</v>
      </c>
      <c r="H33" s="106">
        <f t="shared" si="7"/>
        <v>0.63944069654526281</v>
      </c>
      <c r="I33" s="106">
        <f t="shared" si="7"/>
        <v>0.99999999999999978</v>
      </c>
      <c r="J33" s="106">
        <f t="shared" si="7"/>
        <v>0.57555638609831095</v>
      </c>
      <c r="K33" s="106">
        <f t="shared" si="7"/>
        <v>0.6706441294402975</v>
      </c>
      <c r="L33" s="107">
        <f t="shared" si="2"/>
        <v>0.49865020725851583</v>
      </c>
    </row>
    <row r="34" spans="1:13">
      <c r="A34" s="40" t="s">
        <v>10</v>
      </c>
      <c r="B34" s="41">
        <f>Scenarios!D31</f>
        <v>-4.6790508294452839E-2</v>
      </c>
      <c r="C34" s="41">
        <f t="shared" ref="C34:K34" si="8">C22</f>
        <v>0.16076897495152093</v>
      </c>
      <c r="D34" s="105">
        <f t="shared" si="8"/>
        <v>0.488213192416737</v>
      </c>
      <c r="E34" s="106">
        <f t="shared" si="8"/>
        <v>0.86668583493806206</v>
      </c>
      <c r="F34" s="106">
        <f t="shared" si="8"/>
        <v>0.87120901203593182</v>
      </c>
      <c r="G34" s="106">
        <f t="shared" si="8"/>
        <v>0.74571542163255744</v>
      </c>
      <c r="H34" s="106">
        <f t="shared" si="8"/>
        <v>0.64591301484464425</v>
      </c>
      <c r="I34" s="106">
        <f t="shared" si="8"/>
        <v>0.57555638609831083</v>
      </c>
      <c r="J34" s="106">
        <f t="shared" si="8"/>
        <v>1.0000000000000002</v>
      </c>
      <c r="K34" s="106">
        <f t="shared" si="8"/>
        <v>0.79740125449060317</v>
      </c>
      <c r="L34" s="107">
        <f t="shared" si="2"/>
        <v>0.6990511874231996</v>
      </c>
    </row>
    <row r="35" spans="1:13">
      <c r="A35" s="40" t="s">
        <v>11</v>
      </c>
      <c r="B35" s="41">
        <f>Scenarios!D32</f>
        <v>-0.13956067047136589</v>
      </c>
      <c r="C35" s="41">
        <f t="shared" ref="C35:K35" si="9">C23</f>
        <v>0.20064050365322861</v>
      </c>
      <c r="D35" s="105">
        <f t="shared" si="9"/>
        <v>0.39542796227510135</v>
      </c>
      <c r="E35" s="106">
        <f t="shared" si="9"/>
        <v>0.86259221475724557</v>
      </c>
      <c r="F35" s="106">
        <f t="shared" si="9"/>
        <v>0.86536847063850963</v>
      </c>
      <c r="G35" s="106">
        <f t="shared" si="9"/>
        <v>0.88603334197313832</v>
      </c>
      <c r="H35" s="106">
        <f t="shared" si="9"/>
        <v>0.78448428807756676</v>
      </c>
      <c r="I35" s="106">
        <f t="shared" si="9"/>
        <v>0.67064412944029761</v>
      </c>
      <c r="J35" s="106">
        <f t="shared" si="9"/>
        <v>0.79740125449060328</v>
      </c>
      <c r="K35" s="106">
        <f t="shared" si="9"/>
        <v>1.0000000000000002</v>
      </c>
      <c r="L35" s="107">
        <f t="shared" si="2"/>
        <v>0.74626676152997484</v>
      </c>
    </row>
    <row r="36" spans="1:13" ht="13.5" thickBot="1">
      <c r="A36" s="42" t="s">
        <v>131</v>
      </c>
      <c r="B36" s="297">
        <f>Scenarios!D33</f>
        <v>-0.14672572762255914</v>
      </c>
      <c r="C36" s="297">
        <f t="shared" ref="C36:K36" si="10">C24</f>
        <v>0.17312066928436093</v>
      </c>
      <c r="D36" s="108">
        <f t="shared" si="10"/>
        <v>0.47422188785278774</v>
      </c>
      <c r="E36" s="109">
        <f t="shared" si="10"/>
        <v>0.75906077754107693</v>
      </c>
      <c r="F36" s="109">
        <f t="shared" si="10"/>
        <v>0.72481655312346349</v>
      </c>
      <c r="G36" s="109">
        <f t="shared" si="10"/>
        <v>0.62515021546234673</v>
      </c>
      <c r="H36" s="109">
        <f t="shared" si="10"/>
        <v>0.51393319492259693</v>
      </c>
      <c r="I36" s="109">
        <f t="shared" si="10"/>
        <v>0.49865020725851572</v>
      </c>
      <c r="J36" s="109">
        <f t="shared" si="10"/>
        <v>0.69905118742319949</v>
      </c>
      <c r="K36" s="109">
        <f t="shared" si="10"/>
        <v>0.74626676152997495</v>
      </c>
      <c r="L36" s="110">
        <f t="shared" si="2"/>
        <v>0.99999999999999989</v>
      </c>
    </row>
    <row r="38" spans="1:13" ht="13.5" thickBot="1"/>
    <row r="39" spans="1:13" ht="13.5" thickBot="1">
      <c r="A39" s="38" t="str">
        <f>Scenarios!E24</f>
        <v>Base - muddle up</v>
      </c>
      <c r="B39" s="39" t="s">
        <v>1</v>
      </c>
      <c r="C39" s="39" t="s">
        <v>2</v>
      </c>
      <c r="D39" s="315" t="s">
        <v>3</v>
      </c>
      <c r="E39" s="316"/>
      <c r="F39" s="316"/>
      <c r="G39" s="316"/>
      <c r="H39" s="316"/>
      <c r="I39" s="316"/>
      <c r="J39" s="316"/>
      <c r="K39" s="316"/>
      <c r="L39" s="291"/>
    </row>
    <row r="40" spans="1:13">
      <c r="A40" s="40" t="s">
        <v>4</v>
      </c>
      <c r="B40" s="41">
        <f>Scenarios!E25</f>
        <v>-3.4179872754884488E-3</v>
      </c>
      <c r="C40" s="41">
        <f t="shared" ref="C40:L48" si="11">+C28</f>
        <v>4.3450149472468363E-2</v>
      </c>
      <c r="D40" s="304">
        <f t="shared" si="11"/>
        <v>1</v>
      </c>
      <c r="E40" s="305">
        <f t="shared" si="11"/>
        <v>0.5243300313487167</v>
      </c>
      <c r="F40" s="305">
        <f t="shared" si="11"/>
        <v>0.5048621610682209</v>
      </c>
      <c r="G40" s="305">
        <f t="shared" si="11"/>
        <v>0.25487540552021803</v>
      </c>
      <c r="H40" s="305">
        <f t="shared" si="11"/>
        <v>0.29680815289592971</v>
      </c>
      <c r="I40" s="305">
        <f t="shared" si="11"/>
        <v>0.25154461316198484</v>
      </c>
      <c r="J40" s="305">
        <f t="shared" si="11"/>
        <v>0.48821319241673689</v>
      </c>
      <c r="K40" s="305">
        <f t="shared" si="11"/>
        <v>0.39542796227510119</v>
      </c>
      <c r="L40" s="306">
        <f t="shared" si="11"/>
        <v>0.47422188785278757</v>
      </c>
      <c r="M40" s="227" t="s">
        <v>119</v>
      </c>
    </row>
    <row r="41" spans="1:13">
      <c r="A41" s="40" t="s">
        <v>5</v>
      </c>
      <c r="B41" s="41">
        <f>Scenarios!E26</f>
        <v>5.1526244290784291E-2</v>
      </c>
      <c r="C41" s="41">
        <f t="shared" ref="C41:K41" si="12">+C29</f>
        <v>0.15853561014014847</v>
      </c>
      <c r="D41" s="105">
        <f t="shared" si="12"/>
        <v>0.52433003134871636</v>
      </c>
      <c r="E41" s="106">
        <f t="shared" si="12"/>
        <v>1</v>
      </c>
      <c r="F41" s="106">
        <f t="shared" si="12"/>
        <v>0.94338322745767289</v>
      </c>
      <c r="G41" s="106">
        <f t="shared" si="12"/>
        <v>0.74070013517974964</v>
      </c>
      <c r="H41" s="106">
        <f t="shared" si="12"/>
        <v>0.74187676376193956</v>
      </c>
      <c r="I41" s="106">
        <f t="shared" si="12"/>
        <v>0.60846903584875156</v>
      </c>
      <c r="J41" s="106">
        <f t="shared" si="12"/>
        <v>0.86668583493806206</v>
      </c>
      <c r="K41" s="106">
        <f t="shared" si="12"/>
        <v>0.86259221475724557</v>
      </c>
      <c r="L41" s="107">
        <f t="shared" si="11"/>
        <v>0.75906077754107681</v>
      </c>
    </row>
    <row r="42" spans="1:13">
      <c r="A42" s="40" t="s">
        <v>6</v>
      </c>
      <c r="B42" s="41">
        <f>Scenarios!E27</f>
        <v>3.2357333960853253E-3</v>
      </c>
      <c r="C42" s="41">
        <f t="shared" ref="C42:K42" si="13">+C30</f>
        <v>0.16217253275473525</v>
      </c>
      <c r="D42" s="105">
        <f t="shared" si="13"/>
        <v>0.50486216106822102</v>
      </c>
      <c r="E42" s="106">
        <f t="shared" si="13"/>
        <v>0.943383227457673</v>
      </c>
      <c r="F42" s="106">
        <f t="shared" si="13"/>
        <v>1</v>
      </c>
      <c r="G42" s="106">
        <f t="shared" si="13"/>
        <v>0.77223648924957744</v>
      </c>
      <c r="H42" s="106">
        <f t="shared" si="13"/>
        <v>0.79023745754825636</v>
      </c>
      <c r="I42" s="106">
        <f t="shared" si="13"/>
        <v>0.63110682083437419</v>
      </c>
      <c r="J42" s="106">
        <f t="shared" si="13"/>
        <v>0.87120901203593171</v>
      </c>
      <c r="K42" s="106">
        <f t="shared" si="13"/>
        <v>0.86536847063850975</v>
      </c>
      <c r="L42" s="107">
        <f t="shared" si="11"/>
        <v>0.72481655312346349</v>
      </c>
    </row>
    <row r="43" spans="1:13">
      <c r="A43" s="40" t="s">
        <v>7</v>
      </c>
      <c r="B43" s="41">
        <f>Scenarios!E28</f>
        <v>4.3944352615336905E-2</v>
      </c>
      <c r="C43" s="41">
        <f t="shared" ref="C43:K43" si="14">+C31</f>
        <v>0.28718972670468956</v>
      </c>
      <c r="D43" s="105">
        <f t="shared" si="14"/>
        <v>0.2548754055202187</v>
      </c>
      <c r="E43" s="106">
        <f t="shared" si="14"/>
        <v>0.74070013517974975</v>
      </c>
      <c r="F43" s="106">
        <f t="shared" si="14"/>
        <v>0.77223648924957744</v>
      </c>
      <c r="G43" s="106">
        <f t="shared" si="14"/>
        <v>1</v>
      </c>
      <c r="H43" s="106">
        <f t="shared" si="14"/>
        <v>0.81106497730540505</v>
      </c>
      <c r="I43" s="106">
        <f t="shared" si="14"/>
        <v>0.69909036020626758</v>
      </c>
      <c r="J43" s="106">
        <f t="shared" si="14"/>
        <v>0.74571542163255744</v>
      </c>
      <c r="K43" s="106">
        <f t="shared" si="14"/>
        <v>0.88603334197313832</v>
      </c>
      <c r="L43" s="107">
        <f t="shared" si="11"/>
        <v>0.62515021546234684</v>
      </c>
    </row>
    <row r="44" spans="1:13">
      <c r="A44" s="40" t="s">
        <v>8</v>
      </c>
      <c r="B44" s="41">
        <f>Scenarios!E29</f>
        <v>7.474963400472559E-2</v>
      </c>
      <c r="C44" s="41">
        <f t="shared" ref="C44:K44" si="15">+C32</f>
        <v>0.29616397669669142</v>
      </c>
      <c r="D44" s="105">
        <f t="shared" si="15"/>
        <v>0.29680815289593021</v>
      </c>
      <c r="E44" s="106">
        <f t="shared" si="15"/>
        <v>0.74187676376193967</v>
      </c>
      <c r="F44" s="106">
        <f t="shared" si="15"/>
        <v>0.79023745754825636</v>
      </c>
      <c r="G44" s="106">
        <f t="shared" si="15"/>
        <v>0.81106497730540505</v>
      </c>
      <c r="H44" s="106">
        <f t="shared" si="15"/>
        <v>0.99999999999999978</v>
      </c>
      <c r="I44" s="106">
        <f t="shared" si="15"/>
        <v>0.63944069654526292</v>
      </c>
      <c r="J44" s="106">
        <f t="shared" si="15"/>
        <v>0.64591301484464436</v>
      </c>
      <c r="K44" s="106">
        <f t="shared" si="15"/>
        <v>0.78448428807756676</v>
      </c>
      <c r="L44" s="107">
        <f t="shared" si="11"/>
        <v>0.51393319492259693</v>
      </c>
    </row>
    <row r="45" spans="1:13">
      <c r="A45" s="40" t="s">
        <v>9</v>
      </c>
      <c r="B45" s="41">
        <f>Scenarios!E30</f>
        <v>8.5249207175964209E-2</v>
      </c>
      <c r="C45" s="41">
        <f t="shared" ref="C45:K45" si="16">+C33</f>
        <v>0.32648216646211403</v>
      </c>
      <c r="D45" s="105">
        <f t="shared" si="16"/>
        <v>0.25154461316198523</v>
      </c>
      <c r="E45" s="106">
        <f t="shared" si="16"/>
        <v>0.60846903584875167</v>
      </c>
      <c r="F45" s="106">
        <f t="shared" si="16"/>
        <v>0.6311068208343743</v>
      </c>
      <c r="G45" s="106">
        <f t="shared" si="16"/>
        <v>0.69909036020626758</v>
      </c>
      <c r="H45" s="106">
        <f t="shared" si="16"/>
        <v>0.63944069654526281</v>
      </c>
      <c r="I45" s="106">
        <f t="shared" si="16"/>
        <v>0.99999999999999978</v>
      </c>
      <c r="J45" s="106">
        <f t="shared" si="16"/>
        <v>0.57555638609831095</v>
      </c>
      <c r="K45" s="106">
        <f t="shared" si="16"/>
        <v>0.6706441294402975</v>
      </c>
      <c r="L45" s="107">
        <f t="shared" si="11"/>
        <v>0.49865020725851583</v>
      </c>
    </row>
    <row r="46" spans="1:13">
      <c r="A46" s="40" t="s">
        <v>10</v>
      </c>
      <c r="B46" s="41">
        <f>Scenarios!E31</f>
        <v>1.8215216611987023E-2</v>
      </c>
      <c r="C46" s="41">
        <f t="shared" ref="C46:K46" si="17">+C34</f>
        <v>0.16076897495152093</v>
      </c>
      <c r="D46" s="105">
        <f t="shared" si="17"/>
        <v>0.488213192416737</v>
      </c>
      <c r="E46" s="106">
        <f t="shared" si="17"/>
        <v>0.86668583493806206</v>
      </c>
      <c r="F46" s="106">
        <f t="shared" si="17"/>
        <v>0.87120901203593182</v>
      </c>
      <c r="G46" s="106">
        <f t="shared" si="17"/>
        <v>0.74571542163255744</v>
      </c>
      <c r="H46" s="106">
        <f t="shared" si="17"/>
        <v>0.64591301484464425</v>
      </c>
      <c r="I46" s="106">
        <f t="shared" si="17"/>
        <v>0.57555638609831083</v>
      </c>
      <c r="J46" s="106">
        <f t="shared" si="17"/>
        <v>1.0000000000000002</v>
      </c>
      <c r="K46" s="106">
        <f t="shared" si="17"/>
        <v>0.79740125449060317</v>
      </c>
      <c r="L46" s="107">
        <f t="shared" si="11"/>
        <v>0.6990511874231996</v>
      </c>
    </row>
    <row r="47" spans="1:13">
      <c r="A47" s="40" t="s">
        <v>11</v>
      </c>
      <c r="B47" s="41">
        <f>Scenarios!E32</f>
        <v>2.7964399001126676E-2</v>
      </c>
      <c r="C47" s="41">
        <f t="shared" ref="C47:K47" si="18">+C35</f>
        <v>0.20064050365322861</v>
      </c>
      <c r="D47" s="105">
        <f t="shared" si="18"/>
        <v>0.39542796227510135</v>
      </c>
      <c r="E47" s="106">
        <f t="shared" si="18"/>
        <v>0.86259221475724557</v>
      </c>
      <c r="F47" s="106">
        <f t="shared" si="18"/>
        <v>0.86536847063850963</v>
      </c>
      <c r="G47" s="106">
        <f t="shared" si="18"/>
        <v>0.88603334197313832</v>
      </c>
      <c r="H47" s="106">
        <f t="shared" si="18"/>
        <v>0.78448428807756676</v>
      </c>
      <c r="I47" s="106">
        <f t="shared" si="18"/>
        <v>0.67064412944029761</v>
      </c>
      <c r="J47" s="106">
        <f t="shared" si="18"/>
        <v>0.79740125449060328</v>
      </c>
      <c r="K47" s="106">
        <f t="shared" si="18"/>
        <v>1.0000000000000002</v>
      </c>
      <c r="L47" s="107">
        <f t="shared" si="11"/>
        <v>0.74626676152997484</v>
      </c>
    </row>
    <row r="48" spans="1:13" ht="13.5" thickBot="1">
      <c r="A48" s="42" t="s">
        <v>131</v>
      </c>
      <c r="B48" s="297">
        <f>Scenarios!E33</f>
        <v>2.2147204340377598E-2</v>
      </c>
      <c r="C48" s="297">
        <f t="shared" ref="C48:K48" si="19">+C36</f>
        <v>0.17312066928436093</v>
      </c>
      <c r="D48" s="108">
        <f t="shared" si="19"/>
        <v>0.47422188785278774</v>
      </c>
      <c r="E48" s="109">
        <f t="shared" si="19"/>
        <v>0.75906077754107693</v>
      </c>
      <c r="F48" s="109">
        <f t="shared" si="19"/>
        <v>0.72481655312346349</v>
      </c>
      <c r="G48" s="109">
        <f t="shared" si="19"/>
        <v>0.62515021546234673</v>
      </c>
      <c r="H48" s="109">
        <f t="shared" si="19"/>
        <v>0.51393319492259693</v>
      </c>
      <c r="I48" s="109">
        <f t="shared" si="19"/>
        <v>0.49865020725851572</v>
      </c>
      <c r="J48" s="109">
        <f t="shared" si="19"/>
        <v>0.69905118742319949</v>
      </c>
      <c r="K48" s="109">
        <f t="shared" si="19"/>
        <v>0.74626676152997495</v>
      </c>
      <c r="L48" s="110">
        <f t="shared" si="11"/>
        <v>0.99999999999999989</v>
      </c>
    </row>
    <row r="50" spans="1:14" ht="13.5" thickBot="1"/>
    <row r="51" spans="1:14" ht="15.75" customHeight="1" thickBot="1">
      <c r="A51" s="43" t="str">
        <f>Scenarios!F24</f>
        <v>Bear case</v>
      </c>
      <c r="B51" s="39" t="s">
        <v>1</v>
      </c>
      <c r="C51" s="290" t="s">
        <v>2</v>
      </c>
      <c r="D51" s="317" t="s">
        <v>3</v>
      </c>
      <c r="E51" s="318"/>
      <c r="F51" s="318"/>
      <c r="G51" s="318"/>
      <c r="H51" s="318"/>
      <c r="I51" s="318"/>
      <c r="J51" s="318"/>
      <c r="K51" s="318"/>
      <c r="L51" s="319"/>
    </row>
    <row r="52" spans="1:14">
      <c r="A52" s="40" t="s">
        <v>4</v>
      </c>
      <c r="B52" s="220">
        <f>Scenarios!F25</f>
        <v>-2.5720358328627513E-2</v>
      </c>
      <c r="C52" s="222">
        <v>6.2230972955435157E-2</v>
      </c>
      <c r="D52" s="254">
        <v>1</v>
      </c>
      <c r="E52" s="255">
        <v>0.47102969549764873</v>
      </c>
      <c r="F52" s="255">
        <v>0.44102598120003672</v>
      </c>
      <c r="G52" s="255">
        <v>0.1916139221868596</v>
      </c>
      <c r="H52" s="255">
        <v>0.24756676138433611</v>
      </c>
      <c r="I52" s="255">
        <v>0.1747091736012199</v>
      </c>
      <c r="J52" s="255">
        <v>0.43690863222333309</v>
      </c>
      <c r="K52" s="255">
        <v>0.33880552794512614</v>
      </c>
      <c r="L52" s="256">
        <v>0.70238919189824067</v>
      </c>
      <c r="M52" s="36" t="s">
        <v>124</v>
      </c>
    </row>
    <row r="53" spans="1:14">
      <c r="A53" s="40" t="s">
        <v>5</v>
      </c>
      <c r="B53" s="220">
        <f>Scenarios!F26</f>
        <v>-0.43934344866388231</v>
      </c>
      <c r="C53" s="219">
        <v>0.22813368702469963</v>
      </c>
      <c r="D53" s="248">
        <v>0.47102969549764873</v>
      </c>
      <c r="E53" s="249">
        <v>1.0000000000000002</v>
      </c>
      <c r="F53" s="249">
        <v>0.93822360415104178</v>
      </c>
      <c r="G53" s="249">
        <v>0.75326025420376108</v>
      </c>
      <c r="H53" s="249">
        <v>0.73352486795767102</v>
      </c>
      <c r="I53" s="249">
        <v>0.63359529390296199</v>
      </c>
      <c r="J53" s="249">
        <v>0.87098619109423425</v>
      </c>
      <c r="K53" s="249">
        <v>0.87135999187444568</v>
      </c>
      <c r="L53" s="250">
        <v>0.80604385760605091</v>
      </c>
    </row>
    <row r="54" spans="1:14">
      <c r="A54" s="40" t="s">
        <v>6</v>
      </c>
      <c r="B54" s="220">
        <f>Scenarios!F27</f>
        <v>-0.41802644813429485</v>
      </c>
      <c r="C54" s="219">
        <v>0.23612462727275424</v>
      </c>
      <c r="D54" s="248">
        <v>0.44102598120003672</v>
      </c>
      <c r="E54" s="249">
        <v>0.93822360415104189</v>
      </c>
      <c r="F54" s="249">
        <v>1.0000000000000002</v>
      </c>
      <c r="G54" s="249">
        <v>0.79963015318153241</v>
      </c>
      <c r="H54" s="249">
        <v>0.78704984484445428</v>
      </c>
      <c r="I54" s="249">
        <v>0.6705837763066671</v>
      </c>
      <c r="J54" s="249">
        <v>0.87302411710056305</v>
      </c>
      <c r="K54" s="249">
        <v>0.89106747178031864</v>
      </c>
      <c r="L54" s="250">
        <v>0.24756676138433592</v>
      </c>
    </row>
    <row r="55" spans="1:14">
      <c r="A55" s="40" t="s">
        <v>7</v>
      </c>
      <c r="B55" s="220">
        <f>Scenarios!F28</f>
        <v>-0.5992014650452413</v>
      </c>
      <c r="C55" s="219">
        <v>0.41877013863949536</v>
      </c>
      <c r="D55" s="248">
        <v>0.19161392218685974</v>
      </c>
      <c r="E55" s="249">
        <v>0.75326025420376086</v>
      </c>
      <c r="F55" s="249">
        <v>0.79963015318153241</v>
      </c>
      <c r="G55" s="249">
        <v>1</v>
      </c>
      <c r="H55" s="249">
        <v>0.80812183743359234</v>
      </c>
      <c r="I55" s="249">
        <v>0.70238919189824067</v>
      </c>
      <c r="J55" s="249">
        <v>0.80604385760605091</v>
      </c>
      <c r="K55" s="249">
        <v>0.88086813992686197</v>
      </c>
      <c r="L55" s="250">
        <v>0.73352486795767102</v>
      </c>
    </row>
    <row r="56" spans="1:14">
      <c r="A56" s="40" t="s">
        <v>8</v>
      </c>
      <c r="B56" s="220">
        <f>Scenarios!F29</f>
        <v>-0.42661422498990775</v>
      </c>
      <c r="C56" s="219">
        <v>0.43715930361035565</v>
      </c>
      <c r="D56" s="248">
        <v>0.24756676138433592</v>
      </c>
      <c r="E56" s="249">
        <v>0.73352486795767102</v>
      </c>
      <c r="F56" s="249">
        <v>0.78704984484445417</v>
      </c>
      <c r="G56" s="249">
        <v>0.80812183743359234</v>
      </c>
      <c r="H56" s="249">
        <v>1</v>
      </c>
      <c r="I56" s="249">
        <v>0.6227307997578343</v>
      </c>
      <c r="J56" s="249">
        <v>0.64969582874157039</v>
      </c>
      <c r="K56" s="249">
        <v>0.77520880186806285</v>
      </c>
      <c r="L56" s="250">
        <v>0.44102598120003672</v>
      </c>
    </row>
    <row r="57" spans="1:14">
      <c r="A57" s="40" t="s">
        <v>9</v>
      </c>
      <c r="B57" s="220">
        <f>Scenarios!F30</f>
        <v>-0.52128297967070236</v>
      </c>
      <c r="C57" s="219">
        <v>0.49612218939856001</v>
      </c>
      <c r="D57" s="248">
        <v>0.17470917360121993</v>
      </c>
      <c r="E57" s="249">
        <v>0.63359529390296199</v>
      </c>
      <c r="F57" s="249">
        <v>0.67058377630666699</v>
      </c>
      <c r="G57" s="249">
        <v>0.70238919189824078</v>
      </c>
      <c r="H57" s="249">
        <v>0.6227307997578343</v>
      </c>
      <c r="I57" s="249">
        <v>0.99999999999999989</v>
      </c>
      <c r="J57" s="249">
        <v>0.64379087144854052</v>
      </c>
      <c r="K57" s="249">
        <v>0.65952840986787564</v>
      </c>
      <c r="L57" s="250">
        <v>0.93822360415104189</v>
      </c>
    </row>
    <row r="58" spans="1:14">
      <c r="A58" s="40" t="s">
        <v>10</v>
      </c>
      <c r="B58" s="220">
        <f>Scenarios!F31</f>
        <v>-0.25630468560846492</v>
      </c>
      <c r="C58" s="219">
        <v>0.22513334484340575</v>
      </c>
      <c r="D58" s="248">
        <v>0.43690863222333315</v>
      </c>
      <c r="E58" s="249">
        <v>0.87098619109423403</v>
      </c>
      <c r="F58" s="249">
        <v>0.87302411710056305</v>
      </c>
      <c r="G58" s="249">
        <v>0.80604385760605068</v>
      </c>
      <c r="H58" s="249">
        <v>0.6496958287415705</v>
      </c>
      <c r="I58" s="249">
        <v>0.64379087144854041</v>
      </c>
      <c r="J58" s="249">
        <v>1.0000000000000002</v>
      </c>
      <c r="K58" s="249">
        <v>0.86491136423250092</v>
      </c>
      <c r="L58" s="250">
        <v>0.47102969549764873</v>
      </c>
    </row>
    <row r="59" spans="1:14">
      <c r="A59" s="40" t="s">
        <v>11</v>
      </c>
      <c r="B59" s="220">
        <f>Scenarios!F32</f>
        <v>-0.45200242221105646</v>
      </c>
      <c r="C59" s="219">
        <v>0.28443486592153544</v>
      </c>
      <c r="D59" s="248">
        <v>0.33880552794512614</v>
      </c>
      <c r="E59" s="249">
        <v>0.87135999187444568</v>
      </c>
      <c r="F59" s="249">
        <v>0.89106747178031853</v>
      </c>
      <c r="G59" s="249">
        <v>0.88086813992686197</v>
      </c>
      <c r="H59" s="249">
        <v>0.77520880186806285</v>
      </c>
      <c r="I59" s="249">
        <v>0.65952840986787553</v>
      </c>
      <c r="J59" s="249">
        <v>0.86491136423250081</v>
      </c>
      <c r="K59" s="249">
        <v>1</v>
      </c>
      <c r="L59" s="250">
        <v>0.93822360415104189</v>
      </c>
    </row>
    <row r="60" spans="1:14" ht="13.5" thickBot="1">
      <c r="A60" s="42" t="s">
        <v>131</v>
      </c>
      <c r="B60" s="221"/>
      <c r="C60" s="298">
        <v>0.32</v>
      </c>
      <c r="D60" s="251">
        <v>0.70238919189824067</v>
      </c>
      <c r="E60" s="252">
        <v>0.80604385760605091</v>
      </c>
      <c r="F60" s="252">
        <v>0.24756676138433592</v>
      </c>
      <c r="G60" s="252">
        <v>0.73352486795767102</v>
      </c>
      <c r="H60" s="252">
        <v>0.44102598120003672</v>
      </c>
      <c r="I60" s="252">
        <v>0.93822360415104189</v>
      </c>
      <c r="J60" s="252">
        <v>0.47102969549764873</v>
      </c>
      <c r="K60" s="252">
        <v>0.93822360415104189</v>
      </c>
      <c r="L60" s="253">
        <v>1</v>
      </c>
    </row>
    <row r="61" spans="1:14">
      <c r="A61" s="201"/>
      <c r="B61" s="202"/>
      <c r="C61" s="203"/>
      <c r="D61" s="106"/>
      <c r="E61" s="106"/>
      <c r="F61" s="106"/>
      <c r="G61" s="106"/>
      <c r="H61" s="106"/>
      <c r="I61" s="106"/>
      <c r="J61" s="106"/>
      <c r="K61" s="106"/>
      <c r="L61" s="106"/>
    </row>
    <row r="62" spans="1:14" ht="13.5" thickBot="1"/>
    <row r="63" spans="1:14" ht="15.75" customHeight="1" thickBot="1">
      <c r="A63" s="43" t="str">
        <f>Scenarios!G24</f>
        <v>Tail risk</v>
      </c>
      <c r="B63" s="39" t="s">
        <v>1</v>
      </c>
      <c r="C63" s="198" t="s">
        <v>2</v>
      </c>
      <c r="D63" s="315" t="s">
        <v>3</v>
      </c>
      <c r="E63" s="316"/>
      <c r="F63" s="316"/>
      <c r="G63" s="316"/>
      <c r="H63" s="316"/>
      <c r="I63" s="316"/>
      <c r="J63" s="316"/>
      <c r="K63" s="316"/>
      <c r="L63" s="320"/>
      <c r="N63" s="73"/>
    </row>
    <row r="64" spans="1:14">
      <c r="A64" s="40" t="s">
        <v>4</v>
      </c>
      <c r="B64" s="300">
        <f>Scenarios!G25</f>
        <v>-0.26287574291051119</v>
      </c>
      <c r="C64" s="217">
        <v>9.0618112702252188E-2</v>
      </c>
      <c r="D64" s="254">
        <v>1</v>
      </c>
      <c r="E64" s="255">
        <v>0.57085300818064821</v>
      </c>
      <c r="F64" s="255">
        <v>0.51590317152054344</v>
      </c>
      <c r="G64" s="255">
        <v>0.22543235061374906</v>
      </c>
      <c r="H64" s="255">
        <v>0.30482733339870521</v>
      </c>
      <c r="I64" s="255">
        <v>0.1877131252242237</v>
      </c>
      <c r="J64" s="255">
        <v>0.56475392912687616</v>
      </c>
      <c r="K64" s="255">
        <v>0.42620353457974319</v>
      </c>
      <c r="L64" s="256">
        <v>0.70238919189824067</v>
      </c>
      <c r="M64" s="36" t="s">
        <v>120</v>
      </c>
      <c r="N64" s="73"/>
    </row>
    <row r="65" spans="1:14">
      <c r="A65" s="40" t="s">
        <v>5</v>
      </c>
      <c r="B65" s="44">
        <f>Scenarios!G26</f>
        <v>-0.41627425662388229</v>
      </c>
      <c r="C65" s="217">
        <v>0.31486528648887419</v>
      </c>
      <c r="D65" s="248">
        <v>0.57085300818064832</v>
      </c>
      <c r="E65" s="249">
        <v>0.99999999999999978</v>
      </c>
      <c r="F65" s="249">
        <v>0.92670220027648009</v>
      </c>
      <c r="G65" s="249">
        <v>0.70556983049672706</v>
      </c>
      <c r="H65" s="249">
        <v>0.73729250351193587</v>
      </c>
      <c r="I65" s="249">
        <v>0.60792613623167058</v>
      </c>
      <c r="J65" s="249">
        <v>0.86315016289079405</v>
      </c>
      <c r="K65" s="249">
        <v>0.86742743262167787</v>
      </c>
      <c r="L65" s="250">
        <v>0.80604385760605091</v>
      </c>
      <c r="N65" s="73"/>
    </row>
    <row r="66" spans="1:14">
      <c r="A66" s="40" t="s">
        <v>6</v>
      </c>
      <c r="B66" s="44">
        <f>Scenarios!G27</f>
        <v>-0.17149574156312622</v>
      </c>
      <c r="C66" s="217">
        <v>0.33563157880530137</v>
      </c>
      <c r="D66" s="248">
        <v>0.51590317152054366</v>
      </c>
      <c r="E66" s="249">
        <v>0.92670220027648009</v>
      </c>
      <c r="F66" s="249">
        <v>0.99999999999999989</v>
      </c>
      <c r="G66" s="249">
        <v>0.77735373318815371</v>
      </c>
      <c r="H66" s="249">
        <v>0.80713427036091268</v>
      </c>
      <c r="I66" s="249">
        <v>0.67030879727576365</v>
      </c>
      <c r="J66" s="249">
        <v>0.8684724670306897</v>
      </c>
      <c r="K66" s="249">
        <v>0.8890877543808684</v>
      </c>
      <c r="L66" s="250">
        <v>0.24756676138433592</v>
      </c>
      <c r="N66" s="73"/>
    </row>
    <row r="67" spans="1:14">
      <c r="A67" s="40" t="s">
        <v>7</v>
      </c>
      <c r="B67" s="44">
        <f>Scenarios!G28</f>
        <v>-0.47126055414190038</v>
      </c>
      <c r="C67" s="217">
        <v>0.58057822101166678</v>
      </c>
      <c r="D67" s="248">
        <v>0.22543235061374906</v>
      </c>
      <c r="E67" s="249">
        <v>0.70556983049672706</v>
      </c>
      <c r="F67" s="249">
        <v>0.77735373318815371</v>
      </c>
      <c r="G67" s="249">
        <v>1.0000000000000002</v>
      </c>
      <c r="H67" s="249">
        <v>0.82379140885718805</v>
      </c>
      <c r="I67" s="249">
        <v>0.71491859487248288</v>
      </c>
      <c r="J67" s="249">
        <v>0.7945256498620229</v>
      </c>
      <c r="K67" s="249">
        <v>0.86375669090984664</v>
      </c>
      <c r="L67" s="250">
        <v>0.73352486795767102</v>
      </c>
      <c r="N67" s="73"/>
    </row>
    <row r="68" spans="1:14">
      <c r="A68" s="40" t="s">
        <v>8</v>
      </c>
      <c r="B68" s="44">
        <f>Scenarios!G29</f>
        <v>-0.26558788944909251</v>
      </c>
      <c r="C68" s="217">
        <v>0.63397873832777574</v>
      </c>
      <c r="D68" s="248">
        <v>0.30482733339870499</v>
      </c>
      <c r="E68" s="249">
        <v>0.73729250351193587</v>
      </c>
      <c r="F68" s="249">
        <v>0.80713427036091279</v>
      </c>
      <c r="G68" s="249">
        <v>0.82379140885718805</v>
      </c>
      <c r="H68" s="249">
        <v>1</v>
      </c>
      <c r="I68" s="249">
        <v>0.66043271027173578</v>
      </c>
      <c r="J68" s="249">
        <v>0.67907866736685552</v>
      </c>
      <c r="K68" s="249">
        <v>0.79157487896608858</v>
      </c>
      <c r="L68" s="250">
        <v>0.44102598120003672</v>
      </c>
      <c r="N68" s="73"/>
    </row>
    <row r="69" spans="1:14">
      <c r="A69" s="40" t="s">
        <v>9</v>
      </c>
      <c r="B69" s="44">
        <f>Scenarios!G30</f>
        <v>-0.54077311463070243</v>
      </c>
      <c r="C69" s="217">
        <v>0.67038386164030728</v>
      </c>
      <c r="D69" s="248">
        <v>0.18771312522422376</v>
      </c>
      <c r="E69" s="249">
        <v>0.60792613623167069</v>
      </c>
      <c r="F69" s="249">
        <v>0.67030879727576365</v>
      </c>
      <c r="G69" s="249">
        <v>0.71491859487248288</v>
      </c>
      <c r="H69" s="249">
        <v>0.66043271027173578</v>
      </c>
      <c r="I69" s="249">
        <v>1.0000000000000002</v>
      </c>
      <c r="J69" s="249">
        <v>0.64225367758188689</v>
      </c>
      <c r="K69" s="249">
        <v>0.67366535141540462</v>
      </c>
      <c r="L69" s="250">
        <v>0.93822360415104189</v>
      </c>
      <c r="N69" s="73"/>
    </row>
    <row r="70" spans="1:14">
      <c r="A70" s="40" t="s">
        <v>10</v>
      </c>
      <c r="B70" s="44">
        <f>Scenarios!G31</f>
        <v>-6.931471876793301E-3</v>
      </c>
      <c r="C70" s="217">
        <v>0.29165630729321568</v>
      </c>
      <c r="D70" s="248">
        <v>0.56475392912687616</v>
      </c>
      <c r="E70" s="249">
        <v>0.86315016289079405</v>
      </c>
      <c r="F70" s="249">
        <v>0.86847246703068981</v>
      </c>
      <c r="G70" s="249">
        <v>0.7945256498620229</v>
      </c>
      <c r="H70" s="249">
        <v>0.67907866736685563</v>
      </c>
      <c r="I70" s="249">
        <v>0.64225367758188689</v>
      </c>
      <c r="J70" s="249">
        <v>1</v>
      </c>
      <c r="K70" s="249">
        <v>0.89194847086880591</v>
      </c>
      <c r="L70" s="250">
        <v>0.47102969549764873</v>
      </c>
      <c r="N70" s="73"/>
    </row>
    <row r="71" spans="1:14">
      <c r="A71" s="40" t="s">
        <v>11</v>
      </c>
      <c r="B71" s="44">
        <f>Scenarios!G32</f>
        <v>-0.48031312669988807</v>
      </c>
      <c r="C71" s="217">
        <v>0.38188039832723164</v>
      </c>
      <c r="D71" s="248">
        <v>0.4262035345797428</v>
      </c>
      <c r="E71" s="249">
        <v>0.86742743262167776</v>
      </c>
      <c r="F71" s="249">
        <v>0.8890877543808684</v>
      </c>
      <c r="G71" s="249">
        <v>0.86375669090984664</v>
      </c>
      <c r="H71" s="249">
        <v>0.79157487896608847</v>
      </c>
      <c r="I71" s="249">
        <v>0.67366535141540462</v>
      </c>
      <c r="J71" s="249">
        <v>0.89194847086880591</v>
      </c>
      <c r="K71" s="249">
        <v>1</v>
      </c>
      <c r="L71" s="250">
        <v>0.93822360415104189</v>
      </c>
      <c r="N71" s="73"/>
    </row>
    <row r="72" spans="1:14" ht="13.5" thickBot="1">
      <c r="A72" s="42" t="s">
        <v>131</v>
      </c>
      <c r="B72" s="301">
        <f>Scenarios!G33</f>
        <v>-0.70677044028756997</v>
      </c>
      <c r="C72" s="218">
        <v>0.38188039832723164</v>
      </c>
      <c r="D72" s="251">
        <v>0.70238919189824067</v>
      </c>
      <c r="E72" s="252">
        <v>0.80604385760605091</v>
      </c>
      <c r="F72" s="252">
        <v>0.24756676138433592</v>
      </c>
      <c r="G72" s="252">
        <v>0.73352486795767102</v>
      </c>
      <c r="H72" s="252">
        <v>0.44102598120003672</v>
      </c>
      <c r="I72" s="252">
        <v>0.93822360415104189</v>
      </c>
      <c r="J72" s="252">
        <v>0.47102969549764873</v>
      </c>
      <c r="K72" s="252">
        <v>0.93822360415104189</v>
      </c>
      <c r="L72" s="253">
        <v>1</v>
      </c>
    </row>
    <row r="73" spans="1:14">
      <c r="A73" s="201"/>
      <c r="B73" s="202"/>
      <c r="C73" s="203"/>
      <c r="D73" s="106"/>
      <c r="E73" s="106"/>
      <c r="F73" s="106"/>
      <c r="G73" s="106"/>
      <c r="H73" s="106"/>
      <c r="I73" s="106"/>
      <c r="J73" s="106"/>
      <c r="K73" s="106"/>
      <c r="L73" s="106"/>
    </row>
    <row r="74" spans="1:14" ht="13.5" thickBot="1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N74" s="73"/>
    </row>
    <row r="75" spans="1:14" ht="13.5" thickBot="1">
      <c r="A75" s="38" t="str">
        <f>Scenarios!H24</f>
        <v>Bull case</v>
      </c>
      <c r="B75" s="39" t="s">
        <v>1</v>
      </c>
      <c r="C75" s="39" t="s">
        <v>2</v>
      </c>
      <c r="D75" s="315" t="s">
        <v>3</v>
      </c>
      <c r="E75" s="316"/>
      <c r="F75" s="316"/>
      <c r="G75" s="316"/>
      <c r="H75" s="316"/>
      <c r="I75" s="316"/>
      <c r="J75" s="316"/>
      <c r="K75" s="316"/>
      <c r="L75" s="291"/>
      <c r="N75" s="73"/>
    </row>
    <row r="76" spans="1:14">
      <c r="A76" s="40" t="s">
        <v>4</v>
      </c>
      <c r="B76" s="41">
        <f>Scenarios!H25</f>
        <v>-3.2441343963196256E-3</v>
      </c>
      <c r="C76" s="41">
        <f t="shared" ref="C76:K76" si="20">C52</f>
        <v>6.2230972955435157E-2</v>
      </c>
      <c r="D76" s="304">
        <f t="shared" si="20"/>
        <v>1</v>
      </c>
      <c r="E76" s="305">
        <f t="shared" si="20"/>
        <v>0.47102969549764873</v>
      </c>
      <c r="F76" s="305">
        <f t="shared" si="20"/>
        <v>0.44102598120003672</v>
      </c>
      <c r="G76" s="305">
        <f t="shared" si="20"/>
        <v>0.1916139221868596</v>
      </c>
      <c r="H76" s="305">
        <f t="shared" si="20"/>
        <v>0.24756676138433611</v>
      </c>
      <c r="I76" s="305">
        <f t="shared" si="20"/>
        <v>0.1747091736012199</v>
      </c>
      <c r="J76" s="305">
        <f t="shared" si="20"/>
        <v>0.43690863222333309</v>
      </c>
      <c r="K76" s="305">
        <f t="shared" si="20"/>
        <v>0.33880552794512614</v>
      </c>
      <c r="L76" s="306">
        <f t="shared" ref="L76:L84" si="21">+L52</f>
        <v>0.70238919189824067</v>
      </c>
      <c r="M76" s="227" t="s">
        <v>121</v>
      </c>
    </row>
    <row r="77" spans="1:14">
      <c r="A77" s="40" t="s">
        <v>5</v>
      </c>
      <c r="B77" s="41">
        <f>Scenarios!H26</f>
        <v>0.27529934429078429</v>
      </c>
      <c r="C77" s="41">
        <f t="shared" ref="C77:K77" si="22">C53</f>
        <v>0.22813368702469963</v>
      </c>
      <c r="D77" s="105">
        <f t="shared" si="22"/>
        <v>0.47102969549764873</v>
      </c>
      <c r="E77" s="106">
        <f t="shared" si="22"/>
        <v>1.0000000000000002</v>
      </c>
      <c r="F77" s="106">
        <f t="shared" si="22"/>
        <v>0.93822360415104178</v>
      </c>
      <c r="G77" s="106">
        <f t="shared" si="22"/>
        <v>0.75326025420376108</v>
      </c>
      <c r="H77" s="106">
        <f t="shared" si="22"/>
        <v>0.73352486795767102</v>
      </c>
      <c r="I77" s="106">
        <f t="shared" si="22"/>
        <v>0.63359529390296199</v>
      </c>
      <c r="J77" s="106">
        <f t="shared" si="22"/>
        <v>0.87098619109423425</v>
      </c>
      <c r="K77" s="106">
        <f t="shared" si="22"/>
        <v>0.87135999187444568</v>
      </c>
      <c r="L77" s="107">
        <f t="shared" si="21"/>
        <v>0.80604385760605091</v>
      </c>
    </row>
    <row r="78" spans="1:14">
      <c r="A78" s="40" t="s">
        <v>6</v>
      </c>
      <c r="B78" s="41">
        <f>Scenarios!H27</f>
        <v>0.25817653707968463</v>
      </c>
      <c r="C78" s="41">
        <f t="shared" ref="C78:K78" si="23">C54</f>
        <v>0.23612462727275424</v>
      </c>
      <c r="D78" s="105">
        <f t="shared" si="23"/>
        <v>0.44102598120003672</v>
      </c>
      <c r="E78" s="106">
        <f t="shared" si="23"/>
        <v>0.93822360415104189</v>
      </c>
      <c r="F78" s="106">
        <f t="shared" si="23"/>
        <v>1.0000000000000002</v>
      </c>
      <c r="G78" s="106">
        <f t="shared" si="23"/>
        <v>0.79963015318153241</v>
      </c>
      <c r="H78" s="106">
        <f t="shared" si="23"/>
        <v>0.78704984484445428</v>
      </c>
      <c r="I78" s="106">
        <f t="shared" si="23"/>
        <v>0.6705837763066671</v>
      </c>
      <c r="J78" s="106">
        <f t="shared" si="23"/>
        <v>0.87302411710056305</v>
      </c>
      <c r="K78" s="106">
        <f t="shared" si="23"/>
        <v>0.89106747178031864</v>
      </c>
      <c r="L78" s="107">
        <f t="shared" si="21"/>
        <v>0.24756676138433592</v>
      </c>
    </row>
    <row r="79" spans="1:14">
      <c r="A79" s="40" t="s">
        <v>7</v>
      </c>
      <c r="B79" s="41">
        <f>Scenarios!H28</f>
        <v>0.40935864013329615</v>
      </c>
      <c r="C79" s="41">
        <f t="shared" ref="C79:K79" si="24">C55</f>
        <v>0.41877013863949536</v>
      </c>
      <c r="D79" s="105">
        <f t="shared" si="24"/>
        <v>0.19161392218685974</v>
      </c>
      <c r="E79" s="106">
        <f t="shared" si="24"/>
        <v>0.75326025420376086</v>
      </c>
      <c r="F79" s="106">
        <f t="shared" si="24"/>
        <v>0.79963015318153241</v>
      </c>
      <c r="G79" s="106">
        <f t="shared" si="24"/>
        <v>1</v>
      </c>
      <c r="H79" s="106">
        <f t="shared" si="24"/>
        <v>0.80812183743359234</v>
      </c>
      <c r="I79" s="106">
        <f t="shared" si="24"/>
        <v>0.70238919189824067</v>
      </c>
      <c r="J79" s="106">
        <f t="shared" si="24"/>
        <v>0.80604385760605091</v>
      </c>
      <c r="K79" s="106">
        <f t="shared" si="24"/>
        <v>0.88086813992686197</v>
      </c>
      <c r="L79" s="107">
        <f t="shared" si="21"/>
        <v>0.73352486795767102</v>
      </c>
    </row>
    <row r="80" spans="1:14">
      <c r="A80" s="40" t="s">
        <v>8</v>
      </c>
      <c r="B80" s="41">
        <f>Scenarios!H29</f>
        <v>0.37672139820686834</v>
      </c>
      <c r="C80" s="41">
        <f t="shared" ref="C80:K80" si="25">C56</f>
        <v>0.43715930361035565</v>
      </c>
      <c r="D80" s="105">
        <f t="shared" si="25"/>
        <v>0.24756676138433592</v>
      </c>
      <c r="E80" s="106">
        <f t="shared" si="25"/>
        <v>0.73352486795767102</v>
      </c>
      <c r="F80" s="106">
        <f t="shared" si="25"/>
        <v>0.78704984484445417</v>
      </c>
      <c r="G80" s="106">
        <f t="shared" si="25"/>
        <v>0.80812183743359234</v>
      </c>
      <c r="H80" s="106">
        <f t="shared" si="25"/>
        <v>1</v>
      </c>
      <c r="I80" s="106">
        <f t="shared" si="25"/>
        <v>0.6227307997578343</v>
      </c>
      <c r="J80" s="106">
        <f t="shared" si="25"/>
        <v>0.64969582874157039</v>
      </c>
      <c r="K80" s="106">
        <f t="shared" si="25"/>
        <v>0.77520880186806285</v>
      </c>
      <c r="L80" s="107">
        <f t="shared" si="21"/>
        <v>0.44102598120003672</v>
      </c>
    </row>
    <row r="81" spans="1:14">
      <c r="A81" s="40" t="s">
        <v>9</v>
      </c>
      <c r="B81" s="41">
        <f>Scenarios!H30</f>
        <v>0.621322616702631</v>
      </c>
      <c r="C81" s="41">
        <f t="shared" ref="C81:K81" si="26">C57</f>
        <v>0.49612218939856001</v>
      </c>
      <c r="D81" s="105">
        <f t="shared" si="26"/>
        <v>0.17470917360121993</v>
      </c>
      <c r="E81" s="106">
        <f t="shared" si="26"/>
        <v>0.63359529390296199</v>
      </c>
      <c r="F81" s="106">
        <f t="shared" si="26"/>
        <v>0.67058377630666699</v>
      </c>
      <c r="G81" s="106">
        <f t="shared" si="26"/>
        <v>0.70238919189824078</v>
      </c>
      <c r="H81" s="106">
        <f t="shared" si="26"/>
        <v>0.6227307997578343</v>
      </c>
      <c r="I81" s="106">
        <f t="shared" si="26"/>
        <v>0.99999999999999989</v>
      </c>
      <c r="J81" s="106">
        <f t="shared" si="26"/>
        <v>0.64379087144854052</v>
      </c>
      <c r="K81" s="106">
        <f t="shared" si="26"/>
        <v>0.65952840986787564</v>
      </c>
      <c r="L81" s="107">
        <f t="shared" si="21"/>
        <v>0.93822360415104189</v>
      </c>
    </row>
    <row r="82" spans="1:14">
      <c r="A82" s="40" t="s">
        <v>10</v>
      </c>
      <c r="B82" s="41">
        <f>Scenarios!H31</f>
        <v>0.28021842301080391</v>
      </c>
      <c r="C82" s="41">
        <f t="shared" ref="C82:K82" si="27">C58</f>
        <v>0.22513334484340575</v>
      </c>
      <c r="D82" s="105">
        <f t="shared" si="27"/>
        <v>0.43690863222333315</v>
      </c>
      <c r="E82" s="106">
        <f t="shared" si="27"/>
        <v>0.87098619109423403</v>
      </c>
      <c r="F82" s="106">
        <f t="shared" si="27"/>
        <v>0.87302411710056305</v>
      </c>
      <c r="G82" s="106">
        <f t="shared" si="27"/>
        <v>0.80604385760605068</v>
      </c>
      <c r="H82" s="106">
        <f t="shared" si="27"/>
        <v>0.6496958287415705</v>
      </c>
      <c r="I82" s="106">
        <f t="shared" si="27"/>
        <v>0.64379087144854041</v>
      </c>
      <c r="J82" s="106">
        <f t="shared" si="27"/>
        <v>1.0000000000000002</v>
      </c>
      <c r="K82" s="106">
        <f t="shared" si="27"/>
        <v>0.86491136423250092</v>
      </c>
      <c r="L82" s="107">
        <f t="shared" si="21"/>
        <v>0.47102969549764873</v>
      </c>
    </row>
    <row r="83" spans="1:14">
      <c r="A83" s="40" t="s">
        <v>11</v>
      </c>
      <c r="B83" s="41">
        <f>Scenarios!H32</f>
        <v>0.41038049782760322</v>
      </c>
      <c r="C83" s="41">
        <f t="shared" ref="C83:K83" si="28">C59</f>
        <v>0.28443486592153544</v>
      </c>
      <c r="D83" s="105">
        <f t="shared" si="28"/>
        <v>0.33880552794512614</v>
      </c>
      <c r="E83" s="106">
        <f t="shared" si="28"/>
        <v>0.87135999187444568</v>
      </c>
      <c r="F83" s="106">
        <f t="shared" si="28"/>
        <v>0.89106747178031853</v>
      </c>
      <c r="G83" s="106">
        <f t="shared" si="28"/>
        <v>0.88086813992686197</v>
      </c>
      <c r="H83" s="106">
        <f t="shared" si="28"/>
        <v>0.77520880186806285</v>
      </c>
      <c r="I83" s="106">
        <f t="shared" si="28"/>
        <v>0.65952840986787553</v>
      </c>
      <c r="J83" s="106">
        <f t="shared" si="28"/>
        <v>0.86491136423250081</v>
      </c>
      <c r="K83" s="106">
        <f t="shared" si="28"/>
        <v>1</v>
      </c>
      <c r="L83" s="107">
        <f t="shared" si="21"/>
        <v>0.93822360415104189</v>
      </c>
    </row>
    <row r="84" spans="1:14" ht="13.5" thickBot="1">
      <c r="A84" s="42" t="s">
        <v>131</v>
      </c>
      <c r="B84" s="297">
        <f>Scenarios!H33</f>
        <v>0.16161778235216684</v>
      </c>
      <c r="C84" s="297">
        <f t="shared" ref="C84:K84" si="29">C60</f>
        <v>0.32</v>
      </c>
      <c r="D84" s="108">
        <f t="shared" si="29"/>
        <v>0.70238919189824067</v>
      </c>
      <c r="E84" s="109">
        <f t="shared" si="29"/>
        <v>0.80604385760605091</v>
      </c>
      <c r="F84" s="109">
        <f t="shared" si="29"/>
        <v>0.24756676138433592</v>
      </c>
      <c r="G84" s="109">
        <f t="shared" si="29"/>
        <v>0.73352486795767102</v>
      </c>
      <c r="H84" s="109">
        <f t="shared" si="29"/>
        <v>0.44102598120003672</v>
      </c>
      <c r="I84" s="109">
        <f t="shared" si="29"/>
        <v>0.93822360415104189</v>
      </c>
      <c r="J84" s="109">
        <f t="shared" si="29"/>
        <v>0.47102969549764873</v>
      </c>
      <c r="K84" s="109">
        <f t="shared" si="29"/>
        <v>0.93822360415104189</v>
      </c>
      <c r="L84" s="110">
        <f t="shared" si="21"/>
        <v>1</v>
      </c>
    </row>
    <row r="85" spans="1:14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N85" s="73"/>
    </row>
    <row r="86" spans="1:14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N86" s="73"/>
    </row>
    <row r="87" spans="1:14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N87" s="73"/>
    </row>
    <row r="88" spans="1:14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N88" s="73"/>
    </row>
    <row r="89" spans="1:14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N89" s="73"/>
    </row>
    <row r="90" spans="1:14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N90" s="73"/>
    </row>
    <row r="91" spans="1:14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N91" s="73"/>
    </row>
    <row r="92" spans="1:14">
      <c r="I92" s="73"/>
      <c r="J92" s="73"/>
      <c r="K92" s="73"/>
      <c r="L92" s="73"/>
      <c r="N92" s="73"/>
    </row>
    <row r="93" spans="1:14">
      <c r="I93" s="73"/>
      <c r="J93" s="73"/>
      <c r="K93" s="73"/>
      <c r="L93" s="73"/>
      <c r="N93" s="73"/>
    </row>
    <row r="1048576" spans="12:12">
      <c r="L1048576" s="107"/>
    </row>
  </sheetData>
  <mergeCells count="7">
    <mergeCell ref="D75:K75"/>
    <mergeCell ref="D3:K3"/>
    <mergeCell ref="D15:K15"/>
    <mergeCell ref="D27:K27"/>
    <mergeCell ref="D39:K39"/>
    <mergeCell ref="D51:L51"/>
    <mergeCell ref="D63:L6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5"/>
  <sheetViews>
    <sheetView zoomScale="80" zoomScaleNormal="80" workbookViewId="0">
      <selection activeCell="D129" sqref="D129"/>
    </sheetView>
  </sheetViews>
  <sheetFormatPr defaultRowHeight="15"/>
  <cols>
    <col min="1" max="1" width="32.42578125" style="70" customWidth="1"/>
    <col min="2" max="2" width="19.140625" style="70" customWidth="1"/>
    <col min="3" max="8" width="18.7109375" style="70" customWidth="1"/>
    <col min="9" max="16384" width="9.140625" style="70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21" t="s">
        <v>16</v>
      </c>
      <c r="D2" s="322"/>
      <c r="E2" s="323" t="s">
        <v>17</v>
      </c>
      <c r="F2" s="324"/>
      <c r="G2" s="325" t="s">
        <v>33</v>
      </c>
      <c r="H2" s="326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0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</v>
      </c>
      <c r="D4" s="16">
        <f>'Control panel'!D3</f>
        <v>0.6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0.2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0.15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0.1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3.0634868515694261E-2</v>
      </c>
      <c r="D10" s="20">
        <f>'Control panel'!D9</f>
        <v>3.0634868515694261E-2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>
      <c r="A11" s="18" t="str">
        <f>'Absolute visies'!A11</f>
        <v>Onroerend goed</v>
      </c>
      <c r="B11" s="19" t="s">
        <v>25</v>
      </c>
      <c r="C11" s="20">
        <f>'Control panel'!C10</f>
        <v>4.6750473476693526E-2</v>
      </c>
      <c r="D11" s="20">
        <f>'Control panel'!D10</f>
        <v>4.6750473476693526E-2</v>
      </c>
      <c r="E11" s="20">
        <v>0</v>
      </c>
      <c r="F11" s="20">
        <v>1</v>
      </c>
      <c r="G11" s="21">
        <f>'Control panel'!B10</f>
        <v>4.6750473476693498E-2</v>
      </c>
      <c r="H11" s="20">
        <f>'Control panel'!E10</f>
        <v>0.99</v>
      </c>
    </row>
    <row r="12" spans="1:8" ht="15.75" thickBot="1">
      <c r="A12" s="22" t="str">
        <f>'Absolute visies'!A12</f>
        <v>Periferie bonds</v>
      </c>
      <c r="B12" s="23" t="s">
        <v>25</v>
      </c>
      <c r="C12" s="24">
        <f>'Control panel'!C11</f>
        <v>0</v>
      </c>
      <c r="D12" s="24">
        <f>'Control panel'!D11</f>
        <v>1</v>
      </c>
      <c r="E12" s="24">
        <v>0</v>
      </c>
      <c r="F12" s="24">
        <v>1</v>
      </c>
      <c r="G12" s="25">
        <f>'Control panel'!B11</f>
        <v>0</v>
      </c>
      <c r="H12" s="24">
        <f>'Control panel'!E11</f>
        <v>0.99</v>
      </c>
    </row>
    <row r="13" spans="1:8" ht="15.75" thickBot="1">
      <c r="G13" s="26" t="s">
        <v>26</v>
      </c>
      <c r="H13" s="24">
        <f>'Control panel'!E12</f>
        <v>0.99</v>
      </c>
    </row>
    <row r="14" spans="1:8" ht="15.75" thickBot="1">
      <c r="G14" s="28"/>
      <c r="H14" s="6"/>
    </row>
    <row r="15" spans="1:8" ht="15.75" thickBot="1">
      <c r="A15" s="34" t="s">
        <v>32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1">
        <v>0</v>
      </c>
    </row>
    <row r="16" spans="1:8">
      <c r="A16" s="14" t="str">
        <f t="shared" ref="A16:A23" si="0">A4</f>
        <v>Nominale matching</v>
      </c>
      <c r="B16" s="228">
        <v>0</v>
      </c>
      <c r="C16" s="228">
        <v>0</v>
      </c>
      <c r="D16" s="228">
        <v>0</v>
      </c>
      <c r="E16" s="228">
        <v>0</v>
      </c>
      <c r="F16" s="228">
        <v>0</v>
      </c>
      <c r="G16" s="229">
        <v>0</v>
      </c>
    </row>
    <row r="17" spans="1:7">
      <c r="A17" s="18" t="str">
        <f t="shared" si="0"/>
        <v>High Yield</v>
      </c>
      <c r="B17" s="230">
        <v>0</v>
      </c>
      <c r="C17" s="230">
        <v>0</v>
      </c>
      <c r="D17" s="230">
        <v>0</v>
      </c>
      <c r="E17" s="230">
        <v>0</v>
      </c>
      <c r="F17" s="230">
        <v>0</v>
      </c>
      <c r="G17" s="230">
        <v>0</v>
      </c>
    </row>
    <row r="18" spans="1:7">
      <c r="A18" s="18" t="str">
        <f t="shared" si="0"/>
        <v>Emerging market debt</v>
      </c>
      <c r="B18" s="230">
        <v>0</v>
      </c>
      <c r="C18" s="230">
        <v>0</v>
      </c>
      <c r="D18" s="230">
        <v>0</v>
      </c>
      <c r="E18" s="230">
        <v>0</v>
      </c>
      <c r="F18" s="230">
        <v>0</v>
      </c>
      <c r="G18" s="231">
        <v>0</v>
      </c>
    </row>
    <row r="19" spans="1:7">
      <c r="A19" s="18" t="str">
        <f t="shared" si="0"/>
        <v>Aandelen ontwikkeld</v>
      </c>
      <c r="B19" s="230">
        <v>0</v>
      </c>
      <c r="C19" s="230">
        <v>0</v>
      </c>
      <c r="D19" s="230">
        <v>0</v>
      </c>
      <c r="E19" s="230">
        <v>0</v>
      </c>
      <c r="F19" s="230">
        <v>0</v>
      </c>
      <c r="G19" s="231">
        <v>0</v>
      </c>
    </row>
    <row r="20" spans="1:7">
      <c r="A20" s="18" t="str">
        <f t="shared" si="0"/>
        <v>Aandelen opkomend</v>
      </c>
      <c r="B20" s="230">
        <v>0</v>
      </c>
      <c r="C20" s="230">
        <v>0</v>
      </c>
      <c r="D20" s="230">
        <v>0</v>
      </c>
      <c r="E20" s="230">
        <v>0</v>
      </c>
      <c r="F20" s="230">
        <v>0</v>
      </c>
      <c r="G20" s="231">
        <v>0</v>
      </c>
    </row>
    <row r="21" spans="1:7">
      <c r="A21" s="18" t="str">
        <f t="shared" si="0"/>
        <v>Commodities</v>
      </c>
      <c r="B21" s="230">
        <v>0</v>
      </c>
      <c r="C21" s="230">
        <v>0</v>
      </c>
      <c r="D21" s="230">
        <v>0</v>
      </c>
      <c r="E21" s="230">
        <v>0</v>
      </c>
      <c r="F21" s="230">
        <v>0</v>
      </c>
      <c r="G21" s="231">
        <v>0</v>
      </c>
    </row>
    <row r="22" spans="1:7">
      <c r="A22" s="18" t="str">
        <f t="shared" si="0"/>
        <v>Hedge funds</v>
      </c>
      <c r="B22" s="230">
        <v>0</v>
      </c>
      <c r="C22" s="230">
        <v>0</v>
      </c>
      <c r="D22" s="230">
        <v>0</v>
      </c>
      <c r="E22" s="230">
        <v>0</v>
      </c>
      <c r="F22" s="230">
        <v>0</v>
      </c>
      <c r="G22" s="231">
        <v>0</v>
      </c>
    </row>
    <row r="23" spans="1:7">
      <c r="A23" s="18" t="str">
        <f t="shared" si="0"/>
        <v>Onroerend goed</v>
      </c>
      <c r="B23" s="230">
        <v>0</v>
      </c>
      <c r="C23" s="230">
        <v>0</v>
      </c>
      <c r="D23" s="230">
        <v>0</v>
      </c>
      <c r="E23" s="230">
        <v>0</v>
      </c>
      <c r="F23" s="230">
        <v>0</v>
      </c>
      <c r="G23" s="231">
        <v>0</v>
      </c>
    </row>
    <row r="24" spans="1:7" ht="15.75" thickBot="1">
      <c r="A24" s="22" t="str">
        <f t="shared" ref="A24" si="1">A12</f>
        <v>Periferie bonds</v>
      </c>
      <c r="B24" s="232">
        <v>0</v>
      </c>
      <c r="C24" s="232">
        <v>0</v>
      </c>
      <c r="D24" s="232">
        <v>0</v>
      </c>
      <c r="E24" s="232">
        <v>0</v>
      </c>
      <c r="F24" s="232">
        <v>0</v>
      </c>
      <c r="G24" s="233">
        <v>0</v>
      </c>
    </row>
    <row r="25" spans="1:7" ht="15.75" thickBot="1">
      <c r="A25" s="35" t="s">
        <v>34</v>
      </c>
      <c r="B25" s="32">
        <v>0</v>
      </c>
      <c r="C25" s="32">
        <v>0</v>
      </c>
      <c r="D25" s="32">
        <v>0</v>
      </c>
      <c r="E25" s="32">
        <v>0</v>
      </c>
      <c r="F25" s="32">
        <v>0</v>
      </c>
      <c r="G25" s="33">
        <v>0</v>
      </c>
    </row>
    <row r="35" spans="1:1">
      <c r="A35" s="70" t="s">
        <v>133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4">
        <v>1</v>
      </c>
      <c r="D102" s="3" t="s">
        <v>36</v>
      </c>
      <c r="E102" s="94">
        <v>1</v>
      </c>
    </row>
    <row r="103" spans="1:5">
      <c r="A103" s="3"/>
      <c r="B103" s="3" t="s">
        <v>25</v>
      </c>
      <c r="C103" s="94">
        <v>2</v>
      </c>
      <c r="D103" s="3" t="s">
        <v>37</v>
      </c>
      <c r="E103" s="94">
        <v>0</v>
      </c>
    </row>
    <row r="106" spans="1:5">
      <c r="A106" s="27" t="s">
        <v>62</v>
      </c>
    </row>
    <row r="107" spans="1:5">
      <c r="A107" s="3" t="str">
        <f t="shared" ref="A107:A114" si="2">A4</f>
        <v>Nominale matching</v>
      </c>
      <c r="B107" s="94">
        <f t="shared" ref="B107:B115" si="3">VLOOKUP(B4,$B$102:$C$103,2,0)</f>
        <v>1</v>
      </c>
    </row>
    <row r="108" spans="1:5">
      <c r="A108" s="3" t="str">
        <f t="shared" si="2"/>
        <v>High Yield</v>
      </c>
      <c r="B108" s="94">
        <f t="shared" si="3"/>
        <v>2</v>
      </c>
    </row>
    <row r="109" spans="1:5">
      <c r="A109" s="3" t="str">
        <f t="shared" si="2"/>
        <v>Emerging market debt</v>
      </c>
      <c r="B109" s="94">
        <f t="shared" si="3"/>
        <v>2</v>
      </c>
    </row>
    <row r="110" spans="1:5">
      <c r="A110" s="3" t="str">
        <f t="shared" si="2"/>
        <v>Aandelen ontwikkeld</v>
      </c>
      <c r="B110" s="94">
        <f t="shared" si="3"/>
        <v>2</v>
      </c>
    </row>
    <row r="111" spans="1:5">
      <c r="A111" s="3" t="str">
        <f t="shared" si="2"/>
        <v>Aandelen opkomend</v>
      </c>
      <c r="B111" s="94">
        <f t="shared" si="3"/>
        <v>2</v>
      </c>
    </row>
    <row r="112" spans="1:5">
      <c r="A112" s="3" t="str">
        <f t="shared" si="2"/>
        <v>Commodities</v>
      </c>
      <c r="B112" s="94">
        <f t="shared" si="3"/>
        <v>2</v>
      </c>
    </row>
    <row r="113" spans="1:2">
      <c r="A113" s="3" t="str">
        <f t="shared" si="2"/>
        <v>Hedge funds</v>
      </c>
      <c r="B113" s="94">
        <f t="shared" si="3"/>
        <v>2</v>
      </c>
    </row>
    <row r="114" spans="1:2">
      <c r="A114" s="265" t="str">
        <f t="shared" si="2"/>
        <v>Onroerend goed</v>
      </c>
      <c r="B114" s="94">
        <f t="shared" si="3"/>
        <v>2</v>
      </c>
    </row>
    <row r="115" spans="1:2">
      <c r="A115" s="3" t="str">
        <f t="shared" ref="A115" si="4">A12</f>
        <v>Periferie bonds</v>
      </c>
      <c r="B115" s="94">
        <f t="shared" si="3"/>
        <v>2</v>
      </c>
    </row>
  </sheetData>
  <mergeCells count="3">
    <mergeCell ref="C2:D2"/>
    <mergeCell ref="E2:F2"/>
    <mergeCell ref="G2:H2"/>
  </mergeCells>
  <conditionalFormatting sqref="B4:B12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2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2">
    <cfRule type="iconSet" priority="3">
      <iconSet>
        <cfvo type="percent" val="0"/>
        <cfvo type="percent" val="33"/>
        <cfvo type="percent" val="67"/>
      </iconSet>
    </cfRule>
  </conditionalFormatting>
  <conditionalFormatting sqref="E4:E12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2">
    <cfRule type="iconSet" priority="1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B4:B12">
      <formula1>$B$102:$B$103</formula1>
    </dataValidation>
    <dataValidation type="list" allowBlank="1" showInputMessage="1" showErrorMessage="1" sqref="B15:G15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30"/>
  <sheetViews>
    <sheetView zoomScale="80" zoomScaleNormal="80" workbookViewId="0">
      <selection activeCell="F45" sqref="F45"/>
    </sheetView>
  </sheetViews>
  <sheetFormatPr defaultRowHeight="15"/>
  <cols>
    <col min="1" max="1" width="44.7109375" style="70" customWidth="1"/>
    <col min="2" max="9" width="20.7109375" style="70" customWidth="1"/>
    <col min="10" max="16384" width="9.140625" style="70"/>
  </cols>
  <sheetData>
    <row r="1" spans="1:8">
      <c r="A1" s="174" t="s">
        <v>39</v>
      </c>
    </row>
    <row r="2" spans="1:8">
      <c r="C2" s="175"/>
    </row>
    <row r="3" spans="1:8">
      <c r="A3" s="27" t="s">
        <v>40</v>
      </c>
      <c r="B3" s="3"/>
      <c r="C3" s="176"/>
      <c r="D3" s="3"/>
      <c r="E3" s="3"/>
      <c r="F3" s="3"/>
    </row>
    <row r="4" spans="1:8" ht="15.75" thickBot="1">
      <c r="A4" s="177"/>
      <c r="B4" s="199"/>
      <c r="C4" s="199"/>
      <c r="D4" s="199"/>
      <c r="E4" s="199"/>
      <c r="F4" s="199"/>
      <c r="G4" s="199"/>
      <c r="H4" s="199"/>
    </row>
    <row r="5" spans="1:8" ht="15.75" thickBot="1">
      <c r="A5" s="206" t="s">
        <v>38</v>
      </c>
      <c r="B5" s="207" t="str">
        <f>Scenarios!B24</f>
        <v>Evenwicht</v>
      </c>
      <c r="C5" s="178" t="str">
        <f>Scenarios!C24</f>
        <v>Base Case</v>
      </c>
      <c r="D5" s="207" t="str">
        <f>Scenarios!D24</f>
        <v>Base - muddle down</v>
      </c>
      <c r="E5" s="178" t="str">
        <f>Scenarios!E24</f>
        <v>Base - muddle up</v>
      </c>
      <c r="F5" s="207" t="str">
        <f>Scenarios!F24</f>
        <v>Bear case</v>
      </c>
      <c r="G5" s="207" t="str">
        <f>Scenarios!G24</f>
        <v>Tail risk</v>
      </c>
      <c r="H5" s="207" t="str">
        <f>Scenarios!H24</f>
        <v>Bull case</v>
      </c>
    </row>
    <row r="6" spans="1:8">
      <c r="A6" s="179" t="s">
        <v>70</v>
      </c>
      <c r="B6" s="257">
        <v>1</v>
      </c>
      <c r="C6" s="238">
        <v>0</v>
      </c>
      <c r="D6" s="237">
        <v>0</v>
      </c>
      <c r="E6" s="238">
        <v>0</v>
      </c>
      <c r="F6" s="237">
        <v>0</v>
      </c>
      <c r="G6" s="237">
        <v>0</v>
      </c>
      <c r="H6" s="237">
        <v>0</v>
      </c>
    </row>
    <row r="7" spans="1:8">
      <c r="A7" s="179" t="s">
        <v>112</v>
      </c>
      <c r="B7" s="208">
        <v>0</v>
      </c>
      <c r="C7" s="93">
        <v>1</v>
      </c>
      <c r="D7" s="208">
        <v>0</v>
      </c>
      <c r="E7" s="93">
        <v>0</v>
      </c>
      <c r="F7" s="208">
        <v>0</v>
      </c>
      <c r="G7" s="208">
        <v>0</v>
      </c>
      <c r="H7" s="208">
        <v>0</v>
      </c>
    </row>
    <row r="8" spans="1:8">
      <c r="A8" s="179" t="s">
        <v>125</v>
      </c>
      <c r="B8" s="208">
        <v>0</v>
      </c>
      <c r="C8" s="93">
        <v>0</v>
      </c>
      <c r="D8" s="208">
        <v>1</v>
      </c>
      <c r="E8" s="93">
        <v>0</v>
      </c>
      <c r="F8" s="208">
        <v>0</v>
      </c>
      <c r="G8" s="208">
        <v>0</v>
      </c>
      <c r="H8" s="208">
        <v>0</v>
      </c>
    </row>
    <row r="9" spans="1:8">
      <c r="A9" s="179" t="s">
        <v>126</v>
      </c>
      <c r="B9" s="208">
        <v>0</v>
      </c>
      <c r="C9" s="93">
        <v>0</v>
      </c>
      <c r="D9" s="208">
        <v>0</v>
      </c>
      <c r="E9" s="93">
        <v>1</v>
      </c>
      <c r="F9" s="208">
        <v>0</v>
      </c>
      <c r="G9" s="208">
        <v>0</v>
      </c>
      <c r="H9" s="208">
        <v>0</v>
      </c>
    </row>
    <row r="10" spans="1:8">
      <c r="A10" s="179" t="s">
        <v>113</v>
      </c>
      <c r="B10" s="208">
        <v>0</v>
      </c>
      <c r="C10" s="93">
        <v>0</v>
      </c>
      <c r="D10" s="208">
        <v>0</v>
      </c>
      <c r="E10" s="93">
        <v>0</v>
      </c>
      <c r="F10" s="208">
        <v>1</v>
      </c>
      <c r="G10" s="208">
        <v>0</v>
      </c>
      <c r="H10" s="208">
        <v>0</v>
      </c>
    </row>
    <row r="11" spans="1:8">
      <c r="A11" s="179" t="s">
        <v>114</v>
      </c>
      <c r="B11" s="208">
        <v>0</v>
      </c>
      <c r="C11" s="93">
        <v>0</v>
      </c>
      <c r="D11" s="208">
        <v>0</v>
      </c>
      <c r="E11" s="93">
        <v>0</v>
      </c>
      <c r="F11" s="208">
        <v>0</v>
      </c>
      <c r="G11" s="208">
        <v>1</v>
      </c>
      <c r="H11" s="208">
        <v>0</v>
      </c>
    </row>
    <row r="12" spans="1:8" ht="15.75" thickBot="1">
      <c r="A12" s="179" t="s">
        <v>127</v>
      </c>
      <c r="B12" s="209">
        <v>0</v>
      </c>
      <c r="C12" s="205">
        <v>0</v>
      </c>
      <c r="D12" s="209">
        <v>0</v>
      </c>
      <c r="E12" s="205">
        <v>0</v>
      </c>
      <c r="F12" s="209">
        <v>0</v>
      </c>
      <c r="G12" s="209">
        <v>0</v>
      </c>
      <c r="H12" s="209">
        <v>1</v>
      </c>
    </row>
    <row r="13" spans="1:8" ht="15.75" thickBot="1">
      <c r="A13" s="200" t="s">
        <v>30</v>
      </c>
      <c r="B13" s="234">
        <v>0</v>
      </c>
      <c r="C13" s="234">
        <v>1</v>
      </c>
      <c r="D13" s="235">
        <v>0</v>
      </c>
      <c r="E13" s="235">
        <v>0</v>
      </c>
      <c r="F13" s="235">
        <v>0</v>
      </c>
      <c r="G13" s="236">
        <v>0</v>
      </c>
      <c r="H13" s="235">
        <v>0</v>
      </c>
    </row>
    <row r="14" spans="1:8">
      <c r="A14" s="204"/>
      <c r="B14" s="85"/>
      <c r="C14" s="85"/>
      <c r="D14" s="85"/>
      <c r="E14" s="85"/>
      <c r="F14" s="85"/>
    </row>
    <row r="15" spans="1:8">
      <c r="A15" s="86" t="s">
        <v>41</v>
      </c>
    </row>
    <row r="16" spans="1:8">
      <c r="A16" s="92" t="s">
        <v>45</v>
      </c>
      <c r="B16" s="68" t="s">
        <v>58</v>
      </c>
    </row>
    <row r="17" spans="1:9" ht="15.75" thickBot="1">
      <c r="A17" s="92"/>
    </row>
    <row r="18" spans="1:9">
      <c r="A18" s="180"/>
      <c r="B18" s="181" t="s">
        <v>43</v>
      </c>
      <c r="C18" s="182"/>
      <c r="D18" s="182"/>
      <c r="E18" s="87"/>
      <c r="F18" s="183"/>
      <c r="G18" s="183"/>
      <c r="H18" s="184"/>
      <c r="I18" s="88" t="s">
        <v>46</v>
      </c>
    </row>
    <row r="19" spans="1:9" ht="15.75" thickBot="1">
      <c r="A19" s="185"/>
      <c r="B19" s="99" t="s">
        <v>42</v>
      </c>
      <c r="C19" s="99" t="s">
        <v>48</v>
      </c>
      <c r="D19" s="99" t="s">
        <v>44</v>
      </c>
      <c r="E19" s="75" t="s">
        <v>48</v>
      </c>
      <c r="F19" s="102" t="s">
        <v>63</v>
      </c>
      <c r="G19" s="102" t="s">
        <v>48</v>
      </c>
      <c r="H19" s="102" t="s">
        <v>14</v>
      </c>
      <c r="I19" s="102" t="s">
        <v>47</v>
      </c>
    </row>
    <row r="20" spans="1:9">
      <c r="A20" s="179" t="str">
        <f>A6</f>
        <v>Evenwicht</v>
      </c>
      <c r="B20" s="186">
        <v>0</v>
      </c>
      <c r="C20" s="187">
        <v>0</v>
      </c>
      <c r="D20" s="100">
        <f>D27</f>
        <v>9.982328696892509E-2</v>
      </c>
      <c r="E20" s="19">
        <v>1</v>
      </c>
      <c r="F20" s="188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79" t="str">
        <f t="shared" ref="A21:A26" si="0">A7</f>
        <v>Base Case</v>
      </c>
      <c r="B21" s="186">
        <v>0</v>
      </c>
      <c r="C21" s="187">
        <v>0</v>
      </c>
      <c r="D21" s="100">
        <f t="shared" ref="D21:D26" si="1">$D$27</f>
        <v>9.982328696892509E-2</v>
      </c>
      <c r="E21" s="19">
        <v>1</v>
      </c>
      <c r="F21" s="188">
        <v>0.02</v>
      </c>
      <c r="G21" s="29">
        <v>0</v>
      </c>
      <c r="H21" s="29" t="s">
        <v>49</v>
      </c>
      <c r="I21" s="29" t="s">
        <v>61</v>
      </c>
    </row>
    <row r="22" spans="1:9">
      <c r="A22" s="179" t="str">
        <f t="shared" si="0"/>
        <v>Base - muddle down</v>
      </c>
      <c r="B22" s="186">
        <v>0</v>
      </c>
      <c r="C22" s="187">
        <v>0</v>
      </c>
      <c r="D22" s="100">
        <f t="shared" si="1"/>
        <v>9.982328696892509E-2</v>
      </c>
      <c r="E22" s="19">
        <v>1</v>
      </c>
      <c r="F22" s="188">
        <v>0.02</v>
      </c>
      <c r="G22" s="29">
        <v>0</v>
      </c>
      <c r="H22" s="29" t="s">
        <v>49</v>
      </c>
      <c r="I22" s="29" t="s">
        <v>61</v>
      </c>
    </row>
    <row r="23" spans="1:9">
      <c r="A23" s="179" t="str">
        <f t="shared" si="0"/>
        <v>Base - muddle up</v>
      </c>
      <c r="B23" s="186">
        <v>0</v>
      </c>
      <c r="C23" s="187">
        <v>0</v>
      </c>
      <c r="D23" s="100">
        <f t="shared" si="1"/>
        <v>9.982328696892509E-2</v>
      </c>
      <c r="E23" s="19">
        <v>1</v>
      </c>
      <c r="F23" s="188">
        <v>0.02</v>
      </c>
      <c r="G23" s="29">
        <v>0</v>
      </c>
      <c r="H23" s="29" t="s">
        <v>49</v>
      </c>
      <c r="I23" s="29" t="s">
        <v>61</v>
      </c>
    </row>
    <row r="24" spans="1:9">
      <c r="A24" s="179" t="str">
        <f t="shared" si="0"/>
        <v>Bear case</v>
      </c>
      <c r="B24" s="186">
        <v>0</v>
      </c>
      <c r="C24" s="187">
        <v>0</v>
      </c>
      <c r="D24" s="100">
        <f t="shared" si="1"/>
        <v>9.982328696892509E-2</v>
      </c>
      <c r="E24" s="19">
        <v>1</v>
      </c>
      <c r="F24" s="188">
        <v>0.02</v>
      </c>
      <c r="G24" s="29">
        <v>0</v>
      </c>
      <c r="H24" s="29" t="s">
        <v>49</v>
      </c>
      <c r="I24" s="29" t="s">
        <v>61</v>
      </c>
    </row>
    <row r="25" spans="1:9">
      <c r="A25" s="179" t="str">
        <f t="shared" si="0"/>
        <v>Tail risk</v>
      </c>
      <c r="B25" s="186">
        <v>0</v>
      </c>
      <c r="C25" s="187">
        <v>0</v>
      </c>
      <c r="D25" s="100">
        <f t="shared" si="1"/>
        <v>9.982328696892509E-2</v>
      </c>
      <c r="E25" s="19">
        <v>1</v>
      </c>
      <c r="F25" s="188">
        <v>0.02</v>
      </c>
      <c r="G25" s="29">
        <v>0</v>
      </c>
      <c r="H25" s="29" t="s">
        <v>49</v>
      </c>
      <c r="I25" s="29" t="s">
        <v>61</v>
      </c>
    </row>
    <row r="26" spans="1:9">
      <c r="A26" s="179" t="str">
        <f t="shared" si="0"/>
        <v>Bull case</v>
      </c>
      <c r="B26" s="186">
        <v>0</v>
      </c>
      <c r="C26" s="187">
        <v>0</v>
      </c>
      <c r="D26" s="100">
        <f t="shared" si="1"/>
        <v>9.982328696892509E-2</v>
      </c>
      <c r="E26" s="19">
        <v>1</v>
      </c>
      <c r="F26" s="188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89" t="str">
        <f>A13</f>
        <v>Kansgewogen</v>
      </c>
      <c r="B27" s="190">
        <f>'Control panel'!B26</f>
        <v>0</v>
      </c>
      <c r="C27" s="76">
        <f>'Control panel'!C26</f>
        <v>0</v>
      </c>
      <c r="D27" s="101">
        <f>'Control panel'!B27</f>
        <v>9.982328696892509E-2</v>
      </c>
      <c r="E27" s="23">
        <f>'Control panel'!C27</f>
        <v>1</v>
      </c>
      <c r="F27" s="191">
        <v>0.02</v>
      </c>
      <c r="G27" s="33">
        <f>'Control panel'!C28</f>
        <v>0</v>
      </c>
      <c r="H27" s="33" t="str">
        <f>'Control panel'!B23</f>
        <v>Max rendement</v>
      </c>
      <c r="I27" s="233" t="s">
        <v>60</v>
      </c>
    </row>
    <row r="29" spans="1:9">
      <c r="A29" s="27" t="s">
        <v>52</v>
      </c>
    </row>
    <row r="30" spans="1:9">
      <c r="A30" s="192" t="s">
        <v>53</v>
      </c>
      <c r="B30" s="103">
        <f>'Control panel'!B31</f>
        <v>0</v>
      </c>
    </row>
    <row r="31" spans="1:9">
      <c r="A31" s="192" t="s">
        <v>54</v>
      </c>
      <c r="B31" s="68">
        <f>'Control panel'!B32</f>
        <v>2</v>
      </c>
    </row>
    <row r="33" spans="1:2">
      <c r="A33" s="27" t="s">
        <v>55</v>
      </c>
    </row>
    <row r="34" spans="1:2">
      <c r="A34" s="193" t="s">
        <v>13</v>
      </c>
      <c r="B34" s="68">
        <f>'Control panel'!B35</f>
        <v>500</v>
      </c>
    </row>
    <row r="35" spans="1:2">
      <c r="A35" s="193" t="s">
        <v>12</v>
      </c>
      <c r="B35" s="68">
        <v>500</v>
      </c>
    </row>
    <row r="45" spans="1:2">
      <c r="A45" s="70" t="s">
        <v>137</v>
      </c>
    </row>
    <row r="100" spans="1:3">
      <c r="A100" s="69" t="s">
        <v>31</v>
      </c>
    </row>
    <row r="101" spans="1:3">
      <c r="A101" s="70" t="s">
        <v>36</v>
      </c>
      <c r="B101" s="169">
        <v>1</v>
      </c>
    </row>
    <row r="102" spans="1:3">
      <c r="A102" s="70" t="s">
        <v>37</v>
      </c>
      <c r="B102" s="169">
        <v>0</v>
      </c>
    </row>
    <row r="104" spans="1:3">
      <c r="A104" s="69" t="s">
        <v>14</v>
      </c>
      <c r="C104" s="194" t="s">
        <v>62</v>
      </c>
    </row>
    <row r="105" spans="1:3">
      <c r="A105" s="70" t="s">
        <v>58</v>
      </c>
      <c r="B105" s="169">
        <v>0</v>
      </c>
      <c r="C105" s="169">
        <f>VLOOKUP(H20,$A$105:$B$108,2,0)</f>
        <v>1</v>
      </c>
    </row>
    <row r="106" spans="1:3">
      <c r="A106" s="70" t="s">
        <v>49</v>
      </c>
      <c r="B106" s="169">
        <v>1</v>
      </c>
      <c r="C106" s="169">
        <f t="shared" ref="C106:C111" si="2">VLOOKUP(H21,$A$105:$B$108,2,0)</f>
        <v>1</v>
      </c>
    </row>
    <row r="107" spans="1:3">
      <c r="A107" s="70" t="s">
        <v>50</v>
      </c>
      <c r="B107" s="169">
        <v>2</v>
      </c>
      <c r="C107" s="169">
        <f t="shared" si="2"/>
        <v>1</v>
      </c>
    </row>
    <row r="108" spans="1:3">
      <c r="A108" s="70" t="s">
        <v>51</v>
      </c>
      <c r="B108" s="169">
        <v>3</v>
      </c>
      <c r="C108" s="169">
        <f t="shared" si="2"/>
        <v>1</v>
      </c>
    </row>
    <row r="109" spans="1:3">
      <c r="C109" s="169">
        <f t="shared" si="2"/>
        <v>1</v>
      </c>
    </row>
    <row r="110" spans="1:3">
      <c r="C110" s="169">
        <f t="shared" si="2"/>
        <v>1</v>
      </c>
    </row>
    <row r="111" spans="1:3">
      <c r="A111" s="69" t="s">
        <v>56</v>
      </c>
      <c r="B111" s="169">
        <v>0</v>
      </c>
      <c r="C111" s="169">
        <f t="shared" si="2"/>
        <v>1</v>
      </c>
    </row>
    <row r="112" spans="1:3">
      <c r="B112" s="169">
        <v>1</v>
      </c>
      <c r="C112" s="169">
        <f>VLOOKUP(H27,$A$105:$B$108,2,0)</f>
        <v>1</v>
      </c>
    </row>
    <row r="113" spans="1:3">
      <c r="B113" s="169">
        <v>2</v>
      </c>
    </row>
    <row r="115" spans="1:3">
      <c r="A115" s="69" t="s">
        <v>57</v>
      </c>
    </row>
    <row r="116" spans="1:3">
      <c r="A116" s="70" t="s">
        <v>58</v>
      </c>
      <c r="B116" s="169">
        <v>0</v>
      </c>
    </row>
    <row r="117" spans="1:3">
      <c r="A117" s="70" t="str">
        <f>'Absolute visies'!A40</f>
        <v>Nominale matching</v>
      </c>
      <c r="B117" s="169">
        <v>1</v>
      </c>
    </row>
    <row r="118" spans="1:3">
      <c r="A118" s="70" t="str">
        <f>'Absolute visies'!A41</f>
        <v>High Yield</v>
      </c>
      <c r="B118" s="169">
        <v>2</v>
      </c>
    </row>
    <row r="119" spans="1:3">
      <c r="A119" s="70" t="str">
        <f>'Absolute visies'!A42</f>
        <v>Emerging market debt</v>
      </c>
      <c r="B119" s="169">
        <v>3</v>
      </c>
    </row>
    <row r="120" spans="1:3">
      <c r="A120" s="70" t="str">
        <f>'Absolute visies'!A43</f>
        <v>Aandelen ontwikkeld</v>
      </c>
      <c r="B120" s="169">
        <v>4</v>
      </c>
    </row>
    <row r="121" spans="1:3">
      <c r="A121" s="70" t="str">
        <f>'Absolute visies'!A44</f>
        <v>Aandelen opkomend</v>
      </c>
      <c r="B121" s="169">
        <v>5</v>
      </c>
    </row>
    <row r="122" spans="1:3">
      <c r="A122" s="70" t="str">
        <f>'Absolute visies'!A45</f>
        <v>Commodities</v>
      </c>
      <c r="B122" s="169">
        <v>6</v>
      </c>
    </row>
    <row r="123" spans="1:3">
      <c r="A123" s="70" t="str">
        <f>'Absolute visies'!A46</f>
        <v>Hedge funds</v>
      </c>
      <c r="B123" s="169">
        <v>7</v>
      </c>
    </row>
    <row r="124" spans="1:3">
      <c r="A124" s="70" t="str">
        <f>'Absolute visies'!A47</f>
        <v>Onroerend goed</v>
      </c>
      <c r="B124" s="169">
        <v>8</v>
      </c>
      <c r="C124" s="70" t="s">
        <v>134</v>
      </c>
    </row>
    <row r="125" spans="1:3">
      <c r="A125" s="70" t="str">
        <f>'Absolute visies'!A48</f>
        <v>Periferie bonds</v>
      </c>
      <c r="B125" s="169">
        <v>9</v>
      </c>
    </row>
    <row r="127" spans="1:3">
      <c r="A127" s="69" t="s">
        <v>59</v>
      </c>
      <c r="B127" s="169">
        <f>VLOOKUP(B16,A116:B125,2,0)</f>
        <v>0</v>
      </c>
    </row>
    <row r="129" spans="1:2">
      <c r="A129" s="69" t="s">
        <v>46</v>
      </c>
      <c r="B129" s="169" t="s">
        <v>60</v>
      </c>
    </row>
    <row r="130" spans="1:2">
      <c r="B130" s="169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$B$129:$B$130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$A$116:$A$125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96"/>
  <sheetViews>
    <sheetView topLeftCell="A16" workbookViewId="0">
      <selection activeCell="E40" sqref="E4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5" t="s">
        <v>69</v>
      </c>
    </row>
    <row r="2" spans="1:30" ht="15.75" thickBot="1">
      <c r="A2" s="46"/>
      <c r="D2" s="327" t="s">
        <v>64</v>
      </c>
      <c r="E2" s="328"/>
      <c r="F2" s="329"/>
      <c r="G2" s="327" t="s">
        <v>65</v>
      </c>
      <c r="H2" s="328"/>
      <c r="I2" s="328"/>
      <c r="J2" s="328"/>
      <c r="K2" s="328"/>
      <c r="L2" s="328"/>
      <c r="M2" s="328"/>
      <c r="N2" s="328"/>
      <c r="O2" s="329"/>
      <c r="R2" s="223" t="s">
        <v>66</v>
      </c>
      <c r="S2" s="47"/>
      <c r="T2" s="47"/>
      <c r="U2" s="47"/>
      <c r="W2" s="47"/>
    </row>
    <row r="3" spans="1:30">
      <c r="A3" s="239" t="s">
        <v>70</v>
      </c>
      <c r="B3" s="240" t="s">
        <v>67</v>
      </c>
      <c r="C3" s="241" t="s">
        <v>2</v>
      </c>
      <c r="D3" s="242">
        <v>0.25</v>
      </c>
      <c r="E3" s="243">
        <v>0.5</v>
      </c>
      <c r="F3" s="244">
        <v>0.75</v>
      </c>
      <c r="G3" s="245">
        <v>0.50821002396845194</v>
      </c>
      <c r="H3" s="245">
        <v>0.18922070826331494</v>
      </c>
      <c r="I3" s="245">
        <v>0.1093162062075218</v>
      </c>
      <c r="J3" s="245">
        <v>9.1407156806714185E-2</v>
      </c>
      <c r="K3" s="245">
        <v>6.2683363257596714E-2</v>
      </c>
      <c r="L3" s="245">
        <v>2.1018525011661127E-2</v>
      </c>
      <c r="M3" s="245">
        <v>1.8115706829599842E-2</v>
      </c>
      <c r="N3" s="245">
        <v>2.83096551407791E-5</v>
      </c>
      <c r="O3" s="246">
        <v>0</v>
      </c>
      <c r="R3" s="48" t="str">
        <f>A3</f>
        <v>Evenwicht</v>
      </c>
      <c r="S3" s="48"/>
      <c r="T3" s="49"/>
      <c r="U3" s="48"/>
      <c r="W3" s="48"/>
      <c r="AA3" s="49"/>
      <c r="AB3" s="49"/>
      <c r="AC3" s="49"/>
      <c r="AD3" s="49"/>
    </row>
    <row r="4" spans="1:30">
      <c r="A4" s="50" t="str">
        <f>'Absolute visies'!A4</f>
        <v>Nominale matching</v>
      </c>
      <c r="B4" s="1">
        <v>0.54905503702090686</v>
      </c>
      <c r="C4" s="51">
        <v>2.0596435962535714E-2</v>
      </c>
      <c r="D4" s="52">
        <v>0.53466959954285942</v>
      </c>
      <c r="E4" s="1">
        <v>0.54816752825204862</v>
      </c>
      <c r="F4" s="53">
        <v>0.5626074162871777</v>
      </c>
      <c r="G4" s="2">
        <v>-0.15078901995975341</v>
      </c>
      <c r="H4" s="2">
        <v>-0.16438968197332296</v>
      </c>
      <c r="I4" s="2">
        <v>-0.4257360349781108</v>
      </c>
      <c r="J4" s="2">
        <v>-0.75228687681449191</v>
      </c>
      <c r="K4" s="2">
        <v>1.757576612756306E-2</v>
      </c>
      <c r="L4" s="2">
        <v>-0.12264227943677453</v>
      </c>
      <c r="M4" s="2">
        <v>0.10653348452810889</v>
      </c>
      <c r="N4" s="2">
        <v>1</v>
      </c>
      <c r="O4" s="54">
        <v>1</v>
      </c>
      <c r="R4" s="48" t="str">
        <f>A4</f>
        <v>Nominale matching</v>
      </c>
      <c r="S4" s="49">
        <f>D4</f>
        <v>0.53466959954285942</v>
      </c>
      <c r="T4" s="49">
        <f>B4-D4</f>
        <v>1.4385437478047436E-2</v>
      </c>
      <c r="U4" s="49">
        <f>F4-B4</f>
        <v>1.3552379266270842E-2</v>
      </c>
      <c r="W4" s="55"/>
      <c r="AA4" s="49"/>
      <c r="AB4" s="49"/>
      <c r="AC4" s="49"/>
      <c r="AD4" s="49"/>
    </row>
    <row r="5" spans="1:30">
      <c r="A5" s="56" t="str">
        <f>'Absolute visies'!A5</f>
        <v>High Yield</v>
      </c>
      <c r="B5" s="1">
        <v>8.0194368632011029E-2</v>
      </c>
      <c r="C5" s="51">
        <v>4.8441831840909298E-2</v>
      </c>
      <c r="D5" s="52">
        <v>4.2738035210043851E-2</v>
      </c>
      <c r="E5" s="1">
        <v>7.3434116940647318E-2</v>
      </c>
      <c r="F5" s="53">
        <v>0.11156749456832245</v>
      </c>
      <c r="G5" s="2">
        <v>-0.58880231192435917</v>
      </c>
      <c r="H5" s="2">
        <v>1</v>
      </c>
      <c r="I5" s="2">
        <v>0.26481835995885711</v>
      </c>
      <c r="J5" s="2">
        <v>0.63827846448557035</v>
      </c>
      <c r="K5" s="2">
        <v>4.8251860361193277E-2</v>
      </c>
      <c r="L5" s="2">
        <v>-0.10365697807064707</v>
      </c>
      <c r="M5" s="2">
        <v>-0.1547587685147325</v>
      </c>
      <c r="N5" s="2">
        <v>0.23207374355306204</v>
      </c>
      <c r="O5" s="54">
        <v>0.99999999999938249</v>
      </c>
      <c r="R5" s="48" t="str">
        <f t="shared" ref="R5:R12" si="0">A5</f>
        <v>High Yield</v>
      </c>
      <c r="S5" s="49">
        <f t="shared" ref="S5:S12" si="1">D5</f>
        <v>4.2738035210043851E-2</v>
      </c>
      <c r="T5" s="49">
        <f t="shared" ref="T5:T12" si="2">B5-D5</f>
        <v>3.7456333421967178E-2</v>
      </c>
      <c r="U5" s="49">
        <f t="shared" ref="U5:U12" si="3">F5-B5</f>
        <v>3.1373125936311419E-2</v>
      </c>
      <c r="W5" s="55"/>
      <c r="AA5" s="49"/>
      <c r="AB5" s="49"/>
      <c r="AC5" s="49"/>
      <c r="AD5" s="49"/>
    </row>
    <row r="6" spans="1:30">
      <c r="A6" s="56" t="str">
        <f>'Absolute visies'!A6</f>
        <v>Emerging market debt</v>
      </c>
      <c r="B6" s="1">
        <v>8.7084843390673475E-2</v>
      </c>
      <c r="C6" s="51">
        <v>6.3359995771167493E-2</v>
      </c>
      <c r="D6" s="52">
        <v>3.7405185654859924E-2</v>
      </c>
      <c r="E6" s="1">
        <v>7.46519302552964E-2</v>
      </c>
      <c r="F6" s="53">
        <v>0.12836846195540164</v>
      </c>
      <c r="G6" s="2">
        <v>1</v>
      </c>
      <c r="H6" s="2">
        <v>0.53166736554522009</v>
      </c>
      <c r="I6" s="2">
        <v>-3.3983437420949565E-2</v>
      </c>
      <c r="J6" s="2">
        <v>0.22868160545911662</v>
      </c>
      <c r="K6" s="2">
        <v>-0.35781571533867151</v>
      </c>
      <c r="L6" s="2">
        <v>0.10665303144371294</v>
      </c>
      <c r="M6" s="2">
        <v>-9.0154918991581082E-2</v>
      </c>
      <c r="N6" s="2">
        <v>0.17001517530672236</v>
      </c>
      <c r="O6" s="54">
        <v>0.99999999999933398</v>
      </c>
      <c r="R6" s="48" t="str">
        <f t="shared" si="0"/>
        <v>Emerging market debt</v>
      </c>
      <c r="S6" s="49">
        <f t="shared" si="1"/>
        <v>3.7405185654859924E-2</v>
      </c>
      <c r="T6" s="49">
        <f t="shared" si="2"/>
        <v>4.9679657735813551E-2</v>
      </c>
      <c r="U6" s="49">
        <f t="shared" si="3"/>
        <v>4.1283618564728161E-2</v>
      </c>
      <c r="AA6" s="49"/>
      <c r="AB6" s="49"/>
      <c r="AC6" s="49"/>
      <c r="AD6" s="49"/>
    </row>
    <row r="7" spans="1:30">
      <c r="A7" s="56" t="str">
        <f>'Absolute visies'!A7</f>
        <v>Aandelen ontwikkeld</v>
      </c>
      <c r="B7" s="1">
        <v>8.174582348802889E-2</v>
      </c>
      <c r="C7" s="51">
        <v>2.5743635789855019E-2</v>
      </c>
      <c r="D7" s="52">
        <v>6.3424836550739522E-2</v>
      </c>
      <c r="E7" s="1">
        <v>8.1712091278401899E-2</v>
      </c>
      <c r="F7" s="53">
        <v>0.10119523238199707</v>
      </c>
      <c r="G7" s="2">
        <v>0.10157698265917596</v>
      </c>
      <c r="H7" s="2">
        <v>0.24097669660912074</v>
      </c>
      <c r="I7" s="2">
        <v>0.21590673529406704</v>
      </c>
      <c r="J7" s="2">
        <v>-0.92413232073773599</v>
      </c>
      <c r="K7" s="2">
        <v>1</v>
      </c>
      <c r="L7" s="2">
        <v>-5.5424830298046894E-2</v>
      </c>
      <c r="M7" s="2">
        <v>-0.31716238454399176</v>
      </c>
      <c r="N7" s="2">
        <v>-0.4617732347466138</v>
      </c>
      <c r="O7" s="54">
        <v>0.9999999999988235</v>
      </c>
      <c r="R7" s="48" t="str">
        <f t="shared" si="0"/>
        <v>Aandelen ontwikkeld</v>
      </c>
      <c r="S7" s="49">
        <f t="shared" si="1"/>
        <v>6.3424836550739522E-2</v>
      </c>
      <c r="T7" s="49">
        <f t="shared" si="2"/>
        <v>1.8320986937289369E-2</v>
      </c>
      <c r="U7" s="49">
        <f t="shared" si="3"/>
        <v>1.9449408893968179E-2</v>
      </c>
      <c r="AA7" s="49"/>
      <c r="AB7" s="49"/>
      <c r="AC7" s="49"/>
      <c r="AD7" s="49"/>
    </row>
    <row r="8" spans="1:30">
      <c r="A8" s="56" t="str">
        <f>'Absolute visies'!A8</f>
        <v>Aandelen opkomend</v>
      </c>
      <c r="B8" s="1">
        <v>5.0648898557740837E-2</v>
      </c>
      <c r="C8" s="51">
        <v>2.2908171415123857E-2</v>
      </c>
      <c r="D8" s="52">
        <v>3.4385607364924353E-2</v>
      </c>
      <c r="E8" s="1">
        <v>5.1618625046583044E-2</v>
      </c>
      <c r="F8" s="53">
        <v>6.692871551224315E-2</v>
      </c>
      <c r="G8" s="2">
        <v>-0.17381954819563764</v>
      </c>
      <c r="H8" s="2">
        <v>-0.29504859736517591</v>
      </c>
      <c r="I8" s="2">
        <v>-0.2728056922152664</v>
      </c>
      <c r="J8" s="2">
        <v>-0.14077036644591434</v>
      </c>
      <c r="K8" s="2">
        <v>-0.90313173863994267</v>
      </c>
      <c r="L8" s="2">
        <v>-0.48603152836222785</v>
      </c>
      <c r="M8" s="2">
        <v>-0.6207382616656324</v>
      </c>
      <c r="N8" s="2">
        <v>-0.44082166059188244</v>
      </c>
      <c r="O8" s="54">
        <v>0.99999999999883982</v>
      </c>
      <c r="R8" s="48" t="str">
        <f t="shared" si="0"/>
        <v>Aandelen opkomend</v>
      </c>
      <c r="S8" s="49">
        <f t="shared" si="1"/>
        <v>3.4385607364924353E-2</v>
      </c>
      <c r="T8" s="49">
        <f t="shared" si="2"/>
        <v>1.6263291192816484E-2</v>
      </c>
      <c r="U8" s="49">
        <f t="shared" si="3"/>
        <v>1.6279816954502313E-2</v>
      </c>
      <c r="AA8" s="49"/>
      <c r="AB8" s="49"/>
      <c r="AC8" s="49"/>
      <c r="AD8" s="49"/>
    </row>
    <row r="9" spans="1:30">
      <c r="A9" s="56" t="str">
        <f>'Absolute visies'!A9</f>
        <v>Commodities</v>
      </c>
      <c r="B9" s="1">
        <v>2.1273530739489167E-2</v>
      </c>
      <c r="C9" s="51">
        <v>1.306026362878728E-2</v>
      </c>
      <c r="D9" s="52">
        <v>1.0582664338511858E-2</v>
      </c>
      <c r="E9" s="1">
        <v>2.0241354431543068E-2</v>
      </c>
      <c r="F9" s="53">
        <v>3.0527950556181099E-2</v>
      </c>
      <c r="G9" s="2">
        <v>1.9416652529149325E-2</v>
      </c>
      <c r="H9" s="2">
        <v>-3.1401985340047282E-2</v>
      </c>
      <c r="I9" s="2">
        <v>4.2531754393845912E-2</v>
      </c>
      <c r="J9" s="2">
        <v>4.0300579555461492E-2</v>
      </c>
      <c r="K9" s="2">
        <v>-5.3047768278985052E-2</v>
      </c>
      <c r="L9" s="2">
        <v>-0.57751616108920034</v>
      </c>
      <c r="M9" s="2">
        <v>1</v>
      </c>
      <c r="N9" s="2">
        <v>-0.36063329510182618</v>
      </c>
      <c r="O9" s="54">
        <v>0.99999999999890499</v>
      </c>
      <c r="R9" s="48" t="str">
        <f t="shared" si="0"/>
        <v>Commodities</v>
      </c>
      <c r="S9" s="49">
        <f t="shared" si="1"/>
        <v>1.0582664338511858E-2</v>
      </c>
      <c r="T9" s="49">
        <f t="shared" si="2"/>
        <v>1.0690866400977309E-2</v>
      </c>
      <c r="U9" s="49">
        <f t="shared" si="3"/>
        <v>9.2544198166919327E-3</v>
      </c>
      <c r="AA9" s="49"/>
      <c r="AB9" s="49"/>
      <c r="AC9" s="49"/>
      <c r="AD9" s="49"/>
    </row>
    <row r="10" spans="1:30">
      <c r="A10" s="56" t="str">
        <f>'Absolute visies'!A10</f>
        <v>Hedge funds</v>
      </c>
      <c r="B10" s="1">
        <v>5.1779243544634874E-2</v>
      </c>
      <c r="C10" s="51">
        <v>3.4419345827428137E-2</v>
      </c>
      <c r="D10" s="52">
        <v>2.4471384977792141E-2</v>
      </c>
      <c r="E10" s="1">
        <v>4.6192425280151328E-2</v>
      </c>
      <c r="F10" s="53">
        <v>7.2379584362409294E-2</v>
      </c>
      <c r="G10" s="2">
        <v>8.6891650269116712E-3</v>
      </c>
      <c r="H10" s="2">
        <v>-0.74271135328147431</v>
      </c>
      <c r="I10" s="2">
        <v>1</v>
      </c>
      <c r="J10" s="2">
        <v>0.1408870459968439</v>
      </c>
      <c r="K10" s="2">
        <v>-0.16235358668504854</v>
      </c>
      <c r="L10" s="2">
        <v>0.17985392726979244</v>
      </c>
      <c r="M10" s="2">
        <v>-6.1398231837782688E-2</v>
      </c>
      <c r="N10" s="2">
        <v>0.25310372357561617</v>
      </c>
      <c r="O10" s="54">
        <v>0.99999999999940037</v>
      </c>
      <c r="R10" s="48" t="str">
        <f t="shared" si="0"/>
        <v>Hedge funds</v>
      </c>
      <c r="S10" s="49">
        <f t="shared" si="1"/>
        <v>2.4471384977792141E-2</v>
      </c>
      <c r="T10" s="49">
        <f t="shared" si="2"/>
        <v>2.7307858566842733E-2</v>
      </c>
      <c r="U10" s="49">
        <f t="shared" si="3"/>
        <v>2.0600340817774419E-2</v>
      </c>
      <c r="AA10" s="49"/>
      <c r="AB10" s="49"/>
      <c r="AC10" s="49"/>
      <c r="AD10" s="49"/>
    </row>
    <row r="11" spans="1:30">
      <c r="A11" s="56" t="str">
        <f>'Absolute visies'!A11</f>
        <v>Onroerend goed</v>
      </c>
      <c r="B11" s="1">
        <v>4.9578627445388358E-2</v>
      </c>
      <c r="C11" s="51">
        <v>3.1384980194395326E-2</v>
      </c>
      <c r="D11" s="52">
        <v>2.345827237447351E-2</v>
      </c>
      <c r="E11" s="1">
        <v>4.74131238720681E-2</v>
      </c>
      <c r="F11" s="53">
        <v>7.3012790728392785E-2</v>
      </c>
      <c r="G11" s="2">
        <v>4.1550648555579058E-2</v>
      </c>
      <c r="H11" s="2">
        <v>-0.5857005167739604</v>
      </c>
      <c r="I11" s="2">
        <v>-0.52449848818214784</v>
      </c>
      <c r="J11" s="2">
        <v>1</v>
      </c>
      <c r="K11" s="2">
        <v>0.79699906538405141</v>
      </c>
      <c r="L11" s="2">
        <v>5.8764818543386825E-2</v>
      </c>
      <c r="M11" s="2">
        <v>-0.14687268076537119</v>
      </c>
      <c r="N11" s="2">
        <v>-2.8568818534345349E-2</v>
      </c>
      <c r="O11" s="54">
        <v>0.99999999999917377</v>
      </c>
      <c r="R11" s="48" t="str">
        <f t="shared" si="0"/>
        <v>Onroerend goed</v>
      </c>
      <c r="S11" s="49">
        <f t="shared" ref="S11" si="4">D11</f>
        <v>2.345827237447351E-2</v>
      </c>
      <c r="T11" s="49">
        <f t="shared" ref="T11" si="5">B11-D11</f>
        <v>2.6120355070914848E-2</v>
      </c>
      <c r="U11" s="49">
        <f t="shared" ref="U11" si="6">F11-B11</f>
        <v>2.3434163283004426E-2</v>
      </c>
      <c r="AA11" s="49"/>
      <c r="AB11" s="49"/>
      <c r="AC11" s="49"/>
      <c r="AD11" s="49"/>
    </row>
    <row r="12" spans="1:30">
      <c r="A12" s="57" t="str">
        <f>'Absolute visies'!A12</f>
        <v>Periferie bonds</v>
      </c>
      <c r="B12" s="58">
        <v>2.8639627181126205E-2</v>
      </c>
      <c r="C12" s="59">
        <v>2.2356749078299754E-2</v>
      </c>
      <c r="D12" s="60">
        <v>9.7188525556245395E-3</v>
      </c>
      <c r="E12" s="58">
        <v>2.5454978194252669E-2</v>
      </c>
      <c r="F12" s="61">
        <v>4.4817622573363178E-2</v>
      </c>
      <c r="G12" s="62">
        <v>-0.25782256869106601</v>
      </c>
      <c r="H12" s="62">
        <v>4.660807257964001E-2</v>
      </c>
      <c r="I12" s="62">
        <v>-0.26623319685029562</v>
      </c>
      <c r="J12" s="62">
        <v>-0.23095813149885105</v>
      </c>
      <c r="K12" s="62">
        <v>-0.38647788293015867</v>
      </c>
      <c r="L12" s="62">
        <v>1</v>
      </c>
      <c r="M12" s="62">
        <v>0.28455176179098252</v>
      </c>
      <c r="N12" s="62">
        <v>-0.36339563346219589</v>
      </c>
      <c r="O12" s="63">
        <v>0.99999999999890643</v>
      </c>
      <c r="R12" s="48" t="str">
        <f t="shared" si="0"/>
        <v>Periferie bonds</v>
      </c>
      <c r="S12" s="49">
        <f t="shared" si="1"/>
        <v>9.7188525556245395E-3</v>
      </c>
      <c r="T12" s="49">
        <f t="shared" si="2"/>
        <v>1.8920774625501666E-2</v>
      </c>
      <c r="U12" s="49">
        <f t="shared" si="3"/>
        <v>1.6177995392236973E-2</v>
      </c>
    </row>
    <row r="13" spans="1:30">
      <c r="AA13" s="49"/>
      <c r="AB13" s="49"/>
      <c r="AC13" s="49"/>
      <c r="AD13" s="49"/>
    </row>
    <row r="14" spans="1:30">
      <c r="A14" s="45" t="s">
        <v>68</v>
      </c>
      <c r="D14" s="327" t="s">
        <v>64</v>
      </c>
      <c r="E14" s="328"/>
      <c r="F14" s="329"/>
      <c r="G14" s="327" t="s">
        <v>65</v>
      </c>
      <c r="H14" s="328"/>
      <c r="I14" s="328"/>
      <c r="J14" s="328"/>
      <c r="K14" s="328"/>
      <c r="L14" s="328"/>
      <c r="M14" s="328"/>
      <c r="N14" s="328"/>
      <c r="O14" s="329"/>
    </row>
    <row r="15" spans="1:30">
      <c r="A15" s="239" t="str">
        <f>Optimalisatie!A21</f>
        <v>Base Case</v>
      </c>
      <c r="B15" s="240" t="s">
        <v>1</v>
      </c>
      <c r="C15" s="241" t="s">
        <v>2</v>
      </c>
      <c r="D15" s="242">
        <v>0.25</v>
      </c>
      <c r="E15" s="243">
        <v>0.5</v>
      </c>
      <c r="F15" s="244">
        <v>0.75</v>
      </c>
      <c r="G15" s="245">
        <v>0.78276867459610822</v>
      </c>
      <c r="H15" s="245">
        <v>0.13703576922396377</v>
      </c>
      <c r="I15" s="245">
        <v>5.7749100052717606E-2</v>
      </c>
      <c r="J15" s="245">
        <v>1.8664563183761751E-2</v>
      </c>
      <c r="K15" s="245">
        <v>1.4582515872856305E-3</v>
      </c>
      <c r="L15" s="245">
        <v>1.1609945442827563E-3</v>
      </c>
      <c r="M15" s="245">
        <v>8.6298824410313557E-4</v>
      </c>
      <c r="N15" s="245">
        <v>2.9965856777958155E-4</v>
      </c>
      <c r="O15" s="246">
        <v>0</v>
      </c>
      <c r="R15" s="48" t="str">
        <f>A15</f>
        <v>Base Case</v>
      </c>
      <c r="S15" s="48"/>
      <c r="T15" s="49"/>
      <c r="U15" s="48"/>
      <c r="AA15" s="49"/>
      <c r="AB15" s="49"/>
      <c r="AC15" s="49"/>
      <c r="AD15" s="49"/>
    </row>
    <row r="16" spans="1:30">
      <c r="A16" s="56" t="str">
        <f t="shared" ref="A16:A23" si="7">A4</f>
        <v>Nominale matching</v>
      </c>
      <c r="B16" s="258">
        <v>0.56714943062295442</v>
      </c>
      <c r="C16" s="51">
        <v>4.3696709016337661E-2</v>
      </c>
      <c r="D16" s="52">
        <v>0.53531474935557899</v>
      </c>
      <c r="E16" s="1">
        <v>0.56222052249342547</v>
      </c>
      <c r="F16" s="53">
        <v>0.59813257772598782</v>
      </c>
      <c r="G16" s="2">
        <v>-0.49424183690230572</v>
      </c>
      <c r="H16" s="2">
        <v>-2.0009782950256662E-2</v>
      </c>
      <c r="I16" s="2">
        <v>-0.39821721287681827</v>
      </c>
      <c r="J16" s="2">
        <v>-0.35439879566980304</v>
      </c>
      <c r="K16" s="2">
        <v>-0.63245965561728168</v>
      </c>
      <c r="L16" s="2">
        <v>-0.57320044394383651</v>
      </c>
      <c r="M16" s="2">
        <v>-0.40134586113102327</v>
      </c>
      <c r="N16" s="2">
        <v>-0.15362307397570746</v>
      </c>
      <c r="O16" s="54">
        <v>1</v>
      </c>
      <c r="R16" s="48" t="str">
        <f>A16</f>
        <v>Nominale matching</v>
      </c>
      <c r="S16" s="49">
        <f>D16</f>
        <v>0.53531474935557899</v>
      </c>
      <c r="T16" s="49">
        <f>B16-D16</f>
        <v>3.1834681267375431E-2</v>
      </c>
      <c r="U16" s="49">
        <f>F16-B16</f>
        <v>3.0983147103033404E-2</v>
      </c>
      <c r="AA16" s="49"/>
      <c r="AB16" s="49"/>
      <c r="AC16" s="49"/>
      <c r="AD16" s="49"/>
    </row>
    <row r="17" spans="1:30">
      <c r="A17" s="56" t="str">
        <f t="shared" si="7"/>
        <v>High Yield</v>
      </c>
      <c r="B17" s="258">
        <v>0.18905862163132256</v>
      </c>
      <c r="C17" s="51">
        <v>8.5743486299046087E-2</v>
      </c>
      <c r="D17" s="52">
        <v>0.12144664104885206</v>
      </c>
      <c r="E17" s="1">
        <v>0.19064955982002202</v>
      </c>
      <c r="F17" s="53">
        <v>0.25070941148452675</v>
      </c>
      <c r="G17" s="2">
        <v>1</v>
      </c>
      <c r="H17" s="2">
        <v>-8.5154282905302331E-2</v>
      </c>
      <c r="I17" s="2">
        <v>-0.22950001265444481</v>
      </c>
      <c r="J17" s="2">
        <v>-0.24156065039739202</v>
      </c>
      <c r="K17" s="2">
        <v>-0.2396748707201577</v>
      </c>
      <c r="L17" s="2">
        <v>0.16755486997262295</v>
      </c>
      <c r="M17" s="2">
        <v>-0.11129333828755872</v>
      </c>
      <c r="N17" s="2">
        <v>-0.12891889756907682</v>
      </c>
      <c r="O17" s="54">
        <v>0.99999999999996902</v>
      </c>
      <c r="R17" s="48" t="str">
        <f t="shared" ref="R17:R24" si="8">A17</f>
        <v>High Yield</v>
      </c>
      <c r="S17" s="49">
        <f t="shared" ref="S17:S24" si="9">D17</f>
        <v>0.12144664104885206</v>
      </c>
      <c r="T17" s="49">
        <f t="shared" ref="T17:T24" si="10">B17-D17</f>
        <v>6.7611980582470504E-2</v>
      </c>
      <c r="U17" s="49">
        <f t="shared" ref="U17:U24" si="11">F17-B17</f>
        <v>6.1650789853204185E-2</v>
      </c>
      <c r="AA17" s="49"/>
      <c r="AB17" s="49"/>
      <c r="AC17" s="49"/>
      <c r="AD17" s="49"/>
    </row>
    <row r="18" spans="1:30">
      <c r="A18" s="56" t="str">
        <f t="shared" si="7"/>
        <v>Emerging market debt</v>
      </c>
      <c r="B18" s="258">
        <v>1.7414979899750417E-2</v>
      </c>
      <c r="C18" s="51">
        <v>1.44126538316831E-2</v>
      </c>
      <c r="D18" s="52">
        <v>5.4676472617312087E-3</v>
      </c>
      <c r="E18" s="1">
        <v>1.4283125012301789E-2</v>
      </c>
      <c r="F18" s="53">
        <v>2.5058048559799723E-2</v>
      </c>
      <c r="G18" s="2">
        <v>1.874375748929364E-3</v>
      </c>
      <c r="H18" s="2">
        <v>-6.3619029204673327E-2</v>
      </c>
      <c r="I18" s="2">
        <v>-0.11216185335911455</v>
      </c>
      <c r="J18" s="2">
        <v>1</v>
      </c>
      <c r="K18" s="2">
        <v>-0.25011853967463421</v>
      </c>
      <c r="L18" s="2">
        <v>1.8402347592257059E-2</v>
      </c>
      <c r="M18" s="2">
        <v>-0.1279746892652783</v>
      </c>
      <c r="N18" s="2">
        <v>-0.12141629435960746</v>
      </c>
      <c r="O18" s="54">
        <v>0.99999999999997069</v>
      </c>
      <c r="R18" s="48" t="str">
        <f t="shared" si="8"/>
        <v>Emerging market debt</v>
      </c>
      <c r="S18" s="49">
        <f t="shared" si="9"/>
        <v>5.4676472617312087E-3</v>
      </c>
      <c r="T18" s="49">
        <f t="shared" si="10"/>
        <v>1.1947332638019208E-2</v>
      </c>
      <c r="U18" s="49">
        <f t="shared" si="11"/>
        <v>7.6430686600493063E-3</v>
      </c>
      <c r="AA18" s="49"/>
      <c r="AB18" s="49"/>
      <c r="AC18" s="49"/>
      <c r="AD18" s="49"/>
    </row>
    <row r="19" spans="1:30">
      <c r="A19" s="56" t="str">
        <f t="shared" si="7"/>
        <v>Aandelen ontwikkeld</v>
      </c>
      <c r="B19" s="258">
        <v>1.4962881212509083E-3</v>
      </c>
      <c r="C19" s="51">
        <v>1.8726768895715009E-3</v>
      </c>
      <c r="D19" s="52">
        <v>2.2634654506626458E-4</v>
      </c>
      <c r="E19" s="1">
        <v>8.2445261237974873E-4</v>
      </c>
      <c r="F19" s="53">
        <v>1.9995723677434696E-3</v>
      </c>
      <c r="G19" s="2">
        <v>-6.4757980157449202E-4</v>
      </c>
      <c r="H19" s="2">
        <v>1.7456670650392698E-3</v>
      </c>
      <c r="I19" s="2">
        <v>-8.0880612171196405E-3</v>
      </c>
      <c r="J19" s="2">
        <v>-8.9477969691808077E-3</v>
      </c>
      <c r="K19" s="2">
        <v>1.8004640737691827E-2</v>
      </c>
      <c r="L19" s="2">
        <v>-3.8863077780893526E-2</v>
      </c>
      <c r="M19" s="2">
        <v>-7.0307579330102329E-2</v>
      </c>
      <c r="N19" s="2">
        <v>1</v>
      </c>
      <c r="O19" s="54">
        <v>0.99999999999984712</v>
      </c>
      <c r="R19" s="48" t="str">
        <f t="shared" si="8"/>
        <v>Aandelen ontwikkeld</v>
      </c>
      <c r="S19" s="49">
        <f t="shared" si="9"/>
        <v>2.2634654506626458E-4</v>
      </c>
      <c r="T19" s="49">
        <f t="shared" si="10"/>
        <v>1.2699415761846437E-3</v>
      </c>
      <c r="U19" s="49">
        <f t="shared" si="11"/>
        <v>5.0328424649256128E-4</v>
      </c>
      <c r="AA19" s="49"/>
      <c r="AB19" s="49"/>
      <c r="AC19" s="49"/>
      <c r="AD19" s="49"/>
    </row>
    <row r="20" spans="1:30">
      <c r="A20" s="56" t="str">
        <f t="shared" si="7"/>
        <v>Aandelen opkomend</v>
      </c>
      <c r="B20" s="258">
        <v>5.3022145755136085E-2</v>
      </c>
      <c r="C20" s="51">
        <v>3.6291812561035558E-2</v>
      </c>
      <c r="D20" s="52">
        <v>2.2890426197097722E-2</v>
      </c>
      <c r="E20" s="1">
        <v>4.8136219374056322E-2</v>
      </c>
      <c r="F20" s="53">
        <v>8.053778528900804E-2</v>
      </c>
      <c r="G20" s="2">
        <v>-0.16807303226775483</v>
      </c>
      <c r="H20" s="2">
        <v>1</v>
      </c>
      <c r="I20" s="2">
        <v>-7.8788970296543373E-2</v>
      </c>
      <c r="J20" s="2">
        <v>-8.4870489224033702E-2</v>
      </c>
      <c r="K20" s="2">
        <v>9.6703837316605895E-2</v>
      </c>
      <c r="L20" s="2">
        <v>0.76165745180633659</v>
      </c>
      <c r="M20" s="2">
        <v>0.13174844415359374</v>
      </c>
      <c r="N20" s="2">
        <v>-0.11083417769995139</v>
      </c>
      <c r="O20" s="54">
        <v>0.99999999999994338</v>
      </c>
      <c r="R20" s="48" t="str">
        <f t="shared" si="8"/>
        <v>Aandelen opkomend</v>
      </c>
      <c r="S20" s="49">
        <f t="shared" si="9"/>
        <v>2.2890426197097722E-2</v>
      </c>
      <c r="T20" s="49">
        <f t="shared" si="10"/>
        <v>3.0131719558038363E-2</v>
      </c>
      <c r="U20" s="49">
        <f t="shared" si="11"/>
        <v>2.7515639533871955E-2</v>
      </c>
      <c r="AA20" s="49"/>
      <c r="AB20" s="49"/>
      <c r="AC20" s="49"/>
      <c r="AD20" s="49"/>
    </row>
    <row r="21" spans="1:30">
      <c r="A21" s="56" t="str">
        <f t="shared" si="7"/>
        <v>Commodities</v>
      </c>
      <c r="B21" s="258">
        <v>0.13416707827877436</v>
      </c>
      <c r="C21" s="51">
        <v>3.7388104631113216E-2</v>
      </c>
      <c r="D21" s="52">
        <v>0.10728225744128131</v>
      </c>
      <c r="E21" s="1">
        <v>0.13725452743726774</v>
      </c>
      <c r="F21" s="53">
        <v>0.15742167884083072</v>
      </c>
      <c r="G21" s="2">
        <v>-0.31800332114878183</v>
      </c>
      <c r="H21" s="2">
        <v>-0.75940122077398975</v>
      </c>
      <c r="I21" s="2">
        <v>-0.15058446110679699</v>
      </c>
      <c r="J21" s="2">
        <v>-0.14847529865889986</v>
      </c>
      <c r="K21" s="2">
        <v>0.21594926558215774</v>
      </c>
      <c r="L21" s="2">
        <v>1</v>
      </c>
      <c r="M21" s="2">
        <v>0.21947633870092051</v>
      </c>
      <c r="N21" s="2">
        <v>-0.10301663163516381</v>
      </c>
      <c r="O21" s="54">
        <v>0.99999999999993405</v>
      </c>
      <c r="R21" s="48" t="str">
        <f t="shared" si="8"/>
        <v>Commodities</v>
      </c>
      <c r="S21" s="49">
        <f t="shared" si="9"/>
        <v>0.10728225744128131</v>
      </c>
      <c r="T21" s="49">
        <f t="shared" si="10"/>
        <v>2.6884820837493051E-2</v>
      </c>
      <c r="U21" s="49">
        <f t="shared" si="11"/>
        <v>2.325460056205636E-2</v>
      </c>
      <c r="AA21" s="49"/>
      <c r="AB21" s="49"/>
      <c r="AC21" s="49"/>
      <c r="AD21" s="49"/>
    </row>
    <row r="22" spans="1:30">
      <c r="A22" s="56" t="str">
        <f t="shared" si="7"/>
        <v>Hedge funds</v>
      </c>
      <c r="B22" s="258">
        <v>3.098193757513705E-2</v>
      </c>
      <c r="C22" s="51">
        <v>2.4610391530258145E-2</v>
      </c>
      <c r="D22" s="52">
        <v>1.166551203378801E-2</v>
      </c>
      <c r="E22" s="1">
        <v>2.5191689480232253E-2</v>
      </c>
      <c r="F22" s="53">
        <v>4.3952941048014713E-2</v>
      </c>
      <c r="G22" s="2">
        <v>-2.8155162302216607E-2</v>
      </c>
      <c r="H22" s="2">
        <v>-7.023449837249246E-2</v>
      </c>
      <c r="I22" s="2">
        <v>1</v>
      </c>
      <c r="J22" s="2">
        <v>-0.11405580021766956</v>
      </c>
      <c r="K22" s="2">
        <v>-0.2812310941275612</v>
      </c>
      <c r="L22" s="2">
        <v>7.6580678593437266E-3</v>
      </c>
      <c r="M22" s="2">
        <v>-0.15304678734614394</v>
      </c>
      <c r="N22" s="2">
        <v>-0.12358215615665999</v>
      </c>
      <c r="O22" s="54">
        <v>0.99999999999997258</v>
      </c>
      <c r="R22" s="48" t="str">
        <f t="shared" si="8"/>
        <v>Hedge funds</v>
      </c>
      <c r="S22" s="49">
        <f t="shared" si="9"/>
        <v>1.166551203378801E-2</v>
      </c>
      <c r="T22" s="49">
        <f t="shared" si="10"/>
        <v>1.931642554134904E-2</v>
      </c>
      <c r="U22" s="49">
        <f t="shared" si="11"/>
        <v>1.2971003472877662E-2</v>
      </c>
    </row>
    <row r="23" spans="1:30">
      <c r="A23" s="56" t="str">
        <f t="shared" si="7"/>
        <v>Onroerend goed</v>
      </c>
      <c r="B23" s="258">
        <v>3.9310413961719699E-3</v>
      </c>
      <c r="C23" s="51">
        <v>3.8676173063284074E-3</v>
      </c>
      <c r="D23" s="52">
        <v>9.5150881318663858E-4</v>
      </c>
      <c r="E23" s="1">
        <v>2.7199119376509215E-3</v>
      </c>
      <c r="F23" s="53">
        <v>5.9268527523111403E-3</v>
      </c>
      <c r="G23" s="2">
        <v>4.3652746049774767E-3</v>
      </c>
      <c r="H23" s="2">
        <v>-1.3266064196497855E-3</v>
      </c>
      <c r="I23" s="2">
        <v>-1.2673726978205659E-2</v>
      </c>
      <c r="J23" s="2">
        <v>-2.1669883183713459E-2</v>
      </c>
      <c r="K23" s="2">
        <v>1</v>
      </c>
      <c r="L23" s="2">
        <v>-0.5464938301161204</v>
      </c>
      <c r="M23" s="2">
        <v>-0.48725652749436199</v>
      </c>
      <c r="N23" s="2">
        <v>-0.17190876147201811</v>
      </c>
      <c r="O23" s="54">
        <v>0.99999999999996037</v>
      </c>
      <c r="R23" s="48" t="str">
        <f t="shared" ref="R23" si="12">A23</f>
        <v>Onroerend goed</v>
      </c>
      <c r="S23" s="49">
        <f t="shared" ref="S23" si="13">D23</f>
        <v>9.5150881318663858E-4</v>
      </c>
      <c r="T23" s="49">
        <f t="shared" ref="T23" si="14">B23-D23</f>
        <v>2.9795325829853315E-3</v>
      </c>
      <c r="U23" s="49">
        <f t="shared" ref="U23" si="15">F23-B23</f>
        <v>1.9958113561391704E-3</v>
      </c>
    </row>
    <row r="24" spans="1:30">
      <c r="A24" s="57" t="str">
        <f t="shared" ref="A24" si="16">A12</f>
        <v>Periferie bonds</v>
      </c>
      <c r="B24" s="259">
        <v>2.7784767195020953E-3</v>
      </c>
      <c r="C24" s="59">
        <v>3.3019685796840258E-3</v>
      </c>
      <c r="D24" s="60">
        <v>3.8849386726861322E-4</v>
      </c>
      <c r="E24" s="58">
        <v>1.5871627281893131E-3</v>
      </c>
      <c r="F24" s="61">
        <v>3.9826725187882168E-3</v>
      </c>
      <c r="G24" s="62">
        <v>2.8812820687263924E-3</v>
      </c>
      <c r="H24" s="62">
        <v>-2.0002464386747478E-3</v>
      </c>
      <c r="I24" s="62">
        <v>-9.9857015109564417E-3</v>
      </c>
      <c r="J24" s="62">
        <v>-2.6021285679307126E-2</v>
      </c>
      <c r="K24" s="62">
        <v>7.2826416503223468E-2</v>
      </c>
      <c r="L24" s="62">
        <v>-0.79671538538967368</v>
      </c>
      <c r="M24" s="62">
        <v>1</v>
      </c>
      <c r="N24" s="62">
        <v>-8.6700007131699883E-2</v>
      </c>
      <c r="O24" s="63">
        <v>0.99999999999993483</v>
      </c>
      <c r="R24" s="48" t="str">
        <f t="shared" si="8"/>
        <v>Periferie bonds</v>
      </c>
      <c r="S24" s="49">
        <f t="shared" si="9"/>
        <v>3.8849386726861322E-4</v>
      </c>
      <c r="T24" s="49">
        <f t="shared" si="10"/>
        <v>2.3899828522334823E-3</v>
      </c>
      <c r="U24" s="49">
        <f t="shared" si="11"/>
        <v>1.2041957992861216E-3</v>
      </c>
    </row>
    <row r="25" spans="1:30">
      <c r="A25" s="64"/>
      <c r="B25" s="1"/>
      <c r="C25" s="1"/>
      <c r="D25" s="1"/>
      <c r="E25" s="1"/>
      <c r="F25" s="65"/>
      <c r="G25" s="65"/>
      <c r="H25" s="65"/>
      <c r="I25" s="65"/>
      <c r="J25" s="65"/>
      <c r="K25" s="65"/>
      <c r="L25" s="65"/>
      <c r="M25" s="65"/>
      <c r="N25" s="65"/>
      <c r="O25" s="65"/>
    </row>
    <row r="26" spans="1:30">
      <c r="D26" s="327" t="s">
        <v>64</v>
      </c>
      <c r="E26" s="328"/>
      <c r="F26" s="329"/>
      <c r="G26" s="327" t="s">
        <v>65</v>
      </c>
      <c r="H26" s="328"/>
      <c r="I26" s="328"/>
      <c r="J26" s="328"/>
      <c r="K26" s="328"/>
      <c r="L26" s="328"/>
      <c r="M26" s="328"/>
      <c r="N26" s="328"/>
      <c r="O26" s="329"/>
    </row>
    <row r="27" spans="1:30">
      <c r="A27" s="239" t="str">
        <f>Optimalisatie!A22</f>
        <v>Base - muddle down</v>
      </c>
      <c r="B27" s="240" t="s">
        <v>1</v>
      </c>
      <c r="C27" s="241" t="s">
        <v>2</v>
      </c>
      <c r="D27" s="242">
        <v>0.25</v>
      </c>
      <c r="E27" s="243">
        <v>0.5</v>
      </c>
      <c r="F27" s="244">
        <v>0.75</v>
      </c>
      <c r="G27" s="245">
        <v>0.94497357076555599</v>
      </c>
      <c r="H27" s="245">
        <v>4.6143162284991268E-2</v>
      </c>
      <c r="I27" s="245">
        <v>6.7797825196397321E-3</v>
      </c>
      <c r="J27" s="245">
        <v>1.157335737748455E-3</v>
      </c>
      <c r="K27" s="245">
        <v>6.1174095562510633E-4</v>
      </c>
      <c r="L27" s="245">
        <v>1.7974512365137585E-4</v>
      </c>
      <c r="M27" s="245">
        <v>9.4132878288855082E-5</v>
      </c>
      <c r="N27" s="245">
        <v>6.0529734501324484E-5</v>
      </c>
      <c r="O27" s="246">
        <v>0</v>
      </c>
      <c r="R27" s="48" t="str">
        <f>A27</f>
        <v>Base - muddle down</v>
      </c>
      <c r="S27" s="48"/>
      <c r="T27" s="49"/>
      <c r="U27" s="48"/>
      <c r="AA27" s="49"/>
      <c r="AB27" s="49"/>
      <c r="AC27" s="49"/>
      <c r="AD27" s="49"/>
    </row>
    <row r="28" spans="1:30">
      <c r="A28" s="56" t="str">
        <f t="shared" ref="A28:A35" si="17">A16</f>
        <v>Nominale matching</v>
      </c>
      <c r="B28" s="1">
        <v>0.79701007856142625</v>
      </c>
      <c r="C28" s="51">
        <v>5.3899799205645645E-2</v>
      </c>
      <c r="D28" s="52">
        <v>0.7539267667613434</v>
      </c>
      <c r="E28" s="1">
        <v>0.79266085400135955</v>
      </c>
      <c r="F28" s="53">
        <v>0.83697415980263212</v>
      </c>
      <c r="G28" s="65">
        <v>1</v>
      </c>
      <c r="H28" s="65">
        <v>-0.40405949693333926</v>
      </c>
      <c r="I28" s="65">
        <v>-0.36068036694589151</v>
      </c>
      <c r="J28" s="65">
        <v>-0.3813133285334297</v>
      </c>
      <c r="K28" s="65">
        <v>-8.5774879508872776E-2</v>
      </c>
      <c r="L28" s="65">
        <v>-0.19412053630232434</v>
      </c>
      <c r="M28" s="2">
        <v>-9.4126877122269401E-2</v>
      </c>
      <c r="N28" s="2">
        <v>-0.11797201335041549</v>
      </c>
      <c r="O28" s="54">
        <v>0.99999999999933498</v>
      </c>
      <c r="R28" s="48" t="str">
        <f>A28</f>
        <v>Nominale matching</v>
      </c>
      <c r="S28" s="49">
        <f>D28</f>
        <v>0.7539267667613434</v>
      </c>
      <c r="T28" s="49">
        <f>B28-D28</f>
        <v>4.3083311800082846E-2</v>
      </c>
      <c r="U28" s="49">
        <f>F28-B28</f>
        <v>3.9964081241205873E-2</v>
      </c>
      <c r="AA28" s="49"/>
      <c r="AB28" s="49"/>
      <c r="AC28" s="49"/>
      <c r="AD28" s="49"/>
    </row>
    <row r="29" spans="1:30">
      <c r="A29" s="56" t="str">
        <f t="shared" si="17"/>
        <v>High Yield</v>
      </c>
      <c r="B29" s="1">
        <v>1.7790185284981149E-3</v>
      </c>
      <c r="C29" s="51">
        <v>2.0888843579138661E-3</v>
      </c>
      <c r="D29" s="52">
        <v>3.2699477939515409E-4</v>
      </c>
      <c r="E29" s="1">
        <v>9.8397487886042376E-4</v>
      </c>
      <c r="F29" s="53">
        <v>2.5469072969652633E-3</v>
      </c>
      <c r="G29" s="65">
        <v>-4.8651938145839145E-3</v>
      </c>
      <c r="H29" s="65">
        <v>-1.8422504327186252E-3</v>
      </c>
      <c r="I29" s="65">
        <v>4.4896885479775862E-2</v>
      </c>
      <c r="J29" s="65">
        <v>1</v>
      </c>
      <c r="K29" s="65">
        <v>-0.7752101698247561</v>
      </c>
      <c r="L29" s="65">
        <v>-0.17440528908484595</v>
      </c>
      <c r="M29" s="2">
        <v>-9.9508402299095175E-2</v>
      </c>
      <c r="N29" s="2">
        <v>-0.10736574887410462</v>
      </c>
      <c r="O29" s="54">
        <v>0.99999999999939015</v>
      </c>
      <c r="R29" s="48" t="str">
        <f t="shared" ref="R29:R36" si="18">A29</f>
        <v>High Yield</v>
      </c>
      <c r="S29" s="49">
        <f t="shared" ref="S29:S36" si="19">D29</f>
        <v>3.2699477939515409E-4</v>
      </c>
      <c r="T29" s="49">
        <f t="shared" ref="T29:T36" si="20">B29-D29</f>
        <v>1.4520237491029609E-3</v>
      </c>
      <c r="U29" s="49">
        <f t="shared" ref="U29:U36" si="21">F29-B29</f>
        <v>7.6788876846714841E-4</v>
      </c>
      <c r="AA29" s="49"/>
      <c r="AB29" s="49"/>
      <c r="AC29" s="49"/>
      <c r="AD29" s="49"/>
    </row>
    <row r="30" spans="1:30">
      <c r="A30" s="56" t="str">
        <f t="shared" si="17"/>
        <v>Emerging market debt</v>
      </c>
      <c r="B30" s="1">
        <v>1.446050897364452E-2</v>
      </c>
      <c r="C30" s="51">
        <v>1.3868609071224152E-2</v>
      </c>
      <c r="D30" s="52">
        <v>4.3023173271137926E-3</v>
      </c>
      <c r="E30" s="1">
        <v>9.9968320268826912E-3</v>
      </c>
      <c r="F30" s="53">
        <v>1.9523535730907551E-2</v>
      </c>
      <c r="G30" s="65">
        <v>-8.2069559420921034E-2</v>
      </c>
      <c r="H30" s="65">
        <v>1</v>
      </c>
      <c r="I30" s="65">
        <v>-0.32869630711433462</v>
      </c>
      <c r="J30" s="65">
        <v>-0.39539636218776486</v>
      </c>
      <c r="K30" s="65">
        <v>-9.6566305755744389E-2</v>
      </c>
      <c r="L30" s="65">
        <v>-0.19118935922041219</v>
      </c>
      <c r="M30" s="2">
        <v>-9.0709963112229258E-2</v>
      </c>
      <c r="N30" s="2">
        <v>-0.1194019331250265</v>
      </c>
      <c r="O30" s="54">
        <v>0.9999999999993382</v>
      </c>
      <c r="R30" s="48" t="str">
        <f t="shared" si="18"/>
        <v>Emerging market debt</v>
      </c>
      <c r="S30" s="49">
        <f t="shared" si="19"/>
        <v>4.3023173271137926E-3</v>
      </c>
      <c r="T30" s="49">
        <f t="shared" si="20"/>
        <v>1.0158191646530727E-2</v>
      </c>
      <c r="U30" s="49">
        <f t="shared" si="21"/>
        <v>5.0630267572630318E-3</v>
      </c>
      <c r="AA30" s="49"/>
      <c r="AB30" s="49"/>
      <c r="AC30" s="49"/>
      <c r="AD30" s="49"/>
    </row>
    <row r="31" spans="1:30">
      <c r="A31" s="56" t="str">
        <f t="shared" si="17"/>
        <v>Aandelen ontwikkeld</v>
      </c>
      <c r="B31" s="1">
        <v>3.4679413972393109E-4</v>
      </c>
      <c r="C31" s="51">
        <v>5.5677733569416707E-4</v>
      </c>
      <c r="D31" s="52">
        <v>1.1378794284844907E-5</v>
      </c>
      <c r="E31" s="1">
        <v>1.0936376324875583E-4</v>
      </c>
      <c r="F31" s="53">
        <v>4.5178042791488976E-4</v>
      </c>
      <c r="G31" s="65">
        <v>-2.1283140094091883E-3</v>
      </c>
      <c r="H31" s="65">
        <v>1.5542188496420987E-4</v>
      </c>
      <c r="I31" s="65">
        <v>3.9218785576560283E-3</v>
      </c>
      <c r="J31" s="65">
        <v>-1.1929003040462931E-3</v>
      </c>
      <c r="K31" s="65">
        <v>2.9682677445211633E-2</v>
      </c>
      <c r="L31" s="65">
        <v>7.5724210468682676E-2</v>
      </c>
      <c r="M31" s="2">
        <v>-8.9063653083839844E-2</v>
      </c>
      <c r="N31" s="2">
        <v>1</v>
      </c>
      <c r="O31" s="54">
        <v>1</v>
      </c>
      <c r="R31" s="48" t="str">
        <f t="shared" si="18"/>
        <v>Aandelen ontwikkeld</v>
      </c>
      <c r="S31" s="49">
        <f t="shared" si="19"/>
        <v>1.1378794284844907E-5</v>
      </c>
      <c r="T31" s="49">
        <f t="shared" si="20"/>
        <v>3.3541534543908618E-4</v>
      </c>
      <c r="U31" s="49">
        <f t="shared" si="21"/>
        <v>1.0498628819095867E-4</v>
      </c>
      <c r="AA31" s="49"/>
      <c r="AB31" s="49"/>
      <c r="AC31" s="49"/>
      <c r="AD31" s="49"/>
    </row>
    <row r="32" spans="1:30">
      <c r="A32" s="56" t="str">
        <f t="shared" si="17"/>
        <v>Aandelen opkomend</v>
      </c>
      <c r="B32" s="1">
        <v>1.5484854484929191E-3</v>
      </c>
      <c r="C32" s="51">
        <v>1.8306181450961287E-3</v>
      </c>
      <c r="D32" s="52">
        <v>2.2994417280297001E-4</v>
      </c>
      <c r="E32" s="1">
        <v>8.8209944236053201E-4</v>
      </c>
      <c r="F32" s="53">
        <v>2.1492441451656033E-3</v>
      </c>
      <c r="G32" s="65">
        <v>-5.1260621892717387E-3</v>
      </c>
      <c r="H32" s="65">
        <v>7.9590668429991331E-3</v>
      </c>
      <c r="I32" s="65">
        <v>3.9166310003091058E-2</v>
      </c>
      <c r="J32" s="65">
        <v>0.61539692053461859</v>
      </c>
      <c r="K32" s="65">
        <v>1</v>
      </c>
      <c r="L32" s="65">
        <v>-0.28748389622805692</v>
      </c>
      <c r="M32" s="2">
        <v>-0.14066501858645808</v>
      </c>
      <c r="N32" s="2">
        <v>-0.14024372164513063</v>
      </c>
      <c r="O32" s="54">
        <v>0.99999999999937061</v>
      </c>
      <c r="R32" s="48" t="str">
        <f t="shared" si="18"/>
        <v>Aandelen opkomend</v>
      </c>
      <c r="S32" s="49">
        <f t="shared" si="19"/>
        <v>2.2994417280297001E-4</v>
      </c>
      <c r="T32" s="49">
        <f t="shared" si="20"/>
        <v>1.3185412756899491E-3</v>
      </c>
      <c r="U32" s="49">
        <f t="shared" si="21"/>
        <v>6.0075869667268423E-4</v>
      </c>
      <c r="AA32" s="49"/>
      <c r="AB32" s="49"/>
      <c r="AC32" s="49"/>
      <c r="AD32" s="49"/>
    </row>
    <row r="33" spans="1:30">
      <c r="A33" s="56" t="str">
        <f t="shared" si="17"/>
        <v>Commodities</v>
      </c>
      <c r="B33" s="1">
        <v>0.17885100190465517</v>
      </c>
      <c r="C33" s="51">
        <v>4.7655487384438991E-2</v>
      </c>
      <c r="D33" s="52">
        <v>0.1435325178570514</v>
      </c>
      <c r="E33" s="1">
        <v>0.18152860061287215</v>
      </c>
      <c r="F33" s="53">
        <v>0.21782813620549807</v>
      </c>
      <c r="G33" s="65">
        <v>-0.87783340974572943</v>
      </c>
      <c r="H33" s="65">
        <v>-0.5526438684182966</v>
      </c>
      <c r="I33" s="65">
        <v>-0.40786138873647948</v>
      </c>
      <c r="J33" s="65">
        <v>-0.39313625360777998</v>
      </c>
      <c r="K33" s="65">
        <v>-8.7770462238480632E-2</v>
      </c>
      <c r="L33" s="65">
        <v>-0.19855695154227246</v>
      </c>
      <c r="M33" s="2">
        <v>-9.5447529257099317E-2</v>
      </c>
      <c r="N33" s="2">
        <v>-0.12015520683110693</v>
      </c>
      <c r="O33" s="54">
        <v>0.99999999999933065</v>
      </c>
      <c r="R33" s="48" t="str">
        <f t="shared" si="18"/>
        <v>Commodities</v>
      </c>
      <c r="S33" s="49">
        <f t="shared" si="19"/>
        <v>0.1435325178570514</v>
      </c>
      <c r="T33" s="49">
        <f t="shared" si="20"/>
        <v>3.5318484047603765E-2</v>
      </c>
      <c r="U33" s="49">
        <f t="shared" si="21"/>
        <v>3.8977134300842903E-2</v>
      </c>
      <c r="AA33" s="49"/>
      <c r="AB33" s="49"/>
      <c r="AC33" s="49"/>
      <c r="AD33" s="49"/>
    </row>
    <row r="34" spans="1:30">
      <c r="A34" s="56" t="str">
        <f t="shared" si="17"/>
        <v>Hedge funds</v>
      </c>
      <c r="B34" s="1">
        <v>4.860963743009223E-3</v>
      </c>
      <c r="C34" s="51">
        <v>5.364891174883285E-3</v>
      </c>
      <c r="D34" s="52">
        <v>1.1280033848489125E-3</v>
      </c>
      <c r="E34" s="1">
        <v>3.0324309764590139E-3</v>
      </c>
      <c r="F34" s="53">
        <v>6.9928473938934525E-3</v>
      </c>
      <c r="G34" s="65">
        <v>-2.388275341121689E-2</v>
      </c>
      <c r="H34" s="65">
        <v>-4.2640433669413023E-2</v>
      </c>
      <c r="I34" s="65">
        <v>1</v>
      </c>
      <c r="J34" s="65">
        <v>-0.49707016844338714</v>
      </c>
      <c r="K34" s="65">
        <v>-0.10351713557283267</v>
      </c>
      <c r="L34" s="65">
        <v>-0.20102242820636204</v>
      </c>
      <c r="M34" s="2">
        <v>-9.4759555904670417E-2</v>
      </c>
      <c r="N34" s="2">
        <v>-0.12304194159253323</v>
      </c>
      <c r="O34" s="54">
        <v>0.9999999999993392</v>
      </c>
      <c r="R34" s="48" t="str">
        <f t="shared" si="18"/>
        <v>Hedge funds</v>
      </c>
      <c r="S34" s="49">
        <f t="shared" si="19"/>
        <v>1.1280033848489125E-3</v>
      </c>
      <c r="T34" s="49">
        <f t="shared" si="20"/>
        <v>3.7329603581603104E-3</v>
      </c>
      <c r="U34" s="49">
        <f t="shared" si="21"/>
        <v>2.1318836508842295E-3</v>
      </c>
    </row>
    <row r="35" spans="1:30">
      <c r="A35" s="56" t="str">
        <f t="shared" si="17"/>
        <v>Onroerend goed</v>
      </c>
      <c r="B35" s="1">
        <v>6.8006672403187255E-4</v>
      </c>
      <c r="C35" s="51">
        <v>9.1105941976202004E-4</v>
      </c>
      <c r="D35" s="52">
        <v>4.9972680565638975E-5</v>
      </c>
      <c r="E35" s="1">
        <v>2.6327394918372989E-4</v>
      </c>
      <c r="F35" s="53">
        <v>1.0278423387417269E-3</v>
      </c>
      <c r="G35" s="65">
        <v>-2.5716748292817985E-3</v>
      </c>
      <c r="H35" s="65">
        <v>-2.9069178872858366E-3</v>
      </c>
      <c r="I35" s="65">
        <v>5.2961307642008975E-3</v>
      </c>
      <c r="J35" s="65">
        <v>1.7850606309844891E-2</v>
      </c>
      <c r="K35" s="65">
        <v>6.7921743618078498E-2</v>
      </c>
      <c r="L35" s="65">
        <v>1</v>
      </c>
      <c r="M35" s="2">
        <v>-0.2957190006346242</v>
      </c>
      <c r="N35" s="2">
        <v>-0.22027052792017346</v>
      </c>
      <c r="O35" s="54">
        <v>0.99999999999955846</v>
      </c>
      <c r="R35" s="48" t="str">
        <f t="shared" ref="R35" si="22">A35</f>
        <v>Onroerend goed</v>
      </c>
      <c r="S35" s="49">
        <f t="shared" ref="S35" si="23">D35</f>
        <v>4.9972680565638975E-5</v>
      </c>
      <c r="T35" s="49">
        <f t="shared" ref="T35" si="24">B35-D35</f>
        <v>6.3009404346623353E-4</v>
      </c>
      <c r="U35" s="49">
        <f t="shared" ref="U35" si="25">F35-B35</f>
        <v>3.4777561470985434E-4</v>
      </c>
    </row>
    <row r="36" spans="1:30">
      <c r="A36" s="57" t="str">
        <f t="shared" ref="A36" si="26">A24</f>
        <v>Periferie bonds</v>
      </c>
      <c r="B36" s="58">
        <v>4.6308197651708237E-4</v>
      </c>
      <c r="C36" s="59">
        <v>6.9282111537243636E-4</v>
      </c>
      <c r="D36" s="60">
        <v>3.204060843600538E-5</v>
      </c>
      <c r="E36" s="58">
        <v>1.9426935935596963E-4</v>
      </c>
      <c r="F36" s="61">
        <v>5.8104988082600104E-4</v>
      </c>
      <c r="G36" s="66">
        <v>-1.5230325795855507E-3</v>
      </c>
      <c r="H36" s="66">
        <v>-4.0215213869135031E-3</v>
      </c>
      <c r="I36" s="66">
        <v>3.9568579919674459E-3</v>
      </c>
      <c r="J36" s="66">
        <v>3.4861486231851105E-2</v>
      </c>
      <c r="K36" s="66">
        <v>5.1234531837346706E-2</v>
      </c>
      <c r="L36" s="66">
        <v>0.17105425011526548</v>
      </c>
      <c r="M36" s="62">
        <v>1</v>
      </c>
      <c r="N36" s="62">
        <v>-5.1548906662092407E-2</v>
      </c>
      <c r="O36" s="63">
        <v>0.99999999999975686</v>
      </c>
      <c r="R36" s="48" t="str">
        <f t="shared" si="18"/>
        <v>Periferie bonds</v>
      </c>
      <c r="S36" s="49">
        <f t="shared" si="19"/>
        <v>3.204060843600538E-5</v>
      </c>
      <c r="T36" s="49">
        <f t="shared" si="20"/>
        <v>4.3104136808107697E-4</v>
      </c>
      <c r="U36" s="49">
        <f t="shared" si="21"/>
        <v>1.1796790430891867E-4</v>
      </c>
    </row>
    <row r="37" spans="1:30">
      <c r="A37" s="64"/>
      <c r="B37" s="1"/>
      <c r="C37" s="1"/>
      <c r="D37" s="1"/>
      <c r="E37" s="1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30">
      <c r="D38" s="327" t="s">
        <v>64</v>
      </c>
      <c r="E38" s="328"/>
      <c r="F38" s="329"/>
      <c r="G38" s="327" t="s">
        <v>65</v>
      </c>
      <c r="H38" s="328"/>
      <c r="I38" s="328"/>
      <c r="J38" s="328"/>
      <c r="K38" s="328"/>
      <c r="L38" s="328"/>
      <c r="M38" s="328"/>
      <c r="N38" s="328"/>
      <c r="O38" s="329"/>
    </row>
    <row r="39" spans="1:30">
      <c r="A39" s="239" t="str">
        <f>Optimalisatie!A23</f>
        <v>Base - muddle up</v>
      </c>
      <c r="B39" s="240" t="s">
        <v>1</v>
      </c>
      <c r="C39" s="241" t="s">
        <v>2</v>
      </c>
      <c r="D39" s="242">
        <v>0.25</v>
      </c>
      <c r="E39" s="243">
        <v>0.5</v>
      </c>
      <c r="F39" s="244">
        <v>0.75</v>
      </c>
      <c r="G39" s="245">
        <v>0.78988852735262638</v>
      </c>
      <c r="H39" s="245">
        <v>0.13343438689666165</v>
      </c>
      <c r="I39" s="245">
        <v>3.7728311524368841E-2</v>
      </c>
      <c r="J39" s="245">
        <v>1.6122147783370955E-2</v>
      </c>
      <c r="K39" s="245">
        <v>1.0651035534298914E-2</v>
      </c>
      <c r="L39" s="245">
        <v>7.5600274117744171E-3</v>
      </c>
      <c r="M39" s="245">
        <v>3.1072968319684202E-3</v>
      </c>
      <c r="N39" s="245">
        <v>1.5082666649305354E-3</v>
      </c>
      <c r="O39" s="246">
        <v>0</v>
      </c>
      <c r="R39" s="48" t="str">
        <f>A39</f>
        <v>Base - muddle up</v>
      </c>
      <c r="S39" s="48"/>
      <c r="T39" s="49"/>
      <c r="U39" s="48"/>
      <c r="AA39" s="49"/>
      <c r="AB39" s="49"/>
      <c r="AC39" s="49"/>
      <c r="AD39" s="49"/>
    </row>
    <row r="40" spans="1:30">
      <c r="A40" s="56" t="str">
        <f t="shared" ref="A40:A45" si="27">A16</f>
        <v>Nominale matching</v>
      </c>
      <c r="B40" s="1">
        <v>0.49812521120309583</v>
      </c>
      <c r="C40" s="51">
        <v>3.0474338346000343E-2</v>
      </c>
      <c r="D40" s="52">
        <v>0.47536954602641435</v>
      </c>
      <c r="E40" s="1">
        <v>0.49744433173479946</v>
      </c>
      <c r="F40" s="53">
        <v>0.51932716389788292</v>
      </c>
      <c r="G40" s="2">
        <v>-0.40510848878686889</v>
      </c>
      <c r="H40" s="2">
        <v>5.6745897167283545E-2</v>
      </c>
      <c r="I40" s="2">
        <v>-0.439615482454147</v>
      </c>
      <c r="J40" s="2">
        <v>-0.13617089591209838</v>
      </c>
      <c r="K40" s="2">
        <v>0.13189374191473749</v>
      </c>
      <c r="L40" s="2">
        <v>-0.33461409716996099</v>
      </c>
      <c r="M40" s="2">
        <v>4.3122759357199378E-2</v>
      </c>
      <c r="N40" s="2">
        <v>1</v>
      </c>
      <c r="O40" s="54">
        <v>1</v>
      </c>
      <c r="R40" s="48" t="str">
        <f>A40</f>
        <v>Nominale matching</v>
      </c>
      <c r="S40" s="49">
        <f>D40</f>
        <v>0.47536954602641435</v>
      </c>
      <c r="T40" s="49">
        <f>B40-D40</f>
        <v>2.2755665176681483E-2</v>
      </c>
      <c r="U40" s="49">
        <f>F40-B40</f>
        <v>2.1201952694787085E-2</v>
      </c>
      <c r="AA40" s="49"/>
      <c r="AB40" s="49"/>
      <c r="AC40" s="49"/>
      <c r="AD40" s="49"/>
    </row>
    <row r="41" spans="1:30">
      <c r="A41" s="56" t="str">
        <f t="shared" si="27"/>
        <v>High Yield</v>
      </c>
      <c r="B41" s="1">
        <v>0.35127721295258435</v>
      </c>
      <c r="C41" s="51">
        <v>7.2736062529636672E-2</v>
      </c>
      <c r="D41" s="52">
        <v>0.29662992095454072</v>
      </c>
      <c r="E41" s="1">
        <v>0.34817299722892137</v>
      </c>
      <c r="F41" s="53">
        <v>0.40016077541983752</v>
      </c>
      <c r="G41" s="2">
        <v>1</v>
      </c>
      <c r="H41" s="2">
        <v>-0.16995570553669495</v>
      </c>
      <c r="I41" s="2">
        <v>-0.25322867990973225</v>
      </c>
      <c r="J41" s="2">
        <v>-0.27021046303352014</v>
      </c>
      <c r="K41" s="2">
        <v>-0.12239992532463037</v>
      </c>
      <c r="L41" s="2">
        <v>-0.13686908312739268</v>
      </c>
      <c r="M41" s="2">
        <v>-0.10148695130000775</v>
      </c>
      <c r="N41" s="2">
        <v>0.12288855958416846</v>
      </c>
      <c r="O41" s="54">
        <v>0.99999999999997446</v>
      </c>
      <c r="R41" s="48" t="str">
        <f t="shared" ref="R41:R48" si="28">A41</f>
        <v>High Yield</v>
      </c>
      <c r="S41" s="49">
        <f t="shared" ref="S41:S48" si="29">D41</f>
        <v>0.29662992095454072</v>
      </c>
      <c r="T41" s="49">
        <f t="shared" ref="T41:T48" si="30">B41-D41</f>
        <v>5.4647291998043634E-2</v>
      </c>
      <c r="U41" s="49">
        <f t="shared" ref="U41:U48" si="31">F41-B41</f>
        <v>4.8883562467253172E-2</v>
      </c>
      <c r="AA41" s="49"/>
      <c r="AB41" s="49"/>
      <c r="AC41" s="49"/>
      <c r="AD41" s="49"/>
    </row>
    <row r="42" spans="1:30">
      <c r="A42" s="56" t="str">
        <f t="shared" si="27"/>
        <v>Emerging market debt</v>
      </c>
      <c r="B42" s="1">
        <v>7.9045293668325162E-3</v>
      </c>
      <c r="C42" s="51">
        <v>7.6490746558576525E-3</v>
      </c>
      <c r="D42" s="52">
        <v>2.2688190208372708E-3</v>
      </c>
      <c r="E42" s="1">
        <v>5.4966637200437526E-3</v>
      </c>
      <c r="F42" s="53">
        <v>1.1563541306510879E-2</v>
      </c>
      <c r="G42" s="2">
        <v>5.2563827996176026E-3</v>
      </c>
      <c r="H42" s="2">
        <v>-1.4025007212221149E-3</v>
      </c>
      <c r="I42" s="2">
        <v>1.2138024141950738E-2</v>
      </c>
      <c r="J42" s="2">
        <v>9.1694643435967199E-2</v>
      </c>
      <c r="K42" s="2">
        <v>0.15146900313041831</v>
      </c>
      <c r="L42" s="2">
        <v>1</v>
      </c>
      <c r="M42" s="2">
        <v>-6.6413627912224077E-2</v>
      </c>
      <c r="N42" s="2">
        <v>0.32479970418095344</v>
      </c>
      <c r="O42" s="54">
        <v>0.99999999999997802</v>
      </c>
      <c r="R42" s="48" t="str">
        <f t="shared" si="28"/>
        <v>Emerging market debt</v>
      </c>
      <c r="S42" s="49">
        <f t="shared" si="29"/>
        <v>2.2688190208372708E-3</v>
      </c>
      <c r="T42" s="49">
        <f t="shared" si="30"/>
        <v>5.635710345995245E-3</v>
      </c>
      <c r="U42" s="49">
        <f t="shared" si="31"/>
        <v>3.6590119396783631E-3</v>
      </c>
      <c r="AA42" s="49"/>
      <c r="AB42" s="49"/>
      <c r="AC42" s="49"/>
      <c r="AD42" s="49"/>
    </row>
    <row r="43" spans="1:30">
      <c r="A43" s="56" t="str">
        <f t="shared" si="27"/>
        <v>Aandelen ontwikkeld</v>
      </c>
      <c r="B43" s="1">
        <v>8.2457023036253078E-3</v>
      </c>
      <c r="C43" s="51">
        <v>8.7110390510158845E-3</v>
      </c>
      <c r="D43" s="52">
        <v>1.9530495872201548E-3</v>
      </c>
      <c r="E43" s="1">
        <v>5.5821507598557019E-3</v>
      </c>
      <c r="F43" s="53">
        <v>1.1359919288142147E-2</v>
      </c>
      <c r="G43" s="2">
        <v>-3.086424770153964E-4</v>
      </c>
      <c r="H43" s="2">
        <v>-3.874174915590761E-3</v>
      </c>
      <c r="I43" s="2">
        <v>-1.6883196739470453E-2</v>
      </c>
      <c r="J43" s="2">
        <v>0.32313196068507855</v>
      </c>
      <c r="K43" s="2">
        <v>1</v>
      </c>
      <c r="L43" s="2">
        <v>-0.20798369474768016</v>
      </c>
      <c r="M43" s="2">
        <v>-0.26224413346778652</v>
      </c>
      <c r="N43" s="2">
        <v>-0.43571728500794726</v>
      </c>
      <c r="O43" s="54">
        <v>0.99999999999995826</v>
      </c>
      <c r="R43" s="48" t="str">
        <f t="shared" si="28"/>
        <v>Aandelen ontwikkeld</v>
      </c>
      <c r="S43" s="49">
        <f t="shared" si="29"/>
        <v>1.9530495872201548E-3</v>
      </c>
      <c r="T43" s="49">
        <f t="shared" si="30"/>
        <v>6.2926527164051532E-3</v>
      </c>
      <c r="U43" s="49">
        <f t="shared" si="31"/>
        <v>3.1142169845168391E-3</v>
      </c>
      <c r="AA43" s="49"/>
      <c r="AB43" s="49"/>
      <c r="AC43" s="49"/>
      <c r="AD43" s="49"/>
    </row>
    <row r="44" spans="1:30">
      <c r="A44" s="56" t="str">
        <f t="shared" si="27"/>
        <v>Aandelen opkomend</v>
      </c>
      <c r="B44" s="1">
        <v>3.7733192412278078E-2</v>
      </c>
      <c r="C44" s="51">
        <v>2.8973511893869444E-2</v>
      </c>
      <c r="D44" s="52">
        <v>1.5322546909509384E-2</v>
      </c>
      <c r="E44" s="1">
        <v>3.2316161147970812E-2</v>
      </c>
      <c r="F44" s="53">
        <v>5.5056771621542377E-2</v>
      </c>
      <c r="G44" s="2">
        <v>-0.15357521294445514</v>
      </c>
      <c r="H44" s="2">
        <v>1</v>
      </c>
      <c r="I44" s="2">
        <v>-0.14746469874092022</v>
      </c>
      <c r="J44" s="2">
        <v>-0.35452760354454282</v>
      </c>
      <c r="K44" s="2">
        <v>-0.29309062408951625</v>
      </c>
      <c r="L44" s="2">
        <v>6.292257945136312E-3</v>
      </c>
      <c r="M44" s="2">
        <v>-0.21083676405948718</v>
      </c>
      <c r="N44" s="2">
        <v>-0.46653146525634265</v>
      </c>
      <c r="O44" s="54">
        <v>0.99999999999995781</v>
      </c>
      <c r="R44" s="48" t="str">
        <f t="shared" si="28"/>
        <v>Aandelen opkomend</v>
      </c>
      <c r="S44" s="49">
        <f t="shared" si="29"/>
        <v>1.5322546909509384E-2</v>
      </c>
      <c r="T44" s="49">
        <f t="shared" si="30"/>
        <v>2.2410645502768695E-2</v>
      </c>
      <c r="U44" s="49">
        <f t="shared" si="31"/>
        <v>1.7323579209264299E-2</v>
      </c>
      <c r="AA44" s="49"/>
      <c r="AB44" s="49"/>
      <c r="AC44" s="49"/>
      <c r="AD44" s="49"/>
    </row>
    <row r="45" spans="1:30">
      <c r="A45" s="56" t="str">
        <f t="shared" si="27"/>
        <v>Commodities</v>
      </c>
      <c r="B45" s="1">
        <v>6.3225293991740802E-2</v>
      </c>
      <c r="C45" s="51">
        <v>3.7508996101780614E-2</v>
      </c>
      <c r="D45" s="52">
        <v>3.4666419238722712E-2</v>
      </c>
      <c r="E45" s="1">
        <v>6.1082443480884319E-2</v>
      </c>
      <c r="F45" s="53">
        <v>9.1870249210330712E-2</v>
      </c>
      <c r="G45" s="2">
        <v>-0.41114021861433597</v>
      </c>
      <c r="H45" s="2">
        <v>-0.8412816597000774</v>
      </c>
      <c r="I45" s="2">
        <v>-0.181876619360058</v>
      </c>
      <c r="J45" s="2">
        <v>-0.39312981176552553</v>
      </c>
      <c r="K45" s="2">
        <v>-0.30519535508416651</v>
      </c>
      <c r="L45" s="2">
        <v>2.0321651502832296E-2</v>
      </c>
      <c r="M45" s="2">
        <v>-0.21893545998251773</v>
      </c>
      <c r="N45" s="2">
        <v>-0.51910364167346534</v>
      </c>
      <c r="O45" s="54">
        <v>0.99999999999995592</v>
      </c>
      <c r="R45" s="48" t="str">
        <f t="shared" si="28"/>
        <v>Commodities</v>
      </c>
      <c r="S45" s="49">
        <f t="shared" si="29"/>
        <v>3.4666419238722712E-2</v>
      </c>
      <c r="T45" s="49">
        <f t="shared" si="30"/>
        <v>2.855887475301809E-2</v>
      </c>
      <c r="U45" s="49">
        <f t="shared" si="31"/>
        <v>2.864495521858991E-2</v>
      </c>
      <c r="AA45" s="49"/>
      <c r="AB45" s="49"/>
      <c r="AC45" s="49"/>
      <c r="AD45" s="49"/>
    </row>
    <row r="46" spans="1:30">
      <c r="A46" s="56" t="str">
        <f>A34</f>
        <v>Hedge funds</v>
      </c>
      <c r="B46" s="1">
        <v>1.7589289429742395E-2</v>
      </c>
      <c r="C46" s="51">
        <v>1.6496586172427746E-2</v>
      </c>
      <c r="D46" s="52">
        <v>5.7557614226679838E-3</v>
      </c>
      <c r="E46" s="1">
        <v>1.3070626888997953E-2</v>
      </c>
      <c r="F46" s="53">
        <v>2.4469899013414599E-2</v>
      </c>
      <c r="G46" s="2">
        <v>-2.2014929213919728E-2</v>
      </c>
      <c r="H46" s="2">
        <v>-2.2224101207532449E-2</v>
      </c>
      <c r="I46" s="2">
        <v>1</v>
      </c>
      <c r="J46" s="2">
        <v>-0.31383691447762019</v>
      </c>
      <c r="K46" s="2">
        <v>-1.5423248070899087E-2</v>
      </c>
      <c r="L46" s="2">
        <v>-0.18274223767842937</v>
      </c>
      <c r="M46" s="2">
        <v>-2.9393064203091415E-2</v>
      </c>
      <c r="N46" s="2">
        <v>0.28166945149855049</v>
      </c>
      <c r="O46" s="54">
        <v>0.9999999999999778</v>
      </c>
      <c r="R46" s="48" t="str">
        <f t="shared" si="28"/>
        <v>Hedge funds</v>
      </c>
      <c r="S46" s="49">
        <f t="shared" si="29"/>
        <v>5.7557614226679838E-3</v>
      </c>
      <c r="T46" s="49">
        <f t="shared" si="30"/>
        <v>1.1833528007074412E-2</v>
      </c>
      <c r="U46" s="49">
        <f t="shared" si="31"/>
        <v>6.8806095836722037E-3</v>
      </c>
    </row>
    <row r="47" spans="1:30">
      <c r="A47" s="56" t="str">
        <f>A35</f>
        <v>Onroerend goed</v>
      </c>
      <c r="B47" s="1">
        <v>1.163506147357905E-2</v>
      </c>
      <c r="C47" s="51">
        <v>1.0770245971638866E-2</v>
      </c>
      <c r="D47" s="52">
        <v>3.2506103188568529E-3</v>
      </c>
      <c r="E47" s="1">
        <v>8.9128747489072464E-3</v>
      </c>
      <c r="F47" s="53">
        <v>1.7219565912210695E-2</v>
      </c>
      <c r="G47" s="2">
        <v>-8.0548889745744191E-3</v>
      </c>
      <c r="H47" s="2">
        <v>-2.0107635764520845E-2</v>
      </c>
      <c r="I47" s="2">
        <v>6.8304993704469796E-2</v>
      </c>
      <c r="J47" s="2">
        <v>1</v>
      </c>
      <c r="K47" s="2">
        <v>-0.58274794498533544</v>
      </c>
      <c r="L47" s="2">
        <v>-0.15359458616789376</v>
      </c>
      <c r="M47" s="2">
        <v>-0.15381275843208445</v>
      </c>
      <c r="N47" s="2">
        <v>1.6529611531320293E-2</v>
      </c>
      <c r="O47" s="54">
        <v>0.99999999999996958</v>
      </c>
      <c r="R47" s="48" t="str">
        <f t="shared" ref="R47" si="32">A47</f>
        <v>Onroerend goed</v>
      </c>
      <c r="S47" s="49">
        <f t="shared" ref="S47" si="33">D47</f>
        <v>3.2506103188568529E-3</v>
      </c>
      <c r="T47" s="49">
        <f t="shared" ref="T47" si="34">B47-D47</f>
        <v>8.3844511547221962E-3</v>
      </c>
      <c r="U47" s="49">
        <f t="shared" ref="U47" si="35">F47-B47</f>
        <v>5.5845044386316454E-3</v>
      </c>
    </row>
    <row r="48" spans="1:30">
      <c r="A48" s="57" t="str">
        <f t="shared" ref="A48" si="36">A24</f>
        <v>Periferie bonds</v>
      </c>
      <c r="B48" s="58">
        <v>4.2645068665215511E-3</v>
      </c>
      <c r="C48" s="59">
        <v>4.993650030944363E-3</v>
      </c>
      <c r="D48" s="60">
        <v>5.730121329020029E-4</v>
      </c>
      <c r="E48" s="58">
        <v>2.4555198990239687E-3</v>
      </c>
      <c r="F48" s="61">
        <v>6.2222558893164012E-3</v>
      </c>
      <c r="G48" s="62">
        <v>-5.0540017884485007E-3</v>
      </c>
      <c r="H48" s="62">
        <v>2.0998806783553599E-3</v>
      </c>
      <c r="I48" s="62">
        <v>-4.1374340642090744E-2</v>
      </c>
      <c r="J48" s="62">
        <v>5.3049084612263375E-2</v>
      </c>
      <c r="K48" s="62">
        <v>3.5494352509390405E-2</v>
      </c>
      <c r="L48" s="62">
        <v>-1.0810210556609334E-2</v>
      </c>
      <c r="M48" s="62">
        <v>1</v>
      </c>
      <c r="N48" s="62">
        <v>-0.32453493485729318</v>
      </c>
      <c r="O48" s="63">
        <v>0.99999999999996159</v>
      </c>
      <c r="R48" s="48" t="str">
        <f t="shared" si="28"/>
        <v>Periferie bonds</v>
      </c>
      <c r="S48" s="49">
        <f t="shared" si="29"/>
        <v>5.730121329020029E-4</v>
      </c>
      <c r="T48" s="49">
        <f t="shared" si="30"/>
        <v>3.6914947336195479E-3</v>
      </c>
      <c r="U48" s="49">
        <f t="shared" si="31"/>
        <v>1.9577490227948502E-3</v>
      </c>
    </row>
    <row r="49" spans="1:36">
      <c r="A49" s="64"/>
      <c r="B49" s="1"/>
      <c r="C49" s="1"/>
      <c r="D49" s="1"/>
      <c r="E49" s="1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36">
      <c r="D50" s="327" t="s">
        <v>64</v>
      </c>
      <c r="E50" s="328"/>
      <c r="F50" s="329"/>
      <c r="G50" s="327" t="s">
        <v>65</v>
      </c>
      <c r="H50" s="328"/>
      <c r="I50" s="328"/>
      <c r="J50" s="328"/>
      <c r="K50" s="328"/>
      <c r="L50" s="328"/>
      <c r="M50" s="328"/>
      <c r="N50" s="328"/>
      <c r="O50" s="329"/>
    </row>
    <row r="51" spans="1:36">
      <c r="A51" s="239" t="str">
        <f>Optimalisatie!A24</f>
        <v>Bear case</v>
      </c>
      <c r="B51" s="240" t="s">
        <v>1</v>
      </c>
      <c r="C51" s="241" t="s">
        <v>2</v>
      </c>
      <c r="D51" s="242">
        <v>0.25</v>
      </c>
      <c r="E51" s="243">
        <v>0.5</v>
      </c>
      <c r="F51" s="244">
        <v>0.75</v>
      </c>
      <c r="G51" s="245">
        <v>0.99809860653379656</v>
      </c>
      <c r="H51" s="245">
        <v>1.2265835294759109E-3</v>
      </c>
      <c r="I51" s="245">
        <v>2.7287371263551297E-4</v>
      </c>
      <c r="J51" s="245">
        <v>1.2723302302197759E-4</v>
      </c>
      <c r="K51" s="245">
        <v>9.7929546621466912E-5</v>
      </c>
      <c r="L51" s="245">
        <v>8.7585051219085663E-5</v>
      </c>
      <c r="M51" s="245">
        <v>5.7195003256960142E-5</v>
      </c>
      <c r="N51" s="245">
        <v>3.1993599970081554E-5</v>
      </c>
      <c r="O51" s="246">
        <v>2.2204460492503131E-16</v>
      </c>
      <c r="R51" s="48" t="str">
        <f>A51</f>
        <v>Bear case</v>
      </c>
      <c r="S51" s="48"/>
      <c r="T51" s="49"/>
      <c r="U51" s="48"/>
      <c r="AA51" s="49"/>
      <c r="AB51" s="49"/>
      <c r="AC51" s="49"/>
      <c r="AD51" s="49"/>
    </row>
    <row r="52" spans="1:36">
      <c r="A52" s="56" t="str">
        <f t="shared" ref="A52:A59" si="37">A40</f>
        <v>Nominale matching</v>
      </c>
      <c r="B52" s="1">
        <v>0.85322690619679276</v>
      </c>
      <c r="C52" s="51">
        <v>2.5387806664571626E-2</v>
      </c>
      <c r="D52" s="52">
        <v>0.83146563985541433</v>
      </c>
      <c r="E52" s="1">
        <v>0.84983943314792598</v>
      </c>
      <c r="F52" s="53">
        <v>0.87346651643443651</v>
      </c>
      <c r="G52" s="65">
        <v>1</v>
      </c>
      <c r="H52" s="65">
        <v>-0.63231607317084704</v>
      </c>
      <c r="I52" s="65">
        <v>-0.51223130656945337</v>
      </c>
      <c r="J52" s="65">
        <v>0.27956052356689037</v>
      </c>
      <c r="K52" s="65">
        <v>0.14179134311866615</v>
      </c>
      <c r="L52" s="65">
        <v>-4.5004244211948874E-2</v>
      </c>
      <c r="M52" s="2">
        <v>-7.694065753038061E-2</v>
      </c>
      <c r="N52" s="2">
        <v>-8.9908053546390823E-2</v>
      </c>
      <c r="O52" s="54">
        <v>0.99999999999999722</v>
      </c>
      <c r="R52" s="48" t="str">
        <f>A52</f>
        <v>Nominale matching</v>
      </c>
      <c r="S52" s="49">
        <f>D52</f>
        <v>0.83146563985541433</v>
      </c>
      <c r="T52" s="49">
        <f>B52-D52</f>
        <v>2.1761266341378427E-2</v>
      </c>
      <c r="U52" s="49">
        <f>F52-B52</f>
        <v>2.0239610237643757E-2</v>
      </c>
      <c r="AA52" s="49"/>
      <c r="AB52" s="49"/>
      <c r="AC52" s="49"/>
      <c r="AD52" s="49"/>
    </row>
    <row r="53" spans="1:36">
      <c r="A53" s="56" t="str">
        <f t="shared" si="37"/>
        <v>High Yield</v>
      </c>
      <c r="B53" s="1">
        <v>2.0942190799034039E-4</v>
      </c>
      <c r="C53" s="51">
        <v>3.7008617116881479E-4</v>
      </c>
      <c r="D53" s="52">
        <v>3.4502230061134264E-6</v>
      </c>
      <c r="E53" s="1">
        <v>4.7390473102070234E-5</v>
      </c>
      <c r="F53" s="53">
        <v>2.3955208854848899E-4</v>
      </c>
      <c r="G53" s="65">
        <v>-1.5020894427077265E-3</v>
      </c>
      <c r="H53" s="65">
        <v>9.4227499755274183E-2</v>
      </c>
      <c r="I53" s="65">
        <v>0.23586524160494721</v>
      </c>
      <c r="J53" s="65">
        <v>-0.97278000210264759</v>
      </c>
      <c r="K53" s="65">
        <v>1</v>
      </c>
      <c r="L53" s="65">
        <v>-0.14507786540892723</v>
      </c>
      <c r="M53" s="2">
        <v>-0.15035624042920673</v>
      </c>
      <c r="N53" s="2">
        <v>-6.7474432638467141E-2</v>
      </c>
      <c r="O53" s="54">
        <v>0.99999999999975875</v>
      </c>
      <c r="R53" s="48" t="str">
        <f t="shared" ref="R53:R60" si="38">A53</f>
        <v>High Yield</v>
      </c>
      <c r="S53" s="49">
        <f t="shared" ref="S53:S60" si="39">D53</f>
        <v>3.4502230061134264E-6</v>
      </c>
      <c r="T53" s="49">
        <f t="shared" ref="T53:T60" si="40">B53-D53</f>
        <v>2.0597168498422697E-4</v>
      </c>
      <c r="U53" s="49">
        <f t="shared" ref="U53:U60" si="41">F53-B53</f>
        <v>3.0130180558148603E-5</v>
      </c>
      <c r="AA53" s="49"/>
      <c r="AB53" s="49"/>
      <c r="AC53" s="49"/>
      <c r="AD53" s="49"/>
    </row>
    <row r="54" spans="1:36">
      <c r="A54" s="56" t="str">
        <f t="shared" si="37"/>
        <v>Emerging market debt</v>
      </c>
      <c r="B54" s="1">
        <v>2.599907807554652E-4</v>
      </c>
      <c r="C54" s="51">
        <v>4.808351566720694E-4</v>
      </c>
      <c r="D54" s="52">
        <v>4.726117011851404E-6</v>
      </c>
      <c r="E54" s="1">
        <v>5.7436643084232239E-5</v>
      </c>
      <c r="F54" s="53">
        <v>3.4112952730927125E-4</v>
      </c>
      <c r="G54" s="65">
        <v>-2.4343781614299433E-3</v>
      </c>
      <c r="H54" s="65">
        <v>9.7582472916094148E-2</v>
      </c>
      <c r="I54" s="65">
        <v>1</v>
      </c>
      <c r="J54" s="65">
        <v>1</v>
      </c>
      <c r="K54" s="65">
        <v>0.3278727057428979</v>
      </c>
      <c r="L54" s="65">
        <v>-7.2263913166023555E-2</v>
      </c>
      <c r="M54" s="2">
        <v>-8.1780583660196859E-2</v>
      </c>
      <c r="N54" s="2">
        <v>-6.8328096451716905E-2</v>
      </c>
      <c r="O54" s="54">
        <v>0.99999999999984091</v>
      </c>
      <c r="R54" s="48" t="str">
        <f t="shared" si="38"/>
        <v>Emerging market debt</v>
      </c>
      <c r="S54" s="49">
        <f t="shared" si="39"/>
        <v>4.726117011851404E-6</v>
      </c>
      <c r="T54" s="49">
        <f t="shared" si="40"/>
        <v>2.5526466374361378E-4</v>
      </c>
      <c r="U54" s="49">
        <f t="shared" si="41"/>
        <v>8.1138746553806047E-5</v>
      </c>
      <c r="AA54" s="49"/>
      <c r="AB54" s="49"/>
      <c r="AC54" s="49"/>
      <c r="AD54" s="49"/>
    </row>
    <row r="55" spans="1:36">
      <c r="A55" s="56" t="str">
        <f t="shared" si="37"/>
        <v>Aandelen ontwikkeld</v>
      </c>
      <c r="B55" s="1">
        <v>1.1622272130961624E-4</v>
      </c>
      <c r="C55" s="51">
        <v>1.9758500868335209E-4</v>
      </c>
      <c r="D55" s="52">
        <v>9.5967816305573729E-7</v>
      </c>
      <c r="E55" s="1">
        <v>2.1707798850235928E-5</v>
      </c>
      <c r="F55" s="53">
        <v>1.4102076207658248E-4</v>
      </c>
      <c r="G55" s="65">
        <v>-7.1401038403267865E-4</v>
      </c>
      <c r="H55" s="65">
        <v>1.4783799392717357E-2</v>
      </c>
      <c r="I55" s="65">
        <v>7.620067164940075E-3</v>
      </c>
      <c r="J55" s="65">
        <v>-6.4132695875526557E-2</v>
      </c>
      <c r="K55" s="65">
        <v>-0.11173207515590312</v>
      </c>
      <c r="L55" s="65">
        <v>2.5504145048818455E-2</v>
      </c>
      <c r="M55" s="2">
        <v>0.27680589086044782</v>
      </c>
      <c r="N55" s="2">
        <v>1</v>
      </c>
      <c r="O55" s="54">
        <v>0.99999999999921274</v>
      </c>
      <c r="R55" s="48" t="str">
        <f t="shared" si="38"/>
        <v>Aandelen ontwikkeld</v>
      </c>
      <c r="S55" s="49">
        <f t="shared" si="39"/>
        <v>9.5967816305573729E-7</v>
      </c>
      <c r="T55" s="49">
        <f t="shared" si="40"/>
        <v>1.152630431465605E-4</v>
      </c>
      <c r="U55" s="49">
        <f t="shared" si="41"/>
        <v>2.4798040766966234E-5</v>
      </c>
      <c r="AA55" s="49"/>
      <c r="AB55" s="49"/>
      <c r="AC55" s="49"/>
      <c r="AD55" s="49"/>
    </row>
    <row r="56" spans="1:36">
      <c r="A56" s="56" t="str">
        <f t="shared" si="37"/>
        <v>Aandelen opkomend</v>
      </c>
      <c r="B56" s="1">
        <v>1.6355347321700943E-4</v>
      </c>
      <c r="C56" s="51">
        <v>3.3098106408624054E-4</v>
      </c>
      <c r="D56" s="52">
        <v>1.2315674261329075E-6</v>
      </c>
      <c r="E56" s="1">
        <v>2.6559270535743253E-5</v>
      </c>
      <c r="F56" s="53">
        <v>1.885850310774271E-4</v>
      </c>
      <c r="G56" s="65">
        <v>-1.2131411434018978E-3</v>
      </c>
      <c r="H56" s="65">
        <v>3.1163242570636514E-2</v>
      </c>
      <c r="I56" s="65">
        <v>0.23429860619555493</v>
      </c>
      <c r="J56" s="65">
        <v>-0.36775285689037046</v>
      </c>
      <c r="K56" s="65">
        <v>-0.85172956762798147</v>
      </c>
      <c r="L56" s="65">
        <v>-0.82783036191259884</v>
      </c>
      <c r="M56" s="2">
        <v>-0.33840563797403672</v>
      </c>
      <c r="N56" s="2">
        <v>-0.10696828040375544</v>
      </c>
      <c r="O56" s="54">
        <v>0.99999999999972577</v>
      </c>
      <c r="R56" s="48" t="str">
        <f t="shared" si="38"/>
        <v>Aandelen opkomend</v>
      </c>
      <c r="S56" s="49">
        <f t="shared" si="39"/>
        <v>1.2315674261329075E-6</v>
      </c>
      <c r="T56" s="49">
        <f t="shared" si="40"/>
        <v>1.6232190579087651E-4</v>
      </c>
      <c r="U56" s="49">
        <f t="shared" si="41"/>
        <v>2.5031557860417676E-5</v>
      </c>
      <c r="AA56" s="49"/>
      <c r="AB56" s="49"/>
      <c r="AC56" s="49"/>
      <c r="AD56" s="49"/>
    </row>
    <row r="57" spans="1:36">
      <c r="A57" s="56" t="str">
        <f t="shared" si="37"/>
        <v>Commodities</v>
      </c>
      <c r="B57" s="1">
        <v>1.1842077006109948E-4</v>
      </c>
      <c r="C57" s="51">
        <v>2.6121518658259315E-4</v>
      </c>
      <c r="D57" s="52">
        <v>6.0153983873630263E-7</v>
      </c>
      <c r="E57" s="1">
        <v>1.1721530956587418E-5</v>
      </c>
      <c r="F57" s="53">
        <v>1.3634238213628357E-4</v>
      </c>
      <c r="G57" s="65">
        <v>-8.3198549701295134E-4</v>
      </c>
      <c r="H57" s="65">
        <v>1.8598423312421203E-2</v>
      </c>
      <c r="I57" s="65">
        <v>0.1488881969667441</v>
      </c>
      <c r="J57" s="65">
        <v>-0.23935748214856817</v>
      </c>
      <c r="K57" s="65">
        <v>-0.27628945791960929</v>
      </c>
      <c r="L57" s="65">
        <v>0.15075065282449224</v>
      </c>
      <c r="M57" s="2">
        <v>1</v>
      </c>
      <c r="N57" s="2">
        <v>-0.38983997420477207</v>
      </c>
      <c r="O57" s="54">
        <v>0.99999999999966382</v>
      </c>
      <c r="R57" s="48" t="str">
        <f t="shared" si="38"/>
        <v>Commodities</v>
      </c>
      <c r="S57" s="49">
        <f t="shared" si="39"/>
        <v>6.0153983873630263E-7</v>
      </c>
      <c r="T57" s="49">
        <f t="shared" si="40"/>
        <v>1.1781923022236318E-4</v>
      </c>
      <c r="U57" s="49">
        <f t="shared" si="41"/>
        <v>1.7921612075184095E-5</v>
      </c>
      <c r="AA57" s="49"/>
      <c r="AB57" s="49"/>
      <c r="AC57" s="49"/>
      <c r="AD57" s="49"/>
    </row>
    <row r="58" spans="1:36">
      <c r="A58" s="56" t="str">
        <f t="shared" si="37"/>
        <v>Hedge funds</v>
      </c>
      <c r="B58" s="1">
        <v>6.5957826883025642E-4</v>
      </c>
      <c r="C58" s="51">
        <v>9.9397517419734689E-4</v>
      </c>
      <c r="D58" s="52">
        <v>3.3252874515040637E-5</v>
      </c>
      <c r="E58" s="1">
        <v>2.3022724416062114E-4</v>
      </c>
      <c r="F58" s="53">
        <v>8.7365686141936856E-4</v>
      </c>
      <c r="G58" s="65">
        <v>-7.6536156218925452E-3</v>
      </c>
      <c r="H58" s="65">
        <v>1</v>
      </c>
      <c r="I58" s="65">
        <v>-0.79574932564583545</v>
      </c>
      <c r="J58" s="65">
        <v>0.37828228161523503</v>
      </c>
      <c r="K58" s="65">
        <v>0.10215349204214214</v>
      </c>
      <c r="L58" s="65">
        <v>-4.0908239405042554E-2</v>
      </c>
      <c r="M58" s="2">
        <v>-7.6327336162288317E-2</v>
      </c>
      <c r="N58" s="2">
        <v>-0.10465156966549215</v>
      </c>
      <c r="O58" s="54">
        <v>0.99999999999996436</v>
      </c>
      <c r="R58" s="48" t="str">
        <f t="shared" si="38"/>
        <v>Hedge funds</v>
      </c>
      <c r="S58" s="49">
        <f t="shared" si="39"/>
        <v>3.3252874515040637E-5</v>
      </c>
      <c r="T58" s="49">
        <f t="shared" si="40"/>
        <v>6.2632539431521574E-4</v>
      </c>
      <c r="U58" s="49">
        <f t="shared" si="41"/>
        <v>2.1407859258911215E-4</v>
      </c>
    </row>
    <row r="59" spans="1:36">
      <c r="A59" s="56" t="str">
        <f t="shared" si="37"/>
        <v>Onroerend goed</v>
      </c>
      <c r="B59" s="1">
        <v>1.7177401235827215E-4</v>
      </c>
      <c r="C59" s="51">
        <v>3.1764782716923388E-4</v>
      </c>
      <c r="D59" s="52">
        <v>1.0965818085016266E-6</v>
      </c>
      <c r="E59" s="1">
        <v>2.9628270426546619E-5</v>
      </c>
      <c r="F59" s="53">
        <v>1.872933698019742E-4</v>
      </c>
      <c r="G59" s="65">
        <v>-1.0384422217833819E-3</v>
      </c>
      <c r="H59" s="65">
        <v>2.64095629674263E-2</v>
      </c>
      <c r="I59" s="65">
        <v>0.19882146628371153</v>
      </c>
      <c r="J59" s="65">
        <v>-0.29483326662478354</v>
      </c>
      <c r="K59" s="65">
        <v>-0.47480812062349009</v>
      </c>
      <c r="L59" s="65">
        <v>1</v>
      </c>
      <c r="M59" s="2">
        <v>-0.47575021277877882</v>
      </c>
      <c r="N59" s="2">
        <v>-8.2424764296326183E-2</v>
      </c>
      <c r="O59" s="54">
        <v>0.99999999999969957</v>
      </c>
      <c r="R59" s="48" t="str">
        <f t="shared" ref="R59" si="42">A59</f>
        <v>Onroerend goed</v>
      </c>
      <c r="S59" s="49">
        <f t="shared" ref="S59" si="43">D59</f>
        <v>1.0965818085016266E-6</v>
      </c>
      <c r="T59" s="49">
        <f t="shared" ref="T59" si="44">B59-D59</f>
        <v>1.7067743054977052E-4</v>
      </c>
      <c r="U59" s="49">
        <f t="shared" ref="U59" si="45">F59-B59</f>
        <v>1.551935744370205E-5</v>
      </c>
    </row>
    <row r="60" spans="1:36">
      <c r="A60" s="57" t="str">
        <f t="shared" ref="A60" si="46">A48</f>
        <v>Periferie bonds</v>
      </c>
      <c r="B60" s="58">
        <v>0.14507413186868504</v>
      </c>
      <c r="C60" s="59">
        <v>2.4997793281894748E-2</v>
      </c>
      <c r="D60" s="60">
        <v>0.1250711657311373</v>
      </c>
      <c r="E60" s="58">
        <v>0.14849644387084718</v>
      </c>
      <c r="F60" s="61">
        <v>0.16648911700187172</v>
      </c>
      <c r="G60" s="66">
        <v>-0.98461233752773869</v>
      </c>
      <c r="H60" s="66">
        <v>-0.65044892774361684</v>
      </c>
      <c r="I60" s="66">
        <v>-0.51751294600024278</v>
      </c>
      <c r="J60" s="66">
        <v>0.28101349845939005</v>
      </c>
      <c r="K60" s="66">
        <v>0.14274168042301713</v>
      </c>
      <c r="L60" s="66">
        <v>-4.5170173768673764E-2</v>
      </c>
      <c r="M60" s="62">
        <v>-7.7245222325293933E-2</v>
      </c>
      <c r="N60" s="62">
        <v>-9.0404828792507885E-2</v>
      </c>
      <c r="O60" s="63">
        <v>1</v>
      </c>
      <c r="R60" s="48" t="str">
        <f t="shared" si="38"/>
        <v>Periferie bonds</v>
      </c>
      <c r="S60" s="49">
        <f t="shared" si="39"/>
        <v>0.1250711657311373</v>
      </c>
      <c r="T60" s="49">
        <f t="shared" si="40"/>
        <v>2.0002966137547734E-2</v>
      </c>
      <c r="U60" s="49">
        <f t="shared" si="41"/>
        <v>2.1414985133186681E-2</v>
      </c>
    </row>
    <row r="61" spans="1:36">
      <c r="A61" s="64"/>
      <c r="B61" s="1"/>
      <c r="C61" s="1"/>
      <c r="D61" s="1"/>
      <c r="E61" s="1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36">
      <c r="D62" s="327" t="s">
        <v>64</v>
      </c>
      <c r="E62" s="328"/>
      <c r="F62" s="329"/>
      <c r="G62" s="327" t="s">
        <v>65</v>
      </c>
      <c r="H62" s="328"/>
      <c r="I62" s="328"/>
      <c r="J62" s="328"/>
      <c r="K62" s="328"/>
      <c r="L62" s="328"/>
      <c r="M62" s="328"/>
      <c r="N62" s="328"/>
      <c r="O62" s="329"/>
    </row>
    <row r="63" spans="1:36">
      <c r="A63" s="239" t="str">
        <f>Optimalisatie!A11</f>
        <v>Tail risk</v>
      </c>
      <c r="B63" s="240" t="s">
        <v>1</v>
      </c>
      <c r="C63" s="241" t="s">
        <v>2</v>
      </c>
      <c r="D63" s="242">
        <v>0.25</v>
      </c>
      <c r="E63" s="243">
        <v>0.5</v>
      </c>
      <c r="F63" s="244">
        <v>0.75</v>
      </c>
      <c r="G63" s="245">
        <v>0.60590857140561183</v>
      </c>
      <c r="H63" s="245">
        <v>0.25679977076353055</v>
      </c>
      <c r="I63" s="245">
        <v>4.8191404101764146E-2</v>
      </c>
      <c r="J63" s="245">
        <v>2.6739773467568173E-2</v>
      </c>
      <c r="K63" s="245">
        <v>2.1637484122444262E-2</v>
      </c>
      <c r="L63" s="245">
        <v>1.8771396941409502E-2</v>
      </c>
      <c r="M63" s="245">
        <v>1.6924522004645115E-2</v>
      </c>
      <c r="N63" s="245">
        <v>5.0270771930284175E-3</v>
      </c>
      <c r="O63" s="246">
        <v>2.2204460492503131E-16</v>
      </c>
      <c r="R63" s="48" t="str">
        <f>A63</f>
        <v>Tail risk</v>
      </c>
      <c r="S63" s="48"/>
      <c r="T63" s="49"/>
      <c r="U63" s="48"/>
      <c r="AA63" s="49"/>
      <c r="AB63" s="49"/>
      <c r="AC63" s="49"/>
      <c r="AD63" s="49"/>
      <c r="AF63" s="67"/>
      <c r="AG63" s="67"/>
      <c r="AH63" s="67"/>
      <c r="AJ63" s="49"/>
    </row>
    <row r="64" spans="1:36">
      <c r="A64" s="50" t="str">
        <f t="shared" ref="A64:A71" si="47">A52</f>
        <v>Nominale matching</v>
      </c>
      <c r="B64" s="1">
        <v>0.90057982480123056</v>
      </c>
      <c r="C64" s="51">
        <v>1.3628259058725111E-3</v>
      </c>
      <c r="D64" s="52">
        <v>0.89949518251032301</v>
      </c>
      <c r="E64" s="1">
        <v>0.90022124255309044</v>
      </c>
      <c r="F64" s="53">
        <v>0.9014252506229905</v>
      </c>
      <c r="G64" s="2">
        <v>-0.44061374074113535</v>
      </c>
      <c r="H64" s="2">
        <v>1</v>
      </c>
      <c r="I64" s="2">
        <v>-0.92922541331336106</v>
      </c>
      <c r="J64" s="2">
        <v>0.11490068289265458</v>
      </c>
      <c r="K64" s="2">
        <v>-0.15372040082158828</v>
      </c>
      <c r="L64" s="2">
        <v>1.4748422323505062E-2</v>
      </c>
      <c r="M64" s="2">
        <v>-3.7413711642589699E-2</v>
      </c>
      <c r="N64" s="2">
        <v>-0.12239304004958945</v>
      </c>
      <c r="O64" s="54">
        <v>0.99999999999998035</v>
      </c>
      <c r="R64" s="48" t="str">
        <f>A64</f>
        <v>Nominale matching</v>
      </c>
      <c r="S64" s="49">
        <f>D64</f>
        <v>0.89949518251032301</v>
      </c>
      <c r="T64" s="49">
        <f>B64-D64</f>
        <v>1.0846422909075448E-3</v>
      </c>
      <c r="U64" s="49">
        <f>F64-B64</f>
        <v>8.4542582175994863E-4</v>
      </c>
      <c r="AA64" s="49"/>
      <c r="AB64" s="49"/>
      <c r="AC64" s="49"/>
      <c r="AD64" s="49"/>
      <c r="AF64" s="67"/>
      <c r="AG64" s="67"/>
      <c r="AH64" s="67"/>
      <c r="AJ64" s="49"/>
    </row>
    <row r="65" spans="1:36">
      <c r="A65" s="56" t="str">
        <f t="shared" si="47"/>
        <v>High Yield</v>
      </c>
      <c r="B65" s="1">
        <v>3.0015970349212586E-4</v>
      </c>
      <c r="C65" s="51">
        <v>4.7925207434559793E-4</v>
      </c>
      <c r="D65" s="52">
        <v>4.357292123203825E-6</v>
      </c>
      <c r="E65" s="1">
        <v>7.3782670498782871E-5</v>
      </c>
      <c r="F65" s="53">
        <v>3.8613761403219997E-4</v>
      </c>
      <c r="G65" s="2">
        <v>4.8353268344079247E-3</v>
      </c>
      <c r="H65" s="2">
        <v>-2.5175672174996819E-2</v>
      </c>
      <c r="I65" s="2">
        <v>1</v>
      </c>
      <c r="J65" s="2">
        <v>1</v>
      </c>
      <c r="K65" s="2">
        <v>-0.38406941777766601</v>
      </c>
      <c r="L65" s="2">
        <v>-5.4738803488805976E-3</v>
      </c>
      <c r="M65" s="2">
        <v>-0.10005471849700692</v>
      </c>
      <c r="N65" s="2">
        <v>-0.11500670878389636</v>
      </c>
      <c r="O65" s="54">
        <v>0.99999999999996037</v>
      </c>
      <c r="R65" s="48" t="str">
        <f t="shared" ref="R65:R72" si="48">A65</f>
        <v>High Yield</v>
      </c>
      <c r="S65" s="49">
        <f t="shared" ref="S65:S72" si="49">D65</f>
        <v>4.357292123203825E-6</v>
      </c>
      <c r="T65" s="49">
        <f t="shared" ref="T65:T72" si="50">B65-D65</f>
        <v>2.9580241136892207E-4</v>
      </c>
      <c r="U65" s="49">
        <f t="shared" ref="U65:U72" si="51">F65-B65</f>
        <v>8.5977910540074106E-5</v>
      </c>
      <c r="AA65" s="49"/>
      <c r="AB65" s="49"/>
      <c r="AC65" s="49"/>
      <c r="AD65" s="49"/>
      <c r="AF65" s="67"/>
      <c r="AG65" s="67"/>
      <c r="AH65" s="67"/>
      <c r="AJ65" s="49"/>
    </row>
    <row r="66" spans="1:36">
      <c r="A66" s="56" t="str">
        <f t="shared" si="47"/>
        <v>Emerging market debt</v>
      </c>
      <c r="B66" s="1">
        <v>9.9910085019786843E-4</v>
      </c>
      <c r="C66" s="51">
        <v>1.4510909916264246E-3</v>
      </c>
      <c r="D66" s="52">
        <v>3.4757953631602951E-5</v>
      </c>
      <c r="E66" s="1">
        <v>3.2347689751272061E-4</v>
      </c>
      <c r="F66" s="53">
        <v>1.4045416321378699E-3</v>
      </c>
      <c r="G66" s="2">
        <v>-0.5697753675608469</v>
      </c>
      <c r="H66" s="2">
        <v>-0.91788776155173646</v>
      </c>
      <c r="I66" s="2">
        <v>-0.9311744737855745</v>
      </c>
      <c r="J66" s="2">
        <v>6.2762894481939988E-2</v>
      </c>
      <c r="K66" s="2">
        <v>-0.18694402113541936</v>
      </c>
      <c r="L66" s="2">
        <v>1.9609904316085442E-3</v>
      </c>
      <c r="M66" s="2">
        <v>-4.9445129359398515E-2</v>
      </c>
      <c r="N66" s="2">
        <v>-0.11545202989887958</v>
      </c>
      <c r="O66" s="54">
        <v>0.99999999999997591</v>
      </c>
      <c r="R66" s="48" t="str">
        <f t="shared" si="48"/>
        <v>Emerging market debt</v>
      </c>
      <c r="S66" s="49">
        <f t="shared" si="49"/>
        <v>3.4757953631602951E-5</v>
      </c>
      <c r="T66" s="49">
        <f t="shared" si="50"/>
        <v>9.6434289656626543E-4</v>
      </c>
      <c r="U66" s="49">
        <f t="shared" si="51"/>
        <v>4.0544078194000143E-4</v>
      </c>
      <c r="AA66" s="49"/>
      <c r="AB66" s="49"/>
      <c r="AC66" s="49"/>
      <c r="AD66" s="49"/>
      <c r="AF66" s="67"/>
      <c r="AG66" s="67"/>
      <c r="AH66" s="67"/>
      <c r="AJ66" s="49"/>
    </row>
    <row r="67" spans="1:36">
      <c r="A67" s="56" t="str">
        <f t="shared" si="47"/>
        <v>Aandelen ontwikkeld</v>
      </c>
      <c r="B67" s="1">
        <v>2.0654278236737939E-4</v>
      </c>
      <c r="C67" s="51">
        <v>3.8524857084667823E-4</v>
      </c>
      <c r="D67" s="52">
        <v>1.1432639917064061E-6</v>
      </c>
      <c r="E67" s="1">
        <v>3.3852800707655589E-5</v>
      </c>
      <c r="F67" s="53">
        <v>2.5230306391114607E-4</v>
      </c>
      <c r="G67" s="2">
        <v>-2.2006136680849464E-3</v>
      </c>
      <c r="H67" s="2">
        <v>-1.744830326574907E-3</v>
      </c>
      <c r="I67" s="2">
        <v>0.28927324840732521</v>
      </c>
      <c r="J67" s="2">
        <v>-0.10565335594380511</v>
      </c>
      <c r="K67" s="2">
        <v>1</v>
      </c>
      <c r="L67" s="2">
        <v>-0.70772720502460207</v>
      </c>
      <c r="M67" s="2">
        <v>-0.41695151794521396</v>
      </c>
      <c r="N67" s="2">
        <v>-0.12239767899261142</v>
      </c>
      <c r="O67" s="54">
        <v>0.99999999999998401</v>
      </c>
      <c r="R67" s="48" t="str">
        <f t="shared" si="48"/>
        <v>Aandelen ontwikkeld</v>
      </c>
      <c r="S67" s="49">
        <f t="shared" si="49"/>
        <v>1.1432639917064061E-6</v>
      </c>
      <c r="T67" s="49">
        <f t="shared" si="50"/>
        <v>2.05399518375673E-4</v>
      </c>
      <c r="U67" s="49">
        <f t="shared" si="51"/>
        <v>4.5760281543766676E-5</v>
      </c>
      <c r="AA67" s="49"/>
      <c r="AB67" s="49"/>
      <c r="AC67" s="49"/>
      <c r="AD67" s="49"/>
      <c r="AF67" s="67"/>
      <c r="AG67" s="67"/>
      <c r="AH67" s="67"/>
      <c r="AJ67" s="49"/>
    </row>
    <row r="68" spans="1:36">
      <c r="A68" s="56" t="str">
        <f t="shared" si="47"/>
        <v>Aandelen opkomend</v>
      </c>
      <c r="B68" s="1">
        <v>2.7009397390561919E-4</v>
      </c>
      <c r="C68" s="51">
        <v>4.4671302991167714E-4</v>
      </c>
      <c r="D68" s="52">
        <v>3.2757063745588116E-6</v>
      </c>
      <c r="E68" s="1">
        <v>6.3825309747974008E-5</v>
      </c>
      <c r="F68" s="53">
        <v>3.3906694774508723E-4</v>
      </c>
      <c r="G68" s="2">
        <v>-2.229176412229638E-2</v>
      </c>
      <c r="H68" s="2">
        <v>3.7496791563830373E-2</v>
      </c>
      <c r="I68" s="2">
        <v>0.77292127955106404</v>
      </c>
      <c r="J68" s="2">
        <v>-0.74577430624662611</v>
      </c>
      <c r="K68" s="2">
        <v>-0.90760250222045935</v>
      </c>
      <c r="L68" s="2">
        <v>-0.3421909938400256</v>
      </c>
      <c r="M68" s="2">
        <v>-1.0649354048439823E-2</v>
      </c>
      <c r="N68" s="2">
        <v>-0.14026403052194808</v>
      </c>
      <c r="O68" s="54">
        <v>0.99999999999996381</v>
      </c>
      <c r="R68" s="48" t="str">
        <f t="shared" si="48"/>
        <v>Aandelen opkomend</v>
      </c>
      <c r="S68" s="49">
        <f t="shared" si="49"/>
        <v>3.2757063745588116E-6</v>
      </c>
      <c r="T68" s="49">
        <f t="shared" si="50"/>
        <v>2.6681826753106039E-4</v>
      </c>
      <c r="U68" s="49">
        <f t="shared" si="51"/>
        <v>6.897297383946804E-5</v>
      </c>
      <c r="AA68" s="49"/>
      <c r="AB68" s="49"/>
      <c r="AC68" s="49"/>
      <c r="AD68" s="49"/>
      <c r="AF68" s="67"/>
      <c r="AG68" s="67"/>
      <c r="AH68" s="67"/>
      <c r="AJ68" s="49"/>
    </row>
    <row r="69" spans="1:36">
      <c r="A69" s="56" t="str">
        <f t="shared" si="47"/>
        <v>Commodities</v>
      </c>
      <c r="B69" s="1">
        <v>1.8231796099816761E-4</v>
      </c>
      <c r="C69" s="51">
        <v>3.6089922511068256E-4</v>
      </c>
      <c r="D69" s="52">
        <v>8.7590494252769134E-7</v>
      </c>
      <c r="E69" s="1">
        <v>2.3786005316102612E-5</v>
      </c>
      <c r="F69" s="53">
        <v>1.7719321451594209E-4</v>
      </c>
      <c r="G69" s="2">
        <v>1.3030468861097193E-2</v>
      </c>
      <c r="H69" s="2">
        <v>-1.5948875637467858E-2</v>
      </c>
      <c r="I69" s="2">
        <v>0.26860724494395705</v>
      </c>
      <c r="J69" s="2">
        <v>-6.0883489571108104E-2</v>
      </c>
      <c r="K69" s="2">
        <v>0.47758804663823523</v>
      </c>
      <c r="L69" s="2">
        <v>7.7842992197941219E-2</v>
      </c>
      <c r="M69" s="2">
        <v>1</v>
      </c>
      <c r="N69" s="2">
        <v>-0.16251102438476744</v>
      </c>
      <c r="O69" s="54">
        <v>1</v>
      </c>
      <c r="R69" s="48" t="str">
        <f t="shared" si="48"/>
        <v>Commodities</v>
      </c>
      <c r="S69" s="49">
        <f t="shared" si="49"/>
        <v>8.7590494252769134E-7</v>
      </c>
      <c r="T69" s="49">
        <f t="shared" si="50"/>
        <v>1.8144205605563992E-4</v>
      </c>
      <c r="U69" s="49">
        <f t="shared" si="51"/>
        <v>-5.1247464822255209E-6</v>
      </c>
      <c r="AA69" s="49"/>
      <c r="AB69" s="49"/>
      <c r="AC69" s="49"/>
      <c r="AD69" s="49"/>
      <c r="AF69" s="67"/>
      <c r="AG69" s="67"/>
      <c r="AH69" s="67"/>
      <c r="AJ69" s="49"/>
    </row>
    <row r="70" spans="1:36">
      <c r="A70" s="56" t="str">
        <f t="shared" si="47"/>
        <v>Hedge funds</v>
      </c>
      <c r="B70" s="1">
        <v>9.7148115284646744E-2</v>
      </c>
      <c r="C70" s="51">
        <v>1.8354561100035467E-3</v>
      </c>
      <c r="D70" s="52">
        <v>9.5898839634817629E-2</v>
      </c>
      <c r="E70" s="1">
        <v>9.7200173942060486E-2</v>
      </c>
      <c r="F70" s="53">
        <v>9.8443133076617798E-2</v>
      </c>
      <c r="G70" s="2">
        <v>1</v>
      </c>
      <c r="H70" s="2">
        <v>-8.1200985947366661E-2</v>
      </c>
      <c r="I70" s="2">
        <v>-0.93740728490209513</v>
      </c>
      <c r="J70" s="2">
        <v>7.0416570975023754E-2</v>
      </c>
      <c r="K70" s="2">
        <v>-0.20210123563885884</v>
      </c>
      <c r="L70" s="2">
        <v>-1.7808673039060072E-2</v>
      </c>
      <c r="M70" s="2">
        <v>-5.2679097833441622E-2</v>
      </c>
      <c r="N70" s="2">
        <v>-0.12061029157191432</v>
      </c>
      <c r="O70" s="54">
        <v>0.99999999999997624</v>
      </c>
      <c r="R70" s="48" t="str">
        <f t="shared" si="48"/>
        <v>Hedge funds</v>
      </c>
      <c r="S70" s="49">
        <f t="shared" si="49"/>
        <v>9.5898839634817629E-2</v>
      </c>
      <c r="T70" s="49">
        <f t="shared" si="50"/>
        <v>1.2492756498291152E-3</v>
      </c>
      <c r="U70" s="49">
        <f t="shared" si="51"/>
        <v>1.2950177919710537E-3</v>
      </c>
    </row>
    <row r="71" spans="1:36">
      <c r="A71" s="56" t="str">
        <f t="shared" si="47"/>
        <v>Onroerend goed</v>
      </c>
      <c r="B71" s="1">
        <v>2.1547198790511935E-4</v>
      </c>
      <c r="C71" s="51">
        <v>3.892022124120149E-4</v>
      </c>
      <c r="D71" s="52">
        <v>1.690338987379399E-6</v>
      </c>
      <c r="E71" s="1">
        <v>4.4702307207965379E-5</v>
      </c>
      <c r="F71" s="53">
        <v>2.3986481862234282E-4</v>
      </c>
      <c r="G71" s="2">
        <v>1.5287907860208005E-2</v>
      </c>
      <c r="H71" s="2">
        <v>-1.5659426306678143E-3</v>
      </c>
      <c r="I71" s="2">
        <v>0.45291543432546083</v>
      </c>
      <c r="J71" s="2">
        <v>-0.32064436344312586</v>
      </c>
      <c r="K71" s="2">
        <v>0.35690789792150324</v>
      </c>
      <c r="L71" s="2">
        <v>1</v>
      </c>
      <c r="M71" s="2">
        <v>-0.37647962146282521</v>
      </c>
      <c r="N71" s="2">
        <v>-0.10136519579638577</v>
      </c>
      <c r="O71" s="54">
        <v>0.999999999999994</v>
      </c>
      <c r="R71" s="48" t="str">
        <f t="shared" ref="R71" si="52">A71</f>
        <v>Onroerend goed</v>
      </c>
      <c r="S71" s="49">
        <f t="shared" ref="S71" si="53">D71</f>
        <v>1.690338987379399E-6</v>
      </c>
      <c r="T71" s="49">
        <f t="shared" ref="T71" si="54">B71-D71</f>
        <v>2.1378164891773996E-4</v>
      </c>
      <c r="U71" s="49">
        <f t="shared" ref="U71" si="55">F71-B71</f>
        <v>2.4392830717223478E-5</v>
      </c>
    </row>
    <row r="72" spans="1:36">
      <c r="A72" s="57" t="str">
        <f t="shared" ref="A72" si="56">A60</f>
        <v>Periferie bonds</v>
      </c>
      <c r="B72" s="58">
        <v>9.8372655256436458E-5</v>
      </c>
      <c r="C72" s="59">
        <v>1.9243097488392876E-4</v>
      </c>
      <c r="D72" s="60">
        <v>4.0294616341998916E-7</v>
      </c>
      <c r="E72" s="58">
        <v>1.4720045906961983E-5</v>
      </c>
      <c r="F72" s="61">
        <v>1.134183829831098E-4</v>
      </c>
      <c r="G72" s="62">
        <v>1.7277825366517399E-3</v>
      </c>
      <c r="H72" s="62">
        <v>6.0272767049769551E-3</v>
      </c>
      <c r="I72" s="62">
        <v>1.4089964773235458E-2</v>
      </c>
      <c r="J72" s="62">
        <v>-1.5124633144939795E-2</v>
      </c>
      <c r="K72" s="62">
        <v>-5.8366965789014073E-5</v>
      </c>
      <c r="L72" s="62">
        <v>-2.135165270050474E-2</v>
      </c>
      <c r="M72" s="62">
        <v>4.367315078890182E-2</v>
      </c>
      <c r="N72" s="62">
        <v>1</v>
      </c>
      <c r="O72" s="63">
        <v>0.9999999999999718</v>
      </c>
      <c r="R72" s="48" t="str">
        <f t="shared" si="48"/>
        <v>Periferie bonds</v>
      </c>
      <c r="S72" s="49">
        <f t="shared" si="49"/>
        <v>4.0294616341998916E-7</v>
      </c>
      <c r="T72" s="49">
        <f t="shared" si="50"/>
        <v>9.7969709093016465E-5</v>
      </c>
      <c r="U72" s="49">
        <f t="shared" si="51"/>
        <v>1.5045727726673344E-5</v>
      </c>
    </row>
    <row r="75" spans="1:36">
      <c r="A75" s="239" t="str">
        <f>Optimalisatie!A12</f>
        <v>Bull case</v>
      </c>
      <c r="B75" s="240" t="s">
        <v>1</v>
      </c>
      <c r="C75" s="241" t="s">
        <v>2</v>
      </c>
      <c r="D75" s="242">
        <v>0.25</v>
      </c>
      <c r="E75" s="243">
        <v>0.5</v>
      </c>
      <c r="F75" s="244">
        <v>0.75</v>
      </c>
      <c r="G75" s="245">
        <v>0.543533157463294</v>
      </c>
      <c r="H75" s="245">
        <v>0.26555241476941749</v>
      </c>
      <c r="I75" s="245">
        <v>0.13523607714032093</v>
      </c>
      <c r="J75" s="245">
        <v>4.4715242231219365E-2</v>
      </c>
      <c r="K75" s="245">
        <v>6.0700731898696292E-3</v>
      </c>
      <c r="L75" s="245">
        <v>3.944973250137096E-3</v>
      </c>
      <c r="M75" s="245">
        <v>6.6973053957242179E-4</v>
      </c>
      <c r="N75" s="245">
        <v>2.7833141617317203E-4</v>
      </c>
      <c r="O75" s="246">
        <v>0</v>
      </c>
      <c r="R75" s="48" t="str">
        <f>A75</f>
        <v>Bull case</v>
      </c>
      <c r="S75" s="48"/>
      <c r="T75" s="49"/>
      <c r="U75" s="48"/>
      <c r="AA75" s="49"/>
      <c r="AB75" s="49"/>
      <c r="AC75" s="49"/>
      <c r="AD75" s="49"/>
    </row>
    <row r="76" spans="1:36">
      <c r="A76" s="56" t="str">
        <f t="shared" ref="A76:A83" si="57">A64</f>
        <v>Nominale matching</v>
      </c>
      <c r="B76" s="1">
        <v>0.73224612678306855</v>
      </c>
      <c r="C76" s="51">
        <v>1.420729043639749E-2</v>
      </c>
      <c r="D76" s="52">
        <v>0.72169873722084021</v>
      </c>
      <c r="E76" s="1">
        <v>0.73166243120810326</v>
      </c>
      <c r="F76" s="53">
        <v>0.74113379438877913</v>
      </c>
      <c r="G76" s="65">
        <v>4.7209247918758503E-2</v>
      </c>
      <c r="H76" s="65">
        <v>-0.4220516385018025</v>
      </c>
      <c r="I76" s="65">
        <v>-0.43769462873218851</v>
      </c>
      <c r="J76" s="65">
        <v>-0.28857500847796119</v>
      </c>
      <c r="K76" s="65">
        <v>0.2899648834596027</v>
      </c>
      <c r="L76" s="65">
        <v>2.6255726415284876E-2</v>
      </c>
      <c r="M76" s="2">
        <v>1</v>
      </c>
      <c r="N76" s="2">
        <v>-0.16970362827086785</v>
      </c>
      <c r="O76" s="54">
        <v>1</v>
      </c>
      <c r="R76" s="48" t="str">
        <f>A76</f>
        <v>Nominale matching</v>
      </c>
      <c r="S76" s="49">
        <f>D76</f>
        <v>0.72169873722084021</v>
      </c>
      <c r="T76" s="49">
        <f>B76-D76</f>
        <v>1.0547389562228338E-2</v>
      </c>
      <c r="U76" s="49">
        <f>F76-B76</f>
        <v>8.8876676057105808E-3</v>
      </c>
      <c r="AA76" s="49"/>
      <c r="AB76" s="49"/>
      <c r="AC76" s="49"/>
      <c r="AD76" s="49"/>
    </row>
    <row r="77" spans="1:36">
      <c r="A77" s="56" t="str">
        <f t="shared" si="57"/>
        <v>High Yield</v>
      </c>
      <c r="B77" s="1">
        <v>2.3033250683851248E-2</v>
      </c>
      <c r="C77" s="51">
        <v>2.3173266930175129E-2</v>
      </c>
      <c r="D77" s="52">
        <v>5.2110991923626487E-3</v>
      </c>
      <c r="E77" s="1">
        <v>1.552971813888449E-2</v>
      </c>
      <c r="F77" s="53">
        <v>3.2857406451299628E-2</v>
      </c>
      <c r="G77" s="65">
        <v>-6.6392168258384163E-2</v>
      </c>
      <c r="H77" s="65">
        <v>-0.44862131130545546</v>
      </c>
      <c r="I77" s="65">
        <v>1</v>
      </c>
      <c r="J77" s="65">
        <v>-8.5756141155841223E-2</v>
      </c>
      <c r="K77" s="65">
        <v>-0.21409244067873293</v>
      </c>
      <c r="L77" s="65">
        <v>-3.0748153177528104E-2</v>
      </c>
      <c r="M77" s="2">
        <v>0.1773093122863541</v>
      </c>
      <c r="N77" s="2">
        <v>-0.1329604463856863</v>
      </c>
      <c r="O77" s="54">
        <v>0.99999999999996414</v>
      </c>
      <c r="R77" s="48" t="str">
        <f t="shared" ref="R77:R84" si="58">A77</f>
        <v>High Yield</v>
      </c>
      <c r="S77" s="49">
        <f t="shared" ref="S77:S84" si="59">D77</f>
        <v>5.2110991923626487E-3</v>
      </c>
      <c r="T77" s="49">
        <f t="shared" ref="T77:T84" si="60">B77-D77</f>
        <v>1.7822151491488601E-2</v>
      </c>
      <c r="U77" s="49">
        <f t="shared" ref="U77:U84" si="61">F77-B77</f>
        <v>9.8241557674483802E-3</v>
      </c>
      <c r="AA77" s="49"/>
      <c r="AB77" s="49"/>
      <c r="AC77" s="49"/>
      <c r="AD77" s="49"/>
    </row>
    <row r="78" spans="1:36">
      <c r="A78" s="56" t="str">
        <f t="shared" si="57"/>
        <v>Emerging market debt</v>
      </c>
      <c r="B78" s="1">
        <v>1.1753176040780921E-2</v>
      </c>
      <c r="C78" s="51">
        <v>1.2833948946615109E-2</v>
      </c>
      <c r="D78" s="52">
        <v>1.4530619374509605E-3</v>
      </c>
      <c r="E78" s="1">
        <v>7.3254403605672539E-3</v>
      </c>
      <c r="F78" s="53">
        <v>1.8750137942586821E-2</v>
      </c>
      <c r="G78" s="65">
        <v>-2.4494710993951226E-2</v>
      </c>
      <c r="H78" s="65">
        <v>-2.8570701771962189E-2</v>
      </c>
      <c r="I78" s="65">
        <v>-0.13586521360110715</v>
      </c>
      <c r="J78" s="65">
        <v>1</v>
      </c>
      <c r="K78" s="65">
        <v>-0.20910634738550299</v>
      </c>
      <c r="L78" s="65">
        <v>-2.7554647005255027E-2</v>
      </c>
      <c r="M78" s="2">
        <v>0.15835662792825675</v>
      </c>
      <c r="N78" s="2">
        <v>-0.1387135017123946</v>
      </c>
      <c r="O78" s="54">
        <v>0.99999999999996347</v>
      </c>
      <c r="R78" s="48" t="str">
        <f t="shared" si="58"/>
        <v>Emerging market debt</v>
      </c>
      <c r="S78" s="49">
        <f t="shared" si="59"/>
        <v>1.4530619374509605E-3</v>
      </c>
      <c r="T78" s="49">
        <f t="shared" si="60"/>
        <v>1.030011410332996E-2</v>
      </c>
      <c r="U78" s="49">
        <f t="shared" si="61"/>
        <v>6.9969619018059002E-3</v>
      </c>
      <c r="AA78" s="49"/>
      <c r="AB78" s="49"/>
      <c r="AC78" s="49"/>
      <c r="AD78" s="49"/>
    </row>
    <row r="79" spans="1:36">
      <c r="A79" s="56" t="str">
        <f t="shared" si="57"/>
        <v>Aandelen ontwikkeld</v>
      </c>
      <c r="B79" s="1">
        <v>2.9118679221071153E-3</v>
      </c>
      <c r="C79" s="51">
        <v>4.1242891499064793E-3</v>
      </c>
      <c r="D79" s="52">
        <v>1.3623588598915141E-4</v>
      </c>
      <c r="E79" s="1">
        <v>1.0793957861442586E-3</v>
      </c>
      <c r="F79" s="53">
        <v>4.2079984209093743E-3</v>
      </c>
      <c r="G79" s="65">
        <v>1.7913487611224705E-4</v>
      </c>
      <c r="H79" s="65">
        <v>-1.689569025645302E-2</v>
      </c>
      <c r="I79" s="65">
        <v>-1.4454277119568343E-2</v>
      </c>
      <c r="J79" s="65">
        <v>-1.5382901829068924E-2</v>
      </c>
      <c r="K79" s="65">
        <v>1</v>
      </c>
      <c r="L79" s="65">
        <v>-0.74991816661348676</v>
      </c>
      <c r="M79" s="2">
        <v>-0.46470003176242169</v>
      </c>
      <c r="N79" s="2">
        <v>-9.5414575359871384E-2</v>
      </c>
      <c r="O79" s="54">
        <v>0.9999999999999355</v>
      </c>
      <c r="R79" s="48" t="str">
        <f t="shared" si="58"/>
        <v>Aandelen ontwikkeld</v>
      </c>
      <c r="S79" s="49">
        <f t="shared" si="59"/>
        <v>1.3623588598915141E-4</v>
      </c>
      <c r="T79" s="49">
        <f t="shared" si="60"/>
        <v>2.7756320361179638E-3</v>
      </c>
      <c r="U79" s="49">
        <f t="shared" si="61"/>
        <v>1.296130498802259E-3</v>
      </c>
      <c r="AA79" s="49"/>
      <c r="AB79" s="49"/>
      <c r="AC79" s="49"/>
      <c r="AD79" s="49"/>
    </row>
    <row r="80" spans="1:36">
      <c r="A80" s="56" t="str">
        <f t="shared" si="57"/>
        <v>Aandelen opkomend</v>
      </c>
      <c r="B80" s="1">
        <v>2.6413930575733538E-3</v>
      </c>
      <c r="C80" s="51">
        <v>3.8653236673515468E-3</v>
      </c>
      <c r="D80" s="52">
        <v>1.5867355020101134E-4</v>
      </c>
      <c r="E80" s="1">
        <v>1.0748477484738153E-3</v>
      </c>
      <c r="F80" s="53">
        <v>3.5017552812290314E-3</v>
      </c>
      <c r="G80" s="65">
        <v>-1.8368379816225576E-3</v>
      </c>
      <c r="H80" s="65">
        <v>-1.5763018621395859E-2</v>
      </c>
      <c r="I80" s="65">
        <v>-2.1970490906348786E-2</v>
      </c>
      <c r="J80" s="65">
        <v>-2.523328314934481E-2</v>
      </c>
      <c r="K80" s="65">
        <v>0.59623911155691833</v>
      </c>
      <c r="L80" s="65">
        <v>1</v>
      </c>
      <c r="M80" s="2">
        <v>-0.43852575345094014</v>
      </c>
      <c r="N80" s="2">
        <v>-0.10238911644196159</v>
      </c>
      <c r="O80" s="54">
        <v>0.99999999999993638</v>
      </c>
      <c r="R80" s="48" t="str">
        <f t="shared" si="58"/>
        <v>Aandelen opkomend</v>
      </c>
      <c r="S80" s="49">
        <f t="shared" si="59"/>
        <v>1.5867355020101134E-4</v>
      </c>
      <c r="T80" s="49">
        <f t="shared" si="60"/>
        <v>2.4827195073723425E-3</v>
      </c>
      <c r="U80" s="49">
        <f t="shared" si="61"/>
        <v>8.6036222365567768E-4</v>
      </c>
      <c r="AA80" s="49"/>
      <c r="AB80" s="49"/>
      <c r="AC80" s="49"/>
      <c r="AD80" s="49"/>
    </row>
    <row r="81" spans="1:36">
      <c r="A81" s="56" t="str">
        <f t="shared" si="57"/>
        <v>Commodities</v>
      </c>
      <c r="B81" s="1">
        <v>4.6957294258510564E-2</v>
      </c>
      <c r="C81" s="51">
        <v>2.0008687388065532E-2</v>
      </c>
      <c r="D81" s="52">
        <v>3.2881841263445177E-2</v>
      </c>
      <c r="E81" s="1">
        <v>4.7421573024412605E-2</v>
      </c>
      <c r="F81" s="53">
        <v>6.070431581637447E-2</v>
      </c>
      <c r="G81" s="65">
        <v>-0.30461168278481643</v>
      </c>
      <c r="H81" s="65">
        <v>-0.54440116513580594</v>
      </c>
      <c r="I81" s="65">
        <v>-0.41413590982844228</v>
      </c>
      <c r="J81" s="65">
        <v>-0.24081260892691422</v>
      </c>
      <c r="K81" s="65">
        <v>-0.82610424139938821</v>
      </c>
      <c r="L81" s="65">
        <v>-0.1211432901721796</v>
      </c>
      <c r="M81" s="2">
        <v>-0.61830715766123212</v>
      </c>
      <c r="N81" s="2">
        <v>-0.10038504412742039</v>
      </c>
      <c r="O81" s="54">
        <v>0.99999999999992994</v>
      </c>
      <c r="R81" s="48" t="str">
        <f t="shared" si="58"/>
        <v>Commodities</v>
      </c>
      <c r="S81" s="49">
        <f t="shared" si="59"/>
        <v>3.2881841263445177E-2</v>
      </c>
      <c r="T81" s="49">
        <f t="shared" si="60"/>
        <v>1.4075452995065386E-2</v>
      </c>
      <c r="U81" s="49">
        <f t="shared" si="61"/>
        <v>1.3747021557863906E-2</v>
      </c>
      <c r="AA81" s="49"/>
      <c r="AB81" s="49"/>
      <c r="AC81" s="49"/>
      <c r="AD81" s="49"/>
    </row>
    <row r="82" spans="1:36">
      <c r="A82" s="56" t="str">
        <f t="shared" si="57"/>
        <v>Hedge funds</v>
      </c>
      <c r="B82" s="1">
        <v>3.8620787004996195E-2</v>
      </c>
      <c r="C82" s="51">
        <v>3.504677995858415E-2</v>
      </c>
      <c r="D82" s="52">
        <v>8.9038041476021818E-3</v>
      </c>
      <c r="E82" s="1">
        <v>2.8700400841757411E-2</v>
      </c>
      <c r="F82" s="53">
        <v>6.1250118788528249E-2</v>
      </c>
      <c r="G82" s="65">
        <v>-0.65071586000120596</v>
      </c>
      <c r="H82" s="65">
        <v>1</v>
      </c>
      <c r="I82" s="65">
        <v>4.1344798357376714E-2</v>
      </c>
      <c r="J82" s="65">
        <v>-0.18647348079542717</v>
      </c>
      <c r="K82" s="65">
        <v>-0.20515452836397172</v>
      </c>
      <c r="L82" s="65">
        <v>-3.6617285152088494E-2</v>
      </c>
      <c r="M82" s="2">
        <v>0.19811263508016111</v>
      </c>
      <c r="N82" s="2">
        <v>-0.13618798956395664</v>
      </c>
      <c r="O82" s="54">
        <v>0.99999999999996514</v>
      </c>
      <c r="R82" s="48" t="str">
        <f t="shared" si="58"/>
        <v>Hedge funds</v>
      </c>
      <c r="S82" s="49">
        <f t="shared" si="59"/>
        <v>8.9038041476021818E-3</v>
      </c>
      <c r="T82" s="49">
        <f t="shared" si="60"/>
        <v>2.9716982857394013E-2</v>
      </c>
      <c r="U82" s="49">
        <f t="shared" si="61"/>
        <v>2.2629331783532054E-2</v>
      </c>
    </row>
    <row r="83" spans="1:36">
      <c r="A83" s="56" t="str">
        <f t="shared" si="57"/>
        <v>Onroerend goed</v>
      </c>
      <c r="B83" s="1">
        <v>0.14115532165673747</v>
      </c>
      <c r="C83" s="51">
        <v>4.0465974747730414E-2</v>
      </c>
      <c r="D83" s="52">
        <v>0.11182263634040499</v>
      </c>
      <c r="E83" s="1">
        <v>0.13842017938403045</v>
      </c>
      <c r="F83" s="53">
        <v>0.1686603042300755</v>
      </c>
      <c r="G83" s="65">
        <v>1</v>
      </c>
      <c r="H83" s="65">
        <v>0.47429761557243955</v>
      </c>
      <c r="I83" s="65">
        <v>-1.5556158225455585E-2</v>
      </c>
      <c r="J83" s="65">
        <v>-0.16231761212180079</v>
      </c>
      <c r="K83" s="65">
        <v>-0.41723771617657429</v>
      </c>
      <c r="L83" s="65">
        <v>-6.2715446225486179E-2</v>
      </c>
      <c r="M83" s="2">
        <v>-9.1761914758204124E-2</v>
      </c>
      <c r="N83" s="2">
        <v>-0.12424569813778545</v>
      </c>
      <c r="O83" s="54">
        <v>0.99999999999995326</v>
      </c>
      <c r="R83" s="48" t="str">
        <f t="shared" ref="R83" si="62">A83</f>
        <v>Onroerend goed</v>
      </c>
      <c r="S83" s="49">
        <f t="shared" ref="S83" si="63">D83</f>
        <v>0.11182263634040499</v>
      </c>
      <c r="T83" s="49">
        <f t="shared" ref="T83" si="64">B83-D83</f>
        <v>2.9332685316332485E-2</v>
      </c>
      <c r="U83" s="49">
        <f t="shared" ref="U83" si="65">F83-B83</f>
        <v>2.7504982573338027E-2</v>
      </c>
    </row>
    <row r="84" spans="1:36">
      <c r="A84" s="57" t="str">
        <f t="shared" ref="A84" si="66">A72</f>
        <v>Periferie bonds</v>
      </c>
      <c r="B84" s="58">
        <v>6.8078259237444236E-4</v>
      </c>
      <c r="C84" s="59">
        <v>1.0270145958346101E-3</v>
      </c>
      <c r="D84" s="60">
        <v>1.4736574121463165E-5</v>
      </c>
      <c r="E84" s="58">
        <v>1.9065127034838754E-4</v>
      </c>
      <c r="F84" s="61">
        <v>9.2123812740919106E-4</v>
      </c>
      <c r="G84" s="66">
        <v>6.6287722510935659E-4</v>
      </c>
      <c r="H84" s="66">
        <v>2.0059100204349264E-3</v>
      </c>
      <c r="I84" s="66">
        <v>-1.66811994426611E-3</v>
      </c>
      <c r="J84" s="66">
        <v>4.5510364563580499E-3</v>
      </c>
      <c r="K84" s="66">
        <v>-1.4508721012350038E-2</v>
      </c>
      <c r="L84" s="66">
        <v>2.441261930739624E-3</v>
      </c>
      <c r="M84" s="62">
        <v>7.9516282337947553E-2</v>
      </c>
      <c r="N84" s="62">
        <v>1</v>
      </c>
      <c r="O84" s="63">
        <v>0.99999999999990308</v>
      </c>
      <c r="R84" s="48" t="str">
        <f t="shared" si="58"/>
        <v>Periferie bonds</v>
      </c>
      <c r="S84" s="49">
        <f t="shared" si="59"/>
        <v>1.4736574121463165E-5</v>
      </c>
      <c r="T84" s="49">
        <f t="shared" si="60"/>
        <v>6.6604601825297921E-4</v>
      </c>
      <c r="U84" s="49">
        <f t="shared" si="61"/>
        <v>2.404555350347487E-4</v>
      </c>
    </row>
    <row r="85" spans="1:36">
      <c r="A85" s="64"/>
      <c r="B85" s="1"/>
      <c r="C85" s="1"/>
      <c r="D85" s="1"/>
      <c r="E85" s="1"/>
      <c r="F85" s="65"/>
      <c r="G85" s="65"/>
      <c r="H85" s="65"/>
      <c r="I85" s="65"/>
      <c r="J85" s="65"/>
      <c r="K85" s="65"/>
      <c r="L85" s="65"/>
      <c r="M85" s="65"/>
      <c r="N85" s="65"/>
      <c r="O85" s="65"/>
    </row>
    <row r="86" spans="1:36">
      <c r="D86" s="327" t="s">
        <v>64</v>
      </c>
      <c r="E86" s="328"/>
      <c r="F86" s="329"/>
      <c r="G86" s="327" t="s">
        <v>65</v>
      </c>
      <c r="H86" s="328"/>
      <c r="I86" s="328"/>
      <c r="J86" s="328"/>
      <c r="K86" s="328"/>
      <c r="L86" s="328"/>
      <c r="M86" s="328"/>
      <c r="N86" s="328"/>
      <c r="O86" s="329"/>
    </row>
    <row r="87" spans="1:36">
      <c r="A87" s="239" t="str">
        <f>Optimalisatie!A13</f>
        <v>Kansgewogen</v>
      </c>
      <c r="B87" s="240" t="s">
        <v>1</v>
      </c>
      <c r="C87" s="241" t="s">
        <v>2</v>
      </c>
      <c r="D87" s="242">
        <v>0.25</v>
      </c>
      <c r="E87" s="243">
        <v>0.5</v>
      </c>
      <c r="F87" s="244">
        <v>0.75</v>
      </c>
      <c r="G87" s="245">
        <v>0.45326472730560385</v>
      </c>
      <c r="H87" s="245">
        <v>0.380587534343516</v>
      </c>
      <c r="I87" s="245">
        <v>0.1367596347077995</v>
      </c>
      <c r="J87" s="245">
        <v>1.3771605061204228E-2</v>
      </c>
      <c r="K87" s="245">
        <v>8.9073827435858233E-3</v>
      </c>
      <c r="L87" s="245">
        <v>6.7091158382912575E-3</v>
      </c>
      <c r="M87" s="245">
        <v>0</v>
      </c>
      <c r="N87" s="245" t="s">
        <v>138</v>
      </c>
      <c r="O87" s="246" t="s">
        <v>138</v>
      </c>
      <c r="R87" s="48" t="str">
        <f>A87</f>
        <v>Kansgewogen</v>
      </c>
      <c r="S87" s="48"/>
      <c r="T87" s="49"/>
      <c r="U87" s="48"/>
      <c r="AA87" s="49"/>
      <c r="AB87" s="49"/>
      <c r="AC87" s="49"/>
      <c r="AD87" s="49"/>
      <c r="AF87" s="67"/>
      <c r="AG87" s="67"/>
      <c r="AH87" s="67"/>
      <c r="AJ87" s="49"/>
    </row>
    <row r="88" spans="1:36">
      <c r="A88" s="50" t="str">
        <f t="shared" ref="A88:A95" si="67">A76</f>
        <v>Nominale matching</v>
      </c>
      <c r="B88" s="258">
        <v>0.56614837782291871</v>
      </c>
      <c r="C88" s="51">
        <v>1.4397971168923098E-2</v>
      </c>
      <c r="D88" s="52">
        <v>0.55574686295980258</v>
      </c>
      <c r="E88" s="1">
        <v>0.5641848495485372</v>
      </c>
      <c r="F88" s="53">
        <v>0.57646363665316236</v>
      </c>
      <c r="G88" s="2">
        <v>-0.45135466473619307</v>
      </c>
      <c r="H88" s="2">
        <v>0.31022332218966858</v>
      </c>
      <c r="I88" s="2">
        <v>-0.35901734997669743</v>
      </c>
      <c r="J88" s="2">
        <v>5.3927833813371483E-2</v>
      </c>
      <c r="K88" s="2">
        <v>1</v>
      </c>
      <c r="L88" s="2">
        <v>-0.14050649206467625</v>
      </c>
      <c r="M88" s="2">
        <v>0.99999999999998967</v>
      </c>
      <c r="N88" s="2" t="s">
        <v>138</v>
      </c>
      <c r="O88" s="54" t="s">
        <v>138</v>
      </c>
      <c r="R88" s="48" t="str">
        <f>A88</f>
        <v>Nominale matching</v>
      </c>
      <c r="S88" s="49">
        <f>D88</f>
        <v>0.55574686295980258</v>
      </c>
      <c r="T88" s="49">
        <f>B88-D88</f>
        <v>1.0401514863116135E-2</v>
      </c>
      <c r="U88" s="49">
        <f>F88-B88</f>
        <v>1.0315258830243645E-2</v>
      </c>
      <c r="AA88" s="49"/>
      <c r="AB88" s="49"/>
      <c r="AC88" s="49"/>
      <c r="AD88" s="49"/>
      <c r="AF88" s="67"/>
      <c r="AG88" s="67"/>
      <c r="AH88" s="67"/>
      <c r="AJ88" s="49"/>
    </row>
    <row r="89" spans="1:36">
      <c r="A89" s="56" t="str">
        <f t="shared" si="67"/>
        <v>High Yield</v>
      </c>
      <c r="B89" s="258">
        <v>0.10501742960356247</v>
      </c>
      <c r="C89" s="51">
        <v>2.6437821349852404E-2</v>
      </c>
      <c r="D89" s="52">
        <v>8.4101930206941483E-2</v>
      </c>
      <c r="E89" s="1">
        <v>0.10786341492677896</v>
      </c>
      <c r="F89" s="53">
        <v>0.12720227907961881</v>
      </c>
      <c r="G89" s="2">
        <v>1</v>
      </c>
      <c r="H89" s="2">
        <v>-0.40963101263251028</v>
      </c>
      <c r="I89" s="2">
        <v>-0.30057591455307181</v>
      </c>
      <c r="J89" s="2">
        <v>-0.19640800002662931</v>
      </c>
      <c r="K89" s="2">
        <v>0.19962728809154273</v>
      </c>
      <c r="L89" s="2">
        <v>-0.17039305142733335</v>
      </c>
      <c r="M89" s="2">
        <v>0.99999999999999434</v>
      </c>
      <c r="N89" s="2" t="s">
        <v>138</v>
      </c>
      <c r="O89" s="54" t="s">
        <v>138</v>
      </c>
      <c r="R89" s="48" t="str">
        <f t="shared" ref="R89:R96" si="68">A89</f>
        <v>High Yield</v>
      </c>
      <c r="S89" s="49">
        <f t="shared" ref="S89:S96" si="69">D89</f>
        <v>8.4101930206941483E-2</v>
      </c>
      <c r="T89" s="49">
        <f t="shared" ref="T89:T96" si="70">B89-D89</f>
        <v>2.091549939662099E-2</v>
      </c>
      <c r="U89" s="49">
        <f t="shared" ref="U89:U96" si="71">F89-B89</f>
        <v>2.218484947605634E-2</v>
      </c>
      <c r="AA89" s="49"/>
      <c r="AB89" s="49"/>
      <c r="AC89" s="49"/>
      <c r="AD89" s="49"/>
      <c r="AF89" s="67"/>
      <c r="AG89" s="67"/>
      <c r="AH89" s="67"/>
      <c r="AJ89" s="49"/>
    </row>
    <row r="90" spans="1:36">
      <c r="A90" s="56" t="str">
        <f t="shared" si="67"/>
        <v>Emerging market debt</v>
      </c>
      <c r="B90" s="258">
        <v>7.2949631494426681E-2</v>
      </c>
      <c r="C90" s="51">
        <v>1.5717348401675137E-2</v>
      </c>
      <c r="D90" s="52">
        <v>6.1497472593120231E-2</v>
      </c>
      <c r="E90" s="1">
        <v>6.9985486006245864E-2</v>
      </c>
      <c r="F90" s="53">
        <v>8.1222601284844598E-2</v>
      </c>
      <c r="G90" s="2">
        <v>-1.8407635361560582E-2</v>
      </c>
      <c r="H90" s="2">
        <v>-0.19341310985170038</v>
      </c>
      <c r="I90" s="2">
        <v>1</v>
      </c>
      <c r="J90" s="2">
        <v>-7.4750929208465725E-2</v>
      </c>
      <c r="K90" s="2">
        <v>0.28080301331537522</v>
      </c>
      <c r="L90" s="2">
        <v>-0.10345068297357522</v>
      </c>
      <c r="M90" s="2">
        <v>0.99999999999999434</v>
      </c>
      <c r="N90" s="2" t="s">
        <v>138</v>
      </c>
      <c r="O90" s="54" t="s">
        <v>138</v>
      </c>
      <c r="R90" s="48" t="str">
        <f t="shared" si="68"/>
        <v>Emerging market debt</v>
      </c>
      <c r="S90" s="49">
        <f t="shared" si="69"/>
        <v>6.1497472593120231E-2</v>
      </c>
      <c r="T90" s="49">
        <f t="shared" si="70"/>
        <v>1.145215890130645E-2</v>
      </c>
      <c r="U90" s="49">
        <f t="shared" si="71"/>
        <v>8.2729697904179167E-3</v>
      </c>
      <c r="AA90" s="49"/>
      <c r="AB90" s="49"/>
      <c r="AC90" s="49"/>
      <c r="AD90" s="49"/>
      <c r="AF90" s="67"/>
      <c r="AG90" s="67"/>
      <c r="AH90" s="67"/>
      <c r="AJ90" s="49"/>
    </row>
    <row r="91" spans="1:36">
      <c r="A91" s="56" t="str">
        <f t="shared" si="67"/>
        <v>Aandelen ontwikkeld</v>
      </c>
      <c r="B91" s="258">
        <v>7.9449900411325464E-2</v>
      </c>
      <c r="C91" s="51">
        <v>3.6227755796075191E-3</v>
      </c>
      <c r="D91" s="52">
        <v>7.6716707493405922E-2</v>
      </c>
      <c r="E91" s="1">
        <v>7.8769649919421231E-2</v>
      </c>
      <c r="F91" s="53">
        <v>8.1263285217667111E-2</v>
      </c>
      <c r="G91" s="2">
        <v>-4.6275950084993861E-3</v>
      </c>
      <c r="H91" s="2">
        <v>-1.2368911700885891E-2</v>
      </c>
      <c r="I91" s="2">
        <v>-5.6532262209212217E-2</v>
      </c>
      <c r="J91" s="2">
        <v>2.2942063909025964E-2</v>
      </c>
      <c r="K91" s="2">
        <v>-6.9993246998918873E-2</v>
      </c>
      <c r="L91" s="2">
        <v>1</v>
      </c>
      <c r="M91" s="2">
        <v>0.99999999999999067</v>
      </c>
      <c r="N91" s="2" t="s">
        <v>138</v>
      </c>
      <c r="O91" s="54" t="s">
        <v>138</v>
      </c>
      <c r="R91" s="48" t="str">
        <f t="shared" si="68"/>
        <v>Aandelen ontwikkeld</v>
      </c>
      <c r="S91" s="49">
        <f t="shared" si="69"/>
        <v>7.6716707493405922E-2</v>
      </c>
      <c r="T91" s="49">
        <f t="shared" si="70"/>
        <v>2.7331929179195413E-3</v>
      </c>
      <c r="U91" s="49">
        <f t="shared" si="71"/>
        <v>1.8133848063416474E-3</v>
      </c>
      <c r="AA91" s="49"/>
      <c r="AB91" s="49"/>
      <c r="AC91" s="49"/>
      <c r="AD91" s="49"/>
      <c r="AF91" s="67"/>
      <c r="AG91" s="67"/>
      <c r="AH91" s="67"/>
      <c r="AJ91" s="49"/>
    </row>
    <row r="92" spans="1:36">
      <c r="A92" s="56" t="str">
        <f t="shared" si="67"/>
        <v>Aandelen opkomend</v>
      </c>
      <c r="B92" s="258">
        <v>6.2337880651623594E-2</v>
      </c>
      <c r="C92" s="51">
        <v>2.1998877572925984E-2</v>
      </c>
      <c r="D92" s="52">
        <v>4.4583852556947454E-2</v>
      </c>
      <c r="E92" s="1">
        <v>6.1753958741335921E-2</v>
      </c>
      <c r="F92" s="53">
        <v>7.7952292474604862E-2</v>
      </c>
      <c r="G92" s="2">
        <v>0.12396616396153132</v>
      </c>
      <c r="H92" s="2">
        <v>1</v>
      </c>
      <c r="I92" s="2">
        <v>1.921893503895504E-2</v>
      </c>
      <c r="J92" s="2">
        <v>-0.36856869560212147</v>
      </c>
      <c r="K92" s="2">
        <v>-0.5161039333950771</v>
      </c>
      <c r="L92" s="2">
        <v>-0.17445007201047813</v>
      </c>
      <c r="M92" s="2">
        <v>1</v>
      </c>
      <c r="N92" s="2" t="s">
        <v>138</v>
      </c>
      <c r="O92" s="54" t="s">
        <v>138</v>
      </c>
      <c r="R92" s="48" t="str">
        <f t="shared" si="68"/>
        <v>Aandelen opkomend</v>
      </c>
      <c r="S92" s="49">
        <f t="shared" si="69"/>
        <v>4.4583852556947454E-2</v>
      </c>
      <c r="T92" s="49">
        <f t="shared" si="70"/>
        <v>1.775402809467614E-2</v>
      </c>
      <c r="U92" s="49">
        <f t="shared" si="71"/>
        <v>1.5614411822981268E-2</v>
      </c>
      <c r="AA92" s="49"/>
      <c r="AB92" s="49"/>
      <c r="AC92" s="49"/>
      <c r="AD92" s="49"/>
      <c r="AF92" s="67"/>
      <c r="AG92" s="67"/>
      <c r="AH92" s="67"/>
      <c r="AJ92" s="49"/>
    </row>
    <row r="93" spans="1:36">
      <c r="A93" s="56" t="str">
        <f t="shared" si="67"/>
        <v>Commodities</v>
      </c>
      <c r="B93" s="258">
        <v>3.2719897869213317E-2</v>
      </c>
      <c r="C93" s="51">
        <v>2.1642890867159009E-2</v>
      </c>
      <c r="D93" s="52">
        <v>1.5633278291625349E-2</v>
      </c>
      <c r="E93" s="1">
        <v>3.185742466368105E-2</v>
      </c>
      <c r="F93" s="53">
        <v>4.7776236134702874E-2</v>
      </c>
      <c r="G93" s="2">
        <v>-0.63650279556455491</v>
      </c>
      <c r="H93" s="2">
        <v>-0.66243995500288222</v>
      </c>
      <c r="I93" s="2">
        <v>-0.24113848878408142</v>
      </c>
      <c r="J93" s="2">
        <v>-0.43714227288517704</v>
      </c>
      <c r="K93" s="2">
        <v>-0.49542068257732491</v>
      </c>
      <c r="L93" s="2">
        <v>-0.20202482748516729</v>
      </c>
      <c r="M93" s="2">
        <v>0.999999999999999</v>
      </c>
      <c r="N93" s="2" t="s">
        <v>138</v>
      </c>
      <c r="O93" s="54" t="s">
        <v>138</v>
      </c>
      <c r="R93" s="48" t="str">
        <f t="shared" si="68"/>
        <v>Commodities</v>
      </c>
      <c r="S93" s="49">
        <f t="shared" si="69"/>
        <v>1.5633278291625349E-2</v>
      </c>
      <c r="T93" s="49">
        <f t="shared" si="70"/>
        <v>1.7086619577587968E-2</v>
      </c>
      <c r="U93" s="49">
        <f t="shared" si="71"/>
        <v>1.5056338265489556E-2</v>
      </c>
      <c r="AA93" s="49"/>
      <c r="AB93" s="49"/>
      <c r="AC93" s="49"/>
      <c r="AD93" s="49"/>
      <c r="AF93" s="67"/>
      <c r="AG93" s="67"/>
      <c r="AH93" s="67"/>
      <c r="AJ93" s="49"/>
    </row>
    <row r="94" spans="1:36">
      <c r="A94" s="56" t="str">
        <f t="shared" si="67"/>
        <v>Hedge funds</v>
      </c>
      <c r="B94" s="258">
        <v>3.0634868515694108E-2</v>
      </c>
      <c r="C94" s="51">
        <v>1.5280855091765204E-16</v>
      </c>
      <c r="D94" s="52">
        <v>3.0634868515694261E-2</v>
      </c>
      <c r="E94" s="1">
        <v>3.0634868515694261E-2</v>
      </c>
      <c r="F94" s="53">
        <v>3.0634868515694261E-2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 t="s">
        <v>138</v>
      </c>
      <c r="O94" s="54" t="s">
        <v>138</v>
      </c>
      <c r="R94" s="48" t="str">
        <f t="shared" si="68"/>
        <v>Hedge funds</v>
      </c>
      <c r="S94" s="49">
        <f t="shared" si="69"/>
        <v>3.0634868515694261E-2</v>
      </c>
      <c r="T94" s="49">
        <f t="shared" si="70"/>
        <v>-1.5265566588595902E-16</v>
      </c>
      <c r="U94" s="49">
        <f t="shared" si="71"/>
        <v>1.5265566588595902E-16</v>
      </c>
    </row>
    <row r="95" spans="1:36">
      <c r="A95" s="56" t="str">
        <f t="shared" si="67"/>
        <v>Onroerend goed</v>
      </c>
      <c r="B95" s="258">
        <v>4.6750473476693123E-2</v>
      </c>
      <c r="C95" s="51">
        <v>4.0285890696471903E-16</v>
      </c>
      <c r="D95" s="52">
        <v>4.6750473476693526E-2</v>
      </c>
      <c r="E95" s="1">
        <v>4.6750473476693526E-2</v>
      </c>
      <c r="F95" s="53">
        <v>4.6750473476693526E-2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 t="s">
        <v>138</v>
      </c>
      <c r="O95" s="54" t="s">
        <v>138</v>
      </c>
      <c r="R95" s="48" t="str">
        <f t="shared" ref="R95" si="72">A95</f>
        <v>Onroerend goed</v>
      </c>
      <c r="S95" s="49">
        <f t="shared" ref="S95" si="73">D95</f>
        <v>4.6750473476693526E-2</v>
      </c>
      <c r="T95" s="49">
        <f t="shared" ref="T95" si="74">B95-D95</f>
        <v>-4.0245584642661925E-16</v>
      </c>
      <c r="U95" s="49">
        <f t="shared" ref="U95" si="75">F95-B95</f>
        <v>4.0245584642661925E-16</v>
      </c>
    </row>
    <row r="96" spans="1:36">
      <c r="A96" s="57" t="str">
        <f t="shared" ref="A96" si="76">A84</f>
        <v>Periferie bonds</v>
      </c>
      <c r="B96" s="259">
        <v>3.9915401545420979E-3</v>
      </c>
      <c r="C96" s="59">
        <v>5.0178758333895889E-3</v>
      </c>
      <c r="D96" s="60">
        <v>2.9735572955832089E-4</v>
      </c>
      <c r="E96" s="58">
        <v>1.9964420160191966E-3</v>
      </c>
      <c r="F96" s="61">
        <v>5.9029313130465957E-3</v>
      </c>
      <c r="G96" s="62">
        <v>-1.3073473290722906E-2</v>
      </c>
      <c r="H96" s="62">
        <v>-3.2370333001690413E-2</v>
      </c>
      <c r="I96" s="62">
        <v>-6.1954919515892763E-2</v>
      </c>
      <c r="J96" s="62">
        <v>1</v>
      </c>
      <c r="K96" s="62">
        <v>-0.39891243843558655</v>
      </c>
      <c r="L96" s="62">
        <v>-0.20917487403876445</v>
      </c>
      <c r="M96" s="62">
        <v>0.99999999999999434</v>
      </c>
      <c r="N96" s="62" t="s">
        <v>138</v>
      </c>
      <c r="O96" s="63" t="s">
        <v>138</v>
      </c>
      <c r="R96" s="48" t="str">
        <f t="shared" si="68"/>
        <v>Periferie bonds</v>
      </c>
      <c r="S96" s="49">
        <f t="shared" si="69"/>
        <v>2.9735572955832089E-4</v>
      </c>
      <c r="T96" s="49">
        <f t="shared" si="70"/>
        <v>3.694184424983777E-3</v>
      </c>
      <c r="U96" s="49">
        <f t="shared" si="71"/>
        <v>1.9113911585044979E-3</v>
      </c>
    </row>
  </sheetData>
  <mergeCells count="14">
    <mergeCell ref="D86:F86"/>
    <mergeCell ref="G86:O86"/>
    <mergeCell ref="D2:F2"/>
    <mergeCell ref="G2:O2"/>
    <mergeCell ref="D14:F14"/>
    <mergeCell ref="G14:O14"/>
    <mergeCell ref="D26:F26"/>
    <mergeCell ref="G26:O26"/>
    <mergeCell ref="D38:F38"/>
    <mergeCell ref="G38:O38"/>
    <mergeCell ref="D50:F50"/>
    <mergeCell ref="G50:O50"/>
    <mergeCell ref="D62:F62"/>
    <mergeCell ref="G62:O6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30"/>
  <sheetViews>
    <sheetView workbookViewId="0">
      <selection activeCell="B117" sqref="B117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5" t="s">
        <v>90</v>
      </c>
    </row>
    <row r="2" spans="1:23">
      <c r="A2" s="46"/>
      <c r="D2" s="327" t="s">
        <v>64</v>
      </c>
      <c r="E2" s="328"/>
      <c r="F2" s="329"/>
      <c r="G2" s="327" t="s">
        <v>65</v>
      </c>
      <c r="H2" s="328"/>
      <c r="I2" s="328"/>
      <c r="J2" s="328"/>
      <c r="K2" s="328"/>
      <c r="L2" s="328"/>
      <c r="M2" s="328"/>
      <c r="N2" s="329"/>
    </row>
    <row r="3" spans="1:23">
      <c r="A3" s="239" t="str">
        <f>'Samenvatting mixen'!A3</f>
        <v>Evenwicht</v>
      </c>
      <c r="B3" s="240" t="s">
        <v>67</v>
      </c>
      <c r="C3" s="241" t="s">
        <v>2</v>
      </c>
      <c r="D3" s="242">
        <v>0.25</v>
      </c>
      <c r="E3" s="243">
        <v>0.5</v>
      </c>
      <c r="F3" s="244">
        <v>0.75</v>
      </c>
      <c r="G3" s="245">
        <v>0.51653799261144484</v>
      </c>
      <c r="H3" s="245">
        <v>0.19658826633205351</v>
      </c>
      <c r="I3" s="245">
        <v>0.11068011787788212</v>
      </c>
      <c r="J3" s="245">
        <v>6.8418628948510252E-2</v>
      </c>
      <c r="K3" s="245">
        <v>6.6780760976481335E-2</v>
      </c>
      <c r="L3" s="245">
        <v>2.2660517170181915E-2</v>
      </c>
      <c r="M3" s="245">
        <v>1.8333716083446361E-2</v>
      </c>
      <c r="N3" s="245">
        <v>0</v>
      </c>
      <c r="O3" s="246"/>
      <c r="Q3" s="48" t="str">
        <f>A3</f>
        <v>Evenwicht</v>
      </c>
    </row>
    <row r="4" spans="1:23">
      <c r="A4" s="50" t="str">
        <f>+'Samenvatting mixen'!A5</f>
        <v>High Yield</v>
      </c>
      <c r="B4" s="111">
        <v>0.17791553769250351</v>
      </c>
      <c r="C4" s="112">
        <v>0.10661467834294507</v>
      </c>
      <c r="D4" s="113">
        <v>6.6231757829361221E-2</v>
      </c>
      <c r="E4" s="111">
        <v>0.16680883794011825</v>
      </c>
      <c r="F4" s="114">
        <v>0.29154977145720329</v>
      </c>
      <c r="G4" s="2">
        <v>-0.66603564916496794</v>
      </c>
      <c r="H4" s="2">
        <v>1</v>
      </c>
      <c r="I4" s="2">
        <v>-1.2609743104876021E-2</v>
      </c>
      <c r="J4" s="2">
        <v>-0.40578366611450961</v>
      </c>
      <c r="K4" s="2">
        <v>-0.4802320707939069</v>
      </c>
      <c r="L4" s="2">
        <v>-0.10333118391468946</v>
      </c>
      <c r="M4" s="2">
        <v>-0.20976657800249107</v>
      </c>
      <c r="N4" s="54">
        <v>0.99999999999999734</v>
      </c>
      <c r="O4" s="67"/>
      <c r="Q4" s="67" t="str">
        <f>A4</f>
        <v>High Yield</v>
      </c>
      <c r="R4" s="67">
        <f>D4</f>
        <v>6.6231757829361221E-2</v>
      </c>
      <c r="S4" s="49">
        <f>B4-D4</f>
        <v>0.11168377986314229</v>
      </c>
      <c r="T4" s="49">
        <f>F4-B4</f>
        <v>0.11363423376469978</v>
      </c>
      <c r="U4" s="49"/>
      <c r="V4" s="49"/>
      <c r="W4" s="49"/>
    </row>
    <row r="5" spans="1:23">
      <c r="A5" s="56" t="str">
        <f>+'Samenvatting mixen'!A6</f>
        <v>Emerging market debt</v>
      </c>
      <c r="B5" s="111">
        <v>0.19017040258086379</v>
      </c>
      <c r="C5" s="112">
        <v>0.13398590604051894</v>
      </c>
      <c r="D5" s="113">
        <v>5.1540464678186543E-2</v>
      </c>
      <c r="E5" s="111">
        <v>0.16445531830019311</v>
      </c>
      <c r="F5" s="114">
        <v>0.33740506845555318</v>
      </c>
      <c r="G5" s="2">
        <v>1</v>
      </c>
      <c r="H5" s="2">
        <v>0.6140545043607798</v>
      </c>
      <c r="I5" s="2">
        <v>0.10506177159145605</v>
      </c>
      <c r="J5" s="2">
        <v>-0.33925012109907715</v>
      </c>
      <c r="K5" s="2">
        <v>8.7306248040723705E-2</v>
      </c>
      <c r="L5" s="2">
        <v>0.10799926854658295</v>
      </c>
      <c r="M5" s="2">
        <v>-0.15046458998075796</v>
      </c>
      <c r="N5" s="54">
        <v>0.99999999999999745</v>
      </c>
      <c r="O5" s="67"/>
      <c r="Q5" s="67" t="str">
        <f t="shared" ref="Q5:Q11" si="0">A5</f>
        <v>Emerging market debt</v>
      </c>
      <c r="R5" s="67">
        <f t="shared" ref="R5:R11" si="1">D5</f>
        <v>5.1540464678186543E-2</v>
      </c>
      <c r="S5" s="49">
        <f t="shared" ref="S5:S11" si="2">B5-D5</f>
        <v>0.13862993790267725</v>
      </c>
      <c r="T5" s="49">
        <f t="shared" ref="T5:T11" si="3">F5-B5</f>
        <v>0.14723466587468939</v>
      </c>
      <c r="U5" s="49"/>
      <c r="V5" s="49"/>
      <c r="W5" s="49"/>
    </row>
    <row r="6" spans="1:23">
      <c r="A6" s="56" t="str">
        <f>+'Samenvatting mixen'!A7</f>
        <v>Aandelen ontwikkeld</v>
      </c>
      <c r="B6" s="111">
        <v>0.18204785429587059</v>
      </c>
      <c r="C6" s="112">
        <v>5.9211870479405709E-2</v>
      </c>
      <c r="D6" s="113">
        <v>0.12085413217094061</v>
      </c>
      <c r="E6" s="111">
        <v>0.18091844076560101</v>
      </c>
      <c r="F6" s="114">
        <v>0.24163951789211288</v>
      </c>
      <c r="G6" s="2">
        <v>9.0455844889221287E-2</v>
      </c>
      <c r="H6" s="2">
        <v>0.29005307017087451</v>
      </c>
      <c r="I6" s="2">
        <v>-0.59496540777044182</v>
      </c>
      <c r="J6" s="2">
        <v>1</v>
      </c>
      <c r="K6" s="2">
        <v>-0.17722544917934765</v>
      </c>
      <c r="L6" s="2">
        <v>-0.16275535436573735</v>
      </c>
      <c r="M6" s="2">
        <v>-0.15279020508795757</v>
      </c>
      <c r="N6" s="54">
        <v>0.99999999999999734</v>
      </c>
      <c r="O6" s="67"/>
      <c r="Q6" s="67" t="str">
        <f t="shared" si="0"/>
        <v>Aandelen ontwikkeld</v>
      </c>
      <c r="R6" s="67">
        <f t="shared" si="1"/>
        <v>0.12085413217094061</v>
      </c>
      <c r="S6" s="49">
        <f t="shared" si="2"/>
        <v>6.1193722124929975E-2</v>
      </c>
      <c r="T6" s="49">
        <f t="shared" si="3"/>
        <v>5.9591663596242295E-2</v>
      </c>
      <c r="U6" s="49"/>
      <c r="V6" s="49"/>
      <c r="W6" s="49"/>
    </row>
    <row r="7" spans="1:23">
      <c r="A7" s="56" t="str">
        <f>+'Samenvatting mixen'!A8</f>
        <v>Aandelen opkomend</v>
      </c>
      <c r="B7" s="111">
        <v>0.11379642533261274</v>
      </c>
      <c r="C7" s="112">
        <v>5.3956980166448634E-2</v>
      </c>
      <c r="D7" s="113">
        <v>5.6505540865508817E-2</v>
      </c>
      <c r="E7" s="111">
        <v>0.11555278554884935</v>
      </c>
      <c r="F7" s="114">
        <v>0.16859941032319903</v>
      </c>
      <c r="G7" s="2">
        <v>-0.18850998646757619</v>
      </c>
      <c r="H7" s="2">
        <v>-0.32039443661957157</v>
      </c>
      <c r="I7" s="2">
        <v>0.26684079099610025</v>
      </c>
      <c r="J7" s="2">
        <v>-6.6930657753340284E-2</v>
      </c>
      <c r="K7" s="2">
        <v>1</v>
      </c>
      <c r="L7" s="2">
        <v>-0.65628016052721938</v>
      </c>
      <c r="M7" s="2">
        <v>-0.35585420316518057</v>
      </c>
      <c r="N7" s="54">
        <v>0.99999999999999711</v>
      </c>
      <c r="O7" s="67"/>
      <c r="Q7" s="67" t="str">
        <f t="shared" si="0"/>
        <v>Aandelen opkomend</v>
      </c>
      <c r="R7" s="67">
        <f t="shared" si="1"/>
        <v>5.6505540865508817E-2</v>
      </c>
      <c r="S7" s="49">
        <f t="shared" si="2"/>
        <v>5.7290884467103918E-2</v>
      </c>
      <c r="T7" s="49">
        <f t="shared" si="3"/>
        <v>5.4802984990586293E-2</v>
      </c>
      <c r="U7" s="49"/>
      <c r="V7" s="49"/>
      <c r="W7" s="49"/>
    </row>
    <row r="8" spans="1:23">
      <c r="A8" s="56" t="str">
        <f>+'Samenvatting mixen'!A9</f>
        <v>Commodities</v>
      </c>
      <c r="B8" s="111">
        <v>4.723907442386234E-2</v>
      </c>
      <c r="C8" s="112">
        <v>2.9016236730735848E-2</v>
      </c>
      <c r="D8" s="113">
        <v>1.6599437540652445E-2</v>
      </c>
      <c r="E8" s="111">
        <v>4.5301305220525265E-2</v>
      </c>
      <c r="F8" s="114">
        <v>8.0772913627255721E-2</v>
      </c>
      <c r="G8" s="2">
        <v>1.4502234986593204E-2</v>
      </c>
      <c r="H8" s="2">
        <v>-3.9802954424319963E-2</v>
      </c>
      <c r="I8" s="2">
        <v>-3.2600031292098694E-2</v>
      </c>
      <c r="J8" s="2">
        <v>-8.6387452543171497E-2</v>
      </c>
      <c r="K8" s="2">
        <v>-3.6811318050403712E-2</v>
      </c>
      <c r="L8" s="2">
        <v>-0.41525922684931288</v>
      </c>
      <c r="M8" s="2">
        <v>1</v>
      </c>
      <c r="N8" s="54">
        <v>0.99999999999999922</v>
      </c>
      <c r="O8" s="67"/>
      <c r="Q8" s="67" t="str">
        <f t="shared" si="0"/>
        <v>Commodities</v>
      </c>
      <c r="R8" s="67">
        <f t="shared" si="1"/>
        <v>1.6599437540652445E-2</v>
      </c>
      <c r="S8" s="49">
        <f t="shared" si="2"/>
        <v>3.0639636883209895E-2</v>
      </c>
      <c r="T8" s="49">
        <f t="shared" si="3"/>
        <v>3.3533839203393381E-2</v>
      </c>
      <c r="U8" s="49"/>
      <c r="V8" s="49"/>
      <c r="W8" s="49"/>
    </row>
    <row r="9" spans="1:23">
      <c r="A9" s="56" t="str">
        <f>+'Samenvatting mixen'!A10</f>
        <v>Hedge funds</v>
      </c>
      <c r="B9" s="111">
        <v>0.11392012532342678</v>
      </c>
      <c r="C9" s="112">
        <v>7.4408650686241987E-2</v>
      </c>
      <c r="D9" s="113">
        <v>3.8269124534151572E-2</v>
      </c>
      <c r="E9" s="111">
        <v>0.1017871795157673</v>
      </c>
      <c r="F9" s="114">
        <v>0.19294966928295684</v>
      </c>
      <c r="G9" s="2">
        <v>-1.1034537081094998E-2</v>
      </c>
      <c r="H9" s="2">
        <v>-0.92594328067338183</v>
      </c>
      <c r="I9" s="2">
        <v>-0.94212238777916202</v>
      </c>
      <c r="J9" s="2">
        <v>-0.44785274270434572</v>
      </c>
      <c r="K9" s="2">
        <v>-0.25726261852904664</v>
      </c>
      <c r="L9" s="2">
        <v>0.19974034257309697</v>
      </c>
      <c r="M9" s="2">
        <v>-0.17039954539322225</v>
      </c>
      <c r="N9" s="54">
        <v>0.999999999999998</v>
      </c>
      <c r="O9" s="67"/>
      <c r="Q9" s="67" t="str">
        <f t="shared" si="0"/>
        <v>Hedge funds</v>
      </c>
      <c r="R9" s="67">
        <f t="shared" si="1"/>
        <v>3.8269124534151572E-2</v>
      </c>
      <c r="S9" s="49">
        <f t="shared" si="2"/>
        <v>7.5651000789275211E-2</v>
      </c>
      <c r="T9" s="49">
        <f t="shared" si="3"/>
        <v>7.902954395953006E-2</v>
      </c>
      <c r="U9" s="49"/>
      <c r="V9" s="49"/>
      <c r="W9" s="49"/>
    </row>
    <row r="10" spans="1:23">
      <c r="A10" s="56" t="str">
        <f>+'Samenvatting mixen'!A11</f>
        <v>Onroerend goed</v>
      </c>
      <c r="B10" s="111">
        <v>0.10998506771456598</v>
      </c>
      <c r="C10" s="112">
        <v>6.9535141161535544E-2</v>
      </c>
      <c r="D10" s="113">
        <v>3.0742053977432036E-2</v>
      </c>
      <c r="E10" s="111">
        <v>0.10259693027791589</v>
      </c>
      <c r="F10" s="114">
        <v>0.18315234859912366</v>
      </c>
      <c r="G10" s="2">
        <v>3.9387729603547812E-2</v>
      </c>
      <c r="H10" s="2">
        <v>-0.68068260579543505</v>
      </c>
      <c r="I10" s="2">
        <v>1</v>
      </c>
      <c r="J10" s="2">
        <v>0.1846018869223042</v>
      </c>
      <c r="K10" s="2">
        <v>-0.7630632337742852</v>
      </c>
      <c r="L10" s="2">
        <v>2.9886314537278049E-2</v>
      </c>
      <c r="M10" s="2">
        <v>-0.15069051209213744</v>
      </c>
      <c r="N10" s="54">
        <v>0.99999999999999767</v>
      </c>
      <c r="O10" s="67"/>
      <c r="Q10" s="67" t="str">
        <f t="shared" ref="Q10" si="4">A10</f>
        <v>Onroerend goed</v>
      </c>
      <c r="R10" s="67">
        <f t="shared" ref="R10" si="5">D10</f>
        <v>3.0742053977432036E-2</v>
      </c>
      <c r="S10" s="49">
        <f t="shared" ref="S10" si="6">B10-D10</f>
        <v>7.9243013737133938E-2</v>
      </c>
      <c r="T10" s="49">
        <f t="shared" ref="T10" si="7">F10-B10</f>
        <v>7.3167280884557678E-2</v>
      </c>
      <c r="U10" s="49"/>
      <c r="V10" s="49"/>
      <c r="W10" s="49"/>
    </row>
    <row r="11" spans="1:23">
      <c r="A11" s="57" t="str">
        <f>+'Samenvatting mixen'!A12</f>
        <v>Periferie bonds</v>
      </c>
      <c r="B11" s="115">
        <v>6.4925512636294133E-2</v>
      </c>
      <c r="C11" s="116">
        <v>5.1950456813200319E-2</v>
      </c>
      <c r="D11" s="117">
        <v>1.1020601163848358E-2</v>
      </c>
      <c r="E11" s="115">
        <v>5.6287227405671145E-2</v>
      </c>
      <c r="F11" s="118">
        <v>0.12069751405645068</v>
      </c>
      <c r="G11" s="62">
        <v>-0.27876563676572297</v>
      </c>
      <c r="H11" s="62">
        <v>6.2715702981054458E-2</v>
      </c>
      <c r="I11" s="62">
        <v>0.21039500735902075</v>
      </c>
      <c r="J11" s="62">
        <v>0.16160275329214019</v>
      </c>
      <c r="K11" s="62">
        <v>0.6272884422862659</v>
      </c>
      <c r="L11" s="62">
        <v>1</v>
      </c>
      <c r="M11" s="62">
        <v>0.18996563372174341</v>
      </c>
      <c r="N11" s="63">
        <v>1</v>
      </c>
      <c r="O11" s="67"/>
      <c r="Q11" s="67" t="str">
        <f t="shared" si="0"/>
        <v>Periferie bonds</v>
      </c>
      <c r="R11" s="67">
        <f t="shared" si="1"/>
        <v>1.1020601163848358E-2</v>
      </c>
      <c r="S11" s="49">
        <f t="shared" si="2"/>
        <v>5.3904911472445777E-2</v>
      </c>
      <c r="T11" s="49">
        <f t="shared" si="3"/>
        <v>5.577200142015655E-2</v>
      </c>
      <c r="U11" s="49"/>
      <c r="V11" s="49"/>
      <c r="W11" s="49"/>
    </row>
    <row r="13" spans="1:23">
      <c r="A13" s="45" t="s">
        <v>68</v>
      </c>
      <c r="D13" s="327" t="s">
        <v>64</v>
      </c>
      <c r="E13" s="328"/>
      <c r="F13" s="329"/>
      <c r="G13" s="327" t="s">
        <v>65</v>
      </c>
      <c r="H13" s="328"/>
      <c r="I13" s="328"/>
      <c r="J13" s="328"/>
      <c r="K13" s="328"/>
      <c r="L13" s="328"/>
      <c r="M13" s="328"/>
      <c r="N13" s="329"/>
      <c r="T13" s="45"/>
      <c r="U13" s="45"/>
    </row>
    <row r="14" spans="1:23">
      <c r="A14" s="239" t="str">
        <f>'Samenvatting mixen'!A15</f>
        <v>Base Case</v>
      </c>
      <c r="B14" s="240" t="s">
        <v>1</v>
      </c>
      <c r="C14" s="241" t="s">
        <v>2</v>
      </c>
      <c r="D14" s="242">
        <v>0.25</v>
      </c>
      <c r="E14" s="243">
        <v>0.5</v>
      </c>
      <c r="F14" s="244">
        <v>0.75</v>
      </c>
      <c r="G14" s="245">
        <v>0.70453999517167964</v>
      </c>
      <c r="H14" s="245">
        <v>0.19634184713201519</v>
      </c>
      <c r="I14" s="245">
        <v>7.147889602445967E-2</v>
      </c>
      <c r="J14" s="245">
        <v>2.4083211973018881E-2</v>
      </c>
      <c r="K14" s="245">
        <v>1.8699772333758968E-3</v>
      </c>
      <c r="L14" s="245">
        <v>1.2507592331546524E-3</v>
      </c>
      <c r="M14" s="245">
        <v>4.3531323229717422E-4</v>
      </c>
      <c r="N14" s="245">
        <v>0</v>
      </c>
      <c r="O14" s="246"/>
      <c r="Q14" s="48" t="str">
        <f>A14</f>
        <v>Base Case</v>
      </c>
    </row>
    <row r="15" spans="1:23">
      <c r="A15" s="50" t="str">
        <f t="shared" ref="A15:A21" si="8">A4</f>
        <v>High Yield</v>
      </c>
      <c r="B15" s="111">
        <v>0.4219664107073563</v>
      </c>
      <c r="C15" s="112">
        <v>0.15989727448556262</v>
      </c>
      <c r="D15" s="113">
        <v>0.24987791128777784</v>
      </c>
      <c r="E15" s="111">
        <v>0.43659606294024922</v>
      </c>
      <c r="F15" s="114">
        <v>0.57909992528537013</v>
      </c>
      <c r="G15" s="2">
        <v>1</v>
      </c>
      <c r="H15" s="2">
        <v>-0.17444165452005739</v>
      </c>
      <c r="I15" s="2">
        <v>-0.19493291662622669</v>
      </c>
      <c r="J15" s="2">
        <v>-0.26483200569849502</v>
      </c>
      <c r="K15" s="2">
        <v>-0.28336397283806575</v>
      </c>
      <c r="L15" s="2">
        <v>-0.11379538453805368</v>
      </c>
      <c r="M15" s="2">
        <v>-0.13832890915790177</v>
      </c>
      <c r="N15" s="54">
        <v>0.99999999999988876</v>
      </c>
      <c r="Q15" s="48" t="str">
        <f t="shared" ref="Q15:Q22" si="9">A15</f>
        <v>High Yield</v>
      </c>
      <c r="R15" s="67">
        <f>D15</f>
        <v>0.24987791128777784</v>
      </c>
      <c r="S15" s="49">
        <f>B15-D15</f>
        <v>0.17208849941957846</v>
      </c>
      <c r="T15" s="49">
        <f>F15-B15</f>
        <v>0.15713351457801383</v>
      </c>
      <c r="U15" s="49"/>
    </row>
    <row r="16" spans="1:23">
      <c r="A16" s="56" t="str">
        <f t="shared" si="8"/>
        <v>Emerging market debt</v>
      </c>
      <c r="B16" s="111">
        <v>4.0356514381949968E-2</v>
      </c>
      <c r="C16" s="112">
        <v>3.3199308017811735E-2</v>
      </c>
      <c r="D16" s="113">
        <v>7.1725074898943558E-3</v>
      </c>
      <c r="E16" s="111">
        <v>3.2757214596973491E-2</v>
      </c>
      <c r="F16" s="114">
        <v>7.3280998067091457E-2</v>
      </c>
      <c r="G16" s="2">
        <v>-1.9261642964646119E-2</v>
      </c>
      <c r="H16" s="2">
        <v>-5.8941928564066236E-2</v>
      </c>
      <c r="I16" s="2">
        <v>-0.15161242029448385</v>
      </c>
      <c r="J16" s="2">
        <v>1</v>
      </c>
      <c r="K16" s="2">
        <v>-0.22797028895107166</v>
      </c>
      <c r="L16" s="2">
        <v>-9.3380294159294761E-2</v>
      </c>
      <c r="M16" s="2">
        <v>-0.13009445840012837</v>
      </c>
      <c r="N16" s="54">
        <v>0.99999999999989819</v>
      </c>
      <c r="Q16" s="48" t="str">
        <f t="shared" si="9"/>
        <v>Emerging market debt</v>
      </c>
      <c r="R16" s="67">
        <f t="shared" ref="R16:R22" si="10">D16</f>
        <v>7.1725074898943558E-3</v>
      </c>
      <c r="S16" s="49">
        <f t="shared" ref="S16:S22" si="11">B16-D16</f>
        <v>3.3184006892055612E-2</v>
      </c>
      <c r="T16" s="49">
        <f t="shared" ref="T16:T22" si="12">F16-B16</f>
        <v>3.292448368514149E-2</v>
      </c>
      <c r="U16" s="49"/>
    </row>
    <row r="17" spans="1:24">
      <c r="A17" s="56" t="str">
        <f t="shared" si="8"/>
        <v>Aandelen ontwikkeld</v>
      </c>
      <c r="B17" s="111">
        <v>3.5185662155865676E-3</v>
      </c>
      <c r="C17" s="112">
        <v>4.5389180389231055E-3</v>
      </c>
      <c r="D17" s="113">
        <v>1.7630256756764502E-4</v>
      </c>
      <c r="E17" s="111">
        <v>1.9231150127987881E-3</v>
      </c>
      <c r="F17" s="114">
        <v>6.461759836822482E-3</v>
      </c>
      <c r="G17" s="2">
        <v>-2.8368213670252351E-3</v>
      </c>
      <c r="H17" s="2">
        <v>1.4678253590583458E-3</v>
      </c>
      <c r="I17" s="2">
        <v>-1.0480581378630907E-2</v>
      </c>
      <c r="J17" s="2">
        <v>-1.0050586019951516E-2</v>
      </c>
      <c r="K17" s="2">
        <v>4.5166422823703624E-2</v>
      </c>
      <c r="L17" s="2">
        <v>-3.2185759128105569E-2</v>
      </c>
      <c r="M17" s="2">
        <v>1</v>
      </c>
      <c r="N17" s="54">
        <v>1</v>
      </c>
      <c r="Q17" s="48" t="str">
        <f t="shared" si="9"/>
        <v>Aandelen ontwikkeld</v>
      </c>
      <c r="R17" s="67">
        <f t="shared" si="10"/>
        <v>1.7630256756764502E-4</v>
      </c>
      <c r="S17" s="49">
        <f t="shared" si="11"/>
        <v>3.3422636480189226E-3</v>
      </c>
      <c r="T17" s="49">
        <f t="shared" si="12"/>
        <v>2.9431936212359145E-3</v>
      </c>
      <c r="U17" s="49"/>
    </row>
    <row r="18" spans="1:24">
      <c r="A18" s="56" t="str">
        <f t="shared" si="8"/>
        <v>Aandelen opkomend</v>
      </c>
      <c r="B18" s="111">
        <v>0.12714964881147778</v>
      </c>
      <c r="C18" s="112">
        <v>9.3315609099964766E-2</v>
      </c>
      <c r="D18" s="113">
        <v>3.1575471639736265E-2</v>
      </c>
      <c r="E18" s="111">
        <v>0.10756406293981433</v>
      </c>
      <c r="F18" s="114">
        <v>0.22141312284463749</v>
      </c>
      <c r="G18" s="2">
        <v>-0.28161827066317435</v>
      </c>
      <c r="H18" s="2">
        <v>1</v>
      </c>
      <c r="I18" s="2">
        <v>-0.27908453562665059</v>
      </c>
      <c r="J18" s="2">
        <v>-0.24453177673793666</v>
      </c>
      <c r="K18" s="2">
        <v>-0.28199105822964282</v>
      </c>
      <c r="L18" s="2">
        <v>-0.11154107421427921</v>
      </c>
      <c r="M18" s="2">
        <v>-0.14303375032225957</v>
      </c>
      <c r="N18" s="54">
        <v>0.99999999999988931</v>
      </c>
      <c r="Q18" s="48" t="str">
        <f t="shared" si="9"/>
        <v>Aandelen opkomend</v>
      </c>
      <c r="R18" s="67">
        <f t="shared" si="10"/>
        <v>3.1575471639736265E-2</v>
      </c>
      <c r="S18" s="49">
        <f t="shared" si="11"/>
        <v>9.557417717174152E-2</v>
      </c>
      <c r="T18" s="49">
        <f t="shared" si="12"/>
        <v>9.4263474033159711E-2</v>
      </c>
      <c r="U18" s="49"/>
    </row>
    <row r="19" spans="1:24">
      <c r="A19" s="56" t="str">
        <f t="shared" si="8"/>
        <v>Commodities</v>
      </c>
      <c r="B19" s="111">
        <v>0.31989669005987548</v>
      </c>
      <c r="C19" s="112">
        <v>0.11537054959028277</v>
      </c>
      <c r="D19" s="113">
        <v>0.20524648770532428</v>
      </c>
      <c r="E19" s="111">
        <v>0.31605433564283669</v>
      </c>
      <c r="F19" s="114">
        <v>0.43741061452329816</v>
      </c>
      <c r="G19" s="2">
        <v>-0.60652955877764825</v>
      </c>
      <c r="H19" s="2">
        <v>-0.74764035820635832</v>
      </c>
      <c r="I19" s="2">
        <v>-0.33730508603318299</v>
      </c>
      <c r="J19" s="2">
        <v>-0.34216667870407996</v>
      </c>
      <c r="K19" s="2">
        <v>-0.29055150457930018</v>
      </c>
      <c r="L19" s="2">
        <v>-0.11656723572344356</v>
      </c>
      <c r="M19" s="2">
        <v>-0.14320914231753804</v>
      </c>
      <c r="N19" s="54">
        <v>0.99999999999988842</v>
      </c>
      <c r="Q19" s="48" t="str">
        <f t="shared" si="9"/>
        <v>Commodities</v>
      </c>
      <c r="R19" s="67">
        <f t="shared" si="10"/>
        <v>0.20524648770532428</v>
      </c>
      <c r="S19" s="49">
        <f t="shared" si="11"/>
        <v>0.1146502023545512</v>
      </c>
      <c r="T19" s="49">
        <f t="shared" si="12"/>
        <v>0.11751392446342268</v>
      </c>
      <c r="U19" s="49"/>
    </row>
    <row r="20" spans="1:24">
      <c r="A20" s="56" t="str">
        <f t="shared" si="8"/>
        <v>Hedge funds</v>
      </c>
      <c r="B20" s="111">
        <v>7.1583263432987473E-2</v>
      </c>
      <c r="C20" s="112">
        <v>5.6492651043896738E-2</v>
      </c>
      <c r="D20" s="113">
        <v>1.6822178451722528E-2</v>
      </c>
      <c r="E20" s="111">
        <v>5.8007890877650008E-2</v>
      </c>
      <c r="F20" s="114">
        <v>0.12470096318504605</v>
      </c>
      <c r="G20" s="2">
        <v>-9.1178523171489168E-2</v>
      </c>
      <c r="H20" s="2">
        <v>-1.6075807918709561E-2</v>
      </c>
      <c r="I20" s="2">
        <v>1</v>
      </c>
      <c r="J20" s="2">
        <v>-8.4504207113764176E-2</v>
      </c>
      <c r="K20" s="2">
        <v>-0.24667039222751252</v>
      </c>
      <c r="L20" s="2">
        <v>-0.10407510956914591</v>
      </c>
      <c r="M20" s="2">
        <v>-0.12885552963085997</v>
      </c>
      <c r="N20" s="54">
        <v>0.99999999999989408</v>
      </c>
      <c r="Q20" s="48" t="str">
        <f t="shared" si="9"/>
        <v>Hedge funds</v>
      </c>
      <c r="R20" s="67">
        <f t="shared" si="10"/>
        <v>1.6822178451722528E-2</v>
      </c>
      <c r="S20" s="49">
        <f t="shared" si="11"/>
        <v>5.4761084981264946E-2</v>
      </c>
      <c r="T20" s="49">
        <f t="shared" si="12"/>
        <v>5.3117699752058573E-2</v>
      </c>
      <c r="U20" s="49"/>
    </row>
    <row r="21" spans="1:24">
      <c r="A21" s="56" t="str">
        <f t="shared" si="8"/>
        <v>Onroerend goed</v>
      </c>
      <c r="B21" s="111">
        <v>9.0878105822277191E-3</v>
      </c>
      <c r="C21" s="112">
        <v>8.9186675023694012E-3</v>
      </c>
      <c r="D21" s="113">
        <v>1.0933099339579704E-3</v>
      </c>
      <c r="E21" s="111">
        <v>6.2727146511590819E-3</v>
      </c>
      <c r="F21" s="114">
        <v>1.7355528694733932E-2</v>
      </c>
      <c r="G21" s="2">
        <v>7.8566612032789074E-4</v>
      </c>
      <c r="H21" s="2">
        <v>-1.2448849525149076E-3</v>
      </c>
      <c r="I21" s="2">
        <v>-1.6475179690698658E-2</v>
      </c>
      <c r="J21" s="2">
        <v>-2.8617873556077176E-2</v>
      </c>
      <c r="K21" s="2">
        <v>1</v>
      </c>
      <c r="L21" s="2">
        <v>-0.42845514266771156</v>
      </c>
      <c r="M21" s="2">
        <v>-0.19231701823493833</v>
      </c>
      <c r="N21" s="54">
        <v>0.99999999999992983</v>
      </c>
      <c r="Q21" s="48" t="str">
        <f t="shared" ref="Q21" si="13">A21</f>
        <v>Onroerend goed</v>
      </c>
      <c r="R21" s="67">
        <f t="shared" ref="R21" si="14">D21</f>
        <v>1.0933099339579704E-3</v>
      </c>
      <c r="S21" s="49">
        <f t="shared" ref="S21" si="15">B21-D21</f>
        <v>7.9945006482697485E-3</v>
      </c>
      <c r="T21" s="49">
        <f t="shared" ref="T21" si="16">F21-B21</f>
        <v>8.267718112506213E-3</v>
      </c>
      <c r="U21" s="49"/>
    </row>
    <row r="22" spans="1:24">
      <c r="A22" s="57" t="str">
        <f t="shared" ref="A22" si="17">A11</f>
        <v>Periferie bonds</v>
      </c>
      <c r="B22" s="115">
        <v>6.4410958085384142E-3</v>
      </c>
      <c r="C22" s="116">
        <v>7.6927451569923653E-3</v>
      </c>
      <c r="D22" s="117">
        <v>2.8945583425487751E-4</v>
      </c>
      <c r="E22" s="115">
        <v>3.6357873369369138E-3</v>
      </c>
      <c r="F22" s="118">
        <v>1.291196197281174E-2</v>
      </c>
      <c r="G22" s="62">
        <v>6.391508236554159E-4</v>
      </c>
      <c r="H22" s="62">
        <v>-3.1231911973521116E-3</v>
      </c>
      <c r="I22" s="62">
        <v>-1.0109280350127403E-2</v>
      </c>
      <c r="J22" s="62">
        <v>-2.5296872169700349E-2</v>
      </c>
      <c r="K22" s="62">
        <v>0.28538079400183008</v>
      </c>
      <c r="L22" s="62">
        <v>1</v>
      </c>
      <c r="M22" s="62">
        <v>-0.12416119193646867</v>
      </c>
      <c r="N22" s="63">
        <v>0.99999999999994615</v>
      </c>
      <c r="Q22" s="48" t="str">
        <f t="shared" si="9"/>
        <v>Periferie bonds</v>
      </c>
      <c r="R22" s="67">
        <f t="shared" si="10"/>
        <v>2.8945583425487751E-4</v>
      </c>
      <c r="S22" s="49">
        <f t="shared" si="11"/>
        <v>6.1516399742835362E-3</v>
      </c>
      <c r="T22" s="49">
        <f t="shared" si="12"/>
        <v>6.4708661642733263E-3</v>
      </c>
      <c r="U22" s="49"/>
    </row>
    <row r="23" spans="1:24">
      <c r="A23" s="119"/>
      <c r="B23" s="120"/>
      <c r="C23" s="120"/>
      <c r="D23" s="121"/>
      <c r="E23" s="121"/>
      <c r="F23" s="121"/>
      <c r="G23" s="122"/>
      <c r="H23" s="123"/>
      <c r="I23" s="122"/>
      <c r="J23" s="122"/>
      <c r="K23" s="122"/>
      <c r="L23" s="122"/>
      <c r="M23" s="122"/>
      <c r="N23" s="124"/>
    </row>
    <row r="24" spans="1:24">
      <c r="A24" s="46"/>
      <c r="D24" s="327" t="s">
        <v>64</v>
      </c>
      <c r="E24" s="328"/>
      <c r="F24" s="329"/>
      <c r="G24" s="327" t="s">
        <v>65</v>
      </c>
      <c r="H24" s="328"/>
      <c r="I24" s="328"/>
      <c r="J24" s="328"/>
      <c r="K24" s="328"/>
      <c r="L24" s="328"/>
      <c r="M24" s="328"/>
      <c r="N24" s="329"/>
      <c r="O24" s="64"/>
    </row>
    <row r="25" spans="1:24">
      <c r="A25" s="239" t="str">
        <f>'Samenvatting mixen'!A27</f>
        <v>Base - muddle down</v>
      </c>
      <c r="B25" s="240" t="s">
        <v>67</v>
      </c>
      <c r="C25" s="241" t="s">
        <v>2</v>
      </c>
      <c r="D25" s="242">
        <v>0.25</v>
      </c>
      <c r="E25" s="243">
        <v>0.5</v>
      </c>
      <c r="F25" s="244">
        <v>0.75</v>
      </c>
      <c r="G25" s="245">
        <v>0.83902827575204908</v>
      </c>
      <c r="H25" s="245">
        <v>0.12107015114674047</v>
      </c>
      <c r="I25" s="245">
        <v>2.2373647452566758E-2</v>
      </c>
      <c r="J25" s="245">
        <v>1.1150088168648264E-2</v>
      </c>
      <c r="K25" s="245">
        <v>3.5407989317558508E-3</v>
      </c>
      <c r="L25" s="245">
        <v>1.871092259018492E-3</v>
      </c>
      <c r="M25" s="245">
        <v>9.6594628922852532E-4</v>
      </c>
      <c r="N25" s="245">
        <v>0</v>
      </c>
      <c r="O25" s="246"/>
      <c r="Q25" s="48" t="str">
        <f>A25</f>
        <v>Base - muddle down</v>
      </c>
    </row>
    <row r="26" spans="1:24">
      <c r="A26" s="56" t="str">
        <f t="shared" ref="A26:A32" si="18">A4</f>
        <v>High Yield</v>
      </c>
      <c r="B26" s="111">
        <v>9.0147597122680004E-3</v>
      </c>
      <c r="C26" s="112">
        <v>1.0167107276992887E-2</v>
      </c>
      <c r="D26" s="113">
        <v>8.8678413219821282E-4</v>
      </c>
      <c r="E26" s="111">
        <v>5.5303095229797469E-3</v>
      </c>
      <c r="F26" s="114">
        <v>1.6641174751268036E-2</v>
      </c>
      <c r="G26" s="2">
        <v>-5.0509259958757442E-3</v>
      </c>
      <c r="H26" s="2">
        <v>5.6392825023152626E-2</v>
      </c>
      <c r="I26" s="2">
        <v>1</v>
      </c>
      <c r="J26" s="2">
        <v>-0.79873717902888508</v>
      </c>
      <c r="K26" s="2">
        <v>-0.21410819583623433</v>
      </c>
      <c r="L26" s="2">
        <v>-0.12697815404312429</v>
      </c>
      <c r="M26" s="2">
        <v>-0.11872119668753733</v>
      </c>
      <c r="N26" s="54">
        <v>0.99999999999999001</v>
      </c>
      <c r="O26" s="64"/>
      <c r="Q26" s="48" t="str">
        <f t="shared" ref="Q26:Q33" si="19">A26</f>
        <v>High Yield</v>
      </c>
      <c r="R26" s="67">
        <f>D26</f>
        <v>8.8678413219821282E-4</v>
      </c>
      <c r="S26" s="49">
        <f>B26-D26</f>
        <v>8.1279755800697882E-3</v>
      </c>
      <c r="T26" s="49">
        <f>F26-B26</f>
        <v>7.6264150390000351E-3</v>
      </c>
      <c r="U26" s="49"/>
    </row>
    <row r="27" spans="1:24">
      <c r="A27" s="56" t="str">
        <f t="shared" si="18"/>
        <v>Emerging market debt</v>
      </c>
      <c r="B27" s="111">
        <v>6.8969476185848352E-2</v>
      </c>
      <c r="C27" s="112">
        <v>5.7459394898384933E-2</v>
      </c>
      <c r="D27" s="113">
        <v>1.3798059549431719E-2</v>
      </c>
      <c r="E27" s="111">
        <v>5.5002201863854863E-2</v>
      </c>
      <c r="F27" s="114">
        <v>0.12289193593319775</v>
      </c>
      <c r="G27" s="2">
        <v>1</v>
      </c>
      <c r="H27" s="2">
        <v>-0.54051867827752598</v>
      </c>
      <c r="I27" s="2">
        <v>-0.50040872679331483</v>
      </c>
      <c r="J27" s="2">
        <v>-0.10950375551282567</v>
      </c>
      <c r="K27" s="2">
        <v>-0.22270760722233432</v>
      </c>
      <c r="L27" s="2">
        <v>-0.1186059905511239</v>
      </c>
      <c r="M27" s="2">
        <v>-0.1292671407668578</v>
      </c>
      <c r="N27" s="54">
        <v>0.99999999999998679</v>
      </c>
      <c r="O27" s="64"/>
      <c r="Q27" s="48" t="str">
        <f t="shared" si="19"/>
        <v>Emerging market debt</v>
      </c>
      <c r="R27" s="67">
        <f t="shared" ref="R27:R33" si="20">D27</f>
        <v>1.3798059549431719E-2</v>
      </c>
      <c r="S27" s="49">
        <f t="shared" ref="S27:S33" si="21">B27-D27</f>
        <v>5.5171416636416636E-2</v>
      </c>
      <c r="T27" s="49">
        <f t="shared" ref="T27:T33" si="22">F27-B27</f>
        <v>5.3922459747349397E-2</v>
      </c>
      <c r="U27" s="49"/>
      <c r="X27" s="48"/>
    </row>
    <row r="28" spans="1:24">
      <c r="A28" s="56" t="str">
        <f t="shared" si="18"/>
        <v>Aandelen ontwikkeld</v>
      </c>
      <c r="B28" s="111">
        <v>1.6917762383918818E-3</v>
      </c>
      <c r="C28" s="112">
        <v>2.4866133577787471E-3</v>
      </c>
      <c r="D28" s="113">
        <v>1.4593518345543085E-5</v>
      </c>
      <c r="E28" s="111">
        <v>5.4950620021061356E-4</v>
      </c>
      <c r="F28" s="114">
        <v>3.6069890775761214E-3</v>
      </c>
      <c r="G28" s="2">
        <v>-9.3981400415028154E-4</v>
      </c>
      <c r="H28" s="2">
        <v>1.7870072333860205E-3</v>
      </c>
      <c r="I28" s="2">
        <v>-2.5211280278719054E-3</v>
      </c>
      <c r="J28" s="2">
        <v>2.2470383435386959E-2</v>
      </c>
      <c r="K28" s="2">
        <v>6.8328322028813226E-2</v>
      </c>
      <c r="L28" s="2">
        <v>-9.8913467525649102E-3</v>
      </c>
      <c r="M28" s="2">
        <v>1</v>
      </c>
      <c r="N28" s="54">
        <v>1</v>
      </c>
      <c r="O28" s="64"/>
      <c r="P28" s="67"/>
      <c r="Q28" s="48" t="str">
        <f t="shared" si="19"/>
        <v>Aandelen ontwikkeld</v>
      </c>
      <c r="R28" s="67">
        <f t="shared" si="20"/>
        <v>1.4593518345543085E-5</v>
      </c>
      <c r="S28" s="49">
        <f t="shared" si="21"/>
        <v>1.6771827200463387E-3</v>
      </c>
      <c r="T28" s="49">
        <f t="shared" si="22"/>
        <v>1.9152128391842396E-3</v>
      </c>
      <c r="U28" s="49"/>
      <c r="V28" s="49"/>
      <c r="W28" s="49"/>
    </row>
    <row r="29" spans="1:24">
      <c r="A29" s="56" t="str">
        <f t="shared" si="18"/>
        <v>Aandelen opkomend</v>
      </c>
      <c r="B29" s="111">
        <v>7.7418253525910821E-3</v>
      </c>
      <c r="C29" s="112">
        <v>8.7942226050427615E-3</v>
      </c>
      <c r="D29" s="113">
        <v>4.4270927651853843E-4</v>
      </c>
      <c r="E29" s="111">
        <v>4.7096545999342886E-3</v>
      </c>
      <c r="F29" s="114">
        <v>1.5858605097615375E-2</v>
      </c>
      <c r="G29" s="2">
        <v>4.1455863302939091E-3</v>
      </c>
      <c r="H29" s="2">
        <v>5.4283112621214547E-2</v>
      </c>
      <c r="I29" s="2">
        <v>0.60411578329697957</v>
      </c>
      <c r="J29" s="2">
        <v>1</v>
      </c>
      <c r="K29" s="2">
        <v>-0.32290324543121757</v>
      </c>
      <c r="L29" s="2">
        <v>-0.17562784630158718</v>
      </c>
      <c r="M29" s="2">
        <v>-0.14083154575047632</v>
      </c>
      <c r="N29" s="54">
        <v>0.99999999999999056</v>
      </c>
      <c r="O29" s="64"/>
      <c r="P29" s="67"/>
      <c r="Q29" s="48" t="str">
        <f t="shared" si="19"/>
        <v>Aandelen opkomend</v>
      </c>
      <c r="R29" s="67">
        <f t="shared" si="20"/>
        <v>4.4270927651853843E-4</v>
      </c>
      <c r="S29" s="49">
        <f t="shared" si="21"/>
        <v>7.2991160760725437E-3</v>
      </c>
      <c r="T29" s="49">
        <f t="shared" si="22"/>
        <v>8.1167797450242933E-3</v>
      </c>
      <c r="U29" s="49"/>
      <c r="V29" s="49"/>
      <c r="W29" s="49"/>
    </row>
    <row r="30" spans="1:24">
      <c r="A30" s="56" t="str">
        <f t="shared" si="18"/>
        <v>Commodities</v>
      </c>
      <c r="B30" s="111">
        <v>0.88317244154407815</v>
      </c>
      <c r="C30" s="112">
        <v>5.5840295885267677E-2</v>
      </c>
      <c r="D30" s="113">
        <v>0.82519966988551541</v>
      </c>
      <c r="E30" s="111">
        <v>0.88964706660092974</v>
      </c>
      <c r="F30" s="114">
        <v>0.93898066761505317</v>
      </c>
      <c r="G30" s="2">
        <v>-0.96617956807011063</v>
      </c>
      <c r="H30" s="2">
        <v>-0.58053404420335286</v>
      </c>
      <c r="I30" s="2">
        <v>-0.50719197360097024</v>
      </c>
      <c r="J30" s="2">
        <v>-0.10290592317981065</v>
      </c>
      <c r="K30" s="2">
        <v>-0.23320653818031989</v>
      </c>
      <c r="L30" s="2">
        <v>-0.12403062427625011</v>
      </c>
      <c r="M30" s="2">
        <v>-0.1298587108146203</v>
      </c>
      <c r="N30" s="54">
        <v>0.99999999999998779</v>
      </c>
      <c r="O30" s="64"/>
      <c r="P30" s="67"/>
      <c r="Q30" s="48" t="str">
        <f t="shared" si="19"/>
        <v>Commodities</v>
      </c>
      <c r="R30" s="67">
        <f t="shared" si="20"/>
        <v>0.82519966988551541</v>
      </c>
      <c r="S30" s="49">
        <f t="shared" si="21"/>
        <v>5.7972771658562738E-2</v>
      </c>
      <c r="T30" s="49">
        <f t="shared" si="22"/>
        <v>5.580822607097502E-2</v>
      </c>
      <c r="U30" s="49"/>
      <c r="V30" s="49"/>
      <c r="W30" s="49"/>
    </row>
    <row r="31" spans="1:24">
      <c r="A31" s="56" t="str">
        <f t="shared" si="18"/>
        <v>Hedge funds</v>
      </c>
      <c r="B31" s="111">
        <v>2.3654220923341674E-2</v>
      </c>
      <c r="C31" s="112">
        <v>2.3809203085616102E-2</v>
      </c>
      <c r="D31" s="113">
        <v>2.8828667998473919E-3</v>
      </c>
      <c r="E31" s="111">
        <v>1.5011407190103375E-2</v>
      </c>
      <c r="F31" s="114">
        <v>4.6273258886179586E-2</v>
      </c>
      <c r="G31" s="2">
        <v>-2.0269600503409153E-2</v>
      </c>
      <c r="H31" s="2">
        <v>1</v>
      </c>
      <c r="I31" s="2">
        <v>-0.65436027472415492</v>
      </c>
      <c r="J31" s="2">
        <v>-0.12871560818537486</v>
      </c>
      <c r="K31" s="2">
        <v>-0.23140992353646359</v>
      </c>
      <c r="L31" s="2">
        <v>-0.12205329212129849</v>
      </c>
      <c r="M31" s="2">
        <v>-0.13119009257030517</v>
      </c>
      <c r="N31" s="54">
        <v>0.99999999999998745</v>
      </c>
      <c r="O31" s="64"/>
      <c r="P31" s="67"/>
      <c r="Q31" s="48" t="str">
        <f t="shared" si="19"/>
        <v>Hedge funds</v>
      </c>
      <c r="R31" s="67">
        <f t="shared" si="20"/>
        <v>2.8828667998473919E-3</v>
      </c>
      <c r="S31" s="49">
        <f t="shared" si="21"/>
        <v>2.0771354123494283E-2</v>
      </c>
      <c r="T31" s="49">
        <f t="shared" si="22"/>
        <v>2.2619037962837912E-2</v>
      </c>
      <c r="U31" s="49"/>
      <c r="V31" s="49"/>
      <c r="W31" s="49"/>
    </row>
    <row r="32" spans="1:24">
      <c r="A32" s="56" t="str">
        <f t="shared" si="18"/>
        <v>Onroerend goed</v>
      </c>
      <c r="B32" s="111">
        <v>3.4046346784459992E-3</v>
      </c>
      <c r="C32" s="112">
        <v>4.5694357412764831E-3</v>
      </c>
      <c r="D32" s="113">
        <v>1.0365705064496159E-4</v>
      </c>
      <c r="E32" s="111">
        <v>1.4762568402040092E-3</v>
      </c>
      <c r="F32" s="114">
        <v>7.425601027233086E-3</v>
      </c>
      <c r="G32" s="2">
        <v>-6.1076437189982718E-3</v>
      </c>
      <c r="H32" s="2">
        <v>4.4883750731253601E-3</v>
      </c>
      <c r="I32" s="2">
        <v>2.2254990292005797E-2</v>
      </c>
      <c r="J32" s="2">
        <v>6.3822787952734703E-2</v>
      </c>
      <c r="K32" s="2">
        <v>1</v>
      </c>
      <c r="L32" s="2">
        <v>-0.32281274595405729</v>
      </c>
      <c r="M32" s="2">
        <v>-0.20619942209211467</v>
      </c>
      <c r="N32" s="54">
        <v>0.99999999999999145</v>
      </c>
      <c r="O32" s="64"/>
      <c r="P32" s="67"/>
      <c r="Q32" s="48" t="str">
        <f t="shared" ref="Q32" si="23">A32</f>
        <v>Onroerend goed</v>
      </c>
      <c r="R32" s="67">
        <f t="shared" ref="R32" si="24">D32</f>
        <v>1.0365705064496159E-4</v>
      </c>
      <c r="S32" s="49">
        <f t="shared" ref="S32" si="25">B32-D32</f>
        <v>3.3009776278010378E-3</v>
      </c>
      <c r="T32" s="49">
        <f t="shared" ref="T32" si="26">F32-B32</f>
        <v>4.0209663487870868E-3</v>
      </c>
      <c r="U32" s="49"/>
      <c r="V32" s="49"/>
      <c r="W32" s="49"/>
    </row>
    <row r="33" spans="1:24">
      <c r="A33" s="57" t="str">
        <f t="shared" ref="A33" si="27">A11</f>
        <v>Periferie bonds</v>
      </c>
      <c r="B33" s="115">
        <v>2.3508653650346129E-3</v>
      </c>
      <c r="C33" s="116">
        <v>3.4948167172767883E-3</v>
      </c>
      <c r="D33" s="117">
        <v>5.1823005747400502E-5</v>
      </c>
      <c r="E33" s="115">
        <v>9.9294539957502223E-4</v>
      </c>
      <c r="F33" s="118">
        <v>4.4239447234689314E-3</v>
      </c>
      <c r="G33" s="62">
        <v>-5.5980340377489723E-3</v>
      </c>
      <c r="H33" s="62">
        <v>4.1014025299995864E-3</v>
      </c>
      <c r="I33" s="62">
        <v>3.8111329557321251E-2</v>
      </c>
      <c r="J33" s="62">
        <v>5.3569294518772494E-2</v>
      </c>
      <c r="K33" s="62">
        <v>0.15600718817775128</v>
      </c>
      <c r="L33" s="62">
        <v>1</v>
      </c>
      <c r="M33" s="62">
        <v>-0.14393189131809839</v>
      </c>
      <c r="N33" s="63">
        <v>0.99999999999999512</v>
      </c>
      <c r="O33" s="64"/>
      <c r="P33" s="67"/>
      <c r="Q33" s="48" t="str">
        <f t="shared" si="19"/>
        <v>Periferie bonds</v>
      </c>
      <c r="R33" s="67">
        <f t="shared" si="20"/>
        <v>5.1823005747400502E-5</v>
      </c>
      <c r="S33" s="49">
        <f t="shared" si="21"/>
        <v>2.2990423592872122E-3</v>
      </c>
      <c r="T33" s="49">
        <f t="shared" si="22"/>
        <v>2.0730793584343185E-3</v>
      </c>
      <c r="U33" s="49"/>
      <c r="V33" s="49"/>
      <c r="W33" s="49"/>
    </row>
    <row r="34" spans="1:24">
      <c r="A34" s="64"/>
      <c r="B34" s="111"/>
      <c r="C34" s="111"/>
      <c r="D34" s="111"/>
      <c r="E34" s="111"/>
      <c r="F34" s="111"/>
      <c r="G34" s="65"/>
      <c r="H34" s="65"/>
      <c r="I34" s="65"/>
      <c r="J34" s="65"/>
      <c r="K34" s="65"/>
      <c r="L34" s="65"/>
      <c r="M34" s="65"/>
      <c r="N34" s="65"/>
      <c r="O34" s="64"/>
      <c r="P34" s="67"/>
      <c r="Q34" s="67"/>
      <c r="R34" s="67"/>
      <c r="T34" s="49"/>
      <c r="U34" s="49"/>
      <c r="V34" s="49"/>
      <c r="W34" s="49"/>
    </row>
    <row r="35" spans="1:24">
      <c r="A35" s="46"/>
      <c r="D35" s="327" t="s">
        <v>64</v>
      </c>
      <c r="E35" s="328"/>
      <c r="F35" s="329"/>
      <c r="G35" s="327" t="s">
        <v>65</v>
      </c>
      <c r="H35" s="328"/>
      <c r="I35" s="328"/>
      <c r="J35" s="328"/>
      <c r="K35" s="328"/>
      <c r="L35" s="328"/>
      <c r="M35" s="328"/>
      <c r="N35" s="329"/>
      <c r="O35" s="64"/>
    </row>
    <row r="36" spans="1:24">
      <c r="A36" s="239" t="str">
        <f>'Samenvatting mixen'!A39</f>
        <v>Base - muddle up</v>
      </c>
      <c r="B36" s="240" t="s">
        <v>67</v>
      </c>
      <c r="C36" s="241" t="s">
        <v>2</v>
      </c>
      <c r="D36" s="242">
        <v>0.25</v>
      </c>
      <c r="E36" s="243">
        <v>0.5</v>
      </c>
      <c r="F36" s="244">
        <v>0.75</v>
      </c>
      <c r="G36" s="245">
        <v>0.68335683003719172</v>
      </c>
      <c r="H36" s="245">
        <v>0.20854911421684807</v>
      </c>
      <c r="I36" s="245">
        <v>5.3028374315333249E-2</v>
      </c>
      <c r="J36" s="245">
        <v>2.4766820932822897E-2</v>
      </c>
      <c r="K36" s="245">
        <v>1.5236652850111443E-2</v>
      </c>
      <c r="L36" s="245">
        <v>1.0336123654897666E-2</v>
      </c>
      <c r="M36" s="245">
        <v>4.7260839927957266E-3</v>
      </c>
      <c r="N36" s="245">
        <v>-2.2204460492503131E-16</v>
      </c>
      <c r="O36" s="246"/>
      <c r="Q36" s="48" t="str">
        <f>A36</f>
        <v>Base - muddle up</v>
      </c>
    </row>
    <row r="37" spans="1:24">
      <c r="A37" s="50" t="str">
        <f t="shared" ref="A37:A43" si="28">A4</f>
        <v>High Yield</v>
      </c>
      <c r="B37" s="111">
        <v>0.69411177843555572</v>
      </c>
      <c r="C37" s="112">
        <v>0.10585938982390511</v>
      </c>
      <c r="D37" s="113">
        <v>0.58560829165328654</v>
      </c>
      <c r="E37" s="111">
        <v>0.69354567139337475</v>
      </c>
      <c r="F37" s="114">
        <v>0.81209481022680785</v>
      </c>
      <c r="G37" s="2">
        <v>1</v>
      </c>
      <c r="H37" s="2">
        <v>-0.28142481456628465</v>
      </c>
      <c r="I37" s="2">
        <v>-0.28823467995575386</v>
      </c>
      <c r="J37" s="2">
        <v>-0.32424154030250385</v>
      </c>
      <c r="K37" s="2">
        <v>-0.1961295464641474</v>
      </c>
      <c r="L37" s="2">
        <v>-9.7022470866428026E-2</v>
      </c>
      <c r="M37" s="2">
        <v>-0.12782439860254563</v>
      </c>
      <c r="N37" s="54">
        <v>0.99999999999999933</v>
      </c>
      <c r="O37" s="64"/>
      <c r="Q37" s="48" t="str">
        <f t="shared" ref="Q37:Q44" si="29">A37</f>
        <v>High Yield</v>
      </c>
      <c r="R37" s="67">
        <f>D37</f>
        <v>0.58560829165328654</v>
      </c>
      <c r="S37" s="49">
        <f>B37-D37</f>
        <v>0.10850348678226918</v>
      </c>
      <c r="T37" s="49">
        <f>F37-B37</f>
        <v>0.11798303179125214</v>
      </c>
      <c r="U37" s="49"/>
    </row>
    <row r="38" spans="1:24">
      <c r="A38" s="56" t="str">
        <f t="shared" si="28"/>
        <v>Emerging market debt</v>
      </c>
      <c r="B38" s="111">
        <v>1.568680985069874E-2</v>
      </c>
      <c r="C38" s="112">
        <v>1.5044665758746028E-2</v>
      </c>
      <c r="D38" s="113">
        <v>2.580178372177608E-3</v>
      </c>
      <c r="E38" s="111">
        <v>1.1068922927920234E-2</v>
      </c>
      <c r="F38" s="114">
        <v>2.9889012676479844E-2</v>
      </c>
      <c r="G38" s="2">
        <v>-2.8685819412476682E-3</v>
      </c>
      <c r="H38" s="2">
        <v>1.9268103285430727E-3</v>
      </c>
      <c r="I38" s="2">
        <v>2.3142903897344692E-3</v>
      </c>
      <c r="J38" s="2">
        <v>0.12457550958264887</v>
      </c>
      <c r="K38" s="2">
        <v>0.35451611712986458</v>
      </c>
      <c r="L38" s="2">
        <v>1</v>
      </c>
      <c r="M38" s="2">
        <v>-0.15786597658156395</v>
      </c>
      <c r="N38" s="54">
        <v>0.99999999999998623</v>
      </c>
      <c r="O38" s="64"/>
      <c r="Q38" s="48" t="str">
        <f t="shared" si="29"/>
        <v>Emerging market debt</v>
      </c>
      <c r="R38" s="67">
        <f t="shared" ref="R38:R44" si="30">D38</f>
        <v>2.580178372177608E-3</v>
      </c>
      <c r="S38" s="49">
        <f t="shared" ref="S38:S44" si="31">B38-D38</f>
        <v>1.3106631478521133E-2</v>
      </c>
      <c r="T38" s="49">
        <f t="shared" ref="T38:T44" si="32">F38-B38</f>
        <v>1.4202202825781104E-2</v>
      </c>
      <c r="U38" s="49"/>
    </row>
    <row r="39" spans="1:24">
      <c r="A39" s="56" t="str">
        <f t="shared" si="28"/>
        <v>Aandelen ontwikkeld</v>
      </c>
      <c r="B39" s="111">
        <v>1.6510819328145462E-2</v>
      </c>
      <c r="C39" s="112">
        <v>1.7436539784885033E-2</v>
      </c>
      <c r="D39" s="113">
        <v>1.7483833572427862E-3</v>
      </c>
      <c r="E39" s="111">
        <v>1.1341266872162931E-2</v>
      </c>
      <c r="F39" s="114">
        <v>2.9052255646219403E-2</v>
      </c>
      <c r="G39" s="2">
        <v>-3.1468679519588111E-3</v>
      </c>
      <c r="H39" s="2">
        <v>-6.8101057434349979E-3</v>
      </c>
      <c r="I39" s="2">
        <v>2.5775231253767586E-2</v>
      </c>
      <c r="J39" s="2">
        <v>0.31362204644611197</v>
      </c>
      <c r="K39" s="2">
        <v>1</v>
      </c>
      <c r="L39" s="2">
        <v>-0.49953682343898315</v>
      </c>
      <c r="M39" s="2">
        <v>-0.18476520785809725</v>
      </c>
      <c r="N39" s="54">
        <v>0.99999999999999212</v>
      </c>
      <c r="O39" s="64"/>
      <c r="Q39" s="48" t="str">
        <f t="shared" si="29"/>
        <v>Aandelen ontwikkeld</v>
      </c>
      <c r="R39" s="67">
        <f t="shared" si="30"/>
        <v>1.7483833572427862E-3</v>
      </c>
      <c r="S39" s="49">
        <f t="shared" si="31"/>
        <v>1.4762435970902675E-2</v>
      </c>
      <c r="T39" s="49">
        <f t="shared" si="32"/>
        <v>1.2541436318073942E-2</v>
      </c>
      <c r="U39" s="49"/>
    </row>
    <row r="40" spans="1:24">
      <c r="A40" s="56" t="str">
        <f t="shared" si="28"/>
        <v>Aandelen opkomend</v>
      </c>
      <c r="B40" s="111">
        <v>7.6991725149169687E-2</v>
      </c>
      <c r="C40" s="112">
        <v>6.1601062942229667E-2</v>
      </c>
      <c r="D40" s="113">
        <v>1.6572011801079672E-2</v>
      </c>
      <c r="E40" s="111">
        <v>6.2974184557227475E-2</v>
      </c>
      <c r="F40" s="114">
        <v>0.13822220756047671</v>
      </c>
      <c r="G40" s="2">
        <v>-0.20905715250210188</v>
      </c>
      <c r="H40" s="2">
        <v>1</v>
      </c>
      <c r="I40" s="2">
        <v>-0.38978289917736425</v>
      </c>
      <c r="J40" s="2">
        <v>-0.3318963350467532</v>
      </c>
      <c r="K40" s="2">
        <v>-0.1937433319069031</v>
      </c>
      <c r="L40" s="2">
        <v>-0.10404423097372552</v>
      </c>
      <c r="M40" s="2">
        <v>-0.14088189731062992</v>
      </c>
      <c r="N40" s="54">
        <v>0.99999999999999911</v>
      </c>
      <c r="O40" s="64"/>
      <c r="Q40" s="48" t="str">
        <f t="shared" si="29"/>
        <v>Aandelen opkomend</v>
      </c>
      <c r="R40" s="67">
        <f t="shared" si="30"/>
        <v>1.6572011801079672E-2</v>
      </c>
      <c r="S40" s="49">
        <f t="shared" si="31"/>
        <v>6.0419713348090015E-2</v>
      </c>
      <c r="T40" s="49">
        <f t="shared" si="32"/>
        <v>6.1230482411307019E-2</v>
      </c>
      <c r="U40" s="49"/>
      <c r="X40" s="48"/>
    </row>
    <row r="41" spans="1:24">
      <c r="A41" s="56" t="str">
        <f t="shared" si="28"/>
        <v>Commodities</v>
      </c>
      <c r="B41" s="111">
        <v>0.12995005645434157</v>
      </c>
      <c r="C41" s="112">
        <v>8.292429449464675E-2</v>
      </c>
      <c r="D41" s="113">
        <v>4.1922136875637159E-2</v>
      </c>
      <c r="E41" s="111">
        <v>0.12037874134464768</v>
      </c>
      <c r="F41" s="114">
        <v>0.22174574969067287</v>
      </c>
      <c r="G41" s="2">
        <v>-0.6822545247741183</v>
      </c>
      <c r="H41" s="2">
        <v>-0.72018237840281274</v>
      </c>
      <c r="I41" s="2">
        <v>-0.40745204089679438</v>
      </c>
      <c r="J41" s="2">
        <v>-0.36359221881384995</v>
      </c>
      <c r="K41" s="2">
        <v>-0.19456427608669116</v>
      </c>
      <c r="L41" s="2">
        <v>-9.9394624427215986E-2</v>
      </c>
      <c r="M41" s="2">
        <v>-0.14186520012220666</v>
      </c>
      <c r="N41" s="54">
        <v>1</v>
      </c>
      <c r="O41" s="64"/>
      <c r="P41" s="67"/>
      <c r="Q41" s="48" t="str">
        <f t="shared" si="29"/>
        <v>Commodities</v>
      </c>
      <c r="R41" s="67">
        <f t="shared" si="30"/>
        <v>4.1922136875637159E-2</v>
      </c>
      <c r="S41" s="49">
        <f t="shared" si="31"/>
        <v>8.8027919578704414E-2</v>
      </c>
      <c r="T41" s="49">
        <f t="shared" si="32"/>
        <v>9.1795693236331299E-2</v>
      </c>
      <c r="U41" s="49"/>
      <c r="V41" s="49"/>
      <c r="W41" s="49"/>
    </row>
    <row r="42" spans="1:24">
      <c r="A42" s="56" t="str">
        <f t="shared" si="28"/>
        <v>Hedge funds</v>
      </c>
      <c r="B42" s="111">
        <v>3.4932877943967558E-2</v>
      </c>
      <c r="C42" s="112">
        <v>3.2281001228243428E-2</v>
      </c>
      <c r="D42" s="113">
        <v>6.0761425181454541E-3</v>
      </c>
      <c r="E42" s="111">
        <v>2.5431846298367276E-2</v>
      </c>
      <c r="F42" s="114">
        <v>6.1035131263098383E-2</v>
      </c>
      <c r="G42" s="2">
        <v>-6.9110395519272533E-2</v>
      </c>
      <c r="H42" s="2">
        <v>1.6606439173395021E-2</v>
      </c>
      <c r="I42" s="2">
        <v>1</v>
      </c>
      <c r="J42" s="2">
        <v>-0.47718038040830452</v>
      </c>
      <c r="K42" s="2">
        <v>-0.17177042069913587</v>
      </c>
      <c r="L42" s="2">
        <v>-8.7299319869469136E-2</v>
      </c>
      <c r="M42" s="2">
        <v>-8.5237951683680063E-2</v>
      </c>
      <c r="N42" s="54">
        <v>0.99999999999999578</v>
      </c>
      <c r="O42" s="64"/>
      <c r="P42" s="67"/>
      <c r="Q42" s="48" t="str">
        <f t="shared" si="29"/>
        <v>Hedge funds</v>
      </c>
      <c r="R42" s="67">
        <f t="shared" si="30"/>
        <v>6.0761425181454541E-3</v>
      </c>
      <c r="S42" s="49">
        <f t="shared" si="31"/>
        <v>2.8856735425822105E-2</v>
      </c>
      <c r="T42" s="49">
        <f t="shared" si="32"/>
        <v>2.6102253319130825E-2</v>
      </c>
      <c r="U42" s="49"/>
      <c r="V42" s="49"/>
      <c r="W42" s="49"/>
    </row>
    <row r="43" spans="1:24">
      <c r="A43" s="56" t="str">
        <f t="shared" si="28"/>
        <v>Onroerend goed</v>
      </c>
      <c r="B43" s="111">
        <v>2.3233699192532882E-2</v>
      </c>
      <c r="C43" s="112">
        <v>2.1485323957598269E-2</v>
      </c>
      <c r="D43" s="113">
        <v>3.7265962422271342E-3</v>
      </c>
      <c r="E43" s="111">
        <v>1.7263227612468665E-2</v>
      </c>
      <c r="F43" s="114">
        <v>4.3278445703550592E-2</v>
      </c>
      <c r="G43" s="2">
        <v>-2.4295978284057641E-2</v>
      </c>
      <c r="H43" s="2">
        <v>-1.146517311921493E-2</v>
      </c>
      <c r="I43" s="2">
        <v>0.10036032645135989</v>
      </c>
      <c r="J43" s="2">
        <v>1</v>
      </c>
      <c r="K43" s="2">
        <v>-0.64088971703615449</v>
      </c>
      <c r="L43" s="2">
        <v>-0.11163427753462019</v>
      </c>
      <c r="M43" s="2">
        <v>-0.16155936784125879</v>
      </c>
      <c r="N43" s="54">
        <v>0.99999999999999445</v>
      </c>
      <c r="O43" s="64"/>
      <c r="P43" s="67"/>
      <c r="Q43" s="48" t="str">
        <f t="shared" ref="Q43" si="33">A43</f>
        <v>Onroerend goed</v>
      </c>
      <c r="R43" s="67">
        <f t="shared" ref="R43" si="34">D43</f>
        <v>3.7265962422271342E-3</v>
      </c>
      <c r="S43" s="49">
        <f t="shared" ref="S43" si="35">B43-D43</f>
        <v>1.9507102950305749E-2</v>
      </c>
      <c r="T43" s="49">
        <f t="shared" ref="T43" si="36">F43-B43</f>
        <v>2.0044746511017709E-2</v>
      </c>
      <c r="U43" s="49"/>
      <c r="V43" s="49"/>
      <c r="W43" s="49"/>
    </row>
    <row r="44" spans="1:24">
      <c r="A44" s="57" t="str">
        <f t="shared" ref="A44" si="37">A11</f>
        <v>Periferie bonds</v>
      </c>
      <c r="B44" s="115">
        <v>8.5822336455884506E-3</v>
      </c>
      <c r="C44" s="116">
        <v>1.0149142465181678E-2</v>
      </c>
      <c r="D44" s="117">
        <v>4.1345072527573394E-4</v>
      </c>
      <c r="E44" s="115">
        <v>4.7546326226249698E-3</v>
      </c>
      <c r="F44" s="118">
        <v>1.6988342583015022E-2</v>
      </c>
      <c r="G44" s="62">
        <v>-9.2664990272434741E-3</v>
      </c>
      <c r="H44" s="62">
        <v>1.3492223298102249E-3</v>
      </c>
      <c r="I44" s="62">
        <v>-4.2980228064945919E-2</v>
      </c>
      <c r="J44" s="62">
        <v>5.8712918542658685E-2</v>
      </c>
      <c r="K44" s="62">
        <v>4.2581175063176352E-2</v>
      </c>
      <c r="L44" s="62">
        <v>-1.0682528895503667E-3</v>
      </c>
      <c r="M44" s="62">
        <v>1</v>
      </c>
      <c r="N44" s="63">
        <v>0.99999999999997791</v>
      </c>
      <c r="O44" s="64"/>
      <c r="P44" s="67"/>
      <c r="Q44" s="48" t="str">
        <f t="shared" si="29"/>
        <v>Periferie bonds</v>
      </c>
      <c r="R44" s="67">
        <f t="shared" si="30"/>
        <v>4.1345072527573394E-4</v>
      </c>
      <c r="S44" s="49">
        <f t="shared" si="31"/>
        <v>8.1687829203127161E-3</v>
      </c>
      <c r="T44" s="49">
        <f t="shared" si="32"/>
        <v>8.4061089374265711E-3</v>
      </c>
      <c r="U44" s="49"/>
      <c r="V44" s="49"/>
      <c r="W44" s="49"/>
    </row>
    <row r="45" spans="1:24">
      <c r="A45" s="64"/>
      <c r="B45" s="111"/>
      <c r="C45" s="111"/>
      <c r="D45" s="111"/>
      <c r="E45" s="111"/>
      <c r="F45" s="111"/>
      <c r="G45" s="2"/>
      <c r="H45" s="2"/>
      <c r="I45" s="2"/>
      <c r="J45" s="2"/>
      <c r="K45" s="2"/>
      <c r="L45" s="2"/>
      <c r="M45" s="2"/>
      <c r="N45" s="65"/>
      <c r="O45" s="64"/>
      <c r="P45" s="67"/>
      <c r="Q45" s="67"/>
      <c r="R45" s="67"/>
      <c r="T45" s="49"/>
      <c r="U45" s="49"/>
      <c r="V45" s="49"/>
      <c r="W45" s="49"/>
    </row>
    <row r="46" spans="1:24">
      <c r="A46" s="46"/>
      <c r="D46" s="327" t="s">
        <v>64</v>
      </c>
      <c r="E46" s="328"/>
      <c r="F46" s="329"/>
      <c r="G46" s="327" t="s">
        <v>65</v>
      </c>
      <c r="H46" s="328"/>
      <c r="I46" s="328"/>
      <c r="J46" s="328"/>
      <c r="K46" s="328"/>
      <c r="L46" s="328"/>
      <c r="M46" s="328"/>
      <c r="N46" s="329"/>
      <c r="O46" s="64"/>
      <c r="P46" s="67"/>
      <c r="Q46" s="67"/>
      <c r="R46" s="67"/>
      <c r="T46" s="49"/>
      <c r="U46" s="49"/>
      <c r="V46" s="49"/>
      <c r="W46" s="49"/>
    </row>
    <row r="47" spans="1:24">
      <c r="A47" s="239" t="str">
        <f>'Samenvatting mixen'!A51</f>
        <v>Bear case</v>
      </c>
      <c r="B47" s="240" t="s">
        <v>67</v>
      </c>
      <c r="C47" s="241" t="s">
        <v>2</v>
      </c>
      <c r="D47" s="242">
        <v>0.25</v>
      </c>
      <c r="E47" s="243">
        <v>0.5</v>
      </c>
      <c r="F47" s="244">
        <v>0.75</v>
      </c>
      <c r="G47" s="245">
        <v>0.70896917668427384</v>
      </c>
      <c r="H47" s="245">
        <v>0.12344081918296279</v>
      </c>
      <c r="I47" s="245">
        <v>5.3368883561852321E-2</v>
      </c>
      <c r="J47" s="245">
        <v>4.0005521710665293E-2</v>
      </c>
      <c r="K47" s="245">
        <v>3.6340962274497235E-2</v>
      </c>
      <c r="L47" s="245">
        <v>2.42425284990474E-2</v>
      </c>
      <c r="M47" s="245">
        <v>1.3632108086696904E-2</v>
      </c>
      <c r="N47" s="245">
        <v>0</v>
      </c>
      <c r="O47" s="246"/>
      <c r="P47" s="67"/>
      <c r="Q47" s="48" t="str">
        <f>A47</f>
        <v>Bear case</v>
      </c>
      <c r="V47" s="49"/>
      <c r="W47" s="49"/>
    </row>
    <row r="48" spans="1:24">
      <c r="A48" s="50" t="str">
        <f t="shared" ref="A48:A54" si="38">A4</f>
        <v>High Yield</v>
      </c>
      <c r="B48" s="111">
        <v>1.4195819354989034E-3</v>
      </c>
      <c r="C48" s="112">
        <v>2.3648093363142189E-3</v>
      </c>
      <c r="D48" s="113">
        <v>3.7442322971738953E-6</v>
      </c>
      <c r="E48" s="111">
        <v>3.4194218051426383E-4</v>
      </c>
      <c r="F48" s="114">
        <v>2.9195252051538775E-3</v>
      </c>
      <c r="G48" s="2">
        <v>-8.181706130445715E-2</v>
      </c>
      <c r="H48" s="2">
        <v>-0.21142973500438508</v>
      </c>
      <c r="I48" s="2">
        <v>-0.74074190756017655</v>
      </c>
      <c r="J48" s="2">
        <v>1</v>
      </c>
      <c r="K48" s="2">
        <v>-0.11621781883024793</v>
      </c>
      <c r="L48" s="2">
        <v>-0.1971382908620129</v>
      </c>
      <c r="M48" s="2">
        <v>-8.0166768384471163E-2</v>
      </c>
      <c r="N48" s="54">
        <v>0.99999999999999689</v>
      </c>
      <c r="O48" s="64"/>
      <c r="Q48" s="48" t="str">
        <f t="shared" ref="Q48:Q55" si="39">A48</f>
        <v>High Yield</v>
      </c>
      <c r="R48" s="67">
        <f>D48</f>
        <v>3.7442322971738953E-6</v>
      </c>
      <c r="S48" s="49">
        <f>B48-D48</f>
        <v>1.4158377032017296E-3</v>
      </c>
      <c r="T48" s="49">
        <f>F48-B48</f>
        <v>1.499943269654974E-3</v>
      </c>
      <c r="U48" s="49"/>
    </row>
    <row r="49" spans="1:24">
      <c r="A49" s="56" t="str">
        <f t="shared" si="38"/>
        <v>Emerging market debt</v>
      </c>
      <c r="B49" s="111">
        <v>1.744401686558099E-3</v>
      </c>
      <c r="C49" s="112">
        <v>3.0148102729444571E-3</v>
      </c>
      <c r="D49" s="113">
        <v>5.5699956354084685E-6</v>
      </c>
      <c r="E49" s="111">
        <v>4.1010040463446829E-4</v>
      </c>
      <c r="F49" s="114">
        <v>3.5785700602625277E-3</v>
      </c>
      <c r="G49" s="2">
        <v>-9.1085337182042758E-2</v>
      </c>
      <c r="H49" s="2">
        <v>-0.79582203243770377</v>
      </c>
      <c r="I49" s="2">
        <v>1</v>
      </c>
      <c r="J49" s="2">
        <v>0.29024746719300742</v>
      </c>
      <c r="K49" s="2">
        <v>-3.962063199591976E-2</v>
      </c>
      <c r="L49" s="2">
        <v>-0.10453877654541481</v>
      </c>
      <c r="M49" s="2">
        <v>-9.1210144325686776E-2</v>
      </c>
      <c r="N49" s="54">
        <v>0.99999999999999534</v>
      </c>
      <c r="O49" s="64"/>
      <c r="Q49" s="48" t="str">
        <f t="shared" si="39"/>
        <v>Emerging market debt</v>
      </c>
      <c r="R49" s="67">
        <f t="shared" ref="R49:R55" si="40">D49</f>
        <v>5.5699956354084685E-6</v>
      </c>
      <c r="S49" s="49">
        <f t="shared" ref="S49:S55" si="41">B49-D49</f>
        <v>1.7388316909226905E-3</v>
      </c>
      <c r="T49" s="49">
        <f t="shared" ref="T49:T55" si="42">F49-B49</f>
        <v>1.8341683737044287E-3</v>
      </c>
      <c r="U49" s="49"/>
    </row>
    <row r="50" spans="1:24">
      <c r="A50" s="56" t="str">
        <f t="shared" si="38"/>
        <v>Aandelen ontwikkeld</v>
      </c>
      <c r="B50" s="111">
        <v>7.906419478427133E-4</v>
      </c>
      <c r="C50" s="112">
        <v>1.2857162769173247E-3</v>
      </c>
      <c r="D50" s="113">
        <v>5.7332667324219061E-7</v>
      </c>
      <c r="E50" s="111">
        <v>1.5532065827111928E-4</v>
      </c>
      <c r="F50" s="114">
        <v>1.7996900431121667E-3</v>
      </c>
      <c r="G50" s="2">
        <v>-1.5267638003988357E-2</v>
      </c>
      <c r="H50" s="2">
        <v>-1.7231733842940414E-2</v>
      </c>
      <c r="I50" s="2">
        <v>-4.9014212317817538E-2</v>
      </c>
      <c r="J50" s="2">
        <v>-8.5164988790679408E-2</v>
      </c>
      <c r="K50" s="2">
        <v>1.2379326232316084E-2</v>
      </c>
      <c r="L50" s="2">
        <v>0.25031536044666713</v>
      </c>
      <c r="M50" s="2">
        <v>1</v>
      </c>
      <c r="N50" s="54">
        <v>0.99999999999999556</v>
      </c>
      <c r="O50" s="64"/>
      <c r="Q50" s="48" t="str">
        <f t="shared" si="39"/>
        <v>Aandelen ontwikkeld</v>
      </c>
      <c r="R50" s="67">
        <f t="shared" si="40"/>
        <v>5.7332667324219061E-7</v>
      </c>
      <c r="S50" s="49">
        <f t="shared" si="41"/>
        <v>7.9006862116947111E-4</v>
      </c>
      <c r="T50" s="49">
        <f t="shared" si="42"/>
        <v>1.0090480952694534E-3</v>
      </c>
      <c r="U50" s="49"/>
    </row>
    <row r="51" spans="1:24">
      <c r="A51" s="56" t="str">
        <f t="shared" si="38"/>
        <v>Aandelen opkomend</v>
      </c>
      <c r="B51" s="111">
        <v>1.1049942122355037E-3</v>
      </c>
      <c r="C51" s="112">
        <v>2.1340122000186468E-3</v>
      </c>
      <c r="D51" s="113">
        <v>9.5638956105710569E-7</v>
      </c>
      <c r="E51" s="111">
        <v>1.8918306267446769E-4</v>
      </c>
      <c r="F51" s="114">
        <v>2.3057123386631311E-3</v>
      </c>
      <c r="G51" s="2">
        <v>-3.6664268901708937E-2</v>
      </c>
      <c r="H51" s="2">
        <v>-0.22587286932496012</v>
      </c>
      <c r="I51" s="2">
        <v>-0.29947770045681921</v>
      </c>
      <c r="J51" s="2">
        <v>-0.71754754076836524</v>
      </c>
      <c r="K51" s="2">
        <v>-0.88439669566688617</v>
      </c>
      <c r="L51" s="2">
        <v>-0.35465925857665642</v>
      </c>
      <c r="M51" s="2">
        <v>-0.1196656448526361</v>
      </c>
      <c r="N51" s="54">
        <v>0.99999999999999867</v>
      </c>
      <c r="O51" s="64"/>
      <c r="Q51" s="48" t="str">
        <f t="shared" si="39"/>
        <v>Aandelen opkomend</v>
      </c>
      <c r="R51" s="67">
        <f t="shared" si="40"/>
        <v>9.5638956105710569E-7</v>
      </c>
      <c r="S51" s="49">
        <f t="shared" si="41"/>
        <v>1.1040378226744466E-3</v>
      </c>
      <c r="T51" s="49">
        <f t="shared" si="42"/>
        <v>1.2007181264276274E-3</v>
      </c>
      <c r="U51" s="49"/>
    </row>
    <row r="52" spans="1:24">
      <c r="A52" s="56" t="str">
        <f t="shared" si="38"/>
        <v>Commodities</v>
      </c>
      <c r="B52" s="111">
        <v>8.0282654302669195E-4</v>
      </c>
      <c r="C52" s="112">
        <v>1.7022977874729399E-3</v>
      </c>
      <c r="D52" s="113">
        <v>2.9670623404360469E-7</v>
      </c>
      <c r="E52" s="111">
        <v>8.2187198272265676E-5</v>
      </c>
      <c r="F52" s="114">
        <v>1.5281733136726593E-3</v>
      </c>
      <c r="G52" s="2">
        <v>-2.3420026841897462E-2</v>
      </c>
      <c r="H52" s="2">
        <v>-0.15067406463964367</v>
      </c>
      <c r="I52" s="2">
        <v>-0.2052067702396039</v>
      </c>
      <c r="J52" s="2">
        <v>-0.19460908079369874</v>
      </c>
      <c r="K52" s="2">
        <v>7.4562274322993505E-2</v>
      </c>
      <c r="L52" s="2">
        <v>1</v>
      </c>
      <c r="M52" s="2">
        <v>-0.38235666683054337</v>
      </c>
      <c r="N52" s="54">
        <v>0.99999999999999556</v>
      </c>
      <c r="O52" s="64"/>
      <c r="Q52" s="48" t="str">
        <f t="shared" si="39"/>
        <v>Commodities</v>
      </c>
      <c r="R52" s="67">
        <f t="shared" si="40"/>
        <v>2.9670623404360469E-7</v>
      </c>
      <c r="S52" s="49">
        <f t="shared" si="41"/>
        <v>8.0252983679264837E-4</v>
      </c>
      <c r="T52" s="49">
        <f t="shared" si="42"/>
        <v>7.2534677064596737E-4</v>
      </c>
      <c r="U52" s="49"/>
    </row>
    <row r="53" spans="1:24">
      <c r="A53" s="56" t="str">
        <f t="shared" si="38"/>
        <v>Hedge funds</v>
      </c>
      <c r="B53" s="111">
        <v>4.3675145959549038E-3</v>
      </c>
      <c r="C53" s="112">
        <v>6.2422820113255308E-3</v>
      </c>
      <c r="D53" s="113">
        <v>5.1260444481422263E-5</v>
      </c>
      <c r="E53" s="111">
        <v>1.6257413117936083E-3</v>
      </c>
      <c r="F53" s="114">
        <v>9.5183279309993124E-3</v>
      </c>
      <c r="G53" s="2">
        <v>-0.71747726996781291</v>
      </c>
      <c r="H53" s="2">
        <v>1</v>
      </c>
      <c r="I53" s="2">
        <v>0.33319674829063128</v>
      </c>
      <c r="J53" s="2">
        <v>7.8251049926372773E-2</v>
      </c>
      <c r="K53" s="2">
        <v>-2.1756845783703425E-2</v>
      </c>
      <c r="L53" s="2">
        <v>-8.4838442602609976E-2</v>
      </c>
      <c r="M53" s="2">
        <v>-0.11776016551344679</v>
      </c>
      <c r="N53" s="54">
        <v>0.99999999999999845</v>
      </c>
      <c r="O53" s="64"/>
      <c r="Q53" s="48" t="str">
        <f t="shared" si="39"/>
        <v>Hedge funds</v>
      </c>
      <c r="R53" s="67">
        <f t="shared" si="40"/>
        <v>5.1260444481422263E-5</v>
      </c>
      <c r="S53" s="49">
        <f t="shared" si="41"/>
        <v>4.3162541514734816E-3</v>
      </c>
      <c r="T53" s="49">
        <f t="shared" si="42"/>
        <v>5.1508133350444086E-3</v>
      </c>
      <c r="U53" s="49"/>
      <c r="X53" s="48"/>
    </row>
    <row r="54" spans="1:24">
      <c r="A54" s="56" t="str">
        <f t="shared" si="38"/>
        <v>Onroerend goed</v>
      </c>
      <c r="B54" s="111">
        <v>1.1685956472231511E-3</v>
      </c>
      <c r="C54" s="112">
        <v>2.0903212759458456E-3</v>
      </c>
      <c r="D54" s="113">
        <v>9.1390647137958608E-7</v>
      </c>
      <c r="E54" s="111">
        <v>2.0402001961720086E-4</v>
      </c>
      <c r="F54" s="114">
        <v>2.4454553062365392E-3</v>
      </c>
      <c r="G54" s="2">
        <v>-3.4268397798094985E-2</v>
      </c>
      <c r="H54" s="2">
        <v>-0.20747730017840471</v>
      </c>
      <c r="I54" s="2">
        <v>-0.28209587813569659</v>
      </c>
      <c r="J54" s="2">
        <v>-0.48672881539433477</v>
      </c>
      <c r="K54" s="2">
        <v>1</v>
      </c>
      <c r="L54" s="2">
        <v>-0.42238372746486824</v>
      </c>
      <c r="M54" s="2">
        <v>-0.10771752606528207</v>
      </c>
      <c r="N54" s="54">
        <v>0.99999999999999978</v>
      </c>
      <c r="O54" s="64"/>
      <c r="Q54" s="48" t="str">
        <f t="shared" ref="Q54" si="43">A54</f>
        <v>Onroerend goed</v>
      </c>
      <c r="R54" s="67">
        <f t="shared" ref="R54" si="44">D54</f>
        <v>9.1390647137958608E-7</v>
      </c>
      <c r="S54" s="49">
        <f t="shared" ref="S54" si="45">B54-D54</f>
        <v>1.1676817407517714E-3</v>
      </c>
      <c r="T54" s="49">
        <f t="shared" ref="T54" si="46">F54-B54</f>
        <v>1.2768596590133881E-3</v>
      </c>
      <c r="U54" s="49"/>
      <c r="X54" s="48"/>
    </row>
    <row r="55" spans="1:24">
      <c r="A55" s="57" t="str">
        <f t="shared" ref="A55" si="47">A11</f>
        <v>Periferie bonds</v>
      </c>
      <c r="B55" s="115">
        <v>0.98860144343165945</v>
      </c>
      <c r="C55" s="116">
        <v>7.9622450045871238E-3</v>
      </c>
      <c r="D55" s="117">
        <v>0.98078190115486708</v>
      </c>
      <c r="E55" s="115">
        <v>0.99003388498228206</v>
      </c>
      <c r="F55" s="118">
        <v>0.99652877539531404</v>
      </c>
      <c r="G55" s="62">
        <v>1</v>
      </c>
      <c r="H55" s="62">
        <v>0.60850773542803438</v>
      </c>
      <c r="I55" s="62">
        <v>0.24333972041948457</v>
      </c>
      <c r="J55" s="62">
        <v>0.11555190862770011</v>
      </c>
      <c r="K55" s="62">
        <v>-2.49496082785538E-2</v>
      </c>
      <c r="L55" s="62">
        <v>-8.6756864395100552E-2</v>
      </c>
      <c r="M55" s="62">
        <v>-0.10112308402793264</v>
      </c>
      <c r="N55" s="63">
        <v>1</v>
      </c>
      <c r="O55" s="64"/>
      <c r="P55" s="67"/>
      <c r="Q55" s="48" t="str">
        <f t="shared" si="39"/>
        <v>Periferie bonds</v>
      </c>
      <c r="R55" s="67">
        <f t="shared" si="40"/>
        <v>0.98078190115486708</v>
      </c>
      <c r="S55" s="49">
        <f t="shared" si="41"/>
        <v>7.8195422767923795E-3</v>
      </c>
      <c r="T55" s="49">
        <f t="shared" si="42"/>
        <v>7.9273319636545825E-3</v>
      </c>
      <c r="U55" s="49"/>
      <c r="V55" s="49"/>
      <c r="W55" s="49"/>
    </row>
    <row r="56" spans="1:24">
      <c r="A56" s="64"/>
      <c r="B56" s="111"/>
      <c r="C56" s="111"/>
      <c r="D56" s="111"/>
      <c r="E56" s="111"/>
      <c r="F56" s="111"/>
      <c r="G56" s="65"/>
      <c r="H56" s="65"/>
      <c r="I56" s="65"/>
      <c r="J56" s="65"/>
      <c r="K56" s="65"/>
      <c r="L56" s="65"/>
      <c r="M56" s="65"/>
      <c r="N56" s="65"/>
      <c r="O56" s="64"/>
      <c r="P56" s="67"/>
      <c r="Q56" s="67"/>
      <c r="R56" s="67"/>
      <c r="T56" s="49"/>
      <c r="U56" s="49"/>
      <c r="V56" s="49"/>
      <c r="W56" s="49"/>
    </row>
    <row r="57" spans="1:24">
      <c r="A57" s="46"/>
      <c r="D57" s="327" t="s">
        <v>64</v>
      </c>
      <c r="E57" s="328"/>
      <c r="F57" s="329"/>
      <c r="G57" s="327" t="s">
        <v>65</v>
      </c>
      <c r="H57" s="328"/>
      <c r="I57" s="328"/>
      <c r="J57" s="328"/>
      <c r="K57" s="328"/>
      <c r="L57" s="328"/>
      <c r="M57" s="328"/>
      <c r="N57" s="329"/>
      <c r="O57" s="64"/>
      <c r="P57" s="67"/>
      <c r="Q57" s="67"/>
      <c r="R57" s="67"/>
      <c r="T57" s="49"/>
      <c r="U57" s="49"/>
      <c r="V57" s="49"/>
      <c r="W57" s="49"/>
    </row>
    <row r="58" spans="1:24">
      <c r="A58" s="239" t="str">
        <f>'Samenvatting mixen'!A63</f>
        <v>Tail risk</v>
      </c>
      <c r="B58" s="240" t="s">
        <v>67</v>
      </c>
      <c r="C58" s="241" t="s">
        <v>2</v>
      </c>
      <c r="D58" s="242">
        <v>0.25</v>
      </c>
      <c r="E58" s="243">
        <v>0.5</v>
      </c>
      <c r="F58" s="244">
        <v>0.75</v>
      </c>
      <c r="G58" s="245">
        <v>0.76479352710546389</v>
      </c>
      <c r="H58" s="245">
        <v>9.5210971696593649E-2</v>
      </c>
      <c r="I58" s="245">
        <v>4.208169519575955E-2</v>
      </c>
      <c r="J58" s="245">
        <v>3.437669773070795E-2</v>
      </c>
      <c r="K58" s="245">
        <v>2.9317119496053534E-2</v>
      </c>
      <c r="L58" s="245">
        <v>2.6268021376052775E-2</v>
      </c>
      <c r="M58" s="245">
        <v>7.9519673993718731E-3</v>
      </c>
      <c r="N58" s="245">
        <v>0</v>
      </c>
      <c r="O58" s="246"/>
      <c r="P58" s="67"/>
      <c r="Q58" s="48" t="str">
        <f>A58</f>
        <v>Tail risk</v>
      </c>
      <c r="V58" s="49"/>
      <c r="W58" s="49"/>
    </row>
    <row r="59" spans="1:24">
      <c r="A59" s="50" t="str">
        <f t="shared" ref="A59:A65" si="48">A48</f>
        <v>High Yield</v>
      </c>
      <c r="B59" s="111">
        <v>3.00982273366498E-3</v>
      </c>
      <c r="C59" s="112">
        <v>4.7926985960282924E-3</v>
      </c>
      <c r="D59" s="113">
        <v>5.9884942021812416E-6</v>
      </c>
      <c r="E59" s="111">
        <v>7.4615265698940746E-4</v>
      </c>
      <c r="F59" s="114">
        <v>6.6896743277539486E-3</v>
      </c>
      <c r="G59" s="2">
        <v>-2.4069235289717859E-2</v>
      </c>
      <c r="H59" s="2">
        <v>-0.61538771513582513</v>
      </c>
      <c r="I59" s="2">
        <v>1</v>
      </c>
      <c r="J59" s="2">
        <v>0.49880603497168302</v>
      </c>
      <c r="K59" s="2">
        <v>-1.8202148923933868E-2</v>
      </c>
      <c r="L59" s="2">
        <v>-0.10699220877535491</v>
      </c>
      <c r="M59" s="2">
        <v>-0.13154328781560753</v>
      </c>
      <c r="N59" s="54">
        <v>0.99999999999999722</v>
      </c>
      <c r="O59" s="64"/>
      <c r="P59" s="67"/>
      <c r="Q59" s="48" t="str">
        <f t="shared" ref="Q59:Q66" si="49">A59</f>
        <v>High Yield</v>
      </c>
      <c r="R59" s="67">
        <f>D59</f>
        <v>5.9884942021812416E-6</v>
      </c>
      <c r="S59" s="49">
        <f>B59-D59</f>
        <v>3.0038342394627989E-3</v>
      </c>
      <c r="T59" s="49">
        <f>F59-B59</f>
        <v>3.6798515940889686E-3</v>
      </c>
      <c r="U59" s="49"/>
      <c r="V59" s="49">
        <f t="shared" ref="V59:V64" si="50">O4</f>
        <v>0</v>
      </c>
      <c r="W59" s="49"/>
    </row>
    <row r="60" spans="1:24">
      <c r="A60" s="56" t="str">
        <f t="shared" si="48"/>
        <v>Emerging market debt</v>
      </c>
      <c r="B60" s="111">
        <v>1.0036054740670012E-2</v>
      </c>
      <c r="C60" s="112">
        <v>1.4545203378993014E-2</v>
      </c>
      <c r="D60" s="113">
        <v>4.8168490367931526E-5</v>
      </c>
      <c r="E60" s="111">
        <v>3.2915364727096955E-3</v>
      </c>
      <c r="F60" s="114">
        <v>2.284313227875065E-2</v>
      </c>
      <c r="G60" s="2">
        <v>-0.94678575657531061</v>
      </c>
      <c r="H60" s="2">
        <v>1</v>
      </c>
      <c r="I60" s="2">
        <v>6.1616242087120333E-2</v>
      </c>
      <c r="J60" s="2">
        <v>0.18676849463659298</v>
      </c>
      <c r="K60" s="2">
        <v>1.3145602413286763E-2</v>
      </c>
      <c r="L60" s="2">
        <v>-4.6301126805055395E-2</v>
      </c>
      <c r="M60" s="2">
        <v>-0.12949720340815354</v>
      </c>
      <c r="N60" s="54">
        <v>0.99999999999999933</v>
      </c>
      <c r="O60" s="64"/>
      <c r="P60" s="67"/>
      <c r="Q60" s="48" t="str">
        <f t="shared" si="49"/>
        <v>Emerging market debt</v>
      </c>
      <c r="R60" s="67">
        <f t="shared" ref="R60:R66" si="51">D60</f>
        <v>4.8168490367931526E-5</v>
      </c>
      <c r="S60" s="49">
        <f t="shared" ref="S60:S66" si="52">B60-D60</f>
        <v>9.9878862503020808E-3</v>
      </c>
      <c r="T60" s="49">
        <f t="shared" ref="T60:T66" si="53">F60-B60</f>
        <v>1.2807077538080637E-2</v>
      </c>
      <c r="U60" s="49"/>
      <c r="V60" s="49">
        <f t="shared" si="50"/>
        <v>0</v>
      </c>
      <c r="W60" s="49"/>
    </row>
    <row r="61" spans="1:24">
      <c r="A61" s="56" t="str">
        <f t="shared" si="48"/>
        <v>Aandelen ontwikkeld</v>
      </c>
      <c r="B61" s="111">
        <v>2.0743367696642269E-3</v>
      </c>
      <c r="C61" s="112">
        <v>3.8625070527340804E-3</v>
      </c>
      <c r="D61" s="113">
        <v>1.5384432880526997E-6</v>
      </c>
      <c r="E61" s="111">
        <v>3.4180095657518876E-4</v>
      </c>
      <c r="F61" s="114">
        <v>3.9874961830193229E-3</v>
      </c>
      <c r="G61" s="2">
        <v>-1.1799387324190136E-2</v>
      </c>
      <c r="H61" s="2">
        <v>-0.22752022846023576</v>
      </c>
      <c r="I61" s="2">
        <v>-8.8431865819002656E-2</v>
      </c>
      <c r="J61" s="2">
        <v>-0.96099276665149402</v>
      </c>
      <c r="K61" s="2">
        <v>-0.78784521818196918</v>
      </c>
      <c r="L61" s="2">
        <v>-0.41963718531801103</v>
      </c>
      <c r="M61" s="2">
        <v>-0.14230285398523079</v>
      </c>
      <c r="N61" s="54">
        <v>0.99999999999999867</v>
      </c>
      <c r="O61" s="64"/>
      <c r="Q61" s="48" t="str">
        <f t="shared" si="49"/>
        <v>Aandelen ontwikkeld</v>
      </c>
      <c r="R61" s="67">
        <f t="shared" si="51"/>
        <v>1.5384432880526997E-6</v>
      </c>
      <c r="S61" s="49">
        <f t="shared" si="52"/>
        <v>2.0727983263761742E-3</v>
      </c>
      <c r="T61" s="49">
        <f t="shared" si="53"/>
        <v>1.913159413355096E-3</v>
      </c>
      <c r="U61" s="49"/>
      <c r="V61" s="49">
        <f t="shared" si="50"/>
        <v>0</v>
      </c>
    </row>
    <row r="62" spans="1:24">
      <c r="A62" s="56" t="str">
        <f t="shared" si="48"/>
        <v>Aandelen opkomend</v>
      </c>
      <c r="B62" s="111">
        <v>2.7182847562450792E-3</v>
      </c>
      <c r="C62" s="112">
        <v>4.4930654380818964E-3</v>
      </c>
      <c r="D62" s="113">
        <v>6.7729997238123132E-6</v>
      </c>
      <c r="E62" s="111">
        <v>6.4126022398990166E-4</v>
      </c>
      <c r="F62" s="114">
        <v>6.1969760281681881E-3</v>
      </c>
      <c r="G62" s="2">
        <v>-1.8147160353014079E-2</v>
      </c>
      <c r="H62" s="2">
        <v>-0.51647465014730509</v>
      </c>
      <c r="I62" s="2">
        <v>-0.72924792865082355</v>
      </c>
      <c r="J62" s="2">
        <v>1</v>
      </c>
      <c r="K62" s="2">
        <v>-0.29578231250800902</v>
      </c>
      <c r="L62" s="2">
        <v>1.2523037768018995E-2</v>
      </c>
      <c r="M62" s="2">
        <v>-0.15915649075286478</v>
      </c>
      <c r="N62" s="54">
        <v>0.99999999999999867</v>
      </c>
      <c r="O62" s="64"/>
      <c r="Q62" s="48" t="str">
        <f t="shared" si="49"/>
        <v>Aandelen opkomend</v>
      </c>
      <c r="R62" s="67">
        <f t="shared" si="51"/>
        <v>6.7729997238123132E-6</v>
      </c>
      <c r="S62" s="49">
        <f t="shared" si="52"/>
        <v>2.7115117565212669E-3</v>
      </c>
      <c r="T62" s="49">
        <f t="shared" si="53"/>
        <v>3.4786912719231089E-3</v>
      </c>
      <c r="U62" s="49"/>
      <c r="V62" s="49">
        <f t="shared" si="50"/>
        <v>0</v>
      </c>
    </row>
    <row r="63" spans="1:24">
      <c r="A63" s="56" t="str">
        <f t="shared" si="48"/>
        <v>Commodities</v>
      </c>
      <c r="B63" s="111">
        <v>1.8272078058472075E-3</v>
      </c>
      <c r="C63" s="112">
        <v>3.6067951603459729E-3</v>
      </c>
      <c r="D63" s="113">
        <v>5.8775365793094494E-7</v>
      </c>
      <c r="E63" s="111">
        <v>2.3573289121347541E-4</v>
      </c>
      <c r="F63" s="114">
        <v>3.7867931164417023E-3</v>
      </c>
      <c r="G63" s="2">
        <v>-4.2885102896786662E-3</v>
      </c>
      <c r="H63" s="2">
        <v>-0.21006553220783419</v>
      </c>
      <c r="I63" s="2">
        <v>-3.056523833665813E-2</v>
      </c>
      <c r="J63" s="2">
        <v>-0.51868750763869242</v>
      </c>
      <c r="K63" s="2">
        <v>0.11239470043795001</v>
      </c>
      <c r="L63" s="2">
        <v>1</v>
      </c>
      <c r="M63" s="2">
        <v>-0.18329771639786405</v>
      </c>
      <c r="N63" s="54">
        <v>0.99999999999999656</v>
      </c>
      <c r="O63" s="64"/>
      <c r="Q63" s="48" t="str">
        <f t="shared" si="49"/>
        <v>Commodities</v>
      </c>
      <c r="R63" s="67">
        <f t="shared" si="51"/>
        <v>5.8775365793094494E-7</v>
      </c>
      <c r="S63" s="49">
        <f t="shared" si="52"/>
        <v>1.8266200521892765E-3</v>
      </c>
      <c r="T63" s="49">
        <f t="shared" si="53"/>
        <v>1.9595853105944948E-3</v>
      </c>
      <c r="U63" s="49"/>
      <c r="V63" s="49">
        <f t="shared" si="50"/>
        <v>0</v>
      </c>
    </row>
    <row r="64" spans="1:24">
      <c r="A64" s="56" t="str">
        <f t="shared" si="48"/>
        <v>Hedge funds</v>
      </c>
      <c r="B64" s="111">
        <v>0.97718391665603033</v>
      </c>
      <c r="C64" s="112">
        <v>1.5196461394962973E-2</v>
      </c>
      <c r="D64" s="113">
        <v>0.96255983927705868</v>
      </c>
      <c r="E64" s="111">
        <v>0.97915540547371926</v>
      </c>
      <c r="F64" s="114">
        <v>0.99240258122347713</v>
      </c>
      <c r="G64" s="2">
        <v>1</v>
      </c>
      <c r="H64" s="2">
        <v>0.919691686946562</v>
      </c>
      <c r="I64" s="2">
        <v>6.8543189484208927E-2</v>
      </c>
      <c r="J64" s="2">
        <v>0.19416426099142184</v>
      </c>
      <c r="K64" s="2">
        <v>-3.9567713577928392E-3</v>
      </c>
      <c r="L64" s="2">
        <v>-4.6186406107551523E-2</v>
      </c>
      <c r="M64" s="2">
        <v>-0.13414685332175785</v>
      </c>
      <c r="N64" s="54">
        <v>1</v>
      </c>
      <c r="O64" s="64"/>
      <c r="Q64" s="48" t="str">
        <f t="shared" si="49"/>
        <v>Hedge funds</v>
      </c>
      <c r="R64" s="67">
        <f t="shared" si="51"/>
        <v>0.96255983927705868</v>
      </c>
      <c r="S64" s="49">
        <f t="shared" si="52"/>
        <v>1.4624077378971645E-2</v>
      </c>
      <c r="T64" s="49">
        <f t="shared" si="53"/>
        <v>1.5218664567446805E-2</v>
      </c>
      <c r="U64" s="49"/>
      <c r="V64" s="49">
        <f t="shared" si="50"/>
        <v>0</v>
      </c>
    </row>
    <row r="65" spans="1:27">
      <c r="A65" s="56" t="str">
        <f t="shared" si="48"/>
        <v>Onroerend goed</v>
      </c>
      <c r="B65" s="111">
        <v>2.1609087961228521E-3</v>
      </c>
      <c r="C65" s="112">
        <v>3.8929830788824141E-3</v>
      </c>
      <c r="D65" s="113">
        <v>1.7109190219172487E-6</v>
      </c>
      <c r="E65" s="111">
        <v>4.5308151471904655E-4</v>
      </c>
      <c r="F65" s="114">
        <v>4.1724234936047272E-3</v>
      </c>
      <c r="G65" s="2">
        <v>1.8470954141125676E-3</v>
      </c>
      <c r="H65" s="2">
        <v>-0.32952184311058585</v>
      </c>
      <c r="I65" s="2">
        <v>-0.26461229765216937</v>
      </c>
      <c r="J65" s="2">
        <v>-0.39572666614490065</v>
      </c>
      <c r="K65" s="2">
        <v>1</v>
      </c>
      <c r="L65" s="2">
        <v>-0.43990284848396533</v>
      </c>
      <c r="M65" s="2">
        <v>-0.12005559431851451</v>
      </c>
      <c r="N65" s="54">
        <v>0.99999999999999611</v>
      </c>
      <c r="O65" s="64"/>
      <c r="Q65" s="48" t="str">
        <f t="shared" ref="Q65" si="54">A65</f>
        <v>Onroerend goed</v>
      </c>
      <c r="R65" s="67">
        <f t="shared" ref="R65" si="55">D65</f>
        <v>1.7109190219172487E-6</v>
      </c>
      <c r="S65" s="49">
        <f t="shared" ref="S65" si="56">B65-D65</f>
        <v>2.1591978771009347E-3</v>
      </c>
      <c r="T65" s="49">
        <f t="shared" ref="T65" si="57">F65-B65</f>
        <v>2.011514697481875E-3</v>
      </c>
      <c r="U65" s="49"/>
      <c r="V65" s="49"/>
    </row>
    <row r="66" spans="1:27">
      <c r="A66" s="57" t="str">
        <f t="shared" ref="A66" si="58">A11</f>
        <v>Periferie bonds</v>
      </c>
      <c r="B66" s="115">
        <v>9.8946774175379202E-4</v>
      </c>
      <c r="C66" s="116">
        <v>1.9328191301577827E-3</v>
      </c>
      <c r="D66" s="117">
        <v>1.4719717274272098E-7</v>
      </c>
      <c r="E66" s="115">
        <v>1.4838812736904121E-4</v>
      </c>
      <c r="F66" s="118">
        <v>1.9063625664255436E-3</v>
      </c>
      <c r="G66" s="62">
        <v>3.2429544177981304E-3</v>
      </c>
      <c r="H66" s="62">
        <v>-2.0721717884780368E-2</v>
      </c>
      <c r="I66" s="62">
        <v>-1.7302101112675296E-2</v>
      </c>
      <c r="J66" s="62">
        <v>-4.3318501646132501E-3</v>
      </c>
      <c r="K66" s="62">
        <v>-1.9753851879529306E-2</v>
      </c>
      <c r="L66" s="62">
        <v>4.649673772192104E-2</v>
      </c>
      <c r="M66" s="62">
        <v>1</v>
      </c>
      <c r="N66" s="63">
        <v>0.99999999999999101</v>
      </c>
      <c r="O66" s="64"/>
      <c r="Q66" s="48" t="str">
        <f t="shared" si="49"/>
        <v>Periferie bonds</v>
      </c>
      <c r="R66" s="67">
        <f t="shared" si="51"/>
        <v>1.4719717274272098E-7</v>
      </c>
      <c r="S66" s="49">
        <f t="shared" si="52"/>
        <v>9.8932054458104922E-4</v>
      </c>
      <c r="T66" s="49">
        <f t="shared" si="53"/>
        <v>9.1689482467175159E-4</v>
      </c>
      <c r="U66" s="49"/>
      <c r="V66" s="49">
        <f t="shared" ref="V66" si="59">O11</f>
        <v>0</v>
      </c>
    </row>
    <row r="67" spans="1:27">
      <c r="A67" s="64"/>
      <c r="B67" s="111"/>
      <c r="C67" s="111"/>
      <c r="D67" s="111"/>
      <c r="E67" s="111"/>
      <c r="F67" s="111"/>
      <c r="G67" s="65"/>
      <c r="H67" s="65"/>
      <c r="I67" s="65"/>
      <c r="J67" s="65"/>
      <c r="K67" s="65"/>
      <c r="L67" s="65"/>
      <c r="M67" s="65"/>
      <c r="N67" s="65"/>
      <c r="O67" s="64"/>
      <c r="P67" s="67"/>
      <c r="Q67" s="67"/>
      <c r="R67" s="67"/>
      <c r="T67" s="49"/>
      <c r="U67" s="49"/>
      <c r="V67" s="49"/>
      <c r="W67" s="49"/>
      <c r="Y67" s="125"/>
      <c r="Z67" s="125"/>
      <c r="AA67" s="125"/>
    </row>
    <row r="68" spans="1:27">
      <c r="A68" s="46"/>
      <c r="D68" s="327" t="s">
        <v>64</v>
      </c>
      <c r="E68" s="328"/>
      <c r="F68" s="329"/>
      <c r="G68" s="327" t="s">
        <v>65</v>
      </c>
      <c r="H68" s="328"/>
      <c r="I68" s="328"/>
      <c r="J68" s="328"/>
      <c r="K68" s="328"/>
      <c r="L68" s="328"/>
      <c r="M68" s="328"/>
      <c r="N68" s="329"/>
      <c r="O68" s="64"/>
      <c r="P68" s="67"/>
      <c r="Q68" s="67"/>
      <c r="R68" s="67"/>
      <c r="T68" s="49"/>
      <c r="U68" s="49"/>
      <c r="V68" s="49"/>
      <c r="W68" s="49"/>
    </row>
    <row r="69" spans="1:27">
      <c r="A69" s="239" t="str">
        <f>'Samenvatting mixen'!A75</f>
        <v>Bull case</v>
      </c>
      <c r="B69" s="240" t="s">
        <v>67</v>
      </c>
      <c r="C69" s="241" t="s">
        <v>2</v>
      </c>
      <c r="D69" s="242">
        <v>0.25</v>
      </c>
      <c r="E69" s="243">
        <v>0.5</v>
      </c>
      <c r="F69" s="244">
        <v>0.75</v>
      </c>
      <c r="G69" s="245">
        <v>0.58232098926249087</v>
      </c>
      <c r="H69" s="245">
        <v>0.23635788875510477</v>
      </c>
      <c r="I69" s="245">
        <v>0.1227794024789598</v>
      </c>
      <c r="J69" s="245">
        <v>4.8090059965820164E-2</v>
      </c>
      <c r="K69" s="245">
        <v>5.676491300783848E-3</v>
      </c>
      <c r="L69" s="245">
        <v>4.470616317210574E-3</v>
      </c>
      <c r="M69" s="245">
        <v>3.045519196278601E-4</v>
      </c>
      <c r="N69" s="245">
        <v>0</v>
      </c>
      <c r="O69" s="246"/>
      <c r="P69" s="67"/>
      <c r="Q69" s="48" t="str">
        <f>A69</f>
        <v>Bull case</v>
      </c>
      <c r="V69" s="49"/>
      <c r="W69" s="49"/>
    </row>
    <row r="70" spans="1:27">
      <c r="A70" s="50" t="str">
        <f t="shared" ref="A70:A76" si="60">A59</f>
        <v>High Yield</v>
      </c>
      <c r="B70" s="111">
        <v>8.5273664185760351E-2</v>
      </c>
      <c r="C70" s="112">
        <v>8.4351375771409276E-2</v>
      </c>
      <c r="D70" s="113">
        <v>1.0193208893065605E-2</v>
      </c>
      <c r="E70" s="111">
        <v>5.8981800387375369E-2</v>
      </c>
      <c r="F70" s="114">
        <v>0.16152191355726109</v>
      </c>
      <c r="G70" s="2">
        <v>-7.7521625727027532E-2</v>
      </c>
      <c r="H70" s="2">
        <v>-0.74191440489493521</v>
      </c>
      <c r="I70" s="2">
        <v>1</v>
      </c>
      <c r="J70" s="2">
        <v>-0.10584410471638463</v>
      </c>
      <c r="K70" s="2">
        <v>-0.28078180361435873</v>
      </c>
      <c r="L70" s="2">
        <v>-7.0348217204274824E-2</v>
      </c>
      <c r="M70" s="2">
        <v>-0.14306750320724401</v>
      </c>
      <c r="N70" s="54">
        <v>0.99999999999998523</v>
      </c>
      <c r="O70" s="64"/>
      <c r="Q70" s="48" t="str">
        <f t="shared" ref="Q70:Q77" si="61">A70</f>
        <v>High Yield</v>
      </c>
      <c r="R70" s="67">
        <f>D70</f>
        <v>1.0193208893065605E-2</v>
      </c>
      <c r="S70" s="49">
        <f>B70-D70</f>
        <v>7.5080455292694748E-2</v>
      </c>
      <c r="T70" s="49">
        <f>F70-B70</f>
        <v>7.6248249371500737E-2</v>
      </c>
      <c r="U70" s="49"/>
    </row>
    <row r="71" spans="1:27">
      <c r="A71" s="56" t="str">
        <f t="shared" si="60"/>
        <v>Emerging market debt</v>
      </c>
      <c r="B71" s="111">
        <v>4.3786596964136247E-2</v>
      </c>
      <c r="C71" s="112">
        <v>4.7759794122472096E-2</v>
      </c>
      <c r="D71" s="113">
        <v>2.1186030887752152E-3</v>
      </c>
      <c r="E71" s="111">
        <v>2.7591870561905027E-2</v>
      </c>
      <c r="F71" s="114">
        <v>8.6136994006608583E-2</v>
      </c>
      <c r="G71" s="2">
        <v>-2.4268663858235621E-2</v>
      </c>
      <c r="H71" s="2">
        <v>-4.0484417195163554E-2</v>
      </c>
      <c r="I71" s="2">
        <v>-0.23695236494521338</v>
      </c>
      <c r="J71" s="2">
        <v>1</v>
      </c>
      <c r="K71" s="2">
        <v>-0.2758659079644859</v>
      </c>
      <c r="L71" s="2">
        <v>-6.7186393707871564E-2</v>
      </c>
      <c r="M71" s="2">
        <v>-0.14989144027138165</v>
      </c>
      <c r="N71" s="54">
        <v>0.9999999999999859</v>
      </c>
      <c r="O71" s="64"/>
      <c r="Q71" s="48" t="str">
        <f t="shared" si="61"/>
        <v>Emerging market debt</v>
      </c>
      <c r="R71" s="67">
        <f t="shared" ref="R71:R77" si="62">D71</f>
        <v>2.1186030887752152E-3</v>
      </c>
      <c r="S71" s="49">
        <f t="shared" ref="S71:S77" si="63">B71-D71</f>
        <v>4.1667993875361034E-2</v>
      </c>
      <c r="T71" s="49">
        <f t="shared" ref="T71:T77" si="64">F71-B71</f>
        <v>4.2350397042472336E-2</v>
      </c>
      <c r="U71" s="49"/>
    </row>
    <row r="72" spans="1:27">
      <c r="A72" s="56" t="str">
        <f t="shared" si="60"/>
        <v>Aandelen ontwikkeld</v>
      </c>
      <c r="B72" s="111">
        <v>1.1043476158085722E-2</v>
      </c>
      <c r="C72" s="112">
        <v>1.5925505860758377E-2</v>
      </c>
      <c r="D72" s="113">
        <v>1.2795911810630298E-4</v>
      </c>
      <c r="E72" s="111">
        <v>4.0410270788572601E-3</v>
      </c>
      <c r="F72" s="114">
        <v>2.3752388603860211E-2</v>
      </c>
      <c r="G72" s="2">
        <v>1.8606888683363556E-3</v>
      </c>
      <c r="H72" s="2">
        <v>-1.6679886106599519E-2</v>
      </c>
      <c r="I72" s="2">
        <v>-2.1444891871288809E-2</v>
      </c>
      <c r="J72" s="2">
        <v>-1.2911092453623835E-2</v>
      </c>
      <c r="K72" s="2">
        <v>1</v>
      </c>
      <c r="L72" s="2">
        <v>-0.60722172829551913</v>
      </c>
      <c r="M72" s="2">
        <v>-0.13184810869237709</v>
      </c>
      <c r="N72" s="54">
        <v>0.9999999999999849</v>
      </c>
      <c r="O72" s="64"/>
      <c r="Q72" s="48" t="str">
        <f t="shared" si="61"/>
        <v>Aandelen ontwikkeld</v>
      </c>
      <c r="R72" s="67">
        <f t="shared" si="62"/>
        <v>1.2795911810630298E-4</v>
      </c>
      <c r="S72" s="49">
        <f t="shared" si="63"/>
        <v>1.0915517039979419E-2</v>
      </c>
      <c r="T72" s="49">
        <f t="shared" si="64"/>
        <v>1.270891244577449E-2</v>
      </c>
      <c r="U72" s="49"/>
    </row>
    <row r="73" spans="1:27">
      <c r="A73" s="56" t="str">
        <f t="shared" si="60"/>
        <v>Aandelen opkomend</v>
      </c>
      <c r="B73" s="111">
        <v>1.0039247929513733E-2</v>
      </c>
      <c r="C73" s="112">
        <v>1.5013135707457936E-2</v>
      </c>
      <c r="D73" s="113">
        <v>1.4466410692700013E-4</v>
      </c>
      <c r="E73" s="111">
        <v>3.8183303291402918E-3</v>
      </c>
      <c r="F73" s="114">
        <v>2.0227340237449203E-2</v>
      </c>
      <c r="G73" s="2">
        <v>-1.8201004094867493E-4</v>
      </c>
      <c r="H73" s="2">
        <v>-1.3552080471798138E-2</v>
      </c>
      <c r="I73" s="2">
        <v>-3.1728182967312391E-2</v>
      </c>
      <c r="J73" s="2">
        <v>-2.4494108225621938E-2</v>
      </c>
      <c r="K73" s="2">
        <v>0.48973547066203621</v>
      </c>
      <c r="L73" s="2">
        <v>1</v>
      </c>
      <c r="M73" s="2">
        <v>-0.13889698182792967</v>
      </c>
      <c r="N73" s="54">
        <v>0.99999999999998668</v>
      </c>
      <c r="O73" s="64"/>
      <c r="Q73" s="48" t="str">
        <f t="shared" si="61"/>
        <v>Aandelen opkomend</v>
      </c>
      <c r="R73" s="67">
        <f t="shared" si="62"/>
        <v>1.4466410692700013E-4</v>
      </c>
      <c r="S73" s="49">
        <f t="shared" si="63"/>
        <v>9.8945838225867333E-3</v>
      </c>
      <c r="T73" s="49">
        <f t="shared" si="64"/>
        <v>1.018809230793547E-2</v>
      </c>
      <c r="U73" s="49"/>
    </row>
    <row r="74" spans="1:27">
      <c r="A74" s="56" t="str">
        <f t="shared" si="60"/>
        <v>Commodities</v>
      </c>
      <c r="B74" s="111">
        <v>0.17868751732523197</v>
      </c>
      <c r="C74" s="112">
        <v>8.3085403692446907E-2</v>
      </c>
      <c r="D74" s="113">
        <v>9.7610679411279919E-2</v>
      </c>
      <c r="E74" s="111">
        <v>0.1753229888301715</v>
      </c>
      <c r="F74" s="114">
        <v>0.26181181704397172</v>
      </c>
      <c r="G74" s="2">
        <v>-0.25427207742087371</v>
      </c>
      <c r="H74" s="2">
        <v>-0.61955574073163799</v>
      </c>
      <c r="I74" s="2">
        <v>-0.87989573905496765</v>
      </c>
      <c r="J74" s="2">
        <v>-0.42831422562781996</v>
      </c>
      <c r="K74" s="2">
        <v>-0.34103648326652058</v>
      </c>
      <c r="L74" s="2">
        <v>-9.821896300587564E-2</v>
      </c>
      <c r="M74" s="2">
        <v>-0.14510876932764297</v>
      </c>
      <c r="N74" s="54">
        <v>0.99999999999998657</v>
      </c>
      <c r="O74" s="64"/>
      <c r="Q74" s="48" t="str">
        <f t="shared" si="61"/>
        <v>Commodities</v>
      </c>
      <c r="R74" s="67">
        <f t="shared" si="62"/>
        <v>9.7610679411279919E-2</v>
      </c>
      <c r="S74" s="49">
        <f t="shared" si="63"/>
        <v>8.1076837913952052E-2</v>
      </c>
      <c r="T74" s="49">
        <f t="shared" si="64"/>
        <v>8.3124299718739747E-2</v>
      </c>
      <c r="U74" s="49"/>
    </row>
    <row r="75" spans="1:27">
      <c r="A75" s="56" t="str">
        <f t="shared" si="60"/>
        <v>Hedge funds</v>
      </c>
      <c r="B75" s="111">
        <v>0.14059891294398361</v>
      </c>
      <c r="C75" s="112">
        <v>0.12362491671850892</v>
      </c>
      <c r="D75" s="113">
        <v>1.5335050853540758E-2</v>
      </c>
      <c r="E75" s="111">
        <v>0.10992624449681107</v>
      </c>
      <c r="F75" s="114">
        <v>0.27053473010151685</v>
      </c>
      <c r="G75" s="2">
        <v>-0.64636937159020513</v>
      </c>
      <c r="H75" s="2">
        <v>1</v>
      </c>
      <c r="I75" s="2">
        <v>0.19698186932143091</v>
      </c>
      <c r="J75" s="2">
        <v>-0.20655457094536628</v>
      </c>
      <c r="K75" s="2">
        <v>-0.27938701541052152</v>
      </c>
      <c r="L75" s="2">
        <v>-7.7540826293351794E-2</v>
      </c>
      <c r="M75" s="2">
        <v>-0.14518527254366026</v>
      </c>
      <c r="N75" s="54">
        <v>0.99999999999998523</v>
      </c>
      <c r="O75" s="64"/>
      <c r="Q75" s="48" t="str">
        <f t="shared" si="61"/>
        <v>Hedge funds</v>
      </c>
      <c r="R75" s="67">
        <f t="shared" si="62"/>
        <v>1.5335050853540758E-2</v>
      </c>
      <c r="S75" s="49">
        <f t="shared" si="63"/>
        <v>0.12526386209044285</v>
      </c>
      <c r="T75" s="49">
        <f t="shared" si="64"/>
        <v>0.12993581715753325</v>
      </c>
      <c r="U75" s="49"/>
      <c r="X75" s="48"/>
    </row>
    <row r="76" spans="1:27">
      <c r="A76" s="56" t="str">
        <f t="shared" si="60"/>
        <v>Onroerend goed</v>
      </c>
      <c r="B76" s="111">
        <v>0.52802865874521687</v>
      </c>
      <c r="C76" s="112">
        <v>0.15053030240608098</v>
      </c>
      <c r="D76" s="113">
        <v>0.37068119127118609</v>
      </c>
      <c r="E76" s="111">
        <v>0.52151839805089639</v>
      </c>
      <c r="F76" s="114">
        <v>0.68020486127111801</v>
      </c>
      <c r="G76" s="2">
        <v>1</v>
      </c>
      <c r="H76" s="2">
        <v>0.43036392972337212</v>
      </c>
      <c r="I76" s="2">
        <v>-2.4602858951791706E-2</v>
      </c>
      <c r="J76" s="2">
        <v>-0.22633923065885347</v>
      </c>
      <c r="K76" s="2">
        <v>-0.29752497484731977</v>
      </c>
      <c r="L76" s="2">
        <v>-8.0867568353902103E-2</v>
      </c>
      <c r="M76" s="2">
        <v>-0.14600192412977844</v>
      </c>
      <c r="N76" s="54">
        <v>0.99999999999998579</v>
      </c>
      <c r="O76" s="64"/>
      <c r="Q76" s="48" t="str">
        <f t="shared" ref="Q76" si="65">A76</f>
        <v>Onroerend goed</v>
      </c>
      <c r="R76" s="67">
        <f t="shared" ref="R76" si="66">D76</f>
        <v>0.37068119127118609</v>
      </c>
      <c r="S76" s="49">
        <f t="shared" ref="S76" si="67">B76-D76</f>
        <v>0.15734746747403078</v>
      </c>
      <c r="T76" s="49">
        <f t="shared" ref="T76" si="68">F76-B76</f>
        <v>0.15217620252590114</v>
      </c>
      <c r="U76" s="49"/>
      <c r="X76" s="48"/>
    </row>
    <row r="77" spans="1:27">
      <c r="A77" s="57" t="str">
        <f t="shared" ref="A77" si="69">A66</f>
        <v>Periferie bonds</v>
      </c>
      <c r="B77" s="115">
        <v>2.541925748070798E-3</v>
      </c>
      <c r="C77" s="116">
        <v>3.8365548885941981E-3</v>
      </c>
      <c r="D77" s="117">
        <v>8.9518147891996581E-6</v>
      </c>
      <c r="E77" s="115">
        <v>7.1477922026116512E-4</v>
      </c>
      <c r="F77" s="118">
        <v>5.5564618194631297E-3</v>
      </c>
      <c r="G77" s="62">
        <v>7.5305976895371064E-4</v>
      </c>
      <c r="H77" s="62">
        <v>1.8225996767625709E-3</v>
      </c>
      <c r="I77" s="62">
        <v>-2.357831530856678E-3</v>
      </c>
      <c r="J77" s="62">
        <v>4.4573326276705879E-3</v>
      </c>
      <c r="K77" s="62">
        <v>-1.5139285558828845E-2</v>
      </c>
      <c r="L77" s="62">
        <v>1.3836968607931813E-3</v>
      </c>
      <c r="M77" s="62">
        <v>1</v>
      </c>
      <c r="N77" s="63">
        <v>1</v>
      </c>
      <c r="O77" s="64"/>
      <c r="P77" s="67"/>
      <c r="Q77" s="48" t="str">
        <f t="shared" si="61"/>
        <v>Periferie bonds</v>
      </c>
      <c r="R77" s="67">
        <f t="shared" si="62"/>
        <v>8.9518147891996581E-6</v>
      </c>
      <c r="S77" s="49">
        <f t="shared" si="63"/>
        <v>2.5329739332815983E-3</v>
      </c>
      <c r="T77" s="49">
        <f t="shared" si="64"/>
        <v>3.0145360713923317E-3</v>
      </c>
      <c r="U77" s="49"/>
      <c r="V77" s="49"/>
      <c r="W77" s="49"/>
    </row>
    <row r="78" spans="1:27">
      <c r="A78" s="64"/>
      <c r="B78" s="111"/>
      <c r="C78" s="111"/>
      <c r="D78" s="111"/>
      <c r="E78" s="111"/>
      <c r="F78" s="111"/>
      <c r="G78" s="65"/>
      <c r="H78" s="65"/>
      <c r="I78" s="65"/>
      <c r="J78" s="65"/>
      <c r="K78" s="65"/>
      <c r="L78" s="65"/>
      <c r="M78" s="65"/>
      <c r="N78" s="65"/>
      <c r="O78" s="64"/>
      <c r="P78" s="67"/>
      <c r="Q78" s="67"/>
      <c r="R78" s="67"/>
      <c r="T78" s="49"/>
      <c r="U78" s="49"/>
      <c r="V78" s="49"/>
      <c r="W78" s="49"/>
    </row>
    <row r="79" spans="1:27">
      <c r="A79" s="46"/>
      <c r="D79" s="327" t="s">
        <v>64</v>
      </c>
      <c r="E79" s="328"/>
      <c r="F79" s="329"/>
      <c r="G79" s="327" t="s">
        <v>65</v>
      </c>
      <c r="H79" s="328"/>
      <c r="I79" s="328"/>
      <c r="J79" s="328"/>
      <c r="K79" s="328"/>
      <c r="L79" s="328"/>
      <c r="M79" s="328"/>
      <c r="N79" s="329"/>
      <c r="O79" s="64"/>
      <c r="P79" s="67"/>
      <c r="Q79" s="67"/>
      <c r="R79" s="67"/>
      <c r="T79" s="49"/>
      <c r="U79" s="49"/>
      <c r="V79" s="49"/>
      <c r="W79" s="49"/>
    </row>
    <row r="80" spans="1:27">
      <c r="A80" s="239" t="str">
        <f>'Samenvatting mixen'!A87</f>
        <v>Kansgewogen</v>
      </c>
      <c r="B80" s="240" t="s">
        <v>67</v>
      </c>
      <c r="C80" s="241" t="s">
        <v>2</v>
      </c>
      <c r="D80" s="242">
        <v>0.25</v>
      </c>
      <c r="E80" s="243">
        <v>0.5</v>
      </c>
      <c r="F80" s="244">
        <v>0.75</v>
      </c>
      <c r="G80" s="245">
        <v>0.47626331930957067</v>
      </c>
      <c r="H80" s="245">
        <v>0.37276909744444142</v>
      </c>
      <c r="I80" s="245">
        <v>0.12673584273521243</v>
      </c>
      <c r="J80" s="245">
        <v>1.6008817983115708E-2</v>
      </c>
      <c r="K80" s="245">
        <v>7.9038304712442109E-3</v>
      </c>
      <c r="L80" s="245">
        <v>3.1909205641844629E-4</v>
      </c>
      <c r="M80" s="245">
        <v>2.2204460492503131E-16</v>
      </c>
      <c r="N80" s="245">
        <v>0</v>
      </c>
      <c r="O80" s="246"/>
      <c r="P80" s="67"/>
      <c r="Q80" s="48" t="str">
        <f>A80</f>
        <v>Kansgewogen</v>
      </c>
      <c r="V80" s="49"/>
      <c r="W80" s="49"/>
    </row>
    <row r="81" spans="1:27">
      <c r="A81" s="50" t="str">
        <f t="shared" ref="A81:A87" si="70">A70</f>
        <v>High Yield</v>
      </c>
      <c r="B81" s="111">
        <v>0.24070317683004255</v>
      </c>
      <c r="C81" s="112">
        <v>5.5211680198715897E-2</v>
      </c>
      <c r="D81" s="113">
        <v>0.17473905222356728</v>
      </c>
      <c r="E81" s="111">
        <v>0.24581098897456205</v>
      </c>
      <c r="F81" s="114">
        <v>0.29935992379476895</v>
      </c>
      <c r="G81" s="2">
        <v>-0.48402832039090199</v>
      </c>
      <c r="H81" s="2">
        <v>1</v>
      </c>
      <c r="I81" s="2">
        <v>-7.3131823537003801E-2</v>
      </c>
      <c r="J81" s="2">
        <v>-0.24340007917241924</v>
      </c>
      <c r="K81" s="2">
        <v>-0.12688228953823133</v>
      </c>
      <c r="L81" s="2">
        <v>-0.20580346616210649</v>
      </c>
      <c r="M81" s="2">
        <v>0.80430767934386749</v>
      </c>
      <c r="N81" s="54">
        <v>2.3084567591022582E-2</v>
      </c>
      <c r="O81" s="64"/>
      <c r="P81" s="67"/>
      <c r="Q81" s="48" t="str">
        <f t="shared" ref="Q81:Q88" si="71">A81</f>
        <v>High Yield</v>
      </c>
      <c r="R81" s="67">
        <f>D81</f>
        <v>0.17473905222356728</v>
      </c>
      <c r="S81" s="49">
        <f>B81-D81</f>
        <v>6.5964124606475272E-2</v>
      </c>
      <c r="T81" s="49">
        <f>F81-B81</f>
        <v>5.8656746964726392E-2</v>
      </c>
      <c r="U81" s="49"/>
      <c r="V81" s="49">
        <f>O27</f>
        <v>0</v>
      </c>
      <c r="W81" s="49"/>
    </row>
    <row r="82" spans="1:27">
      <c r="A82" s="56" t="str">
        <f t="shared" si="70"/>
        <v>Emerging market debt</v>
      </c>
      <c r="B82" s="111">
        <v>0.16778998447037027</v>
      </c>
      <c r="C82" s="112">
        <v>3.3770364029948478E-2</v>
      </c>
      <c r="D82" s="113">
        <v>0.13422447233026588</v>
      </c>
      <c r="E82" s="111">
        <v>0.16340584750224124</v>
      </c>
      <c r="F82" s="114">
        <v>0.2012995751155941</v>
      </c>
      <c r="G82" s="2">
        <v>0.19950135294528731</v>
      </c>
      <c r="H82" s="2">
        <v>-0.10475250203014984</v>
      </c>
      <c r="I82" s="2">
        <v>1</v>
      </c>
      <c r="J82" s="2">
        <v>-0.14335105352439223</v>
      </c>
      <c r="K82" s="2">
        <v>-4.135417071963967E-2</v>
      </c>
      <c r="L82" s="2">
        <v>-0.19896171942194804</v>
      </c>
      <c r="M82" s="2">
        <v>0.80430767934386838</v>
      </c>
      <c r="N82" s="54">
        <v>2.308456759102253E-2</v>
      </c>
      <c r="O82" s="64"/>
      <c r="P82" s="67"/>
      <c r="Q82" s="48" t="str">
        <f t="shared" si="71"/>
        <v>Emerging market debt</v>
      </c>
      <c r="R82" s="67">
        <f t="shared" ref="R82:R88" si="72">D82</f>
        <v>0.13422447233026588</v>
      </c>
      <c r="S82" s="49">
        <f t="shared" ref="S82:S88" si="73">B82-D82</f>
        <v>3.3565512140104392E-2</v>
      </c>
      <c r="T82" s="49">
        <f t="shared" ref="T82:T88" si="74">F82-B82</f>
        <v>3.3509590645223825E-2</v>
      </c>
      <c r="U82" s="49"/>
      <c r="V82" s="49">
        <f>O28</f>
        <v>0</v>
      </c>
      <c r="W82" s="49"/>
    </row>
    <row r="83" spans="1:27">
      <c r="A83" s="56" t="str">
        <f t="shared" si="70"/>
        <v>Aandelen ontwikkeld</v>
      </c>
      <c r="B83" s="111">
        <v>0.18333852579509663</v>
      </c>
      <c r="C83" s="112">
        <v>1.0508821580292522E-2</v>
      </c>
      <c r="D83" s="113">
        <v>0.17301882759665085</v>
      </c>
      <c r="E83" s="111">
        <v>0.1820442589418873</v>
      </c>
      <c r="F83" s="114">
        <v>0.19330376728802667</v>
      </c>
      <c r="G83" s="2">
        <v>3.583862839732261E-2</v>
      </c>
      <c r="H83" s="2">
        <v>-8.4194120811736453E-2</v>
      </c>
      <c r="I83" s="2">
        <v>-0.16575878469518354</v>
      </c>
      <c r="J83" s="2">
        <v>3.4909214431071471E-2</v>
      </c>
      <c r="K83" s="2">
        <v>1</v>
      </c>
      <c r="L83" s="2">
        <v>-0.3297540589480944</v>
      </c>
      <c r="M83" s="2">
        <v>0.80430767934385627</v>
      </c>
      <c r="N83" s="54">
        <v>2.3084567591022502E-2</v>
      </c>
      <c r="O83" s="64"/>
      <c r="Q83" s="48" t="str">
        <f t="shared" si="71"/>
        <v>Aandelen ontwikkeld</v>
      </c>
      <c r="R83" s="67">
        <f t="shared" si="72"/>
        <v>0.17301882759665085</v>
      </c>
      <c r="S83" s="49">
        <f t="shared" si="73"/>
        <v>1.0319698198445776E-2</v>
      </c>
      <c r="T83" s="49">
        <f t="shared" si="74"/>
        <v>9.9652414929300437E-3</v>
      </c>
      <c r="U83" s="49"/>
      <c r="V83" s="49">
        <f>O29</f>
        <v>0</v>
      </c>
    </row>
    <row r="84" spans="1:27">
      <c r="A84" s="56" t="str">
        <f t="shared" si="70"/>
        <v>Aandelen opkomend</v>
      </c>
      <c r="B84" s="111">
        <v>0.14440152446271748</v>
      </c>
      <c r="C84" s="112">
        <v>5.3105615295130089E-2</v>
      </c>
      <c r="D84" s="113">
        <v>8.6799462078163969E-2</v>
      </c>
      <c r="E84" s="111">
        <v>0.14092403035006129</v>
      </c>
      <c r="F84" s="114">
        <v>0.20050142864899395</v>
      </c>
      <c r="G84" s="2">
        <v>-0.80771291292956016</v>
      </c>
      <c r="H84" s="2">
        <v>-0.68856575584595825</v>
      </c>
      <c r="I84" s="2">
        <v>-0.205908799372648</v>
      </c>
      <c r="J84" s="2">
        <v>-0.28674083646151399</v>
      </c>
      <c r="K84" s="2">
        <v>-0.28731794114458881</v>
      </c>
      <c r="L84" s="2">
        <v>-0.32714914532418826</v>
      </c>
      <c r="M84" s="2">
        <v>0.80430767934385561</v>
      </c>
      <c r="N84" s="54">
        <v>2.3084567591022825E-2</v>
      </c>
      <c r="O84" s="64"/>
      <c r="Q84" s="48" t="str">
        <f t="shared" si="71"/>
        <v>Aandelen opkomend</v>
      </c>
      <c r="R84" s="67">
        <f t="shared" si="72"/>
        <v>8.6799462078163969E-2</v>
      </c>
      <c r="S84" s="49">
        <f t="shared" si="73"/>
        <v>5.760206238455351E-2</v>
      </c>
      <c r="T84" s="49">
        <f t="shared" si="74"/>
        <v>5.6099904186276472E-2</v>
      </c>
      <c r="U84" s="49"/>
      <c r="V84" s="49">
        <f>O30</f>
        <v>0</v>
      </c>
    </row>
    <row r="85" spans="1:27">
      <c r="A85" s="56" t="str">
        <f t="shared" si="70"/>
        <v>Commodities</v>
      </c>
      <c r="B85" s="111">
        <v>7.5984651934503086E-2</v>
      </c>
      <c r="C85" s="112">
        <v>5.1256154697000809E-2</v>
      </c>
      <c r="D85" s="113">
        <v>1.5676629396173508E-2</v>
      </c>
      <c r="E85" s="111">
        <v>7.3113942489992215E-2</v>
      </c>
      <c r="F85" s="114">
        <v>0.1306357338726068</v>
      </c>
      <c r="G85" s="2">
        <v>1</v>
      </c>
      <c r="H85" s="2">
        <v>-4.7699242744468413E-2</v>
      </c>
      <c r="I85" s="2">
        <v>-0.3918661396515945</v>
      </c>
      <c r="J85" s="2">
        <v>-0.35572842415675521</v>
      </c>
      <c r="K85" s="2">
        <v>-0.31252322769726837</v>
      </c>
      <c r="L85" s="2">
        <v>-0.32279271907282042</v>
      </c>
      <c r="M85" s="2">
        <v>0.8043076793438555</v>
      </c>
      <c r="N85" s="54">
        <v>2.3084567591022814E-2</v>
      </c>
      <c r="O85" s="64"/>
      <c r="Q85" s="48" t="str">
        <f t="shared" si="71"/>
        <v>Commodities</v>
      </c>
      <c r="R85" s="67">
        <f t="shared" si="72"/>
        <v>1.5676629396173508E-2</v>
      </c>
      <c r="S85" s="49">
        <f t="shared" si="73"/>
        <v>6.0308022538329578E-2</v>
      </c>
      <c r="T85" s="49">
        <f t="shared" si="74"/>
        <v>5.465108193810371E-2</v>
      </c>
      <c r="U85" s="49"/>
      <c r="V85" s="49">
        <f>O31</f>
        <v>0</v>
      </c>
    </row>
    <row r="86" spans="1:27">
      <c r="A86" s="56" t="str">
        <f t="shared" si="70"/>
        <v>Hedge funds</v>
      </c>
      <c r="B86" s="111">
        <v>7.0689769812195311E-2</v>
      </c>
      <c r="C86" s="112">
        <v>2.368122003382149E-3</v>
      </c>
      <c r="D86" s="113">
        <v>6.8424821739657624E-2</v>
      </c>
      <c r="E86" s="111">
        <v>7.0293263538929368E-2</v>
      </c>
      <c r="F86" s="114">
        <v>7.3314373186833176E-2</v>
      </c>
      <c r="G86" s="2">
        <v>8.9763356823188388E-3</v>
      </c>
      <c r="H86" s="2">
        <v>-3.6195571822646669E-2</v>
      </c>
      <c r="I86" s="2">
        <v>-3.7982789911680227E-2</v>
      </c>
      <c r="J86" s="2">
        <v>-2.2520581083034204E-3</v>
      </c>
      <c r="K86" s="2">
        <v>1.316624295012167E-2</v>
      </c>
      <c r="L86" s="2">
        <v>0.6552846685278404</v>
      </c>
      <c r="M86" s="2">
        <v>0.50567056778806851</v>
      </c>
      <c r="N86" s="54">
        <v>1</v>
      </c>
      <c r="O86" s="64"/>
      <c r="Q86" s="48" t="str">
        <f t="shared" si="71"/>
        <v>Hedge funds</v>
      </c>
      <c r="R86" s="67">
        <f t="shared" si="72"/>
        <v>6.8424821739657624E-2</v>
      </c>
      <c r="S86" s="49">
        <f t="shared" si="73"/>
        <v>2.2649480725376869E-3</v>
      </c>
      <c r="T86" s="49">
        <f t="shared" si="74"/>
        <v>2.6246033746378655E-3</v>
      </c>
      <c r="U86" s="49"/>
      <c r="V86" s="49">
        <f t="shared" ref="V86" si="75">O33</f>
        <v>0</v>
      </c>
    </row>
    <row r="87" spans="1:27">
      <c r="A87" s="56" t="str">
        <f t="shared" si="70"/>
        <v>Onroerend goed</v>
      </c>
      <c r="B87" s="111">
        <v>0.10787642868405226</v>
      </c>
      <c r="C87" s="112">
        <v>3.6138828163069861E-3</v>
      </c>
      <c r="D87" s="113">
        <v>0.10441999489074197</v>
      </c>
      <c r="E87" s="111">
        <v>0.10727133857236573</v>
      </c>
      <c r="F87" s="114">
        <v>0.11188171600526226</v>
      </c>
      <c r="G87" s="2">
        <v>1.3698375856229267E-2</v>
      </c>
      <c r="H87" s="2">
        <v>-5.5236408786984159E-2</v>
      </c>
      <c r="I87" s="2">
        <v>-5.7963800674617892E-2</v>
      </c>
      <c r="J87" s="2">
        <v>-3.4367630076911058E-3</v>
      </c>
      <c r="K87" s="2">
        <v>2.0092401947539525E-2</v>
      </c>
      <c r="L87" s="2">
        <v>1</v>
      </c>
      <c r="M87" s="2">
        <v>1</v>
      </c>
      <c r="N87" s="54">
        <v>-0.61707313771481942</v>
      </c>
      <c r="O87" s="64"/>
      <c r="Q87" s="48" t="str">
        <f t="shared" ref="Q87" si="76">A87</f>
        <v>Onroerend goed</v>
      </c>
      <c r="R87" s="67">
        <f t="shared" ref="R87" si="77">D87</f>
        <v>0.10441999489074197</v>
      </c>
      <c r="S87" s="49">
        <f t="shared" ref="S87" si="78">B87-D87</f>
        <v>3.4564337933102873E-3</v>
      </c>
      <c r="T87" s="49">
        <f t="shared" ref="T87" si="79">F87-B87</f>
        <v>4.0052873212099993E-3</v>
      </c>
      <c r="U87" s="49"/>
      <c r="V87" s="49"/>
    </row>
    <row r="88" spans="1:27">
      <c r="A88" s="57" t="str">
        <f t="shared" ref="A88" si="80">A77</f>
        <v>Periferie bonds</v>
      </c>
      <c r="B88" s="115">
        <v>9.2159380110226029E-3</v>
      </c>
      <c r="C88" s="116">
        <v>1.1636550985682968E-2</v>
      </c>
      <c r="D88" s="117">
        <v>1.4220941950753523E-4</v>
      </c>
      <c r="E88" s="115">
        <v>4.7429745783274004E-3</v>
      </c>
      <c r="F88" s="118">
        <v>1.9921080150403087E-2</v>
      </c>
      <c r="G88" s="62">
        <v>3.3726540439303808E-2</v>
      </c>
      <c r="H88" s="62">
        <v>1.664360204194406E-2</v>
      </c>
      <c r="I88" s="62">
        <v>-6.7387862157271883E-2</v>
      </c>
      <c r="J88" s="62">
        <v>1</v>
      </c>
      <c r="K88" s="62">
        <v>-0.26518101579793368</v>
      </c>
      <c r="L88" s="62">
        <v>-0.27082355959892046</v>
      </c>
      <c r="M88" s="62">
        <v>0.80430767934386449</v>
      </c>
      <c r="N88" s="63">
        <v>2.3084567591022676E-2</v>
      </c>
      <c r="O88" s="64"/>
      <c r="Q88" s="48" t="str">
        <f t="shared" si="71"/>
        <v>Periferie bonds</v>
      </c>
      <c r="R88" s="67">
        <f t="shared" si="72"/>
        <v>1.4220941950753523E-4</v>
      </c>
      <c r="S88" s="49">
        <f t="shared" si="73"/>
        <v>9.0737285915150675E-3</v>
      </c>
      <c r="T88" s="49">
        <f t="shared" si="74"/>
        <v>1.0705142139380484E-2</v>
      </c>
      <c r="U88" s="49"/>
      <c r="V88" s="49">
        <f>O34</f>
        <v>0</v>
      </c>
    </row>
    <row r="89" spans="1:27">
      <c r="A89" s="64"/>
      <c r="B89" s="111"/>
      <c r="C89" s="111"/>
      <c r="D89" s="111"/>
      <c r="E89" s="111"/>
      <c r="F89" s="111"/>
      <c r="G89" s="65"/>
      <c r="H89" s="65"/>
      <c r="I89" s="65"/>
      <c r="J89" s="65"/>
      <c r="K89" s="65"/>
      <c r="L89" s="65"/>
      <c r="M89" s="65"/>
      <c r="N89" s="65"/>
      <c r="O89" s="64"/>
      <c r="P89" s="67"/>
      <c r="Q89" s="67"/>
      <c r="R89" s="67"/>
      <c r="T89" s="49"/>
      <c r="U89" s="49"/>
      <c r="V89" s="49"/>
      <c r="W89" s="49"/>
      <c r="Y89" s="125"/>
      <c r="Z89" s="125"/>
      <c r="AA89" s="125"/>
    </row>
    <row r="90" spans="1:27">
      <c r="A90" s="64"/>
      <c r="B90" s="111"/>
      <c r="C90" s="111"/>
      <c r="D90" s="111"/>
      <c r="E90" s="111"/>
      <c r="F90" s="111"/>
      <c r="G90" s="65"/>
      <c r="H90" s="65"/>
      <c r="I90" s="65"/>
      <c r="J90" s="65"/>
      <c r="K90" s="65"/>
      <c r="L90" s="65"/>
      <c r="M90" s="65"/>
      <c r="N90" s="65"/>
      <c r="O90" s="64"/>
      <c r="P90" s="67"/>
      <c r="Q90" s="67"/>
      <c r="R90" s="67"/>
      <c r="T90" s="49"/>
      <c r="U90" s="49"/>
      <c r="V90" s="49"/>
      <c r="W90" s="49"/>
      <c r="Y90" s="125"/>
      <c r="Z90" s="125"/>
      <c r="AA90" s="125"/>
    </row>
    <row r="91" spans="1:27">
      <c r="A91" s="64"/>
      <c r="B91" s="111"/>
      <c r="C91" s="111"/>
      <c r="D91" s="111"/>
      <c r="E91" s="111"/>
      <c r="F91" s="111"/>
      <c r="G91" s="65"/>
      <c r="H91" s="65"/>
      <c r="I91" s="65"/>
      <c r="J91" s="65"/>
      <c r="K91" s="65"/>
      <c r="L91" s="65"/>
      <c r="M91" s="65"/>
      <c r="N91" s="65"/>
      <c r="O91" s="64"/>
      <c r="P91" s="67"/>
      <c r="Q91" s="67"/>
      <c r="R91" s="67"/>
      <c r="T91" s="49"/>
      <c r="U91" s="49"/>
      <c r="V91" s="49"/>
      <c r="W91" s="49"/>
      <c r="Y91" s="125"/>
      <c r="Z91" s="125"/>
      <c r="AA91" s="125"/>
    </row>
    <row r="92" spans="1:27">
      <c r="A92" s="64"/>
      <c r="B92" s="111"/>
      <c r="C92" s="111"/>
      <c r="D92" s="111"/>
      <c r="E92" s="111"/>
      <c r="F92" s="111"/>
      <c r="G92" s="65"/>
      <c r="H92" s="65"/>
      <c r="I92" s="65"/>
      <c r="J92" s="65"/>
      <c r="K92" s="65"/>
      <c r="L92" s="65"/>
      <c r="M92" s="65"/>
      <c r="N92" s="65"/>
      <c r="O92" s="64"/>
      <c r="P92" s="67"/>
      <c r="Q92" s="67"/>
      <c r="R92" s="67"/>
      <c r="T92" s="49"/>
      <c r="U92" s="49"/>
      <c r="V92" s="49"/>
      <c r="W92" s="49"/>
      <c r="Y92" s="125"/>
      <c r="Z92" s="125"/>
      <c r="AA92" s="125"/>
    </row>
    <row r="93" spans="1:27">
      <c r="A93" s="64"/>
      <c r="B93" s="111"/>
      <c r="C93" s="111"/>
      <c r="D93" s="111"/>
      <c r="E93" s="111"/>
      <c r="F93" s="111"/>
      <c r="G93" s="65"/>
      <c r="H93" s="65"/>
      <c r="I93" s="65"/>
      <c r="J93" s="65"/>
      <c r="K93" s="65"/>
      <c r="L93" s="65"/>
      <c r="M93" s="65"/>
      <c r="N93" s="65"/>
      <c r="O93" s="64"/>
    </row>
    <row r="94" spans="1:27">
      <c r="A94" s="64"/>
      <c r="B94" s="111"/>
      <c r="C94" s="111"/>
      <c r="D94" s="111"/>
      <c r="E94" s="111"/>
      <c r="F94" s="111"/>
      <c r="G94" s="65"/>
      <c r="H94" s="65"/>
      <c r="I94" s="65"/>
      <c r="J94" s="65"/>
      <c r="K94" s="65"/>
      <c r="L94" s="65"/>
      <c r="M94" s="65"/>
      <c r="N94" s="65"/>
      <c r="O94" s="64"/>
    </row>
    <row r="95" spans="1:27">
      <c r="A95" s="64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</row>
    <row r="96" spans="1:27">
      <c r="A96" s="64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</row>
    <row r="97" spans="1:15">
      <c r="A97" s="64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</row>
    <row r="98" spans="1:15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</row>
    <row r="99" spans="1:15">
      <c r="A99" s="64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</row>
    <row r="100" spans="1:15">
      <c r="A100" s="64"/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</row>
    <row r="101" spans="1:15">
      <c r="A101" s="64"/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</row>
    <row r="111" spans="1:15">
      <c r="A111" s="56" t="s">
        <v>5</v>
      </c>
      <c r="B111" s="126">
        <f t="shared" ref="B111:B117" si="81">A124/SUM($A$124:$A$130)</f>
        <v>0.16317857772190714</v>
      </c>
    </row>
    <row r="112" spans="1:15">
      <c r="A112" s="56" t="s">
        <v>6</v>
      </c>
      <c r="B112" s="126">
        <f t="shared" si="81"/>
        <v>0.19290379455136406</v>
      </c>
    </row>
    <row r="113" spans="1:2">
      <c r="A113" s="56" t="s">
        <v>7</v>
      </c>
      <c r="B113" s="126">
        <f t="shared" si="81"/>
        <v>0.25645812312142269</v>
      </c>
    </row>
    <row r="114" spans="1:2">
      <c r="A114" s="56" t="s">
        <v>8</v>
      </c>
      <c r="B114" s="126">
        <f t="shared" si="81"/>
        <v>9.7041462553314958E-2</v>
      </c>
    </row>
    <row r="115" spans="1:2">
      <c r="A115" s="56" t="s">
        <v>9</v>
      </c>
      <c r="B115" s="126">
        <f t="shared" si="81"/>
        <v>5.6755052286840531E-2</v>
      </c>
    </row>
    <row r="116" spans="1:2">
      <c r="A116" s="56" t="s">
        <v>10</v>
      </c>
      <c r="B116" s="126">
        <f t="shared" si="81"/>
        <v>7.9154326422916976E-2</v>
      </c>
    </row>
    <row r="117" spans="1:2">
      <c r="A117" s="56" t="s">
        <v>11</v>
      </c>
      <c r="B117" s="126">
        <f t="shared" si="81"/>
        <v>0.15450866334223365</v>
      </c>
    </row>
    <row r="118" spans="1:2">
      <c r="A118" s="57" t="s">
        <v>131</v>
      </c>
      <c r="B118" s="126">
        <f>A130/SUM($A$124:$A$130)</f>
        <v>0.15450866334223365</v>
      </c>
    </row>
    <row r="124" spans="1:2">
      <c r="A124">
        <v>8.1589288860953568E-2</v>
      </c>
    </row>
    <row r="125" spans="1:2">
      <c r="A125">
        <v>9.6451897275682028E-2</v>
      </c>
    </row>
    <row r="126" spans="1:2">
      <c r="A126">
        <v>0.12822906156071134</v>
      </c>
    </row>
    <row r="127" spans="1:2">
      <c r="A127">
        <v>4.8520731276657479E-2</v>
      </c>
    </row>
    <row r="128" spans="1:2">
      <c r="A128">
        <v>2.8377526143420265E-2</v>
      </c>
    </row>
    <row r="129" spans="1:1">
      <c r="A129">
        <v>3.9577163211458488E-2</v>
      </c>
    </row>
    <row r="130" spans="1:1">
      <c r="A130">
        <v>7.7254331671116824E-2</v>
      </c>
    </row>
  </sheetData>
  <mergeCells count="16">
    <mergeCell ref="D68:F68"/>
    <mergeCell ref="G68:N68"/>
    <mergeCell ref="D79:F79"/>
    <mergeCell ref="G79:N79"/>
    <mergeCell ref="D35:F35"/>
    <mergeCell ref="G35:N35"/>
    <mergeCell ref="D46:F46"/>
    <mergeCell ref="G46:N46"/>
    <mergeCell ref="D57:F57"/>
    <mergeCell ref="G57:N57"/>
    <mergeCell ref="D2:F2"/>
    <mergeCell ref="G2:N2"/>
    <mergeCell ref="D13:F13"/>
    <mergeCell ref="G13:N13"/>
    <mergeCell ref="D24:F24"/>
    <mergeCell ref="G24:N2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SGP</cp:lastModifiedBy>
  <cp:lastPrinted>2012-10-17T06:43:27Z</cp:lastPrinted>
  <dcterms:created xsi:type="dcterms:W3CDTF">2012-01-02T14:02:34Z</dcterms:created>
  <dcterms:modified xsi:type="dcterms:W3CDTF">2013-02-18T12:00:02Z</dcterms:modified>
</cp:coreProperties>
</file>