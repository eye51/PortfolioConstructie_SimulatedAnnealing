
<file path=[Content_Types].xml><?xml version="1.0" encoding="utf-8"?>
<Types xmlns="http://schemas.openxmlformats.org/package/2006/content-types"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drawings/drawing5.xml" ContentType="application/vnd.openxmlformats-officedocument.drawingml.chartshap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omments1.xml" ContentType="application/vnd.openxmlformats-officedocument.spreadsheetml.comment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docProps/core.xml" ContentType="application/vnd.openxmlformats-package.core-properties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charts/chart10.xml" ContentType="application/vnd.openxmlformats-officedocument.drawingml.chart+xml"/>
  <Default Extension="png" ContentType="image/png"/>
  <Override PartName="/xl/charts/chart5.xml" ContentType="application/vnd.openxmlformats-officedocument.drawingml.chart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12105" yWindow="-15" windowWidth="11940" windowHeight="9690" tabRatio="769"/>
  </bookViews>
  <sheets>
    <sheet name="Control panel" sheetId="9" r:id="rId1"/>
    <sheet name="Scenarios" sheetId="7" r:id="rId2"/>
    <sheet name="Absolute visies" sheetId="1" r:id="rId3"/>
    <sheet name="Restricties" sheetId="4" r:id="rId4"/>
    <sheet name="Optimalisatie" sheetId="5" r:id="rId5"/>
    <sheet name="schaduw rendementen" sheetId="13" r:id="rId6"/>
    <sheet name="Samenvatting mixen" sheetId="6" r:id="rId7"/>
    <sheet name="Samenvatting mixen - return" sheetId="8" r:id="rId8"/>
    <sheet name="output IC" sheetId="11" r:id="rId9"/>
    <sheet name="Sheet1" sheetId="12" r:id="rId10"/>
    <sheet name="base_up_PE_neutral" sheetId="14" r:id="rId11"/>
    <sheet name="equilibrium" sheetId="15" r:id="rId12"/>
  </sheets>
  <externalReferences>
    <externalReference r:id="rId13"/>
  </externalReferences>
  <definedNames>
    <definedName name="aan_uit">Optimalisatie!$B$101:$B$102</definedName>
    <definedName name="aantalAssets">Scenarios!$B$48</definedName>
    <definedName name="aantalScenarios">Scenarios!$B$47</definedName>
    <definedName name="assetsSpecified">Scenarios!$B$115:$B$116</definedName>
    <definedName name="bmNummer">Scenarios!$B$114</definedName>
    <definedName name="doelstelling">Optimalisatie!$C$105:$C$112</definedName>
    <definedName name="evenwichtRend">Scenarios!$C$4</definedName>
    <definedName name="k">'Absolute visies'!$R$4:$Y$11</definedName>
    <definedName name="parametersAssets">Scenarios!$A$3</definedName>
    <definedName name="rendSpecified">Scenarios!$C$19:$C$20</definedName>
    <definedName name="scenariosSchadusRendementen">'schaduw rendementen'!$F$9</definedName>
    <definedName name="schaduwRendAssets">'schaduw rendementen'!$A$9</definedName>
    <definedName name="schaduwRendMax">'schaduw rendementen'!$C$3</definedName>
    <definedName name="schaduwRendMin">'schaduw rendementen'!$B$3</definedName>
    <definedName name="schaduwRendnoAssets">'schaduw rendementen'!$B$7</definedName>
    <definedName name="schaduwRendNoSteps">'schaduw rendementen'!$B$6</definedName>
    <definedName name="showPlotJN">'Control panel'!$B$40</definedName>
    <definedName name="trackingErrorHuidig">Scenarios!$C$16</definedName>
  </definedNames>
  <calcPr calcId="125725" calcOnSave="0"/>
</workbook>
</file>

<file path=xl/calcChain.xml><?xml version="1.0" encoding="utf-8"?>
<calcChain xmlns="http://schemas.openxmlformats.org/spreadsheetml/2006/main">
  <c r="U120" i="6"/>
  <c r="U119"/>
  <c r="U118"/>
  <c r="U105"/>
  <c r="U104"/>
  <c r="U103"/>
  <c r="U90"/>
  <c r="U89"/>
  <c r="U88"/>
  <c r="U75"/>
  <c r="U74"/>
  <c r="U73"/>
  <c r="U60"/>
  <c r="U59"/>
  <c r="U58"/>
  <c r="U45"/>
  <c r="U44"/>
  <c r="U43"/>
  <c r="U30"/>
  <c r="U29"/>
  <c r="U28"/>
  <c r="U13"/>
  <c r="U14"/>
  <c r="U15"/>
  <c r="S120"/>
  <c r="S119"/>
  <c r="S118"/>
  <c r="T120"/>
  <c r="T119"/>
  <c r="T118"/>
  <c r="T105"/>
  <c r="T104"/>
  <c r="T103"/>
  <c r="T90"/>
  <c r="T89"/>
  <c r="T88"/>
  <c r="T75"/>
  <c r="T74"/>
  <c r="T73"/>
  <c r="T60"/>
  <c r="T59"/>
  <c r="T58"/>
  <c r="T45"/>
  <c r="T44"/>
  <c r="T43"/>
  <c r="T30"/>
  <c r="T29"/>
  <c r="T28"/>
  <c r="T13"/>
  <c r="T14"/>
  <c r="T15"/>
  <c r="S105"/>
  <c r="S104"/>
  <c r="S103"/>
  <c r="S90"/>
  <c r="S89"/>
  <c r="S88"/>
  <c r="S75"/>
  <c r="S74"/>
  <c r="S73"/>
  <c r="S60"/>
  <c r="S59"/>
  <c r="S58"/>
  <c r="S45"/>
  <c r="S44"/>
  <c r="S43"/>
  <c r="S30"/>
  <c r="S29"/>
  <c r="S28"/>
  <c r="S13"/>
  <c r="S14"/>
  <c r="S15"/>
  <c r="R120"/>
  <c r="R119"/>
  <c r="R118"/>
  <c r="R105"/>
  <c r="R104"/>
  <c r="R103"/>
  <c r="R90"/>
  <c r="R89"/>
  <c r="R88"/>
  <c r="R75"/>
  <c r="R74"/>
  <c r="R73"/>
  <c r="R60"/>
  <c r="R59"/>
  <c r="R58"/>
  <c r="R45"/>
  <c r="R44"/>
  <c r="R43"/>
  <c r="R30"/>
  <c r="R29"/>
  <c r="R28"/>
  <c r="R13"/>
  <c r="R14"/>
  <c r="R15"/>
  <c r="A120"/>
  <c r="A119"/>
  <c r="A118"/>
  <c r="A105"/>
  <c r="A104"/>
  <c r="A103"/>
  <c r="A90"/>
  <c r="A89"/>
  <c r="A88"/>
  <c r="A75"/>
  <c r="A74"/>
  <c r="A73"/>
  <c r="A60"/>
  <c r="A59"/>
  <c r="A58"/>
  <c r="A45"/>
  <c r="A44"/>
  <c r="A43"/>
  <c r="A30"/>
  <c r="A29"/>
  <c r="A28"/>
  <c r="A22"/>
  <c r="A15"/>
  <c r="A14"/>
  <c r="A13"/>
  <c r="A11"/>
  <c r="A7"/>
  <c r="B124" i="4"/>
  <c r="B125"/>
  <c r="B126"/>
  <c r="B127"/>
  <c r="A124"/>
  <c r="A125"/>
  <c r="A126"/>
  <c r="A127"/>
  <c r="A128"/>
  <c r="A15" i="1"/>
  <c r="A30" i="4"/>
  <c r="A14" i="1"/>
  <c r="A29" i="4"/>
  <c r="A13" i="1"/>
  <c r="A28" i="4"/>
  <c r="A12" i="1"/>
  <c r="A11"/>
  <c r="A26" i="4" s="1"/>
  <c r="A10" i="1"/>
  <c r="A9"/>
  <c r="A24" i="4" s="1"/>
  <c r="A8" i="1"/>
  <c r="A7"/>
  <c r="A22" i="4" s="1"/>
  <c r="A6" i="1"/>
  <c r="A5"/>
  <c r="A20" i="4" s="1"/>
  <c r="A4" i="1"/>
  <c r="H15" i="4"/>
  <c r="H14"/>
  <c r="H13"/>
  <c r="H12"/>
  <c r="H11"/>
  <c r="H10"/>
  <c r="H9"/>
  <c r="H8"/>
  <c r="H7"/>
  <c r="H6"/>
  <c r="H5"/>
  <c r="H4"/>
  <c r="G15"/>
  <c r="G14"/>
  <c r="G13"/>
  <c r="G12"/>
  <c r="G11"/>
  <c r="G10"/>
  <c r="G9"/>
  <c r="G8"/>
  <c r="G7"/>
  <c r="G6"/>
  <c r="G5"/>
  <c r="G4"/>
  <c r="D15"/>
  <c r="C15"/>
  <c r="D14"/>
  <c r="C14"/>
  <c r="D13"/>
  <c r="C13"/>
  <c r="D12"/>
  <c r="C12"/>
  <c r="D11"/>
  <c r="C11"/>
  <c r="D10"/>
  <c r="C10"/>
  <c r="D9"/>
  <c r="C9"/>
  <c r="D8"/>
  <c r="C8"/>
  <c r="D7"/>
  <c r="C7"/>
  <c r="D6"/>
  <c r="C6"/>
  <c r="D5"/>
  <c r="C5"/>
  <c r="D4"/>
  <c r="C4"/>
  <c r="A15"/>
  <c r="A14"/>
  <c r="A13"/>
  <c r="A11"/>
  <c r="A122" s="1"/>
  <c r="B122" s="1"/>
  <c r="A9"/>
  <c r="A120" s="1"/>
  <c r="B120" s="1"/>
  <c r="A7"/>
  <c r="A118" s="1"/>
  <c r="B118" s="1"/>
  <c r="A5"/>
  <c r="A116" s="1"/>
  <c r="B116" s="1"/>
  <c r="C72" i="1"/>
  <c r="K72"/>
  <c r="J72"/>
  <c r="I72"/>
  <c r="H72"/>
  <c r="G72"/>
  <c r="F72"/>
  <c r="E72"/>
  <c r="D72"/>
  <c r="K87"/>
  <c r="J87"/>
  <c r="I87"/>
  <c r="H87"/>
  <c r="G87"/>
  <c r="F87"/>
  <c r="E87"/>
  <c r="D87"/>
  <c r="C87"/>
  <c r="O105"/>
  <c r="N105"/>
  <c r="M105"/>
  <c r="L105"/>
  <c r="K105"/>
  <c r="J105"/>
  <c r="I105"/>
  <c r="H105"/>
  <c r="G105"/>
  <c r="F105"/>
  <c r="E105"/>
  <c r="D105"/>
  <c r="O104"/>
  <c r="N104"/>
  <c r="M104"/>
  <c r="L104"/>
  <c r="K104"/>
  <c r="J104"/>
  <c r="I104"/>
  <c r="H104"/>
  <c r="G104"/>
  <c r="F104"/>
  <c r="E104"/>
  <c r="D104"/>
  <c r="O103"/>
  <c r="N103"/>
  <c r="M103"/>
  <c r="L103"/>
  <c r="K103"/>
  <c r="J103"/>
  <c r="I103"/>
  <c r="H103"/>
  <c r="G103"/>
  <c r="F103"/>
  <c r="E103"/>
  <c r="D103"/>
  <c r="O102"/>
  <c r="N102"/>
  <c r="M102"/>
  <c r="L102"/>
  <c r="K102"/>
  <c r="J102"/>
  <c r="I102"/>
  <c r="H102"/>
  <c r="G102"/>
  <c r="F102"/>
  <c r="E102"/>
  <c r="D102"/>
  <c r="O101"/>
  <c r="N101"/>
  <c r="M101"/>
  <c r="L101"/>
  <c r="K101"/>
  <c r="J101"/>
  <c r="I101"/>
  <c r="H101"/>
  <c r="G101"/>
  <c r="F101"/>
  <c r="E101"/>
  <c r="D101"/>
  <c r="O100"/>
  <c r="N100"/>
  <c r="M100"/>
  <c r="L100"/>
  <c r="K100"/>
  <c r="J100"/>
  <c r="I100"/>
  <c r="H100"/>
  <c r="G100"/>
  <c r="F100"/>
  <c r="E100"/>
  <c r="D100"/>
  <c r="O99"/>
  <c r="N99"/>
  <c r="M99"/>
  <c r="L99"/>
  <c r="K99"/>
  <c r="J99"/>
  <c r="I99"/>
  <c r="H99"/>
  <c r="G99"/>
  <c r="F99"/>
  <c r="E99"/>
  <c r="D99"/>
  <c r="O98"/>
  <c r="N98"/>
  <c r="M98"/>
  <c r="L98"/>
  <c r="K98"/>
  <c r="J98"/>
  <c r="I98"/>
  <c r="H98"/>
  <c r="G98"/>
  <c r="F98"/>
  <c r="E98"/>
  <c r="D98"/>
  <c r="O97"/>
  <c r="N97"/>
  <c r="M97"/>
  <c r="L97"/>
  <c r="K97"/>
  <c r="J97"/>
  <c r="I97"/>
  <c r="H97"/>
  <c r="G97"/>
  <c r="F97"/>
  <c r="E97"/>
  <c r="D97"/>
  <c r="O96"/>
  <c r="N96"/>
  <c r="M96"/>
  <c r="L96"/>
  <c r="K96"/>
  <c r="J96"/>
  <c r="I96"/>
  <c r="H96"/>
  <c r="G96"/>
  <c r="F96"/>
  <c r="E96"/>
  <c r="D96"/>
  <c r="O95"/>
  <c r="N95"/>
  <c r="M95"/>
  <c r="L95"/>
  <c r="K95"/>
  <c r="J95"/>
  <c r="I95"/>
  <c r="H95"/>
  <c r="G95"/>
  <c r="F95"/>
  <c r="E95"/>
  <c r="D95"/>
  <c r="O94"/>
  <c r="N94"/>
  <c r="M94"/>
  <c r="L94"/>
  <c r="K94"/>
  <c r="J94"/>
  <c r="I94"/>
  <c r="H94"/>
  <c r="G94"/>
  <c r="F94"/>
  <c r="E94"/>
  <c r="D94"/>
  <c r="C105"/>
  <c r="C104"/>
  <c r="C103"/>
  <c r="C102"/>
  <c r="C101"/>
  <c r="C100"/>
  <c r="C99"/>
  <c r="C98"/>
  <c r="C97"/>
  <c r="C96"/>
  <c r="C95"/>
  <c r="C94"/>
  <c r="B105"/>
  <c r="B104"/>
  <c r="B103"/>
  <c r="B102"/>
  <c r="B101"/>
  <c r="B100"/>
  <c r="B99"/>
  <c r="B98"/>
  <c r="B97"/>
  <c r="B96"/>
  <c r="B95"/>
  <c r="B94"/>
  <c r="A105"/>
  <c r="A104"/>
  <c r="A103"/>
  <c r="A102"/>
  <c r="A101"/>
  <c r="A100"/>
  <c r="A99"/>
  <c r="A98"/>
  <c r="A97"/>
  <c r="A96"/>
  <c r="A95"/>
  <c r="A94"/>
  <c r="B90"/>
  <c r="B89"/>
  <c r="B88"/>
  <c r="B87"/>
  <c r="B86"/>
  <c r="B85"/>
  <c r="B84"/>
  <c r="B83"/>
  <c r="B82"/>
  <c r="B81"/>
  <c r="B80"/>
  <c r="B79"/>
  <c r="A90"/>
  <c r="A89"/>
  <c r="A88"/>
  <c r="A87"/>
  <c r="A86"/>
  <c r="A85"/>
  <c r="A84"/>
  <c r="A83"/>
  <c r="A82"/>
  <c r="A81"/>
  <c r="A80"/>
  <c r="A79"/>
  <c r="B75"/>
  <c r="B74"/>
  <c r="B73"/>
  <c r="B72"/>
  <c r="B71"/>
  <c r="B70"/>
  <c r="B69"/>
  <c r="B68"/>
  <c r="B67"/>
  <c r="B66"/>
  <c r="B65"/>
  <c r="B64"/>
  <c r="A75"/>
  <c r="A74"/>
  <c r="A73"/>
  <c r="A72"/>
  <c r="A71"/>
  <c r="A70"/>
  <c r="A69"/>
  <c r="A68"/>
  <c r="A67"/>
  <c r="A66"/>
  <c r="A65"/>
  <c r="A64"/>
  <c r="O60"/>
  <c r="N60"/>
  <c r="M60"/>
  <c r="L60"/>
  <c r="K60"/>
  <c r="J60"/>
  <c r="I60"/>
  <c r="H60"/>
  <c r="G60"/>
  <c r="F60"/>
  <c r="E60"/>
  <c r="D60"/>
  <c r="O59"/>
  <c r="N59"/>
  <c r="M59"/>
  <c r="L59"/>
  <c r="K59"/>
  <c r="J59"/>
  <c r="I59"/>
  <c r="H59"/>
  <c r="G59"/>
  <c r="F59"/>
  <c r="E59"/>
  <c r="D59"/>
  <c r="O58"/>
  <c r="N58"/>
  <c r="M58"/>
  <c r="L58"/>
  <c r="K58"/>
  <c r="J58"/>
  <c r="I58"/>
  <c r="H58"/>
  <c r="G58"/>
  <c r="F58"/>
  <c r="E58"/>
  <c r="D58"/>
  <c r="O57"/>
  <c r="N57"/>
  <c r="M57"/>
  <c r="L57"/>
  <c r="K57"/>
  <c r="J57"/>
  <c r="I57"/>
  <c r="H57"/>
  <c r="G57"/>
  <c r="F57"/>
  <c r="E57"/>
  <c r="D57"/>
  <c r="O56"/>
  <c r="N56"/>
  <c r="M56"/>
  <c r="L56"/>
  <c r="K56"/>
  <c r="J56"/>
  <c r="I56"/>
  <c r="H56"/>
  <c r="G56"/>
  <c r="F56"/>
  <c r="E56"/>
  <c r="D56"/>
  <c r="O55"/>
  <c r="N55"/>
  <c r="M55"/>
  <c r="L55"/>
  <c r="K55"/>
  <c r="J55"/>
  <c r="I55"/>
  <c r="H55"/>
  <c r="G55"/>
  <c r="F55"/>
  <c r="E55"/>
  <c r="D55"/>
  <c r="O54"/>
  <c r="N54"/>
  <c r="M54"/>
  <c r="L54"/>
  <c r="K54"/>
  <c r="J54"/>
  <c r="I54"/>
  <c r="H54"/>
  <c r="G54"/>
  <c r="F54"/>
  <c r="E54"/>
  <c r="D54"/>
  <c r="O53"/>
  <c r="N53"/>
  <c r="M53"/>
  <c r="L53"/>
  <c r="K53"/>
  <c r="J53"/>
  <c r="I53"/>
  <c r="H53"/>
  <c r="G53"/>
  <c r="F53"/>
  <c r="E53"/>
  <c r="D53"/>
  <c r="O52"/>
  <c r="N52"/>
  <c r="M52"/>
  <c r="L52"/>
  <c r="K52"/>
  <c r="J52"/>
  <c r="I52"/>
  <c r="H52"/>
  <c r="G52"/>
  <c r="F52"/>
  <c r="E52"/>
  <c r="D52"/>
  <c r="O51"/>
  <c r="N51"/>
  <c r="M51"/>
  <c r="L51"/>
  <c r="K51"/>
  <c r="J51"/>
  <c r="I51"/>
  <c r="H51"/>
  <c r="G51"/>
  <c r="F51"/>
  <c r="E51"/>
  <c r="D51"/>
  <c r="O50"/>
  <c r="N50"/>
  <c r="M50"/>
  <c r="L50"/>
  <c r="K50"/>
  <c r="J50"/>
  <c r="I50"/>
  <c r="H50"/>
  <c r="G50"/>
  <c r="F50"/>
  <c r="E50"/>
  <c r="D50"/>
  <c r="O49"/>
  <c r="N49"/>
  <c r="M49"/>
  <c r="L49"/>
  <c r="K49"/>
  <c r="J49"/>
  <c r="I49"/>
  <c r="H49"/>
  <c r="G49"/>
  <c r="F49"/>
  <c r="E49"/>
  <c r="D49"/>
  <c r="C60"/>
  <c r="C59"/>
  <c r="C58"/>
  <c r="C57"/>
  <c r="C56"/>
  <c r="C55"/>
  <c r="C54"/>
  <c r="C53"/>
  <c r="C52"/>
  <c r="C51"/>
  <c r="C50"/>
  <c r="C49"/>
  <c r="B60"/>
  <c r="B59"/>
  <c r="B58"/>
  <c r="B57"/>
  <c r="B56"/>
  <c r="B55"/>
  <c r="B54"/>
  <c r="B53"/>
  <c r="B52"/>
  <c r="B51"/>
  <c r="B50"/>
  <c r="B49"/>
  <c r="A60"/>
  <c r="A59"/>
  <c r="A58"/>
  <c r="A57"/>
  <c r="A56"/>
  <c r="A124" i="5" s="1"/>
  <c r="A55" i="1"/>
  <c r="A54"/>
  <c r="A53"/>
  <c r="A52"/>
  <c r="A120" i="5" s="1"/>
  <c r="A51" i="1"/>
  <c r="A50"/>
  <c r="A49"/>
  <c r="A30"/>
  <c r="A29"/>
  <c r="A28"/>
  <c r="A27"/>
  <c r="A26"/>
  <c r="A25"/>
  <c r="A24"/>
  <c r="A23"/>
  <c r="A22"/>
  <c r="A21"/>
  <c r="A20"/>
  <c r="A19"/>
  <c r="A45"/>
  <c r="A44"/>
  <c r="A43"/>
  <c r="A42"/>
  <c r="A41"/>
  <c r="A40"/>
  <c r="A39"/>
  <c r="A38"/>
  <c r="A37"/>
  <c r="A36"/>
  <c r="A35"/>
  <c r="A34"/>
  <c r="O45"/>
  <c r="N45"/>
  <c r="M45"/>
  <c r="L45"/>
  <c r="K45"/>
  <c r="J45"/>
  <c r="I45"/>
  <c r="H45"/>
  <c r="G45"/>
  <c r="F45"/>
  <c r="E45"/>
  <c r="D45"/>
  <c r="O44"/>
  <c r="N44"/>
  <c r="M44"/>
  <c r="L44"/>
  <c r="K44"/>
  <c r="J44"/>
  <c r="I44"/>
  <c r="H44"/>
  <c r="G44"/>
  <c r="F44"/>
  <c r="E44"/>
  <c r="D44"/>
  <c r="O43"/>
  <c r="N43"/>
  <c r="M43"/>
  <c r="L43"/>
  <c r="K43"/>
  <c r="J43"/>
  <c r="I43"/>
  <c r="H43"/>
  <c r="G43"/>
  <c r="F43"/>
  <c r="E43"/>
  <c r="D43"/>
  <c r="O42"/>
  <c r="N42"/>
  <c r="M42"/>
  <c r="L42"/>
  <c r="K42"/>
  <c r="J42"/>
  <c r="I42"/>
  <c r="H42"/>
  <c r="G42"/>
  <c r="F42"/>
  <c r="E42"/>
  <c r="D42"/>
  <c r="O41"/>
  <c r="N41"/>
  <c r="M41"/>
  <c r="L41"/>
  <c r="K41"/>
  <c r="J41"/>
  <c r="I41"/>
  <c r="H41"/>
  <c r="G41"/>
  <c r="F41"/>
  <c r="E41"/>
  <c r="D41"/>
  <c r="O40"/>
  <c r="N40"/>
  <c r="M40"/>
  <c r="L40"/>
  <c r="K40"/>
  <c r="J40"/>
  <c r="I40"/>
  <c r="H40"/>
  <c r="G40"/>
  <c r="F40"/>
  <c r="E40"/>
  <c r="D40"/>
  <c r="O39"/>
  <c r="N39"/>
  <c r="M39"/>
  <c r="L39"/>
  <c r="K39"/>
  <c r="J39"/>
  <c r="I39"/>
  <c r="H39"/>
  <c r="G39"/>
  <c r="F39"/>
  <c r="E39"/>
  <c r="D39"/>
  <c r="O38"/>
  <c r="N38"/>
  <c r="M38"/>
  <c r="L38"/>
  <c r="K38"/>
  <c r="J38"/>
  <c r="I38"/>
  <c r="H38"/>
  <c r="G38"/>
  <c r="F38"/>
  <c r="E38"/>
  <c r="D38"/>
  <c r="O37"/>
  <c r="N37"/>
  <c r="M37"/>
  <c r="L37"/>
  <c r="K37"/>
  <c r="J37"/>
  <c r="I37"/>
  <c r="H37"/>
  <c r="G37"/>
  <c r="F37"/>
  <c r="E37"/>
  <c r="D37"/>
  <c r="O36"/>
  <c r="N36"/>
  <c r="M36"/>
  <c r="L36"/>
  <c r="K36"/>
  <c r="J36"/>
  <c r="I36"/>
  <c r="H36"/>
  <c r="G36"/>
  <c r="F36"/>
  <c r="E36"/>
  <c r="D36"/>
  <c r="O35"/>
  <c r="N35"/>
  <c r="M35"/>
  <c r="L35"/>
  <c r="K35"/>
  <c r="J35"/>
  <c r="I35"/>
  <c r="H35"/>
  <c r="G35"/>
  <c r="F35"/>
  <c r="E35"/>
  <c r="D35"/>
  <c r="O34"/>
  <c r="N34"/>
  <c r="M34"/>
  <c r="L34"/>
  <c r="K34"/>
  <c r="J34"/>
  <c r="I34"/>
  <c r="H34"/>
  <c r="G34"/>
  <c r="F34"/>
  <c r="E34"/>
  <c r="D34"/>
  <c r="C45"/>
  <c r="C44"/>
  <c r="C43"/>
  <c r="C42"/>
  <c r="C41"/>
  <c r="C40"/>
  <c r="C39"/>
  <c r="C38"/>
  <c r="C37"/>
  <c r="C36"/>
  <c r="C35"/>
  <c r="C34"/>
  <c r="B45"/>
  <c r="B44"/>
  <c r="B43"/>
  <c r="B42"/>
  <c r="B41"/>
  <c r="B40"/>
  <c r="B39"/>
  <c r="B38"/>
  <c r="B37"/>
  <c r="B36"/>
  <c r="B35"/>
  <c r="B34"/>
  <c r="B30"/>
  <c r="B29"/>
  <c r="B28"/>
  <c r="B27"/>
  <c r="B26"/>
  <c r="B25"/>
  <c r="B24"/>
  <c r="B23"/>
  <c r="B22"/>
  <c r="B21"/>
  <c r="B20"/>
  <c r="B19"/>
  <c r="O30"/>
  <c r="N30"/>
  <c r="M30"/>
  <c r="L30"/>
  <c r="K30"/>
  <c r="J30"/>
  <c r="I30"/>
  <c r="H30"/>
  <c r="G30"/>
  <c r="F30"/>
  <c r="E30"/>
  <c r="D30"/>
  <c r="O29"/>
  <c r="N29"/>
  <c r="M29"/>
  <c r="L29"/>
  <c r="K29"/>
  <c r="J29"/>
  <c r="I29"/>
  <c r="H29"/>
  <c r="G29"/>
  <c r="F29"/>
  <c r="E29"/>
  <c r="D29"/>
  <c r="O28"/>
  <c r="N28"/>
  <c r="M28"/>
  <c r="L28"/>
  <c r="K28"/>
  <c r="J28"/>
  <c r="I28"/>
  <c r="H28"/>
  <c r="G28"/>
  <c r="F28"/>
  <c r="E28"/>
  <c r="D28"/>
  <c r="O27"/>
  <c r="N27"/>
  <c r="M27"/>
  <c r="L27"/>
  <c r="K27"/>
  <c r="J27"/>
  <c r="I27"/>
  <c r="H27"/>
  <c r="G27"/>
  <c r="F27"/>
  <c r="E27"/>
  <c r="D27"/>
  <c r="O26"/>
  <c r="N26"/>
  <c r="M26"/>
  <c r="L26"/>
  <c r="K26"/>
  <c r="J26"/>
  <c r="I26"/>
  <c r="H26"/>
  <c r="G26"/>
  <c r="F26"/>
  <c r="E26"/>
  <c r="D26"/>
  <c r="O25"/>
  <c r="N25"/>
  <c r="M25"/>
  <c r="L25"/>
  <c r="K25"/>
  <c r="J25"/>
  <c r="I25"/>
  <c r="H25"/>
  <c r="G25"/>
  <c r="F25"/>
  <c r="E25"/>
  <c r="D25"/>
  <c r="O24"/>
  <c r="N24"/>
  <c r="M24"/>
  <c r="L24"/>
  <c r="K24"/>
  <c r="J24"/>
  <c r="I24"/>
  <c r="H24"/>
  <c r="G24"/>
  <c r="F24"/>
  <c r="E24"/>
  <c r="D24"/>
  <c r="O23"/>
  <c r="N23"/>
  <c r="M23"/>
  <c r="L23"/>
  <c r="K23"/>
  <c r="J23"/>
  <c r="I23"/>
  <c r="H23"/>
  <c r="G23"/>
  <c r="F23"/>
  <c r="E23"/>
  <c r="D23"/>
  <c r="O22"/>
  <c r="N22"/>
  <c r="M22"/>
  <c r="L22"/>
  <c r="K22"/>
  <c r="J22"/>
  <c r="I22"/>
  <c r="H22"/>
  <c r="G22"/>
  <c r="F22"/>
  <c r="E22"/>
  <c r="D22"/>
  <c r="O21"/>
  <c r="N21"/>
  <c r="M21"/>
  <c r="L21"/>
  <c r="K21"/>
  <c r="J21"/>
  <c r="I21"/>
  <c r="H21"/>
  <c r="G21"/>
  <c r="F21"/>
  <c r="E21"/>
  <c r="D21"/>
  <c r="O20"/>
  <c r="N20"/>
  <c r="M20"/>
  <c r="L20"/>
  <c r="K20"/>
  <c r="J20"/>
  <c r="I20"/>
  <c r="H20"/>
  <c r="G20"/>
  <c r="F20"/>
  <c r="E20"/>
  <c r="D20"/>
  <c r="O19"/>
  <c r="N19"/>
  <c r="M19"/>
  <c r="L19"/>
  <c r="K19"/>
  <c r="J19"/>
  <c r="I19"/>
  <c r="H19"/>
  <c r="G19"/>
  <c r="F19"/>
  <c r="E19"/>
  <c r="C30"/>
  <c r="C29"/>
  <c r="C28"/>
  <c r="C27"/>
  <c r="C26"/>
  <c r="C25"/>
  <c r="C24"/>
  <c r="C23"/>
  <c r="C22"/>
  <c r="C21"/>
  <c r="C20"/>
  <c r="C19"/>
  <c r="D19"/>
  <c r="O15"/>
  <c r="N15"/>
  <c r="M15"/>
  <c r="L15"/>
  <c r="K15"/>
  <c r="J15"/>
  <c r="I15"/>
  <c r="H15"/>
  <c r="G15"/>
  <c r="F15"/>
  <c r="E15"/>
  <c r="D15"/>
  <c r="O14"/>
  <c r="N14"/>
  <c r="M14"/>
  <c r="L14"/>
  <c r="K14"/>
  <c r="J14"/>
  <c r="I14"/>
  <c r="H14"/>
  <c r="G14"/>
  <c r="F14"/>
  <c r="E14"/>
  <c r="D14"/>
  <c r="O13"/>
  <c r="N13"/>
  <c r="M13"/>
  <c r="L13"/>
  <c r="K13"/>
  <c r="J13"/>
  <c r="I13"/>
  <c r="H13"/>
  <c r="G13"/>
  <c r="F13"/>
  <c r="E13"/>
  <c r="D13"/>
  <c r="O12"/>
  <c r="N12"/>
  <c r="M12"/>
  <c r="L12"/>
  <c r="K12"/>
  <c r="J12"/>
  <c r="I12"/>
  <c r="H12"/>
  <c r="G12"/>
  <c r="F12"/>
  <c r="E12"/>
  <c r="D12"/>
  <c r="O11"/>
  <c r="N11"/>
  <c r="M11"/>
  <c r="L11"/>
  <c r="K11"/>
  <c r="J11"/>
  <c r="I11"/>
  <c r="H11"/>
  <c r="G11"/>
  <c r="F11"/>
  <c r="E11"/>
  <c r="D11"/>
  <c r="O10"/>
  <c r="N10"/>
  <c r="M10"/>
  <c r="L10"/>
  <c r="K10"/>
  <c r="J10"/>
  <c r="I10"/>
  <c r="H10"/>
  <c r="G10"/>
  <c r="F10"/>
  <c r="E10"/>
  <c r="D10"/>
  <c r="O9"/>
  <c r="N9"/>
  <c r="M9"/>
  <c r="L9"/>
  <c r="K9"/>
  <c r="J9"/>
  <c r="I9"/>
  <c r="H9"/>
  <c r="G9"/>
  <c r="F9"/>
  <c r="E9"/>
  <c r="D9"/>
  <c r="O8"/>
  <c r="N8"/>
  <c r="M8"/>
  <c r="L8"/>
  <c r="K8"/>
  <c r="J8"/>
  <c r="I8"/>
  <c r="H8"/>
  <c r="G8"/>
  <c r="F8"/>
  <c r="E8"/>
  <c r="D8"/>
  <c r="O7"/>
  <c r="N7"/>
  <c r="M7"/>
  <c r="L7"/>
  <c r="K7"/>
  <c r="J7"/>
  <c r="I7"/>
  <c r="H7"/>
  <c r="G7"/>
  <c r="F7"/>
  <c r="E7"/>
  <c r="D7"/>
  <c r="O6"/>
  <c r="N6"/>
  <c r="M6"/>
  <c r="L6"/>
  <c r="K6"/>
  <c r="J6"/>
  <c r="I6"/>
  <c r="H6"/>
  <c r="G6"/>
  <c r="F6"/>
  <c r="E6"/>
  <c r="D6"/>
  <c r="O5"/>
  <c r="N5"/>
  <c r="M5"/>
  <c r="L5"/>
  <c r="K5"/>
  <c r="J5"/>
  <c r="I5"/>
  <c r="H5"/>
  <c r="G5"/>
  <c r="F5"/>
  <c r="E5"/>
  <c r="D5"/>
  <c r="O4"/>
  <c r="N4"/>
  <c r="M4"/>
  <c r="L4"/>
  <c r="K4"/>
  <c r="J4"/>
  <c r="I4"/>
  <c r="H4"/>
  <c r="G4"/>
  <c r="F4"/>
  <c r="E4"/>
  <c r="D4"/>
  <c r="C15"/>
  <c r="C14"/>
  <c r="C13"/>
  <c r="C12"/>
  <c r="C11"/>
  <c r="C10"/>
  <c r="C9"/>
  <c r="C8"/>
  <c r="C7"/>
  <c r="C6"/>
  <c r="C5"/>
  <c r="C4"/>
  <c r="B15"/>
  <c r="B14"/>
  <c r="I39" i="7"/>
  <c r="I38"/>
  <c r="I37"/>
  <c r="B15"/>
  <c r="B14"/>
  <c r="B13"/>
  <c r="B12"/>
  <c r="B11"/>
  <c r="B10"/>
  <c r="B9"/>
  <c r="B8"/>
  <c r="B7"/>
  <c r="B6"/>
  <c r="B5"/>
  <c r="B4"/>
  <c r="X11" i="9"/>
  <c r="A14"/>
  <c r="G14"/>
  <c r="A13"/>
  <c r="G13"/>
  <c r="A12"/>
  <c r="G12"/>
  <c r="A11"/>
  <c r="G11" s="1"/>
  <c r="F11"/>
  <c r="A10"/>
  <c r="F10"/>
  <c r="G10"/>
  <c r="A9"/>
  <c r="F9"/>
  <c r="G9"/>
  <c r="A8"/>
  <c r="G8" s="1"/>
  <c r="F8"/>
  <c r="A7"/>
  <c r="F7"/>
  <c r="A6"/>
  <c r="F6"/>
  <c r="G6" s="1"/>
  <c r="A5"/>
  <c r="F5"/>
  <c r="Q8" i="11" s="1"/>
  <c r="R8" s="1"/>
  <c r="A4" i="9"/>
  <c r="F4"/>
  <c r="A3"/>
  <c r="F3"/>
  <c r="F14"/>
  <c r="F13"/>
  <c r="F12"/>
  <c r="A39" i="7"/>
  <c r="A38"/>
  <c r="A37"/>
  <c r="A36"/>
  <c r="A35"/>
  <c r="A34"/>
  <c r="A33"/>
  <c r="A32"/>
  <c r="A31"/>
  <c r="A30"/>
  <c r="A29"/>
  <c r="A28"/>
  <c r="B39"/>
  <c r="B38"/>
  <c r="B37"/>
  <c r="B13" i="1" s="1"/>
  <c r="B36" i="7"/>
  <c r="B12" i="1" s="1"/>
  <c r="B35" i="7"/>
  <c r="B11" i="1" s="1"/>
  <c r="B34" i="7"/>
  <c r="I34" s="1"/>
  <c r="B16" i="13" s="1"/>
  <c r="B33" i="7"/>
  <c r="B9" i="1" s="1"/>
  <c r="B32" i="7"/>
  <c r="B8" i="1" s="1"/>
  <c r="B31" i="7"/>
  <c r="B7" i="1" s="1"/>
  <c r="B30" i="7"/>
  <c r="B6" i="1" s="1"/>
  <c r="B29" i="7"/>
  <c r="B5" i="1" s="1"/>
  <c r="B28" i="7"/>
  <c r="B4" i="1" s="1"/>
  <c r="B15" i="9"/>
  <c r="B31" s="1"/>
  <c r="D27" i="5" s="1"/>
  <c r="E41" i="7"/>
  <c r="C41"/>
  <c r="B41"/>
  <c r="I41" s="1"/>
  <c r="J12" i="11" s="1"/>
  <c r="D41" i="7"/>
  <c r="F41"/>
  <c r="G41"/>
  <c r="H41"/>
  <c r="A121" i="12"/>
  <c r="A120"/>
  <c r="A119"/>
  <c r="A118"/>
  <c r="A117"/>
  <c r="A116"/>
  <c r="A115"/>
  <c r="A114"/>
  <c r="A110"/>
  <c r="A109"/>
  <c r="A108"/>
  <c r="A107"/>
  <c r="A106"/>
  <c r="A105"/>
  <c r="A104"/>
  <c r="A103"/>
  <c r="A99"/>
  <c r="A98"/>
  <c r="A97"/>
  <c r="A96"/>
  <c r="A95"/>
  <c r="A94"/>
  <c r="A93"/>
  <c r="A92"/>
  <c r="A88"/>
  <c r="A87"/>
  <c r="A86"/>
  <c r="A85"/>
  <c r="A84"/>
  <c r="A83"/>
  <c r="A82"/>
  <c r="A81"/>
  <c r="A77"/>
  <c r="A76"/>
  <c r="A75"/>
  <c r="A74"/>
  <c r="A73"/>
  <c r="A72"/>
  <c r="A71"/>
  <c r="A70"/>
  <c r="A66"/>
  <c r="A65"/>
  <c r="A64"/>
  <c r="A63"/>
  <c r="A62"/>
  <c r="A61"/>
  <c r="A60"/>
  <c r="A59"/>
  <c r="A55"/>
  <c r="A54"/>
  <c r="A53"/>
  <c r="A52"/>
  <c r="A51"/>
  <c r="A50"/>
  <c r="A49"/>
  <c r="A48"/>
  <c r="A44"/>
  <c r="A43"/>
  <c r="A42"/>
  <c r="A41"/>
  <c r="A40"/>
  <c r="A39"/>
  <c r="A38"/>
  <c r="A37"/>
  <c r="A27"/>
  <c r="A28"/>
  <c r="A29"/>
  <c r="A30"/>
  <c r="A31"/>
  <c r="A32"/>
  <c r="A33"/>
  <c r="A26"/>
  <c r="D21" i="11"/>
  <c r="E21"/>
  <c r="F21"/>
  <c r="G21"/>
  <c r="H21"/>
  <c r="I21"/>
  <c r="D22"/>
  <c r="E22"/>
  <c r="F22"/>
  <c r="G22"/>
  <c r="H22"/>
  <c r="I22"/>
  <c r="D23"/>
  <c r="E23"/>
  <c r="F23"/>
  <c r="G23"/>
  <c r="H23"/>
  <c r="I23"/>
  <c r="D24"/>
  <c r="E24"/>
  <c r="F24"/>
  <c r="G24"/>
  <c r="H24"/>
  <c r="I24"/>
  <c r="D25"/>
  <c r="E25"/>
  <c r="F25"/>
  <c r="G25"/>
  <c r="H25"/>
  <c r="I25"/>
  <c r="D26"/>
  <c r="E26"/>
  <c r="F26"/>
  <c r="G26"/>
  <c r="H26"/>
  <c r="I26"/>
  <c r="D27"/>
  <c r="E27"/>
  <c r="F27"/>
  <c r="G27"/>
  <c r="H27"/>
  <c r="I27"/>
  <c r="I20"/>
  <c r="H20"/>
  <c r="G20"/>
  <c r="F20"/>
  <c r="E20"/>
  <c r="D20"/>
  <c r="C20"/>
  <c r="C21"/>
  <c r="C22"/>
  <c r="C23"/>
  <c r="C24"/>
  <c r="C25"/>
  <c r="C26"/>
  <c r="C27"/>
  <c r="E3"/>
  <c r="F3"/>
  <c r="G3"/>
  <c r="E4"/>
  <c r="F4"/>
  <c r="G4"/>
  <c r="E5"/>
  <c r="F5"/>
  <c r="G5"/>
  <c r="E6"/>
  <c r="F6"/>
  <c r="G6"/>
  <c r="E7"/>
  <c r="F7"/>
  <c r="G7"/>
  <c r="E8"/>
  <c r="F8"/>
  <c r="G8"/>
  <c r="E9"/>
  <c r="F9"/>
  <c r="G9"/>
  <c r="E10"/>
  <c r="F10"/>
  <c r="G10"/>
  <c r="E12"/>
  <c r="F12"/>
  <c r="G12"/>
  <c r="J50"/>
  <c r="H50"/>
  <c r="K50"/>
  <c r="J5"/>
  <c r="I52"/>
  <c r="J6"/>
  <c r="I53"/>
  <c r="J7"/>
  <c r="I54" s="1"/>
  <c r="J8"/>
  <c r="I55"/>
  <c r="J55" s="1"/>
  <c r="J9"/>
  <c r="I56" s="1"/>
  <c r="J10"/>
  <c r="I57"/>
  <c r="J57" s="1"/>
  <c r="J4"/>
  <c r="I51" s="1"/>
  <c r="H54"/>
  <c r="H51"/>
  <c r="H52"/>
  <c r="H53"/>
  <c r="H55"/>
  <c r="K55" s="1"/>
  <c r="H56"/>
  <c r="H57"/>
  <c r="J3"/>
  <c r="O9"/>
  <c r="Q13"/>
  <c r="N13"/>
  <c r="Q12"/>
  <c r="N12"/>
  <c r="R12"/>
  <c r="Q11"/>
  <c r="R11" s="1"/>
  <c r="N11"/>
  <c r="Q10"/>
  <c r="N10"/>
  <c r="Q9"/>
  <c r="N9"/>
  <c r="N8"/>
  <c r="Q7"/>
  <c r="N7"/>
  <c r="R7" s="1"/>
  <c r="Q6"/>
  <c r="N6"/>
  <c r="P13"/>
  <c r="P12"/>
  <c r="P11"/>
  <c r="P10"/>
  <c r="P9"/>
  <c r="P8"/>
  <c r="P7"/>
  <c r="P6"/>
  <c r="O13"/>
  <c r="O12"/>
  <c r="O11"/>
  <c r="O10"/>
  <c r="O8"/>
  <c r="O7"/>
  <c r="O6"/>
  <c r="H12"/>
  <c r="I12"/>
  <c r="D12"/>
  <c r="C12"/>
  <c r="I10"/>
  <c r="H10"/>
  <c r="D10"/>
  <c r="I9"/>
  <c r="H9"/>
  <c r="D9"/>
  <c r="I8"/>
  <c r="H8"/>
  <c r="D8"/>
  <c r="I7"/>
  <c r="H7"/>
  <c r="D7"/>
  <c r="I6"/>
  <c r="H6"/>
  <c r="D6"/>
  <c r="I5"/>
  <c r="H5"/>
  <c r="D5"/>
  <c r="I4"/>
  <c r="H4"/>
  <c r="D4"/>
  <c r="I3"/>
  <c r="H3"/>
  <c r="D3"/>
  <c r="C10"/>
  <c r="C9"/>
  <c r="C8"/>
  <c r="C7"/>
  <c r="C6"/>
  <c r="C5"/>
  <c r="C4"/>
  <c r="C3"/>
  <c r="A21" i="5"/>
  <c r="A22"/>
  <c r="A23"/>
  <c r="A24"/>
  <c r="A25"/>
  <c r="A26"/>
  <c r="G5"/>
  <c r="H5"/>
  <c r="H27"/>
  <c r="C112"/>
  <c r="C111"/>
  <c r="C106"/>
  <c r="C107"/>
  <c r="C108"/>
  <c r="C109"/>
  <c r="C110"/>
  <c r="A108" i="6"/>
  <c r="A101" i="8"/>
  <c r="Q101"/>
  <c r="A93" i="6"/>
  <c r="A87" i="8"/>
  <c r="Q87"/>
  <c r="A78" i="6"/>
  <c r="R108"/>
  <c r="R93"/>
  <c r="V108" i="8"/>
  <c r="T108"/>
  <c r="S108"/>
  <c r="R108"/>
  <c r="V107"/>
  <c r="T107"/>
  <c r="S107"/>
  <c r="R107"/>
  <c r="V106"/>
  <c r="T106"/>
  <c r="S106"/>
  <c r="R106"/>
  <c r="V105"/>
  <c r="T105"/>
  <c r="S105"/>
  <c r="R105"/>
  <c r="V104"/>
  <c r="T104"/>
  <c r="S104"/>
  <c r="R104"/>
  <c r="V103"/>
  <c r="T103"/>
  <c r="S103"/>
  <c r="R103"/>
  <c r="V102"/>
  <c r="T102"/>
  <c r="S102"/>
  <c r="R102"/>
  <c r="T94"/>
  <c r="S94"/>
  <c r="R94"/>
  <c r="T93"/>
  <c r="S93"/>
  <c r="R93"/>
  <c r="T92"/>
  <c r="S92"/>
  <c r="R92"/>
  <c r="T91"/>
  <c r="S91"/>
  <c r="R91"/>
  <c r="T90"/>
  <c r="S90"/>
  <c r="R90"/>
  <c r="T89"/>
  <c r="S89"/>
  <c r="R89"/>
  <c r="T88"/>
  <c r="S88"/>
  <c r="R88"/>
  <c r="A93" i="1"/>
  <c r="A78"/>
  <c r="A63"/>
  <c r="A48"/>
  <c r="A33"/>
  <c r="A18"/>
  <c r="F5" i="5"/>
  <c r="E5"/>
  <c r="D5"/>
  <c r="C5"/>
  <c r="B5"/>
  <c r="B34"/>
  <c r="B27"/>
  <c r="G27"/>
  <c r="E27"/>
  <c r="C27"/>
  <c r="X5" i="9"/>
  <c r="X6"/>
  <c r="X7"/>
  <c r="X8"/>
  <c r="X9"/>
  <c r="X10"/>
  <c r="X4"/>
  <c r="B31" i="5"/>
  <c r="B30"/>
  <c r="H20"/>
  <c r="H16" i="4"/>
  <c r="W5" i="9"/>
  <c r="W6"/>
  <c r="W9"/>
  <c r="W10"/>
  <c r="B141" i="8"/>
  <c r="B140"/>
  <c r="B139"/>
  <c r="B138"/>
  <c r="B137"/>
  <c r="B136"/>
  <c r="B135"/>
  <c r="V80"/>
  <c r="T80"/>
  <c r="S80"/>
  <c r="R80"/>
  <c r="V79"/>
  <c r="T79"/>
  <c r="S79"/>
  <c r="R79"/>
  <c r="V78"/>
  <c r="T78"/>
  <c r="S78"/>
  <c r="R78"/>
  <c r="V77"/>
  <c r="T77"/>
  <c r="S77"/>
  <c r="R77"/>
  <c r="V76"/>
  <c r="T76"/>
  <c r="S76"/>
  <c r="R76"/>
  <c r="V75"/>
  <c r="T75"/>
  <c r="S75"/>
  <c r="R75"/>
  <c r="V74"/>
  <c r="T74"/>
  <c r="S74"/>
  <c r="R74"/>
  <c r="T66"/>
  <c r="S66"/>
  <c r="R66"/>
  <c r="T65"/>
  <c r="S65"/>
  <c r="R65"/>
  <c r="T64"/>
  <c r="S64"/>
  <c r="R64"/>
  <c r="T63"/>
  <c r="S63"/>
  <c r="R63"/>
  <c r="T62"/>
  <c r="S62"/>
  <c r="R62"/>
  <c r="T61"/>
  <c r="S61"/>
  <c r="R61"/>
  <c r="T60"/>
  <c r="S60"/>
  <c r="R60"/>
  <c r="T52"/>
  <c r="S52"/>
  <c r="R52"/>
  <c r="T51"/>
  <c r="S51"/>
  <c r="R51"/>
  <c r="T50"/>
  <c r="S50"/>
  <c r="R50"/>
  <c r="T49"/>
  <c r="S49"/>
  <c r="R49"/>
  <c r="T48"/>
  <c r="S48"/>
  <c r="R48"/>
  <c r="T47"/>
  <c r="S47"/>
  <c r="R47"/>
  <c r="T46"/>
  <c r="S46"/>
  <c r="R46"/>
  <c r="T38"/>
  <c r="S38"/>
  <c r="R38"/>
  <c r="T37"/>
  <c r="S37"/>
  <c r="R37"/>
  <c r="T36"/>
  <c r="S36"/>
  <c r="R36"/>
  <c r="T35"/>
  <c r="S35"/>
  <c r="R35"/>
  <c r="T34"/>
  <c r="S34"/>
  <c r="R34"/>
  <c r="T33"/>
  <c r="S33"/>
  <c r="R33"/>
  <c r="T32"/>
  <c r="S32"/>
  <c r="R32"/>
  <c r="T24"/>
  <c r="S24"/>
  <c r="R24"/>
  <c r="T23"/>
  <c r="S23"/>
  <c r="R23"/>
  <c r="T22"/>
  <c r="S22"/>
  <c r="R22"/>
  <c r="T21"/>
  <c r="S21"/>
  <c r="R21"/>
  <c r="T20"/>
  <c r="S20"/>
  <c r="R20"/>
  <c r="T19"/>
  <c r="S19"/>
  <c r="R19"/>
  <c r="T18"/>
  <c r="S18"/>
  <c r="R18"/>
  <c r="T10"/>
  <c r="S10"/>
  <c r="R10"/>
  <c r="T9"/>
  <c r="S9"/>
  <c r="R9"/>
  <c r="T8"/>
  <c r="S8"/>
  <c r="R8"/>
  <c r="T7"/>
  <c r="S7"/>
  <c r="R7"/>
  <c r="T6"/>
  <c r="S6"/>
  <c r="R6"/>
  <c r="T5"/>
  <c r="S5"/>
  <c r="R5"/>
  <c r="T4"/>
  <c r="S4"/>
  <c r="R4"/>
  <c r="A73"/>
  <c r="Q73"/>
  <c r="A48" i="6"/>
  <c r="A45" i="8"/>
  <c r="Q45"/>
  <c r="A18" i="6"/>
  <c r="A17" i="8"/>
  <c r="Q17"/>
  <c r="A20" i="5"/>
  <c r="A3" i="8"/>
  <c r="Q3"/>
  <c r="R78" i="6"/>
  <c r="R48"/>
  <c r="R3"/>
  <c r="A104" i="7"/>
  <c r="B115"/>
  <c r="A105"/>
  <c r="A106"/>
  <c r="A107"/>
  <c r="B116"/>
  <c r="B114"/>
  <c r="A108"/>
  <c r="A109"/>
  <c r="A110"/>
  <c r="A111"/>
  <c r="C105" i="5"/>
  <c r="A118"/>
  <c r="A119"/>
  <c r="A121"/>
  <c r="A122"/>
  <c r="A123"/>
  <c r="A117"/>
  <c r="B126"/>
  <c r="A27"/>
  <c r="A33" i="6"/>
  <c r="R33"/>
  <c r="A63"/>
  <c r="R63"/>
  <c r="A31" i="8"/>
  <c r="Q31"/>
  <c r="A59"/>
  <c r="Q59"/>
  <c r="R18" i="6"/>
  <c r="K57" i="11"/>
  <c r="K53"/>
  <c r="J53"/>
  <c r="R4" i="1" a="1"/>
  <c r="R4" s="1"/>
  <c r="F43" i="7"/>
  <c r="G14" i="11" s="1"/>
  <c r="I31" i="7"/>
  <c r="B13" i="13" s="1"/>
  <c r="I35" i="7"/>
  <c r="B17" i="13" s="1"/>
  <c r="G43" i="7"/>
  <c r="H14" i="11" s="1"/>
  <c r="H43" i="7"/>
  <c r="I14" i="11" s="1"/>
  <c r="R10" l="1"/>
  <c r="R13"/>
  <c r="G3" i="9"/>
  <c r="C43" i="7"/>
  <c r="D14" i="11" s="1"/>
  <c r="D43" i="7"/>
  <c r="E14" i="11" s="1"/>
  <c r="R6"/>
  <c r="G5" i="9"/>
  <c r="R9" i="11"/>
  <c r="G4" i="9"/>
  <c r="B43" i="7"/>
  <c r="C14" i="11" s="1"/>
  <c r="E43" i="7"/>
  <c r="F14" i="11" s="1"/>
  <c r="D24" i="5"/>
  <c r="D22"/>
  <c r="D26"/>
  <c r="D23"/>
  <c r="D21"/>
  <c r="D25"/>
  <c r="D20"/>
  <c r="I30" i="7"/>
  <c r="B12" i="13" s="1"/>
  <c r="B10" i="1"/>
  <c r="I29" i="7"/>
  <c r="B11" i="13" s="1"/>
  <c r="I33" i="7"/>
  <c r="B15" i="13" s="1"/>
  <c r="I28" i="7"/>
  <c r="B10" i="13" s="1"/>
  <c r="I32" i="7"/>
  <c r="B14" i="13" s="1"/>
  <c r="I36" i="7"/>
  <c r="K52" i="11"/>
  <c r="J51"/>
  <c r="K51"/>
  <c r="B19" i="9" a="1"/>
  <c r="B19" s="1"/>
  <c r="K56" i="11"/>
  <c r="J56"/>
  <c r="J54"/>
  <c r="K54"/>
  <c r="S11" i="1"/>
  <c r="S9"/>
  <c r="S7"/>
  <c r="S5"/>
  <c r="T11"/>
  <c r="T9"/>
  <c r="T7"/>
  <c r="T5"/>
  <c r="U11"/>
  <c r="U9"/>
  <c r="U7"/>
  <c r="U5"/>
  <c r="R11"/>
  <c r="R9"/>
  <c r="R7"/>
  <c r="R5"/>
  <c r="J52" i="11"/>
  <c r="S10" i="1"/>
  <c r="S8"/>
  <c r="S6"/>
  <c r="S4"/>
  <c r="T10"/>
  <c r="T8"/>
  <c r="T6"/>
  <c r="T4"/>
  <c r="U10"/>
  <c r="U8"/>
  <c r="U6"/>
  <c r="U4"/>
  <c r="R10"/>
  <c r="R8"/>
  <c r="R6"/>
  <c r="W10"/>
  <c r="W8"/>
  <c r="W6"/>
  <c r="W4"/>
  <c r="X10"/>
  <c r="X8"/>
  <c r="X6"/>
  <c r="X4"/>
  <c r="Y10"/>
  <c r="Y8"/>
  <c r="Y6"/>
  <c r="Y4"/>
  <c r="V10"/>
  <c r="V8"/>
  <c r="V6"/>
  <c r="V4"/>
  <c r="W11"/>
  <c r="W9"/>
  <c r="W7"/>
  <c r="W5"/>
  <c r="X11"/>
  <c r="X9"/>
  <c r="X7"/>
  <c r="X5"/>
  <c r="Y11"/>
  <c r="Y9"/>
  <c r="Y7"/>
  <c r="Y5"/>
  <c r="V11"/>
  <c r="V9"/>
  <c r="V7"/>
  <c r="V5"/>
  <c r="U11" i="6"/>
  <c r="T11"/>
  <c r="S11"/>
  <c r="R11"/>
  <c r="A10" i="8"/>
  <c r="U22" i="6"/>
  <c r="S22"/>
  <c r="T22"/>
  <c r="W7" i="9"/>
  <c r="G7"/>
  <c r="A4" i="6"/>
  <c r="A4" i="4"/>
  <c r="A115" s="1"/>
  <c r="B115" s="1"/>
  <c r="A19"/>
  <c r="A8" i="6"/>
  <c r="A23" i="4"/>
  <c r="A8"/>
  <c r="A119" s="1"/>
  <c r="B119" s="1"/>
  <c r="A12" i="6"/>
  <c r="A27" i="4"/>
  <c r="A12"/>
  <c r="A123" s="1"/>
  <c r="B123" s="1"/>
  <c r="U7" i="6"/>
  <c r="T7"/>
  <c r="S7"/>
  <c r="R7"/>
  <c r="A6" i="8"/>
  <c r="R22" i="6"/>
  <c r="A6" i="4"/>
  <c r="A117" s="1"/>
  <c r="B117" s="1"/>
  <c r="A6" i="6"/>
  <c r="A21" i="4"/>
  <c r="A10"/>
  <c r="A121" s="1"/>
  <c r="B121" s="1"/>
  <c r="A10" i="6"/>
  <c r="A25" i="4"/>
  <c r="A26" i="6"/>
  <c r="A37"/>
  <c r="W8" i="9"/>
  <c r="W4"/>
  <c r="A5" i="6"/>
  <c r="A9"/>
  <c r="I43" i="7" l="1"/>
  <c r="J14" i="11" s="1"/>
  <c r="A5" i="8"/>
  <c r="U6" i="6"/>
  <c r="T6"/>
  <c r="S6"/>
  <c r="R6"/>
  <c r="A21"/>
  <c r="R12"/>
  <c r="A27"/>
  <c r="T12"/>
  <c r="U12"/>
  <c r="S12"/>
  <c r="A66" i="8"/>
  <c r="Q66" s="1"/>
  <c r="A24"/>
  <c r="Q24" s="1"/>
  <c r="Q10"/>
  <c r="A38"/>
  <c r="Q38" s="1"/>
  <c r="A80"/>
  <c r="A52"/>
  <c r="Q52" s="1"/>
  <c r="A4"/>
  <c r="U5" i="6"/>
  <c r="S5"/>
  <c r="A20"/>
  <c r="T5"/>
  <c r="R5"/>
  <c r="T26"/>
  <c r="U26"/>
  <c r="S26"/>
  <c r="R26"/>
  <c r="A41"/>
  <c r="U8"/>
  <c r="T8"/>
  <c r="S8"/>
  <c r="R8"/>
  <c r="A23"/>
  <c r="A7" i="8"/>
  <c r="T9" i="6"/>
  <c r="A24"/>
  <c r="U9"/>
  <c r="S9"/>
  <c r="A8" i="8"/>
  <c r="R9" i="6"/>
  <c r="U37"/>
  <c r="T37"/>
  <c r="S37"/>
  <c r="R37"/>
  <c r="A52"/>
  <c r="U4"/>
  <c r="T4"/>
  <c r="S4"/>
  <c r="R4"/>
  <c r="A19"/>
  <c r="U10"/>
  <c r="T10"/>
  <c r="S10"/>
  <c r="R10"/>
  <c r="A25"/>
  <c r="A9" i="8"/>
  <c r="A48"/>
  <c r="Q48" s="1"/>
  <c r="A62"/>
  <c r="A20"/>
  <c r="Q20" s="1"/>
  <c r="A34"/>
  <c r="Q34" s="1"/>
  <c r="Q6"/>
  <c r="U52" i="6" l="1"/>
  <c r="T52"/>
  <c r="S52"/>
  <c r="R52"/>
  <c r="A67"/>
  <c r="U23"/>
  <c r="T23"/>
  <c r="S23"/>
  <c r="R23"/>
  <c r="A38"/>
  <c r="U20"/>
  <c r="T20"/>
  <c r="S20"/>
  <c r="R20"/>
  <c r="A35"/>
  <c r="A61" i="8"/>
  <c r="A47"/>
  <c r="Q47" s="1"/>
  <c r="A33"/>
  <c r="Q33" s="1"/>
  <c r="A19"/>
  <c r="Q19" s="1"/>
  <c r="Q5"/>
  <c r="Q62"/>
  <c r="A76"/>
  <c r="U19" i="6"/>
  <c r="T19"/>
  <c r="S19"/>
  <c r="R19"/>
  <c r="A34"/>
  <c r="A35" i="8"/>
  <c r="Q35" s="1"/>
  <c r="A21"/>
  <c r="Q21" s="1"/>
  <c r="A49"/>
  <c r="Q49" s="1"/>
  <c r="Q7"/>
  <c r="A63"/>
  <c r="A32"/>
  <c r="Q32" s="1"/>
  <c r="A46"/>
  <c r="Q46" s="1"/>
  <c r="A60"/>
  <c r="Q4"/>
  <c r="A18"/>
  <c r="Q18" s="1"/>
  <c r="U21" i="6"/>
  <c r="T21"/>
  <c r="S21"/>
  <c r="R21"/>
  <c r="A36"/>
  <c r="U25"/>
  <c r="T25"/>
  <c r="S25"/>
  <c r="R25"/>
  <c r="A40"/>
  <c r="A50" i="8"/>
  <c r="Q50" s="1"/>
  <c r="A36"/>
  <c r="Q36" s="1"/>
  <c r="A22"/>
  <c r="Q22" s="1"/>
  <c r="Q8"/>
  <c r="A64"/>
  <c r="A65"/>
  <c r="A51"/>
  <c r="Q51" s="1"/>
  <c r="A37"/>
  <c r="Q37" s="1"/>
  <c r="A23"/>
  <c r="Q23" s="1"/>
  <c r="Q9"/>
  <c r="U24" i="6"/>
  <c r="T24"/>
  <c r="S24"/>
  <c r="R24"/>
  <c r="A39"/>
  <c r="U41"/>
  <c r="T41"/>
  <c r="S41"/>
  <c r="R41"/>
  <c r="A56"/>
  <c r="Q80" i="8"/>
  <c r="A94"/>
  <c r="U27" i="6"/>
  <c r="T27"/>
  <c r="S27"/>
  <c r="R27"/>
  <c r="A42"/>
  <c r="A108" i="8" l="1"/>
  <c r="Q108" s="1"/>
  <c r="Q94"/>
  <c r="A79"/>
  <c r="Q65"/>
  <c r="U67" i="6"/>
  <c r="T67"/>
  <c r="S67"/>
  <c r="R67"/>
  <c r="A82"/>
  <c r="U42"/>
  <c r="T42"/>
  <c r="S42"/>
  <c r="R42"/>
  <c r="A57"/>
  <c r="U39"/>
  <c r="T39"/>
  <c r="S39"/>
  <c r="R39"/>
  <c r="A54"/>
  <c r="U36"/>
  <c r="T36"/>
  <c r="S36"/>
  <c r="R36"/>
  <c r="A51"/>
  <c r="Q76" i="8"/>
  <c r="A90"/>
  <c r="U38" i="6"/>
  <c r="T38"/>
  <c r="S38"/>
  <c r="R38"/>
  <c r="A53"/>
  <c r="U56"/>
  <c r="T56"/>
  <c r="S56"/>
  <c r="R56"/>
  <c r="A71"/>
  <c r="U40"/>
  <c r="T40"/>
  <c r="S40"/>
  <c r="R40"/>
  <c r="A55"/>
  <c r="A74" i="8"/>
  <c r="Q60"/>
  <c r="U34" i="6"/>
  <c r="T34"/>
  <c r="S34"/>
  <c r="R34"/>
  <c r="A49"/>
  <c r="U35"/>
  <c r="T35"/>
  <c r="S35"/>
  <c r="R35"/>
  <c r="A50"/>
  <c r="Q64" i="8"/>
  <c r="A78"/>
  <c r="Q63"/>
  <c r="A77"/>
  <c r="A75"/>
  <c r="Q61"/>
  <c r="Q78" l="1"/>
  <c r="A92"/>
  <c r="A91"/>
  <c r="Q77"/>
  <c r="U50" i="6"/>
  <c r="T50"/>
  <c r="S50"/>
  <c r="R50"/>
  <c r="A65"/>
  <c r="U55"/>
  <c r="T55"/>
  <c r="S55"/>
  <c r="R55"/>
  <c r="A70"/>
  <c r="U82"/>
  <c r="R82"/>
  <c r="T82"/>
  <c r="S82"/>
  <c r="A97"/>
  <c r="Q75" i="8"/>
  <c r="A89"/>
  <c r="A88"/>
  <c r="Q74"/>
  <c r="Q90"/>
  <c r="A104"/>
  <c r="Q104" s="1"/>
  <c r="U57" i="6"/>
  <c r="T57"/>
  <c r="S57"/>
  <c r="R57"/>
  <c r="A72"/>
  <c r="U53"/>
  <c r="T53"/>
  <c r="S53"/>
  <c r="R53"/>
  <c r="A68"/>
  <c r="U54"/>
  <c r="T54"/>
  <c r="S54"/>
  <c r="R54"/>
  <c r="A69"/>
  <c r="A93" i="8"/>
  <c r="Q79"/>
  <c r="U49" i="6"/>
  <c r="T49"/>
  <c r="S49"/>
  <c r="R49"/>
  <c r="A64"/>
  <c r="U71"/>
  <c r="T71"/>
  <c r="S71"/>
  <c r="A86"/>
  <c r="R71"/>
  <c r="U51"/>
  <c r="T51"/>
  <c r="S51"/>
  <c r="R51"/>
  <c r="A66"/>
  <c r="T86" l="1"/>
  <c r="S86"/>
  <c r="U86"/>
  <c r="R86"/>
  <c r="A101"/>
  <c r="U68"/>
  <c r="T68"/>
  <c r="S68"/>
  <c r="R68"/>
  <c r="A83"/>
  <c r="U66"/>
  <c r="T66"/>
  <c r="S66"/>
  <c r="R66"/>
  <c r="A81"/>
  <c r="A107" i="8"/>
  <c r="Q107" s="1"/>
  <c r="Q93"/>
  <c r="A103"/>
  <c r="Q103" s="1"/>
  <c r="Q89"/>
  <c r="U65" i="6"/>
  <c r="T65"/>
  <c r="S65"/>
  <c r="R65"/>
  <c r="A80"/>
  <c r="U72"/>
  <c r="T72"/>
  <c r="S72"/>
  <c r="R72"/>
  <c r="A87"/>
  <c r="Q88" i="8"/>
  <c r="A102"/>
  <c r="Q102" s="1"/>
  <c r="U70" i="6"/>
  <c r="T70"/>
  <c r="S70"/>
  <c r="R70"/>
  <c r="A85"/>
  <c r="A106" i="8"/>
  <c r="Q106" s="1"/>
  <c r="Q92"/>
  <c r="U64" i="6"/>
  <c r="T64"/>
  <c r="S64"/>
  <c r="R64"/>
  <c r="A79"/>
  <c r="U97"/>
  <c r="S97"/>
  <c r="R97"/>
  <c r="T97"/>
  <c r="A112"/>
  <c r="Q91" i="8"/>
  <c r="A105"/>
  <c r="Q105" s="1"/>
  <c r="U69" i="6"/>
  <c r="T69"/>
  <c r="S69"/>
  <c r="R69"/>
  <c r="A84"/>
  <c r="U79" l="1"/>
  <c r="T79"/>
  <c r="S79"/>
  <c r="R79"/>
  <c r="A94"/>
  <c r="U87"/>
  <c r="T87"/>
  <c r="S87"/>
  <c r="R87"/>
  <c r="A102"/>
  <c r="U101"/>
  <c r="T101"/>
  <c r="S101"/>
  <c r="R101"/>
  <c r="A116"/>
  <c r="U83"/>
  <c r="T83"/>
  <c r="S83"/>
  <c r="R83"/>
  <c r="A98"/>
  <c r="U84"/>
  <c r="T84"/>
  <c r="S84"/>
  <c r="R84"/>
  <c r="A99"/>
  <c r="U81"/>
  <c r="T81"/>
  <c r="S81"/>
  <c r="R81"/>
  <c r="A96"/>
  <c r="U112"/>
  <c r="T112"/>
  <c r="S112"/>
  <c r="R112"/>
  <c r="U85"/>
  <c r="T85"/>
  <c r="S85"/>
  <c r="R85"/>
  <c r="A100"/>
  <c r="U80"/>
  <c r="T80"/>
  <c r="S80"/>
  <c r="R80"/>
  <c r="A95"/>
  <c r="U100" l="1"/>
  <c r="T100"/>
  <c r="S100"/>
  <c r="R100"/>
  <c r="A115"/>
  <c r="U99"/>
  <c r="T99"/>
  <c r="S99"/>
  <c r="R99"/>
  <c r="A114"/>
  <c r="U94"/>
  <c r="T94"/>
  <c r="S94"/>
  <c r="R94"/>
  <c r="A109"/>
  <c r="U96"/>
  <c r="T96"/>
  <c r="S96"/>
  <c r="R96"/>
  <c r="A111"/>
  <c r="U102"/>
  <c r="T102"/>
  <c r="S102"/>
  <c r="R102"/>
  <c r="A117"/>
  <c r="S116"/>
  <c r="R116"/>
  <c r="U116"/>
  <c r="T116"/>
  <c r="U95"/>
  <c r="T95"/>
  <c r="S95"/>
  <c r="R95"/>
  <c r="A110"/>
  <c r="U98"/>
  <c r="T98"/>
  <c r="S98"/>
  <c r="R98"/>
  <c r="A113"/>
  <c r="U113" l="1"/>
  <c r="S113"/>
  <c r="T113"/>
  <c r="R113"/>
  <c r="U109"/>
  <c r="S109"/>
  <c r="T109"/>
  <c r="R109"/>
  <c r="U117"/>
  <c r="S117"/>
  <c r="T117"/>
  <c r="R117"/>
  <c r="U115"/>
  <c r="S115"/>
  <c r="T115"/>
  <c r="R115"/>
  <c r="U110"/>
  <c r="S110"/>
  <c r="T110"/>
  <c r="R110"/>
  <c r="U114"/>
  <c r="S114"/>
  <c r="T114"/>
  <c r="R114"/>
  <c r="U111"/>
  <c r="S111"/>
  <c r="T111"/>
  <c r="R111"/>
</calcChain>
</file>

<file path=xl/comments1.xml><?xml version="1.0" encoding="utf-8"?>
<comments xmlns="http://schemas.openxmlformats.org/spreadsheetml/2006/main">
  <authors>
    <author>SGP</author>
  </authors>
  <commentList>
    <comment ref="B47" authorId="0">
      <text>
        <r>
          <rPr>
            <b/>
            <sz val="9"/>
            <color indexed="81"/>
            <rFont val="Tahoma"/>
            <family val="2"/>
          </rPr>
          <t>SGP:</t>
        </r>
        <r>
          <rPr>
            <sz val="9"/>
            <color indexed="81"/>
            <rFont val="Tahoma"/>
            <family val="2"/>
          </rPr>
          <t xml:space="preserve">
aantal scenarios + evenwicht + kansgewogen
(deze cel niet deleten)</t>
        </r>
      </text>
    </comment>
  </commentList>
</comments>
</file>

<file path=xl/sharedStrings.xml><?xml version="1.0" encoding="utf-8"?>
<sst xmlns="http://schemas.openxmlformats.org/spreadsheetml/2006/main" count="489" uniqueCount="166">
  <si>
    <t>Rendement/risico per scenario</t>
  </si>
  <si>
    <t>Gemiddelde</t>
  </si>
  <si>
    <t>Stdev</t>
  </si>
  <si>
    <t>Correlaties</t>
  </si>
  <si>
    <t>Nominale matching</t>
  </si>
  <si>
    <t>High Yield</t>
  </si>
  <si>
    <t>Emerging market debt</t>
  </si>
  <si>
    <t>Aandelen ontwikkeld</t>
  </si>
  <si>
    <t>Aandelen opkomend</t>
  </si>
  <si>
    <t>Commodities</t>
  </si>
  <si>
    <t>Hedge funds</t>
  </si>
  <si>
    <t>Onroerend goed</t>
  </si>
  <si>
    <t>Aantal portefeuilles</t>
  </si>
  <si>
    <t>Aantal iteraties in optimalisatie</t>
  </si>
  <si>
    <t>Doelstelling</t>
  </si>
  <si>
    <t>Restricties voor optimalisatie</t>
  </si>
  <si>
    <t>Totaal portefeuille</t>
  </si>
  <si>
    <t>Binnen matching/return portefeuille</t>
  </si>
  <si>
    <t>Restricties op portefeuillegewichten</t>
  </si>
  <si>
    <t>Categorie valt in</t>
  </si>
  <si>
    <t>Minimaal</t>
  </si>
  <si>
    <t>Maximaal</t>
  </si>
  <si>
    <t>Huidige allocatie</t>
  </si>
  <si>
    <t>Max afwijking</t>
  </si>
  <si>
    <t>Matching portefeuille</t>
  </si>
  <si>
    <t>Return portefeuille</t>
  </si>
  <si>
    <t>Maximale turnover</t>
  </si>
  <si>
    <t>Groei recessie</t>
  </si>
  <si>
    <t>Druk creeert diamanten</t>
  </si>
  <si>
    <t>Euro-crisis</t>
  </si>
  <si>
    <t>Kansgewogen</t>
  </si>
  <si>
    <t>Dropdown lijsten</t>
  </si>
  <si>
    <t>Extra restricties: aan (1) / uit (0)</t>
  </si>
  <si>
    <t>Afwijking tov huidige portefeuille</t>
  </si>
  <si>
    <t>Gelijkheidsrestrictie</t>
  </si>
  <si>
    <t>Extra restricties</t>
  </si>
  <si>
    <t>Aan</t>
  </si>
  <si>
    <t>Uit</t>
  </si>
  <si>
    <t>Naam scenario</t>
  </si>
  <si>
    <t>Optimalisaties</t>
  </si>
  <si>
    <t>Modellering scenario's</t>
  </si>
  <si>
    <t>Doelstelling/restrictie per scenario</t>
  </si>
  <si>
    <t>overrendement</t>
  </si>
  <si>
    <t xml:space="preserve">Minimaal </t>
  </si>
  <si>
    <t>Max TE tov benchmark</t>
  </si>
  <si>
    <t>Benchmark</t>
  </si>
  <si>
    <t>Doorrekenen</t>
  </si>
  <si>
    <t>Ja/Nee</t>
  </si>
  <si>
    <t>Aan (=1)/uit (=0)</t>
  </si>
  <si>
    <t>Max rendement</t>
  </si>
  <si>
    <t>Min TE</t>
  </si>
  <si>
    <t>Min LPM</t>
  </si>
  <si>
    <t>Parameters voor Lower Partial Moments (LPM)</t>
  </si>
  <si>
    <t>Doelrendement</t>
  </si>
  <si>
    <t>Orde</t>
  </si>
  <si>
    <t>Parameters voor Simulated Annealing</t>
  </si>
  <si>
    <t>LPM orde</t>
  </si>
  <si>
    <t>Benchmarks</t>
  </si>
  <si>
    <t>Geen</t>
  </si>
  <si>
    <t>Naar Matlab</t>
  </si>
  <si>
    <t>Ja</t>
  </si>
  <si>
    <t>Nee</t>
  </si>
  <si>
    <t>Naar matlab</t>
  </si>
  <si>
    <t>Max LPM</t>
  </si>
  <si>
    <t>Percentielen</t>
  </si>
  <si>
    <t>Principale componenten</t>
  </si>
  <si>
    <t>Voor plaatjes</t>
  </si>
  <si>
    <t>Gemiddelde mix</t>
  </si>
  <si>
    <t>Aanpassingen o.b.v. visies</t>
  </si>
  <si>
    <t>Optimale portefeuilles</t>
  </si>
  <si>
    <t>Evenwicht</t>
  </si>
  <si>
    <t>Nom</t>
  </si>
  <si>
    <t>HY</t>
  </si>
  <si>
    <t>EMD</t>
  </si>
  <si>
    <t>Aand ontw</t>
  </si>
  <si>
    <t>Aand opk</t>
  </si>
  <si>
    <t>HF</t>
  </si>
  <si>
    <t>OG</t>
  </si>
  <si>
    <t>Inflatie</t>
  </si>
  <si>
    <t>Evenwichts</t>
  </si>
  <si>
    <t>Portefeuille</t>
  </si>
  <si>
    <t>Reeksen</t>
  </si>
  <si>
    <t>rendement</t>
  </si>
  <si>
    <t>Vast rendement (1)</t>
  </si>
  <si>
    <t>Vast rendement (2)</t>
  </si>
  <si>
    <t>Bepaal evenwichtsrendement obv reverse engineering</t>
  </si>
  <si>
    <t>Vast rendement</t>
  </si>
  <si>
    <t>Vast 1</t>
  </si>
  <si>
    <t>Vast 2</t>
  </si>
  <si>
    <t>Tracking error</t>
  </si>
  <si>
    <t>Stap 1: basis IR analyse</t>
  </si>
  <si>
    <t>Min</t>
  </si>
  <si>
    <t>Max</t>
  </si>
  <si>
    <t>Restricties</t>
  </si>
  <si>
    <t>Lange rente</t>
  </si>
  <si>
    <t>HY spread</t>
  </si>
  <si>
    <t>EMD spread</t>
  </si>
  <si>
    <t>Inflatie is fiscaal</t>
  </si>
  <si>
    <t>Verandering in</t>
  </si>
  <si>
    <t>Kans</t>
  </si>
  <si>
    <t>Strategische</t>
  </si>
  <si>
    <t>Allocatie</t>
  </si>
  <si>
    <t>Totale afwijking</t>
  </si>
  <si>
    <t>Aandelenrisicopremie</t>
  </si>
  <si>
    <t>Maximale TE</t>
  </si>
  <si>
    <t>Minimale rendement</t>
  </si>
  <si>
    <t>Actief (1/0)</t>
  </si>
  <si>
    <t>Maximale LPM</t>
  </si>
  <si>
    <t>Lower partial moments (LPM)</t>
  </si>
  <si>
    <t>Aantal iteraties</t>
  </si>
  <si>
    <t>Laat plaatje zien</t>
  </si>
  <si>
    <t>Stochastische optimalisatie</t>
  </si>
  <si>
    <t>Base Case</t>
  </si>
  <si>
    <t>Bear case</t>
  </si>
  <si>
    <t>Tail risk</t>
  </si>
  <si>
    <t>Overrendementen</t>
  </si>
  <si>
    <t xml:space="preserve">Relatieve </t>
  </si>
  <si>
    <t>Evenwichts correlaties (relatief)</t>
  </si>
  <si>
    <t>aantal scenarios</t>
  </si>
  <si>
    <t>=huidige VCM</t>
  </si>
  <si>
    <t>10% tails</t>
  </si>
  <si>
    <t>= bear case</t>
  </si>
  <si>
    <t>Scenario Kans</t>
  </si>
  <si>
    <t>Optimale</t>
  </si>
  <si>
    <t xml:space="preserve">30% tails </t>
  </si>
  <si>
    <t>Base - muddle down</t>
  </si>
  <si>
    <t>Base - muddle up</t>
  </si>
  <si>
    <t>Bull case</t>
  </si>
  <si>
    <t>Verwacht Overrendement</t>
  </si>
  <si>
    <t>Relatieve vol</t>
  </si>
  <si>
    <t>Asset Class</t>
  </si>
  <si>
    <t>Huidig</t>
  </si>
  <si>
    <t>Nieuw</t>
  </si>
  <si>
    <t>Relatief</t>
  </si>
  <si>
    <t>Absoluut</t>
  </si>
  <si>
    <t>Historisch rendement in %</t>
  </si>
  <si>
    <t>Verwacht rendement Base Case (2013-2015)</t>
  </si>
  <si>
    <t>Verwacht overrendement Base Case (2013-2015)</t>
  </si>
  <si>
    <t>Historisch overrendement in %</t>
  </si>
  <si>
    <t>Relative Volatility</t>
  </si>
  <si>
    <t>Historische Information Ratio</t>
  </si>
  <si>
    <t>Base Case Information Ratio</t>
  </si>
  <si>
    <t>TE na optimalisatie</t>
  </si>
  <si>
    <t>aantal assets</t>
  </si>
  <si>
    <r>
      <t xml:space="preserve"> </t>
    </r>
    <r>
      <rPr>
        <sz val="12"/>
        <color theme="0"/>
        <rFont val="Symbol"/>
        <family val="1"/>
        <charset val="2"/>
      </rPr>
      <t>D</t>
    </r>
  </si>
  <si>
    <t>Iran War</t>
  </si>
  <si>
    <t>Base - down</t>
  </si>
  <si>
    <t>Base - up</t>
  </si>
  <si>
    <t>min</t>
  </si>
  <si>
    <t>max</t>
  </si>
  <si>
    <t>range</t>
  </si>
  <si>
    <t>aantal stappen</t>
  </si>
  <si>
    <t>Schaduw 1</t>
  </si>
  <si>
    <t>Schaduw 2</t>
  </si>
  <si>
    <t>Schaduw 3</t>
  </si>
  <si>
    <t>Schaduw 4</t>
  </si>
  <si>
    <t>Schaduw 5</t>
  </si>
  <si>
    <t>Schaduw 6</t>
  </si>
  <si>
    <t>Schaduw 7</t>
  </si>
  <si>
    <t>Schaduw 8</t>
  </si>
  <si>
    <t>Schaduw 9</t>
  </si>
  <si>
    <t>Schaduw 10</t>
  </si>
  <si>
    <t>Schaduw 11</t>
  </si>
  <si>
    <t>aantal asset classes</t>
  </si>
  <si>
    <t>tstSec</t>
  </si>
  <si>
    <t>Periferie bonds</t>
  </si>
</sst>
</file>

<file path=xl/styles.xml><?xml version="1.0" encoding="utf-8"?>
<styleSheet xmlns="http://schemas.openxmlformats.org/spreadsheetml/2006/main">
  <numFmts count="45">
    <numFmt numFmtId="43" formatCode="_ * #,##0.00_ ;_ * \-#,##0.00_ ;_ * &quot;-&quot;??_ ;_ @_ "/>
    <numFmt numFmtId="164" formatCode="0.0%"/>
    <numFmt numFmtId="165" formatCode="0.00000"/>
    <numFmt numFmtId="166" formatCode="0.0"/>
    <numFmt numFmtId="167" formatCode="0.0000%"/>
    <numFmt numFmtId="168" formatCode="0.000000000000000%"/>
    <numFmt numFmtId="169" formatCode="_(* #,##0.00_);_(* \(#,##0.00\);_(* &quot;-&quot;??_);_(@_)"/>
    <numFmt numFmtId="170" formatCode="#,##0.0"/>
    <numFmt numFmtId="171" formatCode="_-&quot;€&quot;\ * #,##0.00_-;_-&quot;€&quot;\ * #,##0.00\-;_-&quot;€&quot;\ * &quot;-&quot;??_-;_-@_-"/>
    <numFmt numFmtId="172" formatCode="_-* #,##0.00_-;_-* #,##0.00\-;_-* &quot;-&quot;??_-;_-@_-"/>
    <numFmt numFmtId="173" formatCode="0.000"/>
    <numFmt numFmtId="174" formatCode="d\ mmmm\ yyyy"/>
    <numFmt numFmtId="175" formatCode="[Blue]#,##0_-;[Red]\-_-#,##0_-;[Blue]_-&quot;-&quot;_-"/>
    <numFmt numFmtId="176" formatCode="0.0_)\%;\(0.0\)\%;0.0_)\%;@_)_%"/>
    <numFmt numFmtId="177" formatCode="#,##0.0_)_%;\(#,##0.0\)_%;0.0_)_%;@_)_%"/>
    <numFmt numFmtId="178" formatCode="#,##0.0_);\(#,##0.0\);#,##0.0_);@_)"/>
    <numFmt numFmtId="179" formatCode="&quot;€&quot;_(#,##0.00_);&quot;€&quot;\(#,##0.00\);&quot;€&quot;_(0.00_);@_)"/>
    <numFmt numFmtId="180" formatCode="&quot;$&quot;_(#,##0.00_);&quot;$&quot;\(#,##0.00\);&quot;$&quot;_(0.00_);@_)"/>
    <numFmt numFmtId="181" formatCode="&quot;£&quot;_(#,##0.00_);&quot;£&quot;\(#,##0.00\);&quot;£&quot;_(0.00_);@_)"/>
    <numFmt numFmtId="182" formatCode="#,##0.00_);\(#,##0.00\);0.00_);@_)"/>
    <numFmt numFmtId="183" formatCode="\€_(#,##0.00_);\€\(#,##0.00\);\€_(0.00_);@_)"/>
    <numFmt numFmtId="184" formatCode="#,##0_)\x;\(#,##0\)\x;0_)\x;@_)_x"/>
    <numFmt numFmtId="185" formatCode="#,##0_)_x;\(#,##0\)_x;0_)_x;@_)_x"/>
    <numFmt numFmtId="186" formatCode="#,##0.0&quot;  &quot;"/>
    <numFmt numFmtId="187" formatCode="dd\-mmm\-yyyy\ hh:mm:ss"/>
    <numFmt numFmtId="188" formatCode="_-* #,##0\ _p_t_a_-;\-* #,##0\ _p_t_a_-;_-* &quot;-&quot;\ _p_t_a_-;_-@_-"/>
    <numFmt numFmtId="189" formatCode="_-* #,##0.00\ _p_t_a_-;\-* #,##0.00\ _p_t_a_-;_-* &quot;-&quot;??\ _p_t_a_-;_-@_-"/>
    <numFmt numFmtId="190" formatCode="\4.\4\x"/>
    <numFmt numFmtId="191" formatCode="0.0%\ \ \ \ "/>
    <numFmt numFmtId="192" formatCode="_-* #,##0\ &quot;pta&quot;_-;\-* #,##0\ &quot;pta&quot;_-;_-* &quot;-&quot;\ &quot;pta&quot;_-;_-@_-"/>
    <numFmt numFmtId="193" formatCode="_-* #,##0.00\ &quot;pta&quot;_-;\-* #,##0.00\ &quot;pta&quot;_-;_-* &quot;-&quot;??\ &quot;pta&quot;_-;_-@_-"/>
    <numFmt numFmtId="194" formatCode="0.00_)"/>
    <numFmt numFmtId="195" formatCode="#,##0.0_);\(#,##0.0\)"/>
    <numFmt numFmtId="196" formatCode="#,##0&quot;  &quot;;\(#,##0\)&quot;  &quot;"/>
    <numFmt numFmtId="197" formatCode="_(* #,##0.000_);_(* \(#,##0.000\);_(* &quot;-&quot;???_);_(@_)"/>
    <numFmt numFmtId="198" formatCode="_(* #,##0.00_);_(* \(#,##0.00\);_(* &quot;-&quot;_);_(@_)"/>
    <numFmt numFmtId="199" formatCode="_(* #,##0.0_);_(* \(#,##0.0\);_(* &quot;-&quot;?_);_(@_)"/>
    <numFmt numFmtId="200" formatCode="_-* #,##0\ _D_M_-;\-* #,##0\ _D_M_-;_-* &quot;-&quot;\ _D_M_-;_-@_-"/>
    <numFmt numFmtId="201" formatCode="_-* #,##0.00\ _D_M_-;\-* #,##0.00\ _D_M_-;_-* &quot;-&quot;??\ _D_M_-;_-@_-"/>
    <numFmt numFmtId="202" formatCode="_-* #,##0\ &quot;DM&quot;_-;\-* #,##0\ &quot;DM&quot;_-;_-* &quot;-&quot;\ &quot;DM&quot;_-;_-@_-"/>
    <numFmt numFmtId="203" formatCode="_-* #,##0.00\ &quot;DM&quot;_-;\-* #,##0.00\ &quot;DM&quot;_-;_-* &quot;-&quot;??\ &quot;DM&quot;_-;_-@_-"/>
    <numFmt numFmtId="204" formatCode="_(* #,##0_);_(* \-#,##0_);_(* #,##0_);@"/>
    <numFmt numFmtId="205" formatCode="#,##0.00_ ;[Red]\-#,##0.00\ "/>
    <numFmt numFmtId="206" formatCode="#,##0.00_ ;\-#,##0.00\ "/>
    <numFmt numFmtId="208" formatCode="_ * #,##0.0000_ ;_ * \-#,##0.0000_ ;_ * &quot;-&quot;??_ ;_ @_ "/>
  </numFmts>
  <fonts count="8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0"/>
      <name val="Arial"/>
      <family val="2"/>
    </font>
    <font>
      <b/>
      <u/>
      <sz val="10"/>
      <name val="Arial"/>
      <family val="2"/>
    </font>
    <font>
      <sz val="10"/>
      <color theme="1"/>
      <name val="Arial"/>
      <family val="2"/>
    </font>
    <font>
      <b/>
      <sz val="10"/>
      <name val="Arial"/>
      <family val="2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b/>
      <u/>
      <sz val="10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color theme="0"/>
      <name val="Arial"/>
      <family val="2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name val="Arial"/>
      <family val="2"/>
    </font>
    <font>
      <sz val="10"/>
      <color indexed="8"/>
      <name val="Arial"/>
      <family val="2"/>
    </font>
    <font>
      <b/>
      <sz val="10"/>
      <color indexed="18"/>
      <name val="Arial"/>
      <family val="2"/>
    </font>
    <font>
      <b/>
      <sz val="10"/>
      <color indexed="9"/>
      <name val="Arial"/>
      <family val="2"/>
    </font>
    <font>
      <sz val="10"/>
      <color indexed="12"/>
      <name val="Arial"/>
      <family val="2"/>
    </font>
    <font>
      <b/>
      <sz val="22"/>
      <color indexed="18"/>
      <name val="Arial"/>
      <family val="2"/>
    </font>
    <font>
      <b/>
      <sz val="14"/>
      <color indexed="18"/>
      <name val="Arial"/>
      <family val="2"/>
    </font>
    <font>
      <sz val="9"/>
      <color indexed="8"/>
      <name val="Arial"/>
      <family val="2"/>
    </font>
    <font>
      <b/>
      <u val="singleAccounting"/>
      <sz val="10"/>
      <color indexed="18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b/>
      <sz val="11"/>
      <color indexed="52"/>
      <name val="Calibri"/>
      <family val="2"/>
    </font>
    <font>
      <sz val="8"/>
      <color indexed="12"/>
      <name val="Tms Rmn"/>
    </font>
    <font>
      <sz val="8"/>
      <color indexed="8"/>
      <name val="Arial"/>
      <family val="2"/>
    </font>
    <font>
      <b/>
      <i/>
      <sz val="8"/>
      <name val="Arial"/>
      <family val="2"/>
    </font>
    <font>
      <b/>
      <sz val="9"/>
      <name val="Palatino"/>
      <family val="1"/>
    </font>
    <font>
      <b/>
      <sz val="10"/>
      <color indexed="54"/>
      <name val="Arial"/>
      <family val="2"/>
    </font>
    <font>
      <b/>
      <sz val="11"/>
      <color indexed="9"/>
      <name val="Calibri"/>
      <family val="2"/>
    </font>
    <font>
      <sz val="11"/>
      <color indexed="12"/>
      <name val="Book Antiqua"/>
      <family val="1"/>
    </font>
    <font>
      <sz val="11"/>
      <color indexed="52"/>
      <name val="Calibri"/>
      <family val="2"/>
    </font>
    <font>
      <u/>
      <sz val="10"/>
      <color indexed="36"/>
      <name val="Arial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sz val="10"/>
      <name val="Helv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9"/>
      <name val="LucidaSans"/>
    </font>
    <font>
      <sz val="11"/>
      <color indexed="60"/>
      <name val="Calibri"/>
      <family val="2"/>
    </font>
    <font>
      <i/>
      <sz val="10"/>
      <name val="Helv"/>
    </font>
    <font>
      <b/>
      <sz val="8"/>
      <name val="Arial"/>
      <family val="2"/>
    </font>
    <font>
      <sz val="8"/>
      <name val="Book Antiqua"/>
      <family val="1"/>
    </font>
    <font>
      <sz val="11"/>
      <color indexed="20"/>
      <name val="Calibri"/>
      <family val="2"/>
    </font>
    <font>
      <sz val="10"/>
      <name val="palatino"/>
    </font>
    <font>
      <sz val="10"/>
      <name val="Times New Roman"/>
      <family val="1"/>
    </font>
    <font>
      <i/>
      <sz val="8"/>
      <name val="Arial"/>
      <family val="2"/>
    </font>
    <font>
      <sz val="9"/>
      <name val="NewsGoth Lt BT"/>
      <family val="2"/>
    </font>
    <font>
      <b/>
      <sz val="18"/>
      <color indexed="56"/>
      <name val="Cambria"/>
      <family val="2"/>
    </font>
    <font>
      <b/>
      <sz val="12"/>
      <name val="Arial"/>
      <family val="2"/>
    </font>
    <font>
      <b/>
      <u/>
      <sz val="9"/>
      <name val="Arial"/>
      <family val="2"/>
    </font>
    <font>
      <b/>
      <sz val="7"/>
      <name val="Arial"/>
      <family val="2"/>
    </font>
    <font>
      <b/>
      <sz val="9"/>
      <name val="Arial"/>
      <family val="2"/>
    </font>
    <font>
      <b/>
      <sz val="11"/>
      <color indexed="8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sz val="11"/>
      <color indexed="10"/>
      <name val="Calibri"/>
      <family val="2"/>
    </font>
    <font>
      <sz val="10"/>
      <color indexed="8"/>
      <name val="MS Sans Serif"/>
      <family val="2"/>
    </font>
    <font>
      <sz val="10"/>
      <name val="CG Times"/>
      <family val="1"/>
    </font>
    <font>
      <b/>
      <sz val="18"/>
      <color indexed="56"/>
      <name val="Cambria"/>
      <family val="1"/>
    </font>
    <font>
      <sz val="12"/>
      <color theme="0"/>
      <name val="Calibri"/>
      <family val="2"/>
      <scheme val="minor"/>
    </font>
    <font>
      <sz val="12"/>
      <color theme="0"/>
      <name val="Symbol"/>
      <family val="1"/>
      <charset val="2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1"/>
      <color rgb="FF000000"/>
      <name val="Calibri"/>
      <family val="2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indexed="43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43"/>
        <bgColor indexed="64"/>
      </patternFill>
    </fill>
    <fill>
      <patternFill patternType="solid">
        <fgColor indexed="55"/>
      </patternFill>
    </fill>
    <fill>
      <patternFill patternType="solid">
        <fgColor indexed="12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</patternFill>
    </fill>
    <fill>
      <patternFill patternType="solid">
        <fgColor indexed="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-0.249977111117893"/>
        <bgColor indexed="64"/>
      </patternFill>
    </fill>
  </fills>
  <borders count="56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indexed="8"/>
      </top>
      <bottom style="hair">
        <color indexed="8"/>
      </bottom>
      <diagonal/>
    </border>
    <border>
      <left/>
      <right/>
      <top/>
      <bottom style="medium">
        <color indexed="18"/>
      </bottom>
      <diagonal/>
    </border>
    <border>
      <left/>
      <right/>
      <top/>
      <bottom style="hair">
        <color indexed="64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hair">
        <color indexed="22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/>
      <bottom style="medium">
        <color auto="1"/>
      </bottom>
      <diagonal/>
    </border>
  </borders>
  <cellStyleXfs count="7600">
    <xf numFmtId="0" fontId="0" fillId="0" borderId="0"/>
    <xf numFmtId="9" fontId="1" fillId="0" borderId="0" applyFont="0" applyFill="0" applyBorder="0" applyAlignment="0" applyProtection="0"/>
    <xf numFmtId="0" fontId="2" fillId="2" borderId="1" applyNumberFormat="0" applyAlignment="0" applyProtection="0"/>
    <xf numFmtId="43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0" fontId="3" fillId="0" borderId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170" fontId="3" fillId="0" borderId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30" fillId="0" borderId="0"/>
    <xf numFmtId="0" fontId="38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7" fillId="25" borderId="37" applyNumberFormat="0" applyAlignment="0" applyProtection="0"/>
    <xf numFmtId="49" fontId="39" fillId="0" borderId="0">
      <alignment horizontal="left" vertical="center" wrapText="1"/>
    </xf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1" fillId="0" borderId="32" applyBorder="0">
      <alignment horizontal="center"/>
    </xf>
    <xf numFmtId="169" fontId="3" fillId="0" borderId="0" applyFont="0" applyFill="0" applyBorder="0" applyAlignment="0" applyProtection="0"/>
    <xf numFmtId="0" fontId="42" fillId="0" borderId="0"/>
    <xf numFmtId="0" fontId="43" fillId="27" borderId="41" applyNumberFormat="0" applyAlignment="0" applyProtection="0"/>
    <xf numFmtId="0" fontId="3" fillId="0" borderId="42">
      <alignment horizontal="left"/>
    </xf>
    <xf numFmtId="169" fontId="6" fillId="0" borderId="0" applyFont="0" applyFill="0" applyBorder="0" applyAlignment="0" applyProtection="0">
      <alignment horizontal="center"/>
    </xf>
    <xf numFmtId="0" fontId="44" fillId="0" borderId="43">
      <protection locked="0"/>
    </xf>
    <xf numFmtId="174" fontId="30" fillId="0" borderId="0"/>
    <xf numFmtId="200" fontId="3" fillId="0" borderId="0" applyFont="0" applyFill="0" applyBorder="0" applyAlignment="0" applyProtection="0"/>
    <xf numFmtId="20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45" fillId="0" borderId="44" applyNumberFormat="0" applyFill="0" applyAlignment="0" applyProtection="0"/>
    <xf numFmtId="0" fontId="46" fillId="0" borderId="0" applyNumberFormat="0" applyFill="0" applyBorder="0" applyAlignment="0" applyProtection="0">
      <alignment vertical="top"/>
      <protection locked="0"/>
    </xf>
    <xf numFmtId="0" fontId="47" fillId="9" borderId="0" applyNumberFormat="0" applyBorder="0" applyAlignment="0" applyProtection="0"/>
    <xf numFmtId="0" fontId="47" fillId="9" borderId="0" applyNumberFormat="0" applyBorder="0" applyAlignment="0" applyProtection="0"/>
    <xf numFmtId="175" fontId="3" fillId="0" borderId="0"/>
    <xf numFmtId="0" fontId="29" fillId="28" borderId="0" applyNumberFormat="0"/>
    <xf numFmtId="0" fontId="3" fillId="29" borderId="0" applyNumberFormat="0"/>
    <xf numFmtId="0" fontId="3" fillId="29" borderId="0" applyNumberFormat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48" fillId="12" borderId="37" applyNumberFormat="0" applyAlignment="0" applyProtection="0"/>
    <xf numFmtId="0" fontId="30" fillId="0" borderId="0">
      <alignment horizontal="center"/>
    </xf>
    <xf numFmtId="172" fontId="3" fillId="0" borderId="0" applyFont="0" applyFill="0" applyBorder="0" applyAlignment="0" applyProtection="0"/>
    <xf numFmtId="0" fontId="49" fillId="0" borderId="0"/>
    <xf numFmtId="0" fontId="49" fillId="0" borderId="0"/>
    <xf numFmtId="0" fontId="49" fillId="0" borderId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0" fontId="6" fillId="0" borderId="0">
      <alignment horizontal="center"/>
    </xf>
    <xf numFmtId="173" fontId="6" fillId="0" borderId="0" applyNumberFormat="0" applyFill="0" applyBorder="0" applyProtection="0">
      <alignment horizontal="center"/>
    </xf>
    <xf numFmtId="0" fontId="45" fillId="0" borderId="44" applyNumberFormat="0" applyFill="0" applyAlignment="0" applyProtection="0"/>
    <xf numFmtId="188" fontId="3" fillId="0" borderId="0" applyFont="0" applyFill="0" applyBorder="0" applyAlignment="0" applyProtection="0"/>
    <xf numFmtId="189" fontId="3" fillId="0" borderId="0" applyFont="0" applyFill="0" applyBorder="0" applyAlignment="0" applyProtection="0"/>
    <xf numFmtId="37" fontId="3" fillId="0" borderId="0" applyFont="0" applyFill="0" applyBorder="0" applyAlignment="0" applyProtection="0"/>
    <xf numFmtId="190" fontId="53" fillId="0" borderId="0" applyFont="0" applyFill="0" applyBorder="0" applyAlignment="0" applyProtection="0"/>
    <xf numFmtId="191" fontId="53" fillId="0" borderId="0" applyFont="0" applyFill="0" applyBorder="0" applyAlignment="0" applyProtection="0"/>
    <xf numFmtId="192" fontId="3" fillId="0" borderId="0" applyFont="0" applyFill="0" applyBorder="0" applyAlignment="0" applyProtection="0"/>
    <xf numFmtId="193" fontId="3" fillId="0" borderId="0" applyFont="0" applyFill="0" applyBorder="0" applyAlignment="0" applyProtection="0"/>
    <xf numFmtId="0" fontId="54" fillId="6" borderId="0" applyNumberFormat="0" applyBorder="0" applyAlignment="0" applyProtection="0"/>
    <xf numFmtId="0" fontId="54" fillId="6" borderId="0" applyNumberFormat="0" applyBorder="0" applyAlignment="0" applyProtection="0"/>
    <xf numFmtId="194" fontId="3" fillId="0" borderId="0"/>
    <xf numFmtId="0" fontId="35" fillId="30" borderId="48" applyNumberFormat="0" applyFont="0" applyAlignment="0" applyProtection="0"/>
    <xf numFmtId="0" fontId="55" fillId="0" borderId="22"/>
    <xf numFmtId="195" fontId="6" fillId="0" borderId="0" applyFont="0" applyFill="0" applyBorder="0" applyAlignment="0" applyProtection="0">
      <alignment horizontal="center"/>
    </xf>
    <xf numFmtId="0" fontId="3" fillId="30" borderId="48" applyNumberFormat="0" applyFont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8" fillId="8" borderId="0" applyNumberFormat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/>
    <xf numFmtId="0" fontId="59" fillId="0" borderId="0" applyFont="0" applyFill="0" applyBorder="0" applyAlignment="0" applyProtection="0"/>
    <xf numFmtId="0" fontId="3" fillId="0" borderId="0">
      <alignment vertical="top"/>
    </xf>
    <xf numFmtId="0" fontId="60" fillId="0" borderId="0">
      <alignment vertical="top"/>
    </xf>
    <xf numFmtId="0" fontId="6" fillId="31" borderId="23" applyNumberFormat="0" applyBorder="0" applyAlignment="0"/>
    <xf numFmtId="197" fontId="3" fillId="0" borderId="0" applyFont="0" applyFill="0" applyBorder="0" applyAlignment="0" applyProtection="0"/>
    <xf numFmtId="0" fontId="3" fillId="0" borderId="0" applyNumberFormat="0" applyBorder="0"/>
    <xf numFmtId="169" fontId="6" fillId="0" borderId="0" applyFont="0" applyFill="0" applyBorder="0" applyAlignment="0" applyProtection="0">
      <alignment horizontal="center"/>
    </xf>
    <xf numFmtId="0" fontId="3" fillId="0" borderId="0"/>
    <xf numFmtId="198" fontId="27" fillId="0" borderId="0" applyFill="0" applyBorder="0"/>
    <xf numFmtId="0" fontId="3" fillId="0" borderId="0">
      <alignment horizontal="left" wrapText="1"/>
    </xf>
    <xf numFmtId="49" fontId="61" fillId="0" borderId="0" applyFill="0" applyBorder="0" applyProtection="0">
      <alignment horizontal="left" wrapText="1"/>
    </xf>
    <xf numFmtId="49" fontId="61" fillId="0" borderId="0" applyFill="0" applyBorder="0" applyProtection="0">
      <alignment horizontal="left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61" fillId="0" borderId="0" applyFill="0" applyBorder="0" applyProtection="0">
      <alignment horizontal="center" wrapText="1"/>
    </xf>
    <xf numFmtId="49" fontId="61" fillId="0" borderId="0" applyFill="0" applyBorder="0" applyProtection="0">
      <alignment horizontal="center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61" fillId="0" borderId="0" applyFill="0" applyBorder="0" applyProtection="0">
      <alignment horizontal="right" wrapText="1"/>
    </xf>
    <xf numFmtId="49" fontId="61" fillId="0" borderId="0" applyFill="0" applyBorder="0" applyProtection="0">
      <alignment horizontal="right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2" fillId="0" borderId="50" applyNumberFormat="0" applyAlignment="0" applyProtection="0"/>
    <xf numFmtId="0" fontId="63" fillId="0" borderId="0" applyNumberFormat="0" applyFill="0" applyBorder="0" applyAlignment="0" applyProtection="0"/>
    <xf numFmtId="0" fontId="63" fillId="0" borderId="0" applyNumberFormat="0" applyFill="0" applyBorder="0" applyAlignment="0" applyProtection="0"/>
    <xf numFmtId="0" fontId="64" fillId="0" borderId="0" applyNumberFormat="0" applyFill="0" applyBorder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68" fillId="0" borderId="51" applyNumberFormat="0" applyFill="0" applyAlignment="0" applyProtection="0"/>
    <xf numFmtId="0" fontId="69" fillId="25" borderId="49" applyNumberFormat="0" applyAlignment="0" applyProtection="0"/>
    <xf numFmtId="171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202" fontId="3" fillId="0" borderId="0" applyFont="0" applyFill="0" applyBorder="0" applyAlignment="0" applyProtection="0"/>
    <xf numFmtId="203" fontId="3" fillId="0" borderId="0" applyFont="0" applyFill="0" applyBorder="0" applyAlignment="0" applyProtection="0"/>
    <xf numFmtId="0" fontId="7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0" fontId="3" fillId="0" borderId="0"/>
    <xf numFmtId="0" fontId="3" fillId="26" borderId="0" applyNumberFormat="0"/>
    <xf numFmtId="0" fontId="3" fillId="0" borderId="40" applyBorder="0"/>
    <xf numFmtId="0" fontId="26" fillId="0" borderId="0" applyNumberFormat="0" applyFill="0" applyBorder="0" applyAlignment="0" applyProtection="0"/>
    <xf numFmtId="0" fontId="3" fillId="0" borderId="42">
      <alignment horizontal="left"/>
    </xf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175" fontId="3" fillId="0" borderId="0"/>
    <xf numFmtId="0" fontId="3" fillId="29" borderId="0" applyNumberFormat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6" fillId="0" borderId="0">
      <alignment horizontal="center"/>
    </xf>
    <xf numFmtId="37" fontId="3" fillId="0" borderId="0" applyFont="0" applyFill="0" applyBorder="0" applyAlignment="0" applyProtection="0"/>
    <xf numFmtId="194" fontId="3" fillId="0" borderId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/>
    <xf numFmtId="0" fontId="3" fillId="0" borderId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" fillId="0" borderId="0">
      <alignment horizontal="left" wrapText="1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6" fillId="0" borderId="0">
      <alignment horizontal="left"/>
    </xf>
    <xf numFmtId="19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176" fontId="3" fillId="0" borderId="0" applyFont="0" applyFill="0" applyBorder="0" applyAlignment="0" applyProtection="0"/>
    <xf numFmtId="177" fontId="3" fillId="0" borderId="0" applyFont="0" applyFill="0" applyBorder="0" applyAlignment="0" applyProtection="0"/>
    <xf numFmtId="178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0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2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6" borderId="0" applyNumberFormat="0" applyFont="0" applyAlignment="0" applyProtection="0"/>
    <xf numFmtId="184" fontId="3" fillId="0" borderId="0" applyFont="0" applyFill="0" applyBorder="0" applyAlignment="0" applyProtection="0"/>
    <xf numFmtId="185" fontId="3" fillId="0" borderId="0" applyFont="0" applyFill="0" applyBorder="0" applyProtection="0">
      <alignment horizontal="right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181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0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26" borderId="0" applyNumberFormat="0"/>
    <xf numFmtId="0" fontId="3" fillId="0" borderId="40" applyBorder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42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/>
    <xf numFmtId="186" fontId="3" fillId="0" borderId="31" applyNumberFormat="0" applyFill="0" applyBorder="0" applyAlignment="0" applyProtection="0"/>
    <xf numFmtId="187" fontId="26" fillId="0" borderId="0">
      <alignment horizontal="left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5" fontId="3" fillId="0" borderId="0"/>
    <xf numFmtId="0" fontId="31" fillId="0" borderId="0" applyNumberFormat="0" applyFill="0" applyBorder="0" applyAlignment="0" applyProtection="0"/>
    <xf numFmtId="0" fontId="3" fillId="29" borderId="0" applyNumberFormat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5" fontId="30" fillId="26" borderId="0" applyNumberFormat="0">
      <protection locked="0"/>
    </xf>
    <xf numFmtId="0" fontId="30" fillId="0" borderId="0" applyNumberFormat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6" fillId="0" borderId="0">
      <alignment horizontal="center"/>
    </xf>
    <xf numFmtId="0" fontId="31" fillId="0" borderId="0" applyNumberFormat="0" applyFill="0" applyBorder="0" applyAlignment="0" applyProtection="0"/>
    <xf numFmtId="37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94" fontId="3" fillId="0" borderId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173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/>
    <xf numFmtId="0" fontId="32" fillId="0" borderId="0" applyNumberFormat="0" applyFill="0" applyBorder="0" applyProtection="0">
      <alignment vertical="top"/>
    </xf>
    <xf numFmtId="0" fontId="3" fillId="0" borderId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197" fontId="3" fillId="0" borderId="0" applyFont="0" applyFill="0" applyBorder="0" applyAlignment="0" applyProtection="0"/>
    <xf numFmtId="0" fontId="3" fillId="0" borderId="0" applyNumberFormat="0" applyBorder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" fillId="0" borderId="0">
      <alignment horizontal="left" wrapText="1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left" wrapText="1"/>
    </xf>
    <xf numFmtId="49" fontId="26" fillId="0" borderId="0" applyFill="0" applyBorder="0" applyProtection="0">
      <alignment horizontal="left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center" wrapText="1"/>
    </xf>
    <xf numFmtId="49" fontId="26" fillId="0" borderId="0" applyFill="0" applyBorder="0" applyProtection="0">
      <alignment horizontal="center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49" fontId="26" fillId="0" borderId="0" applyFill="0" applyBorder="0" applyProtection="0">
      <alignment horizontal="right" wrapText="1"/>
    </xf>
    <xf numFmtId="49" fontId="26" fillId="0" borderId="0" applyFill="0" applyBorder="0" applyProtection="0">
      <alignment horizontal="right"/>
    </xf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6" fillId="0" borderId="0">
      <alignment horizontal="left"/>
    </xf>
    <xf numFmtId="199" fontId="3" fillId="0" borderId="0" applyFon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" fillId="0" borderId="0">
      <alignment horizontal="left" wrapText="1"/>
    </xf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83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81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3" fillId="0" borderId="0">
      <alignment horizontal="left" wrapText="1"/>
    </xf>
    <xf numFmtId="0" fontId="72" fillId="0" borderId="0"/>
    <xf numFmtId="0" fontId="3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181" fontId="3" fillId="0" borderId="0" applyFont="0" applyFill="0" applyBorder="0" applyAlignment="0" applyProtection="0"/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9" fontId="3" fillId="0" borderId="0" applyFont="0" applyFill="0" applyBorder="0" applyAlignment="0" applyProtection="0"/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horizontal="left" wrapText="1"/>
    </xf>
    <xf numFmtId="0" fontId="3" fillId="0" borderId="0">
      <alignment horizontal="left" wrapText="1"/>
    </xf>
    <xf numFmtId="0" fontId="3" fillId="0" borderId="0">
      <alignment horizontal="left" wrapText="1"/>
    </xf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5" fillId="10" borderId="0" applyNumberFormat="0" applyBorder="0" applyAlignment="0" applyProtection="0"/>
    <xf numFmtId="0" fontId="35" fillId="13" borderId="0" applyNumberFormat="0" applyBorder="0" applyAlignment="0" applyProtection="0"/>
    <xf numFmtId="0" fontId="35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4" borderId="0" applyNumberFormat="0" applyBorder="0" applyAlignment="0" applyProtection="0"/>
    <xf numFmtId="0" fontId="36" fillId="15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4" borderId="0" applyNumberFormat="0" applyBorder="0" applyAlignment="0" applyProtection="0"/>
    <xf numFmtId="0" fontId="58" fillId="8" borderId="0" applyNumberFormat="0" applyBorder="0" applyAlignment="0" applyProtection="0"/>
    <xf numFmtId="0" fontId="37" fillId="25" borderId="37" applyNumberFormat="0" applyAlignment="0" applyProtection="0"/>
    <xf numFmtId="0" fontId="43" fillId="27" borderId="41" applyNumberFormat="0" applyAlignment="0" applyProtection="0"/>
    <xf numFmtId="0" fontId="26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2" fontId="3" fillId="0" borderId="0" applyFont="0" applyFill="0" applyBorder="0" applyAlignment="0" applyProtection="0"/>
    <xf numFmtId="0" fontId="70" fillId="0" borderId="0" applyNumberFormat="0" applyFill="0" applyBorder="0" applyAlignment="0" applyProtection="0"/>
    <xf numFmtId="0" fontId="47" fillId="9" borderId="0" applyNumberFormat="0" applyBorder="0" applyAlignment="0" applyProtection="0"/>
    <xf numFmtId="0" fontId="50" fillId="0" borderId="45" applyNumberFormat="0" applyFill="0" applyAlignment="0" applyProtection="0"/>
    <xf numFmtId="0" fontId="51" fillId="0" borderId="46" applyNumberFormat="0" applyFill="0" applyAlignment="0" applyProtection="0"/>
    <xf numFmtId="0" fontId="52" fillId="0" borderId="47" applyNumberFormat="0" applyFill="0" applyAlignment="0" applyProtection="0"/>
    <xf numFmtId="0" fontId="52" fillId="0" borderId="0" applyNumberFormat="0" applyFill="0" applyBorder="0" applyAlignment="0" applyProtection="0"/>
    <xf numFmtId="15" fontId="30" fillId="26" borderId="0" applyNumberFormat="0">
      <protection locked="0"/>
    </xf>
    <xf numFmtId="204" fontId="73" fillId="0" borderId="0" applyFont="0" applyFill="0" applyBorder="0" applyAlignment="0" applyProtection="0"/>
    <xf numFmtId="0" fontId="45" fillId="0" borderId="44" applyNumberFormat="0" applyFill="0" applyAlignment="0" applyProtection="0"/>
    <xf numFmtId="0" fontId="54" fillId="6" borderId="0" applyNumberFormat="0" applyBorder="0" applyAlignment="0" applyProtection="0"/>
    <xf numFmtId="0" fontId="35" fillId="0" borderId="0"/>
    <xf numFmtId="0" fontId="35" fillId="0" borderId="0"/>
    <xf numFmtId="0" fontId="35" fillId="0" borderId="0"/>
    <xf numFmtId="0" fontId="35" fillId="30" borderId="48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0" fontId="35" fillId="30" borderId="52" applyNumberFormat="0" applyFont="0" applyAlignment="0" applyProtection="0"/>
    <xf numFmtId="196" fontId="3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69" fillId="25" borderId="49" applyNumberFormat="0" applyAlignment="0" applyProtection="0"/>
    <xf numFmtId="9" fontId="3" fillId="0" borderId="0" applyFont="0" applyFill="0" applyBorder="0" applyAlignment="0" applyProtection="0"/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74" fillId="0" borderId="0" applyNumberFormat="0" applyFill="0" applyBorder="0" applyAlignment="0" applyProtection="0"/>
    <xf numFmtId="0" fontId="68" fillId="0" borderId="51" applyNumberFormat="0" applyFill="0" applyAlignment="0" applyProtection="0"/>
    <xf numFmtId="0" fontId="1" fillId="0" borderId="0"/>
    <xf numFmtId="0" fontId="7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0" fontId="3" fillId="0" borderId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179" fontId="3" fillId="0" borderId="0" applyFon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2" fillId="0" borderId="0" applyNumberFormat="0" applyFill="0" applyBorder="0" applyProtection="0">
      <alignment vertical="top"/>
    </xf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33" fillId="0" borderId="38" applyNumberFormat="0" applyFill="0" applyAlignment="0" applyProtection="0"/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39" applyNumberFormat="0" applyFill="0" applyProtection="0">
      <alignment horizontal="center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28" fillId="0" borderId="0" applyNumberFormat="0" applyFill="0" applyBorder="0" applyProtection="0">
      <alignment horizontal="left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0" fontId="34" fillId="0" borderId="0" applyNumberFormat="0" applyFill="0" applyBorder="0" applyProtection="0">
      <alignment horizontal="centerContinuous"/>
    </xf>
    <xf numFmtId="171" fontId="3" fillId="0" borderId="0" applyFont="0" applyFill="0" applyBorder="0" applyAlignment="0" applyProtection="0"/>
    <xf numFmtId="171" fontId="3" fillId="0" borderId="0" applyFont="0" applyFill="0" applyBorder="0" applyAlignment="0" applyProtection="0"/>
    <xf numFmtId="0" fontId="3" fillId="29" borderId="0" applyNumberFormat="0"/>
    <xf numFmtId="0" fontId="3" fillId="30" borderId="48" applyNumberFormat="0" applyFont="0" applyAlignment="0" applyProtection="0"/>
    <xf numFmtId="0" fontId="3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60" fillId="0" borderId="0">
      <alignment vertical="top"/>
    </xf>
    <xf numFmtId="0" fontId="3" fillId="0" borderId="0">
      <alignment vertical="top"/>
    </xf>
    <xf numFmtId="0" fontId="3" fillId="0" borderId="0">
      <alignment vertical="top"/>
    </xf>
    <xf numFmtId="172" fontId="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96" fontId="3" fillId="0" borderId="0" applyNumberFormat="0" applyFill="0" applyBorder="0" applyAlignment="0" applyProtection="0"/>
    <xf numFmtId="181" fontId="3" fillId="0" borderId="0" applyFont="0" applyFill="0" applyBorder="0" applyAlignment="0" applyProtection="0"/>
    <xf numFmtId="196" fontId="3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179" fontId="3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7" fillId="0" borderId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9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0" fontId="3" fillId="0" borderId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6" fontId="3" fillId="0" borderId="0">
      <alignment horizontal="right"/>
    </xf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72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69" fontId="1" fillId="0" borderId="0" applyFont="0" applyFill="0" applyBorder="0" applyAlignment="0" applyProtection="0"/>
    <xf numFmtId="16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  <xf numFmtId="172" fontId="3" fillId="0" borderId="0" applyFont="0" applyFill="0" applyBorder="0" applyAlignment="0" applyProtection="0"/>
  </cellStyleXfs>
  <cellXfs count="408">
    <xf numFmtId="0" fontId="0" fillId="0" borderId="0" xfId="0"/>
    <xf numFmtId="164" fontId="0" fillId="0" borderId="0" xfId="1" applyNumberFormat="1" applyFont="1" applyBorder="1" applyAlignment="1">
      <alignment horizontal="center"/>
    </xf>
    <xf numFmtId="2" fontId="0" fillId="0" borderId="0" xfId="0" applyNumberFormat="1" applyBorder="1" applyAlignment="1">
      <alignment horizontal="right"/>
    </xf>
    <xf numFmtId="0" fontId="7" fillId="3" borderId="0" xfId="0" applyFont="1" applyFill="1"/>
    <xf numFmtId="164" fontId="7" fillId="3" borderId="0" xfId="0" applyNumberFormat="1" applyFont="1" applyFill="1" applyAlignment="1">
      <alignment horizontal="center"/>
    </xf>
    <xf numFmtId="0" fontId="7" fillId="3" borderId="0" xfId="0" applyFont="1" applyFill="1" applyBorder="1" applyAlignment="1">
      <alignment horizontal="center"/>
    </xf>
    <xf numFmtId="164" fontId="7" fillId="3" borderId="0" xfId="0" applyNumberFormat="1" applyFont="1" applyFill="1" applyBorder="1" applyAlignment="1">
      <alignment horizontal="center"/>
    </xf>
    <xf numFmtId="0" fontId="9" fillId="3" borderId="0" xfId="0" applyFont="1" applyFill="1"/>
    <xf numFmtId="0" fontId="9" fillId="3" borderId="18" xfId="0" applyFont="1" applyFill="1" applyBorder="1"/>
    <xf numFmtId="0" fontId="9" fillId="3" borderId="19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20" xfId="0" applyFont="1" applyFill="1" applyBorder="1" applyAlignment="1">
      <alignment horizontal="center"/>
    </xf>
    <xf numFmtId="0" fontId="9" fillId="3" borderId="5" xfId="0" applyFont="1" applyFill="1" applyBorder="1" applyAlignment="1">
      <alignment horizontal="center"/>
    </xf>
    <xf numFmtId="0" fontId="9" fillId="3" borderId="13" xfId="0" applyFont="1" applyFill="1" applyBorder="1" applyAlignment="1">
      <alignment horizontal="center"/>
    </xf>
    <xf numFmtId="0" fontId="7" fillId="3" borderId="13" xfId="0" applyFont="1" applyFill="1" applyBorder="1"/>
    <xf numFmtId="0" fontId="7" fillId="3" borderId="13" xfId="0" applyFont="1" applyFill="1" applyBorder="1" applyAlignment="1">
      <alignment horizontal="center"/>
    </xf>
    <xf numFmtId="164" fontId="7" fillId="3" borderId="13" xfId="0" applyNumberFormat="1" applyFont="1" applyFill="1" applyBorder="1" applyAlignment="1">
      <alignment horizontal="center"/>
    </xf>
    <xf numFmtId="164" fontId="7" fillId="3" borderId="14" xfId="1" applyNumberFormat="1" applyFont="1" applyFill="1" applyBorder="1" applyAlignment="1">
      <alignment horizontal="center"/>
    </xf>
    <xf numFmtId="0" fontId="7" fillId="3" borderId="7" xfId="0" applyFont="1" applyFill="1" applyBorder="1"/>
    <xf numFmtId="0" fontId="7" fillId="3" borderId="7" xfId="0" applyFont="1" applyFill="1" applyBorder="1" applyAlignment="1">
      <alignment horizontal="center"/>
    </xf>
    <xf numFmtId="164" fontId="7" fillId="3" borderId="7" xfId="0" applyNumberFormat="1" applyFont="1" applyFill="1" applyBorder="1" applyAlignment="1">
      <alignment horizontal="center"/>
    </xf>
    <xf numFmtId="164" fontId="7" fillId="3" borderId="6" xfId="1" applyNumberFormat="1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164" fontId="7" fillId="3" borderId="10" xfId="0" applyNumberFormat="1" applyFont="1" applyFill="1" applyBorder="1" applyAlignment="1">
      <alignment horizontal="center"/>
    </xf>
    <xf numFmtId="0" fontId="9" fillId="3" borderId="9" xfId="0" applyFont="1" applyFill="1" applyBorder="1" applyAlignment="1">
      <alignment horizontal="right"/>
    </xf>
    <xf numFmtId="0" fontId="10" fillId="3" borderId="0" xfId="0" applyFont="1" applyFill="1"/>
    <xf numFmtId="0" fontId="9" fillId="3" borderId="0" xfId="0" applyFont="1" applyFill="1" applyBorder="1" applyAlignment="1">
      <alignment horizontal="right"/>
    </xf>
    <xf numFmtId="0" fontId="7" fillId="3" borderId="8" xfId="0" applyFont="1" applyFill="1" applyBorder="1" applyAlignment="1">
      <alignment horizontal="center"/>
    </xf>
    <xf numFmtId="1" fontId="7" fillId="3" borderId="27" xfId="0" applyNumberFormat="1" applyFont="1" applyFill="1" applyBorder="1" applyAlignment="1">
      <alignment horizontal="center"/>
    </xf>
    <xf numFmtId="1" fontId="7" fillId="3" borderId="17" xfId="0" applyNumberFormat="1" applyFont="1" applyFill="1" applyBorder="1" applyAlignment="1">
      <alignment horizontal="center"/>
    </xf>
    <xf numFmtId="0" fontId="7" fillId="3" borderId="11" xfId="0" applyFont="1" applyFill="1" applyBorder="1" applyAlignment="1">
      <alignment horizontal="center"/>
    </xf>
    <xf numFmtId="0" fontId="7" fillId="3" borderId="12" xfId="0" applyFont="1" applyFill="1" applyBorder="1" applyAlignment="1">
      <alignment horizontal="center"/>
    </xf>
    <xf numFmtId="9" fontId="10" fillId="3" borderId="13" xfId="0" applyNumberFormat="1" applyFont="1" applyFill="1" applyBorder="1"/>
    <xf numFmtId="0" fontId="10" fillId="3" borderId="10" xfId="0" applyFont="1" applyFill="1" applyBorder="1"/>
    <xf numFmtId="0" fontId="7" fillId="0" borderId="0" xfId="0" applyFont="1"/>
    <xf numFmtId="0" fontId="14" fillId="0" borderId="0" xfId="0" applyFont="1"/>
    <xf numFmtId="0" fontId="7" fillId="0" borderId="2" xfId="0" applyFont="1" applyBorder="1"/>
    <xf numFmtId="0" fontId="7" fillId="0" borderId="3" xfId="0" applyFont="1" applyBorder="1" applyAlignment="1">
      <alignment horizontal="center"/>
    </xf>
    <xf numFmtId="0" fontId="7" fillId="0" borderId="4" xfId="0" applyFont="1" applyBorder="1" applyAlignment="1">
      <alignment horizontal="center"/>
    </xf>
    <xf numFmtId="0" fontId="7" fillId="0" borderId="6" xfId="0" applyFont="1" applyBorder="1"/>
    <xf numFmtId="164" fontId="7" fillId="0" borderId="7" xfId="1" applyNumberFormat="1" applyFont="1" applyBorder="1" applyAlignment="1">
      <alignment horizontal="center"/>
    </xf>
    <xf numFmtId="9" fontId="7" fillId="0" borderId="2" xfId="0" applyNumberFormat="1" applyFont="1" applyBorder="1"/>
    <xf numFmtId="164" fontId="7" fillId="0" borderId="7" xfId="0" applyNumberFormat="1" applyFont="1" applyBorder="1" applyAlignment="1">
      <alignment horizontal="center"/>
    </xf>
    <xf numFmtId="0" fontId="6" fillId="0" borderId="0" xfId="0" applyFont="1"/>
    <xf numFmtId="9" fontId="6" fillId="0" borderId="0" xfId="0" applyNumberFormat="1" applyFont="1"/>
    <xf numFmtId="0" fontId="4" fillId="0" borderId="0" xfId="0" applyFont="1"/>
    <xf numFmtId="9" fontId="0" fillId="0" borderId="0" xfId="0" applyNumberFormat="1"/>
    <xf numFmtId="164" fontId="0" fillId="0" borderId="0" xfId="0" applyNumberFormat="1"/>
    <xf numFmtId="0" fontId="0" fillId="0" borderId="24" xfId="0" applyBorder="1"/>
    <xf numFmtId="164" fontId="0" fillId="0" borderId="22" xfId="1" applyNumberFormat="1" applyFont="1" applyBorder="1" applyAlignment="1">
      <alignment horizontal="center"/>
    </xf>
    <xf numFmtId="164" fontId="0" fillId="0" borderId="23" xfId="1" applyNumberFormat="1" applyFont="1" applyBorder="1" applyAlignment="1">
      <alignment horizontal="center"/>
    </xf>
    <xf numFmtId="164" fontId="0" fillId="0" borderId="31" xfId="1" applyNumberFormat="1" applyFont="1" applyBorder="1" applyAlignment="1">
      <alignment horizontal="center"/>
    </xf>
    <xf numFmtId="2" fontId="0" fillId="0" borderId="31" xfId="0" applyNumberFormat="1" applyBorder="1" applyAlignment="1">
      <alignment horizontal="right"/>
    </xf>
    <xf numFmtId="9" fontId="0" fillId="0" borderId="0" xfId="1" applyFont="1"/>
    <xf numFmtId="0" fontId="0" fillId="0" borderId="22" xfId="0" applyBorder="1"/>
    <xf numFmtId="0" fontId="0" fillId="0" borderId="25" xfId="0" applyBorder="1"/>
    <xf numFmtId="164" fontId="0" fillId="0" borderId="32" xfId="1" applyNumberFormat="1" applyFont="1" applyBorder="1" applyAlignment="1">
      <alignment horizontal="center"/>
    </xf>
    <xf numFmtId="164" fontId="0" fillId="0" borderId="25" xfId="1" applyNumberFormat="1" applyFont="1" applyBorder="1" applyAlignment="1">
      <alignment horizontal="center"/>
    </xf>
    <xf numFmtId="164" fontId="0" fillId="0" borderId="26" xfId="1" applyNumberFormat="1" applyFont="1" applyBorder="1" applyAlignment="1">
      <alignment horizontal="center"/>
    </xf>
    <xf numFmtId="164" fontId="0" fillId="0" borderId="33" xfId="1" applyNumberFormat="1" applyFont="1" applyBorder="1" applyAlignment="1">
      <alignment horizontal="center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0" fontId="0" fillId="0" borderId="0" xfId="0" applyBorder="1"/>
    <xf numFmtId="2" fontId="0" fillId="0" borderId="0" xfId="0" applyNumberFormat="1" applyBorder="1" applyAlignment="1">
      <alignment horizontal="center"/>
    </xf>
    <xf numFmtId="2" fontId="0" fillId="0" borderId="31" xfId="0" applyNumberFormat="1" applyBorder="1" applyAlignment="1">
      <alignment horizontal="center"/>
    </xf>
    <xf numFmtId="2" fontId="0" fillId="0" borderId="32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164" fontId="0" fillId="0" borderId="0" xfId="1" applyNumberFormat="1" applyFont="1"/>
    <xf numFmtId="0" fontId="2" fillId="2" borderId="1" xfId="2" applyAlignment="1">
      <alignment horizontal="center"/>
    </xf>
    <xf numFmtId="0" fontId="12" fillId="3" borderId="0" xfId="0" applyFont="1" applyFill="1"/>
    <xf numFmtId="0" fontId="0" fillId="3" borderId="0" xfId="0" applyFill="1"/>
    <xf numFmtId="0" fontId="10" fillId="3" borderId="0" xfId="0" applyFont="1" applyFill="1" applyBorder="1" applyAlignment="1">
      <alignment horizontal="center"/>
    </xf>
    <xf numFmtId="0" fontId="10" fillId="0" borderId="0" xfId="0" applyFont="1" applyFill="1" applyBorder="1"/>
    <xf numFmtId="0" fontId="7" fillId="0" borderId="0" xfId="0" applyFont="1" applyFill="1" applyBorder="1"/>
    <xf numFmtId="0" fontId="7" fillId="0" borderId="0" xfId="0" applyFont="1" applyFill="1" applyBorder="1" applyAlignment="1">
      <alignment horizontal="right"/>
    </xf>
    <xf numFmtId="0" fontId="10" fillId="3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10" fillId="3" borderId="0" xfId="0" applyFont="1" applyFill="1" applyBorder="1"/>
    <xf numFmtId="165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/>
    <xf numFmtId="164" fontId="7" fillId="3" borderId="0" xfId="1" applyNumberFormat="1" applyFont="1" applyFill="1" applyBorder="1" applyAlignment="1">
      <alignment horizontal="center"/>
    </xf>
    <xf numFmtId="1" fontId="7" fillId="3" borderId="0" xfId="0" applyNumberFormat="1" applyFont="1" applyFill="1" applyBorder="1" applyAlignment="1">
      <alignment horizontal="center"/>
    </xf>
    <xf numFmtId="0" fontId="7" fillId="3" borderId="0" xfId="0" applyFont="1" applyFill="1" applyBorder="1" applyAlignment="1">
      <alignment horizontal="right"/>
    </xf>
    <xf numFmtId="166" fontId="13" fillId="2" borderId="1" xfId="2" applyNumberFormat="1" applyFont="1" applyAlignment="1">
      <alignment horizontal="center"/>
    </xf>
    <xf numFmtId="164" fontId="13" fillId="2" borderId="1" xfId="2" applyNumberFormat="1" applyFont="1" applyAlignment="1">
      <alignment horizontal="center"/>
    </xf>
    <xf numFmtId="9" fontId="7" fillId="3" borderId="0" xfId="0" applyNumberFormat="1" applyFont="1" applyFill="1" applyBorder="1" applyAlignment="1">
      <alignment horizontal="center"/>
    </xf>
    <xf numFmtId="9" fontId="10" fillId="3" borderId="0" xfId="0" applyNumberFormat="1" applyFont="1" applyFill="1" applyBorder="1"/>
    <xf numFmtId="0" fontId="10" fillId="3" borderId="13" xfId="0" applyFont="1" applyFill="1" applyBorder="1"/>
    <xf numFmtId="0" fontId="10" fillId="3" borderId="17" xfId="0" applyFont="1" applyFill="1" applyBorder="1" applyAlignment="1">
      <alignment horizontal="center"/>
    </xf>
    <xf numFmtId="0" fontId="13" fillId="3" borderId="0" xfId="2" applyFont="1" applyFill="1" applyBorder="1" applyAlignment="1">
      <alignment horizontal="center"/>
    </xf>
    <xf numFmtId="167" fontId="7" fillId="3" borderId="0" xfId="0" applyNumberFormat="1" applyFont="1" applyFill="1"/>
    <xf numFmtId="164" fontId="13" fillId="3" borderId="0" xfId="2" applyNumberFormat="1" applyFont="1" applyFill="1" applyBorder="1" applyAlignment="1">
      <alignment horizontal="center"/>
    </xf>
    <xf numFmtId="9" fontId="7" fillId="3" borderId="0" xfId="0" applyNumberFormat="1" applyFont="1" applyFill="1" applyBorder="1"/>
    <xf numFmtId="9" fontId="7" fillId="3" borderId="0" xfId="1" applyFont="1" applyFill="1" applyBorder="1" applyAlignment="1">
      <alignment horizontal="center"/>
    </xf>
    <xf numFmtId="0" fontId="7" fillId="3" borderId="0" xfId="0" applyFont="1" applyFill="1" applyAlignment="1">
      <alignment horizontal="center"/>
    </xf>
    <xf numFmtId="0" fontId="14" fillId="3" borderId="0" xfId="0" applyFont="1" applyFill="1"/>
    <xf numFmtId="0" fontId="10" fillId="3" borderId="9" xfId="0" applyFont="1" applyFill="1" applyBorder="1"/>
    <xf numFmtId="0" fontId="10" fillId="3" borderId="9" xfId="0" applyFont="1" applyFill="1" applyBorder="1" applyAlignment="1">
      <alignment horizontal="center"/>
    </xf>
    <xf numFmtId="164" fontId="7" fillId="3" borderId="14" xfId="0" applyNumberFormat="1" applyFon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/>
    </xf>
    <xf numFmtId="164" fontId="7" fillId="3" borderId="9" xfId="0" applyNumberFormat="1" applyFont="1" applyFill="1" applyBorder="1" applyAlignment="1">
      <alignment horizontal="center"/>
    </xf>
    <xf numFmtId="0" fontId="10" fillId="3" borderId="12" xfId="0" applyFont="1" applyFill="1" applyBorder="1" applyAlignment="1">
      <alignment horizontal="center"/>
    </xf>
    <xf numFmtId="9" fontId="2" fillId="2" borderId="1" xfId="2" applyNumberFormat="1" applyAlignment="1">
      <alignment horizontal="center"/>
    </xf>
    <xf numFmtId="164" fontId="16" fillId="3" borderId="0" xfId="0" applyNumberFormat="1" applyFont="1" applyFill="1" applyBorder="1" applyAlignment="1">
      <alignment horizontal="center"/>
    </xf>
    <xf numFmtId="2" fontId="7" fillId="0" borderId="6" xfId="0" applyNumberFormat="1" applyFont="1" applyBorder="1" applyAlignment="1">
      <alignment horizontal="center"/>
    </xf>
    <xf numFmtId="2" fontId="7" fillId="0" borderId="0" xfId="0" applyNumberFormat="1" applyFont="1" applyBorder="1" applyAlignment="1">
      <alignment horizontal="center"/>
    </xf>
    <xf numFmtId="2" fontId="7" fillId="0" borderId="8" xfId="0" applyNumberFormat="1" applyFont="1" applyBorder="1" applyAlignment="1">
      <alignment horizontal="center"/>
    </xf>
    <xf numFmtId="164" fontId="3" fillId="0" borderId="0" xfId="1" applyNumberFormat="1" applyFont="1" applyBorder="1" applyAlignment="1">
      <alignment horizontal="center"/>
    </xf>
    <xf numFmtId="164" fontId="3" fillId="0" borderId="22" xfId="1" applyNumberFormat="1" applyFont="1" applyBorder="1" applyAlignment="1">
      <alignment horizontal="center"/>
    </xf>
    <xf numFmtId="164" fontId="3" fillId="0" borderId="23" xfId="1" applyNumberFormat="1" applyFont="1" applyBorder="1" applyAlignment="1">
      <alignment horizontal="center"/>
    </xf>
    <xf numFmtId="164" fontId="3" fillId="0" borderId="31" xfId="1" applyNumberFormat="1" applyFont="1" applyBorder="1" applyAlignment="1">
      <alignment horizontal="center"/>
    </xf>
    <xf numFmtId="164" fontId="3" fillId="0" borderId="32" xfId="1" applyNumberFormat="1" applyFont="1" applyBorder="1" applyAlignment="1">
      <alignment horizontal="center"/>
    </xf>
    <xf numFmtId="164" fontId="3" fillId="0" borderId="25" xfId="1" applyNumberFormat="1" applyFont="1" applyBorder="1" applyAlignment="1">
      <alignment horizontal="center"/>
    </xf>
    <xf numFmtId="164" fontId="3" fillId="0" borderId="26" xfId="1" applyNumberFormat="1" applyFont="1" applyBorder="1" applyAlignment="1">
      <alignment horizontal="center"/>
    </xf>
    <xf numFmtId="164" fontId="3" fillId="0" borderId="33" xfId="1" applyNumberFormat="1" applyFont="1" applyBorder="1" applyAlignment="1">
      <alignment horizontal="center"/>
    </xf>
    <xf numFmtId="9" fontId="6" fillId="0" borderId="0" xfId="0" applyNumberFormat="1" applyFont="1" applyBorder="1"/>
    <xf numFmtId="0" fontId="6" fillId="0" borderId="0" xfId="0" applyFont="1" applyBorder="1" applyAlignment="1">
      <alignment horizontal="center"/>
    </xf>
    <xf numFmtId="9" fontId="6" fillId="0" borderId="0" xfId="0" applyNumberFormat="1" applyFont="1" applyBorder="1" applyAlignment="1">
      <alignment horizontal="center"/>
    </xf>
    <xf numFmtId="164" fontId="6" fillId="0" borderId="0" xfId="1" applyNumberFormat="1" applyFont="1" applyBorder="1" applyAlignment="1">
      <alignment horizontal="right"/>
    </xf>
    <xf numFmtId="164" fontId="6" fillId="0" borderId="0" xfId="1" applyNumberFormat="1" applyFont="1" applyFill="1" applyBorder="1" applyAlignment="1">
      <alignment horizontal="right"/>
    </xf>
    <xf numFmtId="164" fontId="6" fillId="0" borderId="0" xfId="1" applyNumberFormat="1" applyFont="1" applyBorder="1" applyAlignment="1">
      <alignment horizontal="center"/>
    </xf>
    <xf numFmtId="10" fontId="0" fillId="0" borderId="0" xfId="0" applyNumberFormat="1"/>
    <xf numFmtId="164" fontId="0" fillId="0" borderId="0" xfId="1" applyNumberFormat="1" applyFont="1" applyAlignment="1">
      <alignment horizontal="center"/>
    </xf>
    <xf numFmtId="0" fontId="15" fillId="3" borderId="0" xfId="0" applyFont="1" applyFill="1"/>
    <xf numFmtId="164" fontId="15" fillId="3" borderId="0" xfId="1" applyNumberFormat="1" applyFont="1" applyFill="1" applyAlignment="1">
      <alignment horizontal="center"/>
    </xf>
    <xf numFmtId="168" fontId="15" fillId="3" borderId="0" xfId="0" applyNumberFormat="1" applyFont="1" applyFill="1"/>
    <xf numFmtId="0" fontId="9" fillId="3" borderId="14" xfId="0" applyFont="1" applyFill="1" applyBorder="1" applyAlignment="1">
      <alignment horizontal="center"/>
    </xf>
    <xf numFmtId="0" fontId="0" fillId="3" borderId="14" xfId="0" applyFont="1" applyFill="1" applyBorder="1"/>
    <xf numFmtId="0" fontId="0" fillId="3" borderId="0" xfId="0" applyFont="1" applyFill="1"/>
    <xf numFmtId="0" fontId="0" fillId="3" borderId="9" xfId="0" applyFont="1" applyFill="1" applyBorder="1"/>
    <xf numFmtId="0" fontId="0" fillId="3" borderId="2" xfId="0" applyFont="1" applyFill="1" applyBorder="1" applyAlignment="1">
      <alignment horizontal="center"/>
    </xf>
    <xf numFmtId="0" fontId="0" fillId="3" borderId="3" xfId="0" applyFont="1" applyFill="1" applyBorder="1" applyAlignment="1">
      <alignment horizontal="center"/>
    </xf>
    <xf numFmtId="0" fontId="0" fillId="3" borderId="5" xfId="0" applyFont="1" applyFill="1" applyBorder="1" applyAlignment="1">
      <alignment horizontal="center"/>
    </xf>
    <xf numFmtId="0" fontId="0" fillId="3" borderId="6" xfId="0" applyFont="1" applyFill="1" applyBorder="1"/>
    <xf numFmtId="164" fontId="0" fillId="3" borderId="7" xfId="0" applyNumberFormat="1" applyFont="1" applyFill="1" applyBorder="1" applyAlignment="1">
      <alignment horizontal="center"/>
    </xf>
    <xf numFmtId="9" fontId="0" fillId="3" borderId="8" xfId="0" applyNumberFormat="1" applyFont="1" applyFill="1" applyBorder="1" applyAlignment="1">
      <alignment horizontal="center"/>
    </xf>
    <xf numFmtId="164" fontId="0" fillId="3" borderId="10" xfId="0" applyNumberFormat="1" applyFont="1" applyFill="1" applyBorder="1" applyAlignment="1">
      <alignment horizontal="center"/>
    </xf>
    <xf numFmtId="9" fontId="0" fillId="3" borderId="12" xfId="0" applyNumberFormat="1" applyFont="1" applyFill="1" applyBorder="1" applyAlignment="1">
      <alignment horizontal="center"/>
    </xf>
    <xf numFmtId="0" fontId="17" fillId="3" borderId="0" xfId="0" applyFont="1" applyFill="1" applyAlignment="1">
      <alignment horizontal="right"/>
    </xf>
    <xf numFmtId="164" fontId="17" fillId="3" borderId="0" xfId="1" applyNumberFormat="1" applyFont="1" applyFill="1" applyAlignment="1">
      <alignment horizontal="center"/>
    </xf>
    <xf numFmtId="0" fontId="0" fillId="3" borderId="2" xfId="0" applyFont="1" applyFill="1" applyBorder="1" applyAlignment="1">
      <alignment horizontal="center" vertical="center"/>
    </xf>
    <xf numFmtId="9" fontId="0" fillId="3" borderId="5" xfId="0" applyNumberFormat="1" applyFont="1" applyFill="1" applyBorder="1" applyAlignment="1">
      <alignment horizontal="center"/>
    </xf>
    <xf numFmtId="9" fontId="2" fillId="2" borderId="1" xfId="2" applyNumberFormat="1" applyFont="1" applyAlignment="1">
      <alignment horizontal="center"/>
    </xf>
    <xf numFmtId="0" fontId="0" fillId="3" borderId="0" xfId="0" applyFont="1" applyFill="1" applyBorder="1" applyAlignment="1">
      <alignment horizontal="right"/>
    </xf>
    <xf numFmtId="9" fontId="0" fillId="3" borderId="0" xfId="0" applyNumberFormat="1" applyFont="1" applyFill="1" applyBorder="1" applyAlignment="1">
      <alignment horizontal="center"/>
    </xf>
    <xf numFmtId="0" fontId="0" fillId="3" borderId="13" xfId="0" applyFont="1" applyFill="1" applyBorder="1"/>
    <xf numFmtId="0" fontId="0" fillId="3" borderId="10" xfId="0" applyFont="1" applyFill="1" applyBorder="1"/>
    <xf numFmtId="0" fontId="0" fillId="3" borderId="9" xfId="0" applyFont="1" applyFill="1" applyBorder="1" applyAlignment="1">
      <alignment horizontal="center"/>
    </xf>
    <xf numFmtId="0" fontId="0" fillId="3" borderId="11" xfId="0" applyFont="1" applyFill="1" applyBorder="1" applyAlignment="1">
      <alignment horizontal="center"/>
    </xf>
    <xf numFmtId="0" fontId="0" fillId="3" borderId="12" xfId="0" applyFont="1" applyFill="1" applyBorder="1" applyAlignment="1">
      <alignment horizontal="center"/>
    </xf>
    <xf numFmtId="0" fontId="0" fillId="3" borderId="12" xfId="0" applyFont="1" applyFill="1" applyBorder="1"/>
    <xf numFmtId="0" fontId="0" fillId="3" borderId="7" xfId="0" applyFont="1" applyFill="1" applyBorder="1"/>
    <xf numFmtId="164" fontId="0" fillId="3" borderId="6" xfId="1" applyNumberFormat="1" applyFont="1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center"/>
    </xf>
    <xf numFmtId="164" fontId="0" fillId="3" borderId="8" xfId="1" applyNumberFormat="1" applyFont="1" applyFill="1" applyBorder="1" applyAlignment="1">
      <alignment horizontal="center"/>
    </xf>
    <xf numFmtId="0" fontId="0" fillId="3" borderId="0" xfId="0" applyFont="1" applyFill="1" applyBorder="1"/>
    <xf numFmtId="0" fontId="2" fillId="2" borderId="1" xfId="2" applyFont="1" applyAlignment="1">
      <alignment horizont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3" borderId="6" xfId="0" applyFont="1" applyFill="1" applyBorder="1" applyAlignment="1">
      <alignment horizontal="right"/>
    </xf>
    <xf numFmtId="0" fontId="0" fillId="3" borderId="8" xfId="0" applyFont="1" applyFill="1" applyBorder="1" applyAlignment="1">
      <alignment horizontal="center"/>
    </xf>
    <xf numFmtId="0" fontId="0" fillId="3" borderId="9" xfId="0" applyFont="1" applyFill="1" applyBorder="1" applyAlignment="1">
      <alignment horizontal="right"/>
    </xf>
    <xf numFmtId="0" fontId="0" fillId="3" borderId="0" xfId="0" applyFont="1" applyFill="1" applyAlignment="1">
      <alignment horizontal="right"/>
    </xf>
    <xf numFmtId="164" fontId="2" fillId="2" borderId="1" xfId="2" applyNumberFormat="1" applyFont="1" applyAlignment="1">
      <alignment horizontal="center"/>
    </xf>
    <xf numFmtId="1" fontId="2" fillId="2" borderId="1" xfId="2" applyNumberFormat="1" applyFont="1" applyAlignment="1">
      <alignment horizontal="center"/>
    </xf>
    <xf numFmtId="0" fontId="0" fillId="3" borderId="0" xfId="0" applyFill="1" applyAlignment="1">
      <alignment horizontal="center"/>
    </xf>
    <xf numFmtId="0" fontId="0" fillId="3" borderId="4" xfId="0" applyFont="1" applyFill="1" applyBorder="1"/>
    <xf numFmtId="0" fontId="0" fillId="3" borderId="5" xfId="0" applyFont="1" applyFill="1" applyBorder="1"/>
    <xf numFmtId="164" fontId="7" fillId="3" borderId="7" xfId="1" applyNumberFormat="1" applyFont="1" applyFill="1" applyBorder="1" applyAlignment="1">
      <alignment horizontal="center"/>
    </xf>
    <xf numFmtId="0" fontId="4" fillId="3" borderId="0" xfId="0" applyFont="1" applyFill="1"/>
    <xf numFmtId="0" fontId="5" fillId="3" borderId="0" xfId="0" applyFont="1" applyFill="1"/>
    <xf numFmtId="0" fontId="5" fillId="3" borderId="0" xfId="0" applyFont="1" applyFill="1" applyAlignment="1">
      <alignment horizontal="right"/>
    </xf>
    <xf numFmtId="0" fontId="3" fillId="3" borderId="0" xfId="0" applyFont="1" applyFill="1"/>
    <xf numFmtId="9" fontId="9" fillId="3" borderId="4" xfId="0" applyNumberFormat="1" applyFont="1" applyFill="1" applyBorder="1" applyAlignment="1">
      <alignment horizontal="center"/>
    </xf>
    <xf numFmtId="9" fontId="7" fillId="3" borderId="6" xfId="0" applyNumberFormat="1" applyFont="1" applyFill="1" applyBorder="1"/>
    <xf numFmtId="9" fontId="7" fillId="3" borderId="14" xfId="0" applyNumberFormat="1" applyFont="1" applyFill="1" applyBorder="1"/>
    <xf numFmtId="0" fontId="10" fillId="3" borderId="14" xfId="0" applyFont="1" applyFill="1" applyBorder="1" applyAlignment="1">
      <alignment horizontal="center"/>
    </xf>
    <xf numFmtId="0" fontId="10" fillId="3" borderId="14" xfId="0" applyFont="1" applyFill="1" applyBorder="1"/>
    <xf numFmtId="0" fontId="0" fillId="3" borderId="17" xfId="0" applyFill="1" applyBorder="1"/>
    <xf numFmtId="0" fontId="10" fillId="3" borderId="17" xfId="0" applyFont="1" applyFill="1" applyBorder="1"/>
    <xf numFmtId="0" fontId="0" fillId="3" borderId="9" xfId="0" applyFill="1" applyBorder="1"/>
    <xf numFmtId="9" fontId="7" fillId="3" borderId="6" xfId="0" applyNumberFormat="1" applyFont="1" applyFill="1" applyBorder="1" applyAlignment="1">
      <alignment horizontal="center"/>
    </xf>
    <xf numFmtId="0" fontId="7" fillId="3" borderId="6" xfId="0" applyFont="1" applyFill="1" applyBorder="1" applyAlignment="1">
      <alignment horizontal="center"/>
    </xf>
    <xf numFmtId="9" fontId="0" fillId="3" borderId="8" xfId="0" applyNumberFormat="1" applyFill="1" applyBorder="1" applyAlignment="1">
      <alignment horizontal="center"/>
    </xf>
    <xf numFmtId="9" fontId="7" fillId="3" borderId="9" xfId="0" applyNumberFormat="1" applyFont="1" applyFill="1" applyBorder="1"/>
    <xf numFmtId="9" fontId="7" fillId="3" borderId="9" xfId="0" applyNumberFormat="1" applyFont="1" applyFill="1" applyBorder="1" applyAlignment="1">
      <alignment horizontal="center"/>
    </xf>
    <xf numFmtId="9" fontId="0" fillId="3" borderId="12" xfId="0" applyNumberFormat="1" applyFill="1" applyBorder="1" applyAlignment="1">
      <alignment horizontal="center"/>
    </xf>
    <xf numFmtId="0" fontId="7" fillId="3" borderId="0" xfId="0" applyFont="1" applyFill="1" applyAlignment="1">
      <alignment horizontal="right"/>
    </xf>
    <xf numFmtId="0" fontId="8" fillId="3" borderId="0" xfId="0" applyFont="1" applyFill="1"/>
    <xf numFmtId="0" fontId="12" fillId="3" borderId="0" xfId="0" applyFont="1" applyFill="1" applyAlignment="1">
      <alignment horizontal="center"/>
    </xf>
    <xf numFmtId="9" fontId="13" fillId="2" borderId="1" xfId="2" applyNumberFormat="1" applyFont="1" applyAlignment="1">
      <alignment horizontal="center"/>
    </xf>
    <xf numFmtId="0" fontId="0" fillId="3" borderId="0" xfId="0" applyFill="1" applyAlignment="1">
      <alignment horizontal="left"/>
    </xf>
    <xf numFmtId="0" fontId="0" fillId="3" borderId="0" xfId="0" applyFill="1" applyAlignment="1">
      <alignment horizontal="right"/>
    </xf>
    <xf numFmtId="0" fontId="7" fillId="0" borderId="4" xfId="0" applyFont="1" applyBorder="1" applyAlignment="1">
      <alignment horizontal="center"/>
    </xf>
    <xf numFmtId="0" fontId="19" fillId="3" borderId="0" xfId="0" applyFont="1" applyFill="1"/>
    <xf numFmtId="0" fontId="7" fillId="3" borderId="3" xfId="0" applyFont="1" applyFill="1" applyBorder="1"/>
    <xf numFmtId="0" fontId="7" fillId="0" borderId="0" xfId="0" applyFont="1" applyBorder="1"/>
    <xf numFmtId="164" fontId="7" fillId="0" borderId="0" xfId="0" applyNumberFormat="1" applyFont="1" applyBorder="1" applyAlignment="1">
      <alignment horizontal="center"/>
    </xf>
    <xf numFmtId="164" fontId="7" fillId="0" borderId="0" xfId="1" applyNumberFormat="1" applyFont="1" applyBorder="1" applyAlignment="1">
      <alignment horizontal="center"/>
    </xf>
    <xf numFmtId="0" fontId="0" fillId="3" borderId="0" xfId="0" applyFill="1" applyBorder="1"/>
    <xf numFmtId="9" fontId="7" fillId="3" borderId="11" xfId="1" applyFont="1" applyFill="1" applyBorder="1" applyAlignment="1">
      <alignment horizontal="center"/>
    </xf>
    <xf numFmtId="0" fontId="8" fillId="3" borderId="3" xfId="0" applyFont="1" applyFill="1" applyBorder="1"/>
    <xf numFmtId="9" fontId="9" fillId="3" borderId="3" xfId="0" applyNumberFormat="1" applyFont="1" applyFill="1" applyBorder="1" applyAlignment="1">
      <alignment horizontal="center"/>
    </xf>
    <xf numFmtId="9" fontId="7" fillId="3" borderId="7" xfId="1" applyFont="1" applyFill="1" applyBorder="1" applyAlignment="1">
      <alignment horizontal="center"/>
    </xf>
    <xf numFmtId="9" fontId="7" fillId="3" borderId="10" xfId="1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0" xfId="0" applyFont="1" applyFill="1" applyBorder="1" applyAlignment="1">
      <alignment horizontal="center"/>
    </xf>
    <xf numFmtId="164" fontId="0" fillId="4" borderId="7" xfId="0" applyNumberFormat="1" applyFont="1" applyFill="1" applyBorder="1" applyAlignment="1">
      <alignment horizontal="center"/>
    </xf>
    <xf numFmtId="164" fontId="0" fillId="4" borderId="10" xfId="0" applyNumberFormat="1" applyFont="1" applyFill="1" applyBorder="1" applyAlignment="1">
      <alignment horizontal="center"/>
    </xf>
    <xf numFmtId="164" fontId="7" fillId="4" borderId="27" xfId="1" applyNumberFormat="1" applyFont="1" applyFill="1" applyBorder="1" applyAlignment="1">
      <alignment horizontal="center"/>
    </xf>
    <xf numFmtId="164" fontId="7" fillId="4" borderId="17" xfId="1" applyNumberFormat="1" applyFont="1" applyFill="1" applyBorder="1" applyAlignment="1">
      <alignment horizontal="center"/>
    </xf>
    <xf numFmtId="164" fontId="7" fillId="4" borderId="6" xfId="1" applyNumberFormat="1" applyFont="1" applyFill="1" applyBorder="1" applyAlignment="1">
      <alignment horizontal="center"/>
    </xf>
    <xf numFmtId="164" fontId="7" fillId="4" borderId="7" xfId="1" applyNumberFormat="1" applyFont="1" applyFill="1" applyBorder="1" applyAlignment="1">
      <alignment horizontal="center"/>
    </xf>
    <xf numFmtId="164" fontId="7" fillId="0" borderId="6" xfId="0" applyNumberFormat="1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164" fontId="7" fillId="4" borderId="13" xfId="1" applyNumberFormat="1" applyFont="1" applyFill="1" applyBorder="1" applyAlignment="1">
      <alignment horizontal="center"/>
    </xf>
    <xf numFmtId="0" fontId="20" fillId="0" borderId="3" xfId="0" applyFont="1" applyFill="1" applyBorder="1"/>
    <xf numFmtId="0" fontId="0" fillId="3" borderId="13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9" fontId="10" fillId="3" borderId="14" xfId="0" applyNumberFormat="1" applyFont="1" applyFill="1" applyBorder="1" applyAlignment="1">
      <alignment horizontal="left"/>
    </xf>
    <xf numFmtId="0" fontId="7" fillId="0" borderId="0" xfId="0" quotePrefix="1" applyFont="1"/>
    <xf numFmtId="164" fontId="7" fillId="0" borderId="7" xfId="1" applyNumberFormat="1" applyFont="1" applyFill="1" applyBorder="1" applyAlignment="1">
      <alignment horizontal="center"/>
    </xf>
    <xf numFmtId="2" fontId="7" fillId="0" borderId="0" xfId="1" applyNumberFormat="1" applyFont="1" applyFill="1" applyBorder="1" applyAlignment="1">
      <alignment horizontal="center"/>
    </xf>
    <xf numFmtId="2" fontId="7" fillId="0" borderId="8" xfId="1" applyNumberFormat="1" applyFont="1" applyFill="1" applyBorder="1" applyAlignment="1">
      <alignment horizontal="center"/>
    </xf>
    <xf numFmtId="2" fontId="7" fillId="0" borderId="6" xfId="0" applyNumberFormat="1" applyFont="1" applyFill="1" applyBorder="1" applyAlignment="1">
      <alignment horizontal="center"/>
    </xf>
    <xf numFmtId="2" fontId="7" fillId="0" borderId="0" xfId="0" applyNumberFormat="1" applyFont="1" applyFill="1" applyBorder="1" applyAlignment="1">
      <alignment horizontal="center"/>
    </xf>
    <xf numFmtId="0" fontId="7" fillId="4" borderId="27" xfId="0" applyFont="1" applyFill="1" applyBorder="1" applyAlignment="1">
      <alignment horizontal="center"/>
    </xf>
    <xf numFmtId="0" fontId="7" fillId="4" borderId="17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/>
    </xf>
    <xf numFmtId="0" fontId="7" fillId="4" borderId="8" xfId="0" applyFont="1" applyFill="1" applyBorder="1" applyAlignment="1">
      <alignment horizontal="center"/>
    </xf>
    <xf numFmtId="0" fontId="7" fillId="4" borderId="11" xfId="0" applyFont="1" applyFill="1" applyBorder="1" applyAlignment="1">
      <alignment horizontal="center"/>
    </xf>
    <xf numFmtId="0" fontId="7" fillId="4" borderId="12" xfId="0" applyFont="1" applyFill="1" applyBorder="1" applyAlignment="1">
      <alignment horizontal="center"/>
    </xf>
    <xf numFmtId="9" fontId="7" fillId="4" borderId="2" xfId="1" applyFont="1" applyFill="1" applyBorder="1" applyAlignment="1">
      <alignment horizontal="center"/>
    </xf>
    <xf numFmtId="9" fontId="7" fillId="4" borderId="3" xfId="1" applyFont="1" applyFill="1" applyBorder="1" applyAlignment="1">
      <alignment horizontal="center"/>
    </xf>
    <xf numFmtId="9" fontId="7" fillId="4" borderId="4" xfId="1" applyFont="1" applyFill="1" applyBorder="1" applyAlignment="1">
      <alignment horizontal="center"/>
    </xf>
    <xf numFmtId="9" fontId="8" fillId="3" borderId="13" xfId="0" applyNumberFormat="1" applyFont="1" applyFill="1" applyBorder="1" applyAlignment="1">
      <alignment horizontal="center"/>
    </xf>
    <xf numFmtId="9" fontId="8" fillId="3" borderId="27" xfId="0" applyNumberFormat="1" applyFont="1" applyFill="1" applyBorder="1" applyAlignment="1">
      <alignment horizontal="center"/>
    </xf>
    <xf numFmtId="9" fontId="23" fillId="5" borderId="30" xfId="0" applyNumberFormat="1" applyFont="1" applyFill="1" applyBorder="1"/>
    <xf numFmtId="0" fontId="23" fillId="5" borderId="28" xfId="0" applyFont="1" applyFill="1" applyBorder="1" applyAlignment="1">
      <alignment horizontal="center"/>
    </xf>
    <xf numFmtId="0" fontId="23" fillId="5" borderId="30" xfId="0" applyFont="1" applyFill="1" applyBorder="1" applyAlignment="1">
      <alignment horizontal="center"/>
    </xf>
    <xf numFmtId="9" fontId="23" fillId="5" borderId="21" xfId="0" applyNumberFormat="1" applyFont="1" applyFill="1" applyBorder="1" applyAlignment="1">
      <alignment horizontal="center"/>
    </xf>
    <xf numFmtId="9" fontId="23" fillId="5" borderId="28" xfId="0" applyNumberFormat="1" applyFont="1" applyFill="1" applyBorder="1" applyAlignment="1">
      <alignment horizontal="center"/>
    </xf>
    <xf numFmtId="9" fontId="23" fillId="5" borderId="29" xfId="0" applyNumberFormat="1" applyFont="1" applyFill="1" applyBorder="1" applyAlignment="1">
      <alignment horizontal="center"/>
    </xf>
    <xf numFmtId="164" fontId="23" fillId="5" borderId="28" xfId="1" applyNumberFormat="1" applyFont="1" applyFill="1" applyBorder="1" applyAlignment="1">
      <alignment horizontal="right"/>
    </xf>
    <xf numFmtId="164" fontId="23" fillId="5" borderId="29" xfId="1" applyNumberFormat="1" applyFont="1" applyFill="1" applyBorder="1" applyAlignment="1">
      <alignment horizontal="right"/>
    </xf>
    <xf numFmtId="0" fontId="10" fillId="3" borderId="0" xfId="0" applyFont="1" applyFill="1" applyBorder="1" applyAlignment="1">
      <alignment horizontal="center"/>
    </xf>
    <xf numFmtId="2" fontId="7" fillId="4" borderId="6" xfId="0" applyNumberFormat="1" applyFont="1" applyFill="1" applyBorder="1" applyAlignment="1">
      <alignment horizontal="center"/>
    </xf>
    <xf numFmtId="2" fontId="7" fillId="4" borderId="0" xfId="0" applyNumberFormat="1" applyFont="1" applyFill="1" applyBorder="1" applyAlignment="1">
      <alignment horizontal="center"/>
    </xf>
    <xf numFmtId="2" fontId="7" fillId="4" borderId="8" xfId="0" applyNumberFormat="1" applyFont="1" applyFill="1" applyBorder="1" applyAlignment="1">
      <alignment horizontal="center"/>
    </xf>
    <xf numFmtId="2" fontId="7" fillId="4" borderId="14" xfId="0" applyNumberFormat="1" applyFont="1" applyFill="1" applyBorder="1" applyAlignment="1">
      <alignment horizontal="center"/>
    </xf>
    <xf numFmtId="2" fontId="7" fillId="4" borderId="27" xfId="0" applyNumberFormat="1" applyFont="1" applyFill="1" applyBorder="1" applyAlignment="1">
      <alignment horizontal="center"/>
    </xf>
    <xf numFmtId="2" fontId="7" fillId="4" borderId="17" xfId="0" applyNumberFormat="1" applyFont="1" applyFill="1" applyBorder="1" applyAlignment="1">
      <alignment horizontal="center"/>
    </xf>
    <xf numFmtId="9" fontId="7" fillId="3" borderId="13" xfId="1" applyFont="1" applyFill="1" applyBorder="1" applyAlignment="1">
      <alignment horizontal="center"/>
    </xf>
    <xf numFmtId="164" fontId="0" fillId="0" borderId="0" xfId="1" applyNumberFormat="1" applyFont="1" applyFill="1" applyBorder="1" applyAlignment="1">
      <alignment horizontal="center"/>
    </xf>
    <xf numFmtId="164" fontId="0" fillId="0" borderId="32" xfId="1" applyNumberFormat="1" applyFont="1" applyFill="1" applyBorder="1" applyAlignment="1">
      <alignment horizontal="center"/>
    </xf>
    <xf numFmtId="0" fontId="7" fillId="3" borderId="2" xfId="0" applyFont="1" applyFill="1" applyBorder="1" applyAlignment="1">
      <alignment horizontal="center"/>
    </xf>
    <xf numFmtId="0" fontId="7" fillId="3" borderId="4" xfId="0" applyFont="1" applyFill="1" applyBorder="1" applyAlignment="1">
      <alignment horizontal="center"/>
    </xf>
    <xf numFmtId="0" fontId="7" fillId="3" borderId="5" xfId="0" applyFont="1" applyFill="1" applyBorder="1" applyAlignment="1">
      <alignment horizontal="center"/>
    </xf>
    <xf numFmtId="9" fontId="10" fillId="3" borderId="4" xfId="0" applyNumberFormat="1" applyFont="1" applyFill="1" applyBorder="1" applyAlignment="1">
      <alignment horizontal="center"/>
    </xf>
    <xf numFmtId="0" fontId="7" fillId="3" borderId="3" xfId="0" applyFont="1" applyFill="1" applyBorder="1" applyAlignment="1">
      <alignment horizontal="center"/>
    </xf>
    <xf numFmtId="0" fontId="7" fillId="3" borderId="0" xfId="0" applyFont="1" applyFill="1"/>
    <xf numFmtId="0" fontId="10" fillId="3" borderId="3" xfId="0" applyFont="1" applyFill="1" applyBorder="1"/>
    <xf numFmtId="0" fontId="7" fillId="3" borderId="0" xfId="0" applyFont="1" applyFill="1" applyAlignment="1">
      <alignment horizontal="right"/>
    </xf>
    <xf numFmtId="0" fontId="7" fillId="4" borderId="3" xfId="0" applyFont="1" applyFill="1" applyBorder="1" applyAlignment="1">
      <alignment horizontal="center"/>
    </xf>
    <xf numFmtId="10" fontId="10" fillId="3" borderId="5" xfId="1" applyNumberFormat="1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164" fontId="0" fillId="4" borderId="6" xfId="0" applyNumberFormat="1" applyFont="1" applyFill="1" applyBorder="1" applyAlignment="1">
      <alignment horizontal="center"/>
    </xf>
    <xf numFmtId="164" fontId="0" fillId="4" borderId="9" xfId="0" applyNumberFormat="1" applyFont="1" applyFill="1" applyBorder="1" applyAlignment="1">
      <alignment horizontal="center"/>
    </xf>
    <xf numFmtId="164" fontId="0" fillId="3" borderId="0" xfId="0" applyNumberFormat="1" applyFill="1"/>
    <xf numFmtId="9" fontId="0" fillId="3" borderId="0" xfId="0" applyNumberFormat="1" applyFill="1"/>
    <xf numFmtId="10" fontId="10" fillId="3" borderId="4" xfId="0" applyNumberFormat="1" applyFont="1" applyFill="1" applyBorder="1" applyAlignment="1">
      <alignment horizontal="center"/>
    </xf>
    <xf numFmtId="9" fontId="10" fillId="3" borderId="2" xfId="0" applyNumberFormat="1" applyFont="1" applyFill="1" applyBorder="1" applyAlignment="1">
      <alignment horizontal="center"/>
    </xf>
    <xf numFmtId="10" fontId="10" fillId="3" borderId="5" xfId="0" applyNumberFormat="1" applyFont="1" applyFill="1" applyBorder="1" applyAlignment="1">
      <alignment horizontal="center"/>
    </xf>
    <xf numFmtId="0" fontId="25" fillId="5" borderId="35" xfId="0" applyFont="1" applyFill="1" applyBorder="1" applyAlignment="1">
      <alignment horizontal="center"/>
    </xf>
    <xf numFmtId="0" fontId="25" fillId="5" borderId="36" xfId="0" applyFont="1" applyFill="1" applyBorder="1" applyAlignment="1">
      <alignment horizontal="center"/>
    </xf>
    <xf numFmtId="164" fontId="7" fillId="3" borderId="31" xfId="1" applyNumberFormat="1" applyFont="1" applyFill="1" applyBorder="1" applyAlignment="1">
      <alignment horizontal="center"/>
    </xf>
    <xf numFmtId="164" fontId="7" fillId="3" borderId="32" xfId="1" applyNumberFormat="1" applyFont="1" applyFill="1" applyBorder="1" applyAlignment="1">
      <alignment horizontal="center"/>
    </xf>
    <xf numFmtId="164" fontId="7" fillId="3" borderId="33" xfId="1" applyNumberFormat="1" applyFont="1" applyFill="1" applyBorder="1" applyAlignment="1">
      <alignment horizontal="center"/>
    </xf>
    <xf numFmtId="9" fontId="10" fillId="3" borderId="28" xfId="0" applyNumberFormat="1" applyFont="1" applyFill="1" applyBorder="1" applyAlignment="1">
      <alignment horizontal="center"/>
    </xf>
    <xf numFmtId="10" fontId="10" fillId="3" borderId="28" xfId="0" applyNumberFormat="1" applyFont="1" applyFill="1" applyBorder="1" applyAlignment="1">
      <alignment horizontal="center"/>
    </xf>
    <xf numFmtId="10" fontId="10" fillId="3" borderId="29" xfId="0" applyNumberFormat="1" applyFont="1" applyFill="1" applyBorder="1" applyAlignment="1">
      <alignment horizontal="center"/>
    </xf>
    <xf numFmtId="9" fontId="24" fillId="5" borderId="24" xfId="0" applyNumberFormat="1" applyFont="1" applyFill="1" applyBorder="1" applyAlignment="1">
      <alignment horizontal="left"/>
    </xf>
    <xf numFmtId="0" fontId="7" fillId="3" borderId="22" xfId="0" applyFont="1" applyFill="1" applyBorder="1"/>
    <xf numFmtId="0" fontId="7" fillId="3" borderId="25" xfId="0" applyFont="1" applyFill="1" applyBorder="1"/>
    <xf numFmtId="0" fontId="25" fillId="5" borderId="24" xfId="0" applyFont="1" applyFill="1" applyBorder="1" applyAlignment="1">
      <alignment horizontal="center"/>
    </xf>
    <xf numFmtId="164" fontId="7" fillId="3" borderId="22" xfId="1" applyNumberFormat="1" applyFont="1" applyFill="1" applyBorder="1" applyAlignment="1">
      <alignment horizontal="center"/>
    </xf>
    <xf numFmtId="164" fontId="7" fillId="3" borderId="25" xfId="1" applyNumberFormat="1" applyFont="1" applyFill="1" applyBorder="1" applyAlignment="1">
      <alignment horizontal="center"/>
    </xf>
    <xf numFmtId="0" fontId="10" fillId="3" borderId="30" xfId="0" applyFont="1" applyFill="1" applyBorder="1"/>
    <xf numFmtId="10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/>
    </xf>
    <xf numFmtId="164" fontId="7" fillId="3" borderId="23" xfId="1" applyNumberFormat="1" applyFont="1" applyFill="1" applyBorder="1" applyAlignment="1">
      <alignment horizontal="center"/>
    </xf>
    <xf numFmtId="164" fontId="7" fillId="3" borderId="26" xfId="1" applyNumberFormat="1" applyFont="1" applyFill="1" applyBorder="1" applyAlignment="1">
      <alignment horizontal="center"/>
    </xf>
    <xf numFmtId="9" fontId="10" fillId="3" borderId="21" xfId="0" applyNumberFormat="1" applyFont="1" applyFill="1" applyBorder="1" applyAlignment="1">
      <alignment horizontal="center"/>
    </xf>
    <xf numFmtId="9" fontId="10" fillId="3" borderId="29" xfId="0" applyNumberFormat="1" applyFont="1" applyFill="1" applyBorder="1" applyAlignment="1">
      <alignment horizontal="center"/>
    </xf>
    <xf numFmtId="9" fontId="10" fillId="3" borderId="30" xfId="0" applyNumberFormat="1" applyFont="1" applyFill="1" applyBorder="1" applyAlignment="1">
      <alignment horizontal="center"/>
    </xf>
    <xf numFmtId="0" fontId="25" fillId="5" borderId="34" xfId="0" applyFont="1" applyFill="1" applyBorder="1" applyAlignment="1">
      <alignment horizontal="center" wrapText="1"/>
    </xf>
    <xf numFmtId="0" fontId="25" fillId="5" borderId="35" xfId="0" applyFont="1" applyFill="1" applyBorder="1" applyAlignment="1">
      <alignment horizontal="center" wrapText="1"/>
    </xf>
    <xf numFmtId="10" fontId="12" fillId="3" borderId="29" xfId="1" applyNumberFormat="1" applyFont="1" applyFill="1" applyBorder="1" applyAlignment="1"/>
    <xf numFmtId="205" fontId="7" fillId="3" borderId="22" xfId="3" applyNumberFormat="1" applyFont="1" applyFill="1" applyBorder="1" applyAlignment="1">
      <alignment horizontal="center"/>
    </xf>
    <xf numFmtId="0" fontId="0" fillId="32" borderId="0" xfId="0" applyFill="1" applyBorder="1"/>
    <xf numFmtId="0" fontId="0" fillId="3" borderId="0" xfId="0" applyFont="1" applyFill="1" applyBorder="1" applyAlignment="1"/>
    <xf numFmtId="205" fontId="7" fillId="3" borderId="25" xfId="3" applyNumberFormat="1" applyFont="1" applyFill="1" applyBorder="1" applyAlignment="1">
      <alignment horizontal="center"/>
    </xf>
    <xf numFmtId="0" fontId="12" fillId="3" borderId="30" xfId="0" applyFont="1" applyFill="1" applyBorder="1"/>
    <xf numFmtId="0" fontId="25" fillId="5" borderId="24" xfId="0" applyFont="1" applyFill="1" applyBorder="1" applyAlignment="1">
      <alignment horizontal="center" wrapText="1"/>
    </xf>
    <xf numFmtId="164" fontId="7" fillId="3" borderId="24" xfId="1" applyNumberFormat="1" applyFont="1" applyFill="1" applyBorder="1" applyAlignment="1">
      <alignment horizontal="center"/>
    </xf>
    <xf numFmtId="10" fontId="77" fillId="3" borderId="0" xfId="1" applyNumberFormat="1" applyFont="1" applyFill="1" applyBorder="1" applyAlignment="1">
      <alignment horizontal="center"/>
    </xf>
    <xf numFmtId="10" fontId="77" fillId="3" borderId="32" xfId="1" applyNumberFormat="1" applyFont="1" applyFill="1" applyBorder="1" applyAlignment="1">
      <alignment horizontal="center"/>
    </xf>
    <xf numFmtId="10" fontId="77" fillId="3" borderId="22" xfId="1" applyNumberFormat="1" applyFont="1" applyFill="1" applyBorder="1" applyAlignment="1">
      <alignment horizontal="center"/>
    </xf>
    <xf numFmtId="10" fontId="78" fillId="3" borderId="22" xfId="1" applyNumberFormat="1" applyFont="1" applyFill="1" applyBorder="1" applyAlignment="1">
      <alignment horizontal="center"/>
    </xf>
    <xf numFmtId="10" fontId="77" fillId="3" borderId="25" xfId="1" applyNumberFormat="1" applyFont="1" applyFill="1" applyBorder="1" applyAlignment="1">
      <alignment horizontal="center"/>
    </xf>
    <xf numFmtId="0" fontId="77" fillId="3" borderId="22" xfId="0" applyFont="1" applyFill="1" applyBorder="1"/>
    <xf numFmtId="0" fontId="77" fillId="3" borderId="25" xfId="0" applyFont="1" applyFill="1" applyBorder="1"/>
    <xf numFmtId="0" fontId="75" fillId="34" borderId="24" xfId="0" applyFont="1" applyFill="1" applyBorder="1" applyAlignment="1">
      <alignment horizontal="left"/>
    </xf>
    <xf numFmtId="0" fontId="75" fillId="34" borderId="35" xfId="0" applyFont="1" applyFill="1" applyBorder="1" applyAlignment="1">
      <alignment horizontal="center"/>
    </xf>
    <xf numFmtId="0" fontId="75" fillId="34" borderId="24" xfId="0" applyFont="1" applyFill="1" applyBorder="1" applyAlignment="1">
      <alignment horizontal="center"/>
    </xf>
    <xf numFmtId="0" fontId="77" fillId="3" borderId="21" xfId="0" applyFont="1" applyFill="1" applyBorder="1"/>
    <xf numFmtId="10" fontId="77" fillId="3" borderId="28" xfId="1" applyNumberFormat="1" applyFont="1" applyFill="1" applyBorder="1" applyAlignment="1">
      <alignment horizontal="center"/>
    </xf>
    <xf numFmtId="10" fontId="77" fillId="3" borderId="29" xfId="1" applyNumberFormat="1" applyFont="1" applyFill="1" applyBorder="1" applyAlignment="1">
      <alignment horizontal="center"/>
    </xf>
    <xf numFmtId="164" fontId="7" fillId="33" borderId="24" xfId="1" applyNumberFormat="1" applyFont="1" applyFill="1" applyBorder="1" applyAlignment="1">
      <alignment horizontal="center"/>
    </xf>
    <xf numFmtId="206" fontId="7" fillId="3" borderId="24" xfId="3" applyNumberFormat="1" applyFont="1" applyFill="1" applyBorder="1" applyAlignment="1">
      <alignment horizontal="center"/>
    </xf>
    <xf numFmtId="206" fontId="7" fillId="3" borderId="22" xfId="3" applyNumberFormat="1" applyFont="1" applyFill="1" applyBorder="1" applyAlignment="1">
      <alignment horizontal="center"/>
    </xf>
    <xf numFmtId="206" fontId="7" fillId="3" borderId="25" xfId="3" applyNumberFormat="1" applyFont="1" applyFill="1" applyBorder="1" applyAlignment="1">
      <alignment horizontal="center"/>
    </xf>
    <xf numFmtId="9" fontId="24" fillId="5" borderId="34" xfId="0" applyNumberFormat="1" applyFont="1" applyFill="1" applyBorder="1" applyAlignment="1">
      <alignment horizontal="left"/>
    </xf>
    <xf numFmtId="0" fontId="7" fillId="3" borderId="23" xfId="0" applyFont="1" applyFill="1" applyBorder="1"/>
    <xf numFmtId="0" fontId="7" fillId="3" borderId="26" xfId="0" applyFont="1" applyFill="1" applyBorder="1"/>
    <xf numFmtId="164" fontId="0" fillId="4" borderId="7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center"/>
    </xf>
    <xf numFmtId="164" fontId="7" fillId="4" borderId="8" xfId="1" applyNumberFormat="1" applyFont="1" applyFill="1" applyBorder="1" applyAlignment="1">
      <alignment horizontal="center"/>
    </xf>
    <xf numFmtId="164" fontId="7" fillId="4" borderId="11" xfId="1" applyNumberFormat="1" applyFont="1" applyFill="1" applyBorder="1" applyAlignment="1">
      <alignment horizontal="center"/>
    </xf>
    <xf numFmtId="164" fontId="7" fillId="3" borderId="13" xfId="1" applyNumberFormat="1" applyFont="1" applyFill="1" applyBorder="1" applyAlignment="1">
      <alignment horizontal="center"/>
    </xf>
    <xf numFmtId="164" fontId="7" fillId="3" borderId="53" xfId="1" applyNumberFormat="1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9" fontId="0" fillId="0" borderId="53" xfId="0" applyNumberFormat="1" applyBorder="1" applyAlignment="1">
      <alignment horizontal="center"/>
    </xf>
    <xf numFmtId="9" fontId="0" fillId="0" borderId="54" xfId="0" applyNumberFormat="1" applyBorder="1" applyAlignment="1">
      <alignment horizontal="center"/>
    </xf>
    <xf numFmtId="0" fontId="0" fillId="0" borderId="3" xfId="0" applyBorder="1"/>
    <xf numFmtId="0" fontId="0" fillId="0" borderId="5" xfId="0" applyBorder="1"/>
    <xf numFmtId="0" fontId="10" fillId="3" borderId="55" xfId="0" applyFont="1" applyFill="1" applyBorder="1"/>
    <xf numFmtId="164" fontId="7" fillId="3" borderId="13" xfId="1" applyNumberFormat="1" applyFont="1" applyFill="1" applyBorder="1"/>
    <xf numFmtId="164" fontId="7" fillId="3" borderId="7" xfId="1" applyNumberFormat="1" applyFont="1" applyFill="1" applyBorder="1"/>
    <xf numFmtId="0" fontId="7" fillId="3" borderId="53" xfId="0" applyFont="1" applyFill="1" applyBorder="1"/>
    <xf numFmtId="164" fontId="7" fillId="3" borderId="53" xfId="1" applyNumberFormat="1" applyFont="1" applyFill="1" applyBorder="1"/>
    <xf numFmtId="0" fontId="7" fillId="3" borderId="53" xfId="0" applyFont="1" applyFill="1" applyBorder="1" applyAlignment="1">
      <alignment horizontal="center"/>
    </xf>
    <xf numFmtId="164" fontId="7" fillId="3" borderId="55" xfId="1" applyNumberFormat="1" applyFont="1" applyFill="1" applyBorder="1" applyAlignment="1">
      <alignment horizontal="center"/>
    </xf>
    <xf numFmtId="164" fontId="7" fillId="3" borderId="53" xfId="0" applyNumberFormat="1" applyFont="1" applyFill="1" applyBorder="1" applyAlignment="1">
      <alignment horizontal="center"/>
    </xf>
    <xf numFmtId="0" fontId="7" fillId="4" borderId="54" xfId="0" applyFont="1" applyFill="1" applyBorder="1" applyAlignment="1">
      <alignment horizontal="center"/>
    </xf>
    <xf numFmtId="164" fontId="7" fillId="3" borderId="55" xfId="0" applyNumberFormat="1" applyFont="1" applyFill="1" applyBorder="1" applyAlignment="1">
      <alignment horizontal="center"/>
    </xf>
    <xf numFmtId="164" fontId="7" fillId="4" borderId="55" xfId="1" applyNumberFormat="1" applyFont="1" applyFill="1" applyBorder="1" applyAlignment="1">
      <alignment horizontal="center"/>
    </xf>
    <xf numFmtId="164" fontId="7" fillId="4" borderId="54" xfId="1" applyNumberFormat="1" applyFont="1" applyFill="1" applyBorder="1" applyAlignment="1">
      <alignment horizontal="center"/>
    </xf>
    <xf numFmtId="0" fontId="7" fillId="0" borderId="55" xfId="0" applyFont="1" applyBorder="1"/>
    <xf numFmtId="164" fontId="7" fillId="0" borderId="53" xfId="1" applyNumberFormat="1" applyFont="1" applyBorder="1" applyAlignment="1">
      <alignment horizontal="center"/>
    </xf>
    <xf numFmtId="2" fontId="7" fillId="0" borderId="55" xfId="0" applyNumberFormat="1" applyFont="1" applyBorder="1" applyAlignment="1">
      <alignment horizontal="center"/>
    </xf>
    <xf numFmtId="2" fontId="7" fillId="0" borderId="54" xfId="0" applyNumberFormat="1" applyFont="1" applyBorder="1" applyAlignment="1">
      <alignment horizontal="center"/>
    </xf>
    <xf numFmtId="164" fontId="7" fillId="0" borderId="53" xfId="0" applyNumberFormat="1" applyFont="1" applyBorder="1" applyAlignment="1">
      <alignment horizontal="center"/>
    </xf>
    <xf numFmtId="164" fontId="7" fillId="0" borderId="53" xfId="1" applyNumberFormat="1" applyFont="1" applyFill="1" applyBorder="1" applyAlignment="1">
      <alignment horizontal="center"/>
    </xf>
    <xf numFmtId="2" fontId="7" fillId="0" borderId="54" xfId="1" applyNumberFormat="1" applyFont="1" applyFill="1" applyBorder="1" applyAlignment="1">
      <alignment horizontal="center"/>
    </xf>
    <xf numFmtId="164" fontId="7" fillId="4" borderId="53" xfId="1" applyNumberFormat="1" applyFont="1" applyFill="1" applyBorder="1" applyAlignment="1">
      <alignment horizontal="center"/>
    </xf>
    <xf numFmtId="2" fontId="7" fillId="4" borderId="55" xfId="0" applyNumberFormat="1" applyFont="1" applyFill="1" applyBorder="1" applyAlignment="1">
      <alignment horizontal="center"/>
    </xf>
    <xf numFmtId="2" fontId="7" fillId="4" borderId="54" xfId="0" applyNumberFormat="1" applyFont="1" applyFill="1" applyBorder="1" applyAlignment="1">
      <alignment horizontal="center"/>
    </xf>
    <xf numFmtId="164" fontId="7" fillId="0" borderId="55" xfId="0" applyNumberFormat="1" applyFont="1" applyBorder="1" applyAlignment="1">
      <alignment horizontal="center"/>
    </xf>
    <xf numFmtId="2" fontId="7" fillId="0" borderId="55" xfId="0" applyNumberFormat="1" applyFont="1" applyFill="1" applyBorder="1" applyAlignment="1">
      <alignment horizontal="center"/>
    </xf>
    <xf numFmtId="164" fontId="7" fillId="4" borderId="0" xfId="1" applyNumberFormat="1" applyFont="1" applyFill="1" applyBorder="1" applyAlignment="1">
      <alignment horizontal="left"/>
    </xf>
    <xf numFmtId="164" fontId="7" fillId="4" borderId="54" xfId="1" applyNumberFormat="1" applyFont="1" applyFill="1" applyBorder="1" applyAlignment="1">
      <alignment horizontal="left"/>
    </xf>
    <xf numFmtId="164" fontId="7" fillId="4" borderId="42" xfId="1" applyNumberFormat="1" applyFont="1" applyFill="1" applyBorder="1" applyAlignment="1">
      <alignment horizontal="center"/>
    </xf>
    <xf numFmtId="2" fontId="7" fillId="4" borderId="42" xfId="0" applyNumberFormat="1" applyFont="1" applyFill="1" applyBorder="1" applyAlignment="1">
      <alignment horizontal="center"/>
    </xf>
    <xf numFmtId="2" fontId="7" fillId="0" borderId="6" xfId="1" applyNumberFormat="1" applyFont="1" applyFill="1" applyBorder="1" applyAlignment="1">
      <alignment horizontal="center"/>
    </xf>
    <xf numFmtId="2" fontId="7" fillId="0" borderId="55" xfId="1" applyNumberFormat="1" applyFont="1" applyFill="1" applyBorder="1" applyAlignment="1">
      <alignment horizontal="center"/>
    </xf>
    <xf numFmtId="2" fontId="7" fillId="0" borderId="42" xfId="1" applyNumberFormat="1" applyFont="1" applyFill="1" applyBorder="1" applyAlignment="1">
      <alignment horizontal="center"/>
    </xf>
    <xf numFmtId="2" fontId="7" fillId="0" borderId="42" xfId="0" applyNumberFormat="1" applyFont="1" applyBorder="1" applyAlignment="1">
      <alignment horizontal="center"/>
    </xf>
    <xf numFmtId="2" fontId="7" fillId="0" borderId="42" xfId="0" applyNumberFormat="1" applyFont="1" applyFill="1" applyBorder="1" applyAlignment="1">
      <alignment horizontal="center"/>
    </xf>
    <xf numFmtId="2" fontId="7" fillId="0" borderId="27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0" borderId="14" xfId="0" applyNumberFormat="1" applyFont="1" applyBorder="1" applyAlignment="1">
      <alignment horizontal="center"/>
    </xf>
    <xf numFmtId="0" fontId="7" fillId="3" borderId="30" xfId="0" applyFont="1" applyFill="1" applyBorder="1"/>
    <xf numFmtId="0" fontId="7" fillId="3" borderId="30" xfId="0" applyFont="1" applyFill="1" applyBorder="1" applyAlignment="1">
      <alignment horizontal="center"/>
    </xf>
    <xf numFmtId="0" fontId="0" fillId="3" borderId="27" xfId="0" applyFont="1" applyFill="1" applyBorder="1" applyAlignment="1">
      <alignment horizontal="center"/>
    </xf>
    <xf numFmtId="0" fontId="0" fillId="3" borderId="17" xfId="0" applyFont="1" applyFill="1" applyBorder="1" applyAlignment="1">
      <alignment horizontal="center"/>
    </xf>
    <xf numFmtId="0" fontId="0" fillId="3" borderId="14" xfId="0" applyFont="1" applyFill="1" applyBorder="1" applyAlignment="1">
      <alignment horizontal="center"/>
    </xf>
    <xf numFmtId="0" fontId="10" fillId="3" borderId="0" xfId="0" applyFont="1" applyFill="1" applyBorder="1" applyAlignment="1">
      <alignment horizontal="center"/>
    </xf>
    <xf numFmtId="2" fontId="9" fillId="0" borderId="14" xfId="2" applyNumberFormat="1" applyFont="1" applyFill="1" applyBorder="1" applyAlignment="1">
      <alignment horizontal="center"/>
    </xf>
    <xf numFmtId="2" fontId="9" fillId="0" borderId="27" xfId="2" applyNumberFormat="1" applyFont="1" applyFill="1" applyBorder="1" applyAlignment="1">
      <alignment horizontal="center"/>
    </xf>
    <xf numFmtId="0" fontId="0" fillId="0" borderId="27" xfId="0" applyBorder="1" applyAlignment="1"/>
    <xf numFmtId="0" fontId="0" fillId="0" borderId="17" xfId="0" applyBorder="1" applyAlignment="1"/>
    <xf numFmtId="0" fontId="7" fillId="0" borderId="14" xfId="0" applyFont="1" applyBorder="1" applyAlignment="1">
      <alignment horizontal="center"/>
    </xf>
    <xf numFmtId="0" fontId="7" fillId="0" borderId="27" xfId="0" applyFont="1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7" xfId="0" applyBorder="1" applyAlignment="1">
      <alignment horizontal="center"/>
    </xf>
    <xf numFmtId="0" fontId="9" fillId="3" borderId="14" xfId="0" applyFont="1" applyFill="1" applyBorder="1" applyAlignment="1">
      <alignment horizontal="center"/>
    </xf>
    <xf numFmtId="0" fontId="9" fillId="3" borderId="15" xfId="0" applyFont="1" applyFill="1" applyBorder="1" applyAlignment="1">
      <alignment horizontal="center"/>
    </xf>
    <xf numFmtId="0" fontId="9" fillId="3" borderId="16" xfId="0" applyFont="1" applyFill="1" applyBorder="1" applyAlignment="1">
      <alignment horizontal="center"/>
    </xf>
    <xf numFmtId="0" fontId="9" fillId="3" borderId="17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6" fillId="0" borderId="21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6" fillId="0" borderId="29" xfId="0" applyFont="1" applyBorder="1" applyAlignment="1">
      <alignment horizontal="center"/>
    </xf>
    <xf numFmtId="0" fontId="25" fillId="5" borderId="21" xfId="0" applyFont="1" applyFill="1" applyBorder="1" applyAlignment="1">
      <alignment horizontal="center"/>
    </xf>
    <xf numFmtId="0" fontId="25" fillId="5" borderId="28" xfId="0" applyFont="1" applyFill="1" applyBorder="1" applyAlignment="1">
      <alignment horizontal="center"/>
    </xf>
    <xf numFmtId="0" fontId="25" fillId="5" borderId="29" xfId="0" applyFont="1" applyFill="1" applyBorder="1" applyAlignment="1">
      <alignment horizontal="center"/>
    </xf>
    <xf numFmtId="164" fontId="8" fillId="4" borderId="6" xfId="1" applyNumberFormat="1" applyFont="1" applyFill="1" applyBorder="1" applyAlignment="1">
      <alignment horizontal="center"/>
    </xf>
    <xf numFmtId="164" fontId="8" fillId="4" borderId="14" xfId="1" applyNumberFormat="1" applyFont="1" applyFill="1" applyBorder="1" applyAlignment="1">
      <alignment horizontal="center"/>
    </xf>
    <xf numFmtId="164" fontId="8" fillId="4" borderId="27" xfId="1" applyNumberFormat="1" applyFont="1" applyFill="1" applyBorder="1" applyAlignment="1">
      <alignment horizontal="center"/>
    </xf>
    <xf numFmtId="164" fontId="8" fillId="4" borderId="0" xfId="1" applyNumberFormat="1" applyFont="1" applyFill="1" applyBorder="1" applyAlignment="1">
      <alignment horizontal="center"/>
    </xf>
    <xf numFmtId="164" fontId="8" fillId="4" borderId="0" xfId="1" applyNumberFormat="1" applyFont="1" applyFill="1" applyBorder="1" applyAlignment="1">
      <alignment horizontal="left"/>
    </xf>
    <xf numFmtId="164" fontId="8" fillId="3" borderId="6" xfId="0" applyNumberFormat="1" applyFont="1" applyFill="1" applyBorder="1" applyAlignment="1">
      <alignment horizontal="center"/>
    </xf>
    <xf numFmtId="164" fontId="8" fillId="3" borderId="7" xfId="1" applyNumberFormat="1" applyFont="1" applyFill="1" applyBorder="1" applyAlignment="1">
      <alignment horizontal="center"/>
    </xf>
    <xf numFmtId="208" fontId="0" fillId="3" borderId="0" xfId="3" applyNumberFormat="1" applyFont="1" applyFill="1"/>
  </cellXfs>
  <cellStyles count="7600">
    <cellStyle name="_x000d__x000a_JournalTemplate=C:\COMFO\CTALK\JOURSTD.TPL_x000d__x000a_LbStateAddress=3 3 0 251 1 89 2 311_x000d__x000a_LbStateJou" xfId="3859"/>
    <cellStyle name="_%(SignOnly)" xfId="6"/>
    <cellStyle name="_%(SignOnly) 2" xfId="2393"/>
    <cellStyle name="_%(SignOnly) 3" xfId="1322"/>
    <cellStyle name="_%(SignSpaceOnly)" xfId="7"/>
    <cellStyle name="_%(SignSpaceOnly) 2" xfId="2394"/>
    <cellStyle name="_%(SignSpaceOnly) 3" xfId="1323"/>
    <cellStyle name="_beleggingen" xfId="3858"/>
    <cellStyle name="_Comma" xfId="8"/>
    <cellStyle name="_Comma 2" xfId="2395"/>
    <cellStyle name="_Comma 3" xfId="1324"/>
    <cellStyle name="_Currency" xfId="9"/>
    <cellStyle name="_Currency 2" xfId="2396"/>
    <cellStyle name="_Currency 3" xfId="1325"/>
    <cellStyle name="_Currency_03 Kapan Gexa Model - 10Feb06 - Base Case 50% + Credit II" xfId="10"/>
    <cellStyle name="_Currency_03 Kapan Gexa Model - 10Feb06 - Base Case 50% + Credit II 2" xfId="2397"/>
    <cellStyle name="_Currency_03 Kapan Gexa Model - 10Feb06 - Base Case 50% + Credit II 3" xfId="1326"/>
    <cellStyle name="_Currency_03 Kapan Gexa Model - 10Feb06 - Base Case 50% + Credit II_3" xfId="11"/>
    <cellStyle name="_Currency_03 Kapan Gexa Model - 10Feb06 - Base Case 50% + Credit II_3 2" xfId="2398"/>
    <cellStyle name="_Currency_03 Kapan Gexa Model - 10Feb06 - Base Case 50% + Credit II_3 3" xfId="1327"/>
    <cellStyle name="_Currency_03 Kapan Gexa Model - 10Feb06 - Base Case 50% + Credit II_3_dv01" xfId="12"/>
    <cellStyle name="_Currency_03 Kapan Gexa Model - 10Feb06 - Base Case 50% + Credit II_3_dv01 2" xfId="2399"/>
    <cellStyle name="_Currency_03 Kapan Gexa Model - 10Feb06 - Base Case 50% + Credit II_3_dv01 3" xfId="1328"/>
    <cellStyle name="_Currency_03 Kapan Gexa Model - 10Feb06 - Base Case 50% + Credit II_4" xfId="13"/>
    <cellStyle name="_Currency_03 Kapan Gexa Model - 10Feb06 - Base Case 50% + Credit II_4 2" xfId="2400"/>
    <cellStyle name="_Currency_03 Kapan Gexa Model - 10Feb06 - Base Case 50% + Credit II_4 3" xfId="1329"/>
    <cellStyle name="_Currency_03 Kapan Gexa Model - 10Feb06 - Base Case 50% + Credit II_4_dv01" xfId="14"/>
    <cellStyle name="_Currency_03 Kapan Gexa Model - 10Feb06 - Base Case 50% + Credit II_4_dv01 2" xfId="2401"/>
    <cellStyle name="_Currency_03 Kapan Gexa Model - 10Feb06 - Base Case 50% + Credit II_4_dv01 3" xfId="1330"/>
    <cellStyle name="_Currency_03 Kapan Gexa Model - 10Feb06 - Base Case 50% + Credit II_Anker 2008Q4 concept" xfId="15"/>
    <cellStyle name="_Currency_03 Kapan Gexa Model - 10Feb06 - Base Case 50% + Credit II_Anker 2008Q4 concept 2" xfId="2402"/>
    <cellStyle name="_Currency_03 Kapan Gexa Model - 10Feb06 - Base Case 50% + Credit II_Anker 2008Q4 concept 3" xfId="1331"/>
    <cellStyle name="_Currency_03 Kapan Gexa Model - 10Feb06 - Base Case 50% + Credit II_fundrapport" xfId="16"/>
    <cellStyle name="_Currency_03 Kapan Gexa Model - 10Feb06 - Base Case 50% + Credit II_fundrapport 2" xfId="2403"/>
    <cellStyle name="_Currency_03 Kapan Gexa Model - 10Feb06 - Base Case 50% + Credit II_fundrapport 3" xfId="1332"/>
    <cellStyle name="_Currency_03 Kapan Gexa Model - 10Feb06 - Base Case 50% + Credit II_inj&amp;withdr toelichting hard" xfId="17"/>
    <cellStyle name="_Currency_03 Kapan Gexa Model - 10Feb06 - Base Case 50% + Credit II_inj&amp;withdr toelichting hard 2" xfId="2404"/>
    <cellStyle name="_Currency_03 Kapan Gexa Model - 10Feb06 - Base Case 50% + Credit II_inj&amp;withdr toelichting hard 3" xfId="1333"/>
    <cellStyle name="_Currency_03 Kapan Gexa Model - 10Feb06 - Base Case 50% + Credit II_inj&amp;withdr toelichting hard_dv01" xfId="18"/>
    <cellStyle name="_Currency_03 Kapan Gexa Model - 10Feb06 - Base Case 50% + Credit II_inj&amp;withdr toelichting hard_dv01 2" xfId="2405"/>
    <cellStyle name="_Currency_03 Kapan Gexa Model - 10Feb06 - Base Case 50% + Credit II_inj&amp;withdr toelichting hard_dv01 3" xfId="1334"/>
    <cellStyle name="_Currency_050407 Inflation republic" xfId="19"/>
    <cellStyle name="_Currency_050407 Inflation republic 2" xfId="2406"/>
    <cellStyle name="_Currency_050407 Inflation republic 3" xfId="1335"/>
    <cellStyle name="_Currency_050407 Inflation republic_3" xfId="20"/>
    <cellStyle name="_Currency_050407 Inflation republic_3 2" xfId="2407"/>
    <cellStyle name="_Currency_050407 Inflation republic_3 3" xfId="1336"/>
    <cellStyle name="_Currency_050407 Inflation republic_3_dv01" xfId="21"/>
    <cellStyle name="_Currency_050407 Inflation republic_3_dv01 2" xfId="2408"/>
    <cellStyle name="_Currency_050407 Inflation republic_3_dv01 3" xfId="1337"/>
    <cellStyle name="_Currency_050407 Inflation republic_4" xfId="22"/>
    <cellStyle name="_Currency_050407 Inflation republic_4 2" xfId="2409"/>
    <cellStyle name="_Currency_050407 Inflation republic_4 3" xfId="1338"/>
    <cellStyle name="_Currency_050407 Inflation republic_4_dv01" xfId="23"/>
    <cellStyle name="_Currency_050407 Inflation republic_4_dv01 2" xfId="2410"/>
    <cellStyle name="_Currency_050407 Inflation republic_4_dv01 3" xfId="1339"/>
    <cellStyle name="_Currency_050407 Inflation republic_Anker 2008Q4 concept" xfId="24"/>
    <cellStyle name="_Currency_050407 Inflation republic_Anker 2008Q4 concept 2" xfId="2411"/>
    <cellStyle name="_Currency_050407 Inflation republic_Anker 2008Q4 concept 3" xfId="1340"/>
    <cellStyle name="_Currency_050407 Inflation republic_fundrapport" xfId="25"/>
    <cellStyle name="_Currency_050407 Inflation republic_fundrapport 2" xfId="2412"/>
    <cellStyle name="_Currency_050407 Inflation republic_fundrapport 3" xfId="1341"/>
    <cellStyle name="_Currency_050407 Inflation republic_inj&amp;withdr toelichting hard" xfId="26"/>
    <cellStyle name="_Currency_050407 Inflation republic_inj&amp;withdr toelichting hard 2" xfId="2413"/>
    <cellStyle name="_Currency_050407 Inflation republic_inj&amp;withdr toelichting hard 3" xfId="1342"/>
    <cellStyle name="_Currency_050407 Inflation republic_inj&amp;withdr toelichting hard_dv01" xfId="27"/>
    <cellStyle name="_Currency_050407 Inflation republic_inj&amp;withdr toelichting hard_dv01 2" xfId="2414"/>
    <cellStyle name="_Currency_050407 Inflation republic_inj&amp;withdr toelichting hard_dv01 3" xfId="1343"/>
    <cellStyle name="_Currency_050407 Inflation republic_Liability Cashflows" xfId="28"/>
    <cellStyle name="_Currency_050407 Inflation republic_Liability Cashflows 2" xfId="2415"/>
    <cellStyle name="_Currency_050407 Inflation republic_Liability Cashflows 3" xfId="1344"/>
    <cellStyle name="_Currency_050407 Inflation republic_Liability Cashflows_actuate" xfId="29"/>
    <cellStyle name="_Currency_050407 Inflation republic_Liability Cashflows_actuate 2" xfId="2416"/>
    <cellStyle name="_Currency_050407 Inflation republic_Liability Cashflows_actuate 3" xfId="1345"/>
    <cellStyle name="_Currency_050407 Inflation republic_Liability Cashflows_dv01" xfId="30"/>
    <cellStyle name="_Currency_050407 Inflation republic_Liability Cashflows_dv01 2" xfId="2417"/>
    <cellStyle name="_Currency_050407 Inflation republic_Liability Cashflows_dv01 3" xfId="1346"/>
    <cellStyle name="_Currency_3" xfId="31"/>
    <cellStyle name="_Currency_3 2" xfId="2418"/>
    <cellStyle name="_Currency_3 3" xfId="1347"/>
    <cellStyle name="_Currency_3_dv01" xfId="32"/>
    <cellStyle name="_Currency_3_dv01 2" xfId="2419"/>
    <cellStyle name="_Currency_3_dv01 3" xfId="1348"/>
    <cellStyle name="_Currency_4" xfId="33"/>
    <cellStyle name="_Currency_4 2" xfId="2420"/>
    <cellStyle name="_Currency_4 3" xfId="1349"/>
    <cellStyle name="_Currency_4_dv01" xfId="34"/>
    <cellStyle name="_Currency_4_dv01 2" xfId="2421"/>
    <cellStyle name="_Currency_4_dv01 3" xfId="1350"/>
    <cellStyle name="_Currency_allocatie" xfId="35"/>
    <cellStyle name="_Currency_allocatie 2" xfId="2422"/>
    <cellStyle name="_Currency_allocatie 3" xfId="1351"/>
    <cellStyle name="_Currency_allocatie_actuate" xfId="36"/>
    <cellStyle name="_Currency_allocatie_actuate 2" xfId="2423"/>
    <cellStyle name="_Currency_allocatie_actuate 3" xfId="1352"/>
    <cellStyle name="_Currency_allocatie_dv01" xfId="37"/>
    <cellStyle name="_Currency_allocatie_dv01 2" xfId="2424"/>
    <cellStyle name="_Currency_allocatie_dv01 3" xfId="1353"/>
    <cellStyle name="_Currency_ALM" xfId="38"/>
    <cellStyle name="_Currency_ALM 2" xfId="2425"/>
    <cellStyle name="_Currency_ALM 3" xfId="1354"/>
    <cellStyle name="_Currency_ALM_3" xfId="39"/>
    <cellStyle name="_Currency_ALM_3 2" xfId="2426"/>
    <cellStyle name="_Currency_ALM_3 3" xfId="1355"/>
    <cellStyle name="_Currency_ALM_3_dv01" xfId="40"/>
    <cellStyle name="_Currency_ALM_3_dv01 2" xfId="2427"/>
    <cellStyle name="_Currency_ALM_3_dv01 3" xfId="1356"/>
    <cellStyle name="_Currency_ALM_4" xfId="41"/>
    <cellStyle name="_Currency_ALM_4 2" xfId="2428"/>
    <cellStyle name="_Currency_ALM_4 3" xfId="1357"/>
    <cellStyle name="_Currency_ALM_4_dv01" xfId="42"/>
    <cellStyle name="_Currency_ALM_4_dv01 2" xfId="2429"/>
    <cellStyle name="_Currency_ALM_4_dv01 3" xfId="1358"/>
    <cellStyle name="_Currency_ALM_Anker 2008Q4 concept" xfId="43"/>
    <cellStyle name="_Currency_ALM_Anker 2008Q4 concept 2" xfId="2430"/>
    <cellStyle name="_Currency_ALM_Anker 2008Q4 concept 3" xfId="1359"/>
    <cellStyle name="_Currency_ALM_fundrapport" xfId="44"/>
    <cellStyle name="_Currency_ALM_fundrapport 2" xfId="2431"/>
    <cellStyle name="_Currency_ALM_fundrapport 3" xfId="1360"/>
    <cellStyle name="_Currency_ALM_inj&amp;withdr toelichting hard" xfId="45"/>
    <cellStyle name="_Currency_ALM_inj&amp;withdr toelichting hard 2" xfId="2432"/>
    <cellStyle name="_Currency_ALM_inj&amp;withdr toelichting hard 3" xfId="1361"/>
    <cellStyle name="_Currency_ALM_inj&amp;withdr toelichting hard_dv01" xfId="46"/>
    <cellStyle name="_Currency_ALM_inj&amp;withdr toelichting hard_dv01 2" xfId="2433"/>
    <cellStyle name="_Currency_ALM_inj&amp;withdr toelichting hard_dv01 3" xfId="1362"/>
    <cellStyle name="_Currency_Anker 2008Q4 concept" xfId="47"/>
    <cellStyle name="_Currency_Anker 2008Q4 concept 2" xfId="2434"/>
    <cellStyle name="_Currency_Anker 2008Q4 concept 3" xfId="1363"/>
    <cellStyle name="_Currency_Asset Cashflows" xfId="48"/>
    <cellStyle name="_Currency_Asset Cashflows 2" xfId="2435"/>
    <cellStyle name="_Currency_Asset Cashflows 3" xfId="1364"/>
    <cellStyle name="_Currency_Asset Cashflows_actuate" xfId="49"/>
    <cellStyle name="_Currency_Asset Cashflows_actuate 2" xfId="2436"/>
    <cellStyle name="_Currency_Asset Cashflows_actuate 3" xfId="1365"/>
    <cellStyle name="_Currency_Asset Cashflows_dv01" xfId="50"/>
    <cellStyle name="_Currency_Asset Cashflows_dv01 2" xfId="2437"/>
    <cellStyle name="_Currency_Asset Cashflows_dv01 3" xfId="1366"/>
    <cellStyle name="_Currency_Asset Path Generator - Credit v2" xfId="51"/>
    <cellStyle name="_Currency_Asset Path Generator - Credit v2 2" xfId="2438"/>
    <cellStyle name="_Currency_Asset Path Generator - Credit v2 3" xfId="1367"/>
    <cellStyle name="_Currency_Asset Path Generator - Credit v2_3" xfId="52"/>
    <cellStyle name="_Currency_Asset Path Generator - Credit v2_3 2" xfId="2439"/>
    <cellStyle name="_Currency_Asset Path Generator - Credit v2_3 3" xfId="1368"/>
    <cellStyle name="_Currency_Asset Path Generator - Credit v2_3_dv01" xfId="53"/>
    <cellStyle name="_Currency_Asset Path Generator - Credit v2_3_dv01 2" xfId="2440"/>
    <cellStyle name="_Currency_Asset Path Generator - Credit v2_3_dv01 3" xfId="1369"/>
    <cellStyle name="_Currency_Asset Path Generator - Credit v2_4" xfId="54"/>
    <cellStyle name="_Currency_Asset Path Generator - Credit v2_4 2" xfId="2441"/>
    <cellStyle name="_Currency_Asset Path Generator - Credit v2_4 3" xfId="1370"/>
    <cellStyle name="_Currency_Asset Path Generator - Credit v2_4_dv01" xfId="55"/>
    <cellStyle name="_Currency_Asset Path Generator - Credit v2_4_dv01 2" xfId="2442"/>
    <cellStyle name="_Currency_Asset Path Generator - Credit v2_4_dv01 3" xfId="1371"/>
    <cellStyle name="_Currency_Asset Path Generator - Credit v2_Anker 2008Q4 concept" xfId="56"/>
    <cellStyle name="_Currency_Asset Path Generator - Credit v2_Anker 2008Q4 concept 2" xfId="2443"/>
    <cellStyle name="_Currency_Asset Path Generator - Credit v2_Anker 2008Q4 concept 3" xfId="1372"/>
    <cellStyle name="_Currency_Asset Path Generator - Credit v2_fundrapport" xfId="57"/>
    <cellStyle name="_Currency_Asset Path Generator - Credit v2_fundrapport 2" xfId="2444"/>
    <cellStyle name="_Currency_Asset Path Generator - Credit v2_fundrapport 3" xfId="1373"/>
    <cellStyle name="_Currency_Asset Path Generator - Credit v2_inj&amp;withdr toelichting hard" xfId="58"/>
    <cellStyle name="_Currency_Asset Path Generator - Credit v2_inj&amp;withdr toelichting hard 2" xfId="2445"/>
    <cellStyle name="_Currency_Asset Path Generator - Credit v2_inj&amp;withdr toelichting hard 3" xfId="1374"/>
    <cellStyle name="_Currency_Asset Path Generator - Credit v2_inj&amp;withdr toelichting hard_dv01" xfId="59"/>
    <cellStyle name="_Currency_Asset Path Generator - Credit v2_inj&amp;withdr toelichting hard_dv01 2" xfId="2446"/>
    <cellStyle name="_Currency_Asset Path Generator - Credit v2_inj&amp;withdr toelichting hard_dv01 3" xfId="1375"/>
    <cellStyle name="_Currency_Asset Returns" xfId="60"/>
    <cellStyle name="_Currency_Asset Returns 2" xfId="2447"/>
    <cellStyle name="_Currency_Asset Returns 3" xfId="1376"/>
    <cellStyle name="_Currency_Asset Returns_3" xfId="61"/>
    <cellStyle name="_Currency_Asset Returns_3 2" xfId="2448"/>
    <cellStyle name="_Currency_Asset Returns_3 3" xfId="1377"/>
    <cellStyle name="_Currency_Asset Returns_3_dv01" xfId="62"/>
    <cellStyle name="_Currency_Asset Returns_3_dv01 2" xfId="2449"/>
    <cellStyle name="_Currency_Asset Returns_3_dv01 3" xfId="1378"/>
    <cellStyle name="_Currency_Asset Returns_4" xfId="63"/>
    <cellStyle name="_Currency_Asset Returns_4 2" xfId="2450"/>
    <cellStyle name="_Currency_Asset Returns_4 3" xfId="1379"/>
    <cellStyle name="_Currency_Asset Returns_4_dv01" xfId="64"/>
    <cellStyle name="_Currency_Asset Returns_4_dv01 2" xfId="2451"/>
    <cellStyle name="_Currency_Asset Returns_4_dv01 3" xfId="1380"/>
    <cellStyle name="_Currency_Asset Returns_Anker 2008Q4 concept" xfId="65"/>
    <cellStyle name="_Currency_Asset Returns_Anker 2008Q4 concept 2" xfId="2452"/>
    <cellStyle name="_Currency_Asset Returns_Anker 2008Q4 concept 3" xfId="1381"/>
    <cellStyle name="_Currency_Asset Returns_fundrapport" xfId="66"/>
    <cellStyle name="_Currency_Asset Returns_fundrapport 2" xfId="2453"/>
    <cellStyle name="_Currency_Asset Returns_fundrapport 3" xfId="1382"/>
    <cellStyle name="_Currency_Asset Returns_inj&amp;withdr toelichting hard" xfId="67"/>
    <cellStyle name="_Currency_Asset Returns_inj&amp;withdr toelichting hard 2" xfId="2454"/>
    <cellStyle name="_Currency_Asset Returns_inj&amp;withdr toelichting hard 3" xfId="1383"/>
    <cellStyle name="_Currency_Asset Returns_inj&amp;withdr toelichting hard_dv01" xfId="68"/>
    <cellStyle name="_Currency_Asset Returns_inj&amp;withdr toelichting hard_dv01 2" xfId="2455"/>
    <cellStyle name="_Currency_Asset Returns_inj&amp;withdr toelichting hard_dv01 3" xfId="1384"/>
    <cellStyle name="_Currency_Aug 09 position" xfId="69"/>
    <cellStyle name="_Currency_Aug 09 position 2" xfId="2456"/>
    <cellStyle name="_Currency_Aug 09 position 3" xfId="1385"/>
    <cellStyle name="_Currency_Aug 09 position_3" xfId="70"/>
    <cellStyle name="_Currency_Aug 09 position_3 2" xfId="2457"/>
    <cellStyle name="_Currency_Aug 09 position_3 3" xfId="1386"/>
    <cellStyle name="_Currency_Aug 09 position_3_dv01" xfId="71"/>
    <cellStyle name="_Currency_Aug 09 position_3_dv01 2" xfId="2458"/>
    <cellStyle name="_Currency_Aug 09 position_3_dv01 3" xfId="1387"/>
    <cellStyle name="_Currency_Aug 09 position_4" xfId="72"/>
    <cellStyle name="_Currency_Aug 09 position_4 2" xfId="2459"/>
    <cellStyle name="_Currency_Aug 09 position_4 3" xfId="1388"/>
    <cellStyle name="_Currency_Aug 09 position_4_dv01" xfId="73"/>
    <cellStyle name="_Currency_Aug 09 position_4_dv01 2" xfId="2460"/>
    <cellStyle name="_Currency_Aug 09 position_4_dv01 3" xfId="1389"/>
    <cellStyle name="_Currency_Aug 09 position_Anker 2008Q4 concept" xfId="74"/>
    <cellStyle name="_Currency_Aug 09 position_Anker 2008Q4 concept 2" xfId="2461"/>
    <cellStyle name="_Currency_Aug 09 position_Anker 2008Q4 concept 3" xfId="1390"/>
    <cellStyle name="_Currency_Aug 09 position_fundrapport" xfId="75"/>
    <cellStyle name="_Currency_Aug 09 position_fundrapport 2" xfId="2462"/>
    <cellStyle name="_Currency_Aug 09 position_fundrapport 3" xfId="1391"/>
    <cellStyle name="_Currency_Aug 09 position_inj&amp;withdr toelichting hard" xfId="76"/>
    <cellStyle name="_Currency_Aug 09 position_inj&amp;withdr toelichting hard 2" xfId="2463"/>
    <cellStyle name="_Currency_Aug 09 position_inj&amp;withdr toelichting hard 3" xfId="1392"/>
    <cellStyle name="_Currency_Aug 09 position_inj&amp;withdr toelichting hard_dv01" xfId="77"/>
    <cellStyle name="_Currency_Aug 09 position_inj&amp;withdr toelichting hard_dv01 2" xfId="2464"/>
    <cellStyle name="_Currency_Aug 09 position_inj&amp;withdr toelichting hard_dv01 3" xfId="1393"/>
    <cellStyle name="_Currency_AutoCalib Gexa4" xfId="78"/>
    <cellStyle name="_Currency_AutoCalib Gexa4 2" xfId="2465"/>
    <cellStyle name="_Currency_AutoCalib Gexa4 3" xfId="1394"/>
    <cellStyle name="_Currency_AutoCalib Gexa4_3" xfId="79"/>
    <cellStyle name="_Currency_AutoCalib Gexa4_3 2" xfId="2466"/>
    <cellStyle name="_Currency_AutoCalib Gexa4_3 3" xfId="1395"/>
    <cellStyle name="_Currency_AutoCalib Gexa4_3_dv01" xfId="80"/>
    <cellStyle name="_Currency_AutoCalib Gexa4_3_dv01 2" xfId="2467"/>
    <cellStyle name="_Currency_AutoCalib Gexa4_3_dv01 3" xfId="1396"/>
    <cellStyle name="_Currency_AutoCalib Gexa4_4" xfId="81"/>
    <cellStyle name="_Currency_AutoCalib Gexa4_4 2" xfId="2468"/>
    <cellStyle name="_Currency_AutoCalib Gexa4_4 3" xfId="1397"/>
    <cellStyle name="_Currency_AutoCalib Gexa4_4_dv01" xfId="82"/>
    <cellStyle name="_Currency_AutoCalib Gexa4_4_dv01 2" xfId="2469"/>
    <cellStyle name="_Currency_AutoCalib Gexa4_4_dv01 3" xfId="1398"/>
    <cellStyle name="_Currency_AutoCalib Gexa4_Anker 2008Q4 concept" xfId="83"/>
    <cellStyle name="_Currency_AutoCalib Gexa4_Anker 2008Q4 concept 2" xfId="2470"/>
    <cellStyle name="_Currency_AutoCalib Gexa4_Anker 2008Q4 concept 3" xfId="1399"/>
    <cellStyle name="_Currency_AutoCalib Gexa4_fundrapport" xfId="84"/>
    <cellStyle name="_Currency_AutoCalib Gexa4_fundrapport 2" xfId="2471"/>
    <cellStyle name="_Currency_AutoCalib Gexa4_fundrapport 3" xfId="1400"/>
    <cellStyle name="_Currency_AutoCalib Gexa4_inj&amp;withdr toelichting hard" xfId="85"/>
    <cellStyle name="_Currency_AutoCalib Gexa4_inj&amp;withdr toelichting hard 2" xfId="2472"/>
    <cellStyle name="_Currency_AutoCalib Gexa4_inj&amp;withdr toelichting hard 3" xfId="1401"/>
    <cellStyle name="_Currency_AutoCalib Gexa4_inj&amp;withdr toelichting hard_dv01" xfId="86"/>
    <cellStyle name="_Currency_AutoCalib Gexa4_inj&amp;withdr toelichting hard_dv01 2" xfId="2473"/>
    <cellStyle name="_Currency_AutoCalib Gexa4_inj&amp;withdr toelichting hard_dv01 3" xfId="1402"/>
    <cellStyle name="_Currency_Banks v3" xfId="87"/>
    <cellStyle name="_Currency_Banks v3 2" xfId="2474"/>
    <cellStyle name="_Currency_Banks v3 3" xfId="1403"/>
    <cellStyle name="_Currency_Banks v3_3" xfId="88"/>
    <cellStyle name="_Currency_Banks v3_3 2" xfId="2475"/>
    <cellStyle name="_Currency_Banks v3_3 3" xfId="1404"/>
    <cellStyle name="_Currency_Banks v3_3_dv01" xfId="89"/>
    <cellStyle name="_Currency_Banks v3_3_dv01 2" xfId="2476"/>
    <cellStyle name="_Currency_Banks v3_3_dv01 3" xfId="1405"/>
    <cellStyle name="_Currency_Banks v3_4" xfId="90"/>
    <cellStyle name="_Currency_Banks v3_4 2" xfId="2477"/>
    <cellStyle name="_Currency_Banks v3_4 3" xfId="1406"/>
    <cellStyle name="_Currency_Banks v3_4_dv01" xfId="91"/>
    <cellStyle name="_Currency_Banks v3_4_dv01 2" xfId="2478"/>
    <cellStyle name="_Currency_Banks v3_4_dv01 3" xfId="1407"/>
    <cellStyle name="_Currency_Banks v3_Anker 2008Q4 concept" xfId="92"/>
    <cellStyle name="_Currency_Banks v3_Anker 2008Q4 concept 2" xfId="2479"/>
    <cellStyle name="_Currency_Banks v3_Anker 2008Q4 concept 3" xfId="1408"/>
    <cellStyle name="_Currency_Banks v3_fundrapport" xfId="93"/>
    <cellStyle name="_Currency_Banks v3_fundrapport 2" xfId="2480"/>
    <cellStyle name="_Currency_Banks v3_fundrapport 3" xfId="1409"/>
    <cellStyle name="_Currency_Banks v3_inj&amp;withdr toelichting hard" xfId="94"/>
    <cellStyle name="_Currency_Banks v3_inj&amp;withdr toelichting hard 2" xfId="2481"/>
    <cellStyle name="_Currency_Banks v3_inj&amp;withdr toelichting hard 3" xfId="1410"/>
    <cellStyle name="_Currency_Banks v3_inj&amp;withdr toelichting hard_dv01" xfId="95"/>
    <cellStyle name="_Currency_Banks v3_inj&amp;withdr toelichting hard_dv01 2" xfId="2482"/>
    <cellStyle name="_Currency_Banks v3_inj&amp;withdr toelichting hard_dv01 3" xfId="1411"/>
    <cellStyle name="_Currency_Bermuda PV check 10nc5" xfId="96"/>
    <cellStyle name="_Currency_Bermuda PV check 10nc5 2" xfId="2483"/>
    <cellStyle name="_Currency_Bermuda PV check 10nc5 3" xfId="1412"/>
    <cellStyle name="_Currency_Bermuda PV check 10nc5_01 Sweden Gexa Model - Master Version" xfId="97"/>
    <cellStyle name="_Currency_Bermuda PV check 10nc5_01 Sweden Gexa Model - Master Version 2" xfId="2484"/>
    <cellStyle name="_Currency_Bermuda PV check 10nc5_01 Sweden Gexa Model - Master Version 3" xfId="1413"/>
    <cellStyle name="_Currency_Bermuda PV check 10nc5_01 Sweden Gexa Model - Master Version_actuate" xfId="98"/>
    <cellStyle name="_Currency_Bermuda PV check 10nc5_01 Sweden Gexa Model - Master Version_actuate 2" xfId="2485"/>
    <cellStyle name="_Currency_Bermuda PV check 10nc5_01 Sweden Gexa Model - Master Version_actuate 3" xfId="1414"/>
    <cellStyle name="_Currency_Bermuda PV check 10nc5_01 Sweden Gexa Model - Master Version_dv01" xfId="99"/>
    <cellStyle name="_Currency_Bermuda PV check 10nc5_01 Sweden Gexa Model - Master Version_dv01 2" xfId="2486"/>
    <cellStyle name="_Currency_Bermuda PV check 10nc5_01 Sweden Gexa Model - Master Version_dv01 3" xfId="1415"/>
    <cellStyle name="_Currency_Bermuda PV check 10nc5_3" xfId="100"/>
    <cellStyle name="_Currency_Bermuda PV check 10nc5_3 2" xfId="2487"/>
    <cellStyle name="_Currency_Bermuda PV check 10nc5_3 3" xfId="1416"/>
    <cellStyle name="_Currency_Bermuda PV check 10nc5_3_dv01" xfId="101"/>
    <cellStyle name="_Currency_Bermuda PV check 10nc5_3_dv01 2" xfId="2488"/>
    <cellStyle name="_Currency_Bermuda PV check 10nc5_3_dv01 3" xfId="1417"/>
    <cellStyle name="_Currency_Bermuda PV check 10nc5_4" xfId="102"/>
    <cellStyle name="_Currency_Bermuda PV check 10nc5_4 2" xfId="2489"/>
    <cellStyle name="_Currency_Bermuda PV check 10nc5_4 3" xfId="1418"/>
    <cellStyle name="_Currency_Bermuda PV check 10nc5_4_dv01" xfId="103"/>
    <cellStyle name="_Currency_Bermuda PV check 10nc5_4_dv01 2" xfId="2490"/>
    <cellStyle name="_Currency_Bermuda PV check 10nc5_4_dv01 3" xfId="1419"/>
    <cellStyle name="_Currency_Bermuda PV check 10nc5_Anker 2008Q4 concept" xfId="104"/>
    <cellStyle name="_Currency_Bermuda PV check 10nc5_Anker 2008Q4 concept 2" xfId="2491"/>
    <cellStyle name="_Currency_Bermuda PV check 10nc5_Anker 2008Q4 concept 3" xfId="1420"/>
    <cellStyle name="_Currency_Bermuda PV check 10nc5_fundrapport" xfId="105"/>
    <cellStyle name="_Currency_Bermuda PV check 10nc5_fundrapport 2" xfId="2492"/>
    <cellStyle name="_Currency_Bermuda PV check 10nc5_fundrapport 3" xfId="1421"/>
    <cellStyle name="_Currency_Bermuda PV check 10nc5_inj&amp;withdr toelichting hard" xfId="106"/>
    <cellStyle name="_Currency_Bermuda PV check 10nc5_inj&amp;withdr toelichting hard 2" xfId="2493"/>
    <cellStyle name="_Currency_Bermuda PV check 10nc5_inj&amp;withdr toelichting hard 3" xfId="1422"/>
    <cellStyle name="_Currency_Bermuda PV check 10nc5_inj&amp;withdr toelichting hard_dv01" xfId="107"/>
    <cellStyle name="_Currency_Bermuda PV check 10nc5_inj&amp;withdr toelichting hard_dv01 2" xfId="2494"/>
    <cellStyle name="_Currency_Bermuda PV check 10nc5_inj&amp;withdr toelichting hard_dv01 3" xfId="1423"/>
    <cellStyle name="_Currency_Bermuda PV check 10nc5_Latest-Gexa Model" xfId="108"/>
    <cellStyle name="_Currency_Bermuda PV check 10nc5_Latest-Gexa Model 2" xfId="2495"/>
    <cellStyle name="_Currency_Bermuda PV check 10nc5_Latest-Gexa Model 3" xfId="1424"/>
    <cellStyle name="_Currency_Bermuda PV check 10nc5_Latest-Gexa Model_3" xfId="109"/>
    <cellStyle name="_Currency_Bermuda PV check 10nc5_Latest-Gexa Model_3 2" xfId="2496"/>
    <cellStyle name="_Currency_Bermuda PV check 10nc5_Latest-Gexa Model_3 3" xfId="1425"/>
    <cellStyle name="_Currency_Bermuda PV check 10nc5_Latest-Gexa Model_3_dv01" xfId="110"/>
    <cellStyle name="_Currency_Bermuda PV check 10nc5_Latest-Gexa Model_3_dv01 2" xfId="2497"/>
    <cellStyle name="_Currency_Bermuda PV check 10nc5_Latest-Gexa Model_3_dv01 3" xfId="1426"/>
    <cellStyle name="_Currency_Bermuda PV check 10nc5_Latest-Gexa Model_4" xfId="111"/>
    <cellStyle name="_Currency_Bermuda PV check 10nc5_Latest-Gexa Model_4 2" xfId="2498"/>
    <cellStyle name="_Currency_Bermuda PV check 10nc5_Latest-Gexa Model_4 3" xfId="1427"/>
    <cellStyle name="_Currency_Bermuda PV check 10nc5_Latest-Gexa Model_4_dv01" xfId="112"/>
    <cellStyle name="_Currency_Bermuda PV check 10nc5_Latest-Gexa Model_4_dv01 2" xfId="2499"/>
    <cellStyle name="_Currency_Bermuda PV check 10nc5_Latest-Gexa Model_4_dv01 3" xfId="1428"/>
    <cellStyle name="_Currency_Bermuda PV check 10nc5_Latest-Gexa Model_Anker 2008Q4 concept" xfId="113"/>
    <cellStyle name="_Currency_Bermuda PV check 10nc5_Latest-Gexa Model_Anker 2008Q4 concept 2" xfId="2500"/>
    <cellStyle name="_Currency_Bermuda PV check 10nc5_Latest-Gexa Model_Anker 2008Q4 concept 3" xfId="1429"/>
    <cellStyle name="_Currency_Bermuda PV check 10nc5_Latest-Gexa Model_fundrapport" xfId="114"/>
    <cellStyle name="_Currency_Bermuda PV check 10nc5_Latest-Gexa Model_fundrapport 2" xfId="2501"/>
    <cellStyle name="_Currency_Bermuda PV check 10nc5_Latest-Gexa Model_fundrapport 3" xfId="1430"/>
    <cellStyle name="_Currency_Bermuda PV check 10nc5_Latest-Gexa Model_inj&amp;withdr toelichting hard" xfId="115"/>
    <cellStyle name="_Currency_Bermuda PV check 10nc5_Latest-Gexa Model_inj&amp;withdr toelichting hard 2" xfId="2502"/>
    <cellStyle name="_Currency_Bermuda PV check 10nc5_Latest-Gexa Model_inj&amp;withdr toelichting hard 3" xfId="1431"/>
    <cellStyle name="_Currency_Bermuda PV check 10nc5_Latest-Gexa Model_inj&amp;withdr toelichting hard_dv01" xfId="116"/>
    <cellStyle name="_Currency_Bermuda PV check 10nc5_Latest-Gexa Model_inj&amp;withdr toelichting hard_dv01 2" xfId="2503"/>
    <cellStyle name="_Currency_Bermuda PV check 10nc5_Latest-Gexa Model_inj&amp;withdr toelichting hard_dv01 3" xfId="1432"/>
    <cellStyle name="_Currency_Bermuda PV check 10nc5_Structure Collection" xfId="117"/>
    <cellStyle name="_Currency_Bermuda PV check 10nc5_Structure Collection 2" xfId="2504"/>
    <cellStyle name="_Currency_Bermuda PV check 10nc5_Structure Collection 3" xfId="1433"/>
    <cellStyle name="_Currency_Bermuda PV check 10nc5_Structure Collection_3" xfId="118"/>
    <cellStyle name="_Currency_Bermuda PV check 10nc5_Structure Collection_3 2" xfId="2505"/>
    <cellStyle name="_Currency_Bermuda PV check 10nc5_Structure Collection_3 3" xfId="1434"/>
    <cellStyle name="_Currency_Bermuda PV check 10nc5_Structure Collection_3_dv01" xfId="119"/>
    <cellStyle name="_Currency_Bermuda PV check 10nc5_Structure Collection_3_dv01 2" xfId="2506"/>
    <cellStyle name="_Currency_Bermuda PV check 10nc5_Structure Collection_3_dv01 3" xfId="1435"/>
    <cellStyle name="_Currency_Bermuda PV check 10nc5_Structure Collection_4" xfId="120"/>
    <cellStyle name="_Currency_Bermuda PV check 10nc5_Structure Collection_4 2" xfId="2507"/>
    <cellStyle name="_Currency_Bermuda PV check 10nc5_Structure Collection_4 3" xfId="1436"/>
    <cellStyle name="_Currency_Bermuda PV check 10nc5_Structure Collection_4_dv01" xfId="121"/>
    <cellStyle name="_Currency_Bermuda PV check 10nc5_Structure Collection_4_dv01 2" xfId="2508"/>
    <cellStyle name="_Currency_Bermuda PV check 10nc5_Structure Collection_4_dv01 3" xfId="1437"/>
    <cellStyle name="_Currency_Bermuda PV check 10nc5_Structure Collection_Anker 2008Q4 concept" xfId="122"/>
    <cellStyle name="_Currency_Bermuda PV check 10nc5_Structure Collection_Anker 2008Q4 concept 2" xfId="2509"/>
    <cellStyle name="_Currency_Bermuda PV check 10nc5_Structure Collection_Anker 2008Q4 concept 3" xfId="1438"/>
    <cellStyle name="_Currency_Bermuda PV check 10nc5_Structure Collection_fundrapport" xfId="123"/>
    <cellStyle name="_Currency_Bermuda PV check 10nc5_Structure Collection_fundrapport 2" xfId="2510"/>
    <cellStyle name="_Currency_Bermuda PV check 10nc5_Structure Collection_fundrapport 3" xfId="1439"/>
    <cellStyle name="_Currency_Bermuda PV check 10nc5_Structure Collection_inj&amp;withdr toelichting hard" xfId="124"/>
    <cellStyle name="_Currency_Bermuda PV check 10nc5_Structure Collection_inj&amp;withdr toelichting hard 2" xfId="2511"/>
    <cellStyle name="_Currency_Bermuda PV check 10nc5_Structure Collection_inj&amp;withdr toelichting hard 3" xfId="1440"/>
    <cellStyle name="_Currency_Bermuda PV check 10nc5_Structure Collection_inj&amp;withdr toelichting hard_dv01" xfId="125"/>
    <cellStyle name="_Currency_Bermuda PV check 10nc5_Structure Collection_inj&amp;withdr toelichting hard_dv01 2" xfId="2512"/>
    <cellStyle name="_Currency_Bermuda PV check 10nc5_Structure Collection_inj&amp;withdr toelichting hard_dv01 3" xfId="1441"/>
    <cellStyle name="_Currency_Cash Flows" xfId="126"/>
    <cellStyle name="_Currency_Cash flows (2)" xfId="127"/>
    <cellStyle name="_Currency_Cash flows (2) 2" xfId="2514"/>
    <cellStyle name="_Currency_Cash flows (2) 3" xfId="1443"/>
    <cellStyle name="_Currency_Cash flows (2)_3" xfId="128"/>
    <cellStyle name="_Currency_Cash flows (2)_3 2" xfId="2515"/>
    <cellStyle name="_Currency_Cash flows (2)_3 3" xfId="1444"/>
    <cellStyle name="_Currency_Cash flows (2)_3_dv01" xfId="129"/>
    <cellStyle name="_Currency_Cash flows (2)_3_dv01 2" xfId="2516"/>
    <cellStyle name="_Currency_Cash flows (2)_3_dv01 3" xfId="1445"/>
    <cellStyle name="_Currency_Cash flows (2)_4" xfId="130"/>
    <cellStyle name="_Currency_Cash flows (2)_4 2" xfId="2517"/>
    <cellStyle name="_Currency_Cash flows (2)_4 3" xfId="1446"/>
    <cellStyle name="_Currency_Cash flows (2)_4_dv01" xfId="131"/>
    <cellStyle name="_Currency_Cash flows (2)_4_dv01 2" xfId="2518"/>
    <cellStyle name="_Currency_Cash flows (2)_4_dv01 3" xfId="1447"/>
    <cellStyle name="_Currency_Cash flows (2)_Anker 2008Q4 concept" xfId="132"/>
    <cellStyle name="_Currency_Cash flows (2)_Anker 2008Q4 concept 2" xfId="2519"/>
    <cellStyle name="_Currency_Cash flows (2)_Anker 2008Q4 concept 3" xfId="1448"/>
    <cellStyle name="_Currency_Cash flows (2)_fundrapport" xfId="133"/>
    <cellStyle name="_Currency_Cash flows (2)_fundrapport 2" xfId="2520"/>
    <cellStyle name="_Currency_Cash flows (2)_fundrapport 3" xfId="1449"/>
    <cellStyle name="_Currency_Cash flows (2)_inj&amp;withdr toelichting hard" xfId="134"/>
    <cellStyle name="_Currency_Cash flows (2)_inj&amp;withdr toelichting hard 2" xfId="2521"/>
    <cellStyle name="_Currency_Cash flows (2)_inj&amp;withdr toelichting hard 3" xfId="1450"/>
    <cellStyle name="_Currency_Cash flows (2)_inj&amp;withdr toelichting hard_dv01" xfId="135"/>
    <cellStyle name="_Currency_Cash flows (2)_inj&amp;withdr toelichting hard_dv01 2" xfId="2522"/>
    <cellStyle name="_Currency_Cash flows (2)_inj&amp;withdr toelichting hard_dv01 3" xfId="1451"/>
    <cellStyle name="_Currency_Cash Flows 2" xfId="2513"/>
    <cellStyle name="_Currency_Cash Flows 3" xfId="3500"/>
    <cellStyle name="_Currency_Cash Flows 4" xfId="3855"/>
    <cellStyle name="_Currency_Cash Flows 5" xfId="5452"/>
    <cellStyle name="_Currency_Cash Flows 6" xfId="1442"/>
    <cellStyle name="_Currency_Cash Flows 7" xfId="2325"/>
    <cellStyle name="_Currency_Cash Flows 8" xfId="7552"/>
    <cellStyle name="_Currency_Cash flows for presentation" xfId="136"/>
    <cellStyle name="_Currency_Cash flows for presentation 2" xfId="2523"/>
    <cellStyle name="_Currency_Cash flows for presentation 3" xfId="1452"/>
    <cellStyle name="_Currency_Cash flows for presentation_3" xfId="137"/>
    <cellStyle name="_Currency_Cash flows for presentation_3 2" xfId="2524"/>
    <cellStyle name="_Currency_Cash flows for presentation_3 3" xfId="1453"/>
    <cellStyle name="_Currency_Cash flows for presentation_3_dv01" xfId="138"/>
    <cellStyle name="_Currency_Cash flows for presentation_3_dv01 2" xfId="2525"/>
    <cellStyle name="_Currency_Cash flows for presentation_3_dv01 3" xfId="1454"/>
    <cellStyle name="_Currency_Cash flows for presentation_4" xfId="139"/>
    <cellStyle name="_Currency_Cash flows for presentation_4 2" xfId="2526"/>
    <cellStyle name="_Currency_Cash flows for presentation_4 3" xfId="1455"/>
    <cellStyle name="_Currency_Cash flows for presentation_4_dv01" xfId="140"/>
    <cellStyle name="_Currency_Cash flows for presentation_4_dv01 2" xfId="2527"/>
    <cellStyle name="_Currency_Cash flows for presentation_4_dv01 3" xfId="1456"/>
    <cellStyle name="_Currency_Cash flows for presentation_Anker 2008Q4 concept" xfId="141"/>
    <cellStyle name="_Currency_Cash flows for presentation_Anker 2008Q4 concept 2" xfId="2528"/>
    <cellStyle name="_Currency_Cash flows for presentation_Anker 2008Q4 concept 3" xfId="1457"/>
    <cellStyle name="_Currency_Cash flows for presentation_fundrapport" xfId="142"/>
    <cellStyle name="_Currency_Cash flows for presentation_fundrapport 2" xfId="2529"/>
    <cellStyle name="_Currency_Cash flows for presentation_fundrapport 3" xfId="1458"/>
    <cellStyle name="_Currency_Cash flows for presentation_inj&amp;withdr toelichting hard" xfId="143"/>
    <cellStyle name="_Currency_Cash flows for presentation_inj&amp;withdr toelichting hard 2" xfId="2530"/>
    <cellStyle name="_Currency_Cash flows for presentation_inj&amp;withdr toelichting hard 3" xfId="1459"/>
    <cellStyle name="_Currency_Cash flows for presentation_inj&amp;withdr toelichting hard_dv01" xfId="144"/>
    <cellStyle name="_Currency_Cash flows for presentation_inj&amp;withdr toelichting hard_dv01 2" xfId="2531"/>
    <cellStyle name="_Currency_Cash flows for presentation_inj&amp;withdr toelichting hard_dv01 3" xfId="1460"/>
    <cellStyle name="_Currency_Cash Flows_3" xfId="145"/>
    <cellStyle name="_Currency_Cash Flows_3 2" xfId="2532"/>
    <cellStyle name="_Currency_Cash Flows_3 3" xfId="1461"/>
    <cellStyle name="_Currency_Cash Flows_3_dv01" xfId="146"/>
    <cellStyle name="_Currency_Cash Flows_3_dv01 2" xfId="2533"/>
    <cellStyle name="_Currency_Cash Flows_3_dv01 3" xfId="1462"/>
    <cellStyle name="_Currency_Cash Flows_4" xfId="147"/>
    <cellStyle name="_Currency_Cash Flows_4 2" xfId="2534"/>
    <cellStyle name="_Currency_Cash Flows_4 3" xfId="1463"/>
    <cellStyle name="_Currency_Cash Flows_4_dv01" xfId="148"/>
    <cellStyle name="_Currency_Cash Flows_4_dv01 2" xfId="2535"/>
    <cellStyle name="_Currency_Cash Flows_4_dv01 3" xfId="1464"/>
    <cellStyle name="_Currency_Cash Flows_Anker 2008Q4 concept" xfId="149"/>
    <cellStyle name="_Currency_Cash Flows_Anker 2008Q4 concept 2" xfId="2536"/>
    <cellStyle name="_Currency_Cash Flows_Anker 2008Q4 concept 3" xfId="1465"/>
    <cellStyle name="_Currency_Cash Flows_fundrapport" xfId="150"/>
    <cellStyle name="_Currency_Cash Flows_fundrapport 2" xfId="2537"/>
    <cellStyle name="_Currency_Cash Flows_fundrapport 3" xfId="1466"/>
    <cellStyle name="_Currency_Cash Flows_inj&amp;withdr toelichting hard" xfId="151"/>
    <cellStyle name="_Currency_Cash Flows_inj&amp;withdr toelichting hard 2" xfId="2538"/>
    <cellStyle name="_Currency_Cash Flows_inj&amp;withdr toelichting hard 3" xfId="1467"/>
    <cellStyle name="_Currency_Cash Flows_inj&amp;withdr toelichting hard_dv01" xfId="152"/>
    <cellStyle name="_Currency_Cash Flows_inj&amp;withdr toelichting hard_dv01 2" xfId="2539"/>
    <cellStyle name="_Currency_Cash Flows_inj&amp;withdr toelichting hard_dv01 3" xfId="1468"/>
    <cellStyle name="_Currency_Cashflow Parameters" xfId="153"/>
    <cellStyle name="_Currency_Cashflow Parameters 2" xfId="2540"/>
    <cellStyle name="_Currency_Cashflow Parameters 3" xfId="1469"/>
    <cellStyle name="_Currency_Cashflow Parameters_3" xfId="154"/>
    <cellStyle name="_Currency_Cashflow Parameters_3 2" xfId="2541"/>
    <cellStyle name="_Currency_Cashflow Parameters_3 3" xfId="1470"/>
    <cellStyle name="_Currency_Cashflow Parameters_3_dv01" xfId="155"/>
    <cellStyle name="_Currency_Cashflow Parameters_3_dv01 2" xfId="2542"/>
    <cellStyle name="_Currency_Cashflow Parameters_3_dv01 3" xfId="1471"/>
    <cellStyle name="_Currency_Cashflow Parameters_4" xfId="156"/>
    <cellStyle name="_Currency_Cashflow Parameters_4 2" xfId="2543"/>
    <cellStyle name="_Currency_Cashflow Parameters_4 3" xfId="1472"/>
    <cellStyle name="_Currency_Cashflow Parameters_4_dv01" xfId="157"/>
    <cellStyle name="_Currency_Cashflow Parameters_4_dv01 2" xfId="2544"/>
    <cellStyle name="_Currency_Cashflow Parameters_4_dv01 3" xfId="1473"/>
    <cellStyle name="_Currency_Cashflow Parameters_Anker 2008Q4 concept" xfId="158"/>
    <cellStyle name="_Currency_Cashflow Parameters_Anker 2008Q4 concept 2" xfId="2545"/>
    <cellStyle name="_Currency_Cashflow Parameters_Anker 2008Q4 concept 3" xfId="1474"/>
    <cellStyle name="_Currency_Cashflow Parameters_fundrapport" xfId="159"/>
    <cellStyle name="_Currency_Cashflow Parameters_fundrapport 2" xfId="2546"/>
    <cellStyle name="_Currency_Cashflow Parameters_fundrapport 3" xfId="1475"/>
    <cellStyle name="_Currency_Cashflow Parameters_inj&amp;withdr toelichting hard" xfId="160"/>
    <cellStyle name="_Currency_Cashflow Parameters_inj&amp;withdr toelichting hard 2" xfId="2547"/>
    <cellStyle name="_Currency_Cashflow Parameters_inj&amp;withdr toelichting hard 3" xfId="1476"/>
    <cellStyle name="_Currency_Cashflow Parameters_inj&amp;withdr toelichting hard_dv01" xfId="161"/>
    <cellStyle name="_Currency_Cashflow Parameters_inj&amp;withdr toelichting hard_dv01 2" xfId="2548"/>
    <cellStyle name="_Currency_Cashflow Parameters_inj&amp;withdr toelichting hard_dv01 3" xfId="1477"/>
    <cellStyle name="_Currency_cashflow_stripper_Index_Linked" xfId="162"/>
    <cellStyle name="_Currency_cashflow_stripper_Index_Linked 2" xfId="2549"/>
    <cellStyle name="_Currency_cashflow_stripper_Index_Linked 3" xfId="1478"/>
    <cellStyle name="_Currency_cashflow_stripper_Index_Linked_actuate" xfId="163"/>
    <cellStyle name="_Currency_cashflow_stripper_Index_Linked_actuate 2" xfId="2550"/>
    <cellStyle name="_Currency_cashflow_stripper_Index_Linked_actuate 3" xfId="1479"/>
    <cellStyle name="_Currency_cashflow_stripper_Index_Linked_dv01" xfId="164"/>
    <cellStyle name="_Currency_cashflow_stripper_Index_Linked_dv01 2" xfId="2551"/>
    <cellStyle name="_Currency_cashflow_stripper_Index_Linked_dv01 3" xfId="1480"/>
    <cellStyle name="_Currency_CashFlows" xfId="165"/>
    <cellStyle name="_Currency_CashFlows " xfId="166"/>
    <cellStyle name="_Currency_CashFlows  2" xfId="2553"/>
    <cellStyle name="_Currency_CashFlows  3" xfId="1482"/>
    <cellStyle name="_Currency_CashFlows _3" xfId="167"/>
    <cellStyle name="_Currency_CashFlows _3 2" xfId="2554"/>
    <cellStyle name="_Currency_CashFlows _3 3" xfId="1483"/>
    <cellStyle name="_Currency_CashFlows _3_dv01" xfId="168"/>
    <cellStyle name="_Currency_CashFlows _3_dv01 2" xfId="2555"/>
    <cellStyle name="_Currency_CashFlows _3_dv01 3" xfId="1484"/>
    <cellStyle name="_Currency_CashFlows _4" xfId="169"/>
    <cellStyle name="_Currency_CashFlows _4 2" xfId="2556"/>
    <cellStyle name="_Currency_CashFlows _4 3" xfId="1485"/>
    <cellStyle name="_Currency_CashFlows _4_dv01" xfId="170"/>
    <cellStyle name="_Currency_CashFlows _4_dv01 2" xfId="2557"/>
    <cellStyle name="_Currency_CashFlows _4_dv01 3" xfId="1486"/>
    <cellStyle name="_Currency_CashFlows _Anker 2008Q4 concept" xfId="171"/>
    <cellStyle name="_Currency_CashFlows _Anker 2008Q4 concept 2" xfId="2558"/>
    <cellStyle name="_Currency_CashFlows _Anker 2008Q4 concept 3" xfId="1487"/>
    <cellStyle name="_Currency_CashFlows _fundrapport" xfId="172"/>
    <cellStyle name="_Currency_CashFlows _fundrapport 2" xfId="2559"/>
    <cellStyle name="_Currency_CashFlows _fundrapport 3" xfId="1488"/>
    <cellStyle name="_Currency_CashFlows _inj&amp;withdr toelichting hard" xfId="173"/>
    <cellStyle name="_Currency_CashFlows _inj&amp;withdr toelichting hard 2" xfId="2560"/>
    <cellStyle name="_Currency_CashFlows _inj&amp;withdr toelichting hard 3" xfId="1489"/>
    <cellStyle name="_Currency_CashFlows _inj&amp;withdr toelichting hard_dv01" xfId="174"/>
    <cellStyle name="_Currency_CashFlows _inj&amp;withdr toelichting hard_dv01 2" xfId="2561"/>
    <cellStyle name="_Currency_CashFlows _inj&amp;withdr toelichting hard_dv01 3" xfId="1490"/>
    <cellStyle name="_Currency_CashFlows _June 05 CF" xfId="175"/>
    <cellStyle name="_Currency_CashFlows _June 05 CF 2" xfId="2562"/>
    <cellStyle name="_Currency_CashFlows _June 05 CF 3" xfId="1491"/>
    <cellStyle name="_Currency_CashFlows _June 05 CF_actuate" xfId="176"/>
    <cellStyle name="_Currency_CashFlows _June 05 CF_actuate 2" xfId="2563"/>
    <cellStyle name="_Currency_CashFlows _June 05 CF_actuate 3" xfId="1492"/>
    <cellStyle name="_Currency_CashFlows _June 05 CF_dv01" xfId="177"/>
    <cellStyle name="_Currency_CashFlows _June 05 CF_dv01 2" xfId="2564"/>
    <cellStyle name="_Currency_CashFlows _June 05 CF_dv01 3" xfId="1493"/>
    <cellStyle name="_Currency_CashFlows _June05" xfId="178"/>
    <cellStyle name="_Currency_CashFlows _June05 2" xfId="2565"/>
    <cellStyle name="_Currency_CashFlows _June05 3" xfId="1494"/>
    <cellStyle name="_Currency_CashFlows _June05_3" xfId="179"/>
    <cellStyle name="_Currency_CashFlows _June05_3 2" xfId="2566"/>
    <cellStyle name="_Currency_CashFlows _June05_3 3" xfId="1495"/>
    <cellStyle name="_Currency_CashFlows _June05_3_dv01" xfId="180"/>
    <cellStyle name="_Currency_CashFlows _June05_3_dv01 2" xfId="2567"/>
    <cellStyle name="_Currency_CashFlows _June05_3_dv01 3" xfId="1496"/>
    <cellStyle name="_Currency_CashFlows _June05_4" xfId="181"/>
    <cellStyle name="_Currency_CashFlows _June05_4 2" xfId="2568"/>
    <cellStyle name="_Currency_CashFlows _June05_4 3" xfId="1497"/>
    <cellStyle name="_Currency_CashFlows _June05_4_dv01" xfId="182"/>
    <cellStyle name="_Currency_CashFlows _June05_4_dv01 2" xfId="2569"/>
    <cellStyle name="_Currency_CashFlows _June05_4_dv01 3" xfId="1498"/>
    <cellStyle name="_Currency_CashFlows _June05_Anker 2008Q4 concept" xfId="183"/>
    <cellStyle name="_Currency_CashFlows _June05_Anker 2008Q4 concept 2" xfId="2570"/>
    <cellStyle name="_Currency_CashFlows _June05_Anker 2008Q4 concept 3" xfId="1499"/>
    <cellStyle name="_Currency_CashFlows _June05_fundrapport" xfId="184"/>
    <cellStyle name="_Currency_CashFlows _June05_fundrapport 2" xfId="2571"/>
    <cellStyle name="_Currency_CashFlows _June05_fundrapport 3" xfId="1500"/>
    <cellStyle name="_Currency_CashFlows _June05_inj&amp;withdr toelichting hard" xfId="185"/>
    <cellStyle name="_Currency_CashFlows _June05_inj&amp;withdr toelichting hard 2" xfId="2572"/>
    <cellStyle name="_Currency_CashFlows _June05_inj&amp;withdr toelichting hard 3" xfId="1501"/>
    <cellStyle name="_Currency_CashFlows _June05_inj&amp;withdr toelichting hard_dv01" xfId="186"/>
    <cellStyle name="_Currency_CashFlows _June05_inj&amp;withdr toelichting hard_dv01 2" xfId="2573"/>
    <cellStyle name="_Currency_CashFlows _June05_inj&amp;withdr toelichting hard_dv01 3" xfId="1502"/>
    <cellStyle name="_Currency_CashFlows _Matching PV Cashflows" xfId="187"/>
    <cellStyle name="_Currency_CashFlows _Matching PV Cashflows 2" xfId="2574"/>
    <cellStyle name="_Currency_CashFlows _Matching PV Cashflows 3" xfId="1503"/>
    <cellStyle name="_Currency_CashFlows _Matching PV Cashflows_actuate" xfId="188"/>
    <cellStyle name="_Currency_CashFlows _Matching PV Cashflows_actuate 2" xfId="2575"/>
    <cellStyle name="_Currency_CashFlows _Matching PV Cashflows_actuate 3" xfId="1504"/>
    <cellStyle name="_Currency_CashFlows _Matching PV Cashflows_dv01" xfId="189"/>
    <cellStyle name="_Currency_CashFlows _Matching PV Cashflows_dv01 2" xfId="2576"/>
    <cellStyle name="_Currency_CashFlows _Matching PV Cashflows_dv01 3" xfId="1505"/>
    <cellStyle name="_Currency_CashFlows _Sheet1" xfId="190"/>
    <cellStyle name="_Currency_CashFlows _Sheet1 2" xfId="2577"/>
    <cellStyle name="_Currency_CashFlows _Sheet1 3" xfId="1506"/>
    <cellStyle name="_Currency_CashFlows _Sheet1_actuate" xfId="191"/>
    <cellStyle name="_Currency_CashFlows _Sheet1_actuate 2" xfId="2578"/>
    <cellStyle name="_Currency_CashFlows _Sheet1_actuate 3" xfId="1507"/>
    <cellStyle name="_Currency_CashFlows _Sheet1_dv01" xfId="192"/>
    <cellStyle name="_Currency_CashFlows _Sheet1_dv01 2" xfId="2579"/>
    <cellStyle name="_Currency_CashFlows _Sheet1_dv01 3" xfId="1508"/>
    <cellStyle name="_Currency_CashFlows 2" xfId="2552"/>
    <cellStyle name="_Currency_CashFlows 3" xfId="3420"/>
    <cellStyle name="_Currency_CashFlows 4" xfId="3854"/>
    <cellStyle name="_Currency_CashFlows 5" xfId="5165"/>
    <cellStyle name="_Currency_CashFlows 6" xfId="1481"/>
    <cellStyle name="_Currency_CashFlows 7" xfId="2278"/>
    <cellStyle name="_Currency_CashFlows 8" xfId="7549"/>
    <cellStyle name="_Currency_Cashflows Indexed2" xfId="193"/>
    <cellStyle name="_Currency_Cashflows Indexed2 2" xfId="2580"/>
    <cellStyle name="_Currency_Cashflows Indexed2 3" xfId="1509"/>
    <cellStyle name="_Currency_Cashflows Indexed2_3" xfId="194"/>
    <cellStyle name="_Currency_Cashflows Indexed2_3 2" xfId="2581"/>
    <cellStyle name="_Currency_Cashflows Indexed2_3 3" xfId="1510"/>
    <cellStyle name="_Currency_Cashflows Indexed2_3_dv01" xfId="195"/>
    <cellStyle name="_Currency_Cashflows Indexed2_3_dv01 2" xfId="2582"/>
    <cellStyle name="_Currency_Cashflows Indexed2_3_dv01 3" xfId="1511"/>
    <cellStyle name="_Currency_Cashflows Indexed2_4" xfId="196"/>
    <cellStyle name="_Currency_Cashflows Indexed2_4 2" xfId="2583"/>
    <cellStyle name="_Currency_Cashflows Indexed2_4 3" xfId="1512"/>
    <cellStyle name="_Currency_Cashflows Indexed2_4_dv01" xfId="197"/>
    <cellStyle name="_Currency_Cashflows Indexed2_4_dv01 2" xfId="2584"/>
    <cellStyle name="_Currency_Cashflows Indexed2_4_dv01 3" xfId="1513"/>
    <cellStyle name="_Currency_Cashflows Indexed2_Anker 2008Q4 concept" xfId="198"/>
    <cellStyle name="_Currency_Cashflows Indexed2_Anker 2008Q4 concept 2" xfId="2585"/>
    <cellStyle name="_Currency_Cashflows Indexed2_Anker 2008Q4 concept 3" xfId="1514"/>
    <cellStyle name="_Currency_Cashflows Indexed2_fundrapport" xfId="199"/>
    <cellStyle name="_Currency_Cashflows Indexed2_fundrapport 2" xfId="2586"/>
    <cellStyle name="_Currency_Cashflows Indexed2_fundrapport 3" xfId="1515"/>
    <cellStyle name="_Currency_Cashflows Indexed2_inj&amp;withdr toelichting hard" xfId="200"/>
    <cellStyle name="_Currency_Cashflows Indexed2_inj&amp;withdr toelichting hard 2" xfId="2587"/>
    <cellStyle name="_Currency_Cashflows Indexed2_inj&amp;withdr toelichting hard 3" xfId="1516"/>
    <cellStyle name="_Currency_Cashflows Indexed2_inj&amp;withdr toelichting hard_dv01" xfId="201"/>
    <cellStyle name="_Currency_Cashflows Indexed2_inj&amp;withdr toelichting hard_dv01 2" xfId="2588"/>
    <cellStyle name="_Currency_Cashflows Indexed2_inj&amp;withdr toelichting hard_dv01 3" xfId="1517"/>
    <cellStyle name="_Currency_CashFlows_actuate" xfId="202"/>
    <cellStyle name="_Currency_CashFlows_actuate 2" xfId="2589"/>
    <cellStyle name="_Currency_CashFlows_actuate 3" xfId="1518"/>
    <cellStyle name="_Currency_CashFlows_dv01" xfId="203"/>
    <cellStyle name="_Currency_CashFlows_dv01 2" xfId="2590"/>
    <cellStyle name="_Currency_CashFlows_dv01 3" xfId="1519"/>
    <cellStyle name="_Currency_CashFlows_Latest-Liberty Based-DHW" xfId="204"/>
    <cellStyle name="_Currency_CashFlows_Latest-Liberty Based-DHW 2" xfId="2591"/>
    <cellStyle name="_Currency_CashFlows_Latest-Liberty Based-DHW 3" xfId="1520"/>
    <cellStyle name="_Currency_CashFlows_Latest-Liberty Based-DHW_3" xfId="205"/>
    <cellStyle name="_Currency_CashFlows_Latest-Liberty Based-DHW_3 2" xfId="2592"/>
    <cellStyle name="_Currency_CashFlows_Latest-Liberty Based-DHW_3 3" xfId="1521"/>
    <cellStyle name="_Currency_CashFlows_Latest-Liberty Based-DHW_3_dv01" xfId="206"/>
    <cellStyle name="_Currency_CashFlows_Latest-Liberty Based-DHW_3_dv01 2" xfId="2593"/>
    <cellStyle name="_Currency_CashFlows_Latest-Liberty Based-DHW_3_dv01 3" xfId="1522"/>
    <cellStyle name="_Currency_CashFlows_Latest-Liberty Based-DHW_4" xfId="207"/>
    <cellStyle name="_Currency_CashFlows_Latest-Liberty Based-DHW_4 2" xfId="2594"/>
    <cellStyle name="_Currency_CashFlows_Latest-Liberty Based-DHW_4 3" xfId="1523"/>
    <cellStyle name="_Currency_CashFlows_Latest-Liberty Based-DHW_4_dv01" xfId="208"/>
    <cellStyle name="_Currency_CashFlows_Latest-Liberty Based-DHW_4_dv01 2" xfId="2595"/>
    <cellStyle name="_Currency_CashFlows_Latest-Liberty Based-DHW_4_dv01 3" xfId="1524"/>
    <cellStyle name="_Currency_CashFlows_Latest-Liberty Based-DHW_Anker 2008Q4 concept" xfId="209"/>
    <cellStyle name="_Currency_CashFlows_Latest-Liberty Based-DHW_Anker 2008Q4 concept 2" xfId="2596"/>
    <cellStyle name="_Currency_CashFlows_Latest-Liberty Based-DHW_Anker 2008Q4 concept 3" xfId="1525"/>
    <cellStyle name="_Currency_CashFlows_Latest-Liberty Based-DHW_fundrapport" xfId="210"/>
    <cellStyle name="_Currency_CashFlows_Latest-Liberty Based-DHW_fundrapport 2" xfId="2597"/>
    <cellStyle name="_Currency_CashFlows_Latest-Liberty Based-DHW_fundrapport 3" xfId="1526"/>
    <cellStyle name="_Currency_CashFlows_Latest-Liberty Based-DHW_inj&amp;withdr toelichting hard" xfId="211"/>
    <cellStyle name="_Currency_CashFlows_Latest-Liberty Based-DHW_inj&amp;withdr toelichting hard 2" xfId="2598"/>
    <cellStyle name="_Currency_CashFlows_Latest-Liberty Based-DHW_inj&amp;withdr toelichting hard 3" xfId="1527"/>
    <cellStyle name="_Currency_CashFlows_Latest-Liberty Based-DHW_inj&amp;withdr toelichting hard_dv01" xfId="212"/>
    <cellStyle name="_Currency_CashFlows_Latest-Liberty Based-DHW_inj&amp;withdr toelichting hard_dv01 2" xfId="2599"/>
    <cellStyle name="_Currency_CashFlows_Latest-Liberty Based-DHW_inj&amp;withdr toelichting hard_dv01 3" xfId="1528"/>
    <cellStyle name="_Currency_CDO price distributions" xfId="213"/>
    <cellStyle name="_Currency_CDO price distributions 2" xfId="2600"/>
    <cellStyle name="_Currency_CDO price distributions 3" xfId="1529"/>
    <cellStyle name="_Currency_CDO price distributions_3" xfId="214"/>
    <cellStyle name="_Currency_CDO price distributions_3 2" xfId="2601"/>
    <cellStyle name="_Currency_CDO price distributions_3 3" xfId="1530"/>
    <cellStyle name="_Currency_CDO price distributions_3_dv01" xfId="215"/>
    <cellStyle name="_Currency_CDO price distributions_3_dv01 2" xfId="2602"/>
    <cellStyle name="_Currency_CDO price distributions_3_dv01 3" xfId="1531"/>
    <cellStyle name="_Currency_CDO price distributions_4" xfId="216"/>
    <cellStyle name="_Currency_CDO price distributions_4 2" xfId="2603"/>
    <cellStyle name="_Currency_CDO price distributions_4 3" xfId="1532"/>
    <cellStyle name="_Currency_CDO price distributions_4_dv01" xfId="217"/>
    <cellStyle name="_Currency_CDO price distributions_4_dv01 2" xfId="2604"/>
    <cellStyle name="_Currency_CDO price distributions_4_dv01 3" xfId="1533"/>
    <cellStyle name="_Currency_CDO price distributions_Anker 2008Q4 concept" xfId="218"/>
    <cellStyle name="_Currency_CDO price distributions_Anker 2008Q4 concept 2" xfId="2605"/>
    <cellStyle name="_Currency_CDO price distributions_Anker 2008Q4 concept 3" xfId="1534"/>
    <cellStyle name="_Currency_CDO price distributions_fundrapport" xfId="219"/>
    <cellStyle name="_Currency_CDO price distributions_fundrapport 2" xfId="2606"/>
    <cellStyle name="_Currency_CDO price distributions_fundrapport 3" xfId="1535"/>
    <cellStyle name="_Currency_CDO price distributions_inj&amp;withdr toelichting hard" xfId="220"/>
    <cellStyle name="_Currency_CDO price distributions_inj&amp;withdr toelichting hard 2" xfId="2607"/>
    <cellStyle name="_Currency_CDO price distributions_inj&amp;withdr toelichting hard 3" xfId="1536"/>
    <cellStyle name="_Currency_CDO price distributions_inj&amp;withdr toelichting hard_dv01" xfId="221"/>
    <cellStyle name="_Currency_CDO price distributions_inj&amp;withdr toelichting hard_dv01 2" xfId="2608"/>
    <cellStyle name="_Currency_CDO price distributions_inj&amp;withdr toelichting hard_dv01 3" xfId="1537"/>
    <cellStyle name="_Currency_CF for Model " xfId="222"/>
    <cellStyle name="_Currency_CF for Model  2" xfId="2609"/>
    <cellStyle name="_Currency_CF for Model  3" xfId="1538"/>
    <cellStyle name="_Currency_CF for Model _3" xfId="223"/>
    <cellStyle name="_Currency_CF for Model _3 2" xfId="2610"/>
    <cellStyle name="_Currency_CF for Model _3 3" xfId="1539"/>
    <cellStyle name="_Currency_CF for Model _3_dv01" xfId="224"/>
    <cellStyle name="_Currency_CF for Model _3_dv01 2" xfId="2611"/>
    <cellStyle name="_Currency_CF for Model _3_dv01 3" xfId="1540"/>
    <cellStyle name="_Currency_CF for Model _4" xfId="225"/>
    <cellStyle name="_Currency_CF for Model _4 2" xfId="2612"/>
    <cellStyle name="_Currency_CF for Model _4 3" xfId="1541"/>
    <cellStyle name="_Currency_CF for Model _4_dv01" xfId="226"/>
    <cellStyle name="_Currency_CF for Model _4_dv01 2" xfId="2613"/>
    <cellStyle name="_Currency_CF for Model _4_dv01 3" xfId="1542"/>
    <cellStyle name="_Currency_CF for Model _Anker 2008Q4 concept" xfId="227"/>
    <cellStyle name="_Currency_CF for Model _Anker 2008Q4 concept 2" xfId="2614"/>
    <cellStyle name="_Currency_CF for Model _Anker 2008Q4 concept 3" xfId="1543"/>
    <cellStyle name="_Currency_CF for Model _fundrapport" xfId="228"/>
    <cellStyle name="_Currency_CF for Model _fundrapport 2" xfId="2615"/>
    <cellStyle name="_Currency_CF for Model _fundrapport 3" xfId="1544"/>
    <cellStyle name="_Currency_CF for Model _inj&amp;withdr toelichting hard" xfId="229"/>
    <cellStyle name="_Currency_CF for Model _inj&amp;withdr toelichting hard 2" xfId="2616"/>
    <cellStyle name="_Currency_CF for Model _inj&amp;withdr toelichting hard 3" xfId="1545"/>
    <cellStyle name="_Currency_CF for Model _inj&amp;withdr toelichting hard_dv01" xfId="230"/>
    <cellStyle name="_Currency_CF for Model _inj&amp;withdr toelichting hard_dv01 2" xfId="2617"/>
    <cellStyle name="_Currency_CF for Model _inj&amp;withdr toelichting hard_dv01 3" xfId="1546"/>
    <cellStyle name="_Currency_Combined CashFlows" xfId="231"/>
    <cellStyle name="_Currency_Combined CashFlows 2" xfId="2618"/>
    <cellStyle name="_Currency_Combined CashFlows 3" xfId="1547"/>
    <cellStyle name="_Currency_Combined CashFlows_actuate" xfId="232"/>
    <cellStyle name="_Currency_Combined CashFlows_actuate 2" xfId="2619"/>
    <cellStyle name="_Currency_Combined CashFlows_actuate 3" xfId="1548"/>
    <cellStyle name="_Currency_Combined CashFlows_dv01" xfId="233"/>
    <cellStyle name="_Currency_Combined CashFlows_dv01 2" xfId="2620"/>
    <cellStyle name="_Currency_Combined CashFlows_dv01 3" xfId="1549"/>
    <cellStyle name="_Currency_Equity linked Swaption" xfId="234"/>
    <cellStyle name="_Currency_Equity linked Swaption 2" xfId="2621"/>
    <cellStyle name="_Currency_Equity linked Swaption 3" xfId="1550"/>
    <cellStyle name="_Currency_Equity linked Swaption_3" xfId="235"/>
    <cellStyle name="_Currency_Equity linked Swaption_3 2" xfId="2622"/>
    <cellStyle name="_Currency_Equity linked Swaption_3 3" xfId="1551"/>
    <cellStyle name="_Currency_Equity linked Swaption_3_dv01" xfId="236"/>
    <cellStyle name="_Currency_Equity linked Swaption_3_dv01 2" xfId="2623"/>
    <cellStyle name="_Currency_Equity linked Swaption_3_dv01 3" xfId="1552"/>
    <cellStyle name="_Currency_Equity linked Swaption_4" xfId="237"/>
    <cellStyle name="_Currency_Equity linked Swaption_4 2" xfId="2624"/>
    <cellStyle name="_Currency_Equity linked Swaption_4 3" xfId="1553"/>
    <cellStyle name="_Currency_Equity linked Swaption_4_dv01" xfId="238"/>
    <cellStyle name="_Currency_Equity linked Swaption_4_dv01 2" xfId="2625"/>
    <cellStyle name="_Currency_Equity linked Swaption_4_dv01 3" xfId="1554"/>
    <cellStyle name="_Currency_Equity linked Swaption_Anker 2008Q4 concept" xfId="239"/>
    <cellStyle name="_Currency_Equity linked Swaption_Anker 2008Q4 concept 2" xfId="2626"/>
    <cellStyle name="_Currency_Equity linked Swaption_Anker 2008Q4 concept 3" xfId="1555"/>
    <cellStyle name="_Currency_Equity linked Swaption_fundrapport" xfId="240"/>
    <cellStyle name="_Currency_Equity linked Swaption_fundrapport 2" xfId="2627"/>
    <cellStyle name="_Currency_Equity linked Swaption_fundrapport 3" xfId="1556"/>
    <cellStyle name="_Currency_Equity linked Swaption_inj&amp;withdr toelichting hard" xfId="241"/>
    <cellStyle name="_Currency_Equity linked Swaption_inj&amp;withdr toelichting hard 2" xfId="2628"/>
    <cellStyle name="_Currency_Equity linked Swaption_inj&amp;withdr toelichting hard 3" xfId="1557"/>
    <cellStyle name="_Currency_Equity linked Swaption_inj&amp;withdr toelichting hard_dv01" xfId="242"/>
    <cellStyle name="_Currency_Equity linked Swaption_inj&amp;withdr toelichting hard_dv01 2" xfId="2629"/>
    <cellStyle name="_Currency_Equity linked Swaption_inj&amp;withdr toelichting hard_dv01 3" xfId="1558"/>
    <cellStyle name="_Currency_Equity linked Swaption_Liability Cashflows" xfId="243"/>
    <cellStyle name="_Currency_Equity linked Swaption_Liability Cashflows 2" xfId="2630"/>
    <cellStyle name="_Currency_Equity linked Swaption_Liability Cashflows 3" xfId="1559"/>
    <cellStyle name="_Currency_Equity linked Swaption_Liability Cashflows_actuate" xfId="244"/>
    <cellStyle name="_Currency_Equity linked Swaption_Liability Cashflows_actuate 2" xfId="2631"/>
    <cellStyle name="_Currency_Equity linked Swaption_Liability Cashflows_actuate 3" xfId="1560"/>
    <cellStyle name="_Currency_Equity linked Swaption_Liability Cashflows_dv01" xfId="245"/>
    <cellStyle name="_Currency_Equity linked Swaption_Liability Cashflows_dv01 2" xfId="2632"/>
    <cellStyle name="_Currency_Equity linked Swaption_Liability Cashflows_dv01 3" xfId="1561"/>
    <cellStyle name="_Currency_EUR Gexa - Swap" xfId="246"/>
    <cellStyle name="_Currency_EUR Gexa - Swap 2" xfId="2633"/>
    <cellStyle name="_Currency_EUR Gexa - Swap 3" xfId="1562"/>
    <cellStyle name="_Currency_EUR Gexa - Swap_01 Sweden Gexa Model - Master Version" xfId="247"/>
    <cellStyle name="_Currency_EUR Gexa - Swap_01 Sweden Gexa Model - Master Version 2" xfId="2634"/>
    <cellStyle name="_Currency_EUR Gexa - Swap_01 Sweden Gexa Model - Master Version 3" xfId="1563"/>
    <cellStyle name="_Currency_EUR Gexa - Swap_01 Sweden Gexa Model - Master Version_actuate" xfId="248"/>
    <cellStyle name="_Currency_EUR Gexa - Swap_01 Sweden Gexa Model - Master Version_actuate 2" xfId="2635"/>
    <cellStyle name="_Currency_EUR Gexa - Swap_01 Sweden Gexa Model - Master Version_actuate 3" xfId="1564"/>
    <cellStyle name="_Currency_EUR Gexa - Swap_01 Sweden Gexa Model - Master Version_dv01" xfId="249"/>
    <cellStyle name="_Currency_EUR Gexa - Swap_01 Sweden Gexa Model - Master Version_dv01 2" xfId="2636"/>
    <cellStyle name="_Currency_EUR Gexa - Swap_01 Sweden Gexa Model - Master Version_dv01 3" xfId="1565"/>
    <cellStyle name="_Currency_EUR Gexa - Swap_3" xfId="250"/>
    <cellStyle name="_Currency_EUR Gexa - Swap_3 2" xfId="2637"/>
    <cellStyle name="_Currency_EUR Gexa - Swap_3 3" xfId="1566"/>
    <cellStyle name="_Currency_EUR Gexa - Swap_3_dv01" xfId="251"/>
    <cellStyle name="_Currency_EUR Gexa - Swap_3_dv01 2" xfId="2638"/>
    <cellStyle name="_Currency_EUR Gexa - Swap_3_dv01 3" xfId="1567"/>
    <cellStyle name="_Currency_EUR Gexa - Swap_4" xfId="252"/>
    <cellStyle name="_Currency_EUR Gexa - Swap_4 2" xfId="2639"/>
    <cellStyle name="_Currency_EUR Gexa - Swap_4 3" xfId="1568"/>
    <cellStyle name="_Currency_EUR Gexa - Swap_4_dv01" xfId="253"/>
    <cellStyle name="_Currency_EUR Gexa - Swap_4_dv01 2" xfId="2640"/>
    <cellStyle name="_Currency_EUR Gexa - Swap_4_dv01 3" xfId="1569"/>
    <cellStyle name="_Currency_EUR Gexa - Swap_Anker 2008Q4 concept" xfId="254"/>
    <cellStyle name="_Currency_EUR Gexa - Swap_Anker 2008Q4 concept 2" xfId="2641"/>
    <cellStyle name="_Currency_EUR Gexa - Swap_Anker 2008Q4 concept 3" xfId="1570"/>
    <cellStyle name="_Currency_EUR Gexa - Swap_fundrapport" xfId="255"/>
    <cellStyle name="_Currency_EUR Gexa - Swap_fundrapport 2" xfId="2642"/>
    <cellStyle name="_Currency_EUR Gexa - Swap_fundrapport 3" xfId="1571"/>
    <cellStyle name="_Currency_EUR Gexa - Swap_inj&amp;withdr toelichting hard" xfId="256"/>
    <cellStyle name="_Currency_EUR Gexa - Swap_inj&amp;withdr toelichting hard 2" xfId="2643"/>
    <cellStyle name="_Currency_EUR Gexa - Swap_inj&amp;withdr toelichting hard 3" xfId="1572"/>
    <cellStyle name="_Currency_EUR Gexa - Swap_inj&amp;withdr toelichting hard_dv01" xfId="257"/>
    <cellStyle name="_Currency_EUR Gexa - Swap_inj&amp;withdr toelichting hard_dv01 2" xfId="2644"/>
    <cellStyle name="_Currency_EUR Gexa - Swap_inj&amp;withdr toelichting hard_dv01 3" xfId="1573"/>
    <cellStyle name="_Currency_EUR Gexa - Swap_Latest-Gexa Model" xfId="258"/>
    <cellStyle name="_Currency_EUR Gexa - Swap_Latest-Gexa Model 2" xfId="2645"/>
    <cellStyle name="_Currency_EUR Gexa - Swap_Latest-Gexa Model 3" xfId="1574"/>
    <cellStyle name="_Currency_EUR Gexa - Swap_Latest-Gexa Model_3" xfId="259"/>
    <cellStyle name="_Currency_EUR Gexa - Swap_Latest-Gexa Model_3 2" xfId="2646"/>
    <cellStyle name="_Currency_EUR Gexa - Swap_Latest-Gexa Model_3 3" xfId="1575"/>
    <cellStyle name="_Currency_EUR Gexa - Swap_Latest-Gexa Model_3_dv01" xfId="260"/>
    <cellStyle name="_Currency_EUR Gexa - Swap_Latest-Gexa Model_3_dv01 2" xfId="2647"/>
    <cellStyle name="_Currency_EUR Gexa - Swap_Latest-Gexa Model_3_dv01 3" xfId="1576"/>
    <cellStyle name="_Currency_EUR Gexa - Swap_Latest-Gexa Model_4" xfId="261"/>
    <cellStyle name="_Currency_EUR Gexa - Swap_Latest-Gexa Model_4 2" xfId="2648"/>
    <cellStyle name="_Currency_EUR Gexa - Swap_Latest-Gexa Model_4 3" xfId="1577"/>
    <cellStyle name="_Currency_EUR Gexa - Swap_Latest-Gexa Model_4_dv01" xfId="262"/>
    <cellStyle name="_Currency_EUR Gexa - Swap_Latest-Gexa Model_4_dv01 2" xfId="2649"/>
    <cellStyle name="_Currency_EUR Gexa - Swap_Latest-Gexa Model_4_dv01 3" xfId="1578"/>
    <cellStyle name="_Currency_EUR Gexa - Swap_Latest-Gexa Model_Anker 2008Q4 concept" xfId="263"/>
    <cellStyle name="_Currency_EUR Gexa - Swap_Latest-Gexa Model_Anker 2008Q4 concept 2" xfId="2650"/>
    <cellStyle name="_Currency_EUR Gexa - Swap_Latest-Gexa Model_Anker 2008Q4 concept 3" xfId="1579"/>
    <cellStyle name="_Currency_EUR Gexa - Swap_Latest-Gexa Model_fundrapport" xfId="264"/>
    <cellStyle name="_Currency_EUR Gexa - Swap_Latest-Gexa Model_fundrapport 2" xfId="2651"/>
    <cellStyle name="_Currency_EUR Gexa - Swap_Latest-Gexa Model_fundrapport 3" xfId="1580"/>
    <cellStyle name="_Currency_EUR Gexa - Swap_Latest-Gexa Model_inj&amp;withdr toelichting hard" xfId="265"/>
    <cellStyle name="_Currency_EUR Gexa - Swap_Latest-Gexa Model_inj&amp;withdr toelichting hard 2" xfId="2652"/>
    <cellStyle name="_Currency_EUR Gexa - Swap_Latest-Gexa Model_inj&amp;withdr toelichting hard 3" xfId="1581"/>
    <cellStyle name="_Currency_EUR Gexa - Swap_Latest-Gexa Model_inj&amp;withdr toelichting hard_dv01" xfId="266"/>
    <cellStyle name="_Currency_EUR Gexa - Swap_Latest-Gexa Model_inj&amp;withdr toelichting hard_dv01 2" xfId="2653"/>
    <cellStyle name="_Currency_EUR Gexa - Swap_Latest-Gexa Model_inj&amp;withdr toelichting hard_dv01 3" xfId="1582"/>
    <cellStyle name="_Currency_EUR Gexa - Swap_Structure Collection" xfId="267"/>
    <cellStyle name="_Currency_EUR Gexa - Swap_Structure Collection 2" xfId="2654"/>
    <cellStyle name="_Currency_EUR Gexa - Swap_Structure Collection 3" xfId="1583"/>
    <cellStyle name="_Currency_EUR Gexa - Swap_Structure Collection_3" xfId="268"/>
    <cellStyle name="_Currency_EUR Gexa - Swap_Structure Collection_3 2" xfId="2655"/>
    <cellStyle name="_Currency_EUR Gexa - Swap_Structure Collection_3 3" xfId="1584"/>
    <cellStyle name="_Currency_EUR Gexa - Swap_Structure Collection_3_dv01" xfId="269"/>
    <cellStyle name="_Currency_EUR Gexa - Swap_Structure Collection_3_dv01 2" xfId="2656"/>
    <cellStyle name="_Currency_EUR Gexa - Swap_Structure Collection_3_dv01 3" xfId="1585"/>
    <cellStyle name="_Currency_EUR Gexa - Swap_Structure Collection_4" xfId="270"/>
    <cellStyle name="_Currency_EUR Gexa - Swap_Structure Collection_4 2" xfId="2657"/>
    <cellStyle name="_Currency_EUR Gexa - Swap_Structure Collection_4 3" xfId="1586"/>
    <cellStyle name="_Currency_EUR Gexa - Swap_Structure Collection_4_dv01" xfId="271"/>
    <cellStyle name="_Currency_EUR Gexa - Swap_Structure Collection_4_dv01 2" xfId="2658"/>
    <cellStyle name="_Currency_EUR Gexa - Swap_Structure Collection_4_dv01 3" xfId="1587"/>
    <cellStyle name="_Currency_EUR Gexa - Swap_Structure Collection_Anker 2008Q4 concept" xfId="272"/>
    <cellStyle name="_Currency_EUR Gexa - Swap_Structure Collection_Anker 2008Q4 concept 2" xfId="2659"/>
    <cellStyle name="_Currency_EUR Gexa - Swap_Structure Collection_Anker 2008Q4 concept 3" xfId="1588"/>
    <cellStyle name="_Currency_EUR Gexa - Swap_Structure Collection_fundrapport" xfId="273"/>
    <cellStyle name="_Currency_EUR Gexa - Swap_Structure Collection_fundrapport 2" xfId="2660"/>
    <cellStyle name="_Currency_EUR Gexa - Swap_Structure Collection_fundrapport 3" xfId="1589"/>
    <cellStyle name="_Currency_EUR Gexa - Swap_Structure Collection_inj&amp;withdr toelichting hard" xfId="274"/>
    <cellStyle name="_Currency_EUR Gexa - Swap_Structure Collection_inj&amp;withdr toelichting hard 2" xfId="2661"/>
    <cellStyle name="_Currency_EUR Gexa - Swap_Structure Collection_inj&amp;withdr toelichting hard 3" xfId="1590"/>
    <cellStyle name="_Currency_EUR Gexa - Swap_Structure Collection_inj&amp;withdr toelichting hard_dv01" xfId="275"/>
    <cellStyle name="_Currency_EUR Gexa - Swap_Structure Collection_inj&amp;withdr toelichting hard_dv01 2" xfId="2662"/>
    <cellStyle name="_Currency_EUR Gexa - Swap_Structure Collection_inj&amp;withdr toelichting hard_dv01 3" xfId="1591"/>
    <cellStyle name="_Currency_EUR Inflation" xfId="276"/>
    <cellStyle name="_Currency_EUR Inflation 2" xfId="2663"/>
    <cellStyle name="_Currency_EUR Inflation 3" xfId="1592"/>
    <cellStyle name="_Currency_EUR Inflation_3" xfId="277"/>
    <cellStyle name="_Currency_EUR Inflation_3 2" xfId="2664"/>
    <cellStyle name="_Currency_EUR Inflation_3 3" xfId="1593"/>
    <cellStyle name="_Currency_EUR Inflation_3_dv01" xfId="278"/>
    <cellStyle name="_Currency_EUR Inflation_3_dv01 2" xfId="2665"/>
    <cellStyle name="_Currency_EUR Inflation_3_dv01 3" xfId="1594"/>
    <cellStyle name="_Currency_EUR Inflation_4" xfId="279"/>
    <cellStyle name="_Currency_EUR Inflation_4 2" xfId="2666"/>
    <cellStyle name="_Currency_EUR Inflation_4 3" xfId="1595"/>
    <cellStyle name="_Currency_EUR Inflation_4_dv01" xfId="280"/>
    <cellStyle name="_Currency_EUR Inflation_4_dv01 2" xfId="2667"/>
    <cellStyle name="_Currency_EUR Inflation_4_dv01 3" xfId="1596"/>
    <cellStyle name="_Currency_EUR Inflation_Anker 2008Q4 concept" xfId="281"/>
    <cellStyle name="_Currency_EUR Inflation_Anker 2008Q4 concept 2" xfId="2668"/>
    <cellStyle name="_Currency_EUR Inflation_Anker 2008Q4 concept 3" xfId="1597"/>
    <cellStyle name="_Currency_EUR Inflation_fundrapport" xfId="282"/>
    <cellStyle name="_Currency_EUR Inflation_fundrapport 2" xfId="2669"/>
    <cellStyle name="_Currency_EUR Inflation_fundrapport 3" xfId="1598"/>
    <cellStyle name="_Currency_EUR Inflation_inj&amp;withdr toelichting hard" xfId="283"/>
    <cellStyle name="_Currency_EUR Inflation_inj&amp;withdr toelichting hard 2" xfId="2670"/>
    <cellStyle name="_Currency_EUR Inflation_inj&amp;withdr toelichting hard 3" xfId="1599"/>
    <cellStyle name="_Currency_EUR Inflation_inj&amp;withdr toelichting hard_dv01" xfId="284"/>
    <cellStyle name="_Currency_EUR Inflation_inj&amp;withdr toelichting hard_dv01 2" xfId="2671"/>
    <cellStyle name="_Currency_EUR Inflation_inj&amp;withdr toelichting hard_dv01 3" xfId="1600"/>
    <cellStyle name="_Currency_EUR Inflation_Liability Cashflows" xfId="285"/>
    <cellStyle name="_Currency_EUR Inflation_Liability Cashflows 2" xfId="2672"/>
    <cellStyle name="_Currency_EUR Inflation_Liability Cashflows 3" xfId="1601"/>
    <cellStyle name="_Currency_EUR Inflation_Liability Cashflows_actuate" xfId="286"/>
    <cellStyle name="_Currency_EUR Inflation_Liability Cashflows_actuate 2" xfId="2673"/>
    <cellStyle name="_Currency_EUR Inflation_Liability Cashflows_actuate 3" xfId="1602"/>
    <cellStyle name="_Currency_EUR Inflation_Liability Cashflows_dv01" xfId="287"/>
    <cellStyle name="_Currency_EUR Inflation_Liability Cashflows_dv01 2" xfId="2674"/>
    <cellStyle name="_Currency_EUR Inflation_Liability Cashflows_dv01 3" xfId="1603"/>
    <cellStyle name="_Currency_Evolutions April 05 Tableau V1" xfId="288"/>
    <cellStyle name="_Currency_Evolutions April 05 Tableau V1 2" xfId="2675"/>
    <cellStyle name="_Currency_Evolutions April 05 Tableau V1 3" xfId="1604"/>
    <cellStyle name="_Currency_Evolutions April 05 Tableau V1_3" xfId="289"/>
    <cellStyle name="_Currency_Evolutions April 05 Tableau V1_3 2" xfId="2676"/>
    <cellStyle name="_Currency_Evolutions April 05 Tableau V1_3 3" xfId="1605"/>
    <cellStyle name="_Currency_Evolutions April 05 Tableau V1_3_dv01" xfId="290"/>
    <cellStyle name="_Currency_Evolutions April 05 Tableau V1_3_dv01 2" xfId="2677"/>
    <cellStyle name="_Currency_Evolutions April 05 Tableau V1_3_dv01 3" xfId="1606"/>
    <cellStyle name="_Currency_Evolutions April 05 Tableau V1_4" xfId="291"/>
    <cellStyle name="_Currency_Evolutions April 05 Tableau V1_4 2" xfId="2678"/>
    <cellStyle name="_Currency_Evolutions April 05 Tableau V1_4 3" xfId="1607"/>
    <cellStyle name="_Currency_Evolutions April 05 Tableau V1_4_dv01" xfId="292"/>
    <cellStyle name="_Currency_Evolutions April 05 Tableau V1_4_dv01 2" xfId="2679"/>
    <cellStyle name="_Currency_Evolutions April 05 Tableau V1_4_dv01 3" xfId="1608"/>
    <cellStyle name="_Currency_Evolutions April 05 Tableau V1_Anker 2008Q4 concept" xfId="293"/>
    <cellStyle name="_Currency_Evolutions April 05 Tableau V1_Anker 2008Q4 concept 2" xfId="2680"/>
    <cellStyle name="_Currency_Evolutions April 05 Tableau V1_Anker 2008Q4 concept 3" xfId="1609"/>
    <cellStyle name="_Currency_Evolutions April 05 Tableau V1_fundrapport" xfId="294"/>
    <cellStyle name="_Currency_Evolutions April 05 Tableau V1_fundrapport 2" xfId="2681"/>
    <cellStyle name="_Currency_Evolutions April 05 Tableau V1_fundrapport 3" xfId="1610"/>
    <cellStyle name="_Currency_Evolutions April 05 Tableau V1_inj&amp;withdr toelichting hard" xfId="295"/>
    <cellStyle name="_Currency_Evolutions April 05 Tableau V1_inj&amp;withdr toelichting hard 2" xfId="2682"/>
    <cellStyle name="_Currency_Evolutions April 05 Tableau V1_inj&amp;withdr toelichting hard 3" xfId="1611"/>
    <cellStyle name="_Currency_Evolutions April 05 Tableau V1_inj&amp;withdr toelichting hard_dv01" xfId="296"/>
    <cellStyle name="_Currency_Evolutions April 05 Tableau V1_inj&amp;withdr toelichting hard_dv01 2" xfId="2683"/>
    <cellStyle name="_Currency_Evolutions April 05 Tableau V1_inj&amp;withdr toelichting hard_dv01 3" xfId="1612"/>
    <cellStyle name="_Currency_ExoMonitorFull9" xfId="297"/>
    <cellStyle name="_Currency_ExoMonitorFull9 2" xfId="2684"/>
    <cellStyle name="_Currency_ExoMonitorFull9 3" xfId="1613"/>
    <cellStyle name="_Currency_ExoMonitorFull9_3" xfId="298"/>
    <cellStyle name="_Currency_ExoMonitorFull9_3 2" xfId="2685"/>
    <cellStyle name="_Currency_ExoMonitorFull9_3 3" xfId="1614"/>
    <cellStyle name="_Currency_ExoMonitorFull9_3_dv01" xfId="299"/>
    <cellStyle name="_Currency_ExoMonitorFull9_3_dv01 2" xfId="2686"/>
    <cellStyle name="_Currency_ExoMonitorFull9_3_dv01 3" xfId="1615"/>
    <cellStyle name="_Currency_ExoMonitorFull9_4" xfId="300"/>
    <cellStyle name="_Currency_ExoMonitorFull9_4 2" xfId="2687"/>
    <cellStyle name="_Currency_ExoMonitorFull9_4 3" xfId="1616"/>
    <cellStyle name="_Currency_ExoMonitorFull9_4_dv01" xfId="301"/>
    <cellStyle name="_Currency_ExoMonitorFull9_4_dv01 2" xfId="2688"/>
    <cellStyle name="_Currency_ExoMonitorFull9_4_dv01 3" xfId="1617"/>
    <cellStyle name="_Currency_ExoMonitorFull9_Anker 2008Q4 concept" xfId="302"/>
    <cellStyle name="_Currency_ExoMonitorFull9_Anker 2008Q4 concept 2" xfId="2689"/>
    <cellStyle name="_Currency_ExoMonitorFull9_Anker 2008Q4 concept 3" xfId="1618"/>
    <cellStyle name="_Currency_ExoMonitorFull9_fundrapport" xfId="303"/>
    <cellStyle name="_Currency_ExoMonitorFull9_fundrapport 2" xfId="2690"/>
    <cellStyle name="_Currency_ExoMonitorFull9_fundrapport 3" xfId="1619"/>
    <cellStyle name="_Currency_ExoMonitorFull9_inj&amp;withdr toelichting hard" xfId="304"/>
    <cellStyle name="_Currency_ExoMonitorFull9_inj&amp;withdr toelichting hard 2" xfId="2691"/>
    <cellStyle name="_Currency_ExoMonitorFull9_inj&amp;withdr toelichting hard 3" xfId="1620"/>
    <cellStyle name="_Currency_ExoMonitorFull9_inj&amp;withdr toelichting hard_dv01" xfId="305"/>
    <cellStyle name="_Currency_ExoMonitorFull9_inj&amp;withdr toelichting hard_dv01 2" xfId="2692"/>
    <cellStyle name="_Currency_ExoMonitorFull9_inj&amp;withdr toelichting hard_dv01 3" xfId="1621"/>
    <cellStyle name="_Currency_ExoMonitorFull9_Liability Cashflows" xfId="306"/>
    <cellStyle name="_Currency_ExoMonitorFull9_Liability Cashflows 2" xfId="2693"/>
    <cellStyle name="_Currency_ExoMonitorFull9_Liability Cashflows 3" xfId="1622"/>
    <cellStyle name="_Currency_ExoMonitorFull9_Liability Cashflows_actuate" xfId="307"/>
    <cellStyle name="_Currency_ExoMonitorFull9_Liability Cashflows_actuate 2" xfId="2694"/>
    <cellStyle name="_Currency_ExoMonitorFull9_Liability Cashflows_actuate 3" xfId="1623"/>
    <cellStyle name="_Currency_ExoMonitorFull9_Liability Cashflows_dv01" xfId="308"/>
    <cellStyle name="_Currency_ExoMonitorFull9_Liability Cashflows_dv01 2" xfId="2695"/>
    <cellStyle name="_Currency_ExoMonitorFull9_Liability Cashflows_dv01 3" xfId="1624"/>
    <cellStyle name="_Currency_Folio" xfId="309"/>
    <cellStyle name="_Currency_Folio 2" xfId="2696"/>
    <cellStyle name="_Currency_Folio 3" xfId="1625"/>
    <cellStyle name="_Currency_Folio_1" xfId="310"/>
    <cellStyle name="_Currency_Folio_1 2" xfId="2697"/>
    <cellStyle name="_Currency_Folio_1 3" xfId="1626"/>
    <cellStyle name="_Currency_Folio_1_01 Sweden Gexa Model - Master Version" xfId="311"/>
    <cellStyle name="_Currency_Folio_1_01 Sweden Gexa Model - Master Version 2" xfId="2698"/>
    <cellStyle name="_Currency_Folio_1_01 Sweden Gexa Model - Master Version 3" xfId="1627"/>
    <cellStyle name="_Currency_Folio_1_01 Sweden Gexa Model - Master Version_actuate" xfId="312"/>
    <cellStyle name="_Currency_Folio_1_01 Sweden Gexa Model - Master Version_actuate 2" xfId="2699"/>
    <cellStyle name="_Currency_Folio_1_01 Sweden Gexa Model - Master Version_actuate 3" xfId="1628"/>
    <cellStyle name="_Currency_Folio_1_01 Sweden Gexa Model - Master Version_dv01" xfId="313"/>
    <cellStyle name="_Currency_Folio_1_01 Sweden Gexa Model - Master Version_dv01 2" xfId="2700"/>
    <cellStyle name="_Currency_Folio_1_01 Sweden Gexa Model - Master Version_dv01 3" xfId="1629"/>
    <cellStyle name="_Currency_Folio_1_3" xfId="314"/>
    <cellStyle name="_Currency_Folio_1_3 2" xfId="2701"/>
    <cellStyle name="_Currency_Folio_1_3 3" xfId="1630"/>
    <cellStyle name="_Currency_Folio_1_3_dv01" xfId="315"/>
    <cellStyle name="_Currency_Folio_1_3_dv01 2" xfId="2702"/>
    <cellStyle name="_Currency_Folio_1_3_dv01 3" xfId="1631"/>
    <cellStyle name="_Currency_Folio_1_4" xfId="316"/>
    <cellStyle name="_Currency_Folio_1_4 2" xfId="2703"/>
    <cellStyle name="_Currency_Folio_1_4 3" xfId="1632"/>
    <cellStyle name="_Currency_Folio_1_4_dv01" xfId="317"/>
    <cellStyle name="_Currency_Folio_1_4_dv01 2" xfId="2704"/>
    <cellStyle name="_Currency_Folio_1_4_dv01 3" xfId="1633"/>
    <cellStyle name="_Currency_Folio_1_Anker 2008Q4 concept" xfId="318"/>
    <cellStyle name="_Currency_Folio_1_Anker 2008Q4 concept 2" xfId="2705"/>
    <cellStyle name="_Currency_Folio_1_Anker 2008Q4 concept 3" xfId="1634"/>
    <cellStyle name="_Currency_Folio_1_fundrapport" xfId="319"/>
    <cellStyle name="_Currency_Folio_1_fundrapport 2" xfId="2706"/>
    <cellStyle name="_Currency_Folio_1_fundrapport 3" xfId="1635"/>
    <cellStyle name="_Currency_Folio_1_inj&amp;withdr toelichting hard" xfId="320"/>
    <cellStyle name="_Currency_Folio_1_inj&amp;withdr toelichting hard 2" xfId="2707"/>
    <cellStyle name="_Currency_Folio_1_inj&amp;withdr toelichting hard 3" xfId="1636"/>
    <cellStyle name="_Currency_Folio_1_inj&amp;withdr toelichting hard_dv01" xfId="321"/>
    <cellStyle name="_Currency_Folio_1_inj&amp;withdr toelichting hard_dv01 2" xfId="2708"/>
    <cellStyle name="_Currency_Folio_1_inj&amp;withdr toelichting hard_dv01 3" xfId="1637"/>
    <cellStyle name="_Currency_Folio_1_Latest-Gexa Model" xfId="322"/>
    <cellStyle name="_Currency_Folio_1_Latest-Gexa Model 2" xfId="2709"/>
    <cellStyle name="_Currency_Folio_1_Latest-Gexa Model 3" xfId="1638"/>
    <cellStyle name="_Currency_Folio_1_Latest-Gexa Model_3" xfId="323"/>
    <cellStyle name="_Currency_Folio_1_Latest-Gexa Model_3 2" xfId="2710"/>
    <cellStyle name="_Currency_Folio_1_Latest-Gexa Model_3 3" xfId="1639"/>
    <cellStyle name="_Currency_Folio_1_Latest-Gexa Model_3_dv01" xfId="324"/>
    <cellStyle name="_Currency_Folio_1_Latest-Gexa Model_3_dv01 2" xfId="2711"/>
    <cellStyle name="_Currency_Folio_1_Latest-Gexa Model_3_dv01 3" xfId="1640"/>
    <cellStyle name="_Currency_Folio_1_Latest-Gexa Model_4" xfId="325"/>
    <cellStyle name="_Currency_Folio_1_Latest-Gexa Model_4 2" xfId="2712"/>
    <cellStyle name="_Currency_Folio_1_Latest-Gexa Model_4 3" xfId="1641"/>
    <cellStyle name="_Currency_Folio_1_Latest-Gexa Model_4_dv01" xfId="326"/>
    <cellStyle name="_Currency_Folio_1_Latest-Gexa Model_4_dv01 2" xfId="2713"/>
    <cellStyle name="_Currency_Folio_1_Latest-Gexa Model_4_dv01 3" xfId="1642"/>
    <cellStyle name="_Currency_Folio_1_Latest-Gexa Model_Anker 2008Q4 concept" xfId="327"/>
    <cellStyle name="_Currency_Folio_1_Latest-Gexa Model_Anker 2008Q4 concept 2" xfId="2714"/>
    <cellStyle name="_Currency_Folio_1_Latest-Gexa Model_Anker 2008Q4 concept 3" xfId="1643"/>
    <cellStyle name="_Currency_Folio_1_Latest-Gexa Model_fundrapport" xfId="328"/>
    <cellStyle name="_Currency_Folio_1_Latest-Gexa Model_fundrapport 2" xfId="2715"/>
    <cellStyle name="_Currency_Folio_1_Latest-Gexa Model_fundrapport 3" xfId="1644"/>
    <cellStyle name="_Currency_Folio_1_Latest-Gexa Model_inj&amp;withdr toelichting hard" xfId="329"/>
    <cellStyle name="_Currency_Folio_1_Latest-Gexa Model_inj&amp;withdr toelichting hard 2" xfId="2716"/>
    <cellStyle name="_Currency_Folio_1_Latest-Gexa Model_inj&amp;withdr toelichting hard 3" xfId="1645"/>
    <cellStyle name="_Currency_Folio_1_Latest-Gexa Model_inj&amp;withdr toelichting hard_dv01" xfId="330"/>
    <cellStyle name="_Currency_Folio_1_Latest-Gexa Model_inj&amp;withdr toelichting hard_dv01 2" xfId="2717"/>
    <cellStyle name="_Currency_Folio_1_Latest-Gexa Model_inj&amp;withdr toelichting hard_dv01 3" xfId="1646"/>
    <cellStyle name="_Currency_Folio_1_Structure Collection" xfId="331"/>
    <cellStyle name="_Currency_Folio_1_Structure Collection 2" xfId="2718"/>
    <cellStyle name="_Currency_Folio_1_Structure Collection 3" xfId="1647"/>
    <cellStyle name="_Currency_Folio_1_Structure Collection_3" xfId="332"/>
    <cellStyle name="_Currency_Folio_1_Structure Collection_3 2" xfId="2719"/>
    <cellStyle name="_Currency_Folio_1_Structure Collection_3 3" xfId="1648"/>
    <cellStyle name="_Currency_Folio_1_Structure Collection_3_dv01" xfId="333"/>
    <cellStyle name="_Currency_Folio_1_Structure Collection_3_dv01 2" xfId="2720"/>
    <cellStyle name="_Currency_Folio_1_Structure Collection_3_dv01 3" xfId="1649"/>
    <cellStyle name="_Currency_Folio_1_Structure Collection_4" xfId="334"/>
    <cellStyle name="_Currency_Folio_1_Structure Collection_4 2" xfId="2721"/>
    <cellStyle name="_Currency_Folio_1_Structure Collection_4 3" xfId="1650"/>
    <cellStyle name="_Currency_Folio_1_Structure Collection_4_dv01" xfId="335"/>
    <cellStyle name="_Currency_Folio_1_Structure Collection_4_dv01 2" xfId="2722"/>
    <cellStyle name="_Currency_Folio_1_Structure Collection_4_dv01 3" xfId="1651"/>
    <cellStyle name="_Currency_Folio_1_Structure Collection_Anker 2008Q4 concept" xfId="336"/>
    <cellStyle name="_Currency_Folio_1_Structure Collection_Anker 2008Q4 concept 2" xfId="2723"/>
    <cellStyle name="_Currency_Folio_1_Structure Collection_Anker 2008Q4 concept 3" xfId="1652"/>
    <cellStyle name="_Currency_Folio_1_Structure Collection_fundrapport" xfId="337"/>
    <cellStyle name="_Currency_Folio_1_Structure Collection_fundrapport 2" xfId="2724"/>
    <cellStyle name="_Currency_Folio_1_Structure Collection_fundrapport 3" xfId="1653"/>
    <cellStyle name="_Currency_Folio_1_Structure Collection_inj&amp;withdr toelichting hard" xfId="338"/>
    <cellStyle name="_Currency_Folio_1_Structure Collection_inj&amp;withdr toelichting hard 2" xfId="2725"/>
    <cellStyle name="_Currency_Folio_1_Structure Collection_inj&amp;withdr toelichting hard 3" xfId="1654"/>
    <cellStyle name="_Currency_Folio_1_Structure Collection_inj&amp;withdr toelichting hard_dv01" xfId="339"/>
    <cellStyle name="_Currency_Folio_1_Structure Collection_inj&amp;withdr toelichting hard_dv01 2" xfId="2726"/>
    <cellStyle name="_Currency_Folio_1_Structure Collection_inj&amp;withdr toelichting hard_dv01 3" xfId="1655"/>
    <cellStyle name="_Currency_Folio_actuate" xfId="340"/>
    <cellStyle name="_Currency_Folio_actuate 2" xfId="2727"/>
    <cellStyle name="_Currency_Folio_actuate 3" xfId="1656"/>
    <cellStyle name="_Currency_Folio_dv01" xfId="341"/>
    <cellStyle name="_Currency_Folio_dv01 2" xfId="2728"/>
    <cellStyle name="_Currency_Folio_dv01 3" xfId="1657"/>
    <cellStyle name="_Currency_FP Liabilities_19oct05 v2" xfId="342"/>
    <cellStyle name="_Currency_FP Liabilities_19oct05 v2 2" xfId="2729"/>
    <cellStyle name="_Currency_FP Liabilities_19oct05 v2 3" xfId="1658"/>
    <cellStyle name="_Currency_FP Liabilities_19oct05 v2_actuate" xfId="343"/>
    <cellStyle name="_Currency_FP Liabilities_19oct05 v2_actuate 2" xfId="2730"/>
    <cellStyle name="_Currency_FP Liabilities_19oct05 v2_actuate 3" xfId="1659"/>
    <cellStyle name="_Currency_FP Liabilities_19oct05 v2_dv01" xfId="344"/>
    <cellStyle name="_Currency_FP Liabilities_19oct05 v2_dv01 2" xfId="2731"/>
    <cellStyle name="_Currency_FP Liabilities_19oct05 v2_dv01 3" xfId="1660"/>
    <cellStyle name="_Currency_fundrapport" xfId="345"/>
    <cellStyle name="_Currency_fundrapport 2" xfId="2732"/>
    <cellStyle name="_Currency_fundrapport 3" xfId="1661"/>
    <cellStyle name="_Currency_GBP Inflation2" xfId="346"/>
    <cellStyle name="_Currency_GBP Inflation2 2" xfId="2733"/>
    <cellStyle name="_Currency_GBP Inflation2 3" xfId="1662"/>
    <cellStyle name="_Currency_GBP Inflation2_3" xfId="347"/>
    <cellStyle name="_Currency_GBP Inflation2_3 2" xfId="2734"/>
    <cellStyle name="_Currency_GBP Inflation2_3 3" xfId="1663"/>
    <cellStyle name="_Currency_GBP Inflation2_3_dv01" xfId="348"/>
    <cellStyle name="_Currency_GBP Inflation2_3_dv01 2" xfId="2735"/>
    <cellStyle name="_Currency_GBP Inflation2_3_dv01 3" xfId="1664"/>
    <cellStyle name="_Currency_GBP Inflation2_4" xfId="349"/>
    <cellStyle name="_Currency_GBP Inflation2_4 2" xfId="2736"/>
    <cellStyle name="_Currency_GBP Inflation2_4 3" xfId="1665"/>
    <cellStyle name="_Currency_GBP Inflation2_4_dv01" xfId="350"/>
    <cellStyle name="_Currency_GBP Inflation2_4_dv01 2" xfId="2737"/>
    <cellStyle name="_Currency_GBP Inflation2_4_dv01 3" xfId="1666"/>
    <cellStyle name="_Currency_GBP Inflation2_Anker 2008Q4 concept" xfId="351"/>
    <cellStyle name="_Currency_GBP Inflation2_Anker 2008Q4 concept 2" xfId="2738"/>
    <cellStyle name="_Currency_GBP Inflation2_Anker 2008Q4 concept 3" xfId="1667"/>
    <cellStyle name="_Currency_GBP Inflation2_fundrapport" xfId="352"/>
    <cellStyle name="_Currency_GBP Inflation2_fundrapport 2" xfId="2739"/>
    <cellStyle name="_Currency_GBP Inflation2_fundrapport 3" xfId="1668"/>
    <cellStyle name="_Currency_GBP Inflation2_inj&amp;withdr toelichting hard" xfId="353"/>
    <cellStyle name="_Currency_GBP Inflation2_inj&amp;withdr toelichting hard 2" xfId="2740"/>
    <cellStyle name="_Currency_GBP Inflation2_inj&amp;withdr toelichting hard 3" xfId="1669"/>
    <cellStyle name="_Currency_GBP Inflation2_inj&amp;withdr toelichting hard_dv01" xfId="354"/>
    <cellStyle name="_Currency_GBP Inflation2_inj&amp;withdr toelichting hard_dv01 2" xfId="2741"/>
    <cellStyle name="_Currency_GBP Inflation2_inj&amp;withdr toelichting hard_dv01 3" xfId="1670"/>
    <cellStyle name="_Currency_GBP Inflation2_Liability Cashflows" xfId="355"/>
    <cellStyle name="_Currency_GBP Inflation2_Liability Cashflows 2" xfId="2742"/>
    <cellStyle name="_Currency_GBP Inflation2_Liability Cashflows 3" xfId="1671"/>
    <cellStyle name="_Currency_GBP Inflation2_Liability Cashflows_actuate" xfId="356"/>
    <cellStyle name="_Currency_GBP Inflation2_Liability Cashflows_actuate 2" xfId="2743"/>
    <cellStyle name="_Currency_GBP Inflation2_Liability Cashflows_actuate 3" xfId="1672"/>
    <cellStyle name="_Currency_GBP Inflation2_Liability Cashflows_dv01" xfId="357"/>
    <cellStyle name="_Currency_GBP Inflation2_Liability Cashflows_dv01 2" xfId="2744"/>
    <cellStyle name="_Currency_GBP Inflation2_Liability Cashflows_dv01 3" xfId="1673"/>
    <cellStyle name="_Currency_Generic Gexa 9th May" xfId="358"/>
    <cellStyle name="_Currency_Generic Gexa 9th May 2" xfId="2745"/>
    <cellStyle name="_Currency_Generic Gexa 9th May 3" xfId="1674"/>
    <cellStyle name="_Currency_Generic Gexa 9th May_3" xfId="359"/>
    <cellStyle name="_Currency_Generic Gexa 9th May_3 2" xfId="2746"/>
    <cellStyle name="_Currency_Generic Gexa 9th May_3 3" xfId="1675"/>
    <cellStyle name="_Currency_Generic Gexa 9th May_3_dv01" xfId="360"/>
    <cellStyle name="_Currency_Generic Gexa 9th May_3_dv01 2" xfId="2747"/>
    <cellStyle name="_Currency_Generic Gexa 9th May_3_dv01 3" xfId="1676"/>
    <cellStyle name="_Currency_Generic Gexa 9th May_4" xfId="361"/>
    <cellStyle name="_Currency_Generic Gexa 9th May_4 2" xfId="2748"/>
    <cellStyle name="_Currency_Generic Gexa 9th May_4 3" xfId="1677"/>
    <cellStyle name="_Currency_Generic Gexa 9th May_4_dv01" xfId="362"/>
    <cellStyle name="_Currency_Generic Gexa 9th May_4_dv01 2" xfId="2749"/>
    <cellStyle name="_Currency_Generic Gexa 9th May_4_dv01 3" xfId="1678"/>
    <cellStyle name="_Currency_Generic Gexa 9th May_Anker 2008Q4 concept" xfId="363"/>
    <cellStyle name="_Currency_Generic Gexa 9th May_Anker 2008Q4 concept 2" xfId="2750"/>
    <cellStyle name="_Currency_Generic Gexa 9th May_Anker 2008Q4 concept 3" xfId="1679"/>
    <cellStyle name="_Currency_Generic Gexa 9th May_fundrapport" xfId="364"/>
    <cellStyle name="_Currency_Generic Gexa 9th May_fundrapport 2" xfId="2751"/>
    <cellStyle name="_Currency_Generic Gexa 9th May_fundrapport 3" xfId="1680"/>
    <cellStyle name="_Currency_Generic Gexa 9th May_inj&amp;withdr toelichting hard" xfId="365"/>
    <cellStyle name="_Currency_Generic Gexa 9th May_inj&amp;withdr toelichting hard 2" xfId="2752"/>
    <cellStyle name="_Currency_Generic Gexa 9th May_inj&amp;withdr toelichting hard 3" xfId="1681"/>
    <cellStyle name="_Currency_Generic Gexa 9th May_inj&amp;withdr toelichting hard_dv01" xfId="366"/>
    <cellStyle name="_Currency_Generic Gexa 9th May_inj&amp;withdr toelichting hard_dv01 2" xfId="2753"/>
    <cellStyle name="_Currency_Generic Gexa 9th May_inj&amp;withdr toelichting hard_dv01 3" xfId="1682"/>
    <cellStyle name="_Currency_Germany Generic Optimizer LGM2F AMC v6" xfId="367"/>
    <cellStyle name="_Currency_Germany Generic Optimizer LGM2F AMC v6 2" xfId="2754"/>
    <cellStyle name="_Currency_Germany Generic Optimizer LGM2F AMC v6 3" xfId="1683"/>
    <cellStyle name="_Currency_Germany Generic Optimizer LGM2F AMC v6_3" xfId="368"/>
    <cellStyle name="_Currency_Germany Generic Optimizer LGM2F AMC v6_3 2" xfId="2755"/>
    <cellStyle name="_Currency_Germany Generic Optimizer LGM2F AMC v6_3 3" xfId="1684"/>
    <cellStyle name="_Currency_Germany Generic Optimizer LGM2F AMC v6_3_dv01" xfId="369"/>
    <cellStyle name="_Currency_Germany Generic Optimizer LGM2F AMC v6_3_dv01 2" xfId="2756"/>
    <cellStyle name="_Currency_Germany Generic Optimizer LGM2F AMC v6_3_dv01 3" xfId="1685"/>
    <cellStyle name="_Currency_Germany Generic Optimizer LGM2F AMC v6_4" xfId="370"/>
    <cellStyle name="_Currency_Germany Generic Optimizer LGM2F AMC v6_4 2" xfId="2757"/>
    <cellStyle name="_Currency_Germany Generic Optimizer LGM2F AMC v6_4 3" xfId="1686"/>
    <cellStyle name="_Currency_Germany Generic Optimizer LGM2F AMC v6_4_dv01" xfId="371"/>
    <cellStyle name="_Currency_Germany Generic Optimizer LGM2F AMC v6_4_dv01 2" xfId="2758"/>
    <cellStyle name="_Currency_Germany Generic Optimizer LGM2F AMC v6_4_dv01 3" xfId="1687"/>
    <cellStyle name="_Currency_Germany Generic Optimizer LGM2F AMC v6_Anker 2008Q4 concept" xfId="372"/>
    <cellStyle name="_Currency_Germany Generic Optimizer LGM2F AMC v6_Anker 2008Q4 concept 2" xfId="2759"/>
    <cellStyle name="_Currency_Germany Generic Optimizer LGM2F AMC v6_Anker 2008Q4 concept 3" xfId="1688"/>
    <cellStyle name="_Currency_Germany Generic Optimizer LGM2F AMC v6_fundrapport" xfId="373"/>
    <cellStyle name="_Currency_Germany Generic Optimizer LGM2F AMC v6_fundrapport 2" xfId="2760"/>
    <cellStyle name="_Currency_Germany Generic Optimizer LGM2F AMC v6_fundrapport 3" xfId="1689"/>
    <cellStyle name="_Currency_Germany Generic Optimizer LGM2F AMC v6_inj&amp;withdr toelichting hard" xfId="374"/>
    <cellStyle name="_Currency_Germany Generic Optimizer LGM2F AMC v6_inj&amp;withdr toelichting hard 2" xfId="2761"/>
    <cellStyle name="_Currency_Germany Generic Optimizer LGM2F AMC v6_inj&amp;withdr toelichting hard 3" xfId="1690"/>
    <cellStyle name="_Currency_Germany Generic Optimizer LGM2F AMC v6_inj&amp;withdr toelichting hard_dv01" xfId="375"/>
    <cellStyle name="_Currency_Germany Generic Optimizer LGM2F AMC v6_inj&amp;withdr toelichting hard_dv01 2" xfId="2762"/>
    <cellStyle name="_Currency_Germany Generic Optimizer LGM2F AMC v6_inj&amp;withdr toelichting hard_dv01 3" xfId="1691"/>
    <cellStyle name="_Currency_Gexa Multi Asset Path Generator" xfId="376"/>
    <cellStyle name="_Currency_Gexa Multi Asset Path Generator 2" xfId="2763"/>
    <cellStyle name="_Currency_Gexa Multi Asset Path Generator 3" xfId="1692"/>
    <cellStyle name="_Currency_Gexa Multi Asset Path Generator_3" xfId="377"/>
    <cellStyle name="_Currency_Gexa Multi Asset Path Generator_3 2" xfId="2764"/>
    <cellStyle name="_Currency_Gexa Multi Asset Path Generator_3 3" xfId="1693"/>
    <cellStyle name="_Currency_Gexa Multi Asset Path Generator_3_dv01" xfId="378"/>
    <cellStyle name="_Currency_Gexa Multi Asset Path Generator_3_dv01 2" xfId="2765"/>
    <cellStyle name="_Currency_Gexa Multi Asset Path Generator_3_dv01 3" xfId="1694"/>
    <cellStyle name="_Currency_Gexa Multi Asset Path Generator_4" xfId="379"/>
    <cellStyle name="_Currency_Gexa Multi Asset Path Generator_4 2" xfId="2766"/>
    <cellStyle name="_Currency_Gexa Multi Asset Path Generator_4 3" xfId="1695"/>
    <cellStyle name="_Currency_Gexa Multi Asset Path Generator_4_dv01" xfId="380"/>
    <cellStyle name="_Currency_Gexa Multi Asset Path Generator_4_dv01 2" xfId="2767"/>
    <cellStyle name="_Currency_Gexa Multi Asset Path Generator_4_dv01 3" xfId="1696"/>
    <cellStyle name="_Currency_Gexa Multi Asset Path Generator_Anker 2008Q4 concept" xfId="381"/>
    <cellStyle name="_Currency_Gexa Multi Asset Path Generator_Anker 2008Q4 concept 2" xfId="2768"/>
    <cellStyle name="_Currency_Gexa Multi Asset Path Generator_Anker 2008Q4 concept 3" xfId="1697"/>
    <cellStyle name="_Currency_Gexa Multi Asset Path Generator_fundrapport" xfId="382"/>
    <cellStyle name="_Currency_Gexa Multi Asset Path Generator_fundrapport 2" xfId="2769"/>
    <cellStyle name="_Currency_Gexa Multi Asset Path Generator_fundrapport 3" xfId="1698"/>
    <cellStyle name="_Currency_Gexa Multi Asset Path Generator_inj&amp;withdr toelichting hard" xfId="383"/>
    <cellStyle name="_Currency_Gexa Multi Asset Path Generator_inj&amp;withdr toelichting hard 2" xfId="2770"/>
    <cellStyle name="_Currency_Gexa Multi Asset Path Generator_inj&amp;withdr toelichting hard 3" xfId="1699"/>
    <cellStyle name="_Currency_Gexa Multi Asset Path Generator_inj&amp;withdr toelichting hard_dv01" xfId="384"/>
    <cellStyle name="_Currency_Gexa Multi Asset Path Generator_inj&amp;withdr toelichting hard_dv01 2" xfId="2771"/>
    <cellStyle name="_Currency_Gexa Multi Asset Path Generator_inj&amp;withdr toelichting hard_dv01 3" xfId="1700"/>
    <cellStyle name="_Currency_ILK 2" xfId="385"/>
    <cellStyle name="_Currency_ILK 2 2" xfId="2772"/>
    <cellStyle name="_Currency_ILK 2 3" xfId="1701"/>
    <cellStyle name="_Currency_ILK 2_3" xfId="386"/>
    <cellStyle name="_Currency_ILK 2_3 2" xfId="2773"/>
    <cellStyle name="_Currency_ILK 2_3 3" xfId="1702"/>
    <cellStyle name="_Currency_ILK 2_3_dv01" xfId="387"/>
    <cellStyle name="_Currency_ILK 2_3_dv01 2" xfId="2774"/>
    <cellStyle name="_Currency_ILK 2_3_dv01 3" xfId="1703"/>
    <cellStyle name="_Currency_ILK 2_4" xfId="388"/>
    <cellStyle name="_Currency_ILK 2_4 2" xfId="2775"/>
    <cellStyle name="_Currency_ILK 2_4 3" xfId="1704"/>
    <cellStyle name="_Currency_ILK 2_4_dv01" xfId="389"/>
    <cellStyle name="_Currency_ILK 2_4_dv01 2" xfId="2776"/>
    <cellStyle name="_Currency_ILK 2_4_dv01 3" xfId="1705"/>
    <cellStyle name="_Currency_ILK 2_Anker 2008Q4 concept" xfId="390"/>
    <cellStyle name="_Currency_ILK 2_Anker 2008Q4 concept 2" xfId="2777"/>
    <cellStyle name="_Currency_ILK 2_Anker 2008Q4 concept 3" xfId="1706"/>
    <cellStyle name="_Currency_ILK 2_fundrapport" xfId="391"/>
    <cellStyle name="_Currency_ILK 2_fundrapport 2" xfId="2778"/>
    <cellStyle name="_Currency_ILK 2_fundrapport 3" xfId="1707"/>
    <cellStyle name="_Currency_ILK 2_inj&amp;withdr toelichting hard" xfId="392"/>
    <cellStyle name="_Currency_ILK 2_inj&amp;withdr toelichting hard 2" xfId="2779"/>
    <cellStyle name="_Currency_ILK 2_inj&amp;withdr toelichting hard 3" xfId="1708"/>
    <cellStyle name="_Currency_ILK 2_inj&amp;withdr toelichting hard_dv01" xfId="393"/>
    <cellStyle name="_Currency_ILK 2_inj&amp;withdr toelichting hard_dv01 2" xfId="2780"/>
    <cellStyle name="_Currency_ILK 2_inj&amp;withdr toelichting hard_dv01 3" xfId="1709"/>
    <cellStyle name="_Currency_INF Benchmark " xfId="394"/>
    <cellStyle name="_Currency_INF Benchmark  2" xfId="2781"/>
    <cellStyle name="_Currency_INF Benchmark  3" xfId="1710"/>
    <cellStyle name="_Currency_INF Benchmark _3" xfId="395"/>
    <cellStyle name="_Currency_INF Benchmark _3 2" xfId="2782"/>
    <cellStyle name="_Currency_INF Benchmark _3 3" xfId="1711"/>
    <cellStyle name="_Currency_INF Benchmark _3_dv01" xfId="396"/>
    <cellStyle name="_Currency_INF Benchmark _3_dv01 2" xfId="2783"/>
    <cellStyle name="_Currency_INF Benchmark _3_dv01 3" xfId="1712"/>
    <cellStyle name="_Currency_INF Benchmark _4" xfId="397"/>
    <cellStyle name="_Currency_INF Benchmark _4 2" xfId="2784"/>
    <cellStyle name="_Currency_INF Benchmark _4 3" xfId="1713"/>
    <cellStyle name="_Currency_INF Benchmark _4_dv01" xfId="398"/>
    <cellStyle name="_Currency_INF Benchmark _4_dv01 2" xfId="2785"/>
    <cellStyle name="_Currency_INF Benchmark _4_dv01 3" xfId="1714"/>
    <cellStyle name="_Currency_INF Benchmark _Anker 2008Q4 concept" xfId="399"/>
    <cellStyle name="_Currency_INF Benchmark _Anker 2008Q4 concept 2" xfId="2786"/>
    <cellStyle name="_Currency_INF Benchmark _Anker 2008Q4 concept 3" xfId="1715"/>
    <cellStyle name="_Currency_INF Benchmark _fundrapport" xfId="400"/>
    <cellStyle name="_Currency_INF Benchmark _fundrapport 2" xfId="2787"/>
    <cellStyle name="_Currency_INF Benchmark _fundrapport 3" xfId="1716"/>
    <cellStyle name="_Currency_INF Benchmark _inj&amp;withdr toelichting hard" xfId="401"/>
    <cellStyle name="_Currency_INF Benchmark _inj&amp;withdr toelichting hard 2" xfId="2788"/>
    <cellStyle name="_Currency_INF Benchmark _inj&amp;withdr toelichting hard 3" xfId="1717"/>
    <cellStyle name="_Currency_INF Benchmark _inj&amp;withdr toelichting hard_dv01" xfId="402"/>
    <cellStyle name="_Currency_INF Benchmark _inj&amp;withdr toelichting hard_dv01 2" xfId="2789"/>
    <cellStyle name="_Currency_INF Benchmark _inj&amp;withdr toelichting hard_dv01 3" xfId="1718"/>
    <cellStyle name="_Currency_Infl Market" xfId="403"/>
    <cellStyle name="_Currency_Infl Market 2" xfId="2790"/>
    <cellStyle name="_Currency_Infl Market 3" xfId="1719"/>
    <cellStyle name="_Currency_Infl Market_3" xfId="404"/>
    <cellStyle name="_Currency_Infl Market_3 2" xfId="2791"/>
    <cellStyle name="_Currency_Infl Market_3 3" xfId="1720"/>
    <cellStyle name="_Currency_Infl Market_3_dv01" xfId="405"/>
    <cellStyle name="_Currency_Infl Market_3_dv01 2" xfId="2792"/>
    <cellStyle name="_Currency_Infl Market_3_dv01 3" xfId="1721"/>
    <cellStyle name="_Currency_Infl Market_4" xfId="406"/>
    <cellStyle name="_Currency_Infl Market_4 2" xfId="2793"/>
    <cellStyle name="_Currency_Infl Market_4 3" xfId="1722"/>
    <cellStyle name="_Currency_Infl Market_4_dv01" xfId="407"/>
    <cellStyle name="_Currency_Infl Market_4_dv01 2" xfId="2794"/>
    <cellStyle name="_Currency_Infl Market_4_dv01 3" xfId="1723"/>
    <cellStyle name="_Currency_Infl Market_Anker 2008Q4 concept" xfId="408"/>
    <cellStyle name="_Currency_Infl Market_Anker 2008Q4 concept 2" xfId="2795"/>
    <cellStyle name="_Currency_Infl Market_Anker 2008Q4 concept 3" xfId="1724"/>
    <cellStyle name="_Currency_Infl Market_fundrapport" xfId="409"/>
    <cellStyle name="_Currency_Infl Market_fundrapport 2" xfId="2796"/>
    <cellStyle name="_Currency_Infl Market_fundrapport 3" xfId="1725"/>
    <cellStyle name="_Currency_Infl Market_inj&amp;withdr toelichting hard" xfId="410"/>
    <cellStyle name="_Currency_Infl Market_inj&amp;withdr toelichting hard 2" xfId="2797"/>
    <cellStyle name="_Currency_Infl Market_inj&amp;withdr toelichting hard 3" xfId="1726"/>
    <cellStyle name="_Currency_Infl Market_inj&amp;withdr toelichting hard_dv01" xfId="411"/>
    <cellStyle name="_Currency_Infl Market_inj&amp;withdr toelichting hard_dv01 2" xfId="2798"/>
    <cellStyle name="_Currency_Infl Market_inj&amp;withdr toelichting hard_dv01 3" xfId="1727"/>
    <cellStyle name="_Currency_Infl Market_Liability Cashflows" xfId="412"/>
    <cellStyle name="_Currency_Infl Market_Liability Cashflows 2" xfId="2799"/>
    <cellStyle name="_Currency_Infl Market_Liability Cashflows 3" xfId="1728"/>
    <cellStyle name="_Currency_Infl Market_Liability Cashflows_actuate" xfId="413"/>
    <cellStyle name="_Currency_Infl Market_Liability Cashflows_actuate 2" xfId="2800"/>
    <cellStyle name="_Currency_Infl Market_Liability Cashflows_actuate 3" xfId="1729"/>
    <cellStyle name="_Currency_Infl Market_Liability Cashflows_dv01" xfId="414"/>
    <cellStyle name="_Currency_Infl Market_Liability Cashflows_dv01 2" xfId="2801"/>
    <cellStyle name="_Currency_Infl Market_Liability Cashflows_dv01 3" xfId="1730"/>
    <cellStyle name="_Currency_Infl ZC CF" xfId="415"/>
    <cellStyle name="_Currency_Infl ZC CF 2" xfId="2802"/>
    <cellStyle name="_Currency_Infl ZC CF 3" xfId="1731"/>
    <cellStyle name="_Currency_Infl ZC CF_actuate" xfId="416"/>
    <cellStyle name="_Currency_Infl ZC CF_actuate 2" xfId="2803"/>
    <cellStyle name="_Currency_Infl ZC CF_actuate 3" xfId="1732"/>
    <cellStyle name="_Currency_Infl ZC CF_dv01" xfId="417"/>
    <cellStyle name="_Currency_Infl ZC CF_dv01 2" xfId="2804"/>
    <cellStyle name="_Currency_Infl ZC CF_dv01 3" xfId="1733"/>
    <cellStyle name="_Currency_Inflation forwards" xfId="418"/>
    <cellStyle name="_Currency_Inflation forwards 2" xfId="2805"/>
    <cellStyle name="_Currency_Inflation forwards 3" xfId="1734"/>
    <cellStyle name="_Currency_Inflation forwards_3" xfId="419"/>
    <cellStyle name="_Currency_Inflation forwards_3 2" xfId="2806"/>
    <cellStyle name="_Currency_Inflation forwards_3 3" xfId="1735"/>
    <cellStyle name="_Currency_Inflation forwards_3_dv01" xfId="420"/>
    <cellStyle name="_Currency_Inflation forwards_3_dv01 2" xfId="2807"/>
    <cellStyle name="_Currency_Inflation forwards_3_dv01 3" xfId="1736"/>
    <cellStyle name="_Currency_Inflation forwards_4" xfId="421"/>
    <cellStyle name="_Currency_Inflation forwards_4 2" xfId="2808"/>
    <cellStyle name="_Currency_Inflation forwards_4 3" xfId="1737"/>
    <cellStyle name="_Currency_Inflation forwards_4_dv01" xfId="422"/>
    <cellStyle name="_Currency_Inflation forwards_4_dv01 2" xfId="2809"/>
    <cellStyle name="_Currency_Inflation forwards_4_dv01 3" xfId="1738"/>
    <cellStyle name="_Currency_Inflation forwards_Anker 2008Q4 concept" xfId="423"/>
    <cellStyle name="_Currency_Inflation forwards_Anker 2008Q4 concept 2" xfId="2810"/>
    <cellStyle name="_Currency_Inflation forwards_Anker 2008Q4 concept 3" xfId="1739"/>
    <cellStyle name="_Currency_Inflation forwards_fundrapport" xfId="424"/>
    <cellStyle name="_Currency_Inflation forwards_fundrapport 2" xfId="2811"/>
    <cellStyle name="_Currency_Inflation forwards_fundrapport 3" xfId="1740"/>
    <cellStyle name="_Currency_Inflation forwards_inj&amp;withdr toelichting hard" xfId="425"/>
    <cellStyle name="_Currency_Inflation forwards_inj&amp;withdr toelichting hard 2" xfId="2812"/>
    <cellStyle name="_Currency_Inflation forwards_inj&amp;withdr toelichting hard 3" xfId="1741"/>
    <cellStyle name="_Currency_Inflation forwards_inj&amp;withdr toelichting hard_dv01" xfId="426"/>
    <cellStyle name="_Currency_Inflation forwards_inj&amp;withdr toelichting hard_dv01 2" xfId="2813"/>
    <cellStyle name="_Currency_Inflation forwards_inj&amp;withdr toelichting hard_dv01 3" xfId="1742"/>
    <cellStyle name="_Currency_Inflation forwards_Liability Cashflows" xfId="427"/>
    <cellStyle name="_Currency_Inflation forwards_Liability Cashflows 2" xfId="2814"/>
    <cellStyle name="_Currency_Inflation forwards_Liability Cashflows 3" xfId="1743"/>
    <cellStyle name="_Currency_Inflation forwards_Liability Cashflows_actuate" xfId="428"/>
    <cellStyle name="_Currency_Inflation forwards_Liability Cashflows_actuate 2" xfId="2815"/>
    <cellStyle name="_Currency_Inflation forwards_Liability Cashflows_actuate 3" xfId="1744"/>
    <cellStyle name="_Currency_Inflation forwards_Liability Cashflows_dv01" xfId="429"/>
    <cellStyle name="_Currency_Inflation forwards_Liability Cashflows_dv01 2" xfId="2816"/>
    <cellStyle name="_Currency_Inflation forwards_Liability Cashflows_dv01 3" xfId="1745"/>
    <cellStyle name="_Currency_InitialPosition" xfId="430"/>
    <cellStyle name="_Currency_InitialPosition 2" xfId="2817"/>
    <cellStyle name="_Currency_InitialPosition 3" xfId="1746"/>
    <cellStyle name="_Currency_InitialPosition_1" xfId="431"/>
    <cellStyle name="_Currency_InitialPosition_1 2" xfId="2818"/>
    <cellStyle name="_Currency_InitialPosition_1 3" xfId="1747"/>
    <cellStyle name="_Currency_InitialPosition_1_3" xfId="432"/>
    <cellStyle name="_Currency_InitialPosition_1_3 2" xfId="2819"/>
    <cellStyle name="_Currency_InitialPosition_1_3 3" xfId="1748"/>
    <cellStyle name="_Currency_InitialPosition_1_3_dv01" xfId="433"/>
    <cellStyle name="_Currency_InitialPosition_1_3_dv01 2" xfId="2820"/>
    <cellStyle name="_Currency_InitialPosition_1_3_dv01 3" xfId="1749"/>
    <cellStyle name="_Currency_InitialPosition_1_4" xfId="434"/>
    <cellStyle name="_Currency_InitialPosition_1_4 2" xfId="2821"/>
    <cellStyle name="_Currency_InitialPosition_1_4 3" xfId="1750"/>
    <cellStyle name="_Currency_InitialPosition_1_4_dv01" xfId="435"/>
    <cellStyle name="_Currency_InitialPosition_1_4_dv01 2" xfId="2822"/>
    <cellStyle name="_Currency_InitialPosition_1_4_dv01 3" xfId="1751"/>
    <cellStyle name="_Currency_InitialPosition_1_Anker 2008Q4 concept" xfId="436"/>
    <cellStyle name="_Currency_InitialPosition_1_Anker 2008Q4 concept 2" xfId="2823"/>
    <cellStyle name="_Currency_InitialPosition_1_Anker 2008Q4 concept 3" xfId="1752"/>
    <cellStyle name="_Currency_InitialPosition_1_fundrapport" xfId="437"/>
    <cellStyle name="_Currency_InitialPosition_1_fundrapport 2" xfId="2824"/>
    <cellStyle name="_Currency_InitialPosition_1_fundrapport 3" xfId="1753"/>
    <cellStyle name="_Currency_InitialPosition_1_inj&amp;withdr toelichting hard" xfId="438"/>
    <cellStyle name="_Currency_InitialPosition_1_inj&amp;withdr toelichting hard 2" xfId="2825"/>
    <cellStyle name="_Currency_InitialPosition_1_inj&amp;withdr toelichting hard 3" xfId="1754"/>
    <cellStyle name="_Currency_InitialPosition_1_inj&amp;withdr toelichting hard_dv01" xfId="439"/>
    <cellStyle name="_Currency_InitialPosition_1_inj&amp;withdr toelichting hard_dv01 2" xfId="2826"/>
    <cellStyle name="_Currency_InitialPosition_1_inj&amp;withdr toelichting hard_dv01 3" xfId="1755"/>
    <cellStyle name="_Currency_InitialPosition_3" xfId="440"/>
    <cellStyle name="_Currency_InitialPosition_3 2" xfId="2827"/>
    <cellStyle name="_Currency_InitialPosition_3 3" xfId="1756"/>
    <cellStyle name="_Currency_InitialPosition_3_dv01" xfId="441"/>
    <cellStyle name="_Currency_InitialPosition_3_dv01 2" xfId="2828"/>
    <cellStyle name="_Currency_InitialPosition_3_dv01 3" xfId="1757"/>
    <cellStyle name="_Currency_InitialPosition_4" xfId="442"/>
    <cellStyle name="_Currency_InitialPosition_4 2" xfId="2829"/>
    <cellStyle name="_Currency_InitialPosition_4 3" xfId="1758"/>
    <cellStyle name="_Currency_InitialPosition_4_dv01" xfId="443"/>
    <cellStyle name="_Currency_InitialPosition_4_dv01 2" xfId="2830"/>
    <cellStyle name="_Currency_InitialPosition_4_dv01 3" xfId="1759"/>
    <cellStyle name="_Currency_InitialPosition_Anker 2008Q4 concept" xfId="444"/>
    <cellStyle name="_Currency_InitialPosition_Anker 2008Q4 concept 2" xfId="2831"/>
    <cellStyle name="_Currency_InitialPosition_Anker 2008Q4 concept 3" xfId="1760"/>
    <cellStyle name="_Currency_InitialPosition_fundrapport" xfId="445"/>
    <cellStyle name="_Currency_InitialPosition_fundrapport 2" xfId="2832"/>
    <cellStyle name="_Currency_InitialPosition_fundrapport 3" xfId="1761"/>
    <cellStyle name="_Currency_InitialPosition_inj&amp;withdr toelichting hard" xfId="446"/>
    <cellStyle name="_Currency_InitialPosition_inj&amp;withdr toelichting hard 2" xfId="2833"/>
    <cellStyle name="_Currency_InitialPosition_inj&amp;withdr toelichting hard 3" xfId="1762"/>
    <cellStyle name="_Currency_InitialPosition_inj&amp;withdr toelichting hard_dv01" xfId="447"/>
    <cellStyle name="_Currency_InitialPosition_inj&amp;withdr toelichting hard_dv01 2" xfId="2834"/>
    <cellStyle name="_Currency_InitialPosition_inj&amp;withdr toelichting hard_dv01 3" xfId="1763"/>
    <cellStyle name="_Currency_inj&amp;withdr toelichting hard" xfId="448"/>
    <cellStyle name="_Currency_inj&amp;withdr toelichting hard 2" xfId="2835"/>
    <cellStyle name="_Currency_inj&amp;withdr toelichting hard 3" xfId="1764"/>
    <cellStyle name="_Currency_inj&amp;withdr toelichting hard_dv01" xfId="449"/>
    <cellStyle name="_Currency_inj&amp;withdr toelichting hard_dv01 2" xfId="2836"/>
    <cellStyle name="_Currency_inj&amp;withdr toelichting hard_dv01 3" xfId="1765"/>
    <cellStyle name="_Currency_IR Benchmark" xfId="450"/>
    <cellStyle name="_Currency_IR Benchmark 2" xfId="2837"/>
    <cellStyle name="_Currency_IR Benchmark 3" xfId="1766"/>
    <cellStyle name="_Currency_IR Benchmark_3" xfId="451"/>
    <cellStyle name="_Currency_IR Benchmark_3 2" xfId="2838"/>
    <cellStyle name="_Currency_IR Benchmark_3 3" xfId="1767"/>
    <cellStyle name="_Currency_IR Benchmark_3_dv01" xfId="452"/>
    <cellStyle name="_Currency_IR Benchmark_3_dv01 2" xfId="2839"/>
    <cellStyle name="_Currency_IR Benchmark_3_dv01 3" xfId="1768"/>
    <cellStyle name="_Currency_IR Benchmark_4" xfId="453"/>
    <cellStyle name="_Currency_IR Benchmark_4 2" xfId="2840"/>
    <cellStyle name="_Currency_IR Benchmark_4 3" xfId="1769"/>
    <cellStyle name="_Currency_IR Benchmark_4_dv01" xfId="454"/>
    <cellStyle name="_Currency_IR Benchmark_4_dv01 2" xfId="2841"/>
    <cellStyle name="_Currency_IR Benchmark_4_dv01 3" xfId="1770"/>
    <cellStyle name="_Currency_IR Benchmark_Anker 2008Q4 concept" xfId="455"/>
    <cellStyle name="_Currency_IR Benchmark_Anker 2008Q4 concept 2" xfId="2842"/>
    <cellStyle name="_Currency_IR Benchmark_Anker 2008Q4 concept 3" xfId="1771"/>
    <cellStyle name="_Currency_IR Benchmark_fundrapport" xfId="456"/>
    <cellStyle name="_Currency_IR Benchmark_fundrapport 2" xfId="2843"/>
    <cellStyle name="_Currency_IR Benchmark_fundrapport 3" xfId="1772"/>
    <cellStyle name="_Currency_IR Benchmark_inj&amp;withdr toelichting hard" xfId="457"/>
    <cellStyle name="_Currency_IR Benchmark_inj&amp;withdr toelichting hard 2" xfId="2844"/>
    <cellStyle name="_Currency_IR Benchmark_inj&amp;withdr toelichting hard 3" xfId="1773"/>
    <cellStyle name="_Currency_IR Benchmark_inj&amp;withdr toelichting hard_dv01" xfId="458"/>
    <cellStyle name="_Currency_IR Benchmark_inj&amp;withdr toelichting hard_dv01 2" xfId="2845"/>
    <cellStyle name="_Currency_IR Benchmark_inj&amp;withdr toelichting hard_dv01 3" xfId="1774"/>
    <cellStyle name="_Currency_July 05 position" xfId="459"/>
    <cellStyle name="_Currency_July 05 position 2" xfId="2846"/>
    <cellStyle name="_Currency_July 05 position 3" xfId="1775"/>
    <cellStyle name="_Currency_July 05 position_3" xfId="460"/>
    <cellStyle name="_Currency_July 05 position_3 2" xfId="2847"/>
    <cellStyle name="_Currency_July 05 position_3 3" xfId="1776"/>
    <cellStyle name="_Currency_July 05 position_3_dv01" xfId="461"/>
    <cellStyle name="_Currency_July 05 position_3_dv01 2" xfId="2848"/>
    <cellStyle name="_Currency_July 05 position_3_dv01 3" xfId="1777"/>
    <cellStyle name="_Currency_July 05 position_4" xfId="462"/>
    <cellStyle name="_Currency_July 05 position_4 2" xfId="2849"/>
    <cellStyle name="_Currency_July 05 position_4 3" xfId="1778"/>
    <cellStyle name="_Currency_July 05 position_4_dv01" xfId="463"/>
    <cellStyle name="_Currency_July 05 position_4_dv01 2" xfId="2850"/>
    <cellStyle name="_Currency_July 05 position_4_dv01 3" xfId="1779"/>
    <cellStyle name="_Currency_July 05 position_Anker 2008Q4 concept" xfId="464"/>
    <cellStyle name="_Currency_July 05 position_Anker 2008Q4 concept 2" xfId="2851"/>
    <cellStyle name="_Currency_July 05 position_Anker 2008Q4 concept 3" xfId="1780"/>
    <cellStyle name="_Currency_July 05 position_fundrapport" xfId="465"/>
    <cellStyle name="_Currency_July 05 position_fundrapport 2" xfId="2852"/>
    <cellStyle name="_Currency_July 05 position_fundrapport 3" xfId="1781"/>
    <cellStyle name="_Currency_July 05 position_inj&amp;withdr toelichting hard" xfId="466"/>
    <cellStyle name="_Currency_July 05 position_inj&amp;withdr toelichting hard 2" xfId="2853"/>
    <cellStyle name="_Currency_July 05 position_inj&amp;withdr toelichting hard 3" xfId="1782"/>
    <cellStyle name="_Currency_July 05 position_inj&amp;withdr toelichting hard_dv01" xfId="467"/>
    <cellStyle name="_Currency_July 05 position_inj&amp;withdr toelichting hard_dv01 2" xfId="2854"/>
    <cellStyle name="_Currency_July 05 position_inj&amp;withdr toelichting hard_dv01 3" xfId="1783"/>
    <cellStyle name="_Currency_June 05 CF" xfId="468"/>
    <cellStyle name="_Currency_June 05 CF 2" xfId="2855"/>
    <cellStyle name="_Currency_June 05 CF 3" xfId="1784"/>
    <cellStyle name="_Currency_June 05 CF_actuate" xfId="469"/>
    <cellStyle name="_Currency_June 05 CF_actuate 2" xfId="2856"/>
    <cellStyle name="_Currency_June 05 CF_actuate 3" xfId="1785"/>
    <cellStyle name="_Currency_June 05 CF_dv01" xfId="470"/>
    <cellStyle name="_Currency_June 05 CF_dv01 2" xfId="2857"/>
    <cellStyle name="_Currency_June 05 CF_dv01 3" xfId="1786"/>
    <cellStyle name="_Currency_June05" xfId="471"/>
    <cellStyle name="_Currency_June05 2" xfId="2858"/>
    <cellStyle name="_Currency_June05 3" xfId="1787"/>
    <cellStyle name="_Currency_June05_1" xfId="472"/>
    <cellStyle name="_Currency_June05_1 2" xfId="2859"/>
    <cellStyle name="_Currency_June05_1 3" xfId="1788"/>
    <cellStyle name="_Currency_June05_1_3" xfId="473"/>
    <cellStyle name="_Currency_June05_1_3 2" xfId="2860"/>
    <cellStyle name="_Currency_June05_1_3 3" xfId="1789"/>
    <cellStyle name="_Currency_June05_1_3_dv01" xfId="474"/>
    <cellStyle name="_Currency_June05_1_3_dv01 2" xfId="2861"/>
    <cellStyle name="_Currency_June05_1_3_dv01 3" xfId="1790"/>
    <cellStyle name="_Currency_June05_1_4" xfId="475"/>
    <cellStyle name="_Currency_June05_1_4 2" xfId="2862"/>
    <cellStyle name="_Currency_June05_1_4 3" xfId="1791"/>
    <cellStyle name="_Currency_June05_1_4_dv01" xfId="476"/>
    <cellStyle name="_Currency_June05_1_4_dv01 2" xfId="2863"/>
    <cellStyle name="_Currency_June05_1_4_dv01 3" xfId="1792"/>
    <cellStyle name="_Currency_June05_1_Anker 2008Q4 concept" xfId="477"/>
    <cellStyle name="_Currency_June05_1_Anker 2008Q4 concept 2" xfId="2864"/>
    <cellStyle name="_Currency_June05_1_Anker 2008Q4 concept 3" xfId="1793"/>
    <cellStyle name="_Currency_June05_1_fundrapport" xfId="478"/>
    <cellStyle name="_Currency_June05_1_fundrapport 2" xfId="2865"/>
    <cellStyle name="_Currency_June05_1_fundrapport 3" xfId="1794"/>
    <cellStyle name="_Currency_June05_1_inj&amp;withdr toelichting hard" xfId="479"/>
    <cellStyle name="_Currency_June05_1_inj&amp;withdr toelichting hard 2" xfId="2866"/>
    <cellStyle name="_Currency_June05_1_inj&amp;withdr toelichting hard 3" xfId="1795"/>
    <cellStyle name="_Currency_June05_1_inj&amp;withdr toelichting hard_dv01" xfId="480"/>
    <cellStyle name="_Currency_June05_1_inj&amp;withdr toelichting hard_dv01 2" xfId="2867"/>
    <cellStyle name="_Currency_June05_1_inj&amp;withdr toelichting hard_dv01 3" xfId="1796"/>
    <cellStyle name="_Currency_June05_3" xfId="481"/>
    <cellStyle name="_Currency_June05_3 2" xfId="2868"/>
    <cellStyle name="_Currency_June05_3 3" xfId="1797"/>
    <cellStyle name="_Currency_June05_3_dv01" xfId="482"/>
    <cellStyle name="_Currency_June05_3_dv01 2" xfId="2869"/>
    <cellStyle name="_Currency_June05_3_dv01 3" xfId="1798"/>
    <cellStyle name="_Currency_June05_4" xfId="483"/>
    <cellStyle name="_Currency_June05_4 2" xfId="2870"/>
    <cellStyle name="_Currency_June05_4 3" xfId="1799"/>
    <cellStyle name="_Currency_June05_4_dv01" xfId="484"/>
    <cellStyle name="_Currency_June05_4_dv01 2" xfId="2871"/>
    <cellStyle name="_Currency_June05_4_dv01 3" xfId="1800"/>
    <cellStyle name="_Currency_June05_Anker 2008Q4 concept" xfId="485"/>
    <cellStyle name="_Currency_June05_Anker 2008Q4 concept 2" xfId="2872"/>
    <cellStyle name="_Currency_June05_Anker 2008Q4 concept 3" xfId="1801"/>
    <cellStyle name="_Currency_June05_fundrapport" xfId="486"/>
    <cellStyle name="_Currency_June05_fundrapport 2" xfId="2873"/>
    <cellStyle name="_Currency_June05_fundrapport 3" xfId="1802"/>
    <cellStyle name="_Currency_June05_inj&amp;withdr toelichting hard" xfId="487"/>
    <cellStyle name="_Currency_June05_inj&amp;withdr toelichting hard 2" xfId="2874"/>
    <cellStyle name="_Currency_June05_inj&amp;withdr toelichting hard 3" xfId="1803"/>
    <cellStyle name="_Currency_June05_inj&amp;withdr toelichting hard_dv01" xfId="488"/>
    <cellStyle name="_Currency_June05_inj&amp;withdr toelichting hard_dv01 2" xfId="2875"/>
    <cellStyle name="_Currency_June05_inj&amp;withdr toelichting hard_dv01 3" xfId="1804"/>
    <cellStyle name="_Currency_Latest- Matrix Cashflows" xfId="489"/>
    <cellStyle name="_Currency_Latest- Matrix Cashflows 2" xfId="2876"/>
    <cellStyle name="_Currency_Latest- Matrix Cashflows 3" xfId="1805"/>
    <cellStyle name="_Currency_Latest- Matrix Cashflows_3" xfId="490"/>
    <cellStyle name="_Currency_Latest- Matrix Cashflows_3 2" xfId="2877"/>
    <cellStyle name="_Currency_Latest- Matrix Cashflows_3 3" xfId="1806"/>
    <cellStyle name="_Currency_Latest- Matrix Cashflows_3_dv01" xfId="491"/>
    <cellStyle name="_Currency_Latest- Matrix Cashflows_3_dv01 2" xfId="2878"/>
    <cellStyle name="_Currency_Latest- Matrix Cashflows_3_dv01 3" xfId="1807"/>
    <cellStyle name="_Currency_Latest- Matrix Cashflows_4" xfId="492"/>
    <cellStyle name="_Currency_Latest- Matrix Cashflows_4 2" xfId="2879"/>
    <cellStyle name="_Currency_Latest- Matrix Cashflows_4 3" xfId="1808"/>
    <cellStyle name="_Currency_Latest- Matrix Cashflows_4_dv01" xfId="493"/>
    <cellStyle name="_Currency_Latest- Matrix Cashflows_4_dv01 2" xfId="2880"/>
    <cellStyle name="_Currency_Latest- Matrix Cashflows_4_dv01 3" xfId="1809"/>
    <cellStyle name="_Currency_Latest- Matrix Cashflows_Anker 2008Q4 concept" xfId="494"/>
    <cellStyle name="_Currency_Latest- Matrix Cashflows_Anker 2008Q4 concept 2" xfId="2881"/>
    <cellStyle name="_Currency_Latest- Matrix Cashflows_Anker 2008Q4 concept 3" xfId="1810"/>
    <cellStyle name="_Currency_Latest- Matrix Cashflows_fundrapport" xfId="495"/>
    <cellStyle name="_Currency_Latest- Matrix Cashflows_fundrapport 2" xfId="2882"/>
    <cellStyle name="_Currency_Latest- Matrix Cashflows_fundrapport 3" xfId="1811"/>
    <cellStyle name="_Currency_Latest- Matrix Cashflows_inj&amp;withdr toelichting hard" xfId="496"/>
    <cellStyle name="_Currency_Latest- Matrix Cashflows_inj&amp;withdr toelichting hard 2" xfId="2883"/>
    <cellStyle name="_Currency_Latest- Matrix Cashflows_inj&amp;withdr toelichting hard 3" xfId="1812"/>
    <cellStyle name="_Currency_Latest- Matrix Cashflows_inj&amp;withdr toelichting hard_dv01" xfId="497"/>
    <cellStyle name="_Currency_Latest- Matrix Cashflows_inj&amp;withdr toelichting hard_dv01 2" xfId="2884"/>
    <cellStyle name="_Currency_Latest- Matrix Cashflows_inj&amp;withdr toelichting hard_dv01 3" xfId="1813"/>
    <cellStyle name="_Currency_LATEST-Cleaned by DW" xfId="498"/>
    <cellStyle name="_Currency_LATEST-Cleaned by DW 2" xfId="2885"/>
    <cellStyle name="_Currency_LATEST-Cleaned by DW 3" xfId="1814"/>
    <cellStyle name="_Currency_LATEST-Cleaned by DW_3" xfId="499"/>
    <cellStyle name="_Currency_LATEST-Cleaned by DW_3 2" xfId="2886"/>
    <cellStyle name="_Currency_LATEST-Cleaned by DW_3 3" xfId="1815"/>
    <cellStyle name="_Currency_LATEST-Cleaned by DW_3_dv01" xfId="500"/>
    <cellStyle name="_Currency_LATEST-Cleaned by DW_3_dv01 2" xfId="2887"/>
    <cellStyle name="_Currency_LATEST-Cleaned by DW_3_dv01 3" xfId="1816"/>
    <cellStyle name="_Currency_LATEST-Cleaned by DW_4" xfId="501"/>
    <cellStyle name="_Currency_LATEST-Cleaned by DW_4 2" xfId="2888"/>
    <cellStyle name="_Currency_LATEST-Cleaned by DW_4 3" xfId="1817"/>
    <cellStyle name="_Currency_LATEST-Cleaned by DW_4_dv01" xfId="502"/>
    <cellStyle name="_Currency_LATEST-Cleaned by DW_4_dv01 2" xfId="2889"/>
    <cellStyle name="_Currency_LATEST-Cleaned by DW_4_dv01 3" xfId="1818"/>
    <cellStyle name="_Currency_LATEST-Cleaned by DW_Anker 2008Q4 concept" xfId="503"/>
    <cellStyle name="_Currency_LATEST-Cleaned by DW_Anker 2008Q4 concept 2" xfId="2890"/>
    <cellStyle name="_Currency_LATEST-Cleaned by DW_Anker 2008Q4 concept 3" xfId="1819"/>
    <cellStyle name="_Currency_LATEST-Cleaned by DW_fundrapport" xfId="504"/>
    <cellStyle name="_Currency_LATEST-Cleaned by DW_fundrapport 2" xfId="2891"/>
    <cellStyle name="_Currency_LATEST-Cleaned by DW_fundrapport 3" xfId="1820"/>
    <cellStyle name="_Currency_LATEST-Cleaned by DW_inj&amp;withdr toelichting hard" xfId="505"/>
    <cellStyle name="_Currency_LATEST-Cleaned by DW_inj&amp;withdr toelichting hard 2" xfId="2892"/>
    <cellStyle name="_Currency_LATEST-Cleaned by DW_inj&amp;withdr toelichting hard 3" xfId="1821"/>
    <cellStyle name="_Currency_LATEST-Cleaned by DW_inj&amp;withdr toelichting hard_dv01" xfId="506"/>
    <cellStyle name="_Currency_LATEST-Cleaned by DW_inj&amp;withdr toelichting hard_dv01 2" xfId="2893"/>
    <cellStyle name="_Currency_LATEST-Cleaned by DW_inj&amp;withdr toelichting hard_dv01 3" xfId="1822"/>
    <cellStyle name="_Currency_LDI Characts" xfId="507"/>
    <cellStyle name="_Currency_LDI Characts 2" xfId="2894"/>
    <cellStyle name="_Currency_LDI Characts 3" xfId="1823"/>
    <cellStyle name="_Currency_LDI Characts_3" xfId="508"/>
    <cellStyle name="_Currency_LDI Characts_3 2" xfId="2895"/>
    <cellStyle name="_Currency_LDI Characts_3 3" xfId="1824"/>
    <cellStyle name="_Currency_LDI Characts_3_dv01" xfId="509"/>
    <cellStyle name="_Currency_LDI Characts_3_dv01 2" xfId="2896"/>
    <cellStyle name="_Currency_LDI Characts_3_dv01 3" xfId="1825"/>
    <cellStyle name="_Currency_LDI Characts_4" xfId="510"/>
    <cellStyle name="_Currency_LDI Characts_4 2" xfId="2897"/>
    <cellStyle name="_Currency_LDI Characts_4 3" xfId="1826"/>
    <cellStyle name="_Currency_LDI Characts_4_dv01" xfId="511"/>
    <cellStyle name="_Currency_LDI Characts_4_dv01 2" xfId="2898"/>
    <cellStyle name="_Currency_LDI Characts_4_dv01 3" xfId="1827"/>
    <cellStyle name="_Currency_LDI Characts_Anker 2008Q4 concept" xfId="512"/>
    <cellStyle name="_Currency_LDI Characts_Anker 2008Q4 concept 2" xfId="2899"/>
    <cellStyle name="_Currency_LDI Characts_Anker 2008Q4 concept 3" xfId="1828"/>
    <cellStyle name="_Currency_LDI Characts_fundrapport" xfId="513"/>
    <cellStyle name="_Currency_LDI Characts_fundrapport 2" xfId="2900"/>
    <cellStyle name="_Currency_LDI Characts_fundrapport 3" xfId="1829"/>
    <cellStyle name="_Currency_LDI Characts_inj&amp;withdr toelichting hard" xfId="514"/>
    <cellStyle name="_Currency_LDI Characts_inj&amp;withdr toelichting hard 2" xfId="2901"/>
    <cellStyle name="_Currency_LDI Characts_inj&amp;withdr toelichting hard 3" xfId="1830"/>
    <cellStyle name="_Currency_LDI Characts_inj&amp;withdr toelichting hard_dv01" xfId="515"/>
    <cellStyle name="_Currency_LDI Characts_inj&amp;withdr toelichting hard_dv01 2" xfId="2902"/>
    <cellStyle name="_Currency_LDI Characts_inj&amp;withdr toelichting hard_dv01 3" xfId="1831"/>
    <cellStyle name="_Currency_Liabilities_Worksheet_v3_EMUXT_conv_adjust" xfId="516"/>
    <cellStyle name="_Currency_Liabilities_Worksheet_v3_EMUXT_conv_adjust 2" xfId="2903"/>
    <cellStyle name="_Currency_Liabilities_Worksheet_v3_EMUXT_conv_adjust 3" xfId="1832"/>
    <cellStyle name="_Currency_Liabilities_Worksheet_v3_EMUXT_conv_adjust_3" xfId="517"/>
    <cellStyle name="_Currency_Liabilities_Worksheet_v3_EMUXT_conv_adjust_3 2" xfId="2904"/>
    <cellStyle name="_Currency_Liabilities_Worksheet_v3_EMUXT_conv_adjust_3 3" xfId="1833"/>
    <cellStyle name="_Currency_Liabilities_Worksheet_v3_EMUXT_conv_adjust_3_dv01" xfId="518"/>
    <cellStyle name="_Currency_Liabilities_Worksheet_v3_EMUXT_conv_adjust_3_dv01 2" xfId="2905"/>
    <cellStyle name="_Currency_Liabilities_Worksheet_v3_EMUXT_conv_adjust_3_dv01 3" xfId="1834"/>
    <cellStyle name="_Currency_Liabilities_Worksheet_v3_EMUXT_conv_adjust_4" xfId="519"/>
    <cellStyle name="_Currency_Liabilities_Worksheet_v3_EMUXT_conv_adjust_4 2" xfId="2906"/>
    <cellStyle name="_Currency_Liabilities_Worksheet_v3_EMUXT_conv_adjust_4 3" xfId="1835"/>
    <cellStyle name="_Currency_Liabilities_Worksheet_v3_EMUXT_conv_adjust_4_dv01" xfId="520"/>
    <cellStyle name="_Currency_Liabilities_Worksheet_v3_EMUXT_conv_adjust_4_dv01 2" xfId="2907"/>
    <cellStyle name="_Currency_Liabilities_Worksheet_v3_EMUXT_conv_adjust_4_dv01 3" xfId="1836"/>
    <cellStyle name="_Currency_Liabilities_Worksheet_v3_EMUXT_conv_adjust_Anker 2008Q4 concept" xfId="521"/>
    <cellStyle name="_Currency_Liabilities_Worksheet_v3_EMUXT_conv_adjust_Anker 2008Q4 concept 2" xfId="2908"/>
    <cellStyle name="_Currency_Liabilities_Worksheet_v3_EMUXT_conv_adjust_Anker 2008Q4 concept 3" xfId="1837"/>
    <cellStyle name="_Currency_Liabilities_Worksheet_v3_EMUXT_conv_adjust_fundrapport" xfId="522"/>
    <cellStyle name="_Currency_Liabilities_Worksheet_v3_EMUXT_conv_adjust_fundrapport 2" xfId="2909"/>
    <cellStyle name="_Currency_Liabilities_Worksheet_v3_EMUXT_conv_adjust_fundrapport 3" xfId="1838"/>
    <cellStyle name="_Currency_Liabilities_Worksheet_v3_EMUXT_conv_adjust_inj&amp;withdr toelichting hard" xfId="523"/>
    <cellStyle name="_Currency_Liabilities_Worksheet_v3_EMUXT_conv_adjust_inj&amp;withdr toelichting hard 2" xfId="2910"/>
    <cellStyle name="_Currency_Liabilities_Worksheet_v3_EMUXT_conv_adjust_inj&amp;withdr toelichting hard 3" xfId="1839"/>
    <cellStyle name="_Currency_Liabilities_Worksheet_v3_EMUXT_conv_adjust_inj&amp;withdr toelichting hard_dv01" xfId="524"/>
    <cellStyle name="_Currency_Liabilities_Worksheet_v3_EMUXT_conv_adjust_inj&amp;withdr toelichting hard_dv01 2" xfId="2911"/>
    <cellStyle name="_Currency_Liabilities_Worksheet_v3_EMUXT_conv_adjust_inj&amp;withdr toelichting hard_dv01 3" xfId="1840"/>
    <cellStyle name="_Currency_Liability Cashflows" xfId="525"/>
    <cellStyle name="_Currency_Liability Cashflows 2" xfId="2912"/>
    <cellStyle name="_Currency_Liability Cashflows 3" xfId="1841"/>
    <cellStyle name="_Currency_Liability Cashflows_3" xfId="526"/>
    <cellStyle name="_Currency_Liability Cashflows_3 2" xfId="2913"/>
    <cellStyle name="_Currency_Liability Cashflows_3 3" xfId="1842"/>
    <cellStyle name="_Currency_Liability Cashflows_3_dv01" xfId="527"/>
    <cellStyle name="_Currency_Liability Cashflows_3_dv01 2" xfId="2914"/>
    <cellStyle name="_Currency_Liability Cashflows_3_dv01 3" xfId="1843"/>
    <cellStyle name="_Currency_Liability Cashflows_4" xfId="528"/>
    <cellStyle name="_Currency_Liability Cashflows_4 2" xfId="2915"/>
    <cellStyle name="_Currency_Liability Cashflows_4 3" xfId="1844"/>
    <cellStyle name="_Currency_Liability Cashflows_4_dv01" xfId="529"/>
    <cellStyle name="_Currency_Liability Cashflows_4_dv01 2" xfId="2916"/>
    <cellStyle name="_Currency_Liability Cashflows_4_dv01 3" xfId="1845"/>
    <cellStyle name="_Currency_Liability Cashflows_Anker 2008Q4 concept" xfId="530"/>
    <cellStyle name="_Currency_Liability Cashflows_Anker 2008Q4 concept 2" xfId="2917"/>
    <cellStyle name="_Currency_Liability Cashflows_Anker 2008Q4 concept 3" xfId="1846"/>
    <cellStyle name="_Currency_Liability Cashflows_fundrapport" xfId="531"/>
    <cellStyle name="_Currency_Liability Cashflows_fundrapport 2" xfId="2918"/>
    <cellStyle name="_Currency_Liability Cashflows_fundrapport 3" xfId="1847"/>
    <cellStyle name="_Currency_Liability Cashflows_inj&amp;withdr toelichting hard" xfId="532"/>
    <cellStyle name="_Currency_Liability Cashflows_inj&amp;withdr toelichting hard 2" xfId="2919"/>
    <cellStyle name="_Currency_Liability Cashflows_inj&amp;withdr toelichting hard 3" xfId="1848"/>
    <cellStyle name="_Currency_Liability Cashflows_inj&amp;withdr toelichting hard_dv01" xfId="533"/>
    <cellStyle name="_Currency_Liability Cashflows_inj&amp;withdr toelichting hard_dv01 2" xfId="2920"/>
    <cellStyle name="_Currency_Liability Cashflows_inj&amp;withdr toelichting hard_dv01 3" xfId="1849"/>
    <cellStyle name="_Currency_Liability_IR_Sensitvity_and_Cashflows_Summary_NEW_DATA_Apr05" xfId="534"/>
    <cellStyle name="_Currency_Liability_IR_Sensitvity_and_Cashflows_Summary_NEW_DATA_Apr05 2" xfId="2921"/>
    <cellStyle name="_Currency_Liability_IR_Sensitvity_and_Cashflows_Summary_NEW_DATA_Apr05 3" xfId="1850"/>
    <cellStyle name="_Currency_Liability_IR_Sensitvity_and_Cashflows_Summary_NEW_DATA_Apr05_2" xfId="535"/>
    <cellStyle name="_Currency_Liability_IR_Sensitvity_and_Cashflows_Summary_NEW_DATA_Apr05_2 2" xfId="2922"/>
    <cellStyle name="_Currency_Liability_IR_Sensitvity_and_Cashflows_Summary_NEW_DATA_Apr05_2 3" xfId="1851"/>
    <cellStyle name="_Currency_Liability_IR_Sensitvity_and_Cashflows_Summary_NEW_DATA_Apr05_2_4" xfId="536"/>
    <cellStyle name="_Currency_Liability_IR_Sensitvity_and_Cashflows_Summary_NEW_DATA_Apr05_2_4 2" xfId="2923"/>
    <cellStyle name="_Currency_Liability_IR_Sensitvity_and_Cashflows_Summary_NEW_DATA_Apr05_2_4 3" xfId="1852"/>
    <cellStyle name="_Currency_Liability_IR_Sensitvity_and_Cashflows_Summary_NEW_DATA_Apr05_2_4_dv01" xfId="537"/>
    <cellStyle name="_Currency_Liability_IR_Sensitvity_and_Cashflows_Summary_NEW_DATA_Apr05_2_4_dv01 2" xfId="2924"/>
    <cellStyle name="_Currency_Liability_IR_Sensitvity_and_Cashflows_Summary_NEW_DATA_Apr05_2_4_dv01 3" xfId="1853"/>
    <cellStyle name="_Currency_Liability_IR_Sensitvity_and_Cashflows_Summary_NEW_DATA_Apr05_2_inj&amp;withdr toelichting hard" xfId="538"/>
    <cellStyle name="_Currency_Liability_IR_Sensitvity_and_Cashflows_Summary_NEW_DATA_Apr05_2_inj&amp;withdr toelichting hard 2" xfId="2925"/>
    <cellStyle name="_Currency_Liability_IR_Sensitvity_and_Cashflows_Summary_NEW_DATA_Apr05_2_inj&amp;withdr toelichting hard 3" xfId="1854"/>
    <cellStyle name="_Currency_Liability_IR_Sensitvity_and_Cashflows_Summary_NEW_DATA_Apr05_2_inj&amp;withdr toelichting hard_dv01" xfId="539"/>
    <cellStyle name="_Currency_Liability_IR_Sensitvity_and_Cashflows_Summary_NEW_DATA_Apr05_2_inj&amp;withdr toelichting hard_dv01 2" xfId="2926"/>
    <cellStyle name="_Currency_Liability_IR_Sensitvity_and_Cashflows_Summary_NEW_DATA_Apr05_2_inj&amp;withdr toelichting hard_dv01 3" xfId="1855"/>
    <cellStyle name="_Currency_Liability_IR_Sensitvity_and_Cashflows_Summary_NEW_DATA_Apr05_3" xfId="540"/>
    <cellStyle name="_Currency_Liability_IR_Sensitvity_and_Cashflows_Summary_NEW_DATA_Apr05_3 2" xfId="2927"/>
    <cellStyle name="_Currency_Liability_IR_Sensitvity_and_Cashflows_Summary_NEW_DATA_Apr05_3 3" xfId="1856"/>
    <cellStyle name="_Currency_Liability_IR_Sensitvity_and_Cashflows_Summary_NEW_DATA_Apr05_3_dv01" xfId="541"/>
    <cellStyle name="_Currency_Liability_IR_Sensitvity_and_Cashflows_Summary_NEW_DATA_Apr05_3_dv01 2" xfId="2928"/>
    <cellStyle name="_Currency_Liability_IR_Sensitvity_and_Cashflows_Summary_NEW_DATA_Apr05_3_dv01 3" xfId="1857"/>
    <cellStyle name="_Currency_Liability_IR_Sensitvity_and_Cashflows_Summary_NEW_DATA_Apr05_4" xfId="542"/>
    <cellStyle name="_Currency_Liability_IR_Sensitvity_and_Cashflows_Summary_NEW_DATA_Apr05_4 2" xfId="2929"/>
    <cellStyle name="_Currency_Liability_IR_Sensitvity_and_Cashflows_Summary_NEW_DATA_Apr05_4 3" xfId="1858"/>
    <cellStyle name="_Currency_Liability_IR_Sensitvity_and_Cashflows_Summary_NEW_DATA_Apr05_4_dv01" xfId="543"/>
    <cellStyle name="_Currency_Liability_IR_Sensitvity_and_Cashflows_Summary_NEW_DATA_Apr05_4_dv01 2" xfId="2930"/>
    <cellStyle name="_Currency_Liability_IR_Sensitvity_and_Cashflows_Summary_NEW_DATA_Apr05_4_dv01 3" xfId="1859"/>
    <cellStyle name="_Currency_Liability_IR_Sensitvity_and_Cashflows_Summary_NEW_DATA_Apr05_Anker 2008Q4 concept" xfId="544"/>
    <cellStyle name="_Currency_Liability_IR_Sensitvity_and_Cashflows_Summary_NEW_DATA_Apr05_Anker 2008Q4 concept 2" xfId="2931"/>
    <cellStyle name="_Currency_Liability_IR_Sensitvity_and_Cashflows_Summary_NEW_DATA_Apr05_Anker 2008Q4 concept 3" xfId="1860"/>
    <cellStyle name="_Currency_Liability_IR_Sensitvity_and_Cashflows_Summary_NEW_DATA_Apr05_Banden en Wielen 2008Q4" xfId="545"/>
    <cellStyle name="_Currency_Liability_IR_Sensitvity_and_Cashflows_Summary_NEW_DATA_Apr05_Banden en Wielen 2008Q4 2" xfId="2932"/>
    <cellStyle name="_Currency_Liability_IR_Sensitvity_and_Cashflows_Summary_NEW_DATA_Apr05_Banden en Wielen 2008Q4 3" xfId="1861"/>
    <cellStyle name="_Currency_Liability_IR_Sensitvity_and_Cashflows_Summary_NEW_DATA_Apr05_Banden en Wielen 2008Q4_3" xfId="546"/>
    <cellStyle name="_Currency_Liability_IR_Sensitvity_and_Cashflows_Summary_NEW_DATA_Apr05_Banden en Wielen 2008Q4_3 2" xfId="2933"/>
    <cellStyle name="_Currency_Liability_IR_Sensitvity_and_Cashflows_Summary_NEW_DATA_Apr05_Banden en Wielen 2008Q4_3 3" xfId="1862"/>
    <cellStyle name="_Currency_Liability_IR_Sensitvity_and_Cashflows_Summary_NEW_DATA_Apr05_Banden en Wielen 2008Q4_3_dv01" xfId="547"/>
    <cellStyle name="_Currency_Liability_IR_Sensitvity_and_Cashflows_Summary_NEW_DATA_Apr05_Banden en Wielen 2008Q4_3_dv01 2" xfId="2934"/>
    <cellStyle name="_Currency_Liability_IR_Sensitvity_and_Cashflows_Summary_NEW_DATA_Apr05_Banden en Wielen 2008Q4_3_dv01 3" xfId="1863"/>
    <cellStyle name="_Currency_Liability_IR_Sensitvity_and_Cashflows_Summary_NEW_DATA_Apr05_Banden en Wielen 2008Q4_4" xfId="548"/>
    <cellStyle name="_Currency_Liability_IR_Sensitvity_and_Cashflows_Summary_NEW_DATA_Apr05_Banden en Wielen 2008Q4_4 2" xfId="2935"/>
    <cellStyle name="_Currency_Liability_IR_Sensitvity_and_Cashflows_Summary_NEW_DATA_Apr05_Banden en Wielen 2008Q4_4 3" xfId="1864"/>
    <cellStyle name="_Currency_Liability_IR_Sensitvity_and_Cashflows_Summary_NEW_DATA_Apr05_Banden en Wielen 2008Q4_4_dv01" xfId="549"/>
    <cellStyle name="_Currency_Liability_IR_Sensitvity_and_Cashflows_Summary_NEW_DATA_Apr05_Banden en Wielen 2008Q4_4_dv01 2" xfId="2936"/>
    <cellStyle name="_Currency_Liability_IR_Sensitvity_and_Cashflows_Summary_NEW_DATA_Apr05_Banden en Wielen 2008Q4_4_dv01 3" xfId="1865"/>
    <cellStyle name="_Currency_Liability_IR_Sensitvity_and_Cashflows_Summary_NEW_DATA_Apr05_Banden en Wielen 2008Q4_inj&amp;withdr toelichting hard" xfId="550"/>
    <cellStyle name="_Currency_Liability_IR_Sensitvity_and_Cashflows_Summary_NEW_DATA_Apr05_Banden en Wielen 2008Q4_inj&amp;withdr toelichting hard 2" xfId="2937"/>
    <cellStyle name="_Currency_Liability_IR_Sensitvity_and_Cashflows_Summary_NEW_DATA_Apr05_Banden en Wielen 2008Q4_inj&amp;withdr toelichting hard 3" xfId="1866"/>
    <cellStyle name="_Currency_Liability_IR_Sensitvity_and_Cashflows_Summary_NEW_DATA_Apr05_Banden en Wielen 2008Q4_inj&amp;withdr toelichting hard_dv01" xfId="551"/>
    <cellStyle name="_Currency_Liability_IR_Sensitvity_and_Cashflows_Summary_NEW_DATA_Apr05_Banden en Wielen 2008Q4_inj&amp;withdr toelichting hard_dv01 2" xfId="2938"/>
    <cellStyle name="_Currency_Liability_IR_Sensitvity_and_Cashflows_Summary_NEW_DATA_Apr05_Banden en Wielen 2008Q4_inj&amp;withdr toelichting hard_dv01 3" xfId="1867"/>
    <cellStyle name="_Currency_Liability_IR_Sensitvity_and_Cashflows_Summary_NEW_DATA_Apr05_beleggingen" xfId="3853"/>
    <cellStyle name="_Currency_Liability_IR_Sensitvity_and_Cashflows_Summary_NEW_DATA_Apr05_dv01" xfId="552"/>
    <cellStyle name="_Currency_Liability_IR_Sensitvity_and_Cashflows_Summary_NEW_DATA_Apr05_dv01 2" xfId="2939"/>
    <cellStyle name="_Currency_Liability_IR_Sensitvity_and_Cashflows_Summary_NEW_DATA_Apr05_dv01 3" xfId="1868"/>
    <cellStyle name="_Currency_Liability_IR_Sensitvity_and_Cashflows_Summary_NEW_DATA_Apr05_feitelijk rendement" xfId="3852"/>
    <cellStyle name="_Currency_Liability_IR_Sensitvity_and_Cashflows_Summary_NEW_DATA_Apr05_fundrapport" xfId="553"/>
    <cellStyle name="_Currency_Liability_IR_Sensitvity_and_Cashflows_Summary_NEW_DATA_Apr05_fundrapport 2" xfId="2940"/>
    <cellStyle name="_Currency_Liability_IR_Sensitvity_and_Cashflows_Summary_NEW_DATA_Apr05_fundrapport 3" xfId="1869"/>
    <cellStyle name="_Currency_Liability_IR_Sensitvity_and_Cashflows_Summary_NEW_DATA_Apr05_inj&amp;withdr toelichting hard" xfId="554"/>
    <cellStyle name="_Currency_Liability_IR_Sensitvity_and_Cashflows_Summary_NEW_DATA_Apr05_inj&amp;withdr toelichting hard 2" xfId="2941"/>
    <cellStyle name="_Currency_Liability_IR_Sensitvity_and_Cashflows_Summary_NEW_DATA_Apr05_inj&amp;withdr toelichting hard 3" xfId="1870"/>
    <cellStyle name="_Currency_Liability_IR_Sensitvity_and_Cashflows_Summary_NEW_DATA_Apr05_inj&amp;withdr toelichting hard_dv01" xfId="555"/>
    <cellStyle name="_Currency_Liability_IR_Sensitvity_and_Cashflows_Summary_NEW_DATA_Apr05_inj&amp;withdr toelichting hard_dv01 2" xfId="2942"/>
    <cellStyle name="_Currency_Liability_IR_Sensitvity_and_Cashflows_Summary_NEW_DATA_Apr05_inj&amp;withdr toelichting hard_dv01 3" xfId="1871"/>
    <cellStyle name="_Currency_Liability_IR_Sensitvity_and_Cashflows_Summary_NEW_DATA_Apr05_MITT 2008Q4" xfId="556"/>
    <cellStyle name="_Currency_Liability_IR_Sensitvity_and_Cashflows_Summary_NEW_DATA_Apr05_MITT 2008Q4 2" xfId="2943"/>
    <cellStyle name="_Currency_Liability_IR_Sensitvity_and_Cashflows_Summary_NEW_DATA_Apr05_MITT 2008Q4 3" xfId="1872"/>
    <cellStyle name="_Currency_Liability_IR_Sensitvity_and_Cashflows_Summary_NEW_DATA_Apr05_MITT 2008Q4_3" xfId="557"/>
    <cellStyle name="_Currency_Liability_IR_Sensitvity_and_Cashflows_Summary_NEW_DATA_Apr05_MITT 2008Q4_3 2" xfId="2944"/>
    <cellStyle name="_Currency_Liability_IR_Sensitvity_and_Cashflows_Summary_NEW_DATA_Apr05_MITT 2008Q4_3 3" xfId="1873"/>
    <cellStyle name="_Currency_Liability_IR_Sensitvity_and_Cashflows_Summary_NEW_DATA_Apr05_MITT 2008Q4_3_dv01" xfId="558"/>
    <cellStyle name="_Currency_Liability_IR_Sensitvity_and_Cashflows_Summary_NEW_DATA_Apr05_MITT 2008Q4_3_dv01 2" xfId="2945"/>
    <cellStyle name="_Currency_Liability_IR_Sensitvity_and_Cashflows_Summary_NEW_DATA_Apr05_MITT 2008Q4_3_dv01 3" xfId="1874"/>
    <cellStyle name="_Currency_Liability_IR_Sensitvity_and_Cashflows_Summary_NEW_DATA_Apr05_MITT 2008Q4_4" xfId="559"/>
    <cellStyle name="_Currency_Liability_IR_Sensitvity_and_Cashflows_Summary_NEW_DATA_Apr05_MITT 2008Q4_4 2" xfId="2946"/>
    <cellStyle name="_Currency_Liability_IR_Sensitvity_and_Cashflows_Summary_NEW_DATA_Apr05_MITT 2008Q4_4 3" xfId="1875"/>
    <cellStyle name="_Currency_Liability_IR_Sensitvity_and_Cashflows_Summary_NEW_DATA_Apr05_MITT 2008Q4_4_dv01" xfId="560"/>
    <cellStyle name="_Currency_Liability_IR_Sensitvity_and_Cashflows_Summary_NEW_DATA_Apr05_MITT 2008Q4_4_dv01 2" xfId="2947"/>
    <cellStyle name="_Currency_Liability_IR_Sensitvity_and_Cashflows_Summary_NEW_DATA_Apr05_MITT 2008Q4_4_dv01 3" xfId="1876"/>
    <cellStyle name="_Currency_Liability_IR_Sensitvity_and_Cashflows_Summary_NEW_DATA_Apr05_MITT 2008Q4_inj&amp;withdr toelichting hard" xfId="561"/>
    <cellStyle name="_Currency_Liability_IR_Sensitvity_and_Cashflows_Summary_NEW_DATA_Apr05_MITT 2008Q4_inj&amp;withdr toelichting hard 2" xfId="2948"/>
    <cellStyle name="_Currency_Liability_IR_Sensitvity_and_Cashflows_Summary_NEW_DATA_Apr05_MITT 2008Q4_inj&amp;withdr toelichting hard 3" xfId="1877"/>
    <cellStyle name="_Currency_Liability_IR_Sensitvity_and_Cashflows_Summary_NEW_DATA_Apr05_MITT 2008Q4_inj&amp;withdr toelichting hard_dv01" xfId="562"/>
    <cellStyle name="_Currency_Liability_IR_Sensitvity_and_Cashflows_Summary_NEW_DATA_Apr05_MITT 2008Q4_inj&amp;withdr toelichting hard_dv01 2" xfId="2949"/>
    <cellStyle name="_Currency_Liability_IR_Sensitvity_and_Cashflows_Summary_NEW_DATA_Apr05_MITT 2008Q4_inj&amp;withdr toelichting hard_dv01 3" xfId="1878"/>
    <cellStyle name="_Currency_Liability_IR_Sensitvity_and_Cashflows_Summary_NEW_DATA_Apr05_strategische matching pf" xfId="563"/>
    <cellStyle name="_Currency_Liability_IR_Sensitvity_and_Cashflows_Summary_NEW_DATA_Apr05_strategische matching pf 2" xfId="2950"/>
    <cellStyle name="_Currency_Liability_IR_Sensitvity_and_Cashflows_Summary_NEW_DATA_Apr05_strategische matching pf 3" xfId="1879"/>
    <cellStyle name="_Currency_Liability_IR_Sensitvity_and_Cashflows_Summary_NEW_DATA_Apr05_Unisys 2008Q4" xfId="564"/>
    <cellStyle name="_Currency_Liability_IR_Sensitvity_and_Cashflows_Summary_NEW_DATA_Apr05_Unisys 2008Q4 2" xfId="2951"/>
    <cellStyle name="_Currency_Liability_IR_Sensitvity_and_Cashflows_Summary_NEW_DATA_Apr05_Unisys 2008Q4 3" xfId="1880"/>
    <cellStyle name="_Currency_Liability_IR_Sensitvity_and_Cashflows_Summary_NEW_DATA_Apr05_Unisys 2008Q4 concept" xfId="565"/>
    <cellStyle name="_Currency_Liability_IR_Sensitvity_and_Cashflows_Summary_NEW_DATA_Apr05_Unisys 2008Q4 concept 2" xfId="2952"/>
    <cellStyle name="_Currency_Liability_IR_Sensitvity_and_Cashflows_Summary_NEW_DATA_Apr05_Unisys 2008Q4 concept 3" xfId="1881"/>
    <cellStyle name="_Currency_Liability_IR_Sensitvity_and_Cashflows_Summary_NEW_DATA_Apr05_Unisys 2008Q4 concept_3" xfId="566"/>
    <cellStyle name="_Currency_Liability_IR_Sensitvity_and_Cashflows_Summary_NEW_DATA_Apr05_Unisys 2008Q4 concept_3 2" xfId="2953"/>
    <cellStyle name="_Currency_Liability_IR_Sensitvity_and_Cashflows_Summary_NEW_DATA_Apr05_Unisys 2008Q4 concept_3 3" xfId="1882"/>
    <cellStyle name="_Currency_Liability_IR_Sensitvity_and_Cashflows_Summary_NEW_DATA_Apr05_Unisys 2008Q4 concept_3_dv01" xfId="567"/>
    <cellStyle name="_Currency_Liability_IR_Sensitvity_and_Cashflows_Summary_NEW_DATA_Apr05_Unisys 2008Q4 concept_3_dv01 2" xfId="2954"/>
    <cellStyle name="_Currency_Liability_IR_Sensitvity_and_Cashflows_Summary_NEW_DATA_Apr05_Unisys 2008Q4 concept_3_dv01 3" xfId="1883"/>
    <cellStyle name="_Currency_Liability_IR_Sensitvity_and_Cashflows_Summary_NEW_DATA_Apr05_Unisys 2008Q4 concept_4" xfId="568"/>
    <cellStyle name="_Currency_Liability_IR_Sensitvity_and_Cashflows_Summary_NEW_DATA_Apr05_Unisys 2008Q4 concept_4 2" xfId="2955"/>
    <cellStyle name="_Currency_Liability_IR_Sensitvity_and_Cashflows_Summary_NEW_DATA_Apr05_Unisys 2008Q4 concept_4 3" xfId="1884"/>
    <cellStyle name="_Currency_Liability_IR_Sensitvity_and_Cashflows_Summary_NEW_DATA_Apr05_Unisys 2008Q4 concept_4_1" xfId="569"/>
    <cellStyle name="_Currency_Liability_IR_Sensitvity_and_Cashflows_Summary_NEW_DATA_Apr05_Unisys 2008Q4 concept_4_1 2" xfId="2956"/>
    <cellStyle name="_Currency_Liability_IR_Sensitvity_and_Cashflows_Summary_NEW_DATA_Apr05_Unisys 2008Q4 concept_4_1 3" xfId="1885"/>
    <cellStyle name="_Currency_Liability_IR_Sensitvity_and_Cashflows_Summary_NEW_DATA_Apr05_Unisys 2008Q4 concept_4_1_dv01" xfId="570"/>
    <cellStyle name="_Currency_Liability_IR_Sensitvity_and_Cashflows_Summary_NEW_DATA_Apr05_Unisys 2008Q4 concept_4_1_dv01 2" xfId="2957"/>
    <cellStyle name="_Currency_Liability_IR_Sensitvity_and_Cashflows_Summary_NEW_DATA_Apr05_Unisys 2008Q4 concept_4_1_dv01 3" xfId="1886"/>
    <cellStyle name="_Currency_Liability_IR_Sensitvity_and_Cashflows_Summary_NEW_DATA_Apr05_Unisys 2008Q4 concept_4_dv01" xfId="571"/>
    <cellStyle name="_Currency_Liability_IR_Sensitvity_and_Cashflows_Summary_NEW_DATA_Apr05_Unisys 2008Q4 concept_4_dv01 2" xfId="2958"/>
    <cellStyle name="_Currency_Liability_IR_Sensitvity_and_Cashflows_Summary_NEW_DATA_Apr05_Unisys 2008Q4 concept_4_dv01 3" xfId="1887"/>
    <cellStyle name="_Currency_Liability_IR_Sensitvity_and_Cashflows_Summary_NEW_DATA_Apr05_Unisys 2008Q4 concept_inj&amp;withdr toelichting hard" xfId="572"/>
    <cellStyle name="_Currency_Liability_IR_Sensitvity_and_Cashflows_Summary_NEW_DATA_Apr05_Unisys 2008Q4 concept_inj&amp;withdr toelichting hard 2" xfId="2959"/>
    <cellStyle name="_Currency_Liability_IR_Sensitvity_and_Cashflows_Summary_NEW_DATA_Apr05_Unisys 2008Q4 concept_inj&amp;withdr toelichting hard 3" xfId="1888"/>
    <cellStyle name="_Currency_Liability_IR_Sensitvity_and_Cashflows_Summary_NEW_DATA_Apr05_Unisys 2008Q4 concept_inj&amp;withdr toelichting hard_dv01" xfId="573"/>
    <cellStyle name="_Currency_Liability_IR_Sensitvity_and_Cashflows_Summary_NEW_DATA_Apr05_Unisys 2008Q4 concept_inj&amp;withdr toelichting hard_dv01 2" xfId="2960"/>
    <cellStyle name="_Currency_Liability_IR_Sensitvity_and_Cashflows_Summary_NEW_DATA_Apr05_Unisys 2008Q4 concept_inj&amp;withdr toelichting hard_dv01 3" xfId="1889"/>
    <cellStyle name="_Currency_Liability_IR_Sensitvity_and_Cashflows_Summary_NEW_DATA_Apr05_Unisys 2008Q4_3" xfId="574"/>
    <cellStyle name="_Currency_Liability_IR_Sensitvity_and_Cashflows_Summary_NEW_DATA_Apr05_Unisys 2008Q4_3 2" xfId="2961"/>
    <cellStyle name="_Currency_Liability_IR_Sensitvity_and_Cashflows_Summary_NEW_DATA_Apr05_Unisys 2008Q4_3 3" xfId="1890"/>
    <cellStyle name="_Currency_Liability_IR_Sensitvity_and_Cashflows_Summary_NEW_DATA_Apr05_Unisys 2008Q4_3_dv01" xfId="575"/>
    <cellStyle name="_Currency_Liability_IR_Sensitvity_and_Cashflows_Summary_NEW_DATA_Apr05_Unisys 2008Q4_3_dv01 2" xfId="2962"/>
    <cellStyle name="_Currency_Liability_IR_Sensitvity_and_Cashflows_Summary_NEW_DATA_Apr05_Unisys 2008Q4_3_dv01 3" xfId="1891"/>
    <cellStyle name="_Currency_Liability_IR_Sensitvity_and_Cashflows_Summary_NEW_DATA_Apr05_Unisys 2008Q4_4" xfId="576"/>
    <cellStyle name="_Currency_Liability_IR_Sensitvity_and_Cashflows_Summary_NEW_DATA_Apr05_Unisys 2008Q4_4 2" xfId="2963"/>
    <cellStyle name="_Currency_Liability_IR_Sensitvity_and_Cashflows_Summary_NEW_DATA_Apr05_Unisys 2008Q4_4 3" xfId="1892"/>
    <cellStyle name="_Currency_Liability_IR_Sensitvity_and_Cashflows_Summary_NEW_DATA_Apr05_Unisys 2008Q4_4_1" xfId="577"/>
    <cellStyle name="_Currency_Liability_IR_Sensitvity_and_Cashflows_Summary_NEW_DATA_Apr05_Unisys 2008Q4_4_1 2" xfId="2964"/>
    <cellStyle name="_Currency_Liability_IR_Sensitvity_and_Cashflows_Summary_NEW_DATA_Apr05_Unisys 2008Q4_4_1 3" xfId="1893"/>
    <cellStyle name="_Currency_Liability_IR_Sensitvity_and_Cashflows_Summary_NEW_DATA_Apr05_Unisys 2008Q4_4_1_dv01" xfId="578"/>
    <cellStyle name="_Currency_Liability_IR_Sensitvity_and_Cashflows_Summary_NEW_DATA_Apr05_Unisys 2008Q4_4_1_dv01 2" xfId="2965"/>
    <cellStyle name="_Currency_Liability_IR_Sensitvity_and_Cashflows_Summary_NEW_DATA_Apr05_Unisys 2008Q4_4_1_dv01 3" xfId="1894"/>
    <cellStyle name="_Currency_Liability_IR_Sensitvity_and_Cashflows_Summary_NEW_DATA_Apr05_Unisys 2008Q4_4_dv01" xfId="579"/>
    <cellStyle name="_Currency_Liability_IR_Sensitvity_and_Cashflows_Summary_NEW_DATA_Apr05_Unisys 2008Q4_4_dv01 2" xfId="2966"/>
    <cellStyle name="_Currency_Liability_IR_Sensitvity_and_Cashflows_Summary_NEW_DATA_Apr05_Unisys 2008Q4_4_dv01 3" xfId="1895"/>
    <cellStyle name="_Currency_Liability_IR_Sensitvity_and_Cashflows_Summary_NEW_DATA_Apr05_Unisys 2008Q4_inj&amp;withdr toelichting hard" xfId="580"/>
    <cellStyle name="_Currency_Liability_IR_Sensitvity_and_Cashflows_Summary_NEW_DATA_Apr05_Unisys 2008Q4_inj&amp;withdr toelichting hard 2" xfId="2967"/>
    <cellStyle name="_Currency_Liability_IR_Sensitvity_and_Cashflows_Summary_NEW_DATA_Apr05_Unisys 2008Q4_inj&amp;withdr toelichting hard 3" xfId="1896"/>
    <cellStyle name="_Currency_Liability_IR_Sensitvity_and_Cashflows_Summary_NEW_DATA_Apr05_Unisys 2008Q4_inj&amp;withdr toelichting hard_dv01" xfId="581"/>
    <cellStyle name="_Currency_Liability_IR_Sensitvity_and_Cashflows_Summary_NEW_DATA_Apr05_Unisys 2008Q4_inj&amp;withdr toelichting hard_dv01 2" xfId="2968"/>
    <cellStyle name="_Currency_Liability_IR_Sensitvity_and_Cashflows_Summary_NEW_DATA_Apr05_Unisys 2008Q4_inj&amp;withdr toelichting hard_dv01 3" xfId="1897"/>
    <cellStyle name="_Currency_Liabs DV01" xfId="582"/>
    <cellStyle name="_Currency_Liabs DV01 2" xfId="2969"/>
    <cellStyle name="_Currency_Liabs DV01 3" xfId="1898"/>
    <cellStyle name="_Currency_Liabs DV01_actuate" xfId="583"/>
    <cellStyle name="_Currency_Liabs DV01_actuate 2" xfId="2970"/>
    <cellStyle name="_Currency_Liabs DV01_actuate 3" xfId="1899"/>
    <cellStyle name="_Currency_Liabs DV01_dv01" xfId="584"/>
    <cellStyle name="_Currency_Liabs DV01_dv01 2" xfId="2971"/>
    <cellStyle name="_Currency_Liabs DV01_dv01 3" xfId="1900"/>
    <cellStyle name="_Currency_Main" xfId="585"/>
    <cellStyle name="_Currency_Main 2" xfId="2972"/>
    <cellStyle name="_Currency_Main 3" xfId="1901"/>
    <cellStyle name="_Currency_Main_1" xfId="586"/>
    <cellStyle name="_Currency_Main_1 2" xfId="2973"/>
    <cellStyle name="_Currency_Main_1 3" xfId="1902"/>
    <cellStyle name="_Currency_Main_1_actuate" xfId="587"/>
    <cellStyle name="_Currency_Main_1_actuate 2" xfId="2974"/>
    <cellStyle name="_Currency_Main_1_actuate 3" xfId="1903"/>
    <cellStyle name="_Currency_Main_1_dv01" xfId="588"/>
    <cellStyle name="_Currency_Main_1_dv01 2" xfId="2975"/>
    <cellStyle name="_Currency_Main_1_dv01 3" xfId="1904"/>
    <cellStyle name="_Currency_Main_2" xfId="589"/>
    <cellStyle name="_Currency_Main_2 2" xfId="2976"/>
    <cellStyle name="_Currency_Main_2 3" xfId="1905"/>
    <cellStyle name="_Currency_Main_2_3" xfId="590"/>
    <cellStyle name="_Currency_Main_2_3 2" xfId="2977"/>
    <cellStyle name="_Currency_Main_2_3 3" xfId="1906"/>
    <cellStyle name="_Currency_Main_2_3_dv01" xfId="591"/>
    <cellStyle name="_Currency_Main_2_3_dv01 2" xfId="2978"/>
    <cellStyle name="_Currency_Main_2_3_dv01 3" xfId="1907"/>
    <cellStyle name="_Currency_Main_2_4" xfId="592"/>
    <cellStyle name="_Currency_Main_2_4 2" xfId="2979"/>
    <cellStyle name="_Currency_Main_2_4 3" xfId="1908"/>
    <cellStyle name="_Currency_Main_2_4_dv01" xfId="593"/>
    <cellStyle name="_Currency_Main_2_4_dv01 2" xfId="2980"/>
    <cellStyle name="_Currency_Main_2_4_dv01 3" xfId="1909"/>
    <cellStyle name="_Currency_Main_2_Anker 2008Q4 concept" xfId="594"/>
    <cellStyle name="_Currency_Main_2_Anker 2008Q4 concept 2" xfId="2981"/>
    <cellStyle name="_Currency_Main_2_Anker 2008Q4 concept 3" xfId="1910"/>
    <cellStyle name="_Currency_Main_2_fundrapport" xfId="595"/>
    <cellStyle name="_Currency_Main_2_fundrapport 2" xfId="2982"/>
    <cellStyle name="_Currency_Main_2_fundrapport 3" xfId="1911"/>
    <cellStyle name="_Currency_Main_2_inj&amp;withdr toelichting hard" xfId="596"/>
    <cellStyle name="_Currency_Main_2_inj&amp;withdr toelichting hard 2" xfId="2983"/>
    <cellStyle name="_Currency_Main_2_inj&amp;withdr toelichting hard 3" xfId="1912"/>
    <cellStyle name="_Currency_Main_2_inj&amp;withdr toelichting hard_dv01" xfId="597"/>
    <cellStyle name="_Currency_Main_2_inj&amp;withdr toelichting hard_dv01 2" xfId="2984"/>
    <cellStyle name="_Currency_Main_2_inj&amp;withdr toelichting hard_dv01 3" xfId="1913"/>
    <cellStyle name="_Currency_Main_3" xfId="598"/>
    <cellStyle name="_Currency_Main_3 2" xfId="2985"/>
    <cellStyle name="_Currency_Main_3 3" xfId="1914"/>
    <cellStyle name="_Currency_Main_3_dv01" xfId="599"/>
    <cellStyle name="_Currency_Main_3_dv01 2" xfId="2986"/>
    <cellStyle name="_Currency_Main_3_dv01 3" xfId="1915"/>
    <cellStyle name="_Currency_Main_4" xfId="600"/>
    <cellStyle name="_Currency_Main_4 2" xfId="2987"/>
    <cellStyle name="_Currency_Main_4 3" xfId="1916"/>
    <cellStyle name="_Currency_Main_4_dv01" xfId="601"/>
    <cellStyle name="_Currency_Main_4_dv01 2" xfId="2988"/>
    <cellStyle name="_Currency_Main_4_dv01 3" xfId="1917"/>
    <cellStyle name="_Currency_Main_Anker 2008Q4 concept" xfId="602"/>
    <cellStyle name="_Currency_Main_Anker 2008Q4 concept 2" xfId="2989"/>
    <cellStyle name="_Currency_Main_Anker 2008Q4 concept 3" xfId="1918"/>
    <cellStyle name="_Currency_Main_fundrapport" xfId="603"/>
    <cellStyle name="_Currency_Main_fundrapport 2" xfId="2990"/>
    <cellStyle name="_Currency_Main_fundrapport 3" xfId="1919"/>
    <cellStyle name="_Currency_Main_Generic Gexa 11th May Ilias Calibrated Correctly" xfId="604"/>
    <cellStyle name="_Currency_Main_Generic Gexa 11th May Ilias Calibrated Correctly 2" xfId="2991"/>
    <cellStyle name="_Currency_Main_Generic Gexa 11th May Ilias Calibrated Correctly 3" xfId="1920"/>
    <cellStyle name="_Currency_Main_Generic Gexa 11th May Ilias Calibrated Correctly_3" xfId="605"/>
    <cellStyle name="_Currency_Main_Generic Gexa 11th May Ilias Calibrated Correctly_3 2" xfId="2992"/>
    <cellStyle name="_Currency_Main_Generic Gexa 11th May Ilias Calibrated Correctly_3 3" xfId="1921"/>
    <cellStyle name="_Currency_Main_Generic Gexa 11th May Ilias Calibrated Correctly_3_dv01" xfId="606"/>
    <cellStyle name="_Currency_Main_Generic Gexa 11th May Ilias Calibrated Correctly_3_dv01 2" xfId="2993"/>
    <cellStyle name="_Currency_Main_Generic Gexa 11th May Ilias Calibrated Correctly_3_dv01 3" xfId="1922"/>
    <cellStyle name="_Currency_Main_Generic Gexa 11th May Ilias Calibrated Correctly_4" xfId="607"/>
    <cellStyle name="_Currency_Main_Generic Gexa 11th May Ilias Calibrated Correctly_4 2" xfId="2994"/>
    <cellStyle name="_Currency_Main_Generic Gexa 11th May Ilias Calibrated Correctly_4 3" xfId="1923"/>
    <cellStyle name="_Currency_Main_Generic Gexa 11th May Ilias Calibrated Correctly_4_dv01" xfId="608"/>
    <cellStyle name="_Currency_Main_Generic Gexa 11th May Ilias Calibrated Correctly_4_dv01 2" xfId="2995"/>
    <cellStyle name="_Currency_Main_Generic Gexa 11th May Ilias Calibrated Correctly_4_dv01 3" xfId="1924"/>
    <cellStyle name="_Currency_Main_Generic Gexa 11th May Ilias Calibrated Correctly_Anker 2008Q4 concept" xfId="609"/>
    <cellStyle name="_Currency_Main_Generic Gexa 11th May Ilias Calibrated Correctly_Anker 2008Q4 concept 2" xfId="2996"/>
    <cellStyle name="_Currency_Main_Generic Gexa 11th May Ilias Calibrated Correctly_Anker 2008Q4 concept 3" xfId="1925"/>
    <cellStyle name="_Currency_Main_Generic Gexa 11th May Ilias Calibrated Correctly_fundrapport" xfId="610"/>
    <cellStyle name="_Currency_Main_Generic Gexa 11th May Ilias Calibrated Correctly_fundrapport 2" xfId="2997"/>
    <cellStyle name="_Currency_Main_Generic Gexa 11th May Ilias Calibrated Correctly_fundrapport 3" xfId="1926"/>
    <cellStyle name="_Currency_Main_Generic Gexa 11th May Ilias Calibrated Correctly_inj&amp;withdr toelichting hard" xfId="611"/>
    <cellStyle name="_Currency_Main_Generic Gexa 11th May Ilias Calibrated Correctly_inj&amp;withdr toelichting hard 2" xfId="2998"/>
    <cellStyle name="_Currency_Main_Generic Gexa 11th May Ilias Calibrated Correctly_inj&amp;withdr toelichting hard 3" xfId="1927"/>
    <cellStyle name="_Currency_Main_Generic Gexa 11th May Ilias Calibrated Correctly_inj&amp;withdr toelichting hard_dv01" xfId="612"/>
    <cellStyle name="_Currency_Main_Generic Gexa 11th May Ilias Calibrated Correctly_inj&amp;withdr toelichting hard_dv01 2" xfId="2999"/>
    <cellStyle name="_Currency_Main_Generic Gexa 11th May Ilias Calibrated Correctly_inj&amp;withdr toelichting hard_dv01 3" xfId="1928"/>
    <cellStyle name="_Currency_Main_Generic Gexa 11th May Ilias Calibrated Correctly_Liability Cashflows" xfId="613"/>
    <cellStyle name="_Currency_Main_Generic Gexa 11th May Ilias Calibrated Correctly_Liability Cashflows 2" xfId="3000"/>
    <cellStyle name="_Currency_Main_Generic Gexa 11th May Ilias Calibrated Correctly_Liability Cashflows 3" xfId="1929"/>
    <cellStyle name="_Currency_Main_Generic Gexa 11th May Ilias Calibrated Correctly_Liability Cashflows_actuate" xfId="614"/>
    <cellStyle name="_Currency_Main_Generic Gexa 11th May Ilias Calibrated Correctly_Liability Cashflows_actuate 2" xfId="3001"/>
    <cellStyle name="_Currency_Main_Generic Gexa 11th May Ilias Calibrated Correctly_Liability Cashflows_actuate 3" xfId="1930"/>
    <cellStyle name="_Currency_Main_Generic Gexa 11th May Ilias Calibrated Correctly_Liability Cashflows_dv01" xfId="615"/>
    <cellStyle name="_Currency_Main_Generic Gexa 11th May Ilias Calibrated Correctly_Liability Cashflows_dv01 2" xfId="3002"/>
    <cellStyle name="_Currency_Main_Generic Gexa 11th May Ilias Calibrated Correctly_Liability Cashflows_dv01 3" xfId="1931"/>
    <cellStyle name="_Currency_Main_inj&amp;withdr toelichting hard" xfId="616"/>
    <cellStyle name="_Currency_Main_inj&amp;withdr toelichting hard 2" xfId="3003"/>
    <cellStyle name="_Currency_Main_inj&amp;withdr toelichting hard 3" xfId="1932"/>
    <cellStyle name="_Currency_Main_inj&amp;withdr toelichting hard_dv01" xfId="617"/>
    <cellStyle name="_Currency_Main_inj&amp;withdr toelichting hard_dv01 2" xfId="3004"/>
    <cellStyle name="_Currency_Main_inj&amp;withdr toelichting hard_dv01 3" xfId="1933"/>
    <cellStyle name="_Currency_Main_Liability Cashflows" xfId="618"/>
    <cellStyle name="_Currency_Main_Liability Cashflows 2" xfId="3005"/>
    <cellStyle name="_Currency_Main_Liability Cashflows 3" xfId="1934"/>
    <cellStyle name="_Currency_Main_Liability Cashflows_actuate" xfId="619"/>
    <cellStyle name="_Currency_Main_Liability Cashflows_actuate 2" xfId="3006"/>
    <cellStyle name="_Currency_Main_Liability Cashflows_actuate 3" xfId="1935"/>
    <cellStyle name="_Currency_Main_Liability Cashflows_dv01" xfId="620"/>
    <cellStyle name="_Currency_Main_Liability Cashflows_dv01 2" xfId="3007"/>
    <cellStyle name="_Currency_Main_Liability Cashflows_dv01 3" xfId="1936"/>
    <cellStyle name="_Currency_Main_Main" xfId="621"/>
    <cellStyle name="_Currency_Main_Main 2" xfId="3008"/>
    <cellStyle name="_Currency_Main_Main 3" xfId="1937"/>
    <cellStyle name="_Currency_Main_Main_actuate" xfId="622"/>
    <cellStyle name="_Currency_Main_Main_actuate 2" xfId="3009"/>
    <cellStyle name="_Currency_Main_Main_actuate 3" xfId="1938"/>
    <cellStyle name="_Currency_Main_Main_dv01" xfId="623"/>
    <cellStyle name="_Currency_Main_Main_dv01 2" xfId="3010"/>
    <cellStyle name="_Currency_Main_Main_dv01 3" xfId="1939"/>
    <cellStyle name="_Currency_Main_Raw Tableau" xfId="624"/>
    <cellStyle name="_Currency_Main_Raw Tableau 2" xfId="3011"/>
    <cellStyle name="_Currency_Main_Raw Tableau 3" xfId="1940"/>
    <cellStyle name="_Currency_Main_Raw Tableau_actuate" xfId="625"/>
    <cellStyle name="_Currency_Main_Raw Tableau_actuate 2" xfId="3012"/>
    <cellStyle name="_Currency_Main_Raw Tableau_actuate 3" xfId="1941"/>
    <cellStyle name="_Currency_Main_Raw Tableau_dv01" xfId="626"/>
    <cellStyle name="_Currency_Main_Raw Tableau_dv01 2" xfId="3013"/>
    <cellStyle name="_Currency_Main_Raw Tableau_dv01 3" xfId="1942"/>
    <cellStyle name="_Currency_Matching PV Cashflows" xfId="627"/>
    <cellStyle name="_Currency_Matching PV Cashflows 2" xfId="3014"/>
    <cellStyle name="_Currency_Matching PV Cashflows 3" xfId="1943"/>
    <cellStyle name="_Currency_Matching PV Cashflows_1" xfId="628"/>
    <cellStyle name="_Currency_Matching PV Cashflows_1 2" xfId="3015"/>
    <cellStyle name="_Currency_Matching PV Cashflows_1 3" xfId="1944"/>
    <cellStyle name="_Currency_Matching PV Cashflows_1_3" xfId="629"/>
    <cellStyle name="_Currency_Matching PV Cashflows_1_3 2" xfId="3016"/>
    <cellStyle name="_Currency_Matching PV Cashflows_1_3 3" xfId="1945"/>
    <cellStyle name="_Currency_Matching PV Cashflows_1_3_dv01" xfId="630"/>
    <cellStyle name="_Currency_Matching PV Cashflows_1_3_dv01 2" xfId="3017"/>
    <cellStyle name="_Currency_Matching PV Cashflows_1_3_dv01 3" xfId="1946"/>
    <cellStyle name="_Currency_Matching PV Cashflows_1_4" xfId="631"/>
    <cellStyle name="_Currency_Matching PV Cashflows_1_4 2" xfId="3018"/>
    <cellStyle name="_Currency_Matching PV Cashflows_1_4 3" xfId="1947"/>
    <cellStyle name="_Currency_Matching PV Cashflows_1_4_dv01" xfId="632"/>
    <cellStyle name="_Currency_Matching PV Cashflows_1_4_dv01 2" xfId="3019"/>
    <cellStyle name="_Currency_Matching PV Cashflows_1_4_dv01 3" xfId="1948"/>
    <cellStyle name="_Currency_Matching PV Cashflows_1_Anker 2008Q4 concept" xfId="633"/>
    <cellStyle name="_Currency_Matching PV Cashflows_1_Anker 2008Q4 concept 2" xfId="3020"/>
    <cellStyle name="_Currency_Matching PV Cashflows_1_Anker 2008Q4 concept 3" xfId="1949"/>
    <cellStyle name="_Currency_Matching PV Cashflows_1_fundrapport" xfId="634"/>
    <cellStyle name="_Currency_Matching PV Cashflows_1_fundrapport 2" xfId="3021"/>
    <cellStyle name="_Currency_Matching PV Cashflows_1_fundrapport 3" xfId="1950"/>
    <cellStyle name="_Currency_Matching PV Cashflows_1_inj&amp;withdr toelichting hard" xfId="635"/>
    <cellStyle name="_Currency_Matching PV Cashflows_1_inj&amp;withdr toelichting hard 2" xfId="3022"/>
    <cellStyle name="_Currency_Matching PV Cashflows_1_inj&amp;withdr toelichting hard 3" xfId="1951"/>
    <cellStyle name="_Currency_Matching PV Cashflows_1_inj&amp;withdr toelichting hard_dv01" xfId="636"/>
    <cellStyle name="_Currency_Matching PV Cashflows_1_inj&amp;withdr toelichting hard_dv01 2" xfId="3023"/>
    <cellStyle name="_Currency_Matching PV Cashflows_1_inj&amp;withdr toelichting hard_dv01 3" xfId="1952"/>
    <cellStyle name="_Currency_Matching PV Cashflows_actuate" xfId="637"/>
    <cellStyle name="_Currency_Matching PV Cashflows_actuate 2" xfId="3024"/>
    <cellStyle name="_Currency_Matching PV Cashflows_actuate 3" xfId="1953"/>
    <cellStyle name="_Currency_Matching PV Cashflows_CashFlows" xfId="638"/>
    <cellStyle name="_Currency_Matching PV Cashflows_CashFlows 2" xfId="3025"/>
    <cellStyle name="_Currency_Matching PV Cashflows_CashFlows 3" xfId="1954"/>
    <cellStyle name="_Currency_Matching PV Cashflows_CashFlows_3" xfId="639"/>
    <cellStyle name="_Currency_Matching PV Cashflows_CashFlows_3 2" xfId="3026"/>
    <cellStyle name="_Currency_Matching PV Cashflows_CashFlows_3 3" xfId="1955"/>
    <cellStyle name="_Currency_Matching PV Cashflows_CashFlows_3_dv01" xfId="640"/>
    <cellStyle name="_Currency_Matching PV Cashflows_CashFlows_3_dv01 2" xfId="3027"/>
    <cellStyle name="_Currency_Matching PV Cashflows_CashFlows_3_dv01 3" xfId="1956"/>
    <cellStyle name="_Currency_Matching PV Cashflows_CashFlows_4" xfId="641"/>
    <cellStyle name="_Currency_Matching PV Cashflows_CashFlows_4 2" xfId="3028"/>
    <cellStyle name="_Currency_Matching PV Cashflows_CashFlows_4 3" xfId="1957"/>
    <cellStyle name="_Currency_Matching PV Cashflows_CashFlows_4_dv01" xfId="642"/>
    <cellStyle name="_Currency_Matching PV Cashflows_CashFlows_4_dv01 2" xfId="3029"/>
    <cellStyle name="_Currency_Matching PV Cashflows_CashFlows_4_dv01 3" xfId="1958"/>
    <cellStyle name="_Currency_Matching PV Cashflows_CashFlows_Anker 2008Q4 concept" xfId="643"/>
    <cellStyle name="_Currency_Matching PV Cashflows_CashFlows_Anker 2008Q4 concept 2" xfId="3030"/>
    <cellStyle name="_Currency_Matching PV Cashflows_CashFlows_Anker 2008Q4 concept 3" xfId="1959"/>
    <cellStyle name="_Currency_Matching PV Cashflows_CashFlows_fundrapport" xfId="644"/>
    <cellStyle name="_Currency_Matching PV Cashflows_CashFlows_fundrapport 2" xfId="3031"/>
    <cellStyle name="_Currency_Matching PV Cashflows_CashFlows_fundrapport 3" xfId="1960"/>
    <cellStyle name="_Currency_Matching PV Cashflows_CashFlows_inj&amp;withdr toelichting hard" xfId="645"/>
    <cellStyle name="_Currency_Matching PV Cashflows_CashFlows_inj&amp;withdr toelichting hard 2" xfId="3032"/>
    <cellStyle name="_Currency_Matching PV Cashflows_CashFlows_inj&amp;withdr toelichting hard 3" xfId="1961"/>
    <cellStyle name="_Currency_Matching PV Cashflows_CashFlows_inj&amp;withdr toelichting hard_dv01" xfId="646"/>
    <cellStyle name="_Currency_Matching PV Cashflows_CashFlows_inj&amp;withdr toelichting hard_dv01 2" xfId="3033"/>
    <cellStyle name="_Currency_Matching PV Cashflows_CashFlows_inj&amp;withdr toelichting hard_dv01 3" xfId="1962"/>
    <cellStyle name="_Currency_Matching PV Cashflows_dv01" xfId="647"/>
    <cellStyle name="_Currency_Matching PV Cashflows_dv01 2" xfId="3034"/>
    <cellStyle name="_Currency_Matching PV Cashflows_dv01 3" xfId="1963"/>
    <cellStyle name="_Currency_Matching PV Cashflows_Gexa" xfId="648"/>
    <cellStyle name="_Currency_Matching PV Cashflows_Gexa 2" xfId="3035"/>
    <cellStyle name="_Currency_Matching PV Cashflows_Gexa 3" xfId="1964"/>
    <cellStyle name="_Currency_Matching PV Cashflows_Gexa_3" xfId="649"/>
    <cellStyle name="_Currency_Matching PV Cashflows_Gexa_3 2" xfId="3036"/>
    <cellStyle name="_Currency_Matching PV Cashflows_Gexa_3 3" xfId="1965"/>
    <cellStyle name="_Currency_Matching PV Cashflows_Gexa_3_dv01" xfId="650"/>
    <cellStyle name="_Currency_Matching PV Cashflows_Gexa_3_dv01 2" xfId="3037"/>
    <cellStyle name="_Currency_Matching PV Cashflows_Gexa_3_dv01 3" xfId="1966"/>
    <cellStyle name="_Currency_Matching PV Cashflows_Gexa_4" xfId="651"/>
    <cellStyle name="_Currency_Matching PV Cashflows_Gexa_4 2" xfId="3038"/>
    <cellStyle name="_Currency_Matching PV Cashflows_Gexa_4 3" xfId="1967"/>
    <cellStyle name="_Currency_Matching PV Cashflows_Gexa_4_dv01" xfId="652"/>
    <cellStyle name="_Currency_Matching PV Cashflows_Gexa_4_dv01 2" xfId="3039"/>
    <cellStyle name="_Currency_Matching PV Cashflows_Gexa_4_dv01 3" xfId="1968"/>
    <cellStyle name="_Currency_Matching PV Cashflows_Gexa_Anker 2008Q4 concept" xfId="653"/>
    <cellStyle name="_Currency_Matching PV Cashflows_Gexa_Anker 2008Q4 concept 2" xfId="3040"/>
    <cellStyle name="_Currency_Matching PV Cashflows_Gexa_Anker 2008Q4 concept 3" xfId="1969"/>
    <cellStyle name="_Currency_Matching PV Cashflows_Gexa_fundrapport" xfId="654"/>
    <cellStyle name="_Currency_Matching PV Cashflows_Gexa_fundrapport 2" xfId="3041"/>
    <cellStyle name="_Currency_Matching PV Cashflows_Gexa_fundrapport 3" xfId="1970"/>
    <cellStyle name="_Currency_Matching PV Cashflows_Gexa_inj&amp;withdr toelichting hard" xfId="655"/>
    <cellStyle name="_Currency_Matching PV Cashflows_Gexa_inj&amp;withdr toelichting hard 2" xfId="3042"/>
    <cellStyle name="_Currency_Matching PV Cashflows_Gexa_inj&amp;withdr toelichting hard 3" xfId="1971"/>
    <cellStyle name="_Currency_Matching PV Cashflows_Gexa_inj&amp;withdr toelichting hard_dv01" xfId="656"/>
    <cellStyle name="_Currency_Matching PV Cashflows_Gexa_inj&amp;withdr toelichting hard_dv01 2" xfId="3043"/>
    <cellStyle name="_Currency_Matching PV Cashflows_Gexa_inj&amp;withdr toelichting hard_dv01 3" xfId="1972"/>
    <cellStyle name="_Currency_Matching PV Cashflows_Matching PV Cashflows" xfId="657"/>
    <cellStyle name="_Currency_Matching PV Cashflows_Matching PV Cashflows 2" xfId="3044"/>
    <cellStyle name="_Currency_Matching PV Cashflows_Matching PV Cashflows 3" xfId="1973"/>
    <cellStyle name="_Currency_Matching PV Cashflows_Matching PV Cashflows_3" xfId="658"/>
    <cellStyle name="_Currency_Matching PV Cashflows_Matching PV Cashflows_3 2" xfId="3045"/>
    <cellStyle name="_Currency_Matching PV Cashflows_Matching PV Cashflows_3 3" xfId="1974"/>
    <cellStyle name="_Currency_Matching PV Cashflows_Matching PV Cashflows_3_dv01" xfId="659"/>
    <cellStyle name="_Currency_Matching PV Cashflows_Matching PV Cashflows_3_dv01 2" xfId="3046"/>
    <cellStyle name="_Currency_Matching PV Cashflows_Matching PV Cashflows_3_dv01 3" xfId="1975"/>
    <cellStyle name="_Currency_Matching PV Cashflows_Matching PV Cashflows_4" xfId="660"/>
    <cellStyle name="_Currency_Matching PV Cashflows_Matching PV Cashflows_4 2" xfId="3047"/>
    <cellStyle name="_Currency_Matching PV Cashflows_Matching PV Cashflows_4 3" xfId="1976"/>
    <cellStyle name="_Currency_Matching PV Cashflows_Matching PV Cashflows_4_dv01" xfId="661"/>
    <cellStyle name="_Currency_Matching PV Cashflows_Matching PV Cashflows_4_dv01 2" xfId="3048"/>
    <cellStyle name="_Currency_Matching PV Cashflows_Matching PV Cashflows_4_dv01 3" xfId="1977"/>
    <cellStyle name="_Currency_Matching PV Cashflows_Matching PV Cashflows_Anker 2008Q4 concept" xfId="662"/>
    <cellStyle name="_Currency_Matching PV Cashflows_Matching PV Cashflows_Anker 2008Q4 concept 2" xfId="3049"/>
    <cellStyle name="_Currency_Matching PV Cashflows_Matching PV Cashflows_Anker 2008Q4 concept 3" xfId="1978"/>
    <cellStyle name="_Currency_Matching PV Cashflows_Matching PV Cashflows_fundrapport" xfId="663"/>
    <cellStyle name="_Currency_Matching PV Cashflows_Matching PV Cashflows_fundrapport 2" xfId="3050"/>
    <cellStyle name="_Currency_Matching PV Cashflows_Matching PV Cashflows_fundrapport 3" xfId="1979"/>
    <cellStyle name="_Currency_Matching PV Cashflows_Matching PV Cashflows_inj&amp;withdr toelichting hard" xfId="664"/>
    <cellStyle name="_Currency_Matching PV Cashflows_Matching PV Cashflows_inj&amp;withdr toelichting hard 2" xfId="3051"/>
    <cellStyle name="_Currency_Matching PV Cashflows_Matching PV Cashflows_inj&amp;withdr toelichting hard 3" xfId="1980"/>
    <cellStyle name="_Currency_Matching PV Cashflows_Matching PV Cashflows_inj&amp;withdr toelichting hard_dv01" xfId="665"/>
    <cellStyle name="_Currency_Matching PV Cashflows_Matching PV Cashflows_inj&amp;withdr toelichting hard_dv01 2" xfId="3052"/>
    <cellStyle name="_Currency_Matching PV Cashflows_Matching PV Cashflows_inj&amp;withdr toelichting hard_dv01 3" xfId="1981"/>
    <cellStyle name="_Currency_MatchingPV" xfId="666"/>
    <cellStyle name="_Currency_MatchingPV 2" xfId="3053"/>
    <cellStyle name="_Currency_MatchingPV 3" xfId="1982"/>
    <cellStyle name="_Currency_MatchingPV_3" xfId="667"/>
    <cellStyle name="_Currency_MatchingPV_3 2" xfId="3054"/>
    <cellStyle name="_Currency_MatchingPV_3 3" xfId="1983"/>
    <cellStyle name="_Currency_MatchingPV_3_dv01" xfId="668"/>
    <cellStyle name="_Currency_MatchingPV_3_dv01 2" xfId="3055"/>
    <cellStyle name="_Currency_MatchingPV_3_dv01 3" xfId="1984"/>
    <cellStyle name="_Currency_MatchingPV_4" xfId="669"/>
    <cellStyle name="_Currency_MatchingPV_4 2" xfId="3056"/>
    <cellStyle name="_Currency_MatchingPV_4 3" xfId="1985"/>
    <cellStyle name="_Currency_MatchingPV_4_dv01" xfId="670"/>
    <cellStyle name="_Currency_MatchingPV_4_dv01 2" xfId="3057"/>
    <cellStyle name="_Currency_MatchingPV_4_dv01 3" xfId="1986"/>
    <cellStyle name="_Currency_MatchingPV_Anker 2008Q4 concept" xfId="671"/>
    <cellStyle name="_Currency_MatchingPV_Anker 2008Q4 concept 2" xfId="3058"/>
    <cellStyle name="_Currency_MatchingPV_Anker 2008Q4 concept 3" xfId="1987"/>
    <cellStyle name="_Currency_MatchingPV_fundrapport" xfId="672"/>
    <cellStyle name="_Currency_MatchingPV_fundrapport 2" xfId="3059"/>
    <cellStyle name="_Currency_MatchingPV_fundrapport 3" xfId="1988"/>
    <cellStyle name="_Currency_MatchingPV_inj&amp;withdr toelichting hard" xfId="673"/>
    <cellStyle name="_Currency_MatchingPV_inj&amp;withdr toelichting hard 2" xfId="3060"/>
    <cellStyle name="_Currency_MatchingPV_inj&amp;withdr toelichting hard 3" xfId="1989"/>
    <cellStyle name="_Currency_MatchingPV_inj&amp;withdr toelichting hard_dv01" xfId="674"/>
    <cellStyle name="_Currency_MatchingPV_inj&amp;withdr toelichting hard_dv01 2" xfId="3061"/>
    <cellStyle name="_Currency_MatchingPV_inj&amp;withdr toelichting hard_dv01 3" xfId="1990"/>
    <cellStyle name="_Currency_ModelSetup" xfId="675"/>
    <cellStyle name="_Currency_ModelSetup 2" xfId="3062"/>
    <cellStyle name="_Currency_ModelSetup 3" xfId="1991"/>
    <cellStyle name="_Currency_ModelSetup_1" xfId="676"/>
    <cellStyle name="_Currency_ModelSetup_1 2" xfId="3063"/>
    <cellStyle name="_Currency_ModelSetup_1 3" xfId="1992"/>
    <cellStyle name="_Currency_ModelSetup_1_3" xfId="677"/>
    <cellStyle name="_Currency_ModelSetup_1_3 2" xfId="3064"/>
    <cellStyle name="_Currency_ModelSetup_1_3 3" xfId="1993"/>
    <cellStyle name="_Currency_ModelSetup_1_3_dv01" xfId="678"/>
    <cellStyle name="_Currency_ModelSetup_1_3_dv01 2" xfId="3065"/>
    <cellStyle name="_Currency_ModelSetup_1_3_dv01 3" xfId="1994"/>
    <cellStyle name="_Currency_ModelSetup_1_4" xfId="679"/>
    <cellStyle name="_Currency_ModelSetup_1_4 2" xfId="3066"/>
    <cellStyle name="_Currency_ModelSetup_1_4 3" xfId="1995"/>
    <cellStyle name="_Currency_ModelSetup_1_4_dv01" xfId="680"/>
    <cellStyle name="_Currency_ModelSetup_1_4_dv01 2" xfId="3067"/>
    <cellStyle name="_Currency_ModelSetup_1_4_dv01 3" xfId="1996"/>
    <cellStyle name="_Currency_ModelSetup_1_Anker 2008Q4 concept" xfId="681"/>
    <cellStyle name="_Currency_ModelSetup_1_Anker 2008Q4 concept 2" xfId="3068"/>
    <cellStyle name="_Currency_ModelSetup_1_Anker 2008Q4 concept 3" xfId="1997"/>
    <cellStyle name="_Currency_ModelSetup_1_fundrapport" xfId="682"/>
    <cellStyle name="_Currency_ModelSetup_1_fundrapport 2" xfId="3069"/>
    <cellStyle name="_Currency_ModelSetup_1_fundrapport 3" xfId="1998"/>
    <cellStyle name="_Currency_ModelSetup_1_inj&amp;withdr toelichting hard" xfId="683"/>
    <cellStyle name="_Currency_ModelSetup_1_inj&amp;withdr toelichting hard 2" xfId="3070"/>
    <cellStyle name="_Currency_ModelSetup_1_inj&amp;withdr toelichting hard 3" xfId="1999"/>
    <cellStyle name="_Currency_ModelSetup_1_inj&amp;withdr toelichting hard_dv01" xfId="684"/>
    <cellStyle name="_Currency_ModelSetup_1_inj&amp;withdr toelichting hard_dv01 2" xfId="3071"/>
    <cellStyle name="_Currency_ModelSetup_1_inj&amp;withdr toelichting hard_dv01 3" xfId="2000"/>
    <cellStyle name="_Currency_ModelSetup_actuate" xfId="685"/>
    <cellStyle name="_Currency_ModelSetup_actuate 2" xfId="3072"/>
    <cellStyle name="_Currency_ModelSetup_actuate 3" xfId="2001"/>
    <cellStyle name="_Currency_ModelSetup_dv01" xfId="686"/>
    <cellStyle name="_Currency_ModelSetup_dv01 2" xfId="3073"/>
    <cellStyle name="_Currency_ModelSetup_dv01 3" xfId="2002"/>
    <cellStyle name="_Currency_Output" xfId="687"/>
    <cellStyle name="_Currency_Output 2" xfId="3074"/>
    <cellStyle name="_Currency_Output 3" xfId="2003"/>
    <cellStyle name="_Currency_Output_actuate" xfId="688"/>
    <cellStyle name="_Currency_Output_actuate 2" xfId="3075"/>
    <cellStyle name="_Currency_Output_actuate 3" xfId="2004"/>
    <cellStyle name="_Currency_Output_dv01" xfId="689"/>
    <cellStyle name="_Currency_Output_dv01 2" xfId="3076"/>
    <cellStyle name="_Currency_Output_dv01 3" xfId="2005"/>
    <cellStyle name="_Currency_PCA (2)" xfId="690"/>
    <cellStyle name="_Currency_PCA (2) 2" xfId="3077"/>
    <cellStyle name="_Currency_PCA (2) 3" xfId="2006"/>
    <cellStyle name="_Currency_PCA (2)_01 Sweden Gexa Model - Master Version" xfId="691"/>
    <cellStyle name="_Currency_PCA (2)_01 Sweden Gexa Model - Master Version 2" xfId="3078"/>
    <cellStyle name="_Currency_PCA (2)_01 Sweden Gexa Model - Master Version 3" xfId="2007"/>
    <cellStyle name="_Currency_PCA (2)_01 Sweden Gexa Model - Master Version_actuate" xfId="692"/>
    <cellStyle name="_Currency_PCA (2)_01 Sweden Gexa Model - Master Version_actuate 2" xfId="3079"/>
    <cellStyle name="_Currency_PCA (2)_01 Sweden Gexa Model - Master Version_actuate 3" xfId="2008"/>
    <cellStyle name="_Currency_PCA (2)_01 Sweden Gexa Model - Master Version_dv01" xfId="693"/>
    <cellStyle name="_Currency_PCA (2)_01 Sweden Gexa Model - Master Version_dv01 2" xfId="3080"/>
    <cellStyle name="_Currency_PCA (2)_01 Sweden Gexa Model - Master Version_dv01 3" xfId="2009"/>
    <cellStyle name="_Currency_PCA (2)_3" xfId="694"/>
    <cellStyle name="_Currency_PCA (2)_3 2" xfId="3081"/>
    <cellStyle name="_Currency_PCA (2)_3 3" xfId="2010"/>
    <cellStyle name="_Currency_PCA (2)_3_dv01" xfId="695"/>
    <cellStyle name="_Currency_PCA (2)_3_dv01 2" xfId="3082"/>
    <cellStyle name="_Currency_PCA (2)_3_dv01 3" xfId="2011"/>
    <cellStyle name="_Currency_PCA (2)_4" xfId="696"/>
    <cellStyle name="_Currency_PCA (2)_4 2" xfId="3083"/>
    <cellStyle name="_Currency_PCA (2)_4 3" xfId="2012"/>
    <cellStyle name="_Currency_PCA (2)_4_dv01" xfId="697"/>
    <cellStyle name="_Currency_PCA (2)_4_dv01 2" xfId="3084"/>
    <cellStyle name="_Currency_PCA (2)_4_dv01 3" xfId="2013"/>
    <cellStyle name="_Currency_PCA (2)_Anker 2008Q4 concept" xfId="698"/>
    <cellStyle name="_Currency_PCA (2)_Anker 2008Q4 concept 2" xfId="3085"/>
    <cellStyle name="_Currency_PCA (2)_Anker 2008Q4 concept 3" xfId="2014"/>
    <cellStyle name="_Currency_PCA (2)_fundrapport" xfId="699"/>
    <cellStyle name="_Currency_PCA (2)_fundrapport 2" xfId="3086"/>
    <cellStyle name="_Currency_PCA (2)_fundrapport 3" xfId="2015"/>
    <cellStyle name="_Currency_PCA (2)_inj&amp;withdr toelichting hard" xfId="700"/>
    <cellStyle name="_Currency_PCA (2)_inj&amp;withdr toelichting hard 2" xfId="3087"/>
    <cellStyle name="_Currency_PCA (2)_inj&amp;withdr toelichting hard 3" xfId="2016"/>
    <cellStyle name="_Currency_PCA (2)_inj&amp;withdr toelichting hard_dv01" xfId="701"/>
    <cellStyle name="_Currency_PCA (2)_inj&amp;withdr toelichting hard_dv01 2" xfId="3088"/>
    <cellStyle name="_Currency_PCA (2)_inj&amp;withdr toelichting hard_dv01 3" xfId="2017"/>
    <cellStyle name="_Currency_PCA (2)_Latest-Gexa Model" xfId="702"/>
    <cellStyle name="_Currency_PCA (2)_Latest-Gexa Model 2" xfId="3089"/>
    <cellStyle name="_Currency_PCA (2)_Latest-Gexa Model 3" xfId="2018"/>
    <cellStyle name="_Currency_PCA (2)_Latest-Gexa Model_3" xfId="703"/>
    <cellStyle name="_Currency_PCA (2)_Latest-Gexa Model_3 2" xfId="3090"/>
    <cellStyle name="_Currency_PCA (2)_Latest-Gexa Model_3 3" xfId="2019"/>
    <cellStyle name="_Currency_PCA (2)_Latest-Gexa Model_3_dv01" xfId="704"/>
    <cellStyle name="_Currency_PCA (2)_Latest-Gexa Model_3_dv01 2" xfId="3091"/>
    <cellStyle name="_Currency_PCA (2)_Latest-Gexa Model_3_dv01 3" xfId="2020"/>
    <cellStyle name="_Currency_PCA (2)_Latest-Gexa Model_4" xfId="705"/>
    <cellStyle name="_Currency_PCA (2)_Latest-Gexa Model_4 2" xfId="3092"/>
    <cellStyle name="_Currency_PCA (2)_Latest-Gexa Model_4 3" xfId="2021"/>
    <cellStyle name="_Currency_PCA (2)_Latest-Gexa Model_4_dv01" xfId="706"/>
    <cellStyle name="_Currency_PCA (2)_Latest-Gexa Model_4_dv01 2" xfId="3093"/>
    <cellStyle name="_Currency_PCA (2)_Latest-Gexa Model_4_dv01 3" xfId="2022"/>
    <cellStyle name="_Currency_PCA (2)_Latest-Gexa Model_Anker 2008Q4 concept" xfId="707"/>
    <cellStyle name="_Currency_PCA (2)_Latest-Gexa Model_Anker 2008Q4 concept 2" xfId="3094"/>
    <cellStyle name="_Currency_PCA (2)_Latest-Gexa Model_Anker 2008Q4 concept 3" xfId="2023"/>
    <cellStyle name="_Currency_PCA (2)_Latest-Gexa Model_fundrapport" xfId="708"/>
    <cellStyle name="_Currency_PCA (2)_Latest-Gexa Model_fundrapport 2" xfId="3095"/>
    <cellStyle name="_Currency_PCA (2)_Latest-Gexa Model_fundrapport 3" xfId="2024"/>
    <cellStyle name="_Currency_PCA (2)_Latest-Gexa Model_inj&amp;withdr toelichting hard" xfId="709"/>
    <cellStyle name="_Currency_PCA (2)_Latest-Gexa Model_inj&amp;withdr toelichting hard 2" xfId="3096"/>
    <cellStyle name="_Currency_PCA (2)_Latest-Gexa Model_inj&amp;withdr toelichting hard 3" xfId="2025"/>
    <cellStyle name="_Currency_PCA (2)_Latest-Gexa Model_inj&amp;withdr toelichting hard_dv01" xfId="710"/>
    <cellStyle name="_Currency_PCA (2)_Latest-Gexa Model_inj&amp;withdr toelichting hard_dv01 2" xfId="3097"/>
    <cellStyle name="_Currency_PCA (2)_Latest-Gexa Model_inj&amp;withdr toelichting hard_dv01 3" xfId="2026"/>
    <cellStyle name="_Currency_PCA (2)_Structure Collection" xfId="711"/>
    <cellStyle name="_Currency_PCA (2)_Structure Collection 2" xfId="3098"/>
    <cellStyle name="_Currency_PCA (2)_Structure Collection 3" xfId="2027"/>
    <cellStyle name="_Currency_PCA (2)_Structure Collection_3" xfId="712"/>
    <cellStyle name="_Currency_PCA (2)_Structure Collection_3 2" xfId="3099"/>
    <cellStyle name="_Currency_PCA (2)_Structure Collection_3 3" xfId="2028"/>
    <cellStyle name="_Currency_PCA (2)_Structure Collection_3_dv01" xfId="713"/>
    <cellStyle name="_Currency_PCA (2)_Structure Collection_3_dv01 2" xfId="3100"/>
    <cellStyle name="_Currency_PCA (2)_Structure Collection_3_dv01 3" xfId="2029"/>
    <cellStyle name="_Currency_PCA (2)_Structure Collection_4" xfId="714"/>
    <cellStyle name="_Currency_PCA (2)_Structure Collection_4 2" xfId="3101"/>
    <cellStyle name="_Currency_PCA (2)_Structure Collection_4 3" xfId="2030"/>
    <cellStyle name="_Currency_PCA (2)_Structure Collection_4_dv01" xfId="715"/>
    <cellStyle name="_Currency_PCA (2)_Structure Collection_4_dv01 2" xfId="3102"/>
    <cellStyle name="_Currency_PCA (2)_Structure Collection_4_dv01 3" xfId="2031"/>
    <cellStyle name="_Currency_PCA (2)_Structure Collection_Anker 2008Q4 concept" xfId="716"/>
    <cellStyle name="_Currency_PCA (2)_Structure Collection_Anker 2008Q4 concept 2" xfId="3103"/>
    <cellStyle name="_Currency_PCA (2)_Structure Collection_Anker 2008Q4 concept 3" xfId="2032"/>
    <cellStyle name="_Currency_PCA (2)_Structure Collection_fundrapport" xfId="717"/>
    <cellStyle name="_Currency_PCA (2)_Structure Collection_fundrapport 2" xfId="3104"/>
    <cellStyle name="_Currency_PCA (2)_Structure Collection_fundrapport 3" xfId="2033"/>
    <cellStyle name="_Currency_PCA (2)_Structure Collection_inj&amp;withdr toelichting hard" xfId="718"/>
    <cellStyle name="_Currency_PCA (2)_Structure Collection_inj&amp;withdr toelichting hard 2" xfId="3105"/>
    <cellStyle name="_Currency_PCA (2)_Structure Collection_inj&amp;withdr toelichting hard 3" xfId="2034"/>
    <cellStyle name="_Currency_PCA (2)_Structure Collection_inj&amp;withdr toelichting hard_dv01" xfId="719"/>
    <cellStyle name="_Currency_PCA (2)_Structure Collection_inj&amp;withdr toelichting hard_dv01 2" xfId="3106"/>
    <cellStyle name="_Currency_PCA (2)_Structure Collection_inj&amp;withdr toelichting hard_dv01 3" xfId="2035"/>
    <cellStyle name="_Currency_PME Swaps" xfId="720"/>
    <cellStyle name="_Currency_PME Swaps 2" xfId="3107"/>
    <cellStyle name="_Currency_PME Swaps 3" xfId="2036"/>
    <cellStyle name="_Currency_PME Swaps_3" xfId="721"/>
    <cellStyle name="_Currency_PME Swaps_3 2" xfId="3108"/>
    <cellStyle name="_Currency_PME Swaps_3 3" xfId="2037"/>
    <cellStyle name="_Currency_PME Swaps_3_dv01" xfId="722"/>
    <cellStyle name="_Currency_PME Swaps_3_dv01 2" xfId="3109"/>
    <cellStyle name="_Currency_PME Swaps_3_dv01 3" xfId="2038"/>
    <cellStyle name="_Currency_PME Swaps_4" xfId="723"/>
    <cellStyle name="_Currency_PME Swaps_4 2" xfId="3110"/>
    <cellStyle name="_Currency_PME Swaps_4 3" xfId="2039"/>
    <cellStyle name="_Currency_PME Swaps_4_dv01" xfId="724"/>
    <cellStyle name="_Currency_PME Swaps_4_dv01 2" xfId="3111"/>
    <cellStyle name="_Currency_PME Swaps_4_dv01 3" xfId="2040"/>
    <cellStyle name="_Currency_PME Swaps_Anker 2008Q4 concept" xfId="725"/>
    <cellStyle name="_Currency_PME Swaps_Anker 2008Q4 concept 2" xfId="3112"/>
    <cellStyle name="_Currency_PME Swaps_Anker 2008Q4 concept 3" xfId="2041"/>
    <cellStyle name="_Currency_PME Swaps_fundrapport" xfId="726"/>
    <cellStyle name="_Currency_PME Swaps_fundrapport 2" xfId="3113"/>
    <cellStyle name="_Currency_PME Swaps_fundrapport 3" xfId="2042"/>
    <cellStyle name="_Currency_PME Swaps_inj&amp;withdr toelichting hard" xfId="727"/>
    <cellStyle name="_Currency_PME Swaps_inj&amp;withdr toelichting hard 2" xfId="3114"/>
    <cellStyle name="_Currency_PME Swaps_inj&amp;withdr toelichting hard 3" xfId="2043"/>
    <cellStyle name="_Currency_PME Swaps_inj&amp;withdr toelichting hard_dv01" xfId="728"/>
    <cellStyle name="_Currency_PME Swaps_inj&amp;withdr toelichting hard_dv01 2" xfId="3115"/>
    <cellStyle name="_Currency_PME Swaps_inj&amp;withdr toelichting hard_dv01 3" xfId="2044"/>
    <cellStyle name="_Currency_Pricer" xfId="729"/>
    <cellStyle name="_Currency_Pricer 2" xfId="3116"/>
    <cellStyle name="_Currency_Pricer 3" xfId="2045"/>
    <cellStyle name="_Currency_Pricer_3" xfId="730"/>
    <cellStyle name="_Currency_Pricer_3 2" xfId="3117"/>
    <cellStyle name="_Currency_Pricer_3 3" xfId="2046"/>
    <cellStyle name="_Currency_Pricer_3_dv01" xfId="731"/>
    <cellStyle name="_Currency_Pricer_3_dv01 2" xfId="3118"/>
    <cellStyle name="_Currency_Pricer_3_dv01 3" xfId="2047"/>
    <cellStyle name="_Currency_Pricer_4" xfId="732"/>
    <cellStyle name="_Currency_Pricer_4 2" xfId="3119"/>
    <cellStyle name="_Currency_Pricer_4 3" xfId="2048"/>
    <cellStyle name="_Currency_Pricer_4_dv01" xfId="733"/>
    <cellStyle name="_Currency_Pricer_4_dv01 2" xfId="3120"/>
    <cellStyle name="_Currency_Pricer_4_dv01 3" xfId="2049"/>
    <cellStyle name="_Currency_Pricer_Anker 2008Q4 concept" xfId="734"/>
    <cellStyle name="_Currency_Pricer_Anker 2008Q4 concept 2" xfId="3121"/>
    <cellStyle name="_Currency_Pricer_Anker 2008Q4 concept 3" xfId="2050"/>
    <cellStyle name="_Currency_Pricer_fundrapport" xfId="735"/>
    <cellStyle name="_Currency_Pricer_fundrapport 2" xfId="3122"/>
    <cellStyle name="_Currency_Pricer_fundrapport 3" xfId="2051"/>
    <cellStyle name="_Currency_Pricer_inj&amp;withdr toelichting hard" xfId="736"/>
    <cellStyle name="_Currency_Pricer_inj&amp;withdr toelichting hard 2" xfId="3123"/>
    <cellStyle name="_Currency_Pricer_inj&amp;withdr toelichting hard 3" xfId="2052"/>
    <cellStyle name="_Currency_Pricer_inj&amp;withdr toelichting hard_dv01" xfId="737"/>
    <cellStyle name="_Currency_Pricer_inj&amp;withdr toelichting hard_dv01 2" xfId="3124"/>
    <cellStyle name="_Currency_Pricer_inj&amp;withdr toelichting hard_dv01 3" xfId="2053"/>
    <cellStyle name="_Currency_Raw Tableau" xfId="738"/>
    <cellStyle name="_Currency_Raw Tableau 2" xfId="3125"/>
    <cellStyle name="_Currency_Raw Tableau 3" xfId="2054"/>
    <cellStyle name="_Currency_Raw Tableau_actuate" xfId="739"/>
    <cellStyle name="_Currency_Raw Tableau_actuate 2" xfId="3126"/>
    <cellStyle name="_Currency_Raw Tableau_actuate 3" xfId="2055"/>
    <cellStyle name="_Currency_Raw Tableau_dv01" xfId="740"/>
    <cellStyle name="_Currency_Raw Tableau_dv01 2" xfId="3127"/>
    <cellStyle name="_Currency_Raw Tableau_dv01 3" xfId="2056"/>
    <cellStyle name="_Currency_Real Yield Option" xfId="741"/>
    <cellStyle name="_Currency_Real Yield Option 2" xfId="3128"/>
    <cellStyle name="_Currency_Real Yield Option 3" xfId="2057"/>
    <cellStyle name="_Currency_Real Yield Option_01 Sweden Gexa Model - Master Version" xfId="742"/>
    <cellStyle name="_Currency_Real Yield Option_01 Sweden Gexa Model - Master Version 2" xfId="3129"/>
    <cellStyle name="_Currency_Real Yield Option_01 Sweden Gexa Model - Master Version 3" xfId="2058"/>
    <cellStyle name="_Currency_Real Yield Option_01 Sweden Gexa Model - Master Version_actuate" xfId="743"/>
    <cellStyle name="_Currency_Real Yield Option_01 Sweden Gexa Model - Master Version_actuate 2" xfId="3130"/>
    <cellStyle name="_Currency_Real Yield Option_01 Sweden Gexa Model - Master Version_actuate 3" xfId="2059"/>
    <cellStyle name="_Currency_Real Yield Option_01 Sweden Gexa Model - Master Version_dv01" xfId="744"/>
    <cellStyle name="_Currency_Real Yield Option_01 Sweden Gexa Model - Master Version_dv01 2" xfId="3131"/>
    <cellStyle name="_Currency_Real Yield Option_01 Sweden Gexa Model - Master Version_dv01 3" xfId="2060"/>
    <cellStyle name="_Currency_Real Yield Option_3" xfId="745"/>
    <cellStyle name="_Currency_Real Yield Option_3 2" xfId="3132"/>
    <cellStyle name="_Currency_Real Yield Option_3 3" xfId="2061"/>
    <cellStyle name="_Currency_Real Yield Option_3_dv01" xfId="746"/>
    <cellStyle name="_Currency_Real Yield Option_3_dv01 2" xfId="3133"/>
    <cellStyle name="_Currency_Real Yield Option_3_dv01 3" xfId="2062"/>
    <cellStyle name="_Currency_Real Yield Option_4" xfId="747"/>
    <cellStyle name="_Currency_Real Yield Option_4 2" xfId="3134"/>
    <cellStyle name="_Currency_Real Yield Option_4 3" xfId="2063"/>
    <cellStyle name="_Currency_Real Yield Option_4_dv01" xfId="748"/>
    <cellStyle name="_Currency_Real Yield Option_4_dv01 2" xfId="3135"/>
    <cellStyle name="_Currency_Real Yield Option_4_dv01 3" xfId="2064"/>
    <cellStyle name="_Currency_Real Yield Option_Anker 2008Q4 concept" xfId="749"/>
    <cellStyle name="_Currency_Real Yield Option_Anker 2008Q4 concept 2" xfId="3136"/>
    <cellStyle name="_Currency_Real Yield Option_Anker 2008Q4 concept 3" xfId="2065"/>
    <cellStyle name="_Currency_Real Yield Option_fundrapport" xfId="750"/>
    <cellStyle name="_Currency_Real Yield Option_fundrapport 2" xfId="3137"/>
    <cellStyle name="_Currency_Real Yield Option_fundrapport 3" xfId="2066"/>
    <cellStyle name="_Currency_Real Yield Option_inj&amp;withdr toelichting hard" xfId="751"/>
    <cellStyle name="_Currency_Real Yield Option_inj&amp;withdr toelichting hard 2" xfId="3138"/>
    <cellStyle name="_Currency_Real Yield Option_inj&amp;withdr toelichting hard 3" xfId="2067"/>
    <cellStyle name="_Currency_Real Yield Option_inj&amp;withdr toelichting hard_dv01" xfId="752"/>
    <cellStyle name="_Currency_Real Yield Option_inj&amp;withdr toelichting hard_dv01 2" xfId="3139"/>
    <cellStyle name="_Currency_Real Yield Option_inj&amp;withdr toelichting hard_dv01 3" xfId="2068"/>
    <cellStyle name="_Currency_Real Yield Option_Latest-Gexa Model" xfId="753"/>
    <cellStyle name="_Currency_Real Yield Option_Latest-Gexa Model 2" xfId="3140"/>
    <cellStyle name="_Currency_Real Yield Option_Latest-Gexa Model 3" xfId="2069"/>
    <cellStyle name="_Currency_Real Yield Option_Latest-Gexa Model_3" xfId="754"/>
    <cellStyle name="_Currency_Real Yield Option_Latest-Gexa Model_3 2" xfId="3141"/>
    <cellStyle name="_Currency_Real Yield Option_Latest-Gexa Model_3 3" xfId="2070"/>
    <cellStyle name="_Currency_Real Yield Option_Latest-Gexa Model_3_dv01" xfId="755"/>
    <cellStyle name="_Currency_Real Yield Option_Latest-Gexa Model_3_dv01 2" xfId="3142"/>
    <cellStyle name="_Currency_Real Yield Option_Latest-Gexa Model_3_dv01 3" xfId="2071"/>
    <cellStyle name="_Currency_Real Yield Option_Latest-Gexa Model_4" xfId="756"/>
    <cellStyle name="_Currency_Real Yield Option_Latest-Gexa Model_4 2" xfId="3143"/>
    <cellStyle name="_Currency_Real Yield Option_Latest-Gexa Model_4 3" xfId="2072"/>
    <cellStyle name="_Currency_Real Yield Option_Latest-Gexa Model_4_dv01" xfId="757"/>
    <cellStyle name="_Currency_Real Yield Option_Latest-Gexa Model_4_dv01 2" xfId="3144"/>
    <cellStyle name="_Currency_Real Yield Option_Latest-Gexa Model_4_dv01 3" xfId="2073"/>
    <cellStyle name="_Currency_Real Yield Option_Latest-Gexa Model_Anker 2008Q4 concept" xfId="758"/>
    <cellStyle name="_Currency_Real Yield Option_Latest-Gexa Model_Anker 2008Q4 concept 2" xfId="3145"/>
    <cellStyle name="_Currency_Real Yield Option_Latest-Gexa Model_Anker 2008Q4 concept 3" xfId="2074"/>
    <cellStyle name="_Currency_Real Yield Option_Latest-Gexa Model_fundrapport" xfId="759"/>
    <cellStyle name="_Currency_Real Yield Option_Latest-Gexa Model_fundrapport 2" xfId="3146"/>
    <cellStyle name="_Currency_Real Yield Option_Latest-Gexa Model_fundrapport 3" xfId="2075"/>
    <cellStyle name="_Currency_Real Yield Option_Latest-Gexa Model_inj&amp;withdr toelichting hard" xfId="760"/>
    <cellStyle name="_Currency_Real Yield Option_Latest-Gexa Model_inj&amp;withdr toelichting hard 2" xfId="3147"/>
    <cellStyle name="_Currency_Real Yield Option_Latest-Gexa Model_inj&amp;withdr toelichting hard 3" xfId="2076"/>
    <cellStyle name="_Currency_Real Yield Option_Latest-Gexa Model_inj&amp;withdr toelichting hard_dv01" xfId="761"/>
    <cellStyle name="_Currency_Real Yield Option_Latest-Gexa Model_inj&amp;withdr toelichting hard_dv01 2" xfId="3148"/>
    <cellStyle name="_Currency_Real Yield Option_Latest-Gexa Model_inj&amp;withdr toelichting hard_dv01 3" xfId="2077"/>
    <cellStyle name="_Currency_Real Yield Option_Structure Collection" xfId="762"/>
    <cellStyle name="_Currency_Real Yield Option_Structure Collection 2" xfId="3149"/>
    <cellStyle name="_Currency_Real Yield Option_Structure Collection 3" xfId="2078"/>
    <cellStyle name="_Currency_Real Yield Option_Structure Collection_3" xfId="763"/>
    <cellStyle name="_Currency_Real Yield Option_Structure Collection_3 2" xfId="3150"/>
    <cellStyle name="_Currency_Real Yield Option_Structure Collection_3 3" xfId="2079"/>
    <cellStyle name="_Currency_Real Yield Option_Structure Collection_3_dv01" xfId="764"/>
    <cellStyle name="_Currency_Real Yield Option_Structure Collection_3_dv01 2" xfId="3151"/>
    <cellStyle name="_Currency_Real Yield Option_Structure Collection_3_dv01 3" xfId="2080"/>
    <cellStyle name="_Currency_Real Yield Option_Structure Collection_4" xfId="765"/>
    <cellStyle name="_Currency_Real Yield Option_Structure Collection_4 2" xfId="3152"/>
    <cellStyle name="_Currency_Real Yield Option_Structure Collection_4 3" xfId="2081"/>
    <cellStyle name="_Currency_Real Yield Option_Structure Collection_4_dv01" xfId="766"/>
    <cellStyle name="_Currency_Real Yield Option_Structure Collection_4_dv01 2" xfId="3153"/>
    <cellStyle name="_Currency_Real Yield Option_Structure Collection_4_dv01 3" xfId="2082"/>
    <cellStyle name="_Currency_Real Yield Option_Structure Collection_Anker 2008Q4 concept" xfId="767"/>
    <cellStyle name="_Currency_Real Yield Option_Structure Collection_Anker 2008Q4 concept 2" xfId="3154"/>
    <cellStyle name="_Currency_Real Yield Option_Structure Collection_Anker 2008Q4 concept 3" xfId="2083"/>
    <cellStyle name="_Currency_Real Yield Option_Structure Collection_fundrapport" xfId="768"/>
    <cellStyle name="_Currency_Real Yield Option_Structure Collection_fundrapport 2" xfId="3155"/>
    <cellStyle name="_Currency_Real Yield Option_Structure Collection_fundrapport 3" xfId="2084"/>
    <cellStyle name="_Currency_Real Yield Option_Structure Collection_inj&amp;withdr toelichting hard" xfId="769"/>
    <cellStyle name="_Currency_Real Yield Option_Structure Collection_inj&amp;withdr toelichting hard 2" xfId="3156"/>
    <cellStyle name="_Currency_Real Yield Option_Structure Collection_inj&amp;withdr toelichting hard 3" xfId="2085"/>
    <cellStyle name="_Currency_Real Yield Option_Structure Collection_inj&amp;withdr toelichting hard_dv01" xfId="770"/>
    <cellStyle name="_Currency_Real Yield Option_Structure Collection_inj&amp;withdr toelichting hard_dv01 2" xfId="3157"/>
    <cellStyle name="_Currency_Real Yield Option_Structure Collection_inj&amp;withdr toelichting hard_dv01 3" xfId="2086"/>
    <cellStyle name="_Currency_Sheet1" xfId="771"/>
    <cellStyle name="_Currency_Sheet1 2" xfId="3158"/>
    <cellStyle name="_Currency_Sheet1 3" xfId="2087"/>
    <cellStyle name="_Currency_Sheet1_01 Sweden Gexa Model - Master Version" xfId="772"/>
    <cellStyle name="_Currency_Sheet1_01 Sweden Gexa Model - Master Version 2" xfId="3159"/>
    <cellStyle name="_Currency_Sheet1_01 Sweden Gexa Model - Master Version 3" xfId="2088"/>
    <cellStyle name="_Currency_Sheet1_01 Sweden Gexa Model - Master Version_3" xfId="773"/>
    <cellStyle name="_Currency_Sheet1_01 Sweden Gexa Model - Master Version_3 2" xfId="3160"/>
    <cellStyle name="_Currency_Sheet1_01 Sweden Gexa Model - Master Version_3 3" xfId="2089"/>
    <cellStyle name="_Currency_Sheet1_01 Sweden Gexa Model - Master Version_3_dv01" xfId="774"/>
    <cellStyle name="_Currency_Sheet1_01 Sweden Gexa Model - Master Version_3_dv01 2" xfId="3161"/>
    <cellStyle name="_Currency_Sheet1_01 Sweden Gexa Model - Master Version_3_dv01 3" xfId="2090"/>
    <cellStyle name="_Currency_Sheet1_01 Sweden Gexa Model - Master Version_4" xfId="775"/>
    <cellStyle name="_Currency_Sheet1_01 Sweden Gexa Model - Master Version_4 2" xfId="3162"/>
    <cellStyle name="_Currency_Sheet1_01 Sweden Gexa Model - Master Version_4 3" xfId="2091"/>
    <cellStyle name="_Currency_Sheet1_01 Sweden Gexa Model - Master Version_4_dv01" xfId="776"/>
    <cellStyle name="_Currency_Sheet1_01 Sweden Gexa Model - Master Version_4_dv01 2" xfId="3163"/>
    <cellStyle name="_Currency_Sheet1_01 Sweden Gexa Model - Master Version_4_dv01 3" xfId="2092"/>
    <cellStyle name="_Currency_Sheet1_01 Sweden Gexa Model - Master Version_Anker 2008Q4 concept" xfId="777"/>
    <cellStyle name="_Currency_Sheet1_01 Sweden Gexa Model - Master Version_Anker 2008Q4 concept 2" xfId="3164"/>
    <cellStyle name="_Currency_Sheet1_01 Sweden Gexa Model - Master Version_Anker 2008Q4 concept 3" xfId="2093"/>
    <cellStyle name="_Currency_Sheet1_01 Sweden Gexa Model - Master Version_fundrapport" xfId="778"/>
    <cellStyle name="_Currency_Sheet1_01 Sweden Gexa Model - Master Version_fundrapport 2" xfId="3165"/>
    <cellStyle name="_Currency_Sheet1_01 Sweden Gexa Model - Master Version_fundrapport 3" xfId="2094"/>
    <cellStyle name="_Currency_Sheet1_01 Sweden Gexa Model - Master Version_inj&amp;withdr toelichting hard" xfId="779"/>
    <cellStyle name="_Currency_Sheet1_01 Sweden Gexa Model - Master Version_inj&amp;withdr toelichting hard 2" xfId="3166"/>
    <cellStyle name="_Currency_Sheet1_01 Sweden Gexa Model - Master Version_inj&amp;withdr toelichting hard 3" xfId="2095"/>
    <cellStyle name="_Currency_Sheet1_01 Sweden Gexa Model - Master Version_inj&amp;withdr toelichting hard_dv01" xfId="780"/>
    <cellStyle name="_Currency_Sheet1_01 Sweden Gexa Model - Master Version_inj&amp;withdr toelichting hard_dv01 2" xfId="3167"/>
    <cellStyle name="_Currency_Sheet1_01 Sweden Gexa Model - Master Version_inj&amp;withdr toelichting hard_dv01 3" xfId="2096"/>
    <cellStyle name="_Currency_Sheet1_1" xfId="781"/>
    <cellStyle name="_Currency_Sheet1_1 2" xfId="3168"/>
    <cellStyle name="_Currency_Sheet1_1 3" xfId="2097"/>
    <cellStyle name="_Currency_Sheet1_1_actuate" xfId="782"/>
    <cellStyle name="_Currency_Sheet1_1_actuate 2" xfId="3169"/>
    <cellStyle name="_Currency_Sheet1_1_actuate 3" xfId="2098"/>
    <cellStyle name="_Currency_Sheet1_1_dv01" xfId="783"/>
    <cellStyle name="_Currency_Sheet1_1_dv01 2" xfId="3170"/>
    <cellStyle name="_Currency_Sheet1_1_dv01 3" xfId="2099"/>
    <cellStyle name="_Currency_Sheet1_actuate" xfId="784"/>
    <cellStyle name="_Currency_Sheet1_actuate 2" xfId="3171"/>
    <cellStyle name="_Currency_Sheet1_actuate 3" xfId="2100"/>
    <cellStyle name="_Currency_Sheet1_Asset Path Generator - Credit v2" xfId="785"/>
    <cellStyle name="_Currency_Sheet1_Asset Path Generator - Credit v2 2" xfId="3172"/>
    <cellStyle name="_Currency_Sheet1_Asset Path Generator - Credit v2 3" xfId="2101"/>
    <cellStyle name="_Currency_Sheet1_Asset Path Generator - Credit v2_3" xfId="786"/>
    <cellStyle name="_Currency_Sheet1_Asset Path Generator - Credit v2_3 2" xfId="3173"/>
    <cellStyle name="_Currency_Sheet1_Asset Path Generator - Credit v2_3 3" xfId="2102"/>
    <cellStyle name="_Currency_Sheet1_Asset Path Generator - Credit v2_3_dv01" xfId="787"/>
    <cellStyle name="_Currency_Sheet1_Asset Path Generator - Credit v2_3_dv01 2" xfId="3174"/>
    <cellStyle name="_Currency_Sheet1_Asset Path Generator - Credit v2_3_dv01 3" xfId="2103"/>
    <cellStyle name="_Currency_Sheet1_Asset Path Generator - Credit v2_4" xfId="788"/>
    <cellStyle name="_Currency_Sheet1_Asset Path Generator - Credit v2_4 2" xfId="3175"/>
    <cellStyle name="_Currency_Sheet1_Asset Path Generator - Credit v2_4 3" xfId="2104"/>
    <cellStyle name="_Currency_Sheet1_Asset Path Generator - Credit v2_4_dv01" xfId="789"/>
    <cellStyle name="_Currency_Sheet1_Asset Path Generator - Credit v2_4_dv01 2" xfId="3176"/>
    <cellStyle name="_Currency_Sheet1_Asset Path Generator - Credit v2_4_dv01 3" xfId="2105"/>
    <cellStyle name="_Currency_Sheet1_Asset Path Generator - Credit v2_Anker 2008Q4 concept" xfId="790"/>
    <cellStyle name="_Currency_Sheet1_Asset Path Generator - Credit v2_Anker 2008Q4 concept 2" xfId="3177"/>
    <cellStyle name="_Currency_Sheet1_Asset Path Generator - Credit v2_Anker 2008Q4 concept 3" xfId="2106"/>
    <cellStyle name="_Currency_Sheet1_Asset Path Generator - Credit v2_fundrapport" xfId="791"/>
    <cellStyle name="_Currency_Sheet1_Asset Path Generator - Credit v2_fundrapport 2" xfId="3178"/>
    <cellStyle name="_Currency_Sheet1_Asset Path Generator - Credit v2_fundrapport 3" xfId="2107"/>
    <cellStyle name="_Currency_Sheet1_Asset Path Generator - Credit v2_inj&amp;withdr toelichting hard" xfId="792"/>
    <cellStyle name="_Currency_Sheet1_Asset Path Generator - Credit v2_inj&amp;withdr toelichting hard 2" xfId="3179"/>
    <cellStyle name="_Currency_Sheet1_Asset Path Generator - Credit v2_inj&amp;withdr toelichting hard 3" xfId="2108"/>
    <cellStyle name="_Currency_Sheet1_Asset Path Generator - Credit v2_inj&amp;withdr toelichting hard_dv01" xfId="793"/>
    <cellStyle name="_Currency_Sheet1_Asset Path Generator - Credit v2_inj&amp;withdr toelichting hard_dv01 2" xfId="3180"/>
    <cellStyle name="_Currency_Sheet1_Asset Path Generator - Credit v2_inj&amp;withdr toelichting hard_dv01 3" xfId="2109"/>
    <cellStyle name="_Currency_Sheet1_dv01" xfId="794"/>
    <cellStyle name="_Currency_Sheet1_dv01 2" xfId="3181"/>
    <cellStyle name="_Currency_Sheet1_dv01 3" xfId="2110"/>
    <cellStyle name="_Currency_Sheet1_Latest-Gexa Model" xfId="795"/>
    <cellStyle name="_Currency_Sheet1_Latest-Gexa Model 2" xfId="3182"/>
    <cellStyle name="_Currency_Sheet1_Latest-Gexa Model 3" xfId="2111"/>
    <cellStyle name="_Currency_Sheet1_Latest-Gexa Model_actuate" xfId="796"/>
    <cellStyle name="_Currency_Sheet1_Latest-Gexa Model_actuate 2" xfId="3183"/>
    <cellStyle name="_Currency_Sheet1_Latest-Gexa Model_actuate 3" xfId="2112"/>
    <cellStyle name="_Currency_Sheet1_Latest-Gexa Model_dv01" xfId="797"/>
    <cellStyle name="_Currency_Sheet1_Latest-Gexa Model_dv01 2" xfId="3184"/>
    <cellStyle name="_Currency_Sheet1_Latest-Gexa Model_dv01 3" xfId="2113"/>
    <cellStyle name="_Currency_Sheet1_Latest-Liberty Based-DHW" xfId="798"/>
    <cellStyle name="_Currency_Sheet1_Latest-Liberty Based-DHW 2" xfId="3185"/>
    <cellStyle name="_Currency_Sheet1_Latest-Liberty Based-DHW 3" xfId="2114"/>
    <cellStyle name="_Currency_Sheet1_Latest-Liberty Based-DHW_3" xfId="799"/>
    <cellStyle name="_Currency_Sheet1_Latest-Liberty Based-DHW_3 2" xfId="3186"/>
    <cellStyle name="_Currency_Sheet1_Latest-Liberty Based-DHW_3 3" xfId="2115"/>
    <cellStyle name="_Currency_Sheet1_Latest-Liberty Based-DHW_3_dv01" xfId="800"/>
    <cellStyle name="_Currency_Sheet1_Latest-Liberty Based-DHW_3_dv01 2" xfId="3187"/>
    <cellStyle name="_Currency_Sheet1_Latest-Liberty Based-DHW_3_dv01 3" xfId="2116"/>
    <cellStyle name="_Currency_Sheet1_Latest-Liberty Based-DHW_4" xfId="801"/>
    <cellStyle name="_Currency_Sheet1_Latest-Liberty Based-DHW_4 2" xfId="3188"/>
    <cellStyle name="_Currency_Sheet1_Latest-Liberty Based-DHW_4 3" xfId="2117"/>
    <cellStyle name="_Currency_Sheet1_Latest-Liberty Based-DHW_4_dv01" xfId="802"/>
    <cellStyle name="_Currency_Sheet1_Latest-Liberty Based-DHW_4_dv01 2" xfId="3189"/>
    <cellStyle name="_Currency_Sheet1_Latest-Liberty Based-DHW_4_dv01 3" xfId="2118"/>
    <cellStyle name="_Currency_Sheet1_Latest-Liberty Based-DHW_Anker 2008Q4 concept" xfId="803"/>
    <cellStyle name="_Currency_Sheet1_Latest-Liberty Based-DHW_Anker 2008Q4 concept 2" xfId="3190"/>
    <cellStyle name="_Currency_Sheet1_Latest-Liberty Based-DHW_Anker 2008Q4 concept 3" xfId="2119"/>
    <cellStyle name="_Currency_Sheet1_Latest-Liberty Based-DHW_fundrapport" xfId="804"/>
    <cellStyle name="_Currency_Sheet1_Latest-Liberty Based-DHW_fundrapport 2" xfId="3191"/>
    <cellStyle name="_Currency_Sheet1_Latest-Liberty Based-DHW_fundrapport 3" xfId="2120"/>
    <cellStyle name="_Currency_Sheet1_Latest-Liberty Based-DHW_inj&amp;withdr toelichting hard" xfId="805"/>
    <cellStyle name="_Currency_Sheet1_Latest-Liberty Based-DHW_inj&amp;withdr toelichting hard 2" xfId="3192"/>
    <cellStyle name="_Currency_Sheet1_Latest-Liberty Based-DHW_inj&amp;withdr toelichting hard 3" xfId="2121"/>
    <cellStyle name="_Currency_Sheet1_Latest-Liberty Based-DHW_inj&amp;withdr toelichting hard_dv01" xfId="806"/>
    <cellStyle name="_Currency_Sheet1_Latest-Liberty Based-DHW_inj&amp;withdr toelichting hard_dv01 2" xfId="3193"/>
    <cellStyle name="_Currency_Sheet1_Latest-Liberty Based-DHW_inj&amp;withdr toelichting hard_dv01 3" xfId="2122"/>
    <cellStyle name="_Currency_Sheet1_Structure Collection" xfId="807"/>
    <cellStyle name="_Currency_Sheet1_Structure Collection 2" xfId="3194"/>
    <cellStyle name="_Currency_Sheet1_Structure Collection 3" xfId="2123"/>
    <cellStyle name="_Currency_Sheet1_Structure Collection_actuate" xfId="808"/>
    <cellStyle name="_Currency_Sheet1_Structure Collection_actuate 2" xfId="3195"/>
    <cellStyle name="_Currency_Sheet1_Structure Collection_actuate 3" xfId="2124"/>
    <cellStyle name="_Currency_Sheet1_Structure Collection_dv01" xfId="809"/>
    <cellStyle name="_Currency_Sheet1_Structure Collection_dv01 2" xfId="3196"/>
    <cellStyle name="_Currency_Sheet1_Structure Collection_dv01 3" xfId="2125"/>
    <cellStyle name="_Currency_Sheet2" xfId="810"/>
    <cellStyle name="_Currency_Sheet2 2" xfId="3197"/>
    <cellStyle name="_Currency_Sheet2 3" xfId="2126"/>
    <cellStyle name="_Currency_Sheet2_actuate" xfId="811"/>
    <cellStyle name="_Currency_Sheet2_actuate 2" xfId="3198"/>
    <cellStyle name="_Currency_Sheet2_actuate 3" xfId="2127"/>
    <cellStyle name="_Currency_Sheet2_dv01" xfId="812"/>
    <cellStyle name="_Currency_Sheet2_dv01 2" xfId="3199"/>
    <cellStyle name="_Currency_Sheet2_dv01 3" xfId="2128"/>
    <cellStyle name="_Currency_Summary Parallel Master" xfId="813"/>
    <cellStyle name="_Currency_Summary Parallel Master 2" xfId="3200"/>
    <cellStyle name="_Currency_Summary Parallel Master 3" xfId="2129"/>
    <cellStyle name="_Currency_Summary Parallel Master_actuate" xfId="814"/>
    <cellStyle name="_Currency_Summary Parallel Master_actuate 2" xfId="3201"/>
    <cellStyle name="_Currency_Summary Parallel Master_actuate 3" xfId="2130"/>
    <cellStyle name="_Currency_Summary Parallel Master_dv01" xfId="815"/>
    <cellStyle name="_Currency_Summary Parallel Master_dv01 2" xfId="3202"/>
    <cellStyle name="_Currency_Summary Parallel Master_dv01 3" xfId="2131"/>
    <cellStyle name="_Currency_Tableau" xfId="816"/>
    <cellStyle name="_Currency_Tableau 2" xfId="3203"/>
    <cellStyle name="_Currency_Tableau 3" xfId="2132"/>
    <cellStyle name="_Currency_Tableau_1" xfId="817"/>
    <cellStyle name="_Currency_Tableau_1 2" xfId="3204"/>
    <cellStyle name="_Currency_Tableau_1 3" xfId="2133"/>
    <cellStyle name="_Currency_Tableau_1_3" xfId="818"/>
    <cellStyle name="_Currency_Tableau_1_3 2" xfId="3205"/>
    <cellStyle name="_Currency_Tableau_1_3 3" xfId="2134"/>
    <cellStyle name="_Currency_Tableau_1_3_dv01" xfId="819"/>
    <cellStyle name="_Currency_Tableau_1_3_dv01 2" xfId="3206"/>
    <cellStyle name="_Currency_Tableau_1_3_dv01 3" xfId="2135"/>
    <cellStyle name="_Currency_Tableau_1_4" xfId="820"/>
    <cellStyle name="_Currency_Tableau_1_4 2" xfId="3207"/>
    <cellStyle name="_Currency_Tableau_1_4 3" xfId="2136"/>
    <cellStyle name="_Currency_Tableau_1_4_dv01" xfId="821"/>
    <cellStyle name="_Currency_Tableau_1_4_dv01 2" xfId="3208"/>
    <cellStyle name="_Currency_Tableau_1_4_dv01 3" xfId="2137"/>
    <cellStyle name="_Currency_Tableau_1_Anker 2008Q4 concept" xfId="822"/>
    <cellStyle name="_Currency_Tableau_1_Anker 2008Q4 concept 2" xfId="3209"/>
    <cellStyle name="_Currency_Tableau_1_Anker 2008Q4 concept 3" xfId="2138"/>
    <cellStyle name="_Currency_Tableau_1_fundrapport" xfId="823"/>
    <cellStyle name="_Currency_Tableau_1_fundrapport 2" xfId="3210"/>
    <cellStyle name="_Currency_Tableau_1_fundrapport 3" xfId="2139"/>
    <cellStyle name="_Currency_Tableau_1_inj&amp;withdr toelichting hard" xfId="824"/>
    <cellStyle name="_Currency_Tableau_1_inj&amp;withdr toelichting hard 2" xfId="3211"/>
    <cellStyle name="_Currency_Tableau_1_inj&amp;withdr toelichting hard 3" xfId="2140"/>
    <cellStyle name="_Currency_Tableau_1_inj&amp;withdr toelichting hard_dv01" xfId="825"/>
    <cellStyle name="_Currency_Tableau_1_inj&amp;withdr toelichting hard_dv01 2" xfId="3212"/>
    <cellStyle name="_Currency_Tableau_1_inj&amp;withdr toelichting hard_dv01 3" xfId="2141"/>
    <cellStyle name="_Currency_Tableau_actuate" xfId="826"/>
    <cellStyle name="_Currency_Tableau_actuate 2" xfId="3213"/>
    <cellStyle name="_Currency_Tableau_actuate 3" xfId="2142"/>
    <cellStyle name="_Currency_Tableau_dv01" xfId="827"/>
    <cellStyle name="_Currency_Tableau_dv01 2" xfId="3214"/>
    <cellStyle name="_Currency_Tableau_dv01 3" xfId="2143"/>
    <cellStyle name="_Currency_TDC - deriv calcs" xfId="828"/>
    <cellStyle name="_Currency_TDC - deriv calcs 2" xfId="3215"/>
    <cellStyle name="_Currency_TDC - deriv calcs 3" xfId="2144"/>
    <cellStyle name="_Currency_TDC - deriv calcs_actuate" xfId="829"/>
    <cellStyle name="_Currency_TDC - deriv calcs_actuate 2" xfId="3216"/>
    <cellStyle name="_Currency_TDC - deriv calcs_actuate 3" xfId="2145"/>
    <cellStyle name="_Currency_TDC - deriv calcs_dv01" xfId="830"/>
    <cellStyle name="_Currency_TDC - deriv calcs_dv01 2" xfId="3217"/>
    <cellStyle name="_Currency_TDC - deriv calcs_dv01 3" xfId="2146"/>
    <cellStyle name="_Currency_testing 14Mar2005 Test Tableau" xfId="831"/>
    <cellStyle name="_Currency_testing 14Mar2005 Test Tableau 2" xfId="3218"/>
    <cellStyle name="_Currency_testing 14Mar2005 Test Tableau 3" xfId="2147"/>
    <cellStyle name="_Currency_testing 14Mar2005 Test Tableau_3" xfId="832"/>
    <cellStyle name="_Currency_testing 14Mar2005 Test Tableau_3 2" xfId="3219"/>
    <cellStyle name="_Currency_testing 14Mar2005 Test Tableau_3 3" xfId="2148"/>
    <cellStyle name="_Currency_testing 14Mar2005 Test Tableau_3_dv01" xfId="833"/>
    <cellStyle name="_Currency_testing 14Mar2005 Test Tableau_3_dv01 2" xfId="3220"/>
    <cellStyle name="_Currency_testing 14Mar2005 Test Tableau_3_dv01 3" xfId="2149"/>
    <cellStyle name="_Currency_testing 14Mar2005 Test Tableau_4" xfId="834"/>
    <cellStyle name="_Currency_testing 14Mar2005 Test Tableau_4 2" xfId="3221"/>
    <cellStyle name="_Currency_testing 14Mar2005 Test Tableau_4 3" xfId="2150"/>
    <cellStyle name="_Currency_testing 14Mar2005 Test Tableau_4_dv01" xfId="835"/>
    <cellStyle name="_Currency_testing 14Mar2005 Test Tableau_4_dv01 2" xfId="3222"/>
    <cellStyle name="_Currency_testing 14Mar2005 Test Tableau_4_dv01 3" xfId="2151"/>
    <cellStyle name="_Currency_testing 14Mar2005 Test Tableau_Anker 2008Q4 concept" xfId="836"/>
    <cellStyle name="_Currency_testing 14Mar2005 Test Tableau_Anker 2008Q4 concept 2" xfId="3223"/>
    <cellStyle name="_Currency_testing 14Mar2005 Test Tableau_Anker 2008Q4 concept 3" xfId="2152"/>
    <cellStyle name="_Currency_testing 14Mar2005 Test Tableau_fundrapport" xfId="837"/>
    <cellStyle name="_Currency_testing 14Mar2005 Test Tableau_fundrapport 2" xfId="3224"/>
    <cellStyle name="_Currency_testing 14Mar2005 Test Tableau_fundrapport 3" xfId="2153"/>
    <cellStyle name="_Currency_testing 14Mar2005 Test Tableau_inj&amp;withdr toelichting hard" xfId="838"/>
    <cellStyle name="_Currency_testing 14Mar2005 Test Tableau_inj&amp;withdr toelichting hard 2" xfId="3225"/>
    <cellStyle name="_Currency_testing 14Mar2005 Test Tableau_inj&amp;withdr toelichting hard 3" xfId="2154"/>
    <cellStyle name="_Currency_testing 14Mar2005 Test Tableau_inj&amp;withdr toelichting hard_dv01" xfId="839"/>
    <cellStyle name="_Currency_testing 14Mar2005 Test Tableau_inj&amp;withdr toelichting hard_dv01 2" xfId="3226"/>
    <cellStyle name="_Currency_testing 14Mar2005 Test Tableau_inj&amp;withdr toelichting hard_dv01 3" xfId="2155"/>
    <cellStyle name="_Currency_tmp tableau" xfId="840"/>
    <cellStyle name="_Currency_tmp tableau 2" xfId="3227"/>
    <cellStyle name="_Currency_tmp tableau 3" xfId="2156"/>
    <cellStyle name="_Currency_tmp tableau_3" xfId="841"/>
    <cellStyle name="_Currency_tmp tableau_3 2" xfId="3228"/>
    <cellStyle name="_Currency_tmp tableau_3 3" xfId="2157"/>
    <cellStyle name="_Currency_tmp tableau_3_dv01" xfId="842"/>
    <cellStyle name="_Currency_tmp tableau_3_dv01 2" xfId="3229"/>
    <cellStyle name="_Currency_tmp tableau_3_dv01 3" xfId="2158"/>
    <cellStyle name="_Currency_tmp tableau_4" xfId="843"/>
    <cellStyle name="_Currency_tmp tableau_4 2" xfId="3230"/>
    <cellStyle name="_Currency_tmp tableau_4 3" xfId="2159"/>
    <cellStyle name="_Currency_tmp tableau_4_dv01" xfId="844"/>
    <cellStyle name="_Currency_tmp tableau_4_dv01 2" xfId="3231"/>
    <cellStyle name="_Currency_tmp tableau_4_dv01 3" xfId="2160"/>
    <cellStyle name="_Currency_tmp tableau_Anker 2008Q4 concept" xfId="845"/>
    <cellStyle name="_Currency_tmp tableau_Anker 2008Q4 concept 2" xfId="3232"/>
    <cellStyle name="_Currency_tmp tableau_Anker 2008Q4 concept 3" xfId="2161"/>
    <cellStyle name="_Currency_tmp tableau_fundrapport" xfId="846"/>
    <cellStyle name="_Currency_tmp tableau_fundrapport 2" xfId="3233"/>
    <cellStyle name="_Currency_tmp tableau_fundrapport 3" xfId="2162"/>
    <cellStyle name="_Currency_tmp tableau_inj&amp;withdr toelichting hard" xfId="847"/>
    <cellStyle name="_Currency_tmp tableau_inj&amp;withdr toelichting hard 2" xfId="3234"/>
    <cellStyle name="_Currency_tmp tableau_inj&amp;withdr toelichting hard 3" xfId="2163"/>
    <cellStyle name="_Currency_tmp tableau_inj&amp;withdr toelichting hard_dv01" xfId="848"/>
    <cellStyle name="_Currency_tmp tableau_inj&amp;withdr toelichting hard_dv01 2" xfId="3235"/>
    <cellStyle name="_Currency_tmp tableau_inj&amp;withdr toelichting hard_dv01 3" xfId="2164"/>
    <cellStyle name="_Currency_Total" xfId="849"/>
    <cellStyle name="_Currency_Total 2" xfId="3236"/>
    <cellStyle name="_Currency_Total 3" xfId="2165"/>
    <cellStyle name="_Currency_Total_3" xfId="850"/>
    <cellStyle name="_Currency_Total_3 2" xfId="3237"/>
    <cellStyle name="_Currency_Total_3 3" xfId="2166"/>
    <cellStyle name="_Currency_Total_3_dv01" xfId="851"/>
    <cellStyle name="_Currency_Total_3_dv01 2" xfId="3238"/>
    <cellStyle name="_Currency_Total_3_dv01 3" xfId="2167"/>
    <cellStyle name="_Currency_Total_4" xfId="852"/>
    <cellStyle name="_Currency_Total_4 2" xfId="3239"/>
    <cellStyle name="_Currency_Total_4 3" xfId="2168"/>
    <cellStyle name="_Currency_Total_4_dv01" xfId="853"/>
    <cellStyle name="_Currency_Total_4_dv01 2" xfId="3240"/>
    <cellStyle name="_Currency_Total_4_dv01 3" xfId="2169"/>
    <cellStyle name="_Currency_Total_Anker 2008Q4 concept" xfId="854"/>
    <cellStyle name="_Currency_Total_Anker 2008Q4 concept 2" xfId="3241"/>
    <cellStyle name="_Currency_Total_Anker 2008Q4 concept 3" xfId="2170"/>
    <cellStyle name="_Currency_Total_fundrapport" xfId="855"/>
    <cellStyle name="_Currency_Total_fundrapport 2" xfId="3242"/>
    <cellStyle name="_Currency_Total_fundrapport 3" xfId="2171"/>
    <cellStyle name="_Currency_Total_inj&amp;withdr toelichting hard" xfId="856"/>
    <cellStyle name="_Currency_Total_inj&amp;withdr toelichting hard 2" xfId="3243"/>
    <cellStyle name="_Currency_Total_inj&amp;withdr toelichting hard 3" xfId="2172"/>
    <cellStyle name="_Currency_Total_inj&amp;withdr toelichting hard_dv01" xfId="857"/>
    <cellStyle name="_Currency_Total_inj&amp;withdr toelichting hard_dv01 2" xfId="3244"/>
    <cellStyle name="_Currency_Total_inj&amp;withdr toelichting hard_dv01 3" xfId="2173"/>
    <cellStyle name="_Currency_VAR Over Time (version 3)" xfId="858"/>
    <cellStyle name="_Currency_VAR Over Time (version 3) 2" xfId="3245"/>
    <cellStyle name="_Currency_VAR Over Time (version 3) 3" xfId="2174"/>
    <cellStyle name="_Currency_VAR Over Time (version 3)_3" xfId="859"/>
    <cellStyle name="_Currency_VAR Over Time (version 3)_3 2" xfId="3246"/>
    <cellStyle name="_Currency_VAR Over Time (version 3)_3 3" xfId="2175"/>
    <cellStyle name="_Currency_VAR Over Time (version 3)_3_dv01" xfId="860"/>
    <cellStyle name="_Currency_VAR Over Time (version 3)_3_dv01 2" xfId="3247"/>
    <cellStyle name="_Currency_VAR Over Time (version 3)_3_dv01 3" xfId="2176"/>
    <cellStyle name="_Currency_VAR Over Time (version 3)_4" xfId="861"/>
    <cellStyle name="_Currency_VAR Over Time (version 3)_4 2" xfId="3248"/>
    <cellStyle name="_Currency_VAR Over Time (version 3)_4 3" xfId="2177"/>
    <cellStyle name="_Currency_VAR Over Time (version 3)_4_dv01" xfId="862"/>
    <cellStyle name="_Currency_VAR Over Time (version 3)_4_dv01 2" xfId="3249"/>
    <cellStyle name="_Currency_VAR Over Time (version 3)_4_dv01 3" xfId="2178"/>
    <cellStyle name="_Currency_VAR Over Time (version 3)_Anker 2008Q4 concept" xfId="863"/>
    <cellStyle name="_Currency_VAR Over Time (version 3)_Anker 2008Q4 concept 2" xfId="3250"/>
    <cellStyle name="_Currency_VAR Over Time (version 3)_Anker 2008Q4 concept 3" xfId="2179"/>
    <cellStyle name="_Currency_VAR Over Time (version 3)_fundrapport" xfId="864"/>
    <cellStyle name="_Currency_VAR Over Time (version 3)_fundrapport 2" xfId="3251"/>
    <cellStyle name="_Currency_VAR Over Time (version 3)_fundrapport 3" xfId="2180"/>
    <cellStyle name="_Currency_VAR Over Time (version 3)_inj&amp;withdr toelichting hard" xfId="865"/>
    <cellStyle name="_Currency_VAR Over Time (version 3)_inj&amp;withdr toelichting hard 2" xfId="3252"/>
    <cellStyle name="_Currency_VAR Over Time (version 3)_inj&amp;withdr toelichting hard 3" xfId="2181"/>
    <cellStyle name="_Currency_VAR Over Time (version 3)_inj&amp;withdr toelichting hard_dv01" xfId="866"/>
    <cellStyle name="_Currency_VAR Over Time (version 3)_inj&amp;withdr toelichting hard_dv01 2" xfId="3253"/>
    <cellStyle name="_Currency_VAR Over Time (version 3)_inj&amp;withdr toelichting hard_dv01 3" xfId="2182"/>
    <cellStyle name="_CurrencySpace" xfId="867"/>
    <cellStyle name="_CurrencySpace 2" xfId="3254"/>
    <cellStyle name="_CurrencySpace 3" xfId="2183"/>
    <cellStyle name="_Euro" xfId="868"/>
    <cellStyle name="_Euro 2" xfId="3255"/>
    <cellStyle name="_Euro 3" xfId="2184"/>
    <cellStyle name="_Euro_beleggingen" xfId="3851"/>
    <cellStyle name="_Euro_cashflows corp" xfId="3850"/>
    <cellStyle name="_Euro_cashflows Gov't AAA" xfId="3849"/>
    <cellStyle name="_Euro_cashflows ilb" xfId="3848"/>
    <cellStyle name="_Euro_cashflows lang staats" xfId="3847"/>
    <cellStyle name="_Euro_cashflows pan european 500mm" xfId="3846"/>
    <cellStyle name="_Euro_cashflows staats" xfId="3845"/>
    <cellStyle name="_Euro_cashflows vpv" xfId="3844"/>
    <cellStyle name="_Euro_custom cfs" xfId="3843"/>
    <cellStyle name="_Euro_custom cfs 2" xfId="6907"/>
    <cellStyle name="_Euro_Data ver Grafieken (norm)" xfId="3842"/>
    <cellStyle name="_Euro_feitelijk rendement" xfId="3841"/>
    <cellStyle name="_Euro_ilb reeel only" xfId="3840"/>
    <cellStyle name="_Euro_instellingen" xfId="3839"/>
    <cellStyle name="_Euro_Klantinfo" xfId="3838"/>
    <cellStyle name="_Euro_menu" xfId="3837"/>
    <cellStyle name="_Euro_menu 2" xfId="6908"/>
    <cellStyle name="_Euro_nom swaps" xfId="3836"/>
    <cellStyle name="_Euro_nominale counterpart ilb" xfId="3835"/>
    <cellStyle name="_Euro_output Liab opt" xfId="3834"/>
    <cellStyle name="_Euro_rekensheet" xfId="3833"/>
    <cellStyle name="_Euro_return reeksen" xfId="3832"/>
    <cellStyle name="_Euro_return reeksen 2" xfId="6909"/>
    <cellStyle name="_Euro_tijdseries" xfId="3831"/>
    <cellStyle name="_Euro_tijdseries indices" xfId="3830"/>
    <cellStyle name="_Euro_vpv" xfId="3829"/>
    <cellStyle name="_Euro_VPV EN SWAPS" xfId="3828"/>
    <cellStyle name="_Euro_vpv return serie" xfId="3827"/>
    <cellStyle name="_Euro_z.c. infl swaps" xfId="3826"/>
    <cellStyle name="_feitelijk rendement" xfId="3825"/>
    <cellStyle name="_Heading" xfId="869"/>
    <cellStyle name="_Heading_allocatie" xfId="870"/>
    <cellStyle name="_Heading_allocatie 2" xfId="3256"/>
    <cellStyle name="_Heading_allocatie 3" xfId="2185"/>
    <cellStyle name="_Heading_allocatie_actuate" xfId="871"/>
    <cellStyle name="_Heading_allocatie_actuate 2" xfId="3257"/>
    <cellStyle name="_Heading_allocatie_actuate 3" xfId="2186"/>
    <cellStyle name="_Heading_allocatie_actuate_cashflows corp" xfId="3824"/>
    <cellStyle name="_Heading_allocatie_actuate_cashflows Gov't AAA" xfId="3823"/>
    <cellStyle name="_Heading_allocatie_actuate_cashflows ilb" xfId="3822"/>
    <cellStyle name="_Heading_allocatie_actuate_cashflows lang staats" xfId="3821"/>
    <cellStyle name="_Heading_allocatie_actuate_cashflows pan european 500mm" xfId="3820"/>
    <cellStyle name="_Heading_allocatie_actuate_cashflows staats" xfId="3819"/>
    <cellStyle name="_Heading_allocatie_actuate_excess returns bm matching pf" xfId="3818"/>
    <cellStyle name="_Heading_allocatie_actuate_ilb reeel only" xfId="3817"/>
    <cellStyle name="_Heading_allocatie_actuate_nominale counterpart ilb" xfId="3816"/>
    <cellStyle name="_Heading_allocatie_actuate_tijdseries" xfId="3815"/>
    <cellStyle name="_Heading_allocatie_actuate_tijdseries 2" xfId="6910"/>
    <cellStyle name="_Heading_allocatie_actuate_tijdseries_bei rates" xfId="6274"/>
    <cellStyle name="_Heading_allocatie_actuate_tijdseries_par swap rates" xfId="5642"/>
    <cellStyle name="_Heading_allocatie_actuate_vpv" xfId="3814"/>
    <cellStyle name="_Heading_allocatie_actuate_vpv 2" xfId="6911"/>
    <cellStyle name="_Heading_allocatie_actuate_vpv return serie" xfId="3813"/>
    <cellStyle name="_Heading_allocatie_actuate_vpv return serie 2" xfId="6912"/>
    <cellStyle name="_Heading_allocatie_actuate_vpv return serie_bei rates" xfId="6276"/>
    <cellStyle name="_Heading_allocatie_actuate_vpv return serie_par swap rates" xfId="5644"/>
    <cellStyle name="_Heading_allocatie_actuate_vpv_bei rates" xfId="6275"/>
    <cellStyle name="_Heading_allocatie_actuate_vpv_par swap rates" xfId="5643"/>
    <cellStyle name="_Heading_allocatie_beleggingen" xfId="3812"/>
    <cellStyle name="_Heading_allocatie_beleggingen 2" xfId="6913"/>
    <cellStyle name="_Heading_allocatie_beleggingen_bei rates" xfId="6277"/>
    <cellStyle name="_Heading_allocatie_beleggingen_par swap rates" xfId="5645"/>
    <cellStyle name="_Heading_allocatie_cashflows corp" xfId="3811"/>
    <cellStyle name="_Heading_allocatie_cashflows Gov't AAA" xfId="3810"/>
    <cellStyle name="_Heading_allocatie_cashflows ilb" xfId="3809"/>
    <cellStyle name="_Heading_allocatie_cashflows lang staats" xfId="3808"/>
    <cellStyle name="_Heading_allocatie_cashflows pan european 500mm" xfId="3807"/>
    <cellStyle name="_Heading_allocatie_cashflows staats" xfId="3806"/>
    <cellStyle name="_Heading_allocatie_dv01" xfId="872"/>
    <cellStyle name="_Heading_allocatie_excess returns bm matching pf" xfId="3805"/>
    <cellStyle name="_Heading_allocatie_feitelijk rendement" xfId="3804"/>
    <cellStyle name="_Heading_allocatie_feitelijk rendement 2" xfId="6914"/>
    <cellStyle name="_Heading_allocatie_feitelijk rendement_bei rates" xfId="6278"/>
    <cellStyle name="_Heading_allocatie_feitelijk rendement_par swap rates" xfId="5646"/>
    <cellStyle name="_Heading_allocatie_ilb reeel only" xfId="3803"/>
    <cellStyle name="_Heading_allocatie_nominale counterpart ilb" xfId="3802"/>
    <cellStyle name="_Heading_allocatie_tijdseries" xfId="3801"/>
    <cellStyle name="_Heading_allocatie_tijdseries 2" xfId="6915"/>
    <cellStyle name="_Heading_allocatie_tijdseries_bei rates" xfId="6279"/>
    <cellStyle name="_Heading_allocatie_tijdseries_par swap rates" xfId="5647"/>
    <cellStyle name="_Heading_allocatie_vpv" xfId="3800"/>
    <cellStyle name="_Heading_allocatie_vpv 2" xfId="6916"/>
    <cellStyle name="_Heading_allocatie_vpv return serie" xfId="3799"/>
    <cellStyle name="_Heading_allocatie_vpv return serie 2" xfId="6917"/>
    <cellStyle name="_Heading_allocatie_vpv return serie_bei rates" xfId="6281"/>
    <cellStyle name="_Heading_allocatie_vpv return serie_par swap rates" xfId="5649"/>
    <cellStyle name="_Heading_allocatie_vpv_bei rates" xfId="6280"/>
    <cellStyle name="_Heading_allocatie_vpv_par swap rates" xfId="5648"/>
    <cellStyle name="_Heading_Asset Cashflows" xfId="873"/>
    <cellStyle name="_Heading_Asset Cashflows 2" xfId="3259"/>
    <cellStyle name="_Heading_Asset Cashflows 3" xfId="2187"/>
    <cellStyle name="_Heading_Asset Cashflows_actuate" xfId="874"/>
    <cellStyle name="_Heading_Asset Cashflows_actuate 2" xfId="3260"/>
    <cellStyle name="_Heading_Asset Cashflows_actuate 3" xfId="2188"/>
    <cellStyle name="_Heading_Asset Cashflows_actuate_cashflows corp" xfId="3798"/>
    <cellStyle name="_Heading_Asset Cashflows_actuate_cashflows Gov't AAA" xfId="3797"/>
    <cellStyle name="_Heading_Asset Cashflows_actuate_cashflows ilb" xfId="3796"/>
    <cellStyle name="_Heading_Asset Cashflows_actuate_cashflows lang staats" xfId="3795"/>
    <cellStyle name="_Heading_Asset Cashflows_actuate_cashflows pan european 500mm" xfId="3794"/>
    <cellStyle name="_Heading_Asset Cashflows_actuate_cashflows staats" xfId="3793"/>
    <cellStyle name="_Heading_Asset Cashflows_actuate_excess returns bm matching pf" xfId="3792"/>
    <cellStyle name="_Heading_Asset Cashflows_actuate_ilb reeel only" xfId="3791"/>
    <cellStyle name="_Heading_Asset Cashflows_actuate_nominale counterpart ilb" xfId="3790"/>
    <cellStyle name="_Heading_Asset Cashflows_actuate_tijdseries" xfId="3789"/>
    <cellStyle name="_Heading_Asset Cashflows_actuate_tijdseries 2" xfId="6918"/>
    <cellStyle name="_Heading_Asset Cashflows_actuate_tijdseries_bei rates" xfId="6282"/>
    <cellStyle name="_Heading_Asset Cashflows_actuate_tijdseries_par swap rates" xfId="5650"/>
    <cellStyle name="_Heading_Asset Cashflows_actuate_vpv" xfId="3788"/>
    <cellStyle name="_Heading_Asset Cashflows_actuate_vpv 2" xfId="6919"/>
    <cellStyle name="_Heading_Asset Cashflows_actuate_vpv return serie" xfId="3787"/>
    <cellStyle name="_Heading_Asset Cashflows_actuate_vpv return serie 2" xfId="6920"/>
    <cellStyle name="_Heading_Asset Cashflows_actuate_vpv return serie_bei rates" xfId="6284"/>
    <cellStyle name="_Heading_Asset Cashflows_actuate_vpv return serie_par swap rates" xfId="5652"/>
    <cellStyle name="_Heading_Asset Cashflows_actuate_vpv_bei rates" xfId="6283"/>
    <cellStyle name="_Heading_Asset Cashflows_actuate_vpv_par swap rates" xfId="5651"/>
    <cellStyle name="_Heading_Asset Cashflows_beleggingen" xfId="3786"/>
    <cellStyle name="_Heading_Asset Cashflows_beleggingen 2" xfId="6921"/>
    <cellStyle name="_Heading_Asset Cashflows_beleggingen_bei rates" xfId="6285"/>
    <cellStyle name="_Heading_Asset Cashflows_beleggingen_par swap rates" xfId="5653"/>
    <cellStyle name="_Heading_Asset Cashflows_cashflows corp" xfId="3785"/>
    <cellStyle name="_Heading_Asset Cashflows_cashflows Gov't AAA" xfId="3784"/>
    <cellStyle name="_Heading_Asset Cashflows_cashflows ilb" xfId="3783"/>
    <cellStyle name="_Heading_Asset Cashflows_cashflows lang staats" xfId="3782"/>
    <cellStyle name="_Heading_Asset Cashflows_cashflows pan european 500mm" xfId="3781"/>
    <cellStyle name="_Heading_Asset Cashflows_cashflows staats" xfId="3780"/>
    <cellStyle name="_Heading_Asset Cashflows_dv01" xfId="875"/>
    <cellStyle name="_Heading_Asset Cashflows_excess returns bm matching pf" xfId="3779"/>
    <cellStyle name="_Heading_Asset Cashflows_feitelijk rendement" xfId="3778"/>
    <cellStyle name="_Heading_Asset Cashflows_feitelijk rendement 2" xfId="6922"/>
    <cellStyle name="_Heading_Asset Cashflows_feitelijk rendement_bei rates" xfId="6286"/>
    <cellStyle name="_Heading_Asset Cashflows_feitelijk rendement_par swap rates" xfId="5654"/>
    <cellStyle name="_Heading_Asset Cashflows_ilb reeel only" xfId="3777"/>
    <cellStyle name="_Heading_Asset Cashflows_nominale counterpart ilb" xfId="3776"/>
    <cellStyle name="_Heading_Asset Cashflows_tijdseries" xfId="3775"/>
    <cellStyle name="_Heading_Asset Cashflows_tijdseries 2" xfId="6923"/>
    <cellStyle name="_Heading_Asset Cashflows_tijdseries_bei rates" xfId="6287"/>
    <cellStyle name="_Heading_Asset Cashflows_tijdseries_par swap rates" xfId="5655"/>
    <cellStyle name="_Heading_Asset Cashflows_vpv" xfId="3774"/>
    <cellStyle name="_Heading_Asset Cashflows_vpv 2" xfId="6924"/>
    <cellStyle name="_Heading_Asset Cashflows_vpv return serie" xfId="3773"/>
    <cellStyle name="_Heading_Asset Cashflows_vpv return serie 2" xfId="6925"/>
    <cellStyle name="_Heading_Asset Cashflows_vpv return serie_bei rates" xfId="6289"/>
    <cellStyle name="_Heading_Asset Cashflows_vpv return serie_par swap rates" xfId="5657"/>
    <cellStyle name="_Heading_Asset Cashflows_vpv_bei rates" xfId="6288"/>
    <cellStyle name="_Heading_Asset Cashflows_vpv_par swap rates" xfId="5656"/>
    <cellStyle name="_Heading_CashFlows " xfId="876"/>
    <cellStyle name="_Heading_CashFlows  2" xfId="3262"/>
    <cellStyle name="_Heading_CashFlows  3" xfId="2189"/>
    <cellStyle name="_Heading_CashFlows _actuate" xfId="877"/>
    <cellStyle name="_Heading_CashFlows _actuate 2" xfId="3263"/>
    <cellStyle name="_Heading_CashFlows _actuate 3" xfId="2190"/>
    <cellStyle name="_Heading_CashFlows _actuate_cashflows corp" xfId="3772"/>
    <cellStyle name="_Heading_CashFlows _actuate_cashflows Gov't AAA" xfId="3771"/>
    <cellStyle name="_Heading_CashFlows _actuate_cashflows ilb" xfId="3770"/>
    <cellStyle name="_Heading_CashFlows _actuate_cashflows lang staats" xfId="3769"/>
    <cellStyle name="_Heading_CashFlows _actuate_cashflows pan european 500mm" xfId="3768"/>
    <cellStyle name="_Heading_CashFlows _actuate_cashflows staats" xfId="3767"/>
    <cellStyle name="_Heading_CashFlows _actuate_excess returns bm matching pf" xfId="3766"/>
    <cellStyle name="_Heading_CashFlows _actuate_ilb reeel only" xfId="3765"/>
    <cellStyle name="_Heading_CashFlows _actuate_nominale counterpart ilb" xfId="3764"/>
    <cellStyle name="_Heading_CashFlows _actuate_tijdseries" xfId="3763"/>
    <cellStyle name="_Heading_CashFlows _actuate_tijdseries 2" xfId="6926"/>
    <cellStyle name="_Heading_CashFlows _actuate_tijdseries_bei rates" xfId="6290"/>
    <cellStyle name="_Heading_CashFlows _actuate_tijdseries_par swap rates" xfId="5658"/>
    <cellStyle name="_Heading_CashFlows _actuate_vpv" xfId="3762"/>
    <cellStyle name="_Heading_CashFlows _actuate_vpv 2" xfId="6927"/>
    <cellStyle name="_Heading_CashFlows _actuate_vpv return serie" xfId="3761"/>
    <cellStyle name="_Heading_CashFlows _actuate_vpv return serie 2" xfId="6928"/>
    <cellStyle name="_Heading_CashFlows _actuate_vpv return serie_bei rates" xfId="6292"/>
    <cellStyle name="_Heading_CashFlows _actuate_vpv return serie_par swap rates" xfId="5660"/>
    <cellStyle name="_Heading_CashFlows _actuate_vpv_bei rates" xfId="6291"/>
    <cellStyle name="_Heading_CashFlows _actuate_vpv_par swap rates" xfId="5659"/>
    <cellStyle name="_Heading_CashFlows _beleggingen" xfId="3760"/>
    <cellStyle name="_Heading_CashFlows _beleggingen 2" xfId="6929"/>
    <cellStyle name="_Heading_CashFlows _beleggingen_bei rates" xfId="6293"/>
    <cellStyle name="_Heading_CashFlows _beleggingen_par swap rates" xfId="5661"/>
    <cellStyle name="_Heading_CashFlows _cashflows corp" xfId="3759"/>
    <cellStyle name="_Heading_CashFlows _cashflows Gov't AAA" xfId="3758"/>
    <cellStyle name="_Heading_CashFlows _cashflows ilb" xfId="3757"/>
    <cellStyle name="_Heading_CashFlows _cashflows lang staats" xfId="3756"/>
    <cellStyle name="_Heading_CashFlows _cashflows pan european 500mm" xfId="3755"/>
    <cellStyle name="_Heading_CashFlows _cashflows staats" xfId="3754"/>
    <cellStyle name="_Heading_CashFlows _dv01" xfId="878"/>
    <cellStyle name="_Heading_CashFlows _excess returns bm matching pf" xfId="3753"/>
    <cellStyle name="_Heading_CashFlows _feitelijk rendement" xfId="3752"/>
    <cellStyle name="_Heading_CashFlows _feitelijk rendement 2" xfId="6930"/>
    <cellStyle name="_Heading_CashFlows _feitelijk rendement_bei rates" xfId="6294"/>
    <cellStyle name="_Heading_CashFlows _feitelijk rendement_par swap rates" xfId="5662"/>
    <cellStyle name="_Heading_CashFlows _ilb reeel only" xfId="3751"/>
    <cellStyle name="_Heading_CashFlows _nominale counterpart ilb" xfId="3750"/>
    <cellStyle name="_Heading_CashFlows _tijdseries" xfId="3749"/>
    <cellStyle name="_Heading_CashFlows _tijdseries 2" xfId="6931"/>
    <cellStyle name="_Heading_CashFlows _tijdseries_bei rates" xfId="6295"/>
    <cellStyle name="_Heading_CashFlows _tijdseries_par swap rates" xfId="5663"/>
    <cellStyle name="_Heading_CashFlows _vpv" xfId="3748"/>
    <cellStyle name="_Heading_CashFlows _vpv 2" xfId="6932"/>
    <cellStyle name="_Heading_CashFlows _vpv return serie" xfId="3747"/>
    <cellStyle name="_Heading_CashFlows _vpv return serie 2" xfId="6933"/>
    <cellStyle name="_Heading_CashFlows _vpv return serie_bei rates" xfId="6297"/>
    <cellStyle name="_Heading_CashFlows _vpv return serie_par swap rates" xfId="5665"/>
    <cellStyle name="_Heading_CashFlows _vpv_bei rates" xfId="6296"/>
    <cellStyle name="_Heading_CashFlows _vpv_par swap rates" xfId="5664"/>
    <cellStyle name="_Heading_Combined CashFlows" xfId="879"/>
    <cellStyle name="_Heading_Combined CashFlows 2" xfId="3265"/>
    <cellStyle name="_Heading_Combined CashFlows 3" xfId="2191"/>
    <cellStyle name="_Heading_Combined CashFlows_actuate" xfId="880"/>
    <cellStyle name="_Heading_Combined CashFlows_actuate 2" xfId="3266"/>
    <cellStyle name="_Heading_Combined CashFlows_actuate 3" xfId="2192"/>
    <cellStyle name="_Heading_Combined CashFlows_actuate_cashflows corp" xfId="3746"/>
    <cellStyle name="_Heading_Combined CashFlows_actuate_cashflows Gov't AAA" xfId="3745"/>
    <cellStyle name="_Heading_Combined CashFlows_actuate_cashflows ilb" xfId="3744"/>
    <cellStyle name="_Heading_Combined CashFlows_actuate_cashflows lang staats" xfId="3743"/>
    <cellStyle name="_Heading_Combined CashFlows_actuate_cashflows pan european 500mm" xfId="3742"/>
    <cellStyle name="_Heading_Combined CashFlows_actuate_cashflows staats" xfId="3741"/>
    <cellStyle name="_Heading_Combined CashFlows_actuate_excess returns bm matching pf" xfId="3740"/>
    <cellStyle name="_Heading_Combined CashFlows_actuate_ilb reeel only" xfId="3739"/>
    <cellStyle name="_Heading_Combined CashFlows_actuate_nominale counterpart ilb" xfId="3738"/>
    <cellStyle name="_Heading_Combined CashFlows_actuate_tijdseries" xfId="3737"/>
    <cellStyle name="_Heading_Combined CashFlows_actuate_tijdseries 2" xfId="6934"/>
    <cellStyle name="_Heading_Combined CashFlows_actuate_tijdseries_bei rates" xfId="6298"/>
    <cellStyle name="_Heading_Combined CashFlows_actuate_tijdseries_par swap rates" xfId="5666"/>
    <cellStyle name="_Heading_Combined CashFlows_actuate_vpv" xfId="3736"/>
    <cellStyle name="_Heading_Combined CashFlows_actuate_vpv 2" xfId="6935"/>
    <cellStyle name="_Heading_Combined CashFlows_actuate_vpv return serie" xfId="3735"/>
    <cellStyle name="_Heading_Combined CashFlows_actuate_vpv return serie 2" xfId="6936"/>
    <cellStyle name="_Heading_Combined CashFlows_actuate_vpv return serie_bei rates" xfId="6300"/>
    <cellStyle name="_Heading_Combined CashFlows_actuate_vpv return serie_par swap rates" xfId="5668"/>
    <cellStyle name="_Heading_Combined CashFlows_actuate_vpv_bei rates" xfId="6299"/>
    <cellStyle name="_Heading_Combined CashFlows_actuate_vpv_par swap rates" xfId="5667"/>
    <cellStyle name="_Heading_Combined CashFlows_beleggingen" xfId="3734"/>
    <cellStyle name="_Heading_Combined CashFlows_beleggingen 2" xfId="6937"/>
    <cellStyle name="_Heading_Combined CashFlows_beleggingen_bei rates" xfId="6301"/>
    <cellStyle name="_Heading_Combined CashFlows_beleggingen_par swap rates" xfId="5669"/>
    <cellStyle name="_Heading_Combined CashFlows_cashflows corp" xfId="3733"/>
    <cellStyle name="_Heading_Combined CashFlows_cashflows Gov't AAA" xfId="3732"/>
    <cellStyle name="_Heading_Combined CashFlows_cashflows ilb" xfId="3731"/>
    <cellStyle name="_Heading_Combined CashFlows_cashflows lang staats" xfId="3730"/>
    <cellStyle name="_Heading_Combined CashFlows_cashflows pan european 500mm" xfId="3729"/>
    <cellStyle name="_Heading_Combined CashFlows_cashflows staats" xfId="3728"/>
    <cellStyle name="_Heading_Combined CashFlows_dv01" xfId="881"/>
    <cellStyle name="_Heading_Combined CashFlows_excess returns bm matching pf" xfId="3727"/>
    <cellStyle name="_Heading_Combined CashFlows_feitelijk rendement" xfId="3726"/>
    <cellStyle name="_Heading_Combined CashFlows_feitelijk rendement 2" xfId="6938"/>
    <cellStyle name="_Heading_Combined CashFlows_feitelijk rendement_bei rates" xfId="6302"/>
    <cellStyle name="_Heading_Combined CashFlows_feitelijk rendement_par swap rates" xfId="5670"/>
    <cellStyle name="_Heading_Combined CashFlows_ilb reeel only" xfId="3725"/>
    <cellStyle name="_Heading_Combined CashFlows_nominale counterpart ilb" xfId="3724"/>
    <cellStyle name="_Heading_Combined CashFlows_tijdseries" xfId="3723"/>
    <cellStyle name="_Heading_Combined CashFlows_tijdseries 2" xfId="6939"/>
    <cellStyle name="_Heading_Combined CashFlows_tijdseries_bei rates" xfId="6303"/>
    <cellStyle name="_Heading_Combined CashFlows_tijdseries_par swap rates" xfId="5671"/>
    <cellStyle name="_Heading_Combined CashFlows_vpv" xfId="3722"/>
    <cellStyle name="_Heading_Combined CashFlows_vpv 2" xfId="6940"/>
    <cellStyle name="_Heading_Combined CashFlows_vpv return serie" xfId="3721"/>
    <cellStyle name="_Heading_Combined CashFlows_vpv return serie 2" xfId="6941"/>
    <cellStyle name="_Heading_Combined CashFlows_vpv return serie_bei rates" xfId="6305"/>
    <cellStyle name="_Heading_Combined CashFlows_vpv return serie_par swap rates" xfId="5673"/>
    <cellStyle name="_Heading_Combined CashFlows_vpv_bei rates" xfId="6304"/>
    <cellStyle name="_Heading_Combined CashFlows_vpv_par swap rates" xfId="5672"/>
    <cellStyle name="_Heading_FP Liabilities_19oct05 v2" xfId="882"/>
    <cellStyle name="_Heading_FP Liabilities_19oct05 v2 2" xfId="3268"/>
    <cellStyle name="_Heading_FP Liabilities_19oct05 v2 3" xfId="2193"/>
    <cellStyle name="_Heading_FP Liabilities_19oct05 v2_actuate" xfId="883"/>
    <cellStyle name="_Heading_FP Liabilities_19oct05 v2_actuate 2" xfId="3269"/>
    <cellStyle name="_Heading_FP Liabilities_19oct05 v2_actuate 3" xfId="2194"/>
    <cellStyle name="_Heading_FP Liabilities_19oct05 v2_actuate_cashflows corp" xfId="3720"/>
    <cellStyle name="_Heading_FP Liabilities_19oct05 v2_actuate_cashflows Gov't AAA" xfId="3719"/>
    <cellStyle name="_Heading_FP Liabilities_19oct05 v2_actuate_cashflows ilb" xfId="3718"/>
    <cellStyle name="_Heading_FP Liabilities_19oct05 v2_actuate_cashflows lang staats" xfId="3717"/>
    <cellStyle name="_Heading_FP Liabilities_19oct05 v2_actuate_cashflows pan european 500mm" xfId="3716"/>
    <cellStyle name="_Heading_FP Liabilities_19oct05 v2_actuate_cashflows staats" xfId="3715"/>
    <cellStyle name="_Heading_FP Liabilities_19oct05 v2_actuate_excess returns bm matching pf" xfId="3714"/>
    <cellStyle name="_Heading_FP Liabilities_19oct05 v2_actuate_ilb reeel only" xfId="3713"/>
    <cellStyle name="_Heading_FP Liabilities_19oct05 v2_actuate_nominale counterpart ilb" xfId="3712"/>
    <cellStyle name="_Heading_FP Liabilities_19oct05 v2_actuate_tijdseries" xfId="3711"/>
    <cellStyle name="_Heading_FP Liabilities_19oct05 v2_actuate_tijdseries 2" xfId="6942"/>
    <cellStyle name="_Heading_FP Liabilities_19oct05 v2_actuate_tijdseries_bei rates" xfId="6306"/>
    <cellStyle name="_Heading_FP Liabilities_19oct05 v2_actuate_tijdseries_par swap rates" xfId="5674"/>
    <cellStyle name="_Heading_FP Liabilities_19oct05 v2_actuate_vpv" xfId="3710"/>
    <cellStyle name="_Heading_FP Liabilities_19oct05 v2_actuate_vpv 2" xfId="6943"/>
    <cellStyle name="_Heading_FP Liabilities_19oct05 v2_actuate_vpv return serie" xfId="3709"/>
    <cellStyle name="_Heading_FP Liabilities_19oct05 v2_actuate_vpv return serie 2" xfId="6944"/>
    <cellStyle name="_Heading_FP Liabilities_19oct05 v2_actuate_vpv return serie_bei rates" xfId="6308"/>
    <cellStyle name="_Heading_FP Liabilities_19oct05 v2_actuate_vpv return serie_par swap rates" xfId="5676"/>
    <cellStyle name="_Heading_FP Liabilities_19oct05 v2_actuate_vpv_bei rates" xfId="6307"/>
    <cellStyle name="_Heading_FP Liabilities_19oct05 v2_actuate_vpv_par swap rates" xfId="5675"/>
    <cellStyle name="_Heading_FP Liabilities_19oct05 v2_beleggingen" xfId="3708"/>
    <cellStyle name="_Heading_FP Liabilities_19oct05 v2_beleggingen 2" xfId="6945"/>
    <cellStyle name="_Heading_FP Liabilities_19oct05 v2_beleggingen_bei rates" xfId="6309"/>
    <cellStyle name="_Heading_FP Liabilities_19oct05 v2_beleggingen_par swap rates" xfId="5677"/>
    <cellStyle name="_Heading_FP Liabilities_19oct05 v2_cashflows corp" xfId="3707"/>
    <cellStyle name="_Heading_FP Liabilities_19oct05 v2_cashflows Gov't AAA" xfId="3706"/>
    <cellStyle name="_Heading_FP Liabilities_19oct05 v2_cashflows ilb" xfId="3705"/>
    <cellStyle name="_Heading_FP Liabilities_19oct05 v2_cashflows lang staats" xfId="3704"/>
    <cellStyle name="_Heading_FP Liabilities_19oct05 v2_cashflows pan european 500mm" xfId="3703"/>
    <cellStyle name="_Heading_FP Liabilities_19oct05 v2_cashflows staats" xfId="3702"/>
    <cellStyle name="_Heading_FP Liabilities_19oct05 v2_dv01" xfId="884"/>
    <cellStyle name="_Heading_FP Liabilities_19oct05 v2_excess returns bm matching pf" xfId="3701"/>
    <cellStyle name="_Heading_FP Liabilities_19oct05 v2_feitelijk rendement" xfId="3700"/>
    <cellStyle name="_Heading_FP Liabilities_19oct05 v2_feitelijk rendement 2" xfId="6946"/>
    <cellStyle name="_Heading_FP Liabilities_19oct05 v2_feitelijk rendement_bei rates" xfId="6310"/>
    <cellStyle name="_Heading_FP Liabilities_19oct05 v2_feitelijk rendement_par swap rates" xfId="5678"/>
    <cellStyle name="_Heading_FP Liabilities_19oct05 v2_ilb reeel only" xfId="3699"/>
    <cellStyle name="_Heading_FP Liabilities_19oct05 v2_nominale counterpart ilb" xfId="3698"/>
    <cellStyle name="_Heading_FP Liabilities_19oct05 v2_tijdseries" xfId="3697"/>
    <cellStyle name="_Heading_FP Liabilities_19oct05 v2_tijdseries 2" xfId="6947"/>
    <cellStyle name="_Heading_FP Liabilities_19oct05 v2_tijdseries_bei rates" xfId="6311"/>
    <cellStyle name="_Heading_FP Liabilities_19oct05 v2_tijdseries_par swap rates" xfId="5679"/>
    <cellStyle name="_Heading_FP Liabilities_19oct05 v2_vpv" xfId="3696"/>
    <cellStyle name="_Heading_FP Liabilities_19oct05 v2_vpv 2" xfId="6948"/>
    <cellStyle name="_Heading_FP Liabilities_19oct05 v2_vpv return serie" xfId="3695"/>
    <cellStyle name="_Heading_FP Liabilities_19oct05 v2_vpv return serie 2" xfId="6949"/>
    <cellStyle name="_Heading_FP Liabilities_19oct05 v2_vpv return serie_bei rates" xfId="6313"/>
    <cellStyle name="_Heading_FP Liabilities_19oct05 v2_vpv return serie_par swap rates" xfId="5681"/>
    <cellStyle name="_Heading_FP Liabilities_19oct05 v2_vpv_bei rates" xfId="6312"/>
    <cellStyle name="_Heading_FP Liabilities_19oct05 v2_vpv_par swap rates" xfId="5680"/>
    <cellStyle name="_Heading_Govt Bond Data" xfId="885"/>
    <cellStyle name="_Heading_INF Benchmark " xfId="886"/>
    <cellStyle name="_Heading_InitialPosition" xfId="887"/>
    <cellStyle name="_Heading_IR Benchmark" xfId="888"/>
    <cellStyle name="_Heading_June 05 CF" xfId="889"/>
    <cellStyle name="_Heading_June 05 CF 2" xfId="3275"/>
    <cellStyle name="_Heading_June 05 CF 3" xfId="2195"/>
    <cellStyle name="_Heading_June 05 CF_actuate" xfId="890"/>
    <cellStyle name="_Heading_June 05 CF_actuate 2" xfId="3276"/>
    <cellStyle name="_Heading_June 05 CF_actuate 3" xfId="2196"/>
    <cellStyle name="_Heading_June 05 CF_actuate_cashflows corp" xfId="3694"/>
    <cellStyle name="_Heading_June 05 CF_actuate_cashflows Gov't AAA" xfId="3693"/>
    <cellStyle name="_Heading_June 05 CF_actuate_cashflows ilb" xfId="3692"/>
    <cellStyle name="_Heading_June 05 CF_actuate_cashflows lang staats" xfId="3691"/>
    <cellStyle name="_Heading_June 05 CF_actuate_cashflows pan european 500mm" xfId="3690"/>
    <cellStyle name="_Heading_June 05 CF_actuate_cashflows staats" xfId="3689"/>
    <cellStyle name="_Heading_June 05 CF_actuate_excess returns bm matching pf" xfId="3688"/>
    <cellStyle name="_Heading_June 05 CF_actuate_ilb reeel only" xfId="3687"/>
    <cellStyle name="_Heading_June 05 CF_actuate_nominale counterpart ilb" xfId="3686"/>
    <cellStyle name="_Heading_June 05 CF_actuate_tijdseries" xfId="3685"/>
    <cellStyle name="_Heading_June 05 CF_actuate_tijdseries 2" xfId="6950"/>
    <cellStyle name="_Heading_June 05 CF_actuate_tijdseries_bei rates" xfId="6314"/>
    <cellStyle name="_Heading_June 05 CF_actuate_tijdseries_par swap rates" xfId="5682"/>
    <cellStyle name="_Heading_June 05 CF_actuate_vpv" xfId="3684"/>
    <cellStyle name="_Heading_June 05 CF_actuate_vpv 2" xfId="6951"/>
    <cellStyle name="_Heading_June 05 CF_actuate_vpv return serie" xfId="3683"/>
    <cellStyle name="_Heading_June 05 CF_actuate_vpv return serie 2" xfId="6952"/>
    <cellStyle name="_Heading_June 05 CF_actuate_vpv return serie_bei rates" xfId="6316"/>
    <cellStyle name="_Heading_June 05 CF_actuate_vpv return serie_par swap rates" xfId="5684"/>
    <cellStyle name="_Heading_June 05 CF_actuate_vpv_bei rates" xfId="6315"/>
    <cellStyle name="_Heading_June 05 CF_actuate_vpv_par swap rates" xfId="5683"/>
    <cellStyle name="_Heading_June 05 CF_beleggingen" xfId="3682"/>
    <cellStyle name="_Heading_June 05 CF_beleggingen 2" xfId="6953"/>
    <cellStyle name="_Heading_June 05 CF_beleggingen_bei rates" xfId="6317"/>
    <cellStyle name="_Heading_June 05 CF_beleggingen_par swap rates" xfId="5685"/>
    <cellStyle name="_Heading_June 05 CF_cashflows corp" xfId="3681"/>
    <cellStyle name="_Heading_June 05 CF_cashflows Gov't AAA" xfId="3680"/>
    <cellStyle name="_Heading_June 05 CF_cashflows ilb" xfId="3679"/>
    <cellStyle name="_Heading_June 05 CF_cashflows lang staats" xfId="3678"/>
    <cellStyle name="_Heading_June 05 CF_cashflows pan european 500mm" xfId="3677"/>
    <cellStyle name="_Heading_June 05 CF_cashflows staats" xfId="3676"/>
    <cellStyle name="_Heading_June 05 CF_dv01" xfId="891"/>
    <cellStyle name="_Heading_June 05 CF_excess returns bm matching pf" xfId="3675"/>
    <cellStyle name="_Heading_June 05 CF_feitelijk rendement" xfId="3674"/>
    <cellStyle name="_Heading_June 05 CF_feitelijk rendement 2" xfId="6954"/>
    <cellStyle name="_Heading_June 05 CF_feitelijk rendement_bei rates" xfId="6318"/>
    <cellStyle name="_Heading_June 05 CF_feitelijk rendement_par swap rates" xfId="5686"/>
    <cellStyle name="_Heading_June 05 CF_ilb reeel only" xfId="3673"/>
    <cellStyle name="_Heading_June 05 CF_nominale counterpart ilb" xfId="3672"/>
    <cellStyle name="_Heading_June 05 CF_tijdseries" xfId="3671"/>
    <cellStyle name="_Heading_June 05 CF_tijdseries 2" xfId="6955"/>
    <cellStyle name="_Heading_June 05 CF_tijdseries_bei rates" xfId="6319"/>
    <cellStyle name="_Heading_June 05 CF_tijdseries_par swap rates" xfId="5687"/>
    <cellStyle name="_Heading_June 05 CF_vpv" xfId="3670"/>
    <cellStyle name="_Heading_June 05 CF_vpv 2" xfId="6956"/>
    <cellStyle name="_Heading_June 05 CF_vpv return serie" xfId="3669"/>
    <cellStyle name="_Heading_June 05 CF_vpv return serie 2" xfId="6957"/>
    <cellStyle name="_Heading_June 05 CF_vpv return serie_bei rates" xfId="6321"/>
    <cellStyle name="_Heading_June 05 CF_vpv return serie_par swap rates" xfId="5689"/>
    <cellStyle name="_Heading_June 05 CF_vpv_bei rates" xfId="6320"/>
    <cellStyle name="_Heading_June 05 CF_vpv_par swap rates" xfId="5688"/>
    <cellStyle name="_Heading_June05" xfId="892"/>
    <cellStyle name="_Heading_LDI Characts" xfId="893"/>
    <cellStyle name="_Heading_Liabs DV01" xfId="894"/>
    <cellStyle name="_Heading_Liabs DV01 2" xfId="3280"/>
    <cellStyle name="_Heading_Liabs DV01 3" xfId="2197"/>
    <cellStyle name="_Heading_Liabs DV01_actuate" xfId="895"/>
    <cellStyle name="_Heading_Liabs DV01_actuate 2" xfId="3281"/>
    <cellStyle name="_Heading_Liabs DV01_actuate 3" xfId="2198"/>
    <cellStyle name="_Heading_Liabs DV01_actuate_cashflows corp" xfId="3258"/>
    <cellStyle name="_Heading_Liabs DV01_actuate_cashflows Gov't AAA" xfId="3261"/>
    <cellStyle name="_Heading_Liabs DV01_actuate_cashflows ilb" xfId="3264"/>
    <cellStyle name="_Heading_Liabs DV01_actuate_cashflows lang staats" xfId="3267"/>
    <cellStyle name="_Heading_Liabs DV01_actuate_cashflows pan european 500mm" xfId="3270"/>
    <cellStyle name="_Heading_Liabs DV01_actuate_cashflows staats" xfId="3271"/>
    <cellStyle name="_Heading_Liabs DV01_actuate_excess returns bm matching pf" xfId="3272"/>
    <cellStyle name="_Heading_Liabs DV01_actuate_ilb reeel only" xfId="3273"/>
    <cellStyle name="_Heading_Liabs DV01_actuate_nominale counterpart ilb" xfId="3274"/>
    <cellStyle name="_Heading_Liabs DV01_actuate_tijdseries" xfId="3277"/>
    <cellStyle name="_Heading_Liabs DV01_actuate_tijdseries 2" xfId="6958"/>
    <cellStyle name="_Heading_Liabs DV01_actuate_tijdseries_bei rates" xfId="6322"/>
    <cellStyle name="_Heading_Liabs DV01_actuate_tijdseries_par swap rates" xfId="5690"/>
    <cellStyle name="_Heading_Liabs DV01_actuate_vpv" xfId="3278"/>
    <cellStyle name="_Heading_Liabs DV01_actuate_vpv 2" xfId="6959"/>
    <cellStyle name="_Heading_Liabs DV01_actuate_vpv return serie" xfId="3279"/>
    <cellStyle name="_Heading_Liabs DV01_actuate_vpv return serie 2" xfId="6960"/>
    <cellStyle name="_Heading_Liabs DV01_actuate_vpv return serie_bei rates" xfId="6324"/>
    <cellStyle name="_Heading_Liabs DV01_actuate_vpv return serie_par swap rates" xfId="5692"/>
    <cellStyle name="_Heading_Liabs DV01_actuate_vpv_bei rates" xfId="6323"/>
    <cellStyle name="_Heading_Liabs DV01_actuate_vpv_par swap rates" xfId="5691"/>
    <cellStyle name="_Heading_Liabs DV01_beleggingen" xfId="3282"/>
    <cellStyle name="_Heading_Liabs DV01_beleggingen 2" xfId="6961"/>
    <cellStyle name="_Heading_Liabs DV01_beleggingen_bei rates" xfId="6325"/>
    <cellStyle name="_Heading_Liabs DV01_beleggingen_par swap rates" xfId="5693"/>
    <cellStyle name="_Heading_Liabs DV01_cashflows corp" xfId="3285"/>
    <cellStyle name="_Heading_Liabs DV01_cashflows Gov't AAA" xfId="3288"/>
    <cellStyle name="_Heading_Liabs DV01_cashflows ilb" xfId="3291"/>
    <cellStyle name="_Heading_Liabs DV01_cashflows lang staats" xfId="3292"/>
    <cellStyle name="_Heading_Liabs DV01_cashflows pan european 500mm" xfId="3295"/>
    <cellStyle name="_Heading_Liabs DV01_cashflows staats" xfId="3298"/>
    <cellStyle name="_Heading_Liabs DV01_dv01" xfId="896"/>
    <cellStyle name="_Heading_Liabs DV01_excess returns bm matching pf" xfId="3299"/>
    <cellStyle name="_Heading_Liabs DV01_feitelijk rendement" xfId="3302"/>
    <cellStyle name="_Heading_Liabs DV01_feitelijk rendement 2" xfId="6962"/>
    <cellStyle name="_Heading_Liabs DV01_feitelijk rendement_bei rates" xfId="6326"/>
    <cellStyle name="_Heading_Liabs DV01_feitelijk rendement_par swap rates" xfId="5694"/>
    <cellStyle name="_Heading_Liabs DV01_ilb reeel only" xfId="3306"/>
    <cellStyle name="_Heading_Liabs DV01_nominale counterpart ilb" xfId="3309"/>
    <cellStyle name="_Heading_Liabs DV01_tijdseries" xfId="3312"/>
    <cellStyle name="_Heading_Liabs DV01_tijdseries 2" xfId="6963"/>
    <cellStyle name="_Heading_Liabs DV01_tijdseries_bei rates" xfId="6327"/>
    <cellStyle name="_Heading_Liabs DV01_tijdseries_par swap rates" xfId="5695"/>
    <cellStyle name="_Heading_Liabs DV01_vpv" xfId="3315"/>
    <cellStyle name="_Heading_Liabs DV01_vpv 2" xfId="6964"/>
    <cellStyle name="_Heading_Liabs DV01_vpv return serie" xfId="3318"/>
    <cellStyle name="_Heading_Liabs DV01_vpv return serie 2" xfId="6965"/>
    <cellStyle name="_Heading_Liabs DV01_vpv return serie_bei rates" xfId="6329"/>
    <cellStyle name="_Heading_Liabs DV01_vpv return serie_par swap rates" xfId="5697"/>
    <cellStyle name="_Heading_Liabs DV01_vpv_bei rates" xfId="6328"/>
    <cellStyle name="_Heading_Liabs DV01_vpv_par swap rates" xfId="5696"/>
    <cellStyle name="_Heading_Main" xfId="897"/>
    <cellStyle name="_Heading_Main 2" xfId="3283"/>
    <cellStyle name="_Heading_Main 3" xfId="2199"/>
    <cellStyle name="_Heading_Main_actuate" xfId="898"/>
    <cellStyle name="_Heading_Main_actuate 2" xfId="3284"/>
    <cellStyle name="_Heading_Main_actuate 3" xfId="2200"/>
    <cellStyle name="_Heading_Main_actuate_cashflows corp" xfId="3321"/>
    <cellStyle name="_Heading_Main_actuate_cashflows Gov't AAA" xfId="3322"/>
    <cellStyle name="_Heading_Main_actuate_cashflows ilb" xfId="3323"/>
    <cellStyle name="_Heading_Main_actuate_cashflows lang staats" xfId="3326"/>
    <cellStyle name="_Heading_Main_actuate_cashflows pan european 500mm" xfId="3327"/>
    <cellStyle name="_Heading_Main_actuate_cashflows staats" xfId="3328"/>
    <cellStyle name="_Heading_Main_actuate_excess returns bm matching pf" xfId="3331"/>
    <cellStyle name="_Heading_Main_actuate_ilb reeel only" xfId="3334"/>
    <cellStyle name="_Heading_Main_actuate_nominale counterpart ilb" xfId="3337"/>
    <cellStyle name="_Heading_Main_actuate_tijdseries" xfId="3340"/>
    <cellStyle name="_Heading_Main_actuate_tijdseries 2" xfId="6966"/>
    <cellStyle name="_Heading_Main_actuate_tijdseries_bei rates" xfId="6330"/>
    <cellStyle name="_Heading_Main_actuate_tijdseries_par swap rates" xfId="5698"/>
    <cellStyle name="_Heading_Main_actuate_vpv" xfId="3341"/>
    <cellStyle name="_Heading_Main_actuate_vpv 2" xfId="6967"/>
    <cellStyle name="_Heading_Main_actuate_vpv return serie" xfId="3344"/>
    <cellStyle name="_Heading_Main_actuate_vpv return serie 2" xfId="6968"/>
    <cellStyle name="_Heading_Main_actuate_vpv return serie_bei rates" xfId="6332"/>
    <cellStyle name="_Heading_Main_actuate_vpv return serie_par swap rates" xfId="5700"/>
    <cellStyle name="_Heading_Main_actuate_vpv_bei rates" xfId="6331"/>
    <cellStyle name="_Heading_Main_actuate_vpv_par swap rates" xfId="5699"/>
    <cellStyle name="_Heading_Main_beleggingen" xfId="3347"/>
    <cellStyle name="_Heading_Main_beleggingen 2" xfId="6969"/>
    <cellStyle name="_Heading_Main_beleggingen_bei rates" xfId="6333"/>
    <cellStyle name="_Heading_Main_beleggingen_par swap rates" xfId="5701"/>
    <cellStyle name="_Heading_Main_cashflows corp" xfId="3348"/>
    <cellStyle name="_Heading_Main_cashflows Gov't AAA" xfId="3349"/>
    <cellStyle name="_Heading_Main_cashflows ilb" xfId="3352"/>
    <cellStyle name="_Heading_Main_cashflows lang staats" xfId="3353"/>
    <cellStyle name="_Heading_Main_cashflows pan european 500mm" xfId="3356"/>
    <cellStyle name="_Heading_Main_cashflows staats" xfId="3359"/>
    <cellStyle name="_Heading_Main_dv01" xfId="899"/>
    <cellStyle name="_Heading_Main_excess returns bm matching pf" xfId="3364"/>
    <cellStyle name="_Heading_Main_feitelijk rendement" xfId="3367"/>
    <cellStyle name="_Heading_Main_feitelijk rendement 2" xfId="6970"/>
    <cellStyle name="_Heading_Main_feitelijk rendement_bei rates" xfId="6334"/>
    <cellStyle name="_Heading_Main_feitelijk rendement_par swap rates" xfId="5702"/>
    <cellStyle name="_Heading_Main_ilb reeel only" xfId="3368"/>
    <cellStyle name="_Heading_Main_nominale counterpart ilb" xfId="3369"/>
    <cellStyle name="_Heading_Main_tijdseries" xfId="3370"/>
    <cellStyle name="_Heading_Main_tijdseries 2" xfId="6971"/>
    <cellStyle name="_Heading_Main_tijdseries_bei rates" xfId="6335"/>
    <cellStyle name="_Heading_Main_tijdseries_par swap rates" xfId="5703"/>
    <cellStyle name="_Heading_Main_vpv" xfId="3371"/>
    <cellStyle name="_Heading_Main_vpv 2" xfId="6972"/>
    <cellStyle name="_Heading_Main_vpv return serie" xfId="3374"/>
    <cellStyle name="_Heading_Main_vpv return serie 2" xfId="6973"/>
    <cellStyle name="_Heading_Main_vpv return serie_bei rates" xfId="6337"/>
    <cellStyle name="_Heading_Main_vpv return serie_par swap rates" xfId="5705"/>
    <cellStyle name="_Heading_Main_vpv_bei rates" xfId="6336"/>
    <cellStyle name="_Heading_Main_vpv_par swap rates" xfId="5704"/>
    <cellStyle name="_Heading_Matching PV Cashflows" xfId="900"/>
    <cellStyle name="_Heading_Matching PV Cashflows 2" xfId="3286"/>
    <cellStyle name="_Heading_Matching PV Cashflows 3" xfId="2201"/>
    <cellStyle name="_Heading_Matching PV Cashflows_actuate" xfId="901"/>
    <cellStyle name="_Heading_Matching PV Cashflows_actuate 2" xfId="3287"/>
    <cellStyle name="_Heading_Matching PV Cashflows_actuate 3" xfId="2202"/>
    <cellStyle name="_Heading_Matching PV Cashflows_actuate_cashflows corp" xfId="3377"/>
    <cellStyle name="_Heading_Matching PV Cashflows_actuate_cashflows Gov't AAA" xfId="3380"/>
    <cellStyle name="_Heading_Matching PV Cashflows_actuate_cashflows ilb" xfId="3383"/>
    <cellStyle name="_Heading_Matching PV Cashflows_actuate_cashflows lang staats" xfId="3386"/>
    <cellStyle name="_Heading_Matching PV Cashflows_actuate_cashflows pan european 500mm" xfId="3387"/>
    <cellStyle name="_Heading_Matching PV Cashflows_actuate_cashflows staats" xfId="3390"/>
    <cellStyle name="_Heading_Matching PV Cashflows_actuate_excess returns bm matching pf" xfId="3393"/>
    <cellStyle name="_Heading_Matching PV Cashflows_actuate_ilb reeel only" xfId="3394"/>
    <cellStyle name="_Heading_Matching PV Cashflows_actuate_nominale counterpart ilb" xfId="3395"/>
    <cellStyle name="_Heading_Matching PV Cashflows_actuate_tijdseries" xfId="3398"/>
    <cellStyle name="_Heading_Matching PV Cashflows_actuate_tijdseries 2" xfId="6974"/>
    <cellStyle name="_Heading_Matching PV Cashflows_actuate_tijdseries_bei rates" xfId="6338"/>
    <cellStyle name="_Heading_Matching PV Cashflows_actuate_tijdseries_par swap rates" xfId="5706"/>
    <cellStyle name="_Heading_Matching PV Cashflows_actuate_vpv" xfId="3399"/>
    <cellStyle name="_Heading_Matching PV Cashflows_actuate_vpv 2" xfId="6975"/>
    <cellStyle name="_Heading_Matching PV Cashflows_actuate_vpv return serie" xfId="3402"/>
    <cellStyle name="_Heading_Matching PV Cashflows_actuate_vpv return serie 2" xfId="6976"/>
    <cellStyle name="_Heading_Matching PV Cashflows_actuate_vpv return serie_bei rates" xfId="6340"/>
    <cellStyle name="_Heading_Matching PV Cashflows_actuate_vpv return serie_par swap rates" xfId="5708"/>
    <cellStyle name="_Heading_Matching PV Cashflows_actuate_vpv_bei rates" xfId="6339"/>
    <cellStyle name="_Heading_Matching PV Cashflows_actuate_vpv_par swap rates" xfId="5707"/>
    <cellStyle name="_Heading_Matching PV Cashflows_beleggingen" xfId="3405"/>
    <cellStyle name="_Heading_Matching PV Cashflows_beleggingen 2" xfId="6977"/>
    <cellStyle name="_Heading_Matching PV Cashflows_beleggingen_bei rates" xfId="6341"/>
    <cellStyle name="_Heading_Matching PV Cashflows_beleggingen_par swap rates" xfId="5709"/>
    <cellStyle name="_Heading_Matching PV Cashflows_cashflows corp" xfId="3408"/>
    <cellStyle name="_Heading_Matching PV Cashflows_cashflows Gov't AAA" xfId="3411"/>
    <cellStyle name="_Heading_Matching PV Cashflows_cashflows ilb" xfId="3414"/>
    <cellStyle name="_Heading_Matching PV Cashflows_cashflows lang staats" xfId="3415"/>
    <cellStyle name="_Heading_Matching PV Cashflows_cashflows pan european 500mm" xfId="3416"/>
    <cellStyle name="_Heading_Matching PV Cashflows_cashflows staats" xfId="3417"/>
    <cellStyle name="_Heading_Matching PV Cashflows_dv01" xfId="902"/>
    <cellStyle name="_Heading_Matching PV Cashflows_excess returns bm matching pf" xfId="3421"/>
    <cellStyle name="_Heading_Matching PV Cashflows_feitelijk rendement" xfId="3422"/>
    <cellStyle name="_Heading_Matching PV Cashflows_feitelijk rendement 2" xfId="6978"/>
    <cellStyle name="_Heading_Matching PV Cashflows_feitelijk rendement_bei rates" xfId="6342"/>
    <cellStyle name="_Heading_Matching PV Cashflows_feitelijk rendement_par swap rates" xfId="5710"/>
    <cellStyle name="_Heading_Matching PV Cashflows_ilb reeel only" xfId="3425"/>
    <cellStyle name="_Heading_Matching PV Cashflows_nominale counterpart ilb" xfId="3428"/>
    <cellStyle name="_Heading_Matching PV Cashflows_tijdseries" xfId="3431"/>
    <cellStyle name="_Heading_Matching PV Cashflows_tijdseries 2" xfId="6979"/>
    <cellStyle name="_Heading_Matching PV Cashflows_tijdseries_bei rates" xfId="6343"/>
    <cellStyle name="_Heading_Matching PV Cashflows_tijdseries_par swap rates" xfId="5711"/>
    <cellStyle name="_Heading_Matching PV Cashflows_vpv" xfId="3434"/>
    <cellStyle name="_Heading_Matching PV Cashflows_vpv 2" xfId="6980"/>
    <cellStyle name="_Heading_Matching PV Cashflows_vpv return serie" xfId="3435"/>
    <cellStyle name="_Heading_Matching PV Cashflows_vpv return serie 2" xfId="6981"/>
    <cellStyle name="_Heading_Matching PV Cashflows_vpv return serie_bei rates" xfId="6345"/>
    <cellStyle name="_Heading_Matching PV Cashflows_vpv return serie_par swap rates" xfId="5713"/>
    <cellStyle name="_Heading_Matching PV Cashflows_vpv_bei rates" xfId="6344"/>
    <cellStyle name="_Heading_Matching PV Cashflows_vpv_par swap rates" xfId="5712"/>
    <cellStyle name="_Heading_ModelSetup" xfId="903"/>
    <cellStyle name="_Heading_ModelSetup 2" xfId="3289"/>
    <cellStyle name="_Heading_ModelSetup 3" xfId="2203"/>
    <cellStyle name="_Heading_ModelSetup_actuate" xfId="904"/>
    <cellStyle name="_Heading_ModelSetup_actuate 2" xfId="3290"/>
    <cellStyle name="_Heading_ModelSetup_actuate 3" xfId="2204"/>
    <cellStyle name="_Heading_ModelSetup_actuate_cashflows corp" xfId="3440"/>
    <cellStyle name="_Heading_ModelSetup_actuate_cashflows Gov't AAA" xfId="3441"/>
    <cellStyle name="_Heading_ModelSetup_actuate_cashflows ilb" xfId="3444"/>
    <cellStyle name="_Heading_ModelSetup_actuate_cashflows lang staats" xfId="3445"/>
    <cellStyle name="_Heading_ModelSetup_actuate_cashflows pan european 500mm" xfId="3448"/>
    <cellStyle name="_Heading_ModelSetup_actuate_cashflows staats" xfId="3451"/>
    <cellStyle name="_Heading_ModelSetup_actuate_excess returns bm matching pf" xfId="3454"/>
    <cellStyle name="_Heading_ModelSetup_actuate_ilb reeel only" xfId="3457"/>
    <cellStyle name="_Heading_ModelSetup_actuate_nominale counterpart ilb" xfId="3460"/>
    <cellStyle name="_Heading_ModelSetup_actuate_tijdseries" xfId="3461"/>
    <cellStyle name="_Heading_ModelSetup_actuate_tijdseries 2" xfId="6982"/>
    <cellStyle name="_Heading_ModelSetup_actuate_tijdseries_bei rates" xfId="6346"/>
    <cellStyle name="_Heading_ModelSetup_actuate_tijdseries_par swap rates" xfId="5714"/>
    <cellStyle name="_Heading_ModelSetup_actuate_vpv" xfId="3462"/>
    <cellStyle name="_Heading_ModelSetup_actuate_vpv 2" xfId="6983"/>
    <cellStyle name="_Heading_ModelSetup_actuate_vpv return serie" xfId="3463"/>
    <cellStyle name="_Heading_ModelSetup_actuate_vpv return serie 2" xfId="6984"/>
    <cellStyle name="_Heading_ModelSetup_actuate_vpv return serie_bei rates" xfId="6348"/>
    <cellStyle name="_Heading_ModelSetup_actuate_vpv return serie_par swap rates" xfId="5716"/>
    <cellStyle name="_Heading_ModelSetup_actuate_vpv_bei rates" xfId="6347"/>
    <cellStyle name="_Heading_ModelSetup_actuate_vpv_par swap rates" xfId="5715"/>
    <cellStyle name="_Heading_ModelSetup_beleggingen" xfId="3464"/>
    <cellStyle name="_Heading_ModelSetup_beleggingen 2" xfId="6985"/>
    <cellStyle name="_Heading_ModelSetup_beleggingen_bei rates" xfId="6349"/>
    <cellStyle name="_Heading_ModelSetup_beleggingen_par swap rates" xfId="5717"/>
    <cellStyle name="_Heading_ModelSetup_cashflows corp" xfId="3467"/>
    <cellStyle name="_Heading_ModelSetup_cashflows Gov't AAA" xfId="3468"/>
    <cellStyle name="_Heading_ModelSetup_cashflows ilb" xfId="3469"/>
    <cellStyle name="_Heading_ModelSetup_cashflows lang staats" xfId="3472"/>
    <cellStyle name="_Heading_ModelSetup_cashflows pan european 500mm" xfId="3475"/>
    <cellStyle name="_Heading_ModelSetup_cashflows staats" xfId="3478"/>
    <cellStyle name="_Heading_ModelSetup_dv01" xfId="905"/>
    <cellStyle name="_Heading_ModelSetup_excess returns bm matching pf" xfId="3481"/>
    <cellStyle name="_Heading_ModelSetup_feitelijk rendement" xfId="3484"/>
    <cellStyle name="_Heading_ModelSetup_feitelijk rendement 2" xfId="6986"/>
    <cellStyle name="_Heading_ModelSetup_feitelijk rendement_bei rates" xfId="6350"/>
    <cellStyle name="_Heading_ModelSetup_feitelijk rendement_par swap rates" xfId="5718"/>
    <cellStyle name="_Heading_ModelSetup_ilb reeel only" xfId="3487"/>
    <cellStyle name="_Heading_ModelSetup_nominale counterpart ilb" xfId="3488"/>
    <cellStyle name="_Heading_ModelSetup_tijdseries" xfId="3489"/>
    <cellStyle name="_Heading_ModelSetup_tijdseries 2" xfId="6987"/>
    <cellStyle name="_Heading_ModelSetup_tijdseries_bei rates" xfId="6351"/>
    <cellStyle name="_Heading_ModelSetup_tijdseries_par swap rates" xfId="5719"/>
    <cellStyle name="_Heading_ModelSetup_vpv" xfId="3492"/>
    <cellStyle name="_Heading_ModelSetup_vpv 2" xfId="6988"/>
    <cellStyle name="_Heading_ModelSetup_vpv return serie" xfId="3493"/>
    <cellStyle name="_Heading_ModelSetup_vpv return serie 2" xfId="6989"/>
    <cellStyle name="_Heading_ModelSetup_vpv return serie_bei rates" xfId="6353"/>
    <cellStyle name="_Heading_ModelSetup_vpv return serie_par swap rates" xfId="5721"/>
    <cellStyle name="_Heading_ModelSetup_vpv_bei rates" xfId="6352"/>
    <cellStyle name="_Heading_ModelSetup_vpv_par swap rates" xfId="5720"/>
    <cellStyle name="_Heading_PME Swaps" xfId="906"/>
    <cellStyle name="_Heading_Pricer" xfId="907"/>
    <cellStyle name="_Heading_Pricer 2" xfId="3293"/>
    <cellStyle name="_Heading_Pricer 3" xfId="2205"/>
    <cellStyle name="_Heading_Pricer_actuate" xfId="908"/>
    <cellStyle name="_Heading_Pricer_actuate 2" xfId="3294"/>
    <cellStyle name="_Heading_Pricer_actuate 3" xfId="2206"/>
    <cellStyle name="_Heading_Pricer_actuate_cashflows corp" xfId="3505"/>
    <cellStyle name="_Heading_Pricer_actuate_cashflows Gov't AAA" xfId="3506"/>
    <cellStyle name="_Heading_Pricer_actuate_cashflows ilb" xfId="3507"/>
    <cellStyle name="_Heading_Pricer_actuate_cashflows lang staats" xfId="3508"/>
    <cellStyle name="_Heading_Pricer_actuate_cashflows pan european 500mm" xfId="3509"/>
    <cellStyle name="_Heading_Pricer_actuate_cashflows staats" xfId="3512"/>
    <cellStyle name="_Heading_Pricer_actuate_excess returns bm matching pf" xfId="3513"/>
    <cellStyle name="_Heading_Pricer_actuate_ilb reeel only" xfId="3514"/>
    <cellStyle name="_Heading_Pricer_actuate_nominale counterpart ilb" xfId="3517"/>
    <cellStyle name="_Heading_Pricer_actuate_tijdseries" xfId="3520"/>
    <cellStyle name="_Heading_Pricer_actuate_tijdseries 2" xfId="6990"/>
    <cellStyle name="_Heading_Pricer_actuate_tijdseries_bei rates" xfId="6354"/>
    <cellStyle name="_Heading_Pricer_actuate_tijdseries_par swap rates" xfId="5722"/>
    <cellStyle name="_Heading_Pricer_actuate_vpv" xfId="3523"/>
    <cellStyle name="_Heading_Pricer_actuate_vpv 2" xfId="6991"/>
    <cellStyle name="_Heading_Pricer_actuate_vpv return serie" xfId="3526"/>
    <cellStyle name="_Heading_Pricer_actuate_vpv return serie 2" xfId="6992"/>
    <cellStyle name="_Heading_Pricer_actuate_vpv return serie_bei rates" xfId="6356"/>
    <cellStyle name="_Heading_Pricer_actuate_vpv return serie_par swap rates" xfId="5724"/>
    <cellStyle name="_Heading_Pricer_actuate_vpv_bei rates" xfId="6355"/>
    <cellStyle name="_Heading_Pricer_actuate_vpv_par swap rates" xfId="5723"/>
    <cellStyle name="_Heading_Pricer_beleggingen" xfId="3527"/>
    <cellStyle name="_Heading_Pricer_beleggingen 2" xfId="6993"/>
    <cellStyle name="_Heading_Pricer_beleggingen_bei rates" xfId="6357"/>
    <cellStyle name="_Heading_Pricer_beleggingen_par swap rates" xfId="5725"/>
    <cellStyle name="_Heading_Pricer_cashflows corp" xfId="3530"/>
    <cellStyle name="_Heading_Pricer_cashflows Gov't AAA" xfId="3533"/>
    <cellStyle name="_Heading_Pricer_cashflows ilb" xfId="3534"/>
    <cellStyle name="_Heading_Pricer_cashflows lang staats" xfId="3535"/>
    <cellStyle name="_Heading_Pricer_cashflows pan european 500mm" xfId="3538"/>
    <cellStyle name="_Heading_Pricer_cashflows staats" xfId="3539"/>
    <cellStyle name="_Heading_Pricer_dv01" xfId="909"/>
    <cellStyle name="_Heading_Pricer_excess returns bm matching pf" xfId="3540"/>
    <cellStyle name="_Heading_Pricer_feitelijk rendement" xfId="3541"/>
    <cellStyle name="_Heading_Pricer_feitelijk rendement 2" xfId="6994"/>
    <cellStyle name="_Heading_Pricer_feitelijk rendement_bei rates" xfId="6358"/>
    <cellStyle name="_Heading_Pricer_feitelijk rendement_par swap rates" xfId="5726"/>
    <cellStyle name="_Heading_Pricer_ilb reeel only" xfId="3542"/>
    <cellStyle name="_Heading_Pricer_nominale counterpart ilb" xfId="3543"/>
    <cellStyle name="_Heading_Pricer_tijdseries" xfId="3544"/>
    <cellStyle name="_Heading_Pricer_tijdseries 2" xfId="6995"/>
    <cellStyle name="_Heading_Pricer_tijdseries_bei rates" xfId="6359"/>
    <cellStyle name="_Heading_Pricer_tijdseries_par swap rates" xfId="5727"/>
    <cellStyle name="_Heading_Pricer_vpv" xfId="3545"/>
    <cellStyle name="_Heading_Pricer_vpv 2" xfId="6996"/>
    <cellStyle name="_Heading_Pricer_vpv return serie" xfId="3546"/>
    <cellStyle name="_Heading_Pricer_vpv return serie 2" xfId="6997"/>
    <cellStyle name="_Heading_Pricer_vpv return serie_bei rates" xfId="6361"/>
    <cellStyle name="_Heading_Pricer_vpv return serie_par swap rates" xfId="5729"/>
    <cellStyle name="_Heading_Pricer_vpv_bei rates" xfId="6360"/>
    <cellStyle name="_Heading_Pricer_vpv_par swap rates" xfId="5728"/>
    <cellStyle name="_Heading_Sheet1" xfId="910"/>
    <cellStyle name="_Heading_Sheet1 2" xfId="3296"/>
    <cellStyle name="_Heading_Sheet1 3" xfId="2207"/>
    <cellStyle name="_Heading_Sheet1_actuate" xfId="911"/>
    <cellStyle name="_Heading_Sheet1_actuate 2" xfId="3297"/>
    <cellStyle name="_Heading_Sheet1_actuate 3" xfId="2208"/>
    <cellStyle name="_Heading_Sheet1_actuate_cashflows corp" xfId="3547"/>
    <cellStyle name="_Heading_Sheet1_actuate_cashflows Gov't AAA" xfId="3548"/>
    <cellStyle name="_Heading_Sheet1_actuate_cashflows ilb" xfId="3549"/>
    <cellStyle name="_Heading_Sheet1_actuate_cashflows lang staats" xfId="3550"/>
    <cellStyle name="_Heading_Sheet1_actuate_cashflows pan european 500mm" xfId="3551"/>
    <cellStyle name="_Heading_Sheet1_actuate_cashflows staats" xfId="3552"/>
    <cellStyle name="_Heading_Sheet1_actuate_excess returns bm matching pf" xfId="3553"/>
    <cellStyle name="_Heading_Sheet1_actuate_ilb reeel only" xfId="3554"/>
    <cellStyle name="_Heading_Sheet1_actuate_nominale counterpart ilb" xfId="3555"/>
    <cellStyle name="_Heading_Sheet1_actuate_tijdseries" xfId="3556"/>
    <cellStyle name="_Heading_Sheet1_actuate_tijdseries 2" xfId="6998"/>
    <cellStyle name="_Heading_Sheet1_actuate_tijdseries_bei rates" xfId="6362"/>
    <cellStyle name="_Heading_Sheet1_actuate_tijdseries_par swap rates" xfId="5730"/>
    <cellStyle name="_Heading_Sheet1_actuate_vpv" xfId="3557"/>
    <cellStyle name="_Heading_Sheet1_actuate_vpv 2" xfId="6999"/>
    <cellStyle name="_Heading_Sheet1_actuate_vpv return serie" xfId="3558"/>
    <cellStyle name="_Heading_Sheet1_actuate_vpv return serie 2" xfId="7000"/>
    <cellStyle name="_Heading_Sheet1_actuate_vpv return serie_bei rates" xfId="6364"/>
    <cellStyle name="_Heading_Sheet1_actuate_vpv return serie_par swap rates" xfId="5732"/>
    <cellStyle name="_Heading_Sheet1_actuate_vpv_bei rates" xfId="6363"/>
    <cellStyle name="_Heading_Sheet1_actuate_vpv_par swap rates" xfId="5731"/>
    <cellStyle name="_Heading_Sheet1_beleggingen" xfId="3559"/>
    <cellStyle name="_Heading_Sheet1_beleggingen 2" xfId="7001"/>
    <cellStyle name="_Heading_Sheet1_beleggingen_bei rates" xfId="6365"/>
    <cellStyle name="_Heading_Sheet1_beleggingen_par swap rates" xfId="5733"/>
    <cellStyle name="_Heading_Sheet1_cashflows corp" xfId="3561"/>
    <cellStyle name="_Heading_Sheet1_cashflows Gov't AAA" xfId="3562"/>
    <cellStyle name="_Heading_Sheet1_cashflows ilb" xfId="3563"/>
    <cellStyle name="_Heading_Sheet1_cashflows lang staats" xfId="3564"/>
    <cellStyle name="_Heading_Sheet1_cashflows pan european 500mm" xfId="3567"/>
    <cellStyle name="_Heading_Sheet1_cashflows staats" xfId="3568"/>
    <cellStyle name="_Heading_Sheet1_dv01" xfId="912"/>
    <cellStyle name="_Heading_Sheet1_excess returns bm matching pf" xfId="3570"/>
    <cellStyle name="_Heading_Sheet1_feitelijk rendement" xfId="3571"/>
    <cellStyle name="_Heading_Sheet1_feitelijk rendement 2" xfId="7002"/>
    <cellStyle name="_Heading_Sheet1_feitelijk rendement_bei rates" xfId="6366"/>
    <cellStyle name="_Heading_Sheet1_feitelijk rendement_par swap rates" xfId="5734"/>
    <cellStyle name="_Heading_Sheet1_Gexa Multi Asset Path Generator" xfId="913"/>
    <cellStyle name="_Heading_Sheet1_ilb reeel only" xfId="3572"/>
    <cellStyle name="_Heading_Sheet1_nominale counterpart ilb" xfId="3573"/>
    <cellStyle name="_Heading_Sheet1_tijdseries" xfId="3575"/>
    <cellStyle name="_Heading_Sheet1_tijdseries 2" xfId="7003"/>
    <cellStyle name="_Heading_Sheet1_tijdseries_bei rates" xfId="6367"/>
    <cellStyle name="_Heading_Sheet1_tijdseries_par swap rates" xfId="5735"/>
    <cellStyle name="_Heading_Sheet1_vpv" xfId="3576"/>
    <cellStyle name="_Heading_Sheet1_vpv 2" xfId="7004"/>
    <cellStyle name="_Heading_Sheet1_vpv return serie" xfId="3577"/>
    <cellStyle name="_Heading_Sheet1_vpv return serie 2" xfId="7005"/>
    <cellStyle name="_Heading_Sheet1_vpv return serie_bei rates" xfId="6369"/>
    <cellStyle name="_Heading_Sheet1_vpv return serie_par swap rates" xfId="5737"/>
    <cellStyle name="_Heading_Sheet1_vpv_bei rates" xfId="6368"/>
    <cellStyle name="_Heading_Sheet1_vpv_par swap rates" xfId="5736"/>
    <cellStyle name="_Heading_SPP Values as at 12 June 05" xfId="914"/>
    <cellStyle name="_Heading_Tableau" xfId="915"/>
    <cellStyle name="_Heading_Tableau 2" xfId="3300"/>
    <cellStyle name="_Heading_Tableau 3" xfId="2209"/>
    <cellStyle name="_Heading_Tableau_actuate" xfId="916"/>
    <cellStyle name="_Heading_Tableau_actuate 2" xfId="3301"/>
    <cellStyle name="_Heading_Tableau_actuate 3" xfId="2210"/>
    <cellStyle name="_Heading_Tableau_actuate_cashflows corp" xfId="3581"/>
    <cellStyle name="_Heading_Tableau_actuate_cashflows Gov't AAA" xfId="3582"/>
    <cellStyle name="_Heading_Tableau_actuate_cashflows ilb" xfId="3583"/>
    <cellStyle name="_Heading_Tableau_actuate_cashflows lang staats" xfId="3585"/>
    <cellStyle name="_Heading_Tableau_actuate_cashflows pan european 500mm" xfId="3587"/>
    <cellStyle name="_Heading_Tableau_actuate_cashflows staats" xfId="3588"/>
    <cellStyle name="_Heading_Tableau_actuate_excess returns bm matching pf" xfId="3589"/>
    <cellStyle name="_Heading_Tableau_actuate_ilb reeel only" xfId="3590"/>
    <cellStyle name="_Heading_Tableau_actuate_nominale counterpart ilb" xfId="3591"/>
    <cellStyle name="_Heading_Tableau_actuate_tijdseries" xfId="3594"/>
    <cellStyle name="_Heading_Tableau_actuate_tijdseries 2" xfId="7006"/>
    <cellStyle name="_Heading_Tableau_actuate_tijdseries_bei rates" xfId="6370"/>
    <cellStyle name="_Heading_Tableau_actuate_tijdseries_par swap rates" xfId="5738"/>
    <cellStyle name="_Heading_Tableau_actuate_vpv" xfId="3595"/>
    <cellStyle name="_Heading_Tableau_actuate_vpv 2" xfId="7007"/>
    <cellStyle name="_Heading_Tableau_actuate_vpv return serie" xfId="3596"/>
    <cellStyle name="_Heading_Tableau_actuate_vpv return serie 2" xfId="7008"/>
    <cellStyle name="_Heading_Tableau_actuate_vpv return serie_bei rates" xfId="6372"/>
    <cellStyle name="_Heading_Tableau_actuate_vpv return serie_par swap rates" xfId="5740"/>
    <cellStyle name="_Heading_Tableau_actuate_vpv_bei rates" xfId="6371"/>
    <cellStyle name="_Heading_Tableau_actuate_vpv_par swap rates" xfId="5739"/>
    <cellStyle name="_Heading_Tableau_beleggingen" xfId="3597"/>
    <cellStyle name="_Heading_Tableau_beleggingen 2" xfId="7009"/>
    <cellStyle name="_Heading_Tableau_beleggingen_bei rates" xfId="6373"/>
    <cellStyle name="_Heading_Tableau_beleggingen_par swap rates" xfId="5741"/>
    <cellStyle name="_Heading_Tableau_cashflows corp" xfId="3598"/>
    <cellStyle name="_Heading_Tableau_cashflows Gov't AAA" xfId="3599"/>
    <cellStyle name="_Heading_Tableau_cashflows ilb" xfId="3600"/>
    <cellStyle name="_Heading_Tableau_cashflows lang staats" xfId="3601"/>
    <cellStyle name="_Heading_Tableau_cashflows pan european 500mm" xfId="3602"/>
    <cellStyle name="_Heading_Tableau_cashflows staats" xfId="3604"/>
    <cellStyle name="_Heading_Tableau_dv01" xfId="917"/>
    <cellStyle name="_Heading_Tableau_excess returns bm matching pf" xfId="3606"/>
    <cellStyle name="_Heading_Tableau_feitelijk rendement" xfId="3607"/>
    <cellStyle name="_Heading_Tableau_feitelijk rendement 2" xfId="7010"/>
    <cellStyle name="_Heading_Tableau_feitelijk rendement_bei rates" xfId="6374"/>
    <cellStyle name="_Heading_Tableau_feitelijk rendement_par swap rates" xfId="5742"/>
    <cellStyle name="_Heading_Tableau_ilb reeel only" xfId="3608"/>
    <cellStyle name="_Heading_Tableau_nominale counterpart ilb" xfId="3609"/>
    <cellStyle name="_Heading_Tableau_tijdseries" xfId="2392"/>
    <cellStyle name="_Heading_Tableau_tijdseries 2" xfId="7011"/>
    <cellStyle name="_Heading_Tableau_tijdseries_bei rates" xfId="6375"/>
    <cellStyle name="_Heading_Tableau_tijdseries_par swap rates" xfId="5743"/>
    <cellStyle name="_Heading_Tableau_vpv" xfId="3611"/>
    <cellStyle name="_Heading_Tableau_vpv 2" xfId="7012"/>
    <cellStyle name="_Heading_Tableau_vpv return serie" xfId="3612"/>
    <cellStyle name="_Heading_Tableau_vpv return serie 2" xfId="7013"/>
    <cellStyle name="_Heading_Tableau_vpv return serie_bei rates" xfId="6377"/>
    <cellStyle name="_Heading_Tableau_vpv return serie_par swap rates" xfId="5745"/>
    <cellStyle name="_Heading_Tableau_vpv_bei rates" xfId="6376"/>
    <cellStyle name="_Heading_Tableau_vpv_par swap rates" xfId="5744"/>
    <cellStyle name="_Highlight" xfId="918"/>
    <cellStyle name="_Highlight 2" xfId="3303"/>
    <cellStyle name="_Highlight 3" xfId="2211"/>
    <cellStyle name="_Multiple" xfId="919"/>
    <cellStyle name="_Multiple 2" xfId="3304"/>
    <cellStyle name="_Multiple 3" xfId="2212"/>
    <cellStyle name="_MultipleSpace" xfId="920"/>
    <cellStyle name="_MultipleSpace 2" xfId="3305"/>
    <cellStyle name="_MultipleSpace 3" xfId="2213"/>
    <cellStyle name="_SubHeading" xfId="921"/>
    <cellStyle name="_SubHeading_allocatie" xfId="922"/>
    <cellStyle name="_SubHeading_allocatie 2" xfId="3307"/>
    <cellStyle name="_SubHeading_allocatie 3" xfId="2214"/>
    <cellStyle name="_SubHeading_allocatie_actuate" xfId="923"/>
    <cellStyle name="_SubHeading_allocatie_actuate 2" xfId="3308"/>
    <cellStyle name="_SubHeading_allocatie_actuate 3" xfId="2215"/>
    <cellStyle name="_SubHeading_allocatie_actuate_cashflows corp" xfId="3616"/>
    <cellStyle name="_SubHeading_allocatie_actuate_cashflows Gov't AAA" xfId="3617"/>
    <cellStyle name="_SubHeading_allocatie_actuate_cashflows ilb" xfId="3618"/>
    <cellStyle name="_SubHeading_allocatie_actuate_cashflows lang staats" xfId="3620"/>
    <cellStyle name="_SubHeading_allocatie_actuate_cashflows pan european 500mm" xfId="3622"/>
    <cellStyle name="_SubHeading_allocatie_actuate_cashflows staats" xfId="3623"/>
    <cellStyle name="_SubHeading_allocatie_actuate_excess returns bm matching pf" xfId="3626"/>
    <cellStyle name="_SubHeading_allocatie_actuate_ilb reeel only" xfId="3627"/>
    <cellStyle name="_SubHeading_allocatie_actuate_nominale counterpart ilb" xfId="3629"/>
    <cellStyle name="_SubHeading_allocatie_actuate_tijdseries" xfId="3630"/>
    <cellStyle name="_SubHeading_allocatie_actuate_tijdseries 2" xfId="7014"/>
    <cellStyle name="_SubHeading_allocatie_actuate_tijdseries_bei rates" xfId="6378"/>
    <cellStyle name="_SubHeading_allocatie_actuate_tijdseries_par swap rates" xfId="5746"/>
    <cellStyle name="_SubHeading_allocatie_actuate_vpv" xfId="3633"/>
    <cellStyle name="_SubHeading_allocatie_actuate_vpv 2" xfId="7015"/>
    <cellStyle name="_SubHeading_allocatie_actuate_vpv return serie" xfId="3634"/>
    <cellStyle name="_SubHeading_allocatie_actuate_vpv return serie 2" xfId="7016"/>
    <cellStyle name="_SubHeading_allocatie_actuate_vpv return serie_bei rates" xfId="6380"/>
    <cellStyle name="_SubHeading_allocatie_actuate_vpv return serie_par swap rates" xfId="5748"/>
    <cellStyle name="_SubHeading_allocatie_actuate_vpv_bei rates" xfId="6379"/>
    <cellStyle name="_SubHeading_allocatie_actuate_vpv_par swap rates" xfId="5747"/>
    <cellStyle name="_SubHeading_allocatie_beleggingen" xfId="3637"/>
    <cellStyle name="_SubHeading_allocatie_beleggingen 2" xfId="7017"/>
    <cellStyle name="_SubHeading_allocatie_beleggingen_bei rates" xfId="6381"/>
    <cellStyle name="_SubHeading_allocatie_beleggingen_par swap rates" xfId="5749"/>
    <cellStyle name="_SubHeading_allocatie_cashflows corp" xfId="3638"/>
    <cellStyle name="_SubHeading_allocatie_cashflows Gov't AAA" xfId="3656"/>
    <cellStyle name="_SubHeading_allocatie_cashflows ilb" xfId="3657"/>
    <cellStyle name="_SubHeading_allocatie_cashflows lang staats" xfId="3658"/>
    <cellStyle name="_SubHeading_allocatie_cashflows pan european 500mm" xfId="3659"/>
    <cellStyle name="_SubHeading_allocatie_cashflows staats" xfId="3660"/>
    <cellStyle name="_SubHeading_allocatie_dv01" xfId="924"/>
    <cellStyle name="_SubHeading_allocatie_excess returns bm matching pf" xfId="3661"/>
    <cellStyle name="_SubHeading_allocatie_feitelijk rendement" xfId="3662"/>
    <cellStyle name="_SubHeading_allocatie_feitelijk rendement 2" xfId="7018"/>
    <cellStyle name="_SubHeading_allocatie_feitelijk rendement_bei rates" xfId="6382"/>
    <cellStyle name="_SubHeading_allocatie_feitelijk rendement_par swap rates" xfId="5750"/>
    <cellStyle name="_SubHeading_allocatie_ilb reeel only" xfId="3663"/>
    <cellStyle name="_SubHeading_allocatie_nominale counterpart ilb" xfId="3664"/>
    <cellStyle name="_SubHeading_allocatie_tijdseries" xfId="3665"/>
    <cellStyle name="_SubHeading_allocatie_tijdseries 2" xfId="7019"/>
    <cellStyle name="_SubHeading_allocatie_tijdseries_bei rates" xfId="6383"/>
    <cellStyle name="_SubHeading_allocatie_tijdseries_par swap rates" xfId="5751"/>
    <cellStyle name="_SubHeading_allocatie_vpv" xfId="3668"/>
    <cellStyle name="_SubHeading_allocatie_vpv 2" xfId="7020"/>
    <cellStyle name="_SubHeading_allocatie_vpv return serie" xfId="3864"/>
    <cellStyle name="_SubHeading_allocatie_vpv return serie 2" xfId="7021"/>
    <cellStyle name="_SubHeading_allocatie_vpv return serie_bei rates" xfId="6385"/>
    <cellStyle name="_SubHeading_allocatie_vpv return serie_par swap rates" xfId="5753"/>
    <cellStyle name="_SubHeading_allocatie_vpv_bei rates" xfId="6384"/>
    <cellStyle name="_SubHeading_allocatie_vpv_par swap rates" xfId="5752"/>
    <cellStyle name="_SubHeading_Asset Cashflows" xfId="925"/>
    <cellStyle name="_SubHeading_Asset Cashflows 2" xfId="3310"/>
    <cellStyle name="_SubHeading_Asset Cashflows 3" xfId="2216"/>
    <cellStyle name="_SubHeading_Asset Cashflows_actuate" xfId="926"/>
    <cellStyle name="_SubHeading_Asset Cashflows_actuate 2" xfId="3311"/>
    <cellStyle name="_SubHeading_Asset Cashflows_actuate 3" xfId="2217"/>
    <cellStyle name="_SubHeading_Asset Cashflows_actuate_cashflows corp" xfId="3865"/>
    <cellStyle name="_SubHeading_Asset Cashflows_actuate_cashflows Gov't AAA" xfId="3866"/>
    <cellStyle name="_SubHeading_Asset Cashflows_actuate_cashflows ilb" xfId="3867"/>
    <cellStyle name="_SubHeading_Asset Cashflows_actuate_cashflows lang staats" xfId="3868"/>
    <cellStyle name="_SubHeading_Asset Cashflows_actuate_cashflows pan european 500mm" xfId="3869"/>
    <cellStyle name="_SubHeading_Asset Cashflows_actuate_cashflows staats" xfId="3870"/>
    <cellStyle name="_SubHeading_Asset Cashflows_actuate_excess returns bm matching pf" xfId="3871"/>
    <cellStyle name="_SubHeading_Asset Cashflows_actuate_ilb reeel only" xfId="3872"/>
    <cellStyle name="_SubHeading_Asset Cashflows_actuate_nominale counterpart ilb" xfId="3873"/>
    <cellStyle name="_SubHeading_Asset Cashflows_actuate_tijdseries" xfId="3874"/>
    <cellStyle name="_SubHeading_Asset Cashflows_actuate_tijdseries 2" xfId="7022"/>
    <cellStyle name="_SubHeading_Asset Cashflows_actuate_tijdseries_bei rates" xfId="6386"/>
    <cellStyle name="_SubHeading_Asset Cashflows_actuate_tijdseries_par swap rates" xfId="5754"/>
    <cellStyle name="_SubHeading_Asset Cashflows_actuate_vpv" xfId="3875"/>
    <cellStyle name="_SubHeading_Asset Cashflows_actuate_vpv 2" xfId="7023"/>
    <cellStyle name="_SubHeading_Asset Cashflows_actuate_vpv return serie" xfId="3876"/>
    <cellStyle name="_SubHeading_Asset Cashflows_actuate_vpv return serie 2" xfId="7024"/>
    <cellStyle name="_SubHeading_Asset Cashflows_actuate_vpv return serie_bei rates" xfId="6388"/>
    <cellStyle name="_SubHeading_Asset Cashflows_actuate_vpv return serie_par swap rates" xfId="5756"/>
    <cellStyle name="_SubHeading_Asset Cashflows_actuate_vpv_bei rates" xfId="6387"/>
    <cellStyle name="_SubHeading_Asset Cashflows_actuate_vpv_par swap rates" xfId="5755"/>
    <cellStyle name="_SubHeading_Asset Cashflows_beleggingen" xfId="3877"/>
    <cellStyle name="_SubHeading_Asset Cashflows_beleggingen 2" xfId="7025"/>
    <cellStyle name="_SubHeading_Asset Cashflows_beleggingen_bei rates" xfId="6389"/>
    <cellStyle name="_SubHeading_Asset Cashflows_beleggingen_par swap rates" xfId="5757"/>
    <cellStyle name="_SubHeading_Asset Cashflows_cashflows corp" xfId="3878"/>
    <cellStyle name="_SubHeading_Asset Cashflows_cashflows Gov't AAA" xfId="3879"/>
    <cellStyle name="_SubHeading_Asset Cashflows_cashflows ilb" xfId="3880"/>
    <cellStyle name="_SubHeading_Asset Cashflows_cashflows lang staats" xfId="3881"/>
    <cellStyle name="_SubHeading_Asset Cashflows_cashflows pan european 500mm" xfId="3882"/>
    <cellStyle name="_SubHeading_Asset Cashflows_cashflows staats" xfId="3883"/>
    <cellStyle name="_SubHeading_Asset Cashflows_dv01" xfId="927"/>
    <cellStyle name="_SubHeading_Asset Cashflows_excess returns bm matching pf" xfId="3884"/>
    <cellStyle name="_SubHeading_Asset Cashflows_feitelijk rendement" xfId="3885"/>
    <cellStyle name="_SubHeading_Asset Cashflows_feitelijk rendement 2" xfId="7026"/>
    <cellStyle name="_SubHeading_Asset Cashflows_feitelijk rendement_bei rates" xfId="6390"/>
    <cellStyle name="_SubHeading_Asset Cashflows_feitelijk rendement_par swap rates" xfId="5758"/>
    <cellStyle name="_SubHeading_Asset Cashflows_ilb reeel only" xfId="3886"/>
    <cellStyle name="_SubHeading_Asset Cashflows_nominale counterpart ilb" xfId="3887"/>
    <cellStyle name="_SubHeading_Asset Cashflows_tijdseries" xfId="3888"/>
    <cellStyle name="_SubHeading_Asset Cashflows_tijdseries 2" xfId="7027"/>
    <cellStyle name="_SubHeading_Asset Cashflows_tijdseries_bei rates" xfId="6391"/>
    <cellStyle name="_SubHeading_Asset Cashflows_tijdseries_par swap rates" xfId="5759"/>
    <cellStyle name="_SubHeading_Asset Cashflows_vpv" xfId="3889"/>
    <cellStyle name="_SubHeading_Asset Cashflows_vpv 2" xfId="7028"/>
    <cellStyle name="_SubHeading_Asset Cashflows_vpv return serie" xfId="3890"/>
    <cellStyle name="_SubHeading_Asset Cashflows_vpv return serie 2" xfId="7029"/>
    <cellStyle name="_SubHeading_Asset Cashflows_vpv return serie_bei rates" xfId="6393"/>
    <cellStyle name="_SubHeading_Asset Cashflows_vpv return serie_par swap rates" xfId="5761"/>
    <cellStyle name="_SubHeading_Asset Cashflows_vpv_bei rates" xfId="6392"/>
    <cellStyle name="_SubHeading_Asset Cashflows_vpv_par swap rates" xfId="5760"/>
    <cellStyle name="_SubHeading_CashFlows " xfId="928"/>
    <cellStyle name="_SubHeading_CashFlows  2" xfId="3313"/>
    <cellStyle name="_SubHeading_CashFlows  3" xfId="2218"/>
    <cellStyle name="_SubHeading_CashFlows _actuate" xfId="929"/>
    <cellStyle name="_SubHeading_CashFlows _actuate 2" xfId="3314"/>
    <cellStyle name="_SubHeading_CashFlows _actuate 3" xfId="2219"/>
    <cellStyle name="_SubHeading_CashFlows _actuate_cashflows corp" xfId="3891"/>
    <cellStyle name="_SubHeading_CashFlows _actuate_cashflows Gov't AAA" xfId="3892"/>
    <cellStyle name="_SubHeading_CashFlows _actuate_cashflows ilb" xfId="3893"/>
    <cellStyle name="_SubHeading_CashFlows _actuate_cashflows lang staats" xfId="3894"/>
    <cellStyle name="_SubHeading_CashFlows _actuate_cashflows pan european 500mm" xfId="3895"/>
    <cellStyle name="_SubHeading_CashFlows _actuate_cashflows staats" xfId="3896"/>
    <cellStyle name="_SubHeading_CashFlows _actuate_excess returns bm matching pf" xfId="3897"/>
    <cellStyle name="_SubHeading_CashFlows _actuate_ilb reeel only" xfId="3898"/>
    <cellStyle name="_SubHeading_CashFlows _actuate_nominale counterpart ilb" xfId="3899"/>
    <cellStyle name="_SubHeading_CashFlows _actuate_tijdseries" xfId="3900"/>
    <cellStyle name="_SubHeading_CashFlows _actuate_tijdseries 2" xfId="7030"/>
    <cellStyle name="_SubHeading_CashFlows _actuate_tijdseries_bei rates" xfId="6394"/>
    <cellStyle name="_SubHeading_CashFlows _actuate_tijdseries_par swap rates" xfId="5762"/>
    <cellStyle name="_SubHeading_CashFlows _actuate_vpv" xfId="3901"/>
    <cellStyle name="_SubHeading_CashFlows _actuate_vpv 2" xfId="7031"/>
    <cellStyle name="_SubHeading_CashFlows _actuate_vpv return serie" xfId="3902"/>
    <cellStyle name="_SubHeading_CashFlows _actuate_vpv return serie 2" xfId="7032"/>
    <cellStyle name="_SubHeading_CashFlows _actuate_vpv return serie_bei rates" xfId="6396"/>
    <cellStyle name="_SubHeading_CashFlows _actuate_vpv return serie_par swap rates" xfId="5764"/>
    <cellStyle name="_SubHeading_CashFlows _actuate_vpv_bei rates" xfId="6395"/>
    <cellStyle name="_SubHeading_CashFlows _actuate_vpv_par swap rates" xfId="5763"/>
    <cellStyle name="_SubHeading_CashFlows _beleggingen" xfId="3903"/>
    <cellStyle name="_SubHeading_CashFlows _beleggingen 2" xfId="7033"/>
    <cellStyle name="_SubHeading_CashFlows _beleggingen_bei rates" xfId="6397"/>
    <cellStyle name="_SubHeading_CashFlows _beleggingen_par swap rates" xfId="5765"/>
    <cellStyle name="_SubHeading_CashFlows _cashflows corp" xfId="3904"/>
    <cellStyle name="_SubHeading_CashFlows _cashflows Gov't AAA" xfId="3905"/>
    <cellStyle name="_SubHeading_CashFlows _cashflows ilb" xfId="3906"/>
    <cellStyle name="_SubHeading_CashFlows _cashflows lang staats" xfId="3907"/>
    <cellStyle name="_SubHeading_CashFlows _cashflows pan european 500mm" xfId="3908"/>
    <cellStyle name="_SubHeading_CashFlows _cashflows staats" xfId="3909"/>
    <cellStyle name="_SubHeading_CashFlows _dv01" xfId="930"/>
    <cellStyle name="_SubHeading_CashFlows _excess returns bm matching pf" xfId="3910"/>
    <cellStyle name="_SubHeading_CashFlows _feitelijk rendement" xfId="3911"/>
    <cellStyle name="_SubHeading_CashFlows _feitelijk rendement 2" xfId="7034"/>
    <cellStyle name="_SubHeading_CashFlows _feitelijk rendement_bei rates" xfId="6398"/>
    <cellStyle name="_SubHeading_CashFlows _feitelijk rendement_par swap rates" xfId="5766"/>
    <cellStyle name="_SubHeading_CashFlows _ilb reeel only" xfId="3912"/>
    <cellStyle name="_SubHeading_CashFlows _nominale counterpart ilb" xfId="3913"/>
    <cellStyle name="_SubHeading_CashFlows _tijdseries" xfId="3914"/>
    <cellStyle name="_SubHeading_CashFlows _tijdseries 2" xfId="7035"/>
    <cellStyle name="_SubHeading_CashFlows _tijdseries_bei rates" xfId="6399"/>
    <cellStyle name="_SubHeading_CashFlows _tijdseries_par swap rates" xfId="5767"/>
    <cellStyle name="_SubHeading_CashFlows _vpv" xfId="3915"/>
    <cellStyle name="_SubHeading_CashFlows _vpv 2" xfId="7036"/>
    <cellStyle name="_SubHeading_CashFlows _vpv return serie" xfId="3916"/>
    <cellStyle name="_SubHeading_CashFlows _vpv return serie 2" xfId="7037"/>
    <cellStyle name="_SubHeading_CashFlows _vpv return serie_bei rates" xfId="6401"/>
    <cellStyle name="_SubHeading_CashFlows _vpv return serie_par swap rates" xfId="5769"/>
    <cellStyle name="_SubHeading_CashFlows _vpv_bei rates" xfId="6400"/>
    <cellStyle name="_SubHeading_CashFlows _vpv_par swap rates" xfId="5768"/>
    <cellStyle name="_SubHeading_Combined CashFlows" xfId="931"/>
    <cellStyle name="_SubHeading_Combined CashFlows 2" xfId="3316"/>
    <cellStyle name="_SubHeading_Combined CashFlows 3" xfId="2220"/>
    <cellStyle name="_SubHeading_Combined CashFlows_actuate" xfId="932"/>
    <cellStyle name="_SubHeading_Combined CashFlows_actuate 2" xfId="3317"/>
    <cellStyle name="_SubHeading_Combined CashFlows_actuate 3" xfId="2221"/>
    <cellStyle name="_SubHeading_Combined CashFlows_actuate_cashflows corp" xfId="3917"/>
    <cellStyle name="_SubHeading_Combined CashFlows_actuate_cashflows Gov't AAA" xfId="3918"/>
    <cellStyle name="_SubHeading_Combined CashFlows_actuate_cashflows ilb" xfId="3919"/>
    <cellStyle name="_SubHeading_Combined CashFlows_actuate_cashflows lang staats" xfId="3920"/>
    <cellStyle name="_SubHeading_Combined CashFlows_actuate_cashflows pan european 500mm" xfId="3921"/>
    <cellStyle name="_SubHeading_Combined CashFlows_actuate_cashflows staats" xfId="3922"/>
    <cellStyle name="_SubHeading_Combined CashFlows_actuate_excess returns bm matching pf" xfId="3923"/>
    <cellStyle name="_SubHeading_Combined CashFlows_actuate_ilb reeel only" xfId="3924"/>
    <cellStyle name="_SubHeading_Combined CashFlows_actuate_nominale counterpart ilb" xfId="3925"/>
    <cellStyle name="_SubHeading_Combined CashFlows_actuate_tijdseries" xfId="3926"/>
    <cellStyle name="_SubHeading_Combined CashFlows_actuate_tijdseries 2" xfId="7038"/>
    <cellStyle name="_SubHeading_Combined CashFlows_actuate_tijdseries_bei rates" xfId="6402"/>
    <cellStyle name="_SubHeading_Combined CashFlows_actuate_tijdseries_par swap rates" xfId="5770"/>
    <cellStyle name="_SubHeading_Combined CashFlows_actuate_vpv" xfId="3927"/>
    <cellStyle name="_SubHeading_Combined CashFlows_actuate_vpv 2" xfId="7039"/>
    <cellStyle name="_SubHeading_Combined CashFlows_actuate_vpv return serie" xfId="3928"/>
    <cellStyle name="_SubHeading_Combined CashFlows_actuate_vpv return serie 2" xfId="7040"/>
    <cellStyle name="_SubHeading_Combined CashFlows_actuate_vpv return serie_bei rates" xfId="6404"/>
    <cellStyle name="_SubHeading_Combined CashFlows_actuate_vpv return serie_par swap rates" xfId="5772"/>
    <cellStyle name="_SubHeading_Combined CashFlows_actuate_vpv_bei rates" xfId="6403"/>
    <cellStyle name="_SubHeading_Combined CashFlows_actuate_vpv_par swap rates" xfId="5771"/>
    <cellStyle name="_SubHeading_Combined CashFlows_beleggingen" xfId="3929"/>
    <cellStyle name="_SubHeading_Combined CashFlows_beleggingen 2" xfId="7041"/>
    <cellStyle name="_SubHeading_Combined CashFlows_beleggingen_bei rates" xfId="6405"/>
    <cellStyle name="_SubHeading_Combined CashFlows_beleggingen_par swap rates" xfId="5773"/>
    <cellStyle name="_SubHeading_Combined CashFlows_cashflows corp" xfId="3930"/>
    <cellStyle name="_SubHeading_Combined CashFlows_cashflows Gov't AAA" xfId="3931"/>
    <cellStyle name="_SubHeading_Combined CashFlows_cashflows ilb" xfId="3932"/>
    <cellStyle name="_SubHeading_Combined CashFlows_cashflows lang staats" xfId="3933"/>
    <cellStyle name="_SubHeading_Combined CashFlows_cashflows pan european 500mm" xfId="3934"/>
    <cellStyle name="_SubHeading_Combined CashFlows_cashflows staats" xfId="3935"/>
    <cellStyle name="_SubHeading_Combined CashFlows_dv01" xfId="933"/>
    <cellStyle name="_SubHeading_Combined CashFlows_excess returns bm matching pf" xfId="3936"/>
    <cellStyle name="_SubHeading_Combined CashFlows_feitelijk rendement" xfId="3937"/>
    <cellStyle name="_SubHeading_Combined CashFlows_feitelijk rendement 2" xfId="7042"/>
    <cellStyle name="_SubHeading_Combined CashFlows_feitelijk rendement_bei rates" xfId="6406"/>
    <cellStyle name="_SubHeading_Combined CashFlows_feitelijk rendement_par swap rates" xfId="5774"/>
    <cellStyle name="_SubHeading_Combined CashFlows_ilb reeel only" xfId="3938"/>
    <cellStyle name="_SubHeading_Combined CashFlows_nominale counterpart ilb" xfId="3939"/>
    <cellStyle name="_SubHeading_Combined CashFlows_tijdseries" xfId="3940"/>
    <cellStyle name="_SubHeading_Combined CashFlows_tijdseries 2" xfId="7043"/>
    <cellStyle name="_SubHeading_Combined CashFlows_tijdseries_bei rates" xfId="6407"/>
    <cellStyle name="_SubHeading_Combined CashFlows_tijdseries_par swap rates" xfId="5775"/>
    <cellStyle name="_SubHeading_Combined CashFlows_vpv" xfId="3941"/>
    <cellStyle name="_SubHeading_Combined CashFlows_vpv 2" xfId="7044"/>
    <cellStyle name="_SubHeading_Combined CashFlows_vpv return serie" xfId="3942"/>
    <cellStyle name="_SubHeading_Combined CashFlows_vpv return serie 2" xfId="7045"/>
    <cellStyle name="_SubHeading_Combined CashFlows_vpv return serie_bei rates" xfId="6409"/>
    <cellStyle name="_SubHeading_Combined CashFlows_vpv return serie_par swap rates" xfId="5777"/>
    <cellStyle name="_SubHeading_Combined CashFlows_vpv_bei rates" xfId="6408"/>
    <cellStyle name="_SubHeading_Combined CashFlows_vpv_par swap rates" xfId="5776"/>
    <cellStyle name="_SubHeading_FP Liabilities_19oct05 v2" xfId="934"/>
    <cellStyle name="_SubHeading_FP Liabilities_19oct05 v2 2" xfId="3319"/>
    <cellStyle name="_SubHeading_FP Liabilities_19oct05 v2 3" xfId="2222"/>
    <cellStyle name="_SubHeading_FP Liabilities_19oct05 v2_actuate" xfId="935"/>
    <cellStyle name="_SubHeading_FP Liabilities_19oct05 v2_actuate 2" xfId="3320"/>
    <cellStyle name="_SubHeading_FP Liabilities_19oct05 v2_actuate 3" xfId="2223"/>
    <cellStyle name="_SubHeading_FP Liabilities_19oct05 v2_actuate_cashflows corp" xfId="3943"/>
    <cellStyle name="_SubHeading_FP Liabilities_19oct05 v2_actuate_cashflows Gov't AAA" xfId="3944"/>
    <cellStyle name="_SubHeading_FP Liabilities_19oct05 v2_actuate_cashflows ilb" xfId="3945"/>
    <cellStyle name="_SubHeading_FP Liabilities_19oct05 v2_actuate_cashflows lang staats" xfId="3946"/>
    <cellStyle name="_SubHeading_FP Liabilities_19oct05 v2_actuate_cashflows pan european 500mm" xfId="3947"/>
    <cellStyle name="_SubHeading_FP Liabilities_19oct05 v2_actuate_cashflows staats" xfId="3948"/>
    <cellStyle name="_SubHeading_FP Liabilities_19oct05 v2_actuate_excess returns bm matching pf" xfId="3949"/>
    <cellStyle name="_SubHeading_FP Liabilities_19oct05 v2_actuate_ilb reeel only" xfId="3950"/>
    <cellStyle name="_SubHeading_FP Liabilities_19oct05 v2_actuate_nominale counterpart ilb" xfId="3951"/>
    <cellStyle name="_SubHeading_FP Liabilities_19oct05 v2_actuate_tijdseries" xfId="3952"/>
    <cellStyle name="_SubHeading_FP Liabilities_19oct05 v2_actuate_tijdseries 2" xfId="7046"/>
    <cellStyle name="_SubHeading_FP Liabilities_19oct05 v2_actuate_tijdseries_bei rates" xfId="6410"/>
    <cellStyle name="_SubHeading_FP Liabilities_19oct05 v2_actuate_tijdseries_par swap rates" xfId="5778"/>
    <cellStyle name="_SubHeading_FP Liabilities_19oct05 v2_actuate_vpv" xfId="3953"/>
    <cellStyle name="_SubHeading_FP Liabilities_19oct05 v2_actuate_vpv 2" xfId="7047"/>
    <cellStyle name="_SubHeading_FP Liabilities_19oct05 v2_actuate_vpv return serie" xfId="3954"/>
    <cellStyle name="_SubHeading_FP Liabilities_19oct05 v2_actuate_vpv return serie 2" xfId="7048"/>
    <cellStyle name="_SubHeading_FP Liabilities_19oct05 v2_actuate_vpv return serie_bei rates" xfId="6412"/>
    <cellStyle name="_SubHeading_FP Liabilities_19oct05 v2_actuate_vpv return serie_par swap rates" xfId="5780"/>
    <cellStyle name="_SubHeading_FP Liabilities_19oct05 v2_actuate_vpv_bei rates" xfId="6411"/>
    <cellStyle name="_SubHeading_FP Liabilities_19oct05 v2_actuate_vpv_par swap rates" xfId="5779"/>
    <cellStyle name="_SubHeading_FP Liabilities_19oct05 v2_beleggingen" xfId="3955"/>
    <cellStyle name="_SubHeading_FP Liabilities_19oct05 v2_beleggingen 2" xfId="7049"/>
    <cellStyle name="_SubHeading_FP Liabilities_19oct05 v2_beleggingen_bei rates" xfId="6413"/>
    <cellStyle name="_SubHeading_FP Liabilities_19oct05 v2_beleggingen_par swap rates" xfId="5781"/>
    <cellStyle name="_SubHeading_FP Liabilities_19oct05 v2_cashflows corp" xfId="3956"/>
    <cellStyle name="_SubHeading_FP Liabilities_19oct05 v2_cashflows Gov't AAA" xfId="3957"/>
    <cellStyle name="_SubHeading_FP Liabilities_19oct05 v2_cashflows ilb" xfId="3958"/>
    <cellStyle name="_SubHeading_FP Liabilities_19oct05 v2_cashflows lang staats" xfId="3959"/>
    <cellStyle name="_SubHeading_FP Liabilities_19oct05 v2_cashflows pan european 500mm" xfId="3960"/>
    <cellStyle name="_SubHeading_FP Liabilities_19oct05 v2_cashflows staats" xfId="3961"/>
    <cellStyle name="_SubHeading_FP Liabilities_19oct05 v2_dv01" xfId="936"/>
    <cellStyle name="_SubHeading_FP Liabilities_19oct05 v2_excess returns bm matching pf" xfId="3962"/>
    <cellStyle name="_SubHeading_FP Liabilities_19oct05 v2_feitelijk rendement" xfId="3963"/>
    <cellStyle name="_SubHeading_FP Liabilities_19oct05 v2_feitelijk rendement 2" xfId="7050"/>
    <cellStyle name="_SubHeading_FP Liabilities_19oct05 v2_feitelijk rendement_bei rates" xfId="6414"/>
    <cellStyle name="_SubHeading_FP Liabilities_19oct05 v2_feitelijk rendement_par swap rates" xfId="5782"/>
    <cellStyle name="_SubHeading_FP Liabilities_19oct05 v2_ilb reeel only" xfId="3964"/>
    <cellStyle name="_SubHeading_FP Liabilities_19oct05 v2_nominale counterpart ilb" xfId="3965"/>
    <cellStyle name="_SubHeading_FP Liabilities_19oct05 v2_tijdseries" xfId="3966"/>
    <cellStyle name="_SubHeading_FP Liabilities_19oct05 v2_tijdseries 2" xfId="7051"/>
    <cellStyle name="_SubHeading_FP Liabilities_19oct05 v2_tijdseries_bei rates" xfId="6415"/>
    <cellStyle name="_SubHeading_FP Liabilities_19oct05 v2_tijdseries_par swap rates" xfId="5783"/>
    <cellStyle name="_SubHeading_FP Liabilities_19oct05 v2_vpv" xfId="3967"/>
    <cellStyle name="_SubHeading_FP Liabilities_19oct05 v2_vpv 2" xfId="7052"/>
    <cellStyle name="_SubHeading_FP Liabilities_19oct05 v2_vpv return serie" xfId="3968"/>
    <cellStyle name="_SubHeading_FP Liabilities_19oct05 v2_vpv return serie 2" xfId="7053"/>
    <cellStyle name="_SubHeading_FP Liabilities_19oct05 v2_vpv return serie_bei rates" xfId="6417"/>
    <cellStyle name="_SubHeading_FP Liabilities_19oct05 v2_vpv return serie_par swap rates" xfId="5785"/>
    <cellStyle name="_SubHeading_FP Liabilities_19oct05 v2_vpv_bei rates" xfId="6416"/>
    <cellStyle name="_SubHeading_FP Liabilities_19oct05 v2_vpv_par swap rates" xfId="5784"/>
    <cellStyle name="_SubHeading_Govt Bond Data" xfId="937"/>
    <cellStyle name="_SubHeading_INF Benchmark " xfId="938"/>
    <cellStyle name="_SubHeading_InitialPosition" xfId="939"/>
    <cellStyle name="_SubHeading_IR Benchmark" xfId="940"/>
    <cellStyle name="_SubHeading_June 05 CF" xfId="941"/>
    <cellStyle name="_SubHeading_June 05 CF 2" xfId="3324"/>
    <cellStyle name="_SubHeading_June 05 CF 3" xfId="2224"/>
    <cellStyle name="_SubHeading_June 05 CF_actuate" xfId="942"/>
    <cellStyle name="_SubHeading_June 05 CF_actuate 2" xfId="3325"/>
    <cellStyle name="_SubHeading_June 05 CF_actuate 3" xfId="2225"/>
    <cellStyle name="_SubHeading_June 05 CF_actuate_cashflows corp" xfId="3969"/>
    <cellStyle name="_SubHeading_June 05 CF_actuate_cashflows Gov't AAA" xfId="3970"/>
    <cellStyle name="_SubHeading_June 05 CF_actuate_cashflows ilb" xfId="3971"/>
    <cellStyle name="_SubHeading_June 05 CF_actuate_cashflows lang staats" xfId="3972"/>
    <cellStyle name="_SubHeading_June 05 CF_actuate_cashflows pan european 500mm" xfId="3973"/>
    <cellStyle name="_SubHeading_June 05 CF_actuate_cashflows staats" xfId="3974"/>
    <cellStyle name="_SubHeading_June 05 CF_actuate_excess returns bm matching pf" xfId="3975"/>
    <cellStyle name="_SubHeading_June 05 CF_actuate_ilb reeel only" xfId="3976"/>
    <cellStyle name="_SubHeading_June 05 CF_actuate_nominale counterpart ilb" xfId="3977"/>
    <cellStyle name="_SubHeading_June 05 CF_actuate_tijdseries" xfId="3978"/>
    <cellStyle name="_SubHeading_June 05 CF_actuate_tijdseries 2" xfId="7054"/>
    <cellStyle name="_SubHeading_June 05 CF_actuate_tijdseries_bei rates" xfId="6418"/>
    <cellStyle name="_SubHeading_June 05 CF_actuate_tijdseries_par swap rates" xfId="5786"/>
    <cellStyle name="_SubHeading_June 05 CF_actuate_vpv" xfId="3979"/>
    <cellStyle name="_SubHeading_June 05 CF_actuate_vpv 2" xfId="7055"/>
    <cellStyle name="_SubHeading_June 05 CF_actuate_vpv return serie" xfId="3980"/>
    <cellStyle name="_SubHeading_June 05 CF_actuate_vpv return serie 2" xfId="7056"/>
    <cellStyle name="_SubHeading_June 05 CF_actuate_vpv return serie_bei rates" xfId="6420"/>
    <cellStyle name="_SubHeading_June 05 CF_actuate_vpv return serie_par swap rates" xfId="5788"/>
    <cellStyle name="_SubHeading_June 05 CF_actuate_vpv_bei rates" xfId="6419"/>
    <cellStyle name="_SubHeading_June 05 CF_actuate_vpv_par swap rates" xfId="5787"/>
    <cellStyle name="_SubHeading_June 05 CF_beleggingen" xfId="3981"/>
    <cellStyle name="_SubHeading_June 05 CF_beleggingen 2" xfId="7057"/>
    <cellStyle name="_SubHeading_June 05 CF_beleggingen_bei rates" xfId="6421"/>
    <cellStyle name="_SubHeading_June 05 CF_beleggingen_par swap rates" xfId="5789"/>
    <cellStyle name="_SubHeading_June 05 CF_cashflows corp" xfId="3982"/>
    <cellStyle name="_SubHeading_June 05 CF_cashflows Gov't AAA" xfId="3983"/>
    <cellStyle name="_SubHeading_June 05 CF_cashflows ilb" xfId="3984"/>
    <cellStyle name="_SubHeading_June 05 CF_cashflows lang staats" xfId="3985"/>
    <cellStyle name="_SubHeading_June 05 CF_cashflows pan european 500mm" xfId="3986"/>
    <cellStyle name="_SubHeading_June 05 CF_cashflows staats" xfId="3987"/>
    <cellStyle name="_SubHeading_June 05 CF_dv01" xfId="943"/>
    <cellStyle name="_SubHeading_June 05 CF_excess returns bm matching pf" xfId="3988"/>
    <cellStyle name="_SubHeading_June 05 CF_feitelijk rendement" xfId="3989"/>
    <cellStyle name="_SubHeading_June 05 CF_feitelijk rendement 2" xfId="7058"/>
    <cellStyle name="_SubHeading_June 05 CF_feitelijk rendement_bei rates" xfId="6422"/>
    <cellStyle name="_SubHeading_June 05 CF_feitelijk rendement_par swap rates" xfId="5790"/>
    <cellStyle name="_SubHeading_June 05 CF_ilb reeel only" xfId="3990"/>
    <cellStyle name="_SubHeading_June 05 CF_nominale counterpart ilb" xfId="3991"/>
    <cellStyle name="_SubHeading_June 05 CF_tijdseries" xfId="3992"/>
    <cellStyle name="_SubHeading_June 05 CF_tijdseries 2" xfId="7059"/>
    <cellStyle name="_SubHeading_June 05 CF_tijdseries_bei rates" xfId="6423"/>
    <cellStyle name="_SubHeading_June 05 CF_tijdseries_par swap rates" xfId="5791"/>
    <cellStyle name="_SubHeading_June 05 CF_vpv" xfId="3993"/>
    <cellStyle name="_SubHeading_June 05 CF_vpv 2" xfId="7060"/>
    <cellStyle name="_SubHeading_June 05 CF_vpv return serie" xfId="3994"/>
    <cellStyle name="_SubHeading_June 05 CF_vpv return serie 2" xfId="7061"/>
    <cellStyle name="_SubHeading_June 05 CF_vpv return serie_bei rates" xfId="6425"/>
    <cellStyle name="_SubHeading_June 05 CF_vpv return serie_par swap rates" xfId="5793"/>
    <cellStyle name="_SubHeading_June 05 CF_vpv_bei rates" xfId="6424"/>
    <cellStyle name="_SubHeading_June 05 CF_vpv_par swap rates" xfId="5792"/>
    <cellStyle name="_SubHeading_June05" xfId="944"/>
    <cellStyle name="_SubHeading_LDI Characts" xfId="945"/>
    <cellStyle name="_SubHeading_Liabs DV01" xfId="946"/>
    <cellStyle name="_SubHeading_Liabs DV01 2" xfId="3329"/>
    <cellStyle name="_SubHeading_Liabs DV01 3" xfId="2226"/>
    <cellStyle name="_SubHeading_Liabs DV01_actuate" xfId="947"/>
    <cellStyle name="_SubHeading_Liabs DV01_actuate 2" xfId="3330"/>
    <cellStyle name="_SubHeading_Liabs DV01_actuate 3" xfId="2227"/>
    <cellStyle name="_SubHeading_Liabs DV01_actuate_cashflows corp" xfId="3995"/>
    <cellStyle name="_SubHeading_Liabs DV01_actuate_cashflows Gov't AAA" xfId="3996"/>
    <cellStyle name="_SubHeading_Liabs DV01_actuate_cashflows ilb" xfId="3997"/>
    <cellStyle name="_SubHeading_Liabs DV01_actuate_cashflows lang staats" xfId="3998"/>
    <cellStyle name="_SubHeading_Liabs DV01_actuate_cashflows pan european 500mm" xfId="3999"/>
    <cellStyle name="_SubHeading_Liabs DV01_actuate_cashflows staats" xfId="4000"/>
    <cellStyle name="_SubHeading_Liabs DV01_actuate_excess returns bm matching pf" xfId="4001"/>
    <cellStyle name="_SubHeading_Liabs DV01_actuate_ilb reeel only" xfId="4002"/>
    <cellStyle name="_SubHeading_Liabs DV01_actuate_nominale counterpart ilb" xfId="4003"/>
    <cellStyle name="_SubHeading_Liabs DV01_actuate_tijdseries" xfId="4004"/>
    <cellStyle name="_SubHeading_Liabs DV01_actuate_tijdseries 2" xfId="7062"/>
    <cellStyle name="_SubHeading_Liabs DV01_actuate_tijdseries_bei rates" xfId="6426"/>
    <cellStyle name="_SubHeading_Liabs DV01_actuate_tijdseries_par swap rates" xfId="5794"/>
    <cellStyle name="_SubHeading_Liabs DV01_actuate_vpv" xfId="4005"/>
    <cellStyle name="_SubHeading_Liabs DV01_actuate_vpv 2" xfId="7063"/>
    <cellStyle name="_SubHeading_Liabs DV01_actuate_vpv return serie" xfId="4006"/>
    <cellStyle name="_SubHeading_Liabs DV01_actuate_vpv return serie 2" xfId="7064"/>
    <cellStyle name="_SubHeading_Liabs DV01_actuate_vpv return serie_bei rates" xfId="6428"/>
    <cellStyle name="_SubHeading_Liabs DV01_actuate_vpv return serie_par swap rates" xfId="5796"/>
    <cellStyle name="_SubHeading_Liabs DV01_actuate_vpv_bei rates" xfId="6427"/>
    <cellStyle name="_SubHeading_Liabs DV01_actuate_vpv_par swap rates" xfId="5795"/>
    <cellStyle name="_SubHeading_Liabs DV01_beleggingen" xfId="4007"/>
    <cellStyle name="_SubHeading_Liabs DV01_beleggingen 2" xfId="7065"/>
    <cellStyle name="_SubHeading_Liabs DV01_beleggingen_bei rates" xfId="6429"/>
    <cellStyle name="_SubHeading_Liabs DV01_beleggingen_par swap rates" xfId="5797"/>
    <cellStyle name="_SubHeading_Liabs DV01_cashflows corp" xfId="4008"/>
    <cellStyle name="_SubHeading_Liabs DV01_cashflows Gov't AAA" xfId="4009"/>
    <cellStyle name="_SubHeading_Liabs DV01_cashflows ilb" xfId="4010"/>
    <cellStyle name="_SubHeading_Liabs DV01_cashflows lang staats" xfId="4011"/>
    <cellStyle name="_SubHeading_Liabs DV01_cashflows pan european 500mm" xfId="4012"/>
    <cellStyle name="_SubHeading_Liabs DV01_cashflows staats" xfId="4013"/>
    <cellStyle name="_SubHeading_Liabs DV01_dv01" xfId="948"/>
    <cellStyle name="_SubHeading_Liabs DV01_excess returns bm matching pf" xfId="4014"/>
    <cellStyle name="_SubHeading_Liabs DV01_feitelijk rendement" xfId="4015"/>
    <cellStyle name="_SubHeading_Liabs DV01_feitelijk rendement 2" xfId="7066"/>
    <cellStyle name="_SubHeading_Liabs DV01_feitelijk rendement_bei rates" xfId="6430"/>
    <cellStyle name="_SubHeading_Liabs DV01_feitelijk rendement_par swap rates" xfId="5798"/>
    <cellStyle name="_SubHeading_Liabs DV01_ilb reeel only" xfId="4016"/>
    <cellStyle name="_SubHeading_Liabs DV01_nominale counterpart ilb" xfId="4017"/>
    <cellStyle name="_SubHeading_Liabs DV01_tijdseries" xfId="4018"/>
    <cellStyle name="_SubHeading_Liabs DV01_tijdseries 2" xfId="7067"/>
    <cellStyle name="_SubHeading_Liabs DV01_tijdseries_bei rates" xfId="6431"/>
    <cellStyle name="_SubHeading_Liabs DV01_tijdseries_par swap rates" xfId="5799"/>
    <cellStyle name="_SubHeading_Liabs DV01_vpv" xfId="4019"/>
    <cellStyle name="_SubHeading_Liabs DV01_vpv 2" xfId="7068"/>
    <cellStyle name="_SubHeading_Liabs DV01_vpv return serie" xfId="4020"/>
    <cellStyle name="_SubHeading_Liabs DV01_vpv return serie 2" xfId="7069"/>
    <cellStyle name="_SubHeading_Liabs DV01_vpv return serie_bei rates" xfId="6433"/>
    <cellStyle name="_SubHeading_Liabs DV01_vpv return serie_par swap rates" xfId="5801"/>
    <cellStyle name="_SubHeading_Liabs DV01_vpv_bei rates" xfId="6432"/>
    <cellStyle name="_SubHeading_Liabs DV01_vpv_par swap rates" xfId="5800"/>
    <cellStyle name="_SubHeading_Main" xfId="949"/>
    <cellStyle name="_SubHeading_Main 2" xfId="3332"/>
    <cellStyle name="_SubHeading_Main 3" xfId="2228"/>
    <cellStyle name="_SubHeading_Main_actuate" xfId="950"/>
    <cellStyle name="_SubHeading_Main_actuate 2" xfId="3333"/>
    <cellStyle name="_SubHeading_Main_actuate 3" xfId="2229"/>
    <cellStyle name="_SubHeading_Main_actuate_cashflows corp" xfId="4021"/>
    <cellStyle name="_SubHeading_Main_actuate_cashflows Gov't AAA" xfId="4022"/>
    <cellStyle name="_SubHeading_Main_actuate_cashflows ilb" xfId="4023"/>
    <cellStyle name="_SubHeading_Main_actuate_cashflows lang staats" xfId="4024"/>
    <cellStyle name="_SubHeading_Main_actuate_cashflows pan european 500mm" xfId="4025"/>
    <cellStyle name="_SubHeading_Main_actuate_cashflows staats" xfId="4026"/>
    <cellStyle name="_SubHeading_Main_actuate_excess returns bm matching pf" xfId="4027"/>
    <cellStyle name="_SubHeading_Main_actuate_ilb reeel only" xfId="4028"/>
    <cellStyle name="_SubHeading_Main_actuate_nominale counterpart ilb" xfId="4029"/>
    <cellStyle name="_SubHeading_Main_actuate_tijdseries" xfId="4030"/>
    <cellStyle name="_SubHeading_Main_actuate_tijdseries 2" xfId="7070"/>
    <cellStyle name="_SubHeading_Main_actuate_tijdseries_bei rates" xfId="6434"/>
    <cellStyle name="_SubHeading_Main_actuate_tijdseries_par swap rates" xfId="5802"/>
    <cellStyle name="_SubHeading_Main_actuate_vpv" xfId="4031"/>
    <cellStyle name="_SubHeading_Main_actuate_vpv 2" xfId="7071"/>
    <cellStyle name="_SubHeading_Main_actuate_vpv return serie" xfId="4032"/>
    <cellStyle name="_SubHeading_Main_actuate_vpv return serie 2" xfId="7072"/>
    <cellStyle name="_SubHeading_Main_actuate_vpv return serie_bei rates" xfId="6436"/>
    <cellStyle name="_SubHeading_Main_actuate_vpv return serie_par swap rates" xfId="5804"/>
    <cellStyle name="_SubHeading_Main_actuate_vpv_bei rates" xfId="6435"/>
    <cellStyle name="_SubHeading_Main_actuate_vpv_par swap rates" xfId="5803"/>
    <cellStyle name="_SubHeading_Main_beleggingen" xfId="4033"/>
    <cellStyle name="_SubHeading_Main_beleggingen 2" xfId="7073"/>
    <cellStyle name="_SubHeading_Main_beleggingen_bei rates" xfId="6437"/>
    <cellStyle name="_SubHeading_Main_beleggingen_par swap rates" xfId="5805"/>
    <cellStyle name="_SubHeading_Main_cashflows corp" xfId="4034"/>
    <cellStyle name="_SubHeading_Main_cashflows Gov't AAA" xfId="4035"/>
    <cellStyle name="_SubHeading_Main_cashflows ilb" xfId="4036"/>
    <cellStyle name="_SubHeading_Main_cashflows lang staats" xfId="4037"/>
    <cellStyle name="_SubHeading_Main_cashflows pan european 500mm" xfId="4038"/>
    <cellStyle name="_SubHeading_Main_cashflows staats" xfId="4039"/>
    <cellStyle name="_SubHeading_Main_dv01" xfId="951"/>
    <cellStyle name="_SubHeading_Main_excess returns bm matching pf" xfId="4040"/>
    <cellStyle name="_SubHeading_Main_feitelijk rendement" xfId="4041"/>
    <cellStyle name="_SubHeading_Main_feitelijk rendement 2" xfId="7074"/>
    <cellStyle name="_SubHeading_Main_feitelijk rendement_bei rates" xfId="6438"/>
    <cellStyle name="_SubHeading_Main_feitelijk rendement_par swap rates" xfId="5806"/>
    <cellStyle name="_SubHeading_Main_ilb reeel only" xfId="4042"/>
    <cellStyle name="_SubHeading_Main_nominale counterpart ilb" xfId="4043"/>
    <cellStyle name="_SubHeading_Main_tijdseries" xfId="4044"/>
    <cellStyle name="_SubHeading_Main_tijdseries 2" xfId="7075"/>
    <cellStyle name="_SubHeading_Main_tijdseries_bei rates" xfId="6439"/>
    <cellStyle name="_SubHeading_Main_tijdseries_par swap rates" xfId="5807"/>
    <cellStyle name="_SubHeading_Main_vpv" xfId="4045"/>
    <cellStyle name="_SubHeading_Main_vpv 2" xfId="7076"/>
    <cellStyle name="_SubHeading_Main_vpv return serie" xfId="4046"/>
    <cellStyle name="_SubHeading_Main_vpv return serie 2" xfId="7077"/>
    <cellStyle name="_SubHeading_Main_vpv return serie_bei rates" xfId="6441"/>
    <cellStyle name="_SubHeading_Main_vpv return serie_par swap rates" xfId="5809"/>
    <cellStyle name="_SubHeading_Main_vpv_bei rates" xfId="6440"/>
    <cellStyle name="_SubHeading_Main_vpv_par swap rates" xfId="5808"/>
    <cellStyle name="_SubHeading_Matching PV Cashflows" xfId="952"/>
    <cellStyle name="_SubHeading_Matching PV Cashflows 2" xfId="3335"/>
    <cellStyle name="_SubHeading_Matching PV Cashflows 3" xfId="2230"/>
    <cellStyle name="_SubHeading_Matching PV Cashflows_actuate" xfId="953"/>
    <cellStyle name="_SubHeading_Matching PV Cashflows_actuate 2" xfId="3336"/>
    <cellStyle name="_SubHeading_Matching PV Cashflows_actuate 3" xfId="2231"/>
    <cellStyle name="_SubHeading_Matching PV Cashflows_actuate_cashflows corp" xfId="4047"/>
    <cellStyle name="_SubHeading_Matching PV Cashflows_actuate_cashflows Gov't AAA" xfId="4048"/>
    <cellStyle name="_SubHeading_Matching PV Cashflows_actuate_cashflows ilb" xfId="4049"/>
    <cellStyle name="_SubHeading_Matching PV Cashflows_actuate_cashflows lang staats" xfId="4050"/>
    <cellStyle name="_SubHeading_Matching PV Cashflows_actuate_cashflows pan european 500mm" xfId="4051"/>
    <cellStyle name="_SubHeading_Matching PV Cashflows_actuate_cashflows staats" xfId="4052"/>
    <cellStyle name="_SubHeading_Matching PV Cashflows_actuate_excess returns bm matching pf" xfId="4053"/>
    <cellStyle name="_SubHeading_Matching PV Cashflows_actuate_ilb reeel only" xfId="4054"/>
    <cellStyle name="_SubHeading_Matching PV Cashflows_actuate_nominale counterpart ilb" xfId="4055"/>
    <cellStyle name="_SubHeading_Matching PV Cashflows_actuate_tijdseries" xfId="4056"/>
    <cellStyle name="_SubHeading_Matching PV Cashflows_actuate_tijdseries 2" xfId="7078"/>
    <cellStyle name="_SubHeading_Matching PV Cashflows_actuate_tijdseries_bei rates" xfId="6442"/>
    <cellStyle name="_SubHeading_Matching PV Cashflows_actuate_tijdseries_par swap rates" xfId="5810"/>
    <cellStyle name="_SubHeading_Matching PV Cashflows_actuate_vpv" xfId="4057"/>
    <cellStyle name="_SubHeading_Matching PV Cashflows_actuate_vpv 2" xfId="7079"/>
    <cellStyle name="_SubHeading_Matching PV Cashflows_actuate_vpv return serie" xfId="4058"/>
    <cellStyle name="_SubHeading_Matching PV Cashflows_actuate_vpv return serie 2" xfId="7080"/>
    <cellStyle name="_SubHeading_Matching PV Cashflows_actuate_vpv return serie_bei rates" xfId="6444"/>
    <cellStyle name="_SubHeading_Matching PV Cashflows_actuate_vpv return serie_par swap rates" xfId="5812"/>
    <cellStyle name="_SubHeading_Matching PV Cashflows_actuate_vpv_bei rates" xfId="6443"/>
    <cellStyle name="_SubHeading_Matching PV Cashflows_actuate_vpv_par swap rates" xfId="5811"/>
    <cellStyle name="_SubHeading_Matching PV Cashflows_beleggingen" xfId="4059"/>
    <cellStyle name="_SubHeading_Matching PV Cashflows_beleggingen 2" xfId="7081"/>
    <cellStyle name="_SubHeading_Matching PV Cashflows_beleggingen_bei rates" xfId="6445"/>
    <cellStyle name="_SubHeading_Matching PV Cashflows_beleggingen_par swap rates" xfId="5813"/>
    <cellStyle name="_SubHeading_Matching PV Cashflows_cashflows corp" xfId="4060"/>
    <cellStyle name="_SubHeading_Matching PV Cashflows_cashflows Gov't AAA" xfId="4061"/>
    <cellStyle name="_SubHeading_Matching PV Cashflows_cashflows ilb" xfId="4062"/>
    <cellStyle name="_SubHeading_Matching PV Cashflows_cashflows lang staats" xfId="4063"/>
    <cellStyle name="_SubHeading_Matching PV Cashflows_cashflows pan european 500mm" xfId="4064"/>
    <cellStyle name="_SubHeading_Matching PV Cashflows_cashflows staats" xfId="4065"/>
    <cellStyle name="_SubHeading_Matching PV Cashflows_dv01" xfId="954"/>
    <cellStyle name="_SubHeading_Matching PV Cashflows_excess returns bm matching pf" xfId="4066"/>
    <cellStyle name="_SubHeading_Matching PV Cashflows_feitelijk rendement" xfId="4067"/>
    <cellStyle name="_SubHeading_Matching PV Cashflows_feitelijk rendement 2" xfId="7082"/>
    <cellStyle name="_SubHeading_Matching PV Cashflows_feitelijk rendement_bei rates" xfId="6446"/>
    <cellStyle name="_SubHeading_Matching PV Cashflows_feitelijk rendement_par swap rates" xfId="5814"/>
    <cellStyle name="_SubHeading_Matching PV Cashflows_ilb reeel only" xfId="4068"/>
    <cellStyle name="_SubHeading_Matching PV Cashflows_nominale counterpart ilb" xfId="4069"/>
    <cellStyle name="_SubHeading_Matching PV Cashflows_tijdseries" xfId="4070"/>
    <cellStyle name="_SubHeading_Matching PV Cashflows_tijdseries 2" xfId="7083"/>
    <cellStyle name="_SubHeading_Matching PV Cashflows_tijdseries_bei rates" xfId="6447"/>
    <cellStyle name="_SubHeading_Matching PV Cashflows_tijdseries_par swap rates" xfId="5815"/>
    <cellStyle name="_SubHeading_Matching PV Cashflows_vpv" xfId="4071"/>
    <cellStyle name="_SubHeading_Matching PV Cashflows_vpv 2" xfId="7084"/>
    <cellStyle name="_SubHeading_Matching PV Cashflows_vpv return serie" xfId="4072"/>
    <cellStyle name="_SubHeading_Matching PV Cashflows_vpv return serie 2" xfId="7085"/>
    <cellStyle name="_SubHeading_Matching PV Cashflows_vpv return serie_bei rates" xfId="6449"/>
    <cellStyle name="_SubHeading_Matching PV Cashflows_vpv return serie_par swap rates" xfId="5817"/>
    <cellStyle name="_SubHeading_Matching PV Cashflows_vpv_bei rates" xfId="6448"/>
    <cellStyle name="_SubHeading_Matching PV Cashflows_vpv_par swap rates" xfId="5816"/>
    <cellStyle name="_SubHeading_ModelSetup" xfId="955"/>
    <cellStyle name="_SubHeading_ModelSetup 2" xfId="3338"/>
    <cellStyle name="_SubHeading_ModelSetup 3" xfId="2232"/>
    <cellStyle name="_SubHeading_ModelSetup_actuate" xfId="956"/>
    <cellStyle name="_SubHeading_ModelSetup_actuate 2" xfId="3339"/>
    <cellStyle name="_SubHeading_ModelSetup_actuate 3" xfId="2233"/>
    <cellStyle name="_SubHeading_ModelSetup_actuate_cashflows corp" xfId="4073"/>
    <cellStyle name="_SubHeading_ModelSetup_actuate_cashflows Gov't AAA" xfId="4074"/>
    <cellStyle name="_SubHeading_ModelSetup_actuate_cashflows ilb" xfId="4075"/>
    <cellStyle name="_SubHeading_ModelSetup_actuate_cashflows lang staats" xfId="4076"/>
    <cellStyle name="_SubHeading_ModelSetup_actuate_cashflows pan european 500mm" xfId="4077"/>
    <cellStyle name="_SubHeading_ModelSetup_actuate_cashflows staats" xfId="4078"/>
    <cellStyle name="_SubHeading_ModelSetup_actuate_excess returns bm matching pf" xfId="4079"/>
    <cellStyle name="_SubHeading_ModelSetup_actuate_ilb reeel only" xfId="4080"/>
    <cellStyle name="_SubHeading_ModelSetup_actuate_nominale counterpart ilb" xfId="4081"/>
    <cellStyle name="_SubHeading_ModelSetup_actuate_tijdseries" xfId="4082"/>
    <cellStyle name="_SubHeading_ModelSetup_actuate_tijdseries 2" xfId="7086"/>
    <cellStyle name="_SubHeading_ModelSetup_actuate_tijdseries_bei rates" xfId="6450"/>
    <cellStyle name="_SubHeading_ModelSetup_actuate_tijdseries_par swap rates" xfId="5818"/>
    <cellStyle name="_SubHeading_ModelSetup_actuate_vpv" xfId="4083"/>
    <cellStyle name="_SubHeading_ModelSetup_actuate_vpv 2" xfId="7087"/>
    <cellStyle name="_SubHeading_ModelSetup_actuate_vpv return serie" xfId="4084"/>
    <cellStyle name="_SubHeading_ModelSetup_actuate_vpv return serie 2" xfId="7088"/>
    <cellStyle name="_SubHeading_ModelSetup_actuate_vpv return serie_bei rates" xfId="6452"/>
    <cellStyle name="_SubHeading_ModelSetup_actuate_vpv return serie_par swap rates" xfId="5820"/>
    <cellStyle name="_SubHeading_ModelSetup_actuate_vpv_bei rates" xfId="6451"/>
    <cellStyle name="_SubHeading_ModelSetup_actuate_vpv_par swap rates" xfId="5819"/>
    <cellStyle name="_SubHeading_ModelSetup_beleggingen" xfId="4085"/>
    <cellStyle name="_SubHeading_ModelSetup_beleggingen 2" xfId="7089"/>
    <cellStyle name="_SubHeading_ModelSetup_beleggingen_bei rates" xfId="6453"/>
    <cellStyle name="_SubHeading_ModelSetup_beleggingen_par swap rates" xfId="5821"/>
    <cellStyle name="_SubHeading_ModelSetup_cashflows corp" xfId="4086"/>
    <cellStyle name="_SubHeading_ModelSetup_cashflows Gov't AAA" xfId="4087"/>
    <cellStyle name="_SubHeading_ModelSetup_cashflows ilb" xfId="4088"/>
    <cellStyle name="_SubHeading_ModelSetup_cashflows lang staats" xfId="4089"/>
    <cellStyle name="_SubHeading_ModelSetup_cashflows pan european 500mm" xfId="4090"/>
    <cellStyle name="_SubHeading_ModelSetup_cashflows staats" xfId="4091"/>
    <cellStyle name="_SubHeading_ModelSetup_dv01" xfId="957"/>
    <cellStyle name="_SubHeading_ModelSetup_excess returns bm matching pf" xfId="4092"/>
    <cellStyle name="_SubHeading_ModelSetup_feitelijk rendement" xfId="4093"/>
    <cellStyle name="_SubHeading_ModelSetup_feitelijk rendement 2" xfId="7090"/>
    <cellStyle name="_SubHeading_ModelSetup_feitelijk rendement_bei rates" xfId="6454"/>
    <cellStyle name="_SubHeading_ModelSetup_feitelijk rendement_par swap rates" xfId="5822"/>
    <cellStyle name="_SubHeading_ModelSetup_ilb reeel only" xfId="4094"/>
    <cellStyle name="_SubHeading_ModelSetup_nominale counterpart ilb" xfId="4095"/>
    <cellStyle name="_SubHeading_ModelSetup_tijdseries" xfId="4096"/>
    <cellStyle name="_SubHeading_ModelSetup_tijdseries 2" xfId="7091"/>
    <cellStyle name="_SubHeading_ModelSetup_tijdseries_bei rates" xfId="6455"/>
    <cellStyle name="_SubHeading_ModelSetup_tijdseries_par swap rates" xfId="5823"/>
    <cellStyle name="_SubHeading_ModelSetup_vpv" xfId="4097"/>
    <cellStyle name="_SubHeading_ModelSetup_vpv 2" xfId="7092"/>
    <cellStyle name="_SubHeading_ModelSetup_vpv return serie" xfId="4098"/>
    <cellStyle name="_SubHeading_ModelSetup_vpv return serie 2" xfId="7093"/>
    <cellStyle name="_SubHeading_ModelSetup_vpv return serie_bei rates" xfId="6457"/>
    <cellStyle name="_SubHeading_ModelSetup_vpv return serie_par swap rates" xfId="5825"/>
    <cellStyle name="_SubHeading_ModelSetup_vpv_bei rates" xfId="6456"/>
    <cellStyle name="_SubHeading_ModelSetup_vpv_par swap rates" xfId="5824"/>
    <cellStyle name="_SubHeading_PME Swaps" xfId="958"/>
    <cellStyle name="_SubHeading_Pricer" xfId="959"/>
    <cellStyle name="_SubHeading_Pricer 2" xfId="3342"/>
    <cellStyle name="_SubHeading_Pricer 3" xfId="2234"/>
    <cellStyle name="_SubHeading_Pricer_actuate" xfId="960"/>
    <cellStyle name="_SubHeading_Pricer_actuate 2" xfId="3343"/>
    <cellStyle name="_SubHeading_Pricer_actuate 3" xfId="2235"/>
    <cellStyle name="_SubHeading_Pricer_actuate_cashflows corp" xfId="4099"/>
    <cellStyle name="_SubHeading_Pricer_actuate_cashflows Gov't AAA" xfId="4100"/>
    <cellStyle name="_SubHeading_Pricer_actuate_cashflows ilb" xfId="4101"/>
    <cellStyle name="_SubHeading_Pricer_actuate_cashflows lang staats" xfId="4102"/>
    <cellStyle name="_SubHeading_Pricer_actuate_cashflows pan european 500mm" xfId="4103"/>
    <cellStyle name="_SubHeading_Pricer_actuate_cashflows staats" xfId="4104"/>
    <cellStyle name="_SubHeading_Pricer_actuate_excess returns bm matching pf" xfId="4105"/>
    <cellStyle name="_SubHeading_Pricer_actuate_ilb reeel only" xfId="4106"/>
    <cellStyle name="_SubHeading_Pricer_actuate_nominale counterpart ilb" xfId="4107"/>
    <cellStyle name="_SubHeading_Pricer_actuate_tijdseries" xfId="4108"/>
    <cellStyle name="_SubHeading_Pricer_actuate_tijdseries 2" xfId="7094"/>
    <cellStyle name="_SubHeading_Pricer_actuate_tijdseries_bei rates" xfId="6458"/>
    <cellStyle name="_SubHeading_Pricer_actuate_tijdseries_par swap rates" xfId="5826"/>
    <cellStyle name="_SubHeading_Pricer_actuate_vpv" xfId="4109"/>
    <cellStyle name="_SubHeading_Pricer_actuate_vpv 2" xfId="7095"/>
    <cellStyle name="_SubHeading_Pricer_actuate_vpv return serie" xfId="4110"/>
    <cellStyle name="_SubHeading_Pricer_actuate_vpv return serie 2" xfId="7096"/>
    <cellStyle name="_SubHeading_Pricer_actuate_vpv return serie_bei rates" xfId="6460"/>
    <cellStyle name="_SubHeading_Pricer_actuate_vpv return serie_par swap rates" xfId="5828"/>
    <cellStyle name="_SubHeading_Pricer_actuate_vpv_bei rates" xfId="6459"/>
    <cellStyle name="_SubHeading_Pricer_actuate_vpv_par swap rates" xfId="5827"/>
    <cellStyle name="_SubHeading_Pricer_beleggingen" xfId="4111"/>
    <cellStyle name="_SubHeading_Pricer_beleggingen 2" xfId="7097"/>
    <cellStyle name="_SubHeading_Pricer_beleggingen_bei rates" xfId="6461"/>
    <cellStyle name="_SubHeading_Pricer_beleggingen_par swap rates" xfId="5829"/>
    <cellStyle name="_SubHeading_Pricer_cashflows corp" xfId="4112"/>
    <cellStyle name="_SubHeading_Pricer_cashflows Gov't AAA" xfId="4113"/>
    <cellStyle name="_SubHeading_Pricer_cashflows ilb" xfId="4114"/>
    <cellStyle name="_SubHeading_Pricer_cashflows lang staats" xfId="4115"/>
    <cellStyle name="_SubHeading_Pricer_cashflows pan european 500mm" xfId="4116"/>
    <cellStyle name="_SubHeading_Pricer_cashflows staats" xfId="4117"/>
    <cellStyle name="_SubHeading_Pricer_dv01" xfId="961"/>
    <cellStyle name="_SubHeading_Pricer_excess returns bm matching pf" xfId="4118"/>
    <cellStyle name="_SubHeading_Pricer_feitelijk rendement" xfId="4119"/>
    <cellStyle name="_SubHeading_Pricer_feitelijk rendement 2" xfId="7098"/>
    <cellStyle name="_SubHeading_Pricer_feitelijk rendement_bei rates" xfId="6462"/>
    <cellStyle name="_SubHeading_Pricer_feitelijk rendement_par swap rates" xfId="5830"/>
    <cellStyle name="_SubHeading_Pricer_ilb reeel only" xfId="4120"/>
    <cellStyle name="_SubHeading_Pricer_nominale counterpart ilb" xfId="4121"/>
    <cellStyle name="_SubHeading_Pricer_tijdseries" xfId="4122"/>
    <cellStyle name="_SubHeading_Pricer_tijdseries 2" xfId="7099"/>
    <cellStyle name="_SubHeading_Pricer_tijdseries_bei rates" xfId="6463"/>
    <cellStyle name="_SubHeading_Pricer_tijdseries_par swap rates" xfId="5831"/>
    <cellStyle name="_SubHeading_Pricer_vpv" xfId="4123"/>
    <cellStyle name="_SubHeading_Pricer_vpv 2" xfId="7100"/>
    <cellStyle name="_SubHeading_Pricer_vpv return serie" xfId="4124"/>
    <cellStyle name="_SubHeading_Pricer_vpv return serie 2" xfId="7101"/>
    <cellStyle name="_SubHeading_Pricer_vpv return serie_bei rates" xfId="6465"/>
    <cellStyle name="_SubHeading_Pricer_vpv return serie_par swap rates" xfId="5833"/>
    <cellStyle name="_SubHeading_Pricer_vpv_bei rates" xfId="6464"/>
    <cellStyle name="_SubHeading_Pricer_vpv_par swap rates" xfId="5832"/>
    <cellStyle name="_SubHeading_Sheet1" xfId="962"/>
    <cellStyle name="_SubHeading_Sheet1 2" xfId="3345"/>
    <cellStyle name="_SubHeading_Sheet1 3" xfId="2236"/>
    <cellStyle name="_SubHeading_Sheet1_actuate" xfId="963"/>
    <cellStyle name="_SubHeading_Sheet1_actuate 2" xfId="3346"/>
    <cellStyle name="_SubHeading_Sheet1_actuate 3" xfId="2237"/>
    <cellStyle name="_SubHeading_Sheet1_actuate_cashflows corp" xfId="4125"/>
    <cellStyle name="_SubHeading_Sheet1_actuate_cashflows Gov't AAA" xfId="4126"/>
    <cellStyle name="_SubHeading_Sheet1_actuate_cashflows ilb" xfId="4127"/>
    <cellStyle name="_SubHeading_Sheet1_actuate_cashflows lang staats" xfId="4128"/>
    <cellStyle name="_SubHeading_Sheet1_actuate_cashflows pan european 500mm" xfId="4129"/>
    <cellStyle name="_SubHeading_Sheet1_actuate_cashflows staats" xfId="4130"/>
    <cellStyle name="_SubHeading_Sheet1_actuate_excess returns bm matching pf" xfId="4131"/>
    <cellStyle name="_SubHeading_Sheet1_actuate_ilb reeel only" xfId="4132"/>
    <cellStyle name="_SubHeading_Sheet1_actuate_nominale counterpart ilb" xfId="4133"/>
    <cellStyle name="_SubHeading_Sheet1_actuate_tijdseries" xfId="4134"/>
    <cellStyle name="_SubHeading_Sheet1_actuate_tijdseries 2" xfId="7102"/>
    <cellStyle name="_SubHeading_Sheet1_actuate_tijdseries_bei rates" xfId="6466"/>
    <cellStyle name="_SubHeading_Sheet1_actuate_tijdseries_par swap rates" xfId="5834"/>
    <cellStyle name="_SubHeading_Sheet1_actuate_vpv" xfId="4135"/>
    <cellStyle name="_SubHeading_Sheet1_actuate_vpv 2" xfId="7103"/>
    <cellStyle name="_SubHeading_Sheet1_actuate_vpv return serie" xfId="4136"/>
    <cellStyle name="_SubHeading_Sheet1_actuate_vpv return serie 2" xfId="7104"/>
    <cellStyle name="_SubHeading_Sheet1_actuate_vpv return serie_bei rates" xfId="6468"/>
    <cellStyle name="_SubHeading_Sheet1_actuate_vpv return serie_par swap rates" xfId="5836"/>
    <cellStyle name="_SubHeading_Sheet1_actuate_vpv_bei rates" xfId="6467"/>
    <cellStyle name="_SubHeading_Sheet1_actuate_vpv_par swap rates" xfId="5835"/>
    <cellStyle name="_SubHeading_Sheet1_beleggingen" xfId="4137"/>
    <cellStyle name="_SubHeading_Sheet1_beleggingen 2" xfId="7105"/>
    <cellStyle name="_SubHeading_Sheet1_beleggingen_bei rates" xfId="6469"/>
    <cellStyle name="_SubHeading_Sheet1_beleggingen_par swap rates" xfId="5837"/>
    <cellStyle name="_SubHeading_Sheet1_cashflows corp" xfId="4138"/>
    <cellStyle name="_SubHeading_Sheet1_cashflows Gov't AAA" xfId="4139"/>
    <cellStyle name="_SubHeading_Sheet1_cashflows ilb" xfId="4140"/>
    <cellStyle name="_SubHeading_Sheet1_cashflows lang staats" xfId="4141"/>
    <cellStyle name="_SubHeading_Sheet1_cashflows pan european 500mm" xfId="4142"/>
    <cellStyle name="_SubHeading_Sheet1_cashflows staats" xfId="4143"/>
    <cellStyle name="_SubHeading_Sheet1_dv01" xfId="964"/>
    <cellStyle name="_SubHeading_Sheet1_excess returns bm matching pf" xfId="4144"/>
    <cellStyle name="_SubHeading_Sheet1_feitelijk rendement" xfId="4145"/>
    <cellStyle name="_SubHeading_Sheet1_feitelijk rendement 2" xfId="7106"/>
    <cellStyle name="_SubHeading_Sheet1_feitelijk rendement_bei rates" xfId="6470"/>
    <cellStyle name="_SubHeading_Sheet1_feitelijk rendement_par swap rates" xfId="5838"/>
    <cellStyle name="_SubHeading_Sheet1_Gexa Multi Asset Path Generator" xfId="965"/>
    <cellStyle name="_SubHeading_Sheet1_ilb reeel only" xfId="4146"/>
    <cellStyle name="_SubHeading_Sheet1_nominale counterpart ilb" xfId="4147"/>
    <cellStyle name="_SubHeading_Sheet1_tijdseries" xfId="4148"/>
    <cellStyle name="_SubHeading_Sheet1_tijdseries 2" xfId="7107"/>
    <cellStyle name="_SubHeading_Sheet1_tijdseries_bei rates" xfId="6471"/>
    <cellStyle name="_SubHeading_Sheet1_tijdseries_par swap rates" xfId="5839"/>
    <cellStyle name="_SubHeading_Sheet1_vpv" xfId="4149"/>
    <cellStyle name="_SubHeading_Sheet1_vpv 2" xfId="7108"/>
    <cellStyle name="_SubHeading_Sheet1_vpv return serie" xfId="4150"/>
    <cellStyle name="_SubHeading_Sheet1_vpv return serie 2" xfId="7109"/>
    <cellStyle name="_SubHeading_Sheet1_vpv return serie_bei rates" xfId="6473"/>
    <cellStyle name="_SubHeading_Sheet1_vpv return serie_par swap rates" xfId="5841"/>
    <cellStyle name="_SubHeading_Sheet1_vpv_bei rates" xfId="6472"/>
    <cellStyle name="_SubHeading_Sheet1_vpv_par swap rates" xfId="5840"/>
    <cellStyle name="_SubHeading_SPP Values as at 12 June 05" xfId="966"/>
    <cellStyle name="_SubHeading_Tableau" xfId="967"/>
    <cellStyle name="_SubHeading_Tableau 2" xfId="3350"/>
    <cellStyle name="_SubHeading_Tableau 3" xfId="2238"/>
    <cellStyle name="_SubHeading_Tableau_actuate" xfId="968"/>
    <cellStyle name="_SubHeading_Tableau_actuate 2" xfId="3351"/>
    <cellStyle name="_SubHeading_Tableau_actuate 3" xfId="2239"/>
    <cellStyle name="_SubHeading_Tableau_actuate_cashflows corp" xfId="4151"/>
    <cellStyle name="_SubHeading_Tableau_actuate_cashflows Gov't AAA" xfId="4152"/>
    <cellStyle name="_SubHeading_Tableau_actuate_cashflows ilb" xfId="4153"/>
    <cellStyle name="_SubHeading_Tableau_actuate_cashflows lang staats" xfId="4154"/>
    <cellStyle name="_SubHeading_Tableau_actuate_cashflows pan european 500mm" xfId="4155"/>
    <cellStyle name="_SubHeading_Tableau_actuate_cashflows staats" xfId="4156"/>
    <cellStyle name="_SubHeading_Tableau_actuate_excess returns bm matching pf" xfId="4157"/>
    <cellStyle name="_SubHeading_Tableau_actuate_ilb reeel only" xfId="4158"/>
    <cellStyle name="_SubHeading_Tableau_actuate_nominale counterpart ilb" xfId="4159"/>
    <cellStyle name="_SubHeading_Tableau_actuate_tijdseries" xfId="4160"/>
    <cellStyle name="_SubHeading_Tableau_actuate_tijdseries 2" xfId="7110"/>
    <cellStyle name="_SubHeading_Tableau_actuate_tijdseries_bei rates" xfId="6474"/>
    <cellStyle name="_SubHeading_Tableau_actuate_tijdseries_par swap rates" xfId="5842"/>
    <cellStyle name="_SubHeading_Tableau_actuate_vpv" xfId="4161"/>
    <cellStyle name="_SubHeading_Tableau_actuate_vpv 2" xfId="7111"/>
    <cellStyle name="_SubHeading_Tableau_actuate_vpv return serie" xfId="4162"/>
    <cellStyle name="_SubHeading_Tableau_actuate_vpv return serie 2" xfId="7112"/>
    <cellStyle name="_SubHeading_Tableau_actuate_vpv return serie_bei rates" xfId="6476"/>
    <cellStyle name="_SubHeading_Tableau_actuate_vpv return serie_par swap rates" xfId="5844"/>
    <cellStyle name="_SubHeading_Tableau_actuate_vpv_bei rates" xfId="6475"/>
    <cellStyle name="_SubHeading_Tableau_actuate_vpv_par swap rates" xfId="5843"/>
    <cellStyle name="_SubHeading_Tableau_beleggingen" xfId="4163"/>
    <cellStyle name="_SubHeading_Tableau_beleggingen 2" xfId="7113"/>
    <cellStyle name="_SubHeading_Tableau_beleggingen_bei rates" xfId="6477"/>
    <cellStyle name="_SubHeading_Tableau_beleggingen_par swap rates" xfId="5845"/>
    <cellStyle name="_SubHeading_Tableau_cashflows corp" xfId="4164"/>
    <cellStyle name="_SubHeading_Tableau_cashflows Gov't AAA" xfId="4165"/>
    <cellStyle name="_SubHeading_Tableau_cashflows ilb" xfId="4166"/>
    <cellStyle name="_SubHeading_Tableau_cashflows lang staats" xfId="4167"/>
    <cellStyle name="_SubHeading_Tableau_cashflows pan european 500mm" xfId="4168"/>
    <cellStyle name="_SubHeading_Tableau_cashflows staats" xfId="4169"/>
    <cellStyle name="_SubHeading_Tableau_dv01" xfId="969"/>
    <cellStyle name="_SubHeading_Tableau_excess returns bm matching pf" xfId="4170"/>
    <cellStyle name="_SubHeading_Tableau_feitelijk rendement" xfId="4171"/>
    <cellStyle name="_SubHeading_Tableau_feitelijk rendement 2" xfId="7114"/>
    <cellStyle name="_SubHeading_Tableau_feitelijk rendement_bei rates" xfId="6478"/>
    <cellStyle name="_SubHeading_Tableau_feitelijk rendement_par swap rates" xfId="5846"/>
    <cellStyle name="_SubHeading_Tableau_ilb reeel only" xfId="4172"/>
    <cellStyle name="_SubHeading_Tableau_nominale counterpart ilb" xfId="4173"/>
    <cellStyle name="_SubHeading_Tableau_tijdseries" xfId="4174"/>
    <cellStyle name="_SubHeading_Tableau_tijdseries 2" xfId="7115"/>
    <cellStyle name="_SubHeading_Tableau_tijdseries_bei rates" xfId="6479"/>
    <cellStyle name="_SubHeading_Tableau_tijdseries_par swap rates" xfId="5847"/>
    <cellStyle name="_SubHeading_Tableau_vpv" xfId="4175"/>
    <cellStyle name="_SubHeading_Tableau_vpv 2" xfId="7116"/>
    <cellStyle name="_SubHeading_Tableau_vpv return serie" xfId="4176"/>
    <cellStyle name="_SubHeading_Tableau_vpv return serie 2" xfId="7117"/>
    <cellStyle name="_SubHeading_Tableau_vpv return serie_bei rates" xfId="6481"/>
    <cellStyle name="_SubHeading_Tableau_vpv return serie_par swap rates" xfId="5849"/>
    <cellStyle name="_SubHeading_Tableau_vpv_bei rates" xfId="6480"/>
    <cellStyle name="_SubHeading_Tableau_vpv_par swap rates" xfId="5848"/>
    <cellStyle name="_Table" xfId="970"/>
    <cellStyle name="_Table_allocatie" xfId="971"/>
    <cellStyle name="_Table_allocatie 2" xfId="3354"/>
    <cellStyle name="_Table_allocatie 3" xfId="2240"/>
    <cellStyle name="_Table_allocatie_actuate" xfId="972"/>
    <cellStyle name="_Table_allocatie_actuate 2" xfId="3355"/>
    <cellStyle name="_Table_allocatie_actuate 3" xfId="2241"/>
    <cellStyle name="_Table_allocatie_actuate_cashflows corp" xfId="4177"/>
    <cellStyle name="_Table_allocatie_actuate_cashflows Gov't AAA" xfId="4178"/>
    <cellStyle name="_Table_allocatie_actuate_cashflows ilb" xfId="4179"/>
    <cellStyle name="_Table_allocatie_actuate_cashflows lang staats" xfId="4180"/>
    <cellStyle name="_Table_allocatie_actuate_cashflows pan european 500mm" xfId="4181"/>
    <cellStyle name="_Table_allocatie_actuate_cashflows staats" xfId="4182"/>
    <cellStyle name="_Table_allocatie_actuate_excess returns bm matching pf" xfId="4183"/>
    <cellStyle name="_Table_allocatie_actuate_ilb reeel only" xfId="4184"/>
    <cellStyle name="_Table_allocatie_actuate_nominale counterpart ilb" xfId="4185"/>
    <cellStyle name="_Table_allocatie_actuate_tijdseries" xfId="4186"/>
    <cellStyle name="_Table_allocatie_actuate_tijdseries 2" xfId="7118"/>
    <cellStyle name="_Table_allocatie_actuate_tijdseries_bei rates" xfId="6482"/>
    <cellStyle name="_Table_allocatie_actuate_tijdseries_par swap rates" xfId="5850"/>
    <cellStyle name="_Table_allocatie_actuate_vpv" xfId="4187"/>
    <cellStyle name="_Table_allocatie_actuate_vpv 2" xfId="7119"/>
    <cellStyle name="_Table_allocatie_actuate_vpv return serie" xfId="4188"/>
    <cellStyle name="_Table_allocatie_actuate_vpv return serie 2" xfId="7120"/>
    <cellStyle name="_Table_allocatie_actuate_vpv return serie_bei rates" xfId="6484"/>
    <cellStyle name="_Table_allocatie_actuate_vpv return serie_par swap rates" xfId="5852"/>
    <cellStyle name="_Table_allocatie_actuate_vpv_bei rates" xfId="6483"/>
    <cellStyle name="_Table_allocatie_actuate_vpv_par swap rates" xfId="5851"/>
    <cellStyle name="_Table_allocatie_beleggingen" xfId="4189"/>
    <cellStyle name="_Table_allocatie_beleggingen 2" xfId="7121"/>
    <cellStyle name="_Table_allocatie_beleggingen_bei rates" xfId="6485"/>
    <cellStyle name="_Table_allocatie_beleggingen_par swap rates" xfId="5853"/>
    <cellStyle name="_Table_allocatie_cashflows corp" xfId="4190"/>
    <cellStyle name="_Table_allocatie_cashflows Gov't AAA" xfId="4191"/>
    <cellStyle name="_Table_allocatie_cashflows ilb" xfId="4192"/>
    <cellStyle name="_Table_allocatie_cashflows lang staats" xfId="4193"/>
    <cellStyle name="_Table_allocatie_cashflows pan european 500mm" xfId="4194"/>
    <cellStyle name="_Table_allocatie_cashflows staats" xfId="4195"/>
    <cellStyle name="_Table_allocatie_dv01" xfId="973"/>
    <cellStyle name="_Table_allocatie_excess returns bm matching pf" xfId="4196"/>
    <cellStyle name="_Table_allocatie_feitelijk rendement" xfId="4197"/>
    <cellStyle name="_Table_allocatie_feitelijk rendement 2" xfId="7122"/>
    <cellStyle name="_Table_allocatie_feitelijk rendement_bei rates" xfId="6486"/>
    <cellStyle name="_Table_allocatie_feitelijk rendement_par swap rates" xfId="5854"/>
    <cellStyle name="_Table_allocatie_ilb reeel only" xfId="4198"/>
    <cellStyle name="_Table_allocatie_nominale counterpart ilb" xfId="4199"/>
    <cellStyle name="_Table_allocatie_tijdseries" xfId="4200"/>
    <cellStyle name="_Table_allocatie_tijdseries 2" xfId="7123"/>
    <cellStyle name="_Table_allocatie_tijdseries_bei rates" xfId="6487"/>
    <cellStyle name="_Table_allocatie_tijdseries_par swap rates" xfId="5855"/>
    <cellStyle name="_Table_allocatie_vpv" xfId="4201"/>
    <cellStyle name="_Table_allocatie_vpv 2" xfId="7124"/>
    <cellStyle name="_Table_allocatie_vpv return serie" xfId="4202"/>
    <cellStyle name="_Table_allocatie_vpv return serie 2" xfId="7125"/>
    <cellStyle name="_Table_allocatie_vpv return serie_bei rates" xfId="6489"/>
    <cellStyle name="_Table_allocatie_vpv return serie_par swap rates" xfId="5857"/>
    <cellStyle name="_Table_allocatie_vpv_bei rates" xfId="6488"/>
    <cellStyle name="_Table_allocatie_vpv_par swap rates" xfId="5856"/>
    <cellStyle name="_Table_Asset Cashflows" xfId="974"/>
    <cellStyle name="_Table_Asset Cashflows 2" xfId="3357"/>
    <cellStyle name="_Table_Asset Cashflows 3" xfId="2242"/>
    <cellStyle name="_Table_Asset Cashflows_actuate" xfId="975"/>
    <cellStyle name="_Table_Asset Cashflows_actuate 2" xfId="3358"/>
    <cellStyle name="_Table_Asset Cashflows_actuate 3" xfId="2243"/>
    <cellStyle name="_Table_Asset Cashflows_actuate_cashflows corp" xfId="4203"/>
    <cellStyle name="_Table_Asset Cashflows_actuate_cashflows Gov't AAA" xfId="4204"/>
    <cellStyle name="_Table_Asset Cashflows_actuate_cashflows ilb" xfId="4205"/>
    <cellStyle name="_Table_Asset Cashflows_actuate_cashflows lang staats" xfId="4206"/>
    <cellStyle name="_Table_Asset Cashflows_actuate_cashflows pan european 500mm" xfId="4207"/>
    <cellStyle name="_Table_Asset Cashflows_actuate_cashflows staats" xfId="4208"/>
    <cellStyle name="_Table_Asset Cashflows_actuate_excess returns bm matching pf" xfId="4209"/>
    <cellStyle name="_Table_Asset Cashflows_actuate_ilb reeel only" xfId="4210"/>
    <cellStyle name="_Table_Asset Cashflows_actuate_nominale counterpart ilb" xfId="4211"/>
    <cellStyle name="_Table_Asset Cashflows_actuate_tijdseries" xfId="4212"/>
    <cellStyle name="_Table_Asset Cashflows_actuate_tijdseries 2" xfId="7126"/>
    <cellStyle name="_Table_Asset Cashflows_actuate_tijdseries_bei rates" xfId="6490"/>
    <cellStyle name="_Table_Asset Cashflows_actuate_tijdseries_par swap rates" xfId="5858"/>
    <cellStyle name="_Table_Asset Cashflows_actuate_vpv" xfId="4213"/>
    <cellStyle name="_Table_Asset Cashflows_actuate_vpv 2" xfId="7127"/>
    <cellStyle name="_Table_Asset Cashflows_actuate_vpv return serie" xfId="4214"/>
    <cellStyle name="_Table_Asset Cashflows_actuate_vpv return serie 2" xfId="7128"/>
    <cellStyle name="_Table_Asset Cashflows_actuate_vpv return serie_bei rates" xfId="6492"/>
    <cellStyle name="_Table_Asset Cashflows_actuate_vpv return serie_par swap rates" xfId="5860"/>
    <cellStyle name="_Table_Asset Cashflows_actuate_vpv_bei rates" xfId="6491"/>
    <cellStyle name="_Table_Asset Cashflows_actuate_vpv_par swap rates" xfId="5859"/>
    <cellStyle name="_Table_Asset Cashflows_beleggingen" xfId="4215"/>
    <cellStyle name="_Table_Asset Cashflows_beleggingen 2" xfId="7129"/>
    <cellStyle name="_Table_Asset Cashflows_beleggingen_bei rates" xfId="6493"/>
    <cellStyle name="_Table_Asset Cashflows_beleggingen_par swap rates" xfId="5861"/>
    <cellStyle name="_Table_Asset Cashflows_cashflows corp" xfId="4216"/>
    <cellStyle name="_Table_Asset Cashflows_cashflows Gov't AAA" xfId="4217"/>
    <cellStyle name="_Table_Asset Cashflows_cashflows ilb" xfId="4218"/>
    <cellStyle name="_Table_Asset Cashflows_cashflows lang staats" xfId="4219"/>
    <cellStyle name="_Table_Asset Cashflows_cashflows pan european 500mm" xfId="4220"/>
    <cellStyle name="_Table_Asset Cashflows_cashflows staats" xfId="4221"/>
    <cellStyle name="_Table_Asset Cashflows_dv01" xfId="976"/>
    <cellStyle name="_Table_Asset Cashflows_excess returns bm matching pf" xfId="4222"/>
    <cellStyle name="_Table_Asset Cashflows_feitelijk rendement" xfId="4223"/>
    <cellStyle name="_Table_Asset Cashflows_feitelijk rendement 2" xfId="7130"/>
    <cellStyle name="_Table_Asset Cashflows_feitelijk rendement_bei rates" xfId="6494"/>
    <cellStyle name="_Table_Asset Cashflows_feitelijk rendement_par swap rates" xfId="5862"/>
    <cellStyle name="_Table_Asset Cashflows_ilb reeel only" xfId="4224"/>
    <cellStyle name="_Table_Asset Cashflows_nominale counterpart ilb" xfId="4225"/>
    <cellStyle name="_Table_Asset Cashflows_tijdseries" xfId="4226"/>
    <cellStyle name="_Table_Asset Cashflows_tijdseries 2" xfId="7131"/>
    <cellStyle name="_Table_Asset Cashflows_tijdseries_bei rates" xfId="6495"/>
    <cellStyle name="_Table_Asset Cashflows_tijdseries_par swap rates" xfId="5863"/>
    <cellStyle name="_Table_Asset Cashflows_vpv" xfId="4227"/>
    <cellStyle name="_Table_Asset Cashflows_vpv 2" xfId="7132"/>
    <cellStyle name="_Table_Asset Cashflows_vpv return serie" xfId="4228"/>
    <cellStyle name="_Table_Asset Cashflows_vpv return serie 2" xfId="7133"/>
    <cellStyle name="_Table_Asset Cashflows_vpv return serie_bei rates" xfId="6497"/>
    <cellStyle name="_Table_Asset Cashflows_vpv return serie_par swap rates" xfId="5865"/>
    <cellStyle name="_Table_Asset Cashflows_vpv_bei rates" xfId="6496"/>
    <cellStyle name="_Table_Asset Cashflows_vpv_par swap rates" xfId="5864"/>
    <cellStyle name="_Table_CashFlows " xfId="977"/>
    <cellStyle name="_Table_CashFlows  2" xfId="3360"/>
    <cellStyle name="_Table_CashFlows  3" xfId="2244"/>
    <cellStyle name="_Table_CashFlows _actuate" xfId="978"/>
    <cellStyle name="_Table_CashFlows _actuate 2" xfId="3361"/>
    <cellStyle name="_Table_CashFlows _actuate 3" xfId="2245"/>
    <cellStyle name="_Table_CashFlows _actuate_cashflows corp" xfId="4229"/>
    <cellStyle name="_Table_CashFlows _actuate_cashflows Gov't AAA" xfId="4230"/>
    <cellStyle name="_Table_CashFlows _actuate_cashflows ilb" xfId="4231"/>
    <cellStyle name="_Table_CashFlows _actuate_cashflows lang staats" xfId="4232"/>
    <cellStyle name="_Table_CashFlows _actuate_cashflows pan european 500mm" xfId="4233"/>
    <cellStyle name="_Table_CashFlows _actuate_cashflows staats" xfId="4234"/>
    <cellStyle name="_Table_CashFlows _actuate_excess returns bm matching pf" xfId="4235"/>
    <cellStyle name="_Table_CashFlows _actuate_ilb reeel only" xfId="4236"/>
    <cellStyle name="_Table_CashFlows _actuate_nominale counterpart ilb" xfId="4237"/>
    <cellStyle name="_Table_CashFlows _actuate_tijdseries" xfId="4238"/>
    <cellStyle name="_Table_CashFlows _actuate_tijdseries 2" xfId="7134"/>
    <cellStyle name="_Table_CashFlows _actuate_tijdseries_bei rates" xfId="6498"/>
    <cellStyle name="_Table_CashFlows _actuate_tijdseries_par swap rates" xfId="5866"/>
    <cellStyle name="_Table_CashFlows _actuate_vpv" xfId="4239"/>
    <cellStyle name="_Table_CashFlows _actuate_vpv 2" xfId="7135"/>
    <cellStyle name="_Table_CashFlows _actuate_vpv return serie" xfId="4240"/>
    <cellStyle name="_Table_CashFlows _actuate_vpv return serie 2" xfId="7136"/>
    <cellStyle name="_Table_CashFlows _actuate_vpv return serie_bei rates" xfId="6500"/>
    <cellStyle name="_Table_CashFlows _actuate_vpv return serie_par swap rates" xfId="5868"/>
    <cellStyle name="_Table_CashFlows _actuate_vpv_bei rates" xfId="6499"/>
    <cellStyle name="_Table_CashFlows _actuate_vpv_par swap rates" xfId="5867"/>
    <cellStyle name="_Table_CashFlows _beleggingen" xfId="4241"/>
    <cellStyle name="_Table_CashFlows _beleggingen 2" xfId="7137"/>
    <cellStyle name="_Table_CashFlows _beleggingen_bei rates" xfId="6501"/>
    <cellStyle name="_Table_CashFlows _beleggingen_par swap rates" xfId="5869"/>
    <cellStyle name="_Table_CashFlows _cashflows corp" xfId="4242"/>
    <cellStyle name="_Table_CashFlows _cashflows Gov't AAA" xfId="4243"/>
    <cellStyle name="_Table_CashFlows _cashflows ilb" xfId="4244"/>
    <cellStyle name="_Table_CashFlows _cashflows lang staats" xfId="4245"/>
    <cellStyle name="_Table_CashFlows _cashflows pan european 500mm" xfId="4246"/>
    <cellStyle name="_Table_CashFlows _cashflows staats" xfId="4247"/>
    <cellStyle name="_Table_CashFlows _dv01" xfId="979"/>
    <cellStyle name="_Table_CashFlows _excess returns bm matching pf" xfId="4248"/>
    <cellStyle name="_Table_CashFlows _feitelijk rendement" xfId="4249"/>
    <cellStyle name="_Table_CashFlows _feitelijk rendement 2" xfId="7138"/>
    <cellStyle name="_Table_CashFlows _feitelijk rendement_bei rates" xfId="6502"/>
    <cellStyle name="_Table_CashFlows _feitelijk rendement_par swap rates" xfId="5870"/>
    <cellStyle name="_Table_CashFlows _ilb reeel only" xfId="4250"/>
    <cellStyle name="_Table_CashFlows _nominale counterpart ilb" xfId="4251"/>
    <cellStyle name="_Table_CashFlows _tijdseries" xfId="4252"/>
    <cellStyle name="_Table_CashFlows _tijdseries 2" xfId="7139"/>
    <cellStyle name="_Table_CashFlows _tijdseries_bei rates" xfId="6503"/>
    <cellStyle name="_Table_CashFlows _tijdseries_par swap rates" xfId="5871"/>
    <cellStyle name="_Table_CashFlows _vpv" xfId="4253"/>
    <cellStyle name="_Table_CashFlows _vpv 2" xfId="7140"/>
    <cellStyle name="_Table_CashFlows _vpv return serie" xfId="4254"/>
    <cellStyle name="_Table_CashFlows _vpv return serie 2" xfId="7141"/>
    <cellStyle name="_Table_CashFlows _vpv return serie_bei rates" xfId="6505"/>
    <cellStyle name="_Table_CashFlows _vpv return serie_par swap rates" xfId="5873"/>
    <cellStyle name="_Table_CashFlows _vpv_bei rates" xfId="6504"/>
    <cellStyle name="_Table_CashFlows _vpv_par swap rates" xfId="5872"/>
    <cellStyle name="_Table_Combined CashFlows" xfId="980"/>
    <cellStyle name="_Table_Combined CashFlows 2" xfId="3362"/>
    <cellStyle name="_Table_Combined CashFlows 3" xfId="2246"/>
    <cellStyle name="_Table_Combined CashFlows_actuate" xfId="981"/>
    <cellStyle name="_Table_Combined CashFlows_actuate 2" xfId="3363"/>
    <cellStyle name="_Table_Combined CashFlows_actuate 3" xfId="2247"/>
    <cellStyle name="_Table_Combined CashFlows_actuate_cashflows corp" xfId="4255"/>
    <cellStyle name="_Table_Combined CashFlows_actuate_cashflows Gov't AAA" xfId="4256"/>
    <cellStyle name="_Table_Combined CashFlows_actuate_cashflows ilb" xfId="4257"/>
    <cellStyle name="_Table_Combined CashFlows_actuate_cashflows lang staats" xfId="4258"/>
    <cellStyle name="_Table_Combined CashFlows_actuate_cashflows pan european 500mm" xfId="4259"/>
    <cellStyle name="_Table_Combined CashFlows_actuate_cashflows staats" xfId="4260"/>
    <cellStyle name="_Table_Combined CashFlows_actuate_excess returns bm matching pf" xfId="4261"/>
    <cellStyle name="_Table_Combined CashFlows_actuate_ilb reeel only" xfId="4262"/>
    <cellStyle name="_Table_Combined CashFlows_actuate_nominale counterpart ilb" xfId="4263"/>
    <cellStyle name="_Table_Combined CashFlows_actuate_tijdseries" xfId="4264"/>
    <cellStyle name="_Table_Combined CashFlows_actuate_tijdseries 2" xfId="7142"/>
    <cellStyle name="_Table_Combined CashFlows_actuate_tijdseries_bei rates" xfId="6506"/>
    <cellStyle name="_Table_Combined CashFlows_actuate_tijdseries_par swap rates" xfId="5874"/>
    <cellStyle name="_Table_Combined CashFlows_actuate_vpv" xfId="4265"/>
    <cellStyle name="_Table_Combined CashFlows_actuate_vpv 2" xfId="7143"/>
    <cellStyle name="_Table_Combined CashFlows_actuate_vpv return serie" xfId="4266"/>
    <cellStyle name="_Table_Combined CashFlows_actuate_vpv return serie 2" xfId="7144"/>
    <cellStyle name="_Table_Combined CashFlows_actuate_vpv return serie_bei rates" xfId="6508"/>
    <cellStyle name="_Table_Combined CashFlows_actuate_vpv return serie_par swap rates" xfId="5876"/>
    <cellStyle name="_Table_Combined CashFlows_actuate_vpv_bei rates" xfId="6507"/>
    <cellStyle name="_Table_Combined CashFlows_actuate_vpv_par swap rates" xfId="5875"/>
    <cellStyle name="_Table_Combined CashFlows_beleggingen" xfId="4267"/>
    <cellStyle name="_Table_Combined CashFlows_beleggingen 2" xfId="7145"/>
    <cellStyle name="_Table_Combined CashFlows_beleggingen_bei rates" xfId="6509"/>
    <cellStyle name="_Table_Combined CashFlows_beleggingen_par swap rates" xfId="5877"/>
    <cellStyle name="_Table_Combined CashFlows_cashflows corp" xfId="4268"/>
    <cellStyle name="_Table_Combined CashFlows_cashflows Gov't AAA" xfId="4269"/>
    <cellStyle name="_Table_Combined CashFlows_cashflows ilb" xfId="4270"/>
    <cellStyle name="_Table_Combined CashFlows_cashflows lang staats" xfId="4271"/>
    <cellStyle name="_Table_Combined CashFlows_cashflows pan european 500mm" xfId="4272"/>
    <cellStyle name="_Table_Combined CashFlows_cashflows staats" xfId="4273"/>
    <cellStyle name="_Table_Combined CashFlows_dv01" xfId="982"/>
    <cellStyle name="_Table_Combined CashFlows_excess returns bm matching pf" xfId="4274"/>
    <cellStyle name="_Table_Combined CashFlows_feitelijk rendement" xfId="4275"/>
    <cellStyle name="_Table_Combined CashFlows_feitelijk rendement 2" xfId="7146"/>
    <cellStyle name="_Table_Combined CashFlows_feitelijk rendement_bei rates" xfId="6510"/>
    <cellStyle name="_Table_Combined CashFlows_feitelijk rendement_par swap rates" xfId="5878"/>
    <cellStyle name="_Table_Combined CashFlows_ilb reeel only" xfId="4276"/>
    <cellStyle name="_Table_Combined CashFlows_nominale counterpart ilb" xfId="4277"/>
    <cellStyle name="_Table_Combined CashFlows_tijdseries" xfId="4278"/>
    <cellStyle name="_Table_Combined CashFlows_tijdseries 2" xfId="7147"/>
    <cellStyle name="_Table_Combined CashFlows_tijdseries_bei rates" xfId="6511"/>
    <cellStyle name="_Table_Combined CashFlows_tijdseries_par swap rates" xfId="5879"/>
    <cellStyle name="_Table_Combined CashFlows_vpv" xfId="4279"/>
    <cellStyle name="_Table_Combined CashFlows_vpv 2" xfId="7148"/>
    <cellStyle name="_Table_Combined CashFlows_vpv return serie" xfId="4280"/>
    <cellStyle name="_Table_Combined CashFlows_vpv return serie 2" xfId="7149"/>
    <cellStyle name="_Table_Combined CashFlows_vpv return serie_bei rates" xfId="6513"/>
    <cellStyle name="_Table_Combined CashFlows_vpv return serie_par swap rates" xfId="5881"/>
    <cellStyle name="_Table_Combined CashFlows_vpv_bei rates" xfId="6512"/>
    <cellStyle name="_Table_Combined CashFlows_vpv_par swap rates" xfId="5880"/>
    <cellStyle name="_Table_FP Liabilities_19oct05 v2" xfId="983"/>
    <cellStyle name="_Table_FP Liabilities_19oct05 v2 2" xfId="3365"/>
    <cellStyle name="_Table_FP Liabilities_19oct05 v2 3" xfId="2248"/>
    <cellStyle name="_Table_FP Liabilities_19oct05 v2_actuate" xfId="984"/>
    <cellStyle name="_Table_FP Liabilities_19oct05 v2_actuate 2" xfId="3366"/>
    <cellStyle name="_Table_FP Liabilities_19oct05 v2_actuate 3" xfId="2249"/>
    <cellStyle name="_Table_FP Liabilities_19oct05 v2_actuate_cashflows corp" xfId="4281"/>
    <cellStyle name="_Table_FP Liabilities_19oct05 v2_actuate_cashflows Gov't AAA" xfId="4282"/>
    <cellStyle name="_Table_FP Liabilities_19oct05 v2_actuate_cashflows ilb" xfId="4283"/>
    <cellStyle name="_Table_FP Liabilities_19oct05 v2_actuate_cashflows lang staats" xfId="4284"/>
    <cellStyle name="_Table_FP Liabilities_19oct05 v2_actuate_cashflows pan european 500mm" xfId="4285"/>
    <cellStyle name="_Table_FP Liabilities_19oct05 v2_actuate_cashflows staats" xfId="4286"/>
    <cellStyle name="_Table_FP Liabilities_19oct05 v2_actuate_excess returns bm matching pf" xfId="4287"/>
    <cellStyle name="_Table_FP Liabilities_19oct05 v2_actuate_ilb reeel only" xfId="4288"/>
    <cellStyle name="_Table_FP Liabilities_19oct05 v2_actuate_nominale counterpart ilb" xfId="4289"/>
    <cellStyle name="_Table_FP Liabilities_19oct05 v2_actuate_tijdseries" xfId="4290"/>
    <cellStyle name="_Table_FP Liabilities_19oct05 v2_actuate_tijdseries 2" xfId="7150"/>
    <cellStyle name="_Table_FP Liabilities_19oct05 v2_actuate_tijdseries_bei rates" xfId="6514"/>
    <cellStyle name="_Table_FP Liabilities_19oct05 v2_actuate_tijdseries_par swap rates" xfId="5882"/>
    <cellStyle name="_Table_FP Liabilities_19oct05 v2_actuate_vpv" xfId="4291"/>
    <cellStyle name="_Table_FP Liabilities_19oct05 v2_actuate_vpv 2" xfId="7151"/>
    <cellStyle name="_Table_FP Liabilities_19oct05 v2_actuate_vpv return serie" xfId="4292"/>
    <cellStyle name="_Table_FP Liabilities_19oct05 v2_actuate_vpv return serie 2" xfId="7152"/>
    <cellStyle name="_Table_FP Liabilities_19oct05 v2_actuate_vpv return serie_bei rates" xfId="6516"/>
    <cellStyle name="_Table_FP Liabilities_19oct05 v2_actuate_vpv return serie_par swap rates" xfId="5884"/>
    <cellStyle name="_Table_FP Liabilities_19oct05 v2_actuate_vpv_bei rates" xfId="6515"/>
    <cellStyle name="_Table_FP Liabilities_19oct05 v2_actuate_vpv_par swap rates" xfId="5883"/>
    <cellStyle name="_Table_FP Liabilities_19oct05 v2_beleggingen" xfId="4293"/>
    <cellStyle name="_Table_FP Liabilities_19oct05 v2_beleggingen 2" xfId="7153"/>
    <cellStyle name="_Table_FP Liabilities_19oct05 v2_beleggingen_bei rates" xfId="6517"/>
    <cellStyle name="_Table_FP Liabilities_19oct05 v2_beleggingen_par swap rates" xfId="5885"/>
    <cellStyle name="_Table_FP Liabilities_19oct05 v2_cashflows corp" xfId="4294"/>
    <cellStyle name="_Table_FP Liabilities_19oct05 v2_cashflows Gov't AAA" xfId="4295"/>
    <cellStyle name="_Table_FP Liabilities_19oct05 v2_cashflows ilb" xfId="4296"/>
    <cellStyle name="_Table_FP Liabilities_19oct05 v2_cashflows lang staats" xfId="4297"/>
    <cellStyle name="_Table_FP Liabilities_19oct05 v2_cashflows pan european 500mm" xfId="4298"/>
    <cellStyle name="_Table_FP Liabilities_19oct05 v2_cashflows staats" xfId="4299"/>
    <cellStyle name="_Table_FP Liabilities_19oct05 v2_dv01" xfId="985"/>
    <cellStyle name="_Table_FP Liabilities_19oct05 v2_excess returns bm matching pf" xfId="4300"/>
    <cellStyle name="_Table_FP Liabilities_19oct05 v2_feitelijk rendement" xfId="4301"/>
    <cellStyle name="_Table_FP Liabilities_19oct05 v2_feitelijk rendement 2" xfId="7154"/>
    <cellStyle name="_Table_FP Liabilities_19oct05 v2_feitelijk rendement_bei rates" xfId="6518"/>
    <cellStyle name="_Table_FP Liabilities_19oct05 v2_feitelijk rendement_par swap rates" xfId="5886"/>
    <cellStyle name="_Table_FP Liabilities_19oct05 v2_ilb reeel only" xfId="4302"/>
    <cellStyle name="_Table_FP Liabilities_19oct05 v2_nominale counterpart ilb" xfId="4303"/>
    <cellStyle name="_Table_FP Liabilities_19oct05 v2_tijdseries" xfId="4304"/>
    <cellStyle name="_Table_FP Liabilities_19oct05 v2_tijdseries 2" xfId="7155"/>
    <cellStyle name="_Table_FP Liabilities_19oct05 v2_tijdseries_bei rates" xfId="6519"/>
    <cellStyle name="_Table_FP Liabilities_19oct05 v2_tijdseries_par swap rates" xfId="5887"/>
    <cellStyle name="_Table_FP Liabilities_19oct05 v2_vpv" xfId="4305"/>
    <cellStyle name="_Table_FP Liabilities_19oct05 v2_vpv 2" xfId="7156"/>
    <cellStyle name="_Table_FP Liabilities_19oct05 v2_vpv return serie" xfId="4306"/>
    <cellStyle name="_Table_FP Liabilities_19oct05 v2_vpv return serie 2" xfId="7157"/>
    <cellStyle name="_Table_FP Liabilities_19oct05 v2_vpv return serie_bei rates" xfId="6521"/>
    <cellStyle name="_Table_FP Liabilities_19oct05 v2_vpv return serie_par swap rates" xfId="5889"/>
    <cellStyle name="_Table_FP Liabilities_19oct05 v2_vpv_bei rates" xfId="6520"/>
    <cellStyle name="_Table_FP Liabilities_19oct05 v2_vpv_par swap rates" xfId="5888"/>
    <cellStyle name="_Table_Govt Bond Data" xfId="986"/>
    <cellStyle name="_Table_INF Benchmark " xfId="987"/>
    <cellStyle name="_Table_InitialPosition" xfId="988"/>
    <cellStyle name="_Table_IR Benchmark" xfId="989"/>
    <cellStyle name="_Table_June 05 CF" xfId="990"/>
    <cellStyle name="_Table_June 05 CF 2" xfId="3372"/>
    <cellStyle name="_Table_June 05 CF 3" xfId="2250"/>
    <cellStyle name="_Table_June 05 CF_actuate" xfId="991"/>
    <cellStyle name="_Table_June 05 CF_actuate 2" xfId="3373"/>
    <cellStyle name="_Table_June 05 CF_actuate 3" xfId="2251"/>
    <cellStyle name="_Table_June 05 CF_actuate_cashflows corp" xfId="4307"/>
    <cellStyle name="_Table_June 05 CF_actuate_cashflows Gov't AAA" xfId="4308"/>
    <cellStyle name="_Table_June 05 CF_actuate_cashflows ilb" xfId="4309"/>
    <cellStyle name="_Table_June 05 CF_actuate_cashflows lang staats" xfId="4310"/>
    <cellStyle name="_Table_June 05 CF_actuate_cashflows pan european 500mm" xfId="4311"/>
    <cellStyle name="_Table_June 05 CF_actuate_cashflows staats" xfId="4312"/>
    <cellStyle name="_Table_June 05 CF_actuate_excess returns bm matching pf" xfId="4313"/>
    <cellStyle name="_Table_June 05 CF_actuate_ilb reeel only" xfId="4314"/>
    <cellStyle name="_Table_June 05 CF_actuate_nominale counterpart ilb" xfId="4315"/>
    <cellStyle name="_Table_June 05 CF_actuate_tijdseries" xfId="4316"/>
    <cellStyle name="_Table_June 05 CF_actuate_tijdseries 2" xfId="7158"/>
    <cellStyle name="_Table_June 05 CF_actuate_tijdseries_bei rates" xfId="6522"/>
    <cellStyle name="_Table_June 05 CF_actuate_tijdseries_par swap rates" xfId="5890"/>
    <cellStyle name="_Table_June 05 CF_actuate_vpv" xfId="4317"/>
    <cellStyle name="_Table_June 05 CF_actuate_vpv 2" xfId="7159"/>
    <cellStyle name="_Table_June 05 CF_actuate_vpv return serie" xfId="4318"/>
    <cellStyle name="_Table_June 05 CF_actuate_vpv return serie 2" xfId="7160"/>
    <cellStyle name="_Table_June 05 CF_actuate_vpv return serie_bei rates" xfId="6524"/>
    <cellStyle name="_Table_June 05 CF_actuate_vpv return serie_par swap rates" xfId="5892"/>
    <cellStyle name="_Table_June 05 CF_actuate_vpv_bei rates" xfId="6523"/>
    <cellStyle name="_Table_June 05 CF_actuate_vpv_par swap rates" xfId="5891"/>
    <cellStyle name="_Table_June 05 CF_beleggingen" xfId="4319"/>
    <cellStyle name="_Table_June 05 CF_beleggingen 2" xfId="7161"/>
    <cellStyle name="_Table_June 05 CF_beleggingen_bei rates" xfId="6525"/>
    <cellStyle name="_Table_June 05 CF_beleggingen_par swap rates" xfId="5893"/>
    <cellStyle name="_Table_June 05 CF_cashflows corp" xfId="4320"/>
    <cellStyle name="_Table_June 05 CF_cashflows Gov't AAA" xfId="4321"/>
    <cellStyle name="_Table_June 05 CF_cashflows ilb" xfId="4322"/>
    <cellStyle name="_Table_June 05 CF_cashflows lang staats" xfId="4323"/>
    <cellStyle name="_Table_June 05 CF_cashflows pan european 500mm" xfId="4324"/>
    <cellStyle name="_Table_June 05 CF_cashflows staats" xfId="4325"/>
    <cellStyle name="_Table_June 05 CF_dv01" xfId="992"/>
    <cellStyle name="_Table_June 05 CF_excess returns bm matching pf" xfId="4326"/>
    <cellStyle name="_Table_June 05 CF_feitelijk rendement" xfId="4327"/>
    <cellStyle name="_Table_June 05 CF_feitelijk rendement 2" xfId="7162"/>
    <cellStyle name="_Table_June 05 CF_feitelijk rendement_bei rates" xfId="6526"/>
    <cellStyle name="_Table_June 05 CF_feitelijk rendement_par swap rates" xfId="5894"/>
    <cellStyle name="_Table_June 05 CF_ilb reeel only" xfId="4328"/>
    <cellStyle name="_Table_June 05 CF_nominale counterpart ilb" xfId="4329"/>
    <cellStyle name="_Table_June 05 CF_tijdseries" xfId="4330"/>
    <cellStyle name="_Table_June 05 CF_tijdseries 2" xfId="7163"/>
    <cellStyle name="_Table_June 05 CF_tijdseries_bei rates" xfId="6527"/>
    <cellStyle name="_Table_June 05 CF_tijdseries_par swap rates" xfId="5895"/>
    <cellStyle name="_Table_June 05 CF_vpv" xfId="4331"/>
    <cellStyle name="_Table_June 05 CF_vpv 2" xfId="7164"/>
    <cellStyle name="_Table_June 05 CF_vpv return serie" xfId="4332"/>
    <cellStyle name="_Table_June 05 CF_vpv return serie 2" xfId="7165"/>
    <cellStyle name="_Table_June 05 CF_vpv return serie_bei rates" xfId="6529"/>
    <cellStyle name="_Table_June 05 CF_vpv return serie_par swap rates" xfId="5897"/>
    <cellStyle name="_Table_June 05 CF_vpv_bei rates" xfId="6528"/>
    <cellStyle name="_Table_June 05 CF_vpv_par swap rates" xfId="5896"/>
    <cellStyle name="_Table_June05" xfId="993"/>
    <cellStyle name="_Table_LDI Characts" xfId="994"/>
    <cellStyle name="_Table_Liabs DV01" xfId="995"/>
    <cellStyle name="_Table_Liabs DV01 2" xfId="3375"/>
    <cellStyle name="_Table_Liabs DV01 3" xfId="2252"/>
    <cellStyle name="_Table_Liabs DV01_actuate" xfId="996"/>
    <cellStyle name="_Table_Liabs DV01_actuate 2" xfId="3376"/>
    <cellStyle name="_Table_Liabs DV01_actuate 3" xfId="2253"/>
    <cellStyle name="_Table_Liabs DV01_actuate_cashflows corp" xfId="4333"/>
    <cellStyle name="_Table_Liabs DV01_actuate_cashflows Gov't AAA" xfId="4334"/>
    <cellStyle name="_Table_Liabs DV01_actuate_cashflows ilb" xfId="4335"/>
    <cellStyle name="_Table_Liabs DV01_actuate_cashflows lang staats" xfId="4336"/>
    <cellStyle name="_Table_Liabs DV01_actuate_cashflows pan european 500mm" xfId="4337"/>
    <cellStyle name="_Table_Liabs DV01_actuate_cashflows staats" xfId="4338"/>
    <cellStyle name="_Table_Liabs DV01_actuate_excess returns bm matching pf" xfId="4339"/>
    <cellStyle name="_Table_Liabs DV01_actuate_ilb reeel only" xfId="4340"/>
    <cellStyle name="_Table_Liabs DV01_actuate_nominale counterpart ilb" xfId="4341"/>
    <cellStyle name="_Table_Liabs DV01_actuate_tijdseries" xfId="4342"/>
    <cellStyle name="_Table_Liabs DV01_actuate_tijdseries 2" xfId="7166"/>
    <cellStyle name="_Table_Liabs DV01_actuate_tijdseries_bei rates" xfId="6530"/>
    <cellStyle name="_Table_Liabs DV01_actuate_tijdseries_par swap rates" xfId="5898"/>
    <cellStyle name="_Table_Liabs DV01_actuate_vpv" xfId="4343"/>
    <cellStyle name="_Table_Liabs DV01_actuate_vpv 2" xfId="7167"/>
    <cellStyle name="_Table_Liabs DV01_actuate_vpv return serie" xfId="4344"/>
    <cellStyle name="_Table_Liabs DV01_actuate_vpv return serie 2" xfId="7168"/>
    <cellStyle name="_Table_Liabs DV01_actuate_vpv return serie_bei rates" xfId="6532"/>
    <cellStyle name="_Table_Liabs DV01_actuate_vpv return serie_par swap rates" xfId="5900"/>
    <cellStyle name="_Table_Liabs DV01_actuate_vpv_bei rates" xfId="6531"/>
    <cellStyle name="_Table_Liabs DV01_actuate_vpv_par swap rates" xfId="5899"/>
    <cellStyle name="_Table_Liabs DV01_beleggingen" xfId="4345"/>
    <cellStyle name="_Table_Liabs DV01_beleggingen 2" xfId="7169"/>
    <cellStyle name="_Table_Liabs DV01_beleggingen_bei rates" xfId="6533"/>
    <cellStyle name="_Table_Liabs DV01_beleggingen_par swap rates" xfId="5901"/>
    <cellStyle name="_Table_Liabs DV01_cashflows corp" xfId="4346"/>
    <cellStyle name="_Table_Liabs DV01_cashflows Gov't AAA" xfId="4347"/>
    <cellStyle name="_Table_Liabs DV01_cashflows ilb" xfId="4348"/>
    <cellStyle name="_Table_Liabs DV01_cashflows lang staats" xfId="4349"/>
    <cellStyle name="_Table_Liabs DV01_cashflows pan european 500mm" xfId="4350"/>
    <cellStyle name="_Table_Liabs DV01_cashflows staats" xfId="4351"/>
    <cellStyle name="_Table_Liabs DV01_dv01" xfId="997"/>
    <cellStyle name="_Table_Liabs DV01_excess returns bm matching pf" xfId="4352"/>
    <cellStyle name="_Table_Liabs DV01_feitelijk rendement" xfId="4353"/>
    <cellStyle name="_Table_Liabs DV01_feitelijk rendement 2" xfId="7170"/>
    <cellStyle name="_Table_Liabs DV01_feitelijk rendement_bei rates" xfId="6534"/>
    <cellStyle name="_Table_Liabs DV01_feitelijk rendement_par swap rates" xfId="5902"/>
    <cellStyle name="_Table_Liabs DV01_ilb reeel only" xfId="4354"/>
    <cellStyle name="_Table_Liabs DV01_nominale counterpart ilb" xfId="4355"/>
    <cellStyle name="_Table_Liabs DV01_tijdseries" xfId="4356"/>
    <cellStyle name="_Table_Liabs DV01_tijdseries 2" xfId="7171"/>
    <cellStyle name="_Table_Liabs DV01_tijdseries_bei rates" xfId="6535"/>
    <cellStyle name="_Table_Liabs DV01_tijdseries_par swap rates" xfId="5903"/>
    <cellStyle name="_Table_Liabs DV01_vpv" xfId="4357"/>
    <cellStyle name="_Table_Liabs DV01_vpv 2" xfId="7172"/>
    <cellStyle name="_Table_Liabs DV01_vpv return serie" xfId="4358"/>
    <cellStyle name="_Table_Liabs DV01_vpv return serie 2" xfId="7173"/>
    <cellStyle name="_Table_Liabs DV01_vpv return serie_bei rates" xfId="6537"/>
    <cellStyle name="_Table_Liabs DV01_vpv return serie_par swap rates" xfId="5905"/>
    <cellStyle name="_Table_Liabs DV01_vpv_bei rates" xfId="6536"/>
    <cellStyle name="_Table_Liabs DV01_vpv_par swap rates" xfId="5904"/>
    <cellStyle name="_Table_Main" xfId="998"/>
    <cellStyle name="_Table_Main 2" xfId="3378"/>
    <cellStyle name="_Table_Main 3" xfId="2254"/>
    <cellStyle name="_Table_Main_actuate" xfId="999"/>
    <cellStyle name="_Table_Main_actuate 2" xfId="3379"/>
    <cellStyle name="_Table_Main_actuate 3" xfId="2255"/>
    <cellStyle name="_Table_Main_actuate_cashflows corp" xfId="4359"/>
    <cellStyle name="_Table_Main_actuate_cashflows Gov't AAA" xfId="4360"/>
    <cellStyle name="_Table_Main_actuate_cashflows ilb" xfId="4361"/>
    <cellStyle name="_Table_Main_actuate_cashflows lang staats" xfId="4362"/>
    <cellStyle name="_Table_Main_actuate_cashflows pan european 500mm" xfId="4363"/>
    <cellStyle name="_Table_Main_actuate_cashflows staats" xfId="4364"/>
    <cellStyle name="_Table_Main_actuate_excess returns bm matching pf" xfId="4365"/>
    <cellStyle name="_Table_Main_actuate_ilb reeel only" xfId="4366"/>
    <cellStyle name="_Table_Main_actuate_nominale counterpart ilb" xfId="4367"/>
    <cellStyle name="_Table_Main_actuate_tijdseries" xfId="4368"/>
    <cellStyle name="_Table_Main_actuate_tijdseries 2" xfId="7174"/>
    <cellStyle name="_Table_Main_actuate_tijdseries_bei rates" xfId="6538"/>
    <cellStyle name="_Table_Main_actuate_tijdseries_par swap rates" xfId="5906"/>
    <cellStyle name="_Table_Main_actuate_vpv" xfId="4369"/>
    <cellStyle name="_Table_Main_actuate_vpv 2" xfId="7175"/>
    <cellStyle name="_Table_Main_actuate_vpv return serie" xfId="4370"/>
    <cellStyle name="_Table_Main_actuate_vpv return serie 2" xfId="7176"/>
    <cellStyle name="_Table_Main_actuate_vpv return serie_bei rates" xfId="6540"/>
    <cellStyle name="_Table_Main_actuate_vpv return serie_par swap rates" xfId="5908"/>
    <cellStyle name="_Table_Main_actuate_vpv_bei rates" xfId="6539"/>
    <cellStyle name="_Table_Main_actuate_vpv_par swap rates" xfId="5907"/>
    <cellStyle name="_Table_Main_beleggingen" xfId="4371"/>
    <cellStyle name="_Table_Main_beleggingen 2" xfId="7177"/>
    <cellStyle name="_Table_Main_beleggingen_bei rates" xfId="6541"/>
    <cellStyle name="_Table_Main_beleggingen_par swap rates" xfId="5909"/>
    <cellStyle name="_Table_Main_cashflows corp" xfId="4372"/>
    <cellStyle name="_Table_Main_cashflows Gov't AAA" xfId="4373"/>
    <cellStyle name="_Table_Main_cashflows ilb" xfId="4374"/>
    <cellStyle name="_Table_Main_cashflows lang staats" xfId="4375"/>
    <cellStyle name="_Table_Main_cashflows pan european 500mm" xfId="4376"/>
    <cellStyle name="_Table_Main_cashflows staats" xfId="4377"/>
    <cellStyle name="_Table_Main_dv01" xfId="1000"/>
    <cellStyle name="_Table_Main_excess returns bm matching pf" xfId="4378"/>
    <cellStyle name="_Table_Main_feitelijk rendement" xfId="4379"/>
    <cellStyle name="_Table_Main_feitelijk rendement 2" xfId="7178"/>
    <cellStyle name="_Table_Main_feitelijk rendement_bei rates" xfId="6542"/>
    <cellStyle name="_Table_Main_feitelijk rendement_par swap rates" xfId="5910"/>
    <cellStyle name="_Table_Main_ilb reeel only" xfId="4380"/>
    <cellStyle name="_Table_Main_nominale counterpart ilb" xfId="4381"/>
    <cellStyle name="_Table_Main_tijdseries" xfId="4382"/>
    <cellStyle name="_Table_Main_tijdseries 2" xfId="7179"/>
    <cellStyle name="_Table_Main_tijdseries_bei rates" xfId="6543"/>
    <cellStyle name="_Table_Main_tijdseries_par swap rates" xfId="5911"/>
    <cellStyle name="_Table_Main_vpv" xfId="4383"/>
    <cellStyle name="_Table_Main_vpv 2" xfId="7180"/>
    <cellStyle name="_Table_Main_vpv return serie" xfId="4384"/>
    <cellStyle name="_Table_Main_vpv return serie 2" xfId="7181"/>
    <cellStyle name="_Table_Main_vpv return serie_bei rates" xfId="6545"/>
    <cellStyle name="_Table_Main_vpv return serie_par swap rates" xfId="5913"/>
    <cellStyle name="_Table_Main_vpv_bei rates" xfId="6544"/>
    <cellStyle name="_Table_Main_vpv_par swap rates" xfId="5912"/>
    <cellStyle name="_Table_Matching PV Cashflows" xfId="1001"/>
    <cellStyle name="_Table_Matching PV Cashflows 2" xfId="3381"/>
    <cellStyle name="_Table_Matching PV Cashflows 3" xfId="2256"/>
    <cellStyle name="_Table_Matching PV Cashflows_actuate" xfId="1002"/>
    <cellStyle name="_Table_Matching PV Cashflows_actuate 2" xfId="3382"/>
    <cellStyle name="_Table_Matching PV Cashflows_actuate 3" xfId="2257"/>
    <cellStyle name="_Table_Matching PV Cashflows_actuate_cashflows corp" xfId="4385"/>
    <cellStyle name="_Table_Matching PV Cashflows_actuate_cashflows Gov't AAA" xfId="4386"/>
    <cellStyle name="_Table_Matching PV Cashflows_actuate_cashflows ilb" xfId="4387"/>
    <cellStyle name="_Table_Matching PV Cashflows_actuate_cashflows lang staats" xfId="4388"/>
    <cellStyle name="_Table_Matching PV Cashflows_actuate_cashflows pan european 500mm" xfId="4389"/>
    <cellStyle name="_Table_Matching PV Cashflows_actuate_cashflows staats" xfId="4390"/>
    <cellStyle name="_Table_Matching PV Cashflows_actuate_excess returns bm matching pf" xfId="4391"/>
    <cellStyle name="_Table_Matching PV Cashflows_actuate_ilb reeel only" xfId="4392"/>
    <cellStyle name="_Table_Matching PV Cashflows_actuate_nominale counterpart ilb" xfId="4393"/>
    <cellStyle name="_Table_Matching PV Cashflows_actuate_tijdseries" xfId="4394"/>
    <cellStyle name="_Table_Matching PV Cashflows_actuate_tijdseries 2" xfId="7182"/>
    <cellStyle name="_Table_Matching PV Cashflows_actuate_tijdseries_bei rates" xfId="6546"/>
    <cellStyle name="_Table_Matching PV Cashflows_actuate_tijdseries_par swap rates" xfId="5914"/>
    <cellStyle name="_Table_Matching PV Cashflows_actuate_vpv" xfId="4395"/>
    <cellStyle name="_Table_Matching PV Cashflows_actuate_vpv 2" xfId="7183"/>
    <cellStyle name="_Table_Matching PV Cashflows_actuate_vpv return serie" xfId="4396"/>
    <cellStyle name="_Table_Matching PV Cashflows_actuate_vpv return serie 2" xfId="7184"/>
    <cellStyle name="_Table_Matching PV Cashflows_actuate_vpv return serie_bei rates" xfId="6548"/>
    <cellStyle name="_Table_Matching PV Cashflows_actuate_vpv return serie_par swap rates" xfId="5916"/>
    <cellStyle name="_Table_Matching PV Cashflows_actuate_vpv_bei rates" xfId="6547"/>
    <cellStyle name="_Table_Matching PV Cashflows_actuate_vpv_par swap rates" xfId="5915"/>
    <cellStyle name="_Table_Matching PV Cashflows_beleggingen" xfId="4397"/>
    <cellStyle name="_Table_Matching PV Cashflows_beleggingen 2" xfId="7185"/>
    <cellStyle name="_Table_Matching PV Cashflows_beleggingen_bei rates" xfId="6549"/>
    <cellStyle name="_Table_Matching PV Cashflows_beleggingen_par swap rates" xfId="5917"/>
    <cellStyle name="_Table_Matching PV Cashflows_cashflows corp" xfId="4398"/>
    <cellStyle name="_Table_Matching PV Cashflows_cashflows Gov't AAA" xfId="4399"/>
    <cellStyle name="_Table_Matching PV Cashflows_cashflows ilb" xfId="4400"/>
    <cellStyle name="_Table_Matching PV Cashflows_cashflows lang staats" xfId="4401"/>
    <cellStyle name="_Table_Matching PV Cashflows_cashflows pan european 500mm" xfId="4402"/>
    <cellStyle name="_Table_Matching PV Cashflows_cashflows staats" xfId="4403"/>
    <cellStyle name="_Table_Matching PV Cashflows_dv01" xfId="1003"/>
    <cellStyle name="_Table_Matching PV Cashflows_excess returns bm matching pf" xfId="4404"/>
    <cellStyle name="_Table_Matching PV Cashflows_feitelijk rendement" xfId="4405"/>
    <cellStyle name="_Table_Matching PV Cashflows_feitelijk rendement 2" xfId="7186"/>
    <cellStyle name="_Table_Matching PV Cashflows_feitelijk rendement_bei rates" xfId="6550"/>
    <cellStyle name="_Table_Matching PV Cashflows_feitelijk rendement_par swap rates" xfId="5918"/>
    <cellStyle name="_Table_Matching PV Cashflows_ilb reeel only" xfId="4406"/>
    <cellStyle name="_Table_Matching PV Cashflows_nominale counterpart ilb" xfId="4407"/>
    <cellStyle name="_Table_Matching PV Cashflows_tijdseries" xfId="4408"/>
    <cellStyle name="_Table_Matching PV Cashflows_tijdseries 2" xfId="7187"/>
    <cellStyle name="_Table_Matching PV Cashflows_tijdseries_bei rates" xfId="6551"/>
    <cellStyle name="_Table_Matching PV Cashflows_tijdseries_par swap rates" xfId="5919"/>
    <cellStyle name="_Table_Matching PV Cashflows_vpv" xfId="4409"/>
    <cellStyle name="_Table_Matching PV Cashflows_vpv 2" xfId="7188"/>
    <cellStyle name="_Table_Matching PV Cashflows_vpv return serie" xfId="4410"/>
    <cellStyle name="_Table_Matching PV Cashflows_vpv return serie 2" xfId="7189"/>
    <cellStyle name="_Table_Matching PV Cashflows_vpv return serie_bei rates" xfId="6553"/>
    <cellStyle name="_Table_Matching PV Cashflows_vpv return serie_par swap rates" xfId="5921"/>
    <cellStyle name="_Table_Matching PV Cashflows_vpv_bei rates" xfId="6552"/>
    <cellStyle name="_Table_Matching PV Cashflows_vpv_par swap rates" xfId="5920"/>
    <cellStyle name="_Table_ModelSetup" xfId="1004"/>
    <cellStyle name="_Table_ModelSetup 2" xfId="3384"/>
    <cellStyle name="_Table_ModelSetup 3" xfId="2258"/>
    <cellStyle name="_Table_ModelSetup_actuate" xfId="1005"/>
    <cellStyle name="_Table_ModelSetup_actuate 2" xfId="3385"/>
    <cellStyle name="_Table_ModelSetup_actuate 3" xfId="2259"/>
    <cellStyle name="_Table_ModelSetup_actuate_cashflows corp" xfId="4411"/>
    <cellStyle name="_Table_ModelSetup_actuate_cashflows Gov't AAA" xfId="4412"/>
    <cellStyle name="_Table_ModelSetup_actuate_cashflows ilb" xfId="4413"/>
    <cellStyle name="_Table_ModelSetup_actuate_cashflows lang staats" xfId="4414"/>
    <cellStyle name="_Table_ModelSetup_actuate_cashflows pan european 500mm" xfId="4415"/>
    <cellStyle name="_Table_ModelSetup_actuate_cashflows staats" xfId="4416"/>
    <cellStyle name="_Table_ModelSetup_actuate_excess returns bm matching pf" xfId="4417"/>
    <cellStyle name="_Table_ModelSetup_actuate_ilb reeel only" xfId="4418"/>
    <cellStyle name="_Table_ModelSetup_actuate_nominale counterpart ilb" xfId="4419"/>
    <cellStyle name="_Table_ModelSetup_actuate_tijdseries" xfId="4420"/>
    <cellStyle name="_Table_ModelSetup_actuate_tijdseries 2" xfId="7190"/>
    <cellStyle name="_Table_ModelSetup_actuate_tijdseries_bei rates" xfId="6554"/>
    <cellStyle name="_Table_ModelSetup_actuate_tijdseries_par swap rates" xfId="5922"/>
    <cellStyle name="_Table_ModelSetup_actuate_vpv" xfId="4421"/>
    <cellStyle name="_Table_ModelSetup_actuate_vpv 2" xfId="7191"/>
    <cellStyle name="_Table_ModelSetup_actuate_vpv return serie" xfId="4422"/>
    <cellStyle name="_Table_ModelSetup_actuate_vpv return serie 2" xfId="7192"/>
    <cellStyle name="_Table_ModelSetup_actuate_vpv return serie_bei rates" xfId="6556"/>
    <cellStyle name="_Table_ModelSetup_actuate_vpv return serie_par swap rates" xfId="5924"/>
    <cellStyle name="_Table_ModelSetup_actuate_vpv_bei rates" xfId="6555"/>
    <cellStyle name="_Table_ModelSetup_actuate_vpv_par swap rates" xfId="5923"/>
    <cellStyle name="_Table_ModelSetup_beleggingen" xfId="4423"/>
    <cellStyle name="_Table_ModelSetup_beleggingen 2" xfId="7193"/>
    <cellStyle name="_Table_ModelSetup_beleggingen_bei rates" xfId="6557"/>
    <cellStyle name="_Table_ModelSetup_beleggingen_par swap rates" xfId="5925"/>
    <cellStyle name="_Table_ModelSetup_cashflows corp" xfId="4424"/>
    <cellStyle name="_Table_ModelSetup_cashflows Gov't AAA" xfId="4425"/>
    <cellStyle name="_Table_ModelSetup_cashflows ilb" xfId="4426"/>
    <cellStyle name="_Table_ModelSetup_cashflows lang staats" xfId="4427"/>
    <cellStyle name="_Table_ModelSetup_cashflows pan european 500mm" xfId="4428"/>
    <cellStyle name="_Table_ModelSetup_cashflows staats" xfId="4429"/>
    <cellStyle name="_Table_ModelSetup_dv01" xfId="1006"/>
    <cellStyle name="_Table_ModelSetup_excess returns bm matching pf" xfId="4430"/>
    <cellStyle name="_Table_ModelSetup_feitelijk rendement" xfId="4431"/>
    <cellStyle name="_Table_ModelSetup_feitelijk rendement 2" xfId="7194"/>
    <cellStyle name="_Table_ModelSetup_feitelijk rendement_bei rates" xfId="6558"/>
    <cellStyle name="_Table_ModelSetup_feitelijk rendement_par swap rates" xfId="5926"/>
    <cellStyle name="_Table_ModelSetup_ilb reeel only" xfId="4432"/>
    <cellStyle name="_Table_ModelSetup_nominale counterpart ilb" xfId="4433"/>
    <cellStyle name="_Table_ModelSetup_tijdseries" xfId="4434"/>
    <cellStyle name="_Table_ModelSetup_tijdseries 2" xfId="7195"/>
    <cellStyle name="_Table_ModelSetup_tijdseries_bei rates" xfId="6559"/>
    <cellStyle name="_Table_ModelSetup_tijdseries_par swap rates" xfId="5927"/>
    <cellStyle name="_Table_ModelSetup_vpv" xfId="4435"/>
    <cellStyle name="_Table_ModelSetup_vpv 2" xfId="7196"/>
    <cellStyle name="_Table_ModelSetup_vpv return serie" xfId="4436"/>
    <cellStyle name="_Table_ModelSetup_vpv return serie 2" xfId="7197"/>
    <cellStyle name="_Table_ModelSetup_vpv return serie_bei rates" xfId="6561"/>
    <cellStyle name="_Table_ModelSetup_vpv return serie_par swap rates" xfId="5929"/>
    <cellStyle name="_Table_ModelSetup_vpv_bei rates" xfId="6560"/>
    <cellStyle name="_Table_ModelSetup_vpv_par swap rates" xfId="5928"/>
    <cellStyle name="_Table_PME Swaps" xfId="1007"/>
    <cellStyle name="_Table_Pricer" xfId="1008"/>
    <cellStyle name="_Table_Pricer 2" xfId="3388"/>
    <cellStyle name="_Table_Pricer 3" xfId="2260"/>
    <cellStyle name="_Table_Pricer_actuate" xfId="1009"/>
    <cellStyle name="_Table_Pricer_actuate 2" xfId="3389"/>
    <cellStyle name="_Table_Pricer_actuate 3" xfId="2261"/>
    <cellStyle name="_Table_Pricer_actuate_cashflows corp" xfId="4437"/>
    <cellStyle name="_Table_Pricer_actuate_cashflows Gov't AAA" xfId="4438"/>
    <cellStyle name="_Table_Pricer_actuate_cashflows ilb" xfId="4439"/>
    <cellStyle name="_Table_Pricer_actuate_cashflows lang staats" xfId="4440"/>
    <cellStyle name="_Table_Pricer_actuate_cashflows pan european 500mm" xfId="4441"/>
    <cellStyle name="_Table_Pricer_actuate_cashflows staats" xfId="4442"/>
    <cellStyle name="_Table_Pricer_actuate_excess returns bm matching pf" xfId="4443"/>
    <cellStyle name="_Table_Pricer_actuate_ilb reeel only" xfId="4444"/>
    <cellStyle name="_Table_Pricer_actuate_nominale counterpart ilb" xfId="4445"/>
    <cellStyle name="_Table_Pricer_actuate_tijdseries" xfId="4446"/>
    <cellStyle name="_Table_Pricer_actuate_tijdseries 2" xfId="7198"/>
    <cellStyle name="_Table_Pricer_actuate_tijdseries_bei rates" xfId="6562"/>
    <cellStyle name="_Table_Pricer_actuate_tijdseries_par swap rates" xfId="5930"/>
    <cellStyle name="_Table_Pricer_actuate_vpv" xfId="4447"/>
    <cellStyle name="_Table_Pricer_actuate_vpv 2" xfId="7199"/>
    <cellStyle name="_Table_Pricer_actuate_vpv return serie" xfId="4448"/>
    <cellStyle name="_Table_Pricer_actuate_vpv return serie 2" xfId="7200"/>
    <cellStyle name="_Table_Pricer_actuate_vpv return serie_bei rates" xfId="6564"/>
    <cellStyle name="_Table_Pricer_actuate_vpv return serie_par swap rates" xfId="5932"/>
    <cellStyle name="_Table_Pricer_actuate_vpv_bei rates" xfId="6563"/>
    <cellStyle name="_Table_Pricer_actuate_vpv_par swap rates" xfId="5931"/>
    <cellStyle name="_Table_Pricer_beleggingen" xfId="4449"/>
    <cellStyle name="_Table_Pricer_beleggingen 2" xfId="7201"/>
    <cellStyle name="_Table_Pricer_beleggingen_bei rates" xfId="6565"/>
    <cellStyle name="_Table_Pricer_beleggingen_par swap rates" xfId="5933"/>
    <cellStyle name="_Table_Pricer_cashflows corp" xfId="4450"/>
    <cellStyle name="_Table_Pricer_cashflows Gov't AAA" xfId="4451"/>
    <cellStyle name="_Table_Pricer_cashflows ilb" xfId="4452"/>
    <cellStyle name="_Table_Pricer_cashflows lang staats" xfId="4453"/>
    <cellStyle name="_Table_Pricer_cashflows pan european 500mm" xfId="4454"/>
    <cellStyle name="_Table_Pricer_cashflows staats" xfId="4455"/>
    <cellStyle name="_Table_Pricer_dv01" xfId="1010"/>
    <cellStyle name="_Table_Pricer_excess returns bm matching pf" xfId="4456"/>
    <cellStyle name="_Table_Pricer_feitelijk rendement" xfId="4457"/>
    <cellStyle name="_Table_Pricer_feitelijk rendement 2" xfId="7202"/>
    <cellStyle name="_Table_Pricer_feitelijk rendement_bei rates" xfId="6566"/>
    <cellStyle name="_Table_Pricer_feitelijk rendement_par swap rates" xfId="5934"/>
    <cellStyle name="_Table_Pricer_ilb reeel only" xfId="4458"/>
    <cellStyle name="_Table_Pricer_nominale counterpart ilb" xfId="4459"/>
    <cellStyle name="_Table_Pricer_tijdseries" xfId="4460"/>
    <cellStyle name="_Table_Pricer_tijdseries 2" xfId="7203"/>
    <cellStyle name="_Table_Pricer_tijdseries_bei rates" xfId="6567"/>
    <cellStyle name="_Table_Pricer_tijdseries_par swap rates" xfId="5935"/>
    <cellStyle name="_Table_Pricer_vpv" xfId="4461"/>
    <cellStyle name="_Table_Pricer_vpv 2" xfId="7204"/>
    <cellStyle name="_Table_Pricer_vpv return serie" xfId="4462"/>
    <cellStyle name="_Table_Pricer_vpv return serie 2" xfId="7205"/>
    <cellStyle name="_Table_Pricer_vpv return serie_bei rates" xfId="6569"/>
    <cellStyle name="_Table_Pricer_vpv return serie_par swap rates" xfId="5937"/>
    <cellStyle name="_Table_Pricer_vpv_bei rates" xfId="6568"/>
    <cellStyle name="_Table_Pricer_vpv_par swap rates" xfId="5936"/>
    <cellStyle name="_Table_Sheet1" xfId="1011"/>
    <cellStyle name="_Table_Sheet1 2" xfId="3391"/>
    <cellStyle name="_Table_Sheet1 3" xfId="2262"/>
    <cellStyle name="_Table_Sheet1_actuate" xfId="1012"/>
    <cellStyle name="_Table_Sheet1_actuate 2" xfId="3392"/>
    <cellStyle name="_Table_Sheet1_actuate 3" xfId="2263"/>
    <cellStyle name="_Table_Sheet1_actuate_cashflows corp" xfId="4463"/>
    <cellStyle name="_Table_Sheet1_actuate_cashflows Gov't AAA" xfId="4464"/>
    <cellStyle name="_Table_Sheet1_actuate_cashflows ilb" xfId="4465"/>
    <cellStyle name="_Table_Sheet1_actuate_cashflows lang staats" xfId="4466"/>
    <cellStyle name="_Table_Sheet1_actuate_cashflows pan european 500mm" xfId="4467"/>
    <cellStyle name="_Table_Sheet1_actuate_cashflows staats" xfId="4468"/>
    <cellStyle name="_Table_Sheet1_actuate_excess returns bm matching pf" xfId="4469"/>
    <cellStyle name="_Table_Sheet1_actuate_ilb reeel only" xfId="4470"/>
    <cellStyle name="_Table_Sheet1_actuate_nominale counterpart ilb" xfId="4471"/>
    <cellStyle name="_Table_Sheet1_actuate_tijdseries" xfId="4472"/>
    <cellStyle name="_Table_Sheet1_actuate_tijdseries 2" xfId="7206"/>
    <cellStyle name="_Table_Sheet1_actuate_tijdseries_bei rates" xfId="6570"/>
    <cellStyle name="_Table_Sheet1_actuate_tijdseries_par swap rates" xfId="5938"/>
    <cellStyle name="_Table_Sheet1_actuate_vpv" xfId="4473"/>
    <cellStyle name="_Table_Sheet1_actuate_vpv 2" xfId="7207"/>
    <cellStyle name="_Table_Sheet1_actuate_vpv return serie" xfId="4474"/>
    <cellStyle name="_Table_Sheet1_actuate_vpv return serie 2" xfId="7208"/>
    <cellStyle name="_Table_Sheet1_actuate_vpv return serie_bei rates" xfId="6572"/>
    <cellStyle name="_Table_Sheet1_actuate_vpv return serie_par swap rates" xfId="5940"/>
    <cellStyle name="_Table_Sheet1_actuate_vpv_bei rates" xfId="6571"/>
    <cellStyle name="_Table_Sheet1_actuate_vpv_par swap rates" xfId="5939"/>
    <cellStyle name="_Table_Sheet1_beleggingen" xfId="4475"/>
    <cellStyle name="_Table_Sheet1_beleggingen 2" xfId="7209"/>
    <cellStyle name="_Table_Sheet1_beleggingen_bei rates" xfId="6573"/>
    <cellStyle name="_Table_Sheet1_beleggingen_par swap rates" xfId="5941"/>
    <cellStyle name="_Table_Sheet1_cashflows corp" xfId="4476"/>
    <cellStyle name="_Table_Sheet1_cashflows Gov't AAA" xfId="4477"/>
    <cellStyle name="_Table_Sheet1_cashflows ilb" xfId="4478"/>
    <cellStyle name="_Table_Sheet1_cashflows lang staats" xfId="4479"/>
    <cellStyle name="_Table_Sheet1_cashflows pan european 500mm" xfId="4480"/>
    <cellStyle name="_Table_Sheet1_cashflows staats" xfId="4481"/>
    <cellStyle name="_Table_Sheet1_dv01" xfId="1013"/>
    <cellStyle name="_Table_Sheet1_excess returns bm matching pf" xfId="4482"/>
    <cellStyle name="_Table_Sheet1_feitelijk rendement" xfId="4483"/>
    <cellStyle name="_Table_Sheet1_feitelijk rendement 2" xfId="7210"/>
    <cellStyle name="_Table_Sheet1_feitelijk rendement_bei rates" xfId="6574"/>
    <cellStyle name="_Table_Sheet1_feitelijk rendement_par swap rates" xfId="5942"/>
    <cellStyle name="_Table_Sheet1_Gexa Multi Asset Path Generator" xfId="1014"/>
    <cellStyle name="_Table_Sheet1_ilb reeel only" xfId="4484"/>
    <cellStyle name="_Table_Sheet1_nominale counterpart ilb" xfId="4485"/>
    <cellStyle name="_Table_Sheet1_tijdseries" xfId="4486"/>
    <cellStyle name="_Table_Sheet1_tijdseries 2" xfId="7211"/>
    <cellStyle name="_Table_Sheet1_tijdseries_bei rates" xfId="6575"/>
    <cellStyle name="_Table_Sheet1_tijdseries_par swap rates" xfId="5943"/>
    <cellStyle name="_Table_Sheet1_vpv" xfId="4487"/>
    <cellStyle name="_Table_Sheet1_vpv 2" xfId="7212"/>
    <cellStyle name="_Table_Sheet1_vpv return serie" xfId="4488"/>
    <cellStyle name="_Table_Sheet1_vpv return serie 2" xfId="7213"/>
    <cellStyle name="_Table_Sheet1_vpv return serie_bei rates" xfId="6577"/>
    <cellStyle name="_Table_Sheet1_vpv return serie_par swap rates" xfId="5945"/>
    <cellStyle name="_Table_Sheet1_vpv_bei rates" xfId="6576"/>
    <cellStyle name="_Table_Sheet1_vpv_par swap rates" xfId="5944"/>
    <cellStyle name="_Table_SPP Values as at 12 June 05" xfId="1015"/>
    <cellStyle name="_Table_Tableau" xfId="1016"/>
    <cellStyle name="_Table_Tableau 2" xfId="3396"/>
    <cellStyle name="_Table_Tableau 3" xfId="2264"/>
    <cellStyle name="_Table_Tableau_actuate" xfId="1017"/>
    <cellStyle name="_Table_Tableau_actuate 2" xfId="3397"/>
    <cellStyle name="_Table_Tableau_actuate 3" xfId="2265"/>
    <cellStyle name="_Table_Tableau_actuate_cashflows corp" xfId="4489"/>
    <cellStyle name="_Table_Tableau_actuate_cashflows Gov't AAA" xfId="4490"/>
    <cellStyle name="_Table_Tableau_actuate_cashflows ilb" xfId="4491"/>
    <cellStyle name="_Table_Tableau_actuate_cashflows lang staats" xfId="4492"/>
    <cellStyle name="_Table_Tableau_actuate_cashflows pan european 500mm" xfId="4493"/>
    <cellStyle name="_Table_Tableau_actuate_cashflows staats" xfId="4494"/>
    <cellStyle name="_Table_Tableau_actuate_excess returns bm matching pf" xfId="4495"/>
    <cellStyle name="_Table_Tableau_actuate_ilb reeel only" xfId="4496"/>
    <cellStyle name="_Table_Tableau_actuate_nominale counterpart ilb" xfId="4497"/>
    <cellStyle name="_Table_Tableau_actuate_tijdseries" xfId="4498"/>
    <cellStyle name="_Table_Tableau_actuate_tijdseries 2" xfId="7214"/>
    <cellStyle name="_Table_Tableau_actuate_tijdseries_bei rates" xfId="6578"/>
    <cellStyle name="_Table_Tableau_actuate_tijdseries_par swap rates" xfId="5946"/>
    <cellStyle name="_Table_Tableau_actuate_vpv" xfId="4499"/>
    <cellStyle name="_Table_Tableau_actuate_vpv 2" xfId="7215"/>
    <cellStyle name="_Table_Tableau_actuate_vpv return serie" xfId="4500"/>
    <cellStyle name="_Table_Tableau_actuate_vpv return serie 2" xfId="7216"/>
    <cellStyle name="_Table_Tableau_actuate_vpv return serie_bei rates" xfId="6580"/>
    <cellStyle name="_Table_Tableau_actuate_vpv return serie_par swap rates" xfId="5948"/>
    <cellStyle name="_Table_Tableau_actuate_vpv_bei rates" xfId="6579"/>
    <cellStyle name="_Table_Tableau_actuate_vpv_par swap rates" xfId="5947"/>
    <cellStyle name="_Table_Tableau_beleggingen" xfId="4501"/>
    <cellStyle name="_Table_Tableau_beleggingen 2" xfId="7217"/>
    <cellStyle name="_Table_Tableau_beleggingen_bei rates" xfId="6581"/>
    <cellStyle name="_Table_Tableau_beleggingen_par swap rates" xfId="5949"/>
    <cellStyle name="_Table_Tableau_cashflows corp" xfId="4502"/>
    <cellStyle name="_Table_Tableau_cashflows Gov't AAA" xfId="4503"/>
    <cellStyle name="_Table_Tableau_cashflows ilb" xfId="4504"/>
    <cellStyle name="_Table_Tableau_cashflows lang staats" xfId="4505"/>
    <cellStyle name="_Table_Tableau_cashflows pan european 500mm" xfId="4506"/>
    <cellStyle name="_Table_Tableau_cashflows staats" xfId="4507"/>
    <cellStyle name="_Table_Tableau_dv01" xfId="1018"/>
    <cellStyle name="_Table_Tableau_excess returns bm matching pf" xfId="4508"/>
    <cellStyle name="_Table_Tableau_feitelijk rendement" xfId="4509"/>
    <cellStyle name="_Table_Tableau_feitelijk rendement 2" xfId="7218"/>
    <cellStyle name="_Table_Tableau_feitelijk rendement_bei rates" xfId="6582"/>
    <cellStyle name="_Table_Tableau_feitelijk rendement_par swap rates" xfId="5950"/>
    <cellStyle name="_Table_Tableau_ilb reeel only" xfId="4510"/>
    <cellStyle name="_Table_Tableau_nominale counterpart ilb" xfId="4511"/>
    <cellStyle name="_Table_Tableau_tijdseries" xfId="4512"/>
    <cellStyle name="_Table_Tableau_tijdseries 2" xfId="7219"/>
    <cellStyle name="_Table_Tableau_tijdseries_bei rates" xfId="6583"/>
    <cellStyle name="_Table_Tableau_tijdseries_par swap rates" xfId="5951"/>
    <cellStyle name="_Table_Tableau_vpv" xfId="4513"/>
    <cellStyle name="_Table_Tableau_vpv 2" xfId="7220"/>
    <cellStyle name="_Table_Tableau_vpv return serie" xfId="4514"/>
    <cellStyle name="_Table_Tableau_vpv return serie 2" xfId="7221"/>
    <cellStyle name="_Table_Tableau_vpv return serie_bei rates" xfId="6585"/>
    <cellStyle name="_Table_Tableau_vpv return serie_par swap rates" xfId="5953"/>
    <cellStyle name="_Table_Tableau_vpv_bei rates" xfId="6584"/>
    <cellStyle name="_Table_Tableau_vpv_par swap rates" xfId="5952"/>
    <cellStyle name="_TableHead" xfId="1019"/>
    <cellStyle name="_TableHead_allocatie" xfId="1020"/>
    <cellStyle name="_TableHead_allocatie 2" xfId="3400"/>
    <cellStyle name="_TableHead_allocatie 3" xfId="2266"/>
    <cellStyle name="_TableHead_allocatie_actuate" xfId="1021"/>
    <cellStyle name="_TableHead_allocatie_actuate 2" xfId="3401"/>
    <cellStyle name="_TableHead_allocatie_actuate 3" xfId="2267"/>
    <cellStyle name="_TableHead_allocatie_actuate_cashflows corp" xfId="4515"/>
    <cellStyle name="_TableHead_allocatie_actuate_cashflows Gov't AAA" xfId="4516"/>
    <cellStyle name="_TableHead_allocatie_actuate_cashflows ilb" xfId="4517"/>
    <cellStyle name="_TableHead_allocatie_actuate_cashflows lang staats" xfId="4518"/>
    <cellStyle name="_TableHead_allocatie_actuate_cashflows pan european 500mm" xfId="4519"/>
    <cellStyle name="_TableHead_allocatie_actuate_cashflows staats" xfId="4520"/>
    <cellStyle name="_TableHead_allocatie_actuate_excess returns bm matching pf" xfId="4521"/>
    <cellStyle name="_TableHead_allocatie_actuate_ilb reeel only" xfId="4522"/>
    <cellStyle name="_TableHead_allocatie_actuate_nominale counterpart ilb" xfId="4523"/>
    <cellStyle name="_TableHead_allocatie_actuate_tijdseries" xfId="4524"/>
    <cellStyle name="_TableHead_allocatie_actuate_tijdseries 2" xfId="7222"/>
    <cellStyle name="_TableHead_allocatie_actuate_tijdseries_bei rates" xfId="6586"/>
    <cellStyle name="_TableHead_allocatie_actuate_tijdseries_par swap rates" xfId="5954"/>
    <cellStyle name="_TableHead_allocatie_actuate_vpv" xfId="4525"/>
    <cellStyle name="_TableHead_allocatie_actuate_vpv 2" xfId="7223"/>
    <cellStyle name="_TableHead_allocatie_actuate_vpv return serie" xfId="4526"/>
    <cellStyle name="_TableHead_allocatie_actuate_vpv return serie 2" xfId="7224"/>
    <cellStyle name="_TableHead_allocatie_actuate_vpv return serie_bei rates" xfId="6588"/>
    <cellStyle name="_TableHead_allocatie_actuate_vpv return serie_par swap rates" xfId="5956"/>
    <cellStyle name="_TableHead_allocatie_actuate_vpv_bei rates" xfId="6587"/>
    <cellStyle name="_TableHead_allocatie_actuate_vpv_par swap rates" xfId="5955"/>
    <cellStyle name="_TableHead_allocatie_beleggingen" xfId="4527"/>
    <cellStyle name="_TableHead_allocatie_beleggingen 2" xfId="7225"/>
    <cellStyle name="_TableHead_allocatie_beleggingen_bei rates" xfId="6589"/>
    <cellStyle name="_TableHead_allocatie_beleggingen_par swap rates" xfId="5957"/>
    <cellStyle name="_TableHead_allocatie_cashflows corp" xfId="4528"/>
    <cellStyle name="_TableHead_allocatie_cashflows Gov't AAA" xfId="4529"/>
    <cellStyle name="_TableHead_allocatie_cashflows ilb" xfId="4530"/>
    <cellStyle name="_TableHead_allocatie_cashflows lang staats" xfId="4531"/>
    <cellStyle name="_TableHead_allocatie_cashflows pan european 500mm" xfId="4532"/>
    <cellStyle name="_TableHead_allocatie_cashflows staats" xfId="4533"/>
    <cellStyle name="_TableHead_allocatie_dv01" xfId="1022"/>
    <cellStyle name="_TableHead_allocatie_excess returns bm matching pf" xfId="4534"/>
    <cellStyle name="_TableHead_allocatie_feitelijk rendement" xfId="4535"/>
    <cellStyle name="_TableHead_allocatie_feitelijk rendement 2" xfId="7226"/>
    <cellStyle name="_TableHead_allocatie_feitelijk rendement_bei rates" xfId="6590"/>
    <cellStyle name="_TableHead_allocatie_feitelijk rendement_par swap rates" xfId="5958"/>
    <cellStyle name="_TableHead_allocatie_ilb reeel only" xfId="4536"/>
    <cellStyle name="_TableHead_allocatie_nominale counterpart ilb" xfId="4537"/>
    <cellStyle name="_TableHead_allocatie_tijdseries" xfId="4538"/>
    <cellStyle name="_TableHead_allocatie_tijdseries 2" xfId="7227"/>
    <cellStyle name="_TableHead_allocatie_tijdseries_bei rates" xfId="6591"/>
    <cellStyle name="_TableHead_allocatie_tijdseries_par swap rates" xfId="5959"/>
    <cellStyle name="_TableHead_allocatie_vpv" xfId="4539"/>
    <cellStyle name="_TableHead_allocatie_vpv 2" xfId="7228"/>
    <cellStyle name="_TableHead_allocatie_vpv return serie" xfId="4540"/>
    <cellStyle name="_TableHead_allocatie_vpv return serie 2" xfId="7229"/>
    <cellStyle name="_TableHead_allocatie_vpv return serie_bei rates" xfId="6593"/>
    <cellStyle name="_TableHead_allocatie_vpv return serie_par swap rates" xfId="5961"/>
    <cellStyle name="_TableHead_allocatie_vpv_bei rates" xfId="6592"/>
    <cellStyle name="_TableHead_allocatie_vpv_par swap rates" xfId="5960"/>
    <cellStyle name="_TableHead_Asset Cashflows" xfId="1023"/>
    <cellStyle name="_TableHead_Asset Cashflows 2" xfId="3403"/>
    <cellStyle name="_TableHead_Asset Cashflows 3" xfId="2268"/>
    <cellStyle name="_TableHead_Asset Cashflows_actuate" xfId="1024"/>
    <cellStyle name="_TableHead_Asset Cashflows_actuate 2" xfId="3404"/>
    <cellStyle name="_TableHead_Asset Cashflows_actuate 3" xfId="2269"/>
    <cellStyle name="_TableHead_Asset Cashflows_actuate_cashflows corp" xfId="4541"/>
    <cellStyle name="_TableHead_Asset Cashflows_actuate_cashflows Gov't AAA" xfId="4542"/>
    <cellStyle name="_TableHead_Asset Cashflows_actuate_cashflows ilb" xfId="4543"/>
    <cellStyle name="_TableHead_Asset Cashflows_actuate_cashflows lang staats" xfId="4544"/>
    <cellStyle name="_TableHead_Asset Cashflows_actuate_cashflows pan european 500mm" xfId="4545"/>
    <cellStyle name="_TableHead_Asset Cashflows_actuate_cashflows staats" xfId="4546"/>
    <cellStyle name="_TableHead_Asset Cashflows_actuate_excess returns bm matching pf" xfId="4547"/>
    <cellStyle name="_TableHead_Asset Cashflows_actuate_ilb reeel only" xfId="4548"/>
    <cellStyle name="_TableHead_Asset Cashflows_actuate_nominale counterpart ilb" xfId="4549"/>
    <cellStyle name="_TableHead_Asset Cashflows_actuate_tijdseries" xfId="4550"/>
    <cellStyle name="_TableHead_Asset Cashflows_actuate_tijdseries 2" xfId="7230"/>
    <cellStyle name="_TableHead_Asset Cashflows_actuate_tijdseries_bei rates" xfId="6594"/>
    <cellStyle name="_TableHead_Asset Cashflows_actuate_tijdseries_par swap rates" xfId="5962"/>
    <cellStyle name="_TableHead_Asset Cashflows_actuate_vpv" xfId="4551"/>
    <cellStyle name="_TableHead_Asset Cashflows_actuate_vpv 2" xfId="7231"/>
    <cellStyle name="_TableHead_Asset Cashflows_actuate_vpv return serie" xfId="4552"/>
    <cellStyle name="_TableHead_Asset Cashflows_actuate_vpv return serie 2" xfId="7232"/>
    <cellStyle name="_TableHead_Asset Cashflows_actuate_vpv return serie_bei rates" xfId="6596"/>
    <cellStyle name="_TableHead_Asset Cashflows_actuate_vpv return serie_par swap rates" xfId="5964"/>
    <cellStyle name="_TableHead_Asset Cashflows_actuate_vpv_bei rates" xfId="6595"/>
    <cellStyle name="_TableHead_Asset Cashflows_actuate_vpv_par swap rates" xfId="5963"/>
    <cellStyle name="_TableHead_Asset Cashflows_beleggingen" xfId="4553"/>
    <cellStyle name="_TableHead_Asset Cashflows_beleggingen 2" xfId="7233"/>
    <cellStyle name="_TableHead_Asset Cashflows_beleggingen_bei rates" xfId="6597"/>
    <cellStyle name="_TableHead_Asset Cashflows_beleggingen_par swap rates" xfId="5965"/>
    <cellStyle name="_TableHead_Asset Cashflows_cashflows corp" xfId="4554"/>
    <cellStyle name="_TableHead_Asset Cashflows_cashflows Gov't AAA" xfId="4555"/>
    <cellStyle name="_TableHead_Asset Cashflows_cashflows ilb" xfId="4556"/>
    <cellStyle name="_TableHead_Asset Cashflows_cashflows lang staats" xfId="4557"/>
    <cellStyle name="_TableHead_Asset Cashflows_cashflows pan european 500mm" xfId="4558"/>
    <cellStyle name="_TableHead_Asset Cashflows_cashflows staats" xfId="4559"/>
    <cellStyle name="_TableHead_Asset Cashflows_dv01" xfId="1025"/>
    <cellStyle name="_TableHead_Asset Cashflows_excess returns bm matching pf" xfId="4560"/>
    <cellStyle name="_TableHead_Asset Cashflows_feitelijk rendement" xfId="4561"/>
    <cellStyle name="_TableHead_Asset Cashflows_feitelijk rendement 2" xfId="7234"/>
    <cellStyle name="_TableHead_Asset Cashflows_feitelijk rendement_bei rates" xfId="6598"/>
    <cellStyle name="_TableHead_Asset Cashflows_feitelijk rendement_par swap rates" xfId="5966"/>
    <cellStyle name="_TableHead_Asset Cashflows_ilb reeel only" xfId="4562"/>
    <cellStyle name="_TableHead_Asset Cashflows_nominale counterpart ilb" xfId="4563"/>
    <cellStyle name="_TableHead_Asset Cashflows_tijdseries" xfId="4564"/>
    <cellStyle name="_TableHead_Asset Cashflows_tijdseries 2" xfId="7235"/>
    <cellStyle name="_TableHead_Asset Cashflows_tijdseries_bei rates" xfId="6599"/>
    <cellStyle name="_TableHead_Asset Cashflows_tijdseries_par swap rates" xfId="5967"/>
    <cellStyle name="_TableHead_Asset Cashflows_vpv" xfId="4565"/>
    <cellStyle name="_TableHead_Asset Cashflows_vpv 2" xfId="7236"/>
    <cellStyle name="_TableHead_Asset Cashflows_vpv return serie" xfId="4566"/>
    <cellStyle name="_TableHead_Asset Cashflows_vpv return serie 2" xfId="7237"/>
    <cellStyle name="_TableHead_Asset Cashflows_vpv return serie_bei rates" xfId="6601"/>
    <cellStyle name="_TableHead_Asset Cashflows_vpv return serie_par swap rates" xfId="5969"/>
    <cellStyle name="_TableHead_Asset Cashflows_vpv_bei rates" xfId="6600"/>
    <cellStyle name="_TableHead_Asset Cashflows_vpv_par swap rates" xfId="5968"/>
    <cellStyle name="_TableHead_CashFlows " xfId="1026"/>
    <cellStyle name="_TableHead_CashFlows  2" xfId="3406"/>
    <cellStyle name="_TableHead_CashFlows  3" xfId="2270"/>
    <cellStyle name="_TableHead_CashFlows _actuate" xfId="1027"/>
    <cellStyle name="_TableHead_CashFlows _actuate 2" xfId="3407"/>
    <cellStyle name="_TableHead_CashFlows _actuate 3" xfId="2271"/>
    <cellStyle name="_TableHead_CashFlows _actuate_cashflows corp" xfId="4567"/>
    <cellStyle name="_TableHead_CashFlows _actuate_cashflows Gov't AAA" xfId="4568"/>
    <cellStyle name="_TableHead_CashFlows _actuate_cashflows ilb" xfId="4569"/>
    <cellStyle name="_TableHead_CashFlows _actuate_cashflows lang staats" xfId="4570"/>
    <cellStyle name="_TableHead_CashFlows _actuate_cashflows pan european 500mm" xfId="4571"/>
    <cellStyle name="_TableHead_CashFlows _actuate_cashflows staats" xfId="4572"/>
    <cellStyle name="_TableHead_CashFlows _actuate_excess returns bm matching pf" xfId="4573"/>
    <cellStyle name="_TableHead_CashFlows _actuate_ilb reeel only" xfId="4574"/>
    <cellStyle name="_TableHead_CashFlows _actuate_nominale counterpart ilb" xfId="4575"/>
    <cellStyle name="_TableHead_CashFlows _actuate_tijdseries" xfId="4576"/>
    <cellStyle name="_TableHead_CashFlows _actuate_tijdseries 2" xfId="7238"/>
    <cellStyle name="_TableHead_CashFlows _actuate_tijdseries_bei rates" xfId="6602"/>
    <cellStyle name="_TableHead_CashFlows _actuate_tijdseries_par swap rates" xfId="5970"/>
    <cellStyle name="_TableHead_CashFlows _actuate_vpv" xfId="4577"/>
    <cellStyle name="_TableHead_CashFlows _actuate_vpv 2" xfId="7239"/>
    <cellStyle name="_TableHead_CashFlows _actuate_vpv return serie" xfId="4578"/>
    <cellStyle name="_TableHead_CashFlows _actuate_vpv return serie 2" xfId="7240"/>
    <cellStyle name="_TableHead_CashFlows _actuate_vpv return serie_bei rates" xfId="6604"/>
    <cellStyle name="_TableHead_CashFlows _actuate_vpv return serie_par swap rates" xfId="5972"/>
    <cellStyle name="_TableHead_CashFlows _actuate_vpv_bei rates" xfId="6603"/>
    <cellStyle name="_TableHead_CashFlows _actuate_vpv_par swap rates" xfId="5971"/>
    <cellStyle name="_TableHead_CashFlows _beleggingen" xfId="4579"/>
    <cellStyle name="_TableHead_CashFlows _beleggingen 2" xfId="7241"/>
    <cellStyle name="_TableHead_CashFlows _beleggingen_bei rates" xfId="6605"/>
    <cellStyle name="_TableHead_CashFlows _beleggingen_par swap rates" xfId="5973"/>
    <cellStyle name="_TableHead_CashFlows _cashflows corp" xfId="4580"/>
    <cellStyle name="_TableHead_CashFlows _cashflows Gov't AAA" xfId="4581"/>
    <cellStyle name="_TableHead_CashFlows _cashflows ilb" xfId="4582"/>
    <cellStyle name="_TableHead_CashFlows _cashflows lang staats" xfId="4583"/>
    <cellStyle name="_TableHead_CashFlows _cashflows pan european 500mm" xfId="4584"/>
    <cellStyle name="_TableHead_CashFlows _cashflows staats" xfId="4585"/>
    <cellStyle name="_TableHead_CashFlows _dv01" xfId="1028"/>
    <cellStyle name="_TableHead_CashFlows _excess returns bm matching pf" xfId="4586"/>
    <cellStyle name="_TableHead_CashFlows _feitelijk rendement" xfId="4587"/>
    <cellStyle name="_TableHead_CashFlows _feitelijk rendement 2" xfId="7242"/>
    <cellStyle name="_TableHead_CashFlows _feitelijk rendement_bei rates" xfId="6606"/>
    <cellStyle name="_TableHead_CashFlows _feitelijk rendement_par swap rates" xfId="5974"/>
    <cellStyle name="_TableHead_CashFlows _ilb reeel only" xfId="4588"/>
    <cellStyle name="_TableHead_CashFlows _nominale counterpart ilb" xfId="4589"/>
    <cellStyle name="_TableHead_CashFlows _tijdseries" xfId="4590"/>
    <cellStyle name="_TableHead_CashFlows _tijdseries 2" xfId="7243"/>
    <cellStyle name="_TableHead_CashFlows _tijdseries_bei rates" xfId="6607"/>
    <cellStyle name="_TableHead_CashFlows _tijdseries_par swap rates" xfId="5975"/>
    <cellStyle name="_TableHead_CashFlows _vpv" xfId="4591"/>
    <cellStyle name="_TableHead_CashFlows _vpv 2" xfId="7244"/>
    <cellStyle name="_TableHead_CashFlows _vpv return serie" xfId="4592"/>
    <cellStyle name="_TableHead_CashFlows _vpv return serie 2" xfId="7245"/>
    <cellStyle name="_TableHead_CashFlows _vpv return serie_bei rates" xfId="6609"/>
    <cellStyle name="_TableHead_CashFlows _vpv return serie_par swap rates" xfId="5977"/>
    <cellStyle name="_TableHead_CashFlows _vpv_bei rates" xfId="6608"/>
    <cellStyle name="_TableHead_CashFlows _vpv_par swap rates" xfId="5976"/>
    <cellStyle name="_TableHead_Combined CashFlows" xfId="1029"/>
    <cellStyle name="_TableHead_Combined CashFlows 2" xfId="3409"/>
    <cellStyle name="_TableHead_Combined CashFlows 3" xfId="2272"/>
    <cellStyle name="_TableHead_Combined CashFlows_actuate" xfId="1030"/>
    <cellStyle name="_TableHead_Combined CashFlows_actuate 2" xfId="3410"/>
    <cellStyle name="_TableHead_Combined CashFlows_actuate 3" xfId="2273"/>
    <cellStyle name="_TableHead_Combined CashFlows_actuate_cashflows corp" xfId="4593"/>
    <cellStyle name="_TableHead_Combined CashFlows_actuate_cashflows Gov't AAA" xfId="4594"/>
    <cellStyle name="_TableHead_Combined CashFlows_actuate_cashflows ilb" xfId="4595"/>
    <cellStyle name="_TableHead_Combined CashFlows_actuate_cashflows lang staats" xfId="4596"/>
    <cellStyle name="_TableHead_Combined CashFlows_actuate_cashflows pan european 500mm" xfId="4597"/>
    <cellStyle name="_TableHead_Combined CashFlows_actuate_cashflows staats" xfId="4598"/>
    <cellStyle name="_TableHead_Combined CashFlows_actuate_excess returns bm matching pf" xfId="4599"/>
    <cellStyle name="_TableHead_Combined CashFlows_actuate_ilb reeel only" xfId="4600"/>
    <cellStyle name="_TableHead_Combined CashFlows_actuate_nominale counterpart ilb" xfId="4601"/>
    <cellStyle name="_TableHead_Combined CashFlows_actuate_tijdseries" xfId="4602"/>
    <cellStyle name="_TableHead_Combined CashFlows_actuate_tijdseries 2" xfId="7246"/>
    <cellStyle name="_TableHead_Combined CashFlows_actuate_tijdseries_bei rates" xfId="6610"/>
    <cellStyle name="_TableHead_Combined CashFlows_actuate_tijdseries_par swap rates" xfId="5978"/>
    <cellStyle name="_TableHead_Combined CashFlows_actuate_vpv" xfId="4603"/>
    <cellStyle name="_TableHead_Combined CashFlows_actuate_vpv 2" xfId="7247"/>
    <cellStyle name="_TableHead_Combined CashFlows_actuate_vpv return serie" xfId="4604"/>
    <cellStyle name="_TableHead_Combined CashFlows_actuate_vpv return serie 2" xfId="7248"/>
    <cellStyle name="_TableHead_Combined CashFlows_actuate_vpv return serie_bei rates" xfId="6612"/>
    <cellStyle name="_TableHead_Combined CashFlows_actuate_vpv return serie_par swap rates" xfId="5980"/>
    <cellStyle name="_TableHead_Combined CashFlows_actuate_vpv_bei rates" xfId="6611"/>
    <cellStyle name="_TableHead_Combined CashFlows_actuate_vpv_par swap rates" xfId="5979"/>
    <cellStyle name="_TableHead_Combined CashFlows_beleggingen" xfId="4605"/>
    <cellStyle name="_TableHead_Combined CashFlows_beleggingen 2" xfId="7249"/>
    <cellStyle name="_TableHead_Combined CashFlows_beleggingen_bei rates" xfId="6613"/>
    <cellStyle name="_TableHead_Combined CashFlows_beleggingen_par swap rates" xfId="5981"/>
    <cellStyle name="_TableHead_Combined CashFlows_cashflows corp" xfId="4606"/>
    <cellStyle name="_TableHead_Combined CashFlows_cashflows Gov't AAA" xfId="4607"/>
    <cellStyle name="_TableHead_Combined CashFlows_cashflows ilb" xfId="4608"/>
    <cellStyle name="_TableHead_Combined CashFlows_cashflows lang staats" xfId="4609"/>
    <cellStyle name="_TableHead_Combined CashFlows_cashflows pan european 500mm" xfId="4610"/>
    <cellStyle name="_TableHead_Combined CashFlows_cashflows staats" xfId="4611"/>
    <cellStyle name="_TableHead_Combined CashFlows_dv01" xfId="1031"/>
    <cellStyle name="_TableHead_Combined CashFlows_excess returns bm matching pf" xfId="4612"/>
    <cellStyle name="_TableHead_Combined CashFlows_feitelijk rendement" xfId="4613"/>
    <cellStyle name="_TableHead_Combined CashFlows_feitelijk rendement 2" xfId="7250"/>
    <cellStyle name="_TableHead_Combined CashFlows_feitelijk rendement_bei rates" xfId="6614"/>
    <cellStyle name="_TableHead_Combined CashFlows_feitelijk rendement_par swap rates" xfId="5982"/>
    <cellStyle name="_TableHead_Combined CashFlows_ilb reeel only" xfId="4614"/>
    <cellStyle name="_TableHead_Combined CashFlows_nominale counterpart ilb" xfId="4615"/>
    <cellStyle name="_TableHead_Combined CashFlows_tijdseries" xfId="4616"/>
    <cellStyle name="_TableHead_Combined CashFlows_tijdseries 2" xfId="7251"/>
    <cellStyle name="_TableHead_Combined CashFlows_tijdseries_bei rates" xfId="6615"/>
    <cellStyle name="_TableHead_Combined CashFlows_tijdseries_par swap rates" xfId="5983"/>
    <cellStyle name="_TableHead_Combined CashFlows_vpv" xfId="4617"/>
    <cellStyle name="_TableHead_Combined CashFlows_vpv 2" xfId="7252"/>
    <cellStyle name="_TableHead_Combined CashFlows_vpv return serie" xfId="4618"/>
    <cellStyle name="_TableHead_Combined CashFlows_vpv return serie 2" xfId="7253"/>
    <cellStyle name="_TableHead_Combined CashFlows_vpv return serie_bei rates" xfId="6617"/>
    <cellStyle name="_TableHead_Combined CashFlows_vpv return serie_par swap rates" xfId="5985"/>
    <cellStyle name="_TableHead_Combined CashFlows_vpv_bei rates" xfId="6616"/>
    <cellStyle name="_TableHead_Combined CashFlows_vpv_par swap rates" xfId="5984"/>
    <cellStyle name="_TableHead_FP Liabilities_19oct05 v2" xfId="1032"/>
    <cellStyle name="_TableHead_FP Liabilities_19oct05 v2 2" xfId="3412"/>
    <cellStyle name="_TableHead_FP Liabilities_19oct05 v2 3" xfId="2274"/>
    <cellStyle name="_TableHead_FP Liabilities_19oct05 v2_actuate" xfId="1033"/>
    <cellStyle name="_TableHead_FP Liabilities_19oct05 v2_actuate 2" xfId="3413"/>
    <cellStyle name="_TableHead_FP Liabilities_19oct05 v2_actuate 3" xfId="2275"/>
    <cellStyle name="_TableHead_FP Liabilities_19oct05 v2_actuate_cashflows corp" xfId="4619"/>
    <cellStyle name="_TableHead_FP Liabilities_19oct05 v2_actuate_cashflows Gov't AAA" xfId="4620"/>
    <cellStyle name="_TableHead_FP Liabilities_19oct05 v2_actuate_cashflows ilb" xfId="4621"/>
    <cellStyle name="_TableHead_FP Liabilities_19oct05 v2_actuate_cashflows lang staats" xfId="4622"/>
    <cellStyle name="_TableHead_FP Liabilities_19oct05 v2_actuate_cashflows pan european 500mm" xfId="4623"/>
    <cellStyle name="_TableHead_FP Liabilities_19oct05 v2_actuate_cashflows staats" xfId="4624"/>
    <cellStyle name="_TableHead_FP Liabilities_19oct05 v2_actuate_excess returns bm matching pf" xfId="4625"/>
    <cellStyle name="_TableHead_FP Liabilities_19oct05 v2_actuate_ilb reeel only" xfId="4626"/>
    <cellStyle name="_TableHead_FP Liabilities_19oct05 v2_actuate_nominale counterpart ilb" xfId="4627"/>
    <cellStyle name="_TableHead_FP Liabilities_19oct05 v2_actuate_tijdseries" xfId="4628"/>
    <cellStyle name="_TableHead_FP Liabilities_19oct05 v2_actuate_tijdseries 2" xfId="7254"/>
    <cellStyle name="_TableHead_FP Liabilities_19oct05 v2_actuate_tijdseries_bei rates" xfId="6618"/>
    <cellStyle name="_TableHead_FP Liabilities_19oct05 v2_actuate_tijdseries_par swap rates" xfId="5986"/>
    <cellStyle name="_TableHead_FP Liabilities_19oct05 v2_actuate_vpv" xfId="4629"/>
    <cellStyle name="_TableHead_FP Liabilities_19oct05 v2_actuate_vpv 2" xfId="7255"/>
    <cellStyle name="_TableHead_FP Liabilities_19oct05 v2_actuate_vpv return serie" xfId="4630"/>
    <cellStyle name="_TableHead_FP Liabilities_19oct05 v2_actuate_vpv return serie 2" xfId="7256"/>
    <cellStyle name="_TableHead_FP Liabilities_19oct05 v2_actuate_vpv return serie_bei rates" xfId="6620"/>
    <cellStyle name="_TableHead_FP Liabilities_19oct05 v2_actuate_vpv return serie_par swap rates" xfId="5988"/>
    <cellStyle name="_TableHead_FP Liabilities_19oct05 v2_actuate_vpv_bei rates" xfId="6619"/>
    <cellStyle name="_TableHead_FP Liabilities_19oct05 v2_actuate_vpv_par swap rates" xfId="5987"/>
    <cellStyle name="_TableHead_FP Liabilities_19oct05 v2_beleggingen" xfId="4631"/>
    <cellStyle name="_TableHead_FP Liabilities_19oct05 v2_beleggingen 2" xfId="7257"/>
    <cellStyle name="_TableHead_FP Liabilities_19oct05 v2_beleggingen_bei rates" xfId="6621"/>
    <cellStyle name="_TableHead_FP Liabilities_19oct05 v2_beleggingen_par swap rates" xfId="5989"/>
    <cellStyle name="_TableHead_FP Liabilities_19oct05 v2_cashflows corp" xfId="4632"/>
    <cellStyle name="_TableHead_FP Liabilities_19oct05 v2_cashflows Gov't AAA" xfId="4633"/>
    <cellStyle name="_TableHead_FP Liabilities_19oct05 v2_cashflows ilb" xfId="4634"/>
    <cellStyle name="_TableHead_FP Liabilities_19oct05 v2_cashflows lang staats" xfId="4635"/>
    <cellStyle name="_TableHead_FP Liabilities_19oct05 v2_cashflows pan european 500mm" xfId="4636"/>
    <cellStyle name="_TableHead_FP Liabilities_19oct05 v2_cashflows staats" xfId="4637"/>
    <cellStyle name="_TableHead_FP Liabilities_19oct05 v2_dv01" xfId="1034"/>
    <cellStyle name="_TableHead_FP Liabilities_19oct05 v2_excess returns bm matching pf" xfId="4638"/>
    <cellStyle name="_TableHead_FP Liabilities_19oct05 v2_feitelijk rendement" xfId="4639"/>
    <cellStyle name="_TableHead_FP Liabilities_19oct05 v2_feitelijk rendement 2" xfId="7258"/>
    <cellStyle name="_TableHead_FP Liabilities_19oct05 v2_feitelijk rendement_bei rates" xfId="6622"/>
    <cellStyle name="_TableHead_FP Liabilities_19oct05 v2_feitelijk rendement_par swap rates" xfId="5990"/>
    <cellStyle name="_TableHead_FP Liabilities_19oct05 v2_ilb reeel only" xfId="4640"/>
    <cellStyle name="_TableHead_FP Liabilities_19oct05 v2_nominale counterpart ilb" xfId="4641"/>
    <cellStyle name="_TableHead_FP Liabilities_19oct05 v2_tijdseries" xfId="4642"/>
    <cellStyle name="_TableHead_FP Liabilities_19oct05 v2_tijdseries 2" xfId="7259"/>
    <cellStyle name="_TableHead_FP Liabilities_19oct05 v2_tijdseries_bei rates" xfId="6623"/>
    <cellStyle name="_TableHead_FP Liabilities_19oct05 v2_tijdseries_par swap rates" xfId="5991"/>
    <cellStyle name="_TableHead_FP Liabilities_19oct05 v2_vpv" xfId="4643"/>
    <cellStyle name="_TableHead_FP Liabilities_19oct05 v2_vpv 2" xfId="7260"/>
    <cellStyle name="_TableHead_FP Liabilities_19oct05 v2_vpv return serie" xfId="4644"/>
    <cellStyle name="_TableHead_FP Liabilities_19oct05 v2_vpv return serie 2" xfId="7261"/>
    <cellStyle name="_TableHead_FP Liabilities_19oct05 v2_vpv return serie_bei rates" xfId="6625"/>
    <cellStyle name="_TableHead_FP Liabilities_19oct05 v2_vpv return serie_par swap rates" xfId="5993"/>
    <cellStyle name="_TableHead_FP Liabilities_19oct05 v2_vpv_bei rates" xfId="6624"/>
    <cellStyle name="_TableHead_FP Liabilities_19oct05 v2_vpv_par swap rates" xfId="5992"/>
    <cellStyle name="_TableHead_Govt Bond Data" xfId="1035"/>
    <cellStyle name="_TableHead_INF Benchmark " xfId="1036"/>
    <cellStyle name="_TableHead_InitialPosition" xfId="1037"/>
    <cellStyle name="_TableHead_IR Benchmark" xfId="1038"/>
    <cellStyle name="_TableHead_June 05 CF" xfId="1039"/>
    <cellStyle name="_TableHead_June 05 CF 2" xfId="3418"/>
    <cellStyle name="_TableHead_June 05 CF 3" xfId="2276"/>
    <cellStyle name="_TableHead_June 05 CF_actuate" xfId="1040"/>
    <cellStyle name="_TableHead_June 05 CF_actuate 2" xfId="3419"/>
    <cellStyle name="_TableHead_June 05 CF_actuate 3" xfId="2277"/>
    <cellStyle name="_TableHead_June 05 CF_actuate_cashflows corp" xfId="4645"/>
    <cellStyle name="_TableHead_June 05 CF_actuate_cashflows Gov't AAA" xfId="4646"/>
    <cellStyle name="_TableHead_June 05 CF_actuate_cashflows ilb" xfId="4647"/>
    <cellStyle name="_TableHead_June 05 CF_actuate_cashflows lang staats" xfId="4648"/>
    <cellStyle name="_TableHead_June 05 CF_actuate_cashflows pan european 500mm" xfId="4649"/>
    <cellStyle name="_TableHead_June 05 CF_actuate_cashflows staats" xfId="4650"/>
    <cellStyle name="_TableHead_June 05 CF_actuate_excess returns bm matching pf" xfId="4651"/>
    <cellStyle name="_TableHead_June 05 CF_actuate_ilb reeel only" xfId="4652"/>
    <cellStyle name="_TableHead_June 05 CF_actuate_nominale counterpart ilb" xfId="4653"/>
    <cellStyle name="_TableHead_June 05 CF_actuate_tijdseries" xfId="4654"/>
    <cellStyle name="_TableHead_June 05 CF_actuate_tijdseries 2" xfId="7262"/>
    <cellStyle name="_TableHead_June 05 CF_actuate_tijdseries_bei rates" xfId="6626"/>
    <cellStyle name="_TableHead_June 05 CF_actuate_tijdseries_par swap rates" xfId="5994"/>
    <cellStyle name="_TableHead_June 05 CF_actuate_vpv" xfId="4655"/>
    <cellStyle name="_TableHead_June 05 CF_actuate_vpv 2" xfId="7263"/>
    <cellStyle name="_TableHead_June 05 CF_actuate_vpv return serie" xfId="4656"/>
    <cellStyle name="_TableHead_June 05 CF_actuate_vpv return serie 2" xfId="7264"/>
    <cellStyle name="_TableHead_June 05 CF_actuate_vpv return serie_bei rates" xfId="6628"/>
    <cellStyle name="_TableHead_June 05 CF_actuate_vpv return serie_par swap rates" xfId="5996"/>
    <cellStyle name="_TableHead_June 05 CF_actuate_vpv_bei rates" xfId="6627"/>
    <cellStyle name="_TableHead_June 05 CF_actuate_vpv_par swap rates" xfId="5995"/>
    <cellStyle name="_TableHead_June 05 CF_beleggingen" xfId="4657"/>
    <cellStyle name="_TableHead_June 05 CF_beleggingen 2" xfId="7265"/>
    <cellStyle name="_TableHead_June 05 CF_beleggingen_bei rates" xfId="6629"/>
    <cellStyle name="_TableHead_June 05 CF_beleggingen_par swap rates" xfId="5997"/>
    <cellStyle name="_TableHead_June 05 CF_cashflows corp" xfId="4658"/>
    <cellStyle name="_TableHead_June 05 CF_cashflows Gov't AAA" xfId="4659"/>
    <cellStyle name="_TableHead_June 05 CF_cashflows ilb" xfId="4660"/>
    <cellStyle name="_TableHead_June 05 CF_cashflows lang staats" xfId="4661"/>
    <cellStyle name="_TableHead_June 05 CF_cashflows pan european 500mm" xfId="4662"/>
    <cellStyle name="_TableHead_June 05 CF_cashflows staats" xfId="4663"/>
    <cellStyle name="_TableHead_June 05 CF_dv01" xfId="1041"/>
    <cellStyle name="_TableHead_June 05 CF_excess returns bm matching pf" xfId="4664"/>
    <cellStyle name="_TableHead_June 05 CF_feitelijk rendement" xfId="4665"/>
    <cellStyle name="_TableHead_June 05 CF_feitelijk rendement 2" xfId="7266"/>
    <cellStyle name="_TableHead_June 05 CF_feitelijk rendement_bei rates" xfId="6630"/>
    <cellStyle name="_TableHead_June 05 CF_feitelijk rendement_par swap rates" xfId="5998"/>
    <cellStyle name="_TableHead_June 05 CF_ilb reeel only" xfId="4666"/>
    <cellStyle name="_TableHead_June 05 CF_nominale counterpart ilb" xfId="4667"/>
    <cellStyle name="_TableHead_June 05 CF_tijdseries" xfId="4668"/>
    <cellStyle name="_TableHead_June 05 CF_tijdseries 2" xfId="7267"/>
    <cellStyle name="_TableHead_June 05 CF_tijdseries_bei rates" xfId="6631"/>
    <cellStyle name="_TableHead_June 05 CF_tijdseries_par swap rates" xfId="5999"/>
    <cellStyle name="_TableHead_June 05 CF_vpv" xfId="4669"/>
    <cellStyle name="_TableHead_June 05 CF_vpv 2" xfId="7268"/>
    <cellStyle name="_TableHead_June 05 CF_vpv return serie" xfId="4670"/>
    <cellStyle name="_TableHead_June 05 CF_vpv return serie 2" xfId="7269"/>
    <cellStyle name="_TableHead_June 05 CF_vpv return serie_bei rates" xfId="6633"/>
    <cellStyle name="_TableHead_June 05 CF_vpv return serie_par swap rates" xfId="6001"/>
    <cellStyle name="_TableHead_June 05 CF_vpv_bei rates" xfId="6632"/>
    <cellStyle name="_TableHead_June 05 CF_vpv_par swap rates" xfId="6000"/>
    <cellStyle name="_TableHead_June05" xfId="1042"/>
    <cellStyle name="_TableHead_LDI Characts" xfId="1043"/>
    <cellStyle name="_TableHead_Liabs DV01" xfId="1044"/>
    <cellStyle name="_TableHead_Liabs DV01 2" xfId="3423"/>
    <cellStyle name="_TableHead_Liabs DV01 3" xfId="2279"/>
    <cellStyle name="_TableHead_Liabs DV01_actuate" xfId="1045"/>
    <cellStyle name="_TableHead_Liabs DV01_actuate 2" xfId="3424"/>
    <cellStyle name="_TableHead_Liabs DV01_actuate 3" xfId="2280"/>
    <cellStyle name="_TableHead_Liabs DV01_actuate_cashflows corp" xfId="4671"/>
    <cellStyle name="_TableHead_Liabs DV01_actuate_cashflows Gov't AAA" xfId="4672"/>
    <cellStyle name="_TableHead_Liabs DV01_actuate_cashflows ilb" xfId="4673"/>
    <cellStyle name="_TableHead_Liabs DV01_actuate_cashflows lang staats" xfId="4674"/>
    <cellStyle name="_TableHead_Liabs DV01_actuate_cashflows pan european 500mm" xfId="4675"/>
    <cellStyle name="_TableHead_Liabs DV01_actuate_cashflows staats" xfId="4676"/>
    <cellStyle name="_TableHead_Liabs DV01_actuate_excess returns bm matching pf" xfId="4677"/>
    <cellStyle name="_TableHead_Liabs DV01_actuate_ilb reeel only" xfId="4678"/>
    <cellStyle name="_TableHead_Liabs DV01_actuate_nominale counterpart ilb" xfId="4679"/>
    <cellStyle name="_TableHead_Liabs DV01_actuate_tijdseries" xfId="4680"/>
    <cellStyle name="_TableHead_Liabs DV01_actuate_tijdseries 2" xfId="7270"/>
    <cellStyle name="_TableHead_Liabs DV01_actuate_tijdseries_bei rates" xfId="6634"/>
    <cellStyle name="_TableHead_Liabs DV01_actuate_tijdseries_par swap rates" xfId="6002"/>
    <cellStyle name="_TableHead_Liabs DV01_actuate_vpv" xfId="4681"/>
    <cellStyle name="_TableHead_Liabs DV01_actuate_vpv 2" xfId="7271"/>
    <cellStyle name="_TableHead_Liabs DV01_actuate_vpv return serie" xfId="4682"/>
    <cellStyle name="_TableHead_Liabs DV01_actuate_vpv return serie 2" xfId="7272"/>
    <cellStyle name="_TableHead_Liabs DV01_actuate_vpv return serie_bei rates" xfId="6636"/>
    <cellStyle name="_TableHead_Liabs DV01_actuate_vpv return serie_par swap rates" xfId="6004"/>
    <cellStyle name="_TableHead_Liabs DV01_actuate_vpv_bei rates" xfId="6635"/>
    <cellStyle name="_TableHead_Liabs DV01_actuate_vpv_par swap rates" xfId="6003"/>
    <cellStyle name="_TableHead_Liabs DV01_beleggingen" xfId="4683"/>
    <cellStyle name="_TableHead_Liabs DV01_beleggingen 2" xfId="7273"/>
    <cellStyle name="_TableHead_Liabs DV01_beleggingen_bei rates" xfId="6637"/>
    <cellStyle name="_TableHead_Liabs DV01_beleggingen_par swap rates" xfId="6005"/>
    <cellStyle name="_TableHead_Liabs DV01_cashflows corp" xfId="4684"/>
    <cellStyle name="_TableHead_Liabs DV01_cashflows Gov't AAA" xfId="4685"/>
    <cellStyle name="_TableHead_Liabs DV01_cashflows ilb" xfId="4686"/>
    <cellStyle name="_TableHead_Liabs DV01_cashflows lang staats" xfId="4687"/>
    <cellStyle name="_TableHead_Liabs DV01_cashflows pan european 500mm" xfId="4688"/>
    <cellStyle name="_TableHead_Liabs DV01_cashflows staats" xfId="4689"/>
    <cellStyle name="_TableHead_Liabs DV01_dv01" xfId="1046"/>
    <cellStyle name="_TableHead_Liabs DV01_excess returns bm matching pf" xfId="4690"/>
    <cellStyle name="_TableHead_Liabs DV01_feitelijk rendement" xfId="4691"/>
    <cellStyle name="_TableHead_Liabs DV01_feitelijk rendement 2" xfId="7274"/>
    <cellStyle name="_TableHead_Liabs DV01_feitelijk rendement_bei rates" xfId="6638"/>
    <cellStyle name="_TableHead_Liabs DV01_feitelijk rendement_par swap rates" xfId="6006"/>
    <cellStyle name="_TableHead_Liabs DV01_ilb reeel only" xfId="4692"/>
    <cellStyle name="_TableHead_Liabs DV01_nominale counterpart ilb" xfId="4693"/>
    <cellStyle name="_TableHead_Liabs DV01_tijdseries" xfId="4694"/>
    <cellStyle name="_TableHead_Liabs DV01_tijdseries 2" xfId="7275"/>
    <cellStyle name="_TableHead_Liabs DV01_tijdseries_bei rates" xfId="6639"/>
    <cellStyle name="_TableHead_Liabs DV01_tijdseries_par swap rates" xfId="6007"/>
    <cellStyle name="_TableHead_Liabs DV01_vpv" xfId="4695"/>
    <cellStyle name="_TableHead_Liabs DV01_vpv 2" xfId="7276"/>
    <cellStyle name="_TableHead_Liabs DV01_vpv return serie" xfId="4696"/>
    <cellStyle name="_TableHead_Liabs DV01_vpv return serie 2" xfId="7277"/>
    <cellStyle name="_TableHead_Liabs DV01_vpv return serie_bei rates" xfId="6641"/>
    <cellStyle name="_TableHead_Liabs DV01_vpv return serie_par swap rates" xfId="6009"/>
    <cellStyle name="_TableHead_Liabs DV01_vpv_bei rates" xfId="6640"/>
    <cellStyle name="_TableHead_Liabs DV01_vpv_par swap rates" xfId="6008"/>
    <cellStyle name="_TableHead_Main" xfId="1047"/>
    <cellStyle name="_TableHead_Main 2" xfId="3426"/>
    <cellStyle name="_TableHead_Main 3" xfId="2281"/>
    <cellStyle name="_TableHead_Main_actuate" xfId="1048"/>
    <cellStyle name="_TableHead_Main_actuate 2" xfId="3427"/>
    <cellStyle name="_TableHead_Main_actuate 3" xfId="2282"/>
    <cellStyle name="_TableHead_Main_actuate_cashflows corp" xfId="4697"/>
    <cellStyle name="_TableHead_Main_actuate_cashflows Gov't AAA" xfId="4698"/>
    <cellStyle name="_TableHead_Main_actuate_cashflows ilb" xfId="4699"/>
    <cellStyle name="_TableHead_Main_actuate_cashflows lang staats" xfId="4700"/>
    <cellStyle name="_TableHead_Main_actuate_cashflows pan european 500mm" xfId="4701"/>
    <cellStyle name="_TableHead_Main_actuate_cashflows staats" xfId="4702"/>
    <cellStyle name="_TableHead_Main_actuate_excess returns bm matching pf" xfId="4703"/>
    <cellStyle name="_TableHead_Main_actuate_ilb reeel only" xfId="4704"/>
    <cellStyle name="_TableHead_Main_actuate_nominale counterpart ilb" xfId="4705"/>
    <cellStyle name="_TableHead_Main_actuate_tijdseries" xfId="4706"/>
    <cellStyle name="_TableHead_Main_actuate_tijdseries 2" xfId="7278"/>
    <cellStyle name="_TableHead_Main_actuate_tijdseries_bei rates" xfId="6642"/>
    <cellStyle name="_TableHead_Main_actuate_tijdseries_par swap rates" xfId="6010"/>
    <cellStyle name="_TableHead_Main_actuate_vpv" xfId="4707"/>
    <cellStyle name="_TableHead_Main_actuate_vpv 2" xfId="7279"/>
    <cellStyle name="_TableHead_Main_actuate_vpv return serie" xfId="4708"/>
    <cellStyle name="_TableHead_Main_actuate_vpv return serie 2" xfId="7280"/>
    <cellStyle name="_TableHead_Main_actuate_vpv return serie_bei rates" xfId="6644"/>
    <cellStyle name="_TableHead_Main_actuate_vpv return serie_par swap rates" xfId="6012"/>
    <cellStyle name="_TableHead_Main_actuate_vpv_bei rates" xfId="6643"/>
    <cellStyle name="_TableHead_Main_actuate_vpv_par swap rates" xfId="6011"/>
    <cellStyle name="_TableHead_Main_beleggingen" xfId="4709"/>
    <cellStyle name="_TableHead_Main_beleggingen 2" xfId="7281"/>
    <cellStyle name="_TableHead_Main_beleggingen_bei rates" xfId="6645"/>
    <cellStyle name="_TableHead_Main_beleggingen_par swap rates" xfId="6013"/>
    <cellStyle name="_TableHead_Main_cashflows corp" xfId="4710"/>
    <cellStyle name="_TableHead_Main_cashflows Gov't AAA" xfId="4711"/>
    <cellStyle name="_TableHead_Main_cashflows ilb" xfId="4712"/>
    <cellStyle name="_TableHead_Main_cashflows lang staats" xfId="4713"/>
    <cellStyle name="_TableHead_Main_cashflows pan european 500mm" xfId="4714"/>
    <cellStyle name="_TableHead_Main_cashflows staats" xfId="4715"/>
    <cellStyle name="_TableHead_Main_dv01" xfId="1049"/>
    <cellStyle name="_TableHead_Main_excess returns bm matching pf" xfId="4716"/>
    <cellStyle name="_TableHead_Main_feitelijk rendement" xfId="4717"/>
    <cellStyle name="_TableHead_Main_feitelijk rendement 2" xfId="7282"/>
    <cellStyle name="_TableHead_Main_feitelijk rendement_bei rates" xfId="6646"/>
    <cellStyle name="_TableHead_Main_feitelijk rendement_par swap rates" xfId="6014"/>
    <cellStyle name="_TableHead_Main_ilb reeel only" xfId="4718"/>
    <cellStyle name="_TableHead_Main_nominale counterpart ilb" xfId="4719"/>
    <cellStyle name="_TableHead_Main_tijdseries" xfId="4720"/>
    <cellStyle name="_TableHead_Main_tijdseries 2" xfId="7283"/>
    <cellStyle name="_TableHead_Main_tijdseries_bei rates" xfId="6647"/>
    <cellStyle name="_TableHead_Main_tijdseries_par swap rates" xfId="6015"/>
    <cellStyle name="_TableHead_Main_vpv" xfId="4721"/>
    <cellStyle name="_TableHead_Main_vpv 2" xfId="7284"/>
    <cellStyle name="_TableHead_Main_vpv return serie" xfId="4722"/>
    <cellStyle name="_TableHead_Main_vpv return serie 2" xfId="7285"/>
    <cellStyle name="_TableHead_Main_vpv return serie_bei rates" xfId="6649"/>
    <cellStyle name="_TableHead_Main_vpv return serie_par swap rates" xfId="6017"/>
    <cellStyle name="_TableHead_Main_vpv_bei rates" xfId="6648"/>
    <cellStyle name="_TableHead_Main_vpv_par swap rates" xfId="6016"/>
    <cellStyle name="_TableHead_Matching PV Cashflows" xfId="1050"/>
    <cellStyle name="_TableHead_Matching PV Cashflows 2" xfId="3429"/>
    <cellStyle name="_TableHead_Matching PV Cashflows 3" xfId="2283"/>
    <cellStyle name="_TableHead_Matching PV Cashflows_actuate" xfId="1051"/>
    <cellStyle name="_TableHead_Matching PV Cashflows_actuate 2" xfId="3430"/>
    <cellStyle name="_TableHead_Matching PV Cashflows_actuate 3" xfId="2284"/>
    <cellStyle name="_TableHead_Matching PV Cashflows_actuate_cashflows corp" xfId="4723"/>
    <cellStyle name="_TableHead_Matching PV Cashflows_actuate_cashflows Gov't AAA" xfId="4724"/>
    <cellStyle name="_TableHead_Matching PV Cashflows_actuate_cashflows ilb" xfId="4725"/>
    <cellStyle name="_TableHead_Matching PV Cashflows_actuate_cashflows lang staats" xfId="4726"/>
    <cellStyle name="_TableHead_Matching PV Cashflows_actuate_cashflows pan european 500mm" xfId="4727"/>
    <cellStyle name="_TableHead_Matching PV Cashflows_actuate_cashflows staats" xfId="4728"/>
    <cellStyle name="_TableHead_Matching PV Cashflows_actuate_excess returns bm matching pf" xfId="4729"/>
    <cellStyle name="_TableHead_Matching PV Cashflows_actuate_ilb reeel only" xfId="4730"/>
    <cellStyle name="_TableHead_Matching PV Cashflows_actuate_nominale counterpart ilb" xfId="4731"/>
    <cellStyle name="_TableHead_Matching PV Cashflows_actuate_tijdseries" xfId="4732"/>
    <cellStyle name="_TableHead_Matching PV Cashflows_actuate_tijdseries 2" xfId="7286"/>
    <cellStyle name="_TableHead_Matching PV Cashflows_actuate_tijdseries_bei rates" xfId="6650"/>
    <cellStyle name="_TableHead_Matching PV Cashflows_actuate_tijdseries_par swap rates" xfId="6018"/>
    <cellStyle name="_TableHead_Matching PV Cashflows_actuate_vpv" xfId="4733"/>
    <cellStyle name="_TableHead_Matching PV Cashflows_actuate_vpv 2" xfId="7287"/>
    <cellStyle name="_TableHead_Matching PV Cashflows_actuate_vpv return serie" xfId="4734"/>
    <cellStyle name="_TableHead_Matching PV Cashflows_actuate_vpv return serie 2" xfId="7288"/>
    <cellStyle name="_TableHead_Matching PV Cashflows_actuate_vpv return serie_bei rates" xfId="6652"/>
    <cellStyle name="_TableHead_Matching PV Cashflows_actuate_vpv return serie_par swap rates" xfId="6020"/>
    <cellStyle name="_TableHead_Matching PV Cashflows_actuate_vpv_bei rates" xfId="6651"/>
    <cellStyle name="_TableHead_Matching PV Cashflows_actuate_vpv_par swap rates" xfId="6019"/>
    <cellStyle name="_TableHead_Matching PV Cashflows_beleggingen" xfId="4735"/>
    <cellStyle name="_TableHead_Matching PV Cashflows_beleggingen 2" xfId="7289"/>
    <cellStyle name="_TableHead_Matching PV Cashflows_beleggingen_bei rates" xfId="6653"/>
    <cellStyle name="_TableHead_Matching PV Cashflows_beleggingen_par swap rates" xfId="6021"/>
    <cellStyle name="_TableHead_Matching PV Cashflows_cashflows corp" xfId="4736"/>
    <cellStyle name="_TableHead_Matching PV Cashflows_cashflows Gov't AAA" xfId="4737"/>
    <cellStyle name="_TableHead_Matching PV Cashflows_cashflows ilb" xfId="4738"/>
    <cellStyle name="_TableHead_Matching PV Cashflows_cashflows lang staats" xfId="4739"/>
    <cellStyle name="_TableHead_Matching PV Cashflows_cashflows pan european 500mm" xfId="4740"/>
    <cellStyle name="_TableHead_Matching PV Cashflows_cashflows staats" xfId="4741"/>
    <cellStyle name="_TableHead_Matching PV Cashflows_dv01" xfId="1052"/>
    <cellStyle name="_TableHead_Matching PV Cashflows_excess returns bm matching pf" xfId="4742"/>
    <cellStyle name="_TableHead_Matching PV Cashflows_feitelijk rendement" xfId="4743"/>
    <cellStyle name="_TableHead_Matching PV Cashflows_feitelijk rendement 2" xfId="7290"/>
    <cellStyle name="_TableHead_Matching PV Cashflows_feitelijk rendement_bei rates" xfId="6654"/>
    <cellStyle name="_TableHead_Matching PV Cashflows_feitelijk rendement_par swap rates" xfId="6022"/>
    <cellStyle name="_TableHead_Matching PV Cashflows_ilb reeel only" xfId="4744"/>
    <cellStyle name="_TableHead_Matching PV Cashflows_nominale counterpart ilb" xfId="4745"/>
    <cellStyle name="_TableHead_Matching PV Cashflows_tijdseries" xfId="4746"/>
    <cellStyle name="_TableHead_Matching PV Cashflows_tijdseries 2" xfId="7291"/>
    <cellStyle name="_TableHead_Matching PV Cashflows_tijdseries_bei rates" xfId="6655"/>
    <cellStyle name="_TableHead_Matching PV Cashflows_tijdseries_par swap rates" xfId="6023"/>
    <cellStyle name="_TableHead_Matching PV Cashflows_vpv" xfId="4747"/>
    <cellStyle name="_TableHead_Matching PV Cashflows_vpv 2" xfId="7292"/>
    <cellStyle name="_TableHead_Matching PV Cashflows_vpv return serie" xfId="4748"/>
    <cellStyle name="_TableHead_Matching PV Cashflows_vpv return serie 2" xfId="7293"/>
    <cellStyle name="_TableHead_Matching PV Cashflows_vpv return serie_bei rates" xfId="6657"/>
    <cellStyle name="_TableHead_Matching PV Cashflows_vpv return serie_par swap rates" xfId="6025"/>
    <cellStyle name="_TableHead_Matching PV Cashflows_vpv_bei rates" xfId="6656"/>
    <cellStyle name="_TableHead_Matching PV Cashflows_vpv_par swap rates" xfId="6024"/>
    <cellStyle name="_TableHead_ModelSetup" xfId="1053"/>
    <cellStyle name="_TableHead_ModelSetup 2" xfId="3432"/>
    <cellStyle name="_TableHead_ModelSetup 3" xfId="2285"/>
    <cellStyle name="_TableHead_ModelSetup_actuate" xfId="1054"/>
    <cellStyle name="_TableHead_ModelSetup_actuate 2" xfId="3433"/>
    <cellStyle name="_TableHead_ModelSetup_actuate 3" xfId="2286"/>
    <cellStyle name="_TableHead_ModelSetup_actuate_cashflows corp" xfId="4749"/>
    <cellStyle name="_TableHead_ModelSetup_actuate_cashflows Gov't AAA" xfId="4750"/>
    <cellStyle name="_TableHead_ModelSetup_actuate_cashflows ilb" xfId="4751"/>
    <cellStyle name="_TableHead_ModelSetup_actuate_cashflows lang staats" xfId="4752"/>
    <cellStyle name="_TableHead_ModelSetup_actuate_cashflows pan european 500mm" xfId="4753"/>
    <cellStyle name="_TableHead_ModelSetup_actuate_cashflows staats" xfId="4754"/>
    <cellStyle name="_TableHead_ModelSetup_actuate_excess returns bm matching pf" xfId="4755"/>
    <cellStyle name="_TableHead_ModelSetup_actuate_ilb reeel only" xfId="4756"/>
    <cellStyle name="_TableHead_ModelSetup_actuate_nominale counterpart ilb" xfId="4757"/>
    <cellStyle name="_TableHead_ModelSetup_actuate_tijdseries" xfId="4758"/>
    <cellStyle name="_TableHead_ModelSetup_actuate_tijdseries 2" xfId="7294"/>
    <cellStyle name="_TableHead_ModelSetup_actuate_tijdseries_bei rates" xfId="6658"/>
    <cellStyle name="_TableHead_ModelSetup_actuate_tijdseries_par swap rates" xfId="6026"/>
    <cellStyle name="_TableHead_ModelSetup_actuate_vpv" xfId="4759"/>
    <cellStyle name="_TableHead_ModelSetup_actuate_vpv 2" xfId="7295"/>
    <cellStyle name="_TableHead_ModelSetup_actuate_vpv return serie" xfId="4760"/>
    <cellStyle name="_TableHead_ModelSetup_actuate_vpv return serie 2" xfId="7296"/>
    <cellStyle name="_TableHead_ModelSetup_actuate_vpv return serie_bei rates" xfId="6660"/>
    <cellStyle name="_TableHead_ModelSetup_actuate_vpv return serie_par swap rates" xfId="6028"/>
    <cellStyle name="_TableHead_ModelSetup_actuate_vpv_bei rates" xfId="6659"/>
    <cellStyle name="_TableHead_ModelSetup_actuate_vpv_par swap rates" xfId="6027"/>
    <cellStyle name="_TableHead_ModelSetup_beleggingen" xfId="4761"/>
    <cellStyle name="_TableHead_ModelSetup_beleggingen 2" xfId="7297"/>
    <cellStyle name="_TableHead_ModelSetup_beleggingen_bei rates" xfId="6661"/>
    <cellStyle name="_TableHead_ModelSetup_beleggingen_par swap rates" xfId="6029"/>
    <cellStyle name="_TableHead_ModelSetup_cashflows corp" xfId="4762"/>
    <cellStyle name="_TableHead_ModelSetup_cashflows Gov't AAA" xfId="4763"/>
    <cellStyle name="_TableHead_ModelSetup_cashflows ilb" xfId="4764"/>
    <cellStyle name="_TableHead_ModelSetup_cashflows lang staats" xfId="4765"/>
    <cellStyle name="_TableHead_ModelSetup_cashflows pan european 500mm" xfId="4766"/>
    <cellStyle name="_TableHead_ModelSetup_cashflows staats" xfId="4767"/>
    <cellStyle name="_TableHead_ModelSetup_dv01" xfId="1055"/>
    <cellStyle name="_TableHead_ModelSetup_excess returns bm matching pf" xfId="4768"/>
    <cellStyle name="_TableHead_ModelSetup_feitelijk rendement" xfId="4769"/>
    <cellStyle name="_TableHead_ModelSetup_feitelijk rendement 2" xfId="7298"/>
    <cellStyle name="_TableHead_ModelSetup_feitelijk rendement_bei rates" xfId="6662"/>
    <cellStyle name="_TableHead_ModelSetup_feitelijk rendement_par swap rates" xfId="6030"/>
    <cellStyle name="_TableHead_ModelSetup_ilb reeel only" xfId="4770"/>
    <cellStyle name="_TableHead_ModelSetup_nominale counterpart ilb" xfId="4771"/>
    <cellStyle name="_TableHead_ModelSetup_tijdseries" xfId="4772"/>
    <cellStyle name="_TableHead_ModelSetup_tijdseries 2" xfId="7299"/>
    <cellStyle name="_TableHead_ModelSetup_tijdseries_bei rates" xfId="6663"/>
    <cellStyle name="_TableHead_ModelSetup_tijdseries_par swap rates" xfId="6031"/>
    <cellStyle name="_TableHead_ModelSetup_vpv" xfId="4773"/>
    <cellStyle name="_TableHead_ModelSetup_vpv 2" xfId="7300"/>
    <cellStyle name="_TableHead_ModelSetup_vpv return serie" xfId="4774"/>
    <cellStyle name="_TableHead_ModelSetup_vpv return serie 2" xfId="7301"/>
    <cellStyle name="_TableHead_ModelSetup_vpv return serie_bei rates" xfId="6665"/>
    <cellStyle name="_TableHead_ModelSetup_vpv return serie_par swap rates" xfId="6033"/>
    <cellStyle name="_TableHead_ModelSetup_vpv_bei rates" xfId="6664"/>
    <cellStyle name="_TableHead_ModelSetup_vpv_par swap rates" xfId="6032"/>
    <cellStyle name="_TableHead_PME Swaps" xfId="1056"/>
    <cellStyle name="_TableHead_Pricer" xfId="1057"/>
    <cellStyle name="_TableHead_Pricer 2" xfId="3436"/>
    <cellStyle name="_TableHead_Pricer 3" xfId="2287"/>
    <cellStyle name="_TableHead_Pricer_actuate" xfId="1058"/>
    <cellStyle name="_TableHead_Pricer_actuate 2" xfId="3437"/>
    <cellStyle name="_TableHead_Pricer_actuate 3" xfId="2288"/>
    <cellStyle name="_TableHead_Pricer_actuate_cashflows corp" xfId="4775"/>
    <cellStyle name="_TableHead_Pricer_actuate_cashflows Gov't AAA" xfId="4776"/>
    <cellStyle name="_TableHead_Pricer_actuate_cashflows ilb" xfId="4777"/>
    <cellStyle name="_TableHead_Pricer_actuate_cashflows lang staats" xfId="4778"/>
    <cellStyle name="_TableHead_Pricer_actuate_cashflows pan european 500mm" xfId="4779"/>
    <cellStyle name="_TableHead_Pricer_actuate_cashflows staats" xfId="4780"/>
    <cellStyle name="_TableHead_Pricer_actuate_excess returns bm matching pf" xfId="4781"/>
    <cellStyle name="_TableHead_Pricer_actuate_ilb reeel only" xfId="4782"/>
    <cellStyle name="_TableHead_Pricer_actuate_nominale counterpart ilb" xfId="4783"/>
    <cellStyle name="_TableHead_Pricer_actuate_tijdseries" xfId="4784"/>
    <cellStyle name="_TableHead_Pricer_actuate_tijdseries 2" xfId="7302"/>
    <cellStyle name="_TableHead_Pricer_actuate_tijdseries_bei rates" xfId="6666"/>
    <cellStyle name="_TableHead_Pricer_actuate_tijdseries_par swap rates" xfId="6034"/>
    <cellStyle name="_TableHead_Pricer_actuate_vpv" xfId="4785"/>
    <cellStyle name="_TableHead_Pricer_actuate_vpv 2" xfId="7303"/>
    <cellStyle name="_TableHead_Pricer_actuate_vpv return serie" xfId="4786"/>
    <cellStyle name="_TableHead_Pricer_actuate_vpv return serie 2" xfId="7304"/>
    <cellStyle name="_TableHead_Pricer_actuate_vpv return serie_bei rates" xfId="6668"/>
    <cellStyle name="_TableHead_Pricer_actuate_vpv return serie_par swap rates" xfId="6036"/>
    <cellStyle name="_TableHead_Pricer_actuate_vpv_bei rates" xfId="6667"/>
    <cellStyle name="_TableHead_Pricer_actuate_vpv_par swap rates" xfId="6035"/>
    <cellStyle name="_TableHead_Pricer_beleggingen" xfId="4787"/>
    <cellStyle name="_TableHead_Pricer_beleggingen 2" xfId="7305"/>
    <cellStyle name="_TableHead_Pricer_beleggingen_bei rates" xfId="6669"/>
    <cellStyle name="_TableHead_Pricer_beleggingen_par swap rates" xfId="6037"/>
    <cellStyle name="_TableHead_Pricer_cashflows corp" xfId="4788"/>
    <cellStyle name="_TableHead_Pricer_cashflows Gov't AAA" xfId="4789"/>
    <cellStyle name="_TableHead_Pricer_cashflows ilb" xfId="4790"/>
    <cellStyle name="_TableHead_Pricer_cashflows lang staats" xfId="4791"/>
    <cellStyle name="_TableHead_Pricer_cashflows pan european 500mm" xfId="4792"/>
    <cellStyle name="_TableHead_Pricer_cashflows staats" xfId="4793"/>
    <cellStyle name="_TableHead_Pricer_dv01" xfId="1059"/>
    <cellStyle name="_TableHead_Pricer_excess returns bm matching pf" xfId="4794"/>
    <cellStyle name="_TableHead_Pricer_feitelijk rendement" xfId="4795"/>
    <cellStyle name="_TableHead_Pricer_feitelijk rendement 2" xfId="7306"/>
    <cellStyle name="_TableHead_Pricer_feitelijk rendement_bei rates" xfId="6670"/>
    <cellStyle name="_TableHead_Pricer_feitelijk rendement_par swap rates" xfId="6038"/>
    <cellStyle name="_TableHead_Pricer_ilb reeel only" xfId="4796"/>
    <cellStyle name="_TableHead_Pricer_nominale counterpart ilb" xfId="4797"/>
    <cellStyle name="_TableHead_Pricer_tijdseries" xfId="4798"/>
    <cellStyle name="_TableHead_Pricer_tijdseries 2" xfId="7307"/>
    <cellStyle name="_TableHead_Pricer_tijdseries_bei rates" xfId="6671"/>
    <cellStyle name="_TableHead_Pricer_tijdseries_par swap rates" xfId="6039"/>
    <cellStyle name="_TableHead_Pricer_vpv" xfId="4799"/>
    <cellStyle name="_TableHead_Pricer_vpv 2" xfId="7308"/>
    <cellStyle name="_TableHead_Pricer_vpv return serie" xfId="4800"/>
    <cellStyle name="_TableHead_Pricer_vpv return serie 2" xfId="7309"/>
    <cellStyle name="_TableHead_Pricer_vpv return serie_bei rates" xfId="6673"/>
    <cellStyle name="_TableHead_Pricer_vpv return serie_par swap rates" xfId="6041"/>
    <cellStyle name="_TableHead_Pricer_vpv_bei rates" xfId="6672"/>
    <cellStyle name="_TableHead_Pricer_vpv_par swap rates" xfId="6040"/>
    <cellStyle name="_TableHead_Sheet1" xfId="1060"/>
    <cellStyle name="_TableHead_Sheet1 2" xfId="3438"/>
    <cellStyle name="_TableHead_Sheet1 3" xfId="2289"/>
    <cellStyle name="_TableHead_Sheet1_actuate" xfId="1061"/>
    <cellStyle name="_TableHead_Sheet1_actuate 2" xfId="3439"/>
    <cellStyle name="_TableHead_Sheet1_actuate 3" xfId="2290"/>
    <cellStyle name="_TableHead_Sheet1_actuate_cashflows corp" xfId="4801"/>
    <cellStyle name="_TableHead_Sheet1_actuate_cashflows Gov't AAA" xfId="4802"/>
    <cellStyle name="_TableHead_Sheet1_actuate_cashflows ilb" xfId="4803"/>
    <cellStyle name="_TableHead_Sheet1_actuate_cashflows lang staats" xfId="4804"/>
    <cellStyle name="_TableHead_Sheet1_actuate_cashflows pan european 500mm" xfId="4805"/>
    <cellStyle name="_TableHead_Sheet1_actuate_cashflows staats" xfId="4806"/>
    <cellStyle name="_TableHead_Sheet1_actuate_excess returns bm matching pf" xfId="4807"/>
    <cellStyle name="_TableHead_Sheet1_actuate_ilb reeel only" xfId="4808"/>
    <cellStyle name="_TableHead_Sheet1_actuate_nominale counterpart ilb" xfId="4809"/>
    <cellStyle name="_TableHead_Sheet1_actuate_tijdseries" xfId="4810"/>
    <cellStyle name="_TableHead_Sheet1_actuate_tijdseries 2" xfId="7310"/>
    <cellStyle name="_TableHead_Sheet1_actuate_tijdseries_bei rates" xfId="6674"/>
    <cellStyle name="_TableHead_Sheet1_actuate_tijdseries_par swap rates" xfId="6042"/>
    <cellStyle name="_TableHead_Sheet1_actuate_vpv" xfId="4811"/>
    <cellStyle name="_TableHead_Sheet1_actuate_vpv 2" xfId="7311"/>
    <cellStyle name="_TableHead_Sheet1_actuate_vpv return serie" xfId="4812"/>
    <cellStyle name="_TableHead_Sheet1_actuate_vpv return serie 2" xfId="7312"/>
    <cellStyle name="_TableHead_Sheet1_actuate_vpv return serie_bei rates" xfId="6676"/>
    <cellStyle name="_TableHead_Sheet1_actuate_vpv return serie_par swap rates" xfId="6044"/>
    <cellStyle name="_TableHead_Sheet1_actuate_vpv_bei rates" xfId="6675"/>
    <cellStyle name="_TableHead_Sheet1_actuate_vpv_par swap rates" xfId="6043"/>
    <cellStyle name="_TableHead_Sheet1_beleggingen" xfId="4813"/>
    <cellStyle name="_TableHead_Sheet1_beleggingen 2" xfId="7313"/>
    <cellStyle name="_TableHead_Sheet1_beleggingen_bei rates" xfId="6677"/>
    <cellStyle name="_TableHead_Sheet1_beleggingen_par swap rates" xfId="6045"/>
    <cellStyle name="_TableHead_Sheet1_cashflows corp" xfId="4814"/>
    <cellStyle name="_TableHead_Sheet1_cashflows Gov't AAA" xfId="4815"/>
    <cellStyle name="_TableHead_Sheet1_cashflows ilb" xfId="4816"/>
    <cellStyle name="_TableHead_Sheet1_cashflows lang staats" xfId="4817"/>
    <cellStyle name="_TableHead_Sheet1_cashflows pan european 500mm" xfId="4818"/>
    <cellStyle name="_TableHead_Sheet1_cashflows staats" xfId="4819"/>
    <cellStyle name="_TableHead_Sheet1_dv01" xfId="1062"/>
    <cellStyle name="_TableHead_Sheet1_excess returns bm matching pf" xfId="4820"/>
    <cellStyle name="_TableHead_Sheet1_feitelijk rendement" xfId="4821"/>
    <cellStyle name="_TableHead_Sheet1_feitelijk rendement 2" xfId="7314"/>
    <cellStyle name="_TableHead_Sheet1_feitelijk rendement_bei rates" xfId="6678"/>
    <cellStyle name="_TableHead_Sheet1_feitelijk rendement_par swap rates" xfId="6046"/>
    <cellStyle name="_TableHead_Sheet1_Gexa Multi Asset Path Generator" xfId="1063"/>
    <cellStyle name="_TableHead_Sheet1_ilb reeel only" xfId="4822"/>
    <cellStyle name="_TableHead_Sheet1_nominale counterpart ilb" xfId="4823"/>
    <cellStyle name="_TableHead_Sheet1_tijdseries" xfId="4824"/>
    <cellStyle name="_TableHead_Sheet1_tijdseries 2" xfId="7315"/>
    <cellStyle name="_TableHead_Sheet1_tijdseries_bei rates" xfId="6679"/>
    <cellStyle name="_TableHead_Sheet1_tijdseries_par swap rates" xfId="6047"/>
    <cellStyle name="_TableHead_Sheet1_vpv" xfId="4825"/>
    <cellStyle name="_TableHead_Sheet1_vpv 2" xfId="7316"/>
    <cellStyle name="_TableHead_Sheet1_vpv return serie" xfId="4826"/>
    <cellStyle name="_TableHead_Sheet1_vpv return serie 2" xfId="7317"/>
    <cellStyle name="_TableHead_Sheet1_vpv return serie_bei rates" xfId="6681"/>
    <cellStyle name="_TableHead_Sheet1_vpv return serie_par swap rates" xfId="6049"/>
    <cellStyle name="_TableHead_Sheet1_vpv_bei rates" xfId="6680"/>
    <cellStyle name="_TableHead_Sheet1_vpv_par swap rates" xfId="6048"/>
    <cellStyle name="_TableHead_SPP Values as at 12 June 05" xfId="1064"/>
    <cellStyle name="_TableHead_Tableau" xfId="1065"/>
    <cellStyle name="_TableHead_Tableau 2" xfId="3442"/>
    <cellStyle name="_TableHead_Tableau 3" xfId="2291"/>
    <cellStyle name="_TableHead_Tableau_actuate" xfId="1066"/>
    <cellStyle name="_TableHead_Tableau_actuate 2" xfId="3443"/>
    <cellStyle name="_TableHead_Tableau_actuate 3" xfId="2292"/>
    <cellStyle name="_TableHead_Tableau_actuate_cashflows corp" xfId="4827"/>
    <cellStyle name="_TableHead_Tableau_actuate_cashflows Gov't AAA" xfId="4828"/>
    <cellStyle name="_TableHead_Tableau_actuate_cashflows ilb" xfId="4829"/>
    <cellStyle name="_TableHead_Tableau_actuate_cashflows lang staats" xfId="4830"/>
    <cellStyle name="_TableHead_Tableau_actuate_cashflows pan european 500mm" xfId="4831"/>
    <cellStyle name="_TableHead_Tableau_actuate_cashflows staats" xfId="4832"/>
    <cellStyle name="_TableHead_Tableau_actuate_excess returns bm matching pf" xfId="4833"/>
    <cellStyle name="_TableHead_Tableau_actuate_ilb reeel only" xfId="4834"/>
    <cellStyle name="_TableHead_Tableau_actuate_nominale counterpart ilb" xfId="4835"/>
    <cellStyle name="_TableHead_Tableau_actuate_tijdseries" xfId="4836"/>
    <cellStyle name="_TableHead_Tableau_actuate_tijdseries 2" xfId="7318"/>
    <cellStyle name="_TableHead_Tableau_actuate_tijdseries_bei rates" xfId="6682"/>
    <cellStyle name="_TableHead_Tableau_actuate_tijdseries_par swap rates" xfId="6050"/>
    <cellStyle name="_TableHead_Tableau_actuate_vpv" xfId="4837"/>
    <cellStyle name="_TableHead_Tableau_actuate_vpv 2" xfId="7319"/>
    <cellStyle name="_TableHead_Tableau_actuate_vpv return serie" xfId="4838"/>
    <cellStyle name="_TableHead_Tableau_actuate_vpv return serie 2" xfId="7320"/>
    <cellStyle name="_TableHead_Tableau_actuate_vpv return serie_bei rates" xfId="6684"/>
    <cellStyle name="_TableHead_Tableau_actuate_vpv return serie_par swap rates" xfId="6052"/>
    <cellStyle name="_TableHead_Tableau_actuate_vpv_bei rates" xfId="6683"/>
    <cellStyle name="_TableHead_Tableau_actuate_vpv_par swap rates" xfId="6051"/>
    <cellStyle name="_TableHead_Tableau_beleggingen" xfId="4839"/>
    <cellStyle name="_TableHead_Tableau_beleggingen 2" xfId="7321"/>
    <cellStyle name="_TableHead_Tableau_beleggingen_bei rates" xfId="6685"/>
    <cellStyle name="_TableHead_Tableau_beleggingen_par swap rates" xfId="6053"/>
    <cellStyle name="_TableHead_Tableau_cashflows corp" xfId="4840"/>
    <cellStyle name="_TableHead_Tableau_cashflows Gov't AAA" xfId="4841"/>
    <cellStyle name="_TableHead_Tableau_cashflows ilb" xfId="4842"/>
    <cellStyle name="_TableHead_Tableau_cashflows lang staats" xfId="4843"/>
    <cellStyle name="_TableHead_Tableau_cashflows pan european 500mm" xfId="4844"/>
    <cellStyle name="_TableHead_Tableau_cashflows staats" xfId="4845"/>
    <cellStyle name="_TableHead_Tableau_dv01" xfId="1067"/>
    <cellStyle name="_TableHead_Tableau_excess returns bm matching pf" xfId="4846"/>
    <cellStyle name="_TableHead_Tableau_feitelijk rendement" xfId="4847"/>
    <cellStyle name="_TableHead_Tableau_feitelijk rendement 2" xfId="7322"/>
    <cellStyle name="_TableHead_Tableau_feitelijk rendement_bei rates" xfId="6686"/>
    <cellStyle name="_TableHead_Tableau_feitelijk rendement_par swap rates" xfId="6054"/>
    <cellStyle name="_TableHead_Tableau_ilb reeel only" xfId="4848"/>
    <cellStyle name="_TableHead_Tableau_nominale counterpart ilb" xfId="4849"/>
    <cellStyle name="_TableHead_Tableau_tijdseries" xfId="4850"/>
    <cellStyle name="_TableHead_Tableau_tijdseries 2" xfId="7323"/>
    <cellStyle name="_TableHead_Tableau_tijdseries_bei rates" xfId="6687"/>
    <cellStyle name="_TableHead_Tableau_tijdseries_par swap rates" xfId="6055"/>
    <cellStyle name="_TableHead_Tableau_vpv" xfId="4851"/>
    <cellStyle name="_TableHead_Tableau_vpv 2" xfId="7324"/>
    <cellStyle name="_TableHead_Tableau_vpv return serie" xfId="4852"/>
    <cellStyle name="_TableHead_Tableau_vpv return serie 2" xfId="7325"/>
    <cellStyle name="_TableHead_Tableau_vpv return serie_bei rates" xfId="6689"/>
    <cellStyle name="_TableHead_Tableau_vpv return serie_par swap rates" xfId="6057"/>
    <cellStyle name="_TableHead_Tableau_vpv_bei rates" xfId="6688"/>
    <cellStyle name="_TableHead_Tableau_vpv_par swap rates" xfId="6056"/>
    <cellStyle name="_TableRowHead" xfId="1068"/>
    <cellStyle name="_TableRowHead_allocatie" xfId="1069"/>
    <cellStyle name="_TableRowHead_allocatie 2" xfId="3446"/>
    <cellStyle name="_TableRowHead_allocatie 3" xfId="2293"/>
    <cellStyle name="_TableRowHead_allocatie_actuate" xfId="1070"/>
    <cellStyle name="_TableRowHead_allocatie_actuate 2" xfId="3447"/>
    <cellStyle name="_TableRowHead_allocatie_actuate 3" xfId="2294"/>
    <cellStyle name="_TableRowHead_allocatie_actuate_cashflows corp" xfId="4853"/>
    <cellStyle name="_TableRowHead_allocatie_actuate_cashflows Gov't AAA" xfId="4854"/>
    <cellStyle name="_TableRowHead_allocatie_actuate_cashflows ilb" xfId="4855"/>
    <cellStyle name="_TableRowHead_allocatie_actuate_cashflows lang staats" xfId="4856"/>
    <cellStyle name="_TableRowHead_allocatie_actuate_cashflows pan european 500mm" xfId="4857"/>
    <cellStyle name="_TableRowHead_allocatie_actuate_cashflows staats" xfId="4858"/>
    <cellStyle name="_TableRowHead_allocatie_actuate_excess returns bm matching pf" xfId="4859"/>
    <cellStyle name="_TableRowHead_allocatie_actuate_ilb reeel only" xfId="4860"/>
    <cellStyle name="_TableRowHead_allocatie_actuate_nominale counterpart ilb" xfId="4861"/>
    <cellStyle name="_TableRowHead_allocatie_actuate_tijdseries" xfId="4862"/>
    <cellStyle name="_TableRowHead_allocatie_actuate_tijdseries 2" xfId="7326"/>
    <cellStyle name="_TableRowHead_allocatie_actuate_tijdseries_bei rates" xfId="6690"/>
    <cellStyle name="_TableRowHead_allocatie_actuate_tijdseries_par swap rates" xfId="6058"/>
    <cellStyle name="_TableRowHead_allocatie_actuate_vpv" xfId="4863"/>
    <cellStyle name="_TableRowHead_allocatie_actuate_vpv 2" xfId="7327"/>
    <cellStyle name="_TableRowHead_allocatie_actuate_vpv return serie" xfId="4864"/>
    <cellStyle name="_TableRowHead_allocatie_actuate_vpv return serie 2" xfId="7328"/>
    <cellStyle name="_TableRowHead_allocatie_actuate_vpv return serie_bei rates" xfId="6692"/>
    <cellStyle name="_TableRowHead_allocatie_actuate_vpv return serie_par swap rates" xfId="6060"/>
    <cellStyle name="_TableRowHead_allocatie_actuate_vpv_bei rates" xfId="6691"/>
    <cellStyle name="_TableRowHead_allocatie_actuate_vpv_par swap rates" xfId="6059"/>
    <cellStyle name="_TableRowHead_allocatie_beleggingen" xfId="4865"/>
    <cellStyle name="_TableRowHead_allocatie_beleggingen 2" xfId="7329"/>
    <cellStyle name="_TableRowHead_allocatie_beleggingen_bei rates" xfId="6693"/>
    <cellStyle name="_TableRowHead_allocatie_beleggingen_par swap rates" xfId="6061"/>
    <cellStyle name="_TableRowHead_allocatie_cashflows corp" xfId="4866"/>
    <cellStyle name="_TableRowHead_allocatie_cashflows Gov't AAA" xfId="4867"/>
    <cellStyle name="_TableRowHead_allocatie_cashflows ilb" xfId="4868"/>
    <cellStyle name="_TableRowHead_allocatie_cashflows lang staats" xfId="4869"/>
    <cellStyle name="_TableRowHead_allocatie_cashflows pan european 500mm" xfId="4870"/>
    <cellStyle name="_TableRowHead_allocatie_cashflows staats" xfId="4871"/>
    <cellStyle name="_TableRowHead_allocatie_dv01" xfId="1071"/>
    <cellStyle name="_TableRowHead_allocatie_excess returns bm matching pf" xfId="4872"/>
    <cellStyle name="_TableRowHead_allocatie_feitelijk rendement" xfId="4873"/>
    <cellStyle name="_TableRowHead_allocatie_feitelijk rendement 2" xfId="7330"/>
    <cellStyle name="_TableRowHead_allocatie_feitelijk rendement_bei rates" xfId="6694"/>
    <cellStyle name="_TableRowHead_allocatie_feitelijk rendement_par swap rates" xfId="6062"/>
    <cellStyle name="_TableRowHead_allocatie_ilb reeel only" xfId="4874"/>
    <cellStyle name="_TableRowHead_allocatie_nominale counterpart ilb" xfId="4875"/>
    <cellStyle name="_TableRowHead_allocatie_tijdseries" xfId="4876"/>
    <cellStyle name="_TableRowHead_allocatie_tijdseries 2" xfId="7331"/>
    <cellStyle name="_TableRowHead_allocatie_tijdseries_bei rates" xfId="6695"/>
    <cellStyle name="_TableRowHead_allocatie_tijdseries_par swap rates" xfId="6063"/>
    <cellStyle name="_TableRowHead_allocatie_vpv" xfId="4877"/>
    <cellStyle name="_TableRowHead_allocatie_vpv 2" xfId="7332"/>
    <cellStyle name="_TableRowHead_allocatie_vpv return serie" xfId="4878"/>
    <cellStyle name="_TableRowHead_allocatie_vpv return serie 2" xfId="7333"/>
    <cellStyle name="_TableRowHead_allocatie_vpv return serie_bei rates" xfId="6697"/>
    <cellStyle name="_TableRowHead_allocatie_vpv return serie_par swap rates" xfId="6065"/>
    <cellStyle name="_TableRowHead_allocatie_vpv_bei rates" xfId="6696"/>
    <cellStyle name="_TableRowHead_allocatie_vpv_par swap rates" xfId="6064"/>
    <cellStyle name="_TableRowHead_Asset Cashflows" xfId="1072"/>
    <cellStyle name="_TableRowHead_Asset Cashflows 2" xfId="3449"/>
    <cellStyle name="_TableRowHead_Asset Cashflows 3" xfId="2295"/>
    <cellStyle name="_TableRowHead_Asset Cashflows_actuate" xfId="1073"/>
    <cellStyle name="_TableRowHead_Asset Cashflows_actuate 2" xfId="3450"/>
    <cellStyle name="_TableRowHead_Asset Cashflows_actuate 3" xfId="2296"/>
    <cellStyle name="_TableRowHead_Asset Cashflows_actuate_cashflows corp" xfId="4879"/>
    <cellStyle name="_TableRowHead_Asset Cashflows_actuate_cashflows Gov't AAA" xfId="4880"/>
    <cellStyle name="_TableRowHead_Asset Cashflows_actuate_cashflows ilb" xfId="4881"/>
    <cellStyle name="_TableRowHead_Asset Cashflows_actuate_cashflows lang staats" xfId="4882"/>
    <cellStyle name="_TableRowHead_Asset Cashflows_actuate_cashflows pan european 500mm" xfId="4883"/>
    <cellStyle name="_TableRowHead_Asset Cashflows_actuate_cashflows staats" xfId="4884"/>
    <cellStyle name="_TableRowHead_Asset Cashflows_actuate_excess returns bm matching pf" xfId="4885"/>
    <cellStyle name="_TableRowHead_Asset Cashflows_actuate_ilb reeel only" xfId="4886"/>
    <cellStyle name="_TableRowHead_Asset Cashflows_actuate_nominale counterpart ilb" xfId="4887"/>
    <cellStyle name="_TableRowHead_Asset Cashflows_actuate_tijdseries" xfId="4888"/>
    <cellStyle name="_TableRowHead_Asset Cashflows_actuate_tijdseries 2" xfId="7334"/>
    <cellStyle name="_TableRowHead_Asset Cashflows_actuate_tijdseries_bei rates" xfId="6698"/>
    <cellStyle name="_TableRowHead_Asset Cashflows_actuate_tijdseries_par swap rates" xfId="6066"/>
    <cellStyle name="_TableRowHead_Asset Cashflows_actuate_vpv" xfId="4889"/>
    <cellStyle name="_TableRowHead_Asset Cashflows_actuate_vpv 2" xfId="7335"/>
    <cellStyle name="_TableRowHead_Asset Cashflows_actuate_vpv return serie" xfId="4890"/>
    <cellStyle name="_TableRowHead_Asset Cashflows_actuate_vpv return serie 2" xfId="7336"/>
    <cellStyle name="_TableRowHead_Asset Cashflows_actuate_vpv return serie_bei rates" xfId="6700"/>
    <cellStyle name="_TableRowHead_Asset Cashflows_actuate_vpv return serie_par swap rates" xfId="6068"/>
    <cellStyle name="_TableRowHead_Asset Cashflows_actuate_vpv_bei rates" xfId="6699"/>
    <cellStyle name="_TableRowHead_Asset Cashflows_actuate_vpv_par swap rates" xfId="6067"/>
    <cellStyle name="_TableRowHead_Asset Cashflows_beleggingen" xfId="4891"/>
    <cellStyle name="_TableRowHead_Asset Cashflows_beleggingen 2" xfId="7337"/>
    <cellStyle name="_TableRowHead_Asset Cashflows_beleggingen_bei rates" xfId="6701"/>
    <cellStyle name="_TableRowHead_Asset Cashflows_beleggingen_par swap rates" xfId="6069"/>
    <cellStyle name="_TableRowHead_Asset Cashflows_cashflows corp" xfId="4892"/>
    <cellStyle name="_TableRowHead_Asset Cashflows_cashflows Gov't AAA" xfId="4893"/>
    <cellStyle name="_TableRowHead_Asset Cashflows_cashflows ilb" xfId="4894"/>
    <cellStyle name="_TableRowHead_Asset Cashflows_cashflows lang staats" xfId="4895"/>
    <cellStyle name="_TableRowHead_Asset Cashflows_cashflows pan european 500mm" xfId="4896"/>
    <cellStyle name="_TableRowHead_Asset Cashflows_cashflows staats" xfId="4897"/>
    <cellStyle name="_TableRowHead_Asset Cashflows_dv01" xfId="1074"/>
    <cellStyle name="_TableRowHead_Asset Cashflows_excess returns bm matching pf" xfId="4898"/>
    <cellStyle name="_TableRowHead_Asset Cashflows_feitelijk rendement" xfId="4899"/>
    <cellStyle name="_TableRowHead_Asset Cashflows_feitelijk rendement 2" xfId="7338"/>
    <cellStyle name="_TableRowHead_Asset Cashflows_feitelijk rendement_bei rates" xfId="6702"/>
    <cellStyle name="_TableRowHead_Asset Cashflows_feitelijk rendement_par swap rates" xfId="6070"/>
    <cellStyle name="_TableRowHead_Asset Cashflows_ilb reeel only" xfId="4900"/>
    <cellStyle name="_TableRowHead_Asset Cashflows_nominale counterpart ilb" xfId="4901"/>
    <cellStyle name="_TableRowHead_Asset Cashflows_tijdseries" xfId="4902"/>
    <cellStyle name="_TableRowHead_Asset Cashflows_tijdseries 2" xfId="7339"/>
    <cellStyle name="_TableRowHead_Asset Cashflows_tijdseries_bei rates" xfId="6703"/>
    <cellStyle name="_TableRowHead_Asset Cashflows_tijdseries_par swap rates" xfId="6071"/>
    <cellStyle name="_TableRowHead_Asset Cashflows_vpv" xfId="4903"/>
    <cellStyle name="_TableRowHead_Asset Cashflows_vpv 2" xfId="7340"/>
    <cellStyle name="_TableRowHead_Asset Cashflows_vpv return serie" xfId="4904"/>
    <cellStyle name="_TableRowHead_Asset Cashflows_vpv return serie 2" xfId="7341"/>
    <cellStyle name="_TableRowHead_Asset Cashflows_vpv return serie_bei rates" xfId="6705"/>
    <cellStyle name="_TableRowHead_Asset Cashflows_vpv return serie_par swap rates" xfId="6073"/>
    <cellStyle name="_TableRowHead_Asset Cashflows_vpv_bei rates" xfId="6704"/>
    <cellStyle name="_TableRowHead_Asset Cashflows_vpv_par swap rates" xfId="6072"/>
    <cellStyle name="_TableRowHead_CashFlows " xfId="1075"/>
    <cellStyle name="_TableRowHead_CashFlows  2" xfId="3452"/>
    <cellStyle name="_TableRowHead_CashFlows  3" xfId="2297"/>
    <cellStyle name="_TableRowHead_CashFlows _actuate" xfId="1076"/>
    <cellStyle name="_TableRowHead_CashFlows _actuate 2" xfId="3453"/>
    <cellStyle name="_TableRowHead_CashFlows _actuate 3" xfId="2298"/>
    <cellStyle name="_TableRowHead_CashFlows _actuate_cashflows corp" xfId="4905"/>
    <cellStyle name="_TableRowHead_CashFlows _actuate_cashflows Gov't AAA" xfId="4906"/>
    <cellStyle name="_TableRowHead_CashFlows _actuate_cashflows ilb" xfId="4907"/>
    <cellStyle name="_TableRowHead_CashFlows _actuate_cashflows lang staats" xfId="4908"/>
    <cellStyle name="_TableRowHead_CashFlows _actuate_cashflows pan european 500mm" xfId="4909"/>
    <cellStyle name="_TableRowHead_CashFlows _actuate_cashflows staats" xfId="4910"/>
    <cellStyle name="_TableRowHead_CashFlows _actuate_excess returns bm matching pf" xfId="4911"/>
    <cellStyle name="_TableRowHead_CashFlows _actuate_ilb reeel only" xfId="4912"/>
    <cellStyle name="_TableRowHead_CashFlows _actuate_nominale counterpart ilb" xfId="4913"/>
    <cellStyle name="_TableRowHead_CashFlows _actuate_tijdseries" xfId="4914"/>
    <cellStyle name="_TableRowHead_CashFlows _actuate_tijdseries 2" xfId="7342"/>
    <cellStyle name="_TableRowHead_CashFlows _actuate_tijdseries_bei rates" xfId="6706"/>
    <cellStyle name="_TableRowHead_CashFlows _actuate_tijdseries_par swap rates" xfId="6074"/>
    <cellStyle name="_TableRowHead_CashFlows _actuate_vpv" xfId="4915"/>
    <cellStyle name="_TableRowHead_CashFlows _actuate_vpv 2" xfId="7343"/>
    <cellStyle name="_TableRowHead_CashFlows _actuate_vpv return serie" xfId="4916"/>
    <cellStyle name="_TableRowHead_CashFlows _actuate_vpv return serie 2" xfId="7344"/>
    <cellStyle name="_TableRowHead_CashFlows _actuate_vpv return serie_bei rates" xfId="6708"/>
    <cellStyle name="_TableRowHead_CashFlows _actuate_vpv return serie_par swap rates" xfId="6076"/>
    <cellStyle name="_TableRowHead_CashFlows _actuate_vpv_bei rates" xfId="6707"/>
    <cellStyle name="_TableRowHead_CashFlows _actuate_vpv_par swap rates" xfId="6075"/>
    <cellStyle name="_TableRowHead_CashFlows _beleggingen" xfId="4917"/>
    <cellStyle name="_TableRowHead_CashFlows _beleggingen 2" xfId="7345"/>
    <cellStyle name="_TableRowHead_CashFlows _beleggingen_bei rates" xfId="6709"/>
    <cellStyle name="_TableRowHead_CashFlows _beleggingen_par swap rates" xfId="6077"/>
    <cellStyle name="_TableRowHead_CashFlows _cashflows corp" xfId="4918"/>
    <cellStyle name="_TableRowHead_CashFlows _cashflows Gov't AAA" xfId="4919"/>
    <cellStyle name="_TableRowHead_CashFlows _cashflows ilb" xfId="4920"/>
    <cellStyle name="_TableRowHead_CashFlows _cashflows lang staats" xfId="4921"/>
    <cellStyle name="_TableRowHead_CashFlows _cashflows pan european 500mm" xfId="4922"/>
    <cellStyle name="_TableRowHead_CashFlows _cashflows staats" xfId="4923"/>
    <cellStyle name="_TableRowHead_CashFlows _dv01" xfId="1077"/>
    <cellStyle name="_TableRowHead_CashFlows _excess returns bm matching pf" xfId="4924"/>
    <cellStyle name="_TableRowHead_CashFlows _feitelijk rendement" xfId="4925"/>
    <cellStyle name="_TableRowHead_CashFlows _feitelijk rendement 2" xfId="7346"/>
    <cellStyle name="_TableRowHead_CashFlows _feitelijk rendement_bei rates" xfId="6710"/>
    <cellStyle name="_TableRowHead_CashFlows _feitelijk rendement_par swap rates" xfId="6078"/>
    <cellStyle name="_TableRowHead_CashFlows _ilb reeel only" xfId="4926"/>
    <cellStyle name="_TableRowHead_CashFlows _nominale counterpart ilb" xfId="4927"/>
    <cellStyle name="_TableRowHead_CashFlows _tijdseries" xfId="4928"/>
    <cellStyle name="_TableRowHead_CashFlows _tijdseries 2" xfId="7347"/>
    <cellStyle name="_TableRowHead_CashFlows _tijdseries_bei rates" xfId="6711"/>
    <cellStyle name="_TableRowHead_CashFlows _tijdseries_par swap rates" xfId="6079"/>
    <cellStyle name="_TableRowHead_CashFlows _vpv" xfId="4929"/>
    <cellStyle name="_TableRowHead_CashFlows _vpv 2" xfId="7348"/>
    <cellStyle name="_TableRowHead_CashFlows _vpv return serie" xfId="4930"/>
    <cellStyle name="_TableRowHead_CashFlows _vpv return serie 2" xfId="7349"/>
    <cellStyle name="_TableRowHead_CashFlows _vpv return serie_bei rates" xfId="6713"/>
    <cellStyle name="_TableRowHead_CashFlows _vpv return serie_par swap rates" xfId="6081"/>
    <cellStyle name="_TableRowHead_CashFlows _vpv_bei rates" xfId="6712"/>
    <cellStyle name="_TableRowHead_CashFlows _vpv_par swap rates" xfId="6080"/>
    <cellStyle name="_TableRowHead_Combined CashFlows" xfId="1078"/>
    <cellStyle name="_TableRowHead_Combined CashFlows 2" xfId="3455"/>
    <cellStyle name="_TableRowHead_Combined CashFlows 3" xfId="2299"/>
    <cellStyle name="_TableRowHead_Combined CashFlows_actuate" xfId="1079"/>
    <cellStyle name="_TableRowHead_Combined CashFlows_actuate 2" xfId="3456"/>
    <cellStyle name="_TableRowHead_Combined CashFlows_actuate 3" xfId="2300"/>
    <cellStyle name="_TableRowHead_Combined CashFlows_actuate_cashflows corp" xfId="4931"/>
    <cellStyle name="_TableRowHead_Combined CashFlows_actuate_cashflows Gov't AAA" xfId="4932"/>
    <cellStyle name="_TableRowHead_Combined CashFlows_actuate_cashflows ilb" xfId="4933"/>
    <cellStyle name="_TableRowHead_Combined CashFlows_actuate_cashflows lang staats" xfId="4934"/>
    <cellStyle name="_TableRowHead_Combined CashFlows_actuate_cashflows pan european 500mm" xfId="4935"/>
    <cellStyle name="_TableRowHead_Combined CashFlows_actuate_cashflows staats" xfId="4936"/>
    <cellStyle name="_TableRowHead_Combined CashFlows_actuate_excess returns bm matching pf" xfId="4937"/>
    <cellStyle name="_TableRowHead_Combined CashFlows_actuate_ilb reeel only" xfId="4938"/>
    <cellStyle name="_TableRowHead_Combined CashFlows_actuate_nominale counterpart ilb" xfId="4939"/>
    <cellStyle name="_TableRowHead_Combined CashFlows_actuate_tijdseries" xfId="4940"/>
    <cellStyle name="_TableRowHead_Combined CashFlows_actuate_tijdseries 2" xfId="7350"/>
    <cellStyle name="_TableRowHead_Combined CashFlows_actuate_tijdseries_bei rates" xfId="6714"/>
    <cellStyle name="_TableRowHead_Combined CashFlows_actuate_tijdseries_par swap rates" xfId="6082"/>
    <cellStyle name="_TableRowHead_Combined CashFlows_actuate_vpv" xfId="4941"/>
    <cellStyle name="_TableRowHead_Combined CashFlows_actuate_vpv 2" xfId="7351"/>
    <cellStyle name="_TableRowHead_Combined CashFlows_actuate_vpv return serie" xfId="4942"/>
    <cellStyle name="_TableRowHead_Combined CashFlows_actuate_vpv return serie 2" xfId="7352"/>
    <cellStyle name="_TableRowHead_Combined CashFlows_actuate_vpv return serie_bei rates" xfId="6716"/>
    <cellStyle name="_TableRowHead_Combined CashFlows_actuate_vpv return serie_par swap rates" xfId="6084"/>
    <cellStyle name="_TableRowHead_Combined CashFlows_actuate_vpv_bei rates" xfId="6715"/>
    <cellStyle name="_TableRowHead_Combined CashFlows_actuate_vpv_par swap rates" xfId="6083"/>
    <cellStyle name="_TableRowHead_Combined CashFlows_beleggingen" xfId="4943"/>
    <cellStyle name="_TableRowHead_Combined CashFlows_beleggingen 2" xfId="7353"/>
    <cellStyle name="_TableRowHead_Combined CashFlows_beleggingen_bei rates" xfId="6717"/>
    <cellStyle name="_TableRowHead_Combined CashFlows_beleggingen_par swap rates" xfId="6085"/>
    <cellStyle name="_TableRowHead_Combined CashFlows_cashflows corp" xfId="4944"/>
    <cellStyle name="_TableRowHead_Combined CashFlows_cashflows Gov't AAA" xfId="4945"/>
    <cellStyle name="_TableRowHead_Combined CashFlows_cashflows ilb" xfId="4946"/>
    <cellStyle name="_TableRowHead_Combined CashFlows_cashflows lang staats" xfId="4947"/>
    <cellStyle name="_TableRowHead_Combined CashFlows_cashflows pan european 500mm" xfId="4948"/>
    <cellStyle name="_TableRowHead_Combined CashFlows_cashflows staats" xfId="4949"/>
    <cellStyle name="_TableRowHead_Combined CashFlows_dv01" xfId="1080"/>
    <cellStyle name="_TableRowHead_Combined CashFlows_excess returns bm matching pf" xfId="4950"/>
    <cellStyle name="_TableRowHead_Combined CashFlows_feitelijk rendement" xfId="4951"/>
    <cellStyle name="_TableRowHead_Combined CashFlows_feitelijk rendement 2" xfId="7354"/>
    <cellStyle name="_TableRowHead_Combined CashFlows_feitelijk rendement_bei rates" xfId="6718"/>
    <cellStyle name="_TableRowHead_Combined CashFlows_feitelijk rendement_par swap rates" xfId="6086"/>
    <cellStyle name="_TableRowHead_Combined CashFlows_ilb reeel only" xfId="4952"/>
    <cellStyle name="_TableRowHead_Combined CashFlows_nominale counterpart ilb" xfId="4953"/>
    <cellStyle name="_TableRowHead_Combined CashFlows_tijdseries" xfId="4954"/>
    <cellStyle name="_TableRowHead_Combined CashFlows_tijdseries 2" xfId="7355"/>
    <cellStyle name="_TableRowHead_Combined CashFlows_tijdseries_bei rates" xfId="6719"/>
    <cellStyle name="_TableRowHead_Combined CashFlows_tijdseries_par swap rates" xfId="6087"/>
    <cellStyle name="_TableRowHead_Combined CashFlows_vpv" xfId="4955"/>
    <cellStyle name="_TableRowHead_Combined CashFlows_vpv 2" xfId="7356"/>
    <cellStyle name="_TableRowHead_Combined CashFlows_vpv return serie" xfId="4956"/>
    <cellStyle name="_TableRowHead_Combined CashFlows_vpv return serie 2" xfId="7357"/>
    <cellStyle name="_TableRowHead_Combined CashFlows_vpv return serie_bei rates" xfId="6721"/>
    <cellStyle name="_TableRowHead_Combined CashFlows_vpv return serie_par swap rates" xfId="6089"/>
    <cellStyle name="_TableRowHead_Combined CashFlows_vpv_bei rates" xfId="6720"/>
    <cellStyle name="_TableRowHead_Combined CashFlows_vpv_par swap rates" xfId="6088"/>
    <cellStyle name="_TableRowHead_FP Liabilities_19oct05 v2" xfId="1081"/>
    <cellStyle name="_TableRowHead_FP Liabilities_19oct05 v2 2" xfId="3458"/>
    <cellStyle name="_TableRowHead_FP Liabilities_19oct05 v2 3" xfId="2301"/>
    <cellStyle name="_TableRowHead_FP Liabilities_19oct05 v2_actuate" xfId="1082"/>
    <cellStyle name="_TableRowHead_FP Liabilities_19oct05 v2_actuate 2" xfId="3459"/>
    <cellStyle name="_TableRowHead_FP Liabilities_19oct05 v2_actuate 3" xfId="2302"/>
    <cellStyle name="_TableRowHead_FP Liabilities_19oct05 v2_actuate_cashflows corp" xfId="4957"/>
    <cellStyle name="_TableRowHead_FP Liabilities_19oct05 v2_actuate_cashflows Gov't AAA" xfId="4958"/>
    <cellStyle name="_TableRowHead_FP Liabilities_19oct05 v2_actuate_cashflows ilb" xfId="4959"/>
    <cellStyle name="_TableRowHead_FP Liabilities_19oct05 v2_actuate_cashflows lang staats" xfId="4960"/>
    <cellStyle name="_TableRowHead_FP Liabilities_19oct05 v2_actuate_cashflows pan european 500mm" xfId="4961"/>
    <cellStyle name="_TableRowHead_FP Liabilities_19oct05 v2_actuate_cashflows staats" xfId="4962"/>
    <cellStyle name="_TableRowHead_FP Liabilities_19oct05 v2_actuate_excess returns bm matching pf" xfId="4963"/>
    <cellStyle name="_TableRowHead_FP Liabilities_19oct05 v2_actuate_ilb reeel only" xfId="4964"/>
    <cellStyle name="_TableRowHead_FP Liabilities_19oct05 v2_actuate_nominale counterpart ilb" xfId="4965"/>
    <cellStyle name="_TableRowHead_FP Liabilities_19oct05 v2_actuate_tijdseries" xfId="4966"/>
    <cellStyle name="_TableRowHead_FP Liabilities_19oct05 v2_actuate_tijdseries 2" xfId="7358"/>
    <cellStyle name="_TableRowHead_FP Liabilities_19oct05 v2_actuate_tijdseries_bei rates" xfId="6722"/>
    <cellStyle name="_TableRowHead_FP Liabilities_19oct05 v2_actuate_tijdseries_par swap rates" xfId="6090"/>
    <cellStyle name="_TableRowHead_FP Liabilities_19oct05 v2_actuate_vpv" xfId="4967"/>
    <cellStyle name="_TableRowHead_FP Liabilities_19oct05 v2_actuate_vpv 2" xfId="7359"/>
    <cellStyle name="_TableRowHead_FP Liabilities_19oct05 v2_actuate_vpv return serie" xfId="4968"/>
    <cellStyle name="_TableRowHead_FP Liabilities_19oct05 v2_actuate_vpv return serie 2" xfId="7360"/>
    <cellStyle name="_TableRowHead_FP Liabilities_19oct05 v2_actuate_vpv return serie_bei rates" xfId="6724"/>
    <cellStyle name="_TableRowHead_FP Liabilities_19oct05 v2_actuate_vpv return serie_par swap rates" xfId="6092"/>
    <cellStyle name="_TableRowHead_FP Liabilities_19oct05 v2_actuate_vpv_bei rates" xfId="6723"/>
    <cellStyle name="_TableRowHead_FP Liabilities_19oct05 v2_actuate_vpv_par swap rates" xfId="6091"/>
    <cellStyle name="_TableRowHead_FP Liabilities_19oct05 v2_beleggingen" xfId="4969"/>
    <cellStyle name="_TableRowHead_FP Liabilities_19oct05 v2_beleggingen 2" xfId="7361"/>
    <cellStyle name="_TableRowHead_FP Liabilities_19oct05 v2_beleggingen_bei rates" xfId="6725"/>
    <cellStyle name="_TableRowHead_FP Liabilities_19oct05 v2_beleggingen_par swap rates" xfId="6093"/>
    <cellStyle name="_TableRowHead_FP Liabilities_19oct05 v2_cashflows corp" xfId="4970"/>
    <cellStyle name="_TableRowHead_FP Liabilities_19oct05 v2_cashflows Gov't AAA" xfId="4971"/>
    <cellStyle name="_TableRowHead_FP Liabilities_19oct05 v2_cashflows ilb" xfId="4972"/>
    <cellStyle name="_TableRowHead_FP Liabilities_19oct05 v2_cashflows lang staats" xfId="4973"/>
    <cellStyle name="_TableRowHead_FP Liabilities_19oct05 v2_cashflows pan european 500mm" xfId="4974"/>
    <cellStyle name="_TableRowHead_FP Liabilities_19oct05 v2_cashflows staats" xfId="4975"/>
    <cellStyle name="_TableRowHead_FP Liabilities_19oct05 v2_dv01" xfId="1083"/>
    <cellStyle name="_TableRowHead_FP Liabilities_19oct05 v2_excess returns bm matching pf" xfId="4976"/>
    <cellStyle name="_TableRowHead_FP Liabilities_19oct05 v2_feitelijk rendement" xfId="4977"/>
    <cellStyle name="_TableRowHead_FP Liabilities_19oct05 v2_feitelijk rendement 2" xfId="7362"/>
    <cellStyle name="_TableRowHead_FP Liabilities_19oct05 v2_feitelijk rendement_bei rates" xfId="6726"/>
    <cellStyle name="_TableRowHead_FP Liabilities_19oct05 v2_feitelijk rendement_par swap rates" xfId="6094"/>
    <cellStyle name="_TableRowHead_FP Liabilities_19oct05 v2_ilb reeel only" xfId="4978"/>
    <cellStyle name="_TableRowHead_FP Liabilities_19oct05 v2_nominale counterpart ilb" xfId="4979"/>
    <cellStyle name="_TableRowHead_FP Liabilities_19oct05 v2_tijdseries" xfId="4980"/>
    <cellStyle name="_TableRowHead_FP Liabilities_19oct05 v2_tijdseries 2" xfId="7363"/>
    <cellStyle name="_TableRowHead_FP Liabilities_19oct05 v2_tijdseries_bei rates" xfId="6727"/>
    <cellStyle name="_TableRowHead_FP Liabilities_19oct05 v2_tijdseries_par swap rates" xfId="6095"/>
    <cellStyle name="_TableRowHead_FP Liabilities_19oct05 v2_vpv" xfId="4981"/>
    <cellStyle name="_TableRowHead_FP Liabilities_19oct05 v2_vpv 2" xfId="7364"/>
    <cellStyle name="_TableRowHead_FP Liabilities_19oct05 v2_vpv return serie" xfId="4982"/>
    <cellStyle name="_TableRowHead_FP Liabilities_19oct05 v2_vpv return serie 2" xfId="7365"/>
    <cellStyle name="_TableRowHead_FP Liabilities_19oct05 v2_vpv return serie_bei rates" xfId="6729"/>
    <cellStyle name="_TableRowHead_FP Liabilities_19oct05 v2_vpv return serie_par swap rates" xfId="6097"/>
    <cellStyle name="_TableRowHead_FP Liabilities_19oct05 v2_vpv_bei rates" xfId="6728"/>
    <cellStyle name="_TableRowHead_FP Liabilities_19oct05 v2_vpv_par swap rates" xfId="6096"/>
    <cellStyle name="_TableRowHead_Govt Bond Data" xfId="1084"/>
    <cellStyle name="_TableRowHead_INF Benchmark " xfId="1085"/>
    <cellStyle name="_TableRowHead_InitialPosition" xfId="1086"/>
    <cellStyle name="_TableRowHead_IR Benchmark" xfId="1087"/>
    <cellStyle name="_TableRowHead_June 05 CF" xfId="1088"/>
    <cellStyle name="_TableRowHead_June 05 CF 2" xfId="3465"/>
    <cellStyle name="_TableRowHead_June 05 CF 3" xfId="2303"/>
    <cellStyle name="_TableRowHead_June 05 CF_actuate" xfId="1089"/>
    <cellStyle name="_TableRowHead_June 05 CF_actuate 2" xfId="3466"/>
    <cellStyle name="_TableRowHead_June 05 CF_actuate 3" xfId="2304"/>
    <cellStyle name="_TableRowHead_June 05 CF_actuate_cashflows corp" xfId="4983"/>
    <cellStyle name="_TableRowHead_June 05 CF_actuate_cashflows Gov't AAA" xfId="4984"/>
    <cellStyle name="_TableRowHead_June 05 CF_actuate_cashflows ilb" xfId="4985"/>
    <cellStyle name="_TableRowHead_June 05 CF_actuate_cashflows lang staats" xfId="4986"/>
    <cellStyle name="_TableRowHead_June 05 CF_actuate_cashflows pan european 500mm" xfId="4987"/>
    <cellStyle name="_TableRowHead_June 05 CF_actuate_cashflows staats" xfId="4988"/>
    <cellStyle name="_TableRowHead_June 05 CF_actuate_excess returns bm matching pf" xfId="4989"/>
    <cellStyle name="_TableRowHead_June 05 CF_actuate_ilb reeel only" xfId="4990"/>
    <cellStyle name="_TableRowHead_June 05 CF_actuate_nominale counterpart ilb" xfId="4991"/>
    <cellStyle name="_TableRowHead_June 05 CF_actuate_tijdseries" xfId="4992"/>
    <cellStyle name="_TableRowHead_June 05 CF_actuate_tijdseries 2" xfId="7366"/>
    <cellStyle name="_TableRowHead_June 05 CF_actuate_tijdseries_bei rates" xfId="6730"/>
    <cellStyle name="_TableRowHead_June 05 CF_actuate_tijdseries_par swap rates" xfId="6098"/>
    <cellStyle name="_TableRowHead_June 05 CF_actuate_vpv" xfId="4993"/>
    <cellStyle name="_TableRowHead_June 05 CF_actuate_vpv 2" xfId="7367"/>
    <cellStyle name="_TableRowHead_June 05 CF_actuate_vpv return serie" xfId="4994"/>
    <cellStyle name="_TableRowHead_June 05 CF_actuate_vpv return serie 2" xfId="7368"/>
    <cellStyle name="_TableRowHead_June 05 CF_actuate_vpv return serie_bei rates" xfId="6732"/>
    <cellStyle name="_TableRowHead_June 05 CF_actuate_vpv return serie_par swap rates" xfId="6100"/>
    <cellStyle name="_TableRowHead_June 05 CF_actuate_vpv_bei rates" xfId="6731"/>
    <cellStyle name="_TableRowHead_June 05 CF_actuate_vpv_par swap rates" xfId="6099"/>
    <cellStyle name="_TableRowHead_June 05 CF_beleggingen" xfId="4995"/>
    <cellStyle name="_TableRowHead_June 05 CF_beleggingen 2" xfId="7369"/>
    <cellStyle name="_TableRowHead_June 05 CF_beleggingen_bei rates" xfId="6733"/>
    <cellStyle name="_TableRowHead_June 05 CF_beleggingen_par swap rates" xfId="6101"/>
    <cellStyle name="_TableRowHead_June 05 CF_cashflows corp" xfId="4996"/>
    <cellStyle name="_TableRowHead_June 05 CF_cashflows Gov't AAA" xfId="4997"/>
    <cellStyle name="_TableRowHead_June 05 CF_cashflows ilb" xfId="4998"/>
    <cellStyle name="_TableRowHead_June 05 CF_cashflows lang staats" xfId="4999"/>
    <cellStyle name="_TableRowHead_June 05 CF_cashflows pan european 500mm" xfId="5000"/>
    <cellStyle name="_TableRowHead_June 05 CF_cashflows staats" xfId="5001"/>
    <cellStyle name="_TableRowHead_June 05 CF_dv01" xfId="1090"/>
    <cellStyle name="_TableRowHead_June 05 CF_excess returns bm matching pf" xfId="5002"/>
    <cellStyle name="_TableRowHead_June 05 CF_feitelijk rendement" xfId="5003"/>
    <cellStyle name="_TableRowHead_June 05 CF_feitelijk rendement 2" xfId="7370"/>
    <cellStyle name="_TableRowHead_June 05 CF_feitelijk rendement_bei rates" xfId="6734"/>
    <cellStyle name="_TableRowHead_June 05 CF_feitelijk rendement_par swap rates" xfId="6102"/>
    <cellStyle name="_TableRowHead_June 05 CF_ilb reeel only" xfId="5004"/>
    <cellStyle name="_TableRowHead_June 05 CF_nominale counterpart ilb" xfId="5005"/>
    <cellStyle name="_TableRowHead_June 05 CF_tijdseries" xfId="5006"/>
    <cellStyle name="_TableRowHead_June 05 CF_tijdseries 2" xfId="7371"/>
    <cellStyle name="_TableRowHead_June 05 CF_tijdseries_bei rates" xfId="6735"/>
    <cellStyle name="_TableRowHead_June 05 CF_tijdseries_par swap rates" xfId="6103"/>
    <cellStyle name="_TableRowHead_June 05 CF_vpv" xfId="5007"/>
    <cellStyle name="_TableRowHead_June 05 CF_vpv 2" xfId="7372"/>
    <cellStyle name="_TableRowHead_June 05 CF_vpv return serie" xfId="5008"/>
    <cellStyle name="_TableRowHead_June 05 CF_vpv return serie 2" xfId="7373"/>
    <cellStyle name="_TableRowHead_June 05 CF_vpv return serie_bei rates" xfId="6737"/>
    <cellStyle name="_TableRowHead_June 05 CF_vpv return serie_par swap rates" xfId="6105"/>
    <cellStyle name="_TableRowHead_June 05 CF_vpv_bei rates" xfId="6736"/>
    <cellStyle name="_TableRowHead_June 05 CF_vpv_par swap rates" xfId="6104"/>
    <cellStyle name="_TableRowHead_June05" xfId="1091"/>
    <cellStyle name="_TableRowHead_LDI Characts" xfId="1092"/>
    <cellStyle name="_TableRowHead_Liabs DV01" xfId="1093"/>
    <cellStyle name="_TableRowHead_Liabs DV01 2" xfId="3470"/>
    <cellStyle name="_TableRowHead_Liabs DV01 3" xfId="2305"/>
    <cellStyle name="_TableRowHead_Liabs DV01_actuate" xfId="1094"/>
    <cellStyle name="_TableRowHead_Liabs DV01_actuate 2" xfId="3471"/>
    <cellStyle name="_TableRowHead_Liabs DV01_actuate 3" xfId="2306"/>
    <cellStyle name="_TableRowHead_Liabs DV01_actuate_cashflows corp" xfId="5009"/>
    <cellStyle name="_TableRowHead_Liabs DV01_actuate_cashflows Gov't AAA" xfId="5010"/>
    <cellStyle name="_TableRowHead_Liabs DV01_actuate_cashflows ilb" xfId="5011"/>
    <cellStyle name="_TableRowHead_Liabs DV01_actuate_cashflows lang staats" xfId="5012"/>
    <cellStyle name="_TableRowHead_Liabs DV01_actuate_cashflows pan european 500mm" xfId="5013"/>
    <cellStyle name="_TableRowHead_Liabs DV01_actuate_cashflows staats" xfId="5014"/>
    <cellStyle name="_TableRowHead_Liabs DV01_actuate_excess returns bm matching pf" xfId="5015"/>
    <cellStyle name="_TableRowHead_Liabs DV01_actuate_ilb reeel only" xfId="5016"/>
    <cellStyle name="_TableRowHead_Liabs DV01_actuate_nominale counterpart ilb" xfId="5017"/>
    <cellStyle name="_TableRowHead_Liabs DV01_actuate_tijdseries" xfId="5018"/>
    <cellStyle name="_TableRowHead_Liabs DV01_actuate_tijdseries 2" xfId="7374"/>
    <cellStyle name="_TableRowHead_Liabs DV01_actuate_tijdseries_bei rates" xfId="6738"/>
    <cellStyle name="_TableRowHead_Liabs DV01_actuate_tijdseries_par swap rates" xfId="6106"/>
    <cellStyle name="_TableRowHead_Liabs DV01_actuate_vpv" xfId="5019"/>
    <cellStyle name="_TableRowHead_Liabs DV01_actuate_vpv 2" xfId="7375"/>
    <cellStyle name="_TableRowHead_Liabs DV01_actuate_vpv return serie" xfId="5020"/>
    <cellStyle name="_TableRowHead_Liabs DV01_actuate_vpv return serie 2" xfId="7376"/>
    <cellStyle name="_TableRowHead_Liabs DV01_actuate_vpv return serie_bei rates" xfId="6740"/>
    <cellStyle name="_TableRowHead_Liabs DV01_actuate_vpv return serie_par swap rates" xfId="6108"/>
    <cellStyle name="_TableRowHead_Liabs DV01_actuate_vpv_bei rates" xfId="6739"/>
    <cellStyle name="_TableRowHead_Liabs DV01_actuate_vpv_par swap rates" xfId="6107"/>
    <cellStyle name="_TableRowHead_Liabs DV01_beleggingen" xfId="5021"/>
    <cellStyle name="_TableRowHead_Liabs DV01_beleggingen 2" xfId="7377"/>
    <cellStyle name="_TableRowHead_Liabs DV01_beleggingen_bei rates" xfId="6741"/>
    <cellStyle name="_TableRowHead_Liabs DV01_beleggingen_par swap rates" xfId="6109"/>
    <cellStyle name="_TableRowHead_Liabs DV01_cashflows corp" xfId="5022"/>
    <cellStyle name="_TableRowHead_Liabs DV01_cashflows Gov't AAA" xfId="5023"/>
    <cellStyle name="_TableRowHead_Liabs DV01_cashflows ilb" xfId="5024"/>
    <cellStyle name="_TableRowHead_Liabs DV01_cashflows lang staats" xfId="5025"/>
    <cellStyle name="_TableRowHead_Liabs DV01_cashflows pan european 500mm" xfId="5026"/>
    <cellStyle name="_TableRowHead_Liabs DV01_cashflows staats" xfId="5027"/>
    <cellStyle name="_TableRowHead_Liabs DV01_dv01" xfId="1095"/>
    <cellStyle name="_TableRowHead_Liabs DV01_excess returns bm matching pf" xfId="5028"/>
    <cellStyle name="_TableRowHead_Liabs DV01_feitelijk rendement" xfId="5029"/>
    <cellStyle name="_TableRowHead_Liabs DV01_feitelijk rendement 2" xfId="7378"/>
    <cellStyle name="_TableRowHead_Liabs DV01_feitelijk rendement_bei rates" xfId="6742"/>
    <cellStyle name="_TableRowHead_Liabs DV01_feitelijk rendement_par swap rates" xfId="6110"/>
    <cellStyle name="_TableRowHead_Liabs DV01_ilb reeel only" xfId="5030"/>
    <cellStyle name="_TableRowHead_Liabs DV01_nominale counterpart ilb" xfId="5031"/>
    <cellStyle name="_TableRowHead_Liabs DV01_tijdseries" xfId="5032"/>
    <cellStyle name="_TableRowHead_Liabs DV01_tijdseries 2" xfId="7379"/>
    <cellStyle name="_TableRowHead_Liabs DV01_tijdseries_bei rates" xfId="6743"/>
    <cellStyle name="_TableRowHead_Liabs DV01_tijdseries_par swap rates" xfId="6111"/>
    <cellStyle name="_TableRowHead_Liabs DV01_vpv" xfId="5033"/>
    <cellStyle name="_TableRowHead_Liabs DV01_vpv 2" xfId="7380"/>
    <cellStyle name="_TableRowHead_Liabs DV01_vpv return serie" xfId="5034"/>
    <cellStyle name="_TableRowHead_Liabs DV01_vpv return serie 2" xfId="7381"/>
    <cellStyle name="_TableRowHead_Liabs DV01_vpv return serie_bei rates" xfId="6745"/>
    <cellStyle name="_TableRowHead_Liabs DV01_vpv return serie_par swap rates" xfId="6113"/>
    <cellStyle name="_TableRowHead_Liabs DV01_vpv_bei rates" xfId="6744"/>
    <cellStyle name="_TableRowHead_Liabs DV01_vpv_par swap rates" xfId="6112"/>
    <cellStyle name="_TableRowHead_Main" xfId="1096"/>
    <cellStyle name="_TableRowHead_Main 2" xfId="3473"/>
    <cellStyle name="_TableRowHead_Main 3" xfId="2307"/>
    <cellStyle name="_TableRowHead_Main_actuate" xfId="1097"/>
    <cellStyle name="_TableRowHead_Main_actuate 2" xfId="3474"/>
    <cellStyle name="_TableRowHead_Main_actuate 3" xfId="2308"/>
    <cellStyle name="_TableRowHead_Main_actuate_cashflows corp" xfId="5035"/>
    <cellStyle name="_TableRowHead_Main_actuate_cashflows Gov't AAA" xfId="5036"/>
    <cellStyle name="_TableRowHead_Main_actuate_cashflows ilb" xfId="5037"/>
    <cellStyle name="_TableRowHead_Main_actuate_cashflows lang staats" xfId="5038"/>
    <cellStyle name="_TableRowHead_Main_actuate_cashflows pan european 500mm" xfId="5039"/>
    <cellStyle name="_TableRowHead_Main_actuate_cashflows staats" xfId="5040"/>
    <cellStyle name="_TableRowHead_Main_actuate_excess returns bm matching pf" xfId="5041"/>
    <cellStyle name="_TableRowHead_Main_actuate_ilb reeel only" xfId="5042"/>
    <cellStyle name="_TableRowHead_Main_actuate_nominale counterpart ilb" xfId="5043"/>
    <cellStyle name="_TableRowHead_Main_actuate_tijdseries" xfId="5044"/>
    <cellStyle name="_TableRowHead_Main_actuate_tijdseries 2" xfId="7382"/>
    <cellStyle name="_TableRowHead_Main_actuate_tijdseries_bei rates" xfId="6746"/>
    <cellStyle name="_TableRowHead_Main_actuate_tijdseries_par swap rates" xfId="6114"/>
    <cellStyle name="_TableRowHead_Main_actuate_vpv" xfId="5045"/>
    <cellStyle name="_TableRowHead_Main_actuate_vpv 2" xfId="7383"/>
    <cellStyle name="_TableRowHead_Main_actuate_vpv return serie" xfId="5046"/>
    <cellStyle name="_TableRowHead_Main_actuate_vpv return serie 2" xfId="7384"/>
    <cellStyle name="_TableRowHead_Main_actuate_vpv return serie_bei rates" xfId="6748"/>
    <cellStyle name="_TableRowHead_Main_actuate_vpv return serie_par swap rates" xfId="6116"/>
    <cellStyle name="_TableRowHead_Main_actuate_vpv_bei rates" xfId="6747"/>
    <cellStyle name="_TableRowHead_Main_actuate_vpv_par swap rates" xfId="6115"/>
    <cellStyle name="_TableRowHead_Main_beleggingen" xfId="5047"/>
    <cellStyle name="_TableRowHead_Main_beleggingen 2" xfId="7385"/>
    <cellStyle name="_TableRowHead_Main_beleggingen_bei rates" xfId="6749"/>
    <cellStyle name="_TableRowHead_Main_beleggingen_par swap rates" xfId="6117"/>
    <cellStyle name="_TableRowHead_Main_cashflows corp" xfId="5048"/>
    <cellStyle name="_TableRowHead_Main_cashflows Gov't AAA" xfId="5049"/>
    <cellStyle name="_TableRowHead_Main_cashflows ilb" xfId="5050"/>
    <cellStyle name="_TableRowHead_Main_cashflows lang staats" xfId="5051"/>
    <cellStyle name="_TableRowHead_Main_cashflows pan european 500mm" xfId="5052"/>
    <cellStyle name="_TableRowHead_Main_cashflows staats" xfId="5053"/>
    <cellStyle name="_TableRowHead_Main_dv01" xfId="1098"/>
    <cellStyle name="_TableRowHead_Main_excess returns bm matching pf" xfId="5054"/>
    <cellStyle name="_TableRowHead_Main_feitelijk rendement" xfId="5055"/>
    <cellStyle name="_TableRowHead_Main_feitelijk rendement 2" xfId="7386"/>
    <cellStyle name="_TableRowHead_Main_feitelijk rendement_bei rates" xfId="6750"/>
    <cellStyle name="_TableRowHead_Main_feitelijk rendement_par swap rates" xfId="6118"/>
    <cellStyle name="_TableRowHead_Main_ilb reeel only" xfId="5056"/>
    <cellStyle name="_TableRowHead_Main_nominale counterpart ilb" xfId="5057"/>
    <cellStyle name="_TableRowHead_Main_tijdseries" xfId="5058"/>
    <cellStyle name="_TableRowHead_Main_tijdseries 2" xfId="7387"/>
    <cellStyle name="_TableRowHead_Main_tijdseries_bei rates" xfId="6751"/>
    <cellStyle name="_TableRowHead_Main_tijdseries_par swap rates" xfId="6119"/>
    <cellStyle name="_TableRowHead_Main_vpv" xfId="5059"/>
    <cellStyle name="_TableRowHead_Main_vpv 2" xfId="7388"/>
    <cellStyle name="_TableRowHead_Main_vpv return serie" xfId="5060"/>
    <cellStyle name="_TableRowHead_Main_vpv return serie 2" xfId="7389"/>
    <cellStyle name="_TableRowHead_Main_vpv return serie_bei rates" xfId="6753"/>
    <cellStyle name="_TableRowHead_Main_vpv return serie_par swap rates" xfId="6121"/>
    <cellStyle name="_TableRowHead_Main_vpv_bei rates" xfId="6752"/>
    <cellStyle name="_TableRowHead_Main_vpv_par swap rates" xfId="6120"/>
    <cellStyle name="_TableRowHead_Matching PV Cashflows" xfId="1099"/>
    <cellStyle name="_TableRowHead_Matching PV Cashflows 2" xfId="3476"/>
    <cellStyle name="_TableRowHead_Matching PV Cashflows 3" xfId="2309"/>
    <cellStyle name="_TableRowHead_Matching PV Cashflows_actuate" xfId="1100"/>
    <cellStyle name="_TableRowHead_Matching PV Cashflows_actuate 2" xfId="3477"/>
    <cellStyle name="_TableRowHead_Matching PV Cashflows_actuate 3" xfId="2310"/>
    <cellStyle name="_TableRowHead_Matching PV Cashflows_actuate_cashflows corp" xfId="5061"/>
    <cellStyle name="_TableRowHead_Matching PV Cashflows_actuate_cashflows Gov't AAA" xfId="5062"/>
    <cellStyle name="_TableRowHead_Matching PV Cashflows_actuate_cashflows ilb" xfId="5063"/>
    <cellStyle name="_TableRowHead_Matching PV Cashflows_actuate_cashflows lang staats" xfId="5064"/>
    <cellStyle name="_TableRowHead_Matching PV Cashflows_actuate_cashflows pan european 500mm" xfId="5065"/>
    <cellStyle name="_TableRowHead_Matching PV Cashflows_actuate_cashflows staats" xfId="5066"/>
    <cellStyle name="_TableRowHead_Matching PV Cashflows_actuate_excess returns bm matching pf" xfId="5067"/>
    <cellStyle name="_TableRowHead_Matching PV Cashflows_actuate_ilb reeel only" xfId="5068"/>
    <cellStyle name="_TableRowHead_Matching PV Cashflows_actuate_nominale counterpart ilb" xfId="5069"/>
    <cellStyle name="_TableRowHead_Matching PV Cashflows_actuate_tijdseries" xfId="5070"/>
    <cellStyle name="_TableRowHead_Matching PV Cashflows_actuate_tijdseries 2" xfId="7390"/>
    <cellStyle name="_TableRowHead_Matching PV Cashflows_actuate_tijdseries_bei rates" xfId="6754"/>
    <cellStyle name="_TableRowHead_Matching PV Cashflows_actuate_tijdseries_par swap rates" xfId="6122"/>
    <cellStyle name="_TableRowHead_Matching PV Cashflows_actuate_vpv" xfId="5071"/>
    <cellStyle name="_TableRowHead_Matching PV Cashflows_actuate_vpv 2" xfId="7391"/>
    <cellStyle name="_TableRowHead_Matching PV Cashflows_actuate_vpv return serie" xfId="5072"/>
    <cellStyle name="_TableRowHead_Matching PV Cashflows_actuate_vpv return serie 2" xfId="7392"/>
    <cellStyle name="_TableRowHead_Matching PV Cashflows_actuate_vpv return serie_bei rates" xfId="6756"/>
    <cellStyle name="_TableRowHead_Matching PV Cashflows_actuate_vpv return serie_par swap rates" xfId="6124"/>
    <cellStyle name="_TableRowHead_Matching PV Cashflows_actuate_vpv_bei rates" xfId="6755"/>
    <cellStyle name="_TableRowHead_Matching PV Cashflows_actuate_vpv_par swap rates" xfId="6123"/>
    <cellStyle name="_TableRowHead_Matching PV Cashflows_beleggingen" xfId="5073"/>
    <cellStyle name="_TableRowHead_Matching PV Cashflows_beleggingen 2" xfId="7393"/>
    <cellStyle name="_TableRowHead_Matching PV Cashflows_beleggingen_bei rates" xfId="6757"/>
    <cellStyle name="_TableRowHead_Matching PV Cashflows_beleggingen_par swap rates" xfId="6125"/>
    <cellStyle name="_TableRowHead_Matching PV Cashflows_cashflows corp" xfId="5074"/>
    <cellStyle name="_TableRowHead_Matching PV Cashflows_cashflows Gov't AAA" xfId="5075"/>
    <cellStyle name="_TableRowHead_Matching PV Cashflows_cashflows ilb" xfId="5076"/>
    <cellStyle name="_TableRowHead_Matching PV Cashflows_cashflows lang staats" xfId="5077"/>
    <cellStyle name="_TableRowHead_Matching PV Cashflows_cashflows pan european 500mm" xfId="5078"/>
    <cellStyle name="_TableRowHead_Matching PV Cashflows_cashflows staats" xfId="5079"/>
    <cellStyle name="_TableRowHead_Matching PV Cashflows_dv01" xfId="1101"/>
    <cellStyle name="_TableRowHead_Matching PV Cashflows_excess returns bm matching pf" xfId="5080"/>
    <cellStyle name="_TableRowHead_Matching PV Cashflows_feitelijk rendement" xfId="5081"/>
    <cellStyle name="_TableRowHead_Matching PV Cashflows_feitelijk rendement 2" xfId="7394"/>
    <cellStyle name="_TableRowHead_Matching PV Cashflows_feitelijk rendement_bei rates" xfId="6758"/>
    <cellStyle name="_TableRowHead_Matching PV Cashflows_feitelijk rendement_par swap rates" xfId="6126"/>
    <cellStyle name="_TableRowHead_Matching PV Cashflows_ilb reeel only" xfId="5082"/>
    <cellStyle name="_TableRowHead_Matching PV Cashflows_nominale counterpart ilb" xfId="5083"/>
    <cellStyle name="_TableRowHead_Matching PV Cashflows_tijdseries" xfId="5084"/>
    <cellStyle name="_TableRowHead_Matching PV Cashflows_tijdseries 2" xfId="7395"/>
    <cellStyle name="_TableRowHead_Matching PV Cashflows_tijdseries_bei rates" xfId="6759"/>
    <cellStyle name="_TableRowHead_Matching PV Cashflows_tijdseries_par swap rates" xfId="6127"/>
    <cellStyle name="_TableRowHead_Matching PV Cashflows_vpv" xfId="5085"/>
    <cellStyle name="_TableRowHead_Matching PV Cashflows_vpv 2" xfId="7396"/>
    <cellStyle name="_TableRowHead_Matching PV Cashflows_vpv return serie" xfId="5086"/>
    <cellStyle name="_TableRowHead_Matching PV Cashflows_vpv return serie 2" xfId="7397"/>
    <cellStyle name="_TableRowHead_Matching PV Cashflows_vpv return serie_bei rates" xfId="6761"/>
    <cellStyle name="_TableRowHead_Matching PV Cashflows_vpv return serie_par swap rates" xfId="6129"/>
    <cellStyle name="_TableRowHead_Matching PV Cashflows_vpv_bei rates" xfId="6760"/>
    <cellStyle name="_TableRowHead_Matching PV Cashflows_vpv_par swap rates" xfId="6128"/>
    <cellStyle name="_TableRowHead_ModelSetup" xfId="1102"/>
    <cellStyle name="_TableRowHead_ModelSetup 2" xfId="3479"/>
    <cellStyle name="_TableRowHead_ModelSetup 3" xfId="2311"/>
    <cellStyle name="_TableRowHead_ModelSetup_actuate" xfId="1103"/>
    <cellStyle name="_TableRowHead_ModelSetup_actuate 2" xfId="3480"/>
    <cellStyle name="_TableRowHead_ModelSetup_actuate 3" xfId="2312"/>
    <cellStyle name="_TableRowHead_ModelSetup_actuate_cashflows corp" xfId="5087"/>
    <cellStyle name="_TableRowHead_ModelSetup_actuate_cashflows Gov't AAA" xfId="5088"/>
    <cellStyle name="_TableRowHead_ModelSetup_actuate_cashflows ilb" xfId="5089"/>
    <cellStyle name="_TableRowHead_ModelSetup_actuate_cashflows lang staats" xfId="5090"/>
    <cellStyle name="_TableRowHead_ModelSetup_actuate_cashflows pan european 500mm" xfId="5091"/>
    <cellStyle name="_TableRowHead_ModelSetup_actuate_cashflows staats" xfId="5092"/>
    <cellStyle name="_TableRowHead_ModelSetup_actuate_excess returns bm matching pf" xfId="5093"/>
    <cellStyle name="_TableRowHead_ModelSetup_actuate_ilb reeel only" xfId="5094"/>
    <cellStyle name="_TableRowHead_ModelSetup_actuate_nominale counterpart ilb" xfId="5095"/>
    <cellStyle name="_TableRowHead_ModelSetup_actuate_tijdseries" xfId="5096"/>
    <cellStyle name="_TableRowHead_ModelSetup_actuate_tijdseries 2" xfId="7398"/>
    <cellStyle name="_TableRowHead_ModelSetup_actuate_tijdseries_bei rates" xfId="6762"/>
    <cellStyle name="_TableRowHead_ModelSetup_actuate_tijdseries_par swap rates" xfId="6130"/>
    <cellStyle name="_TableRowHead_ModelSetup_actuate_vpv" xfId="5097"/>
    <cellStyle name="_TableRowHead_ModelSetup_actuate_vpv 2" xfId="7399"/>
    <cellStyle name="_TableRowHead_ModelSetup_actuate_vpv return serie" xfId="5098"/>
    <cellStyle name="_TableRowHead_ModelSetup_actuate_vpv return serie 2" xfId="7400"/>
    <cellStyle name="_TableRowHead_ModelSetup_actuate_vpv return serie_bei rates" xfId="6764"/>
    <cellStyle name="_TableRowHead_ModelSetup_actuate_vpv return serie_par swap rates" xfId="6132"/>
    <cellStyle name="_TableRowHead_ModelSetup_actuate_vpv_bei rates" xfId="6763"/>
    <cellStyle name="_TableRowHead_ModelSetup_actuate_vpv_par swap rates" xfId="6131"/>
    <cellStyle name="_TableRowHead_ModelSetup_beleggingen" xfId="5099"/>
    <cellStyle name="_TableRowHead_ModelSetup_beleggingen 2" xfId="7401"/>
    <cellStyle name="_TableRowHead_ModelSetup_beleggingen_bei rates" xfId="6765"/>
    <cellStyle name="_TableRowHead_ModelSetup_beleggingen_par swap rates" xfId="6133"/>
    <cellStyle name="_TableRowHead_ModelSetup_cashflows corp" xfId="5100"/>
    <cellStyle name="_TableRowHead_ModelSetup_cashflows Gov't AAA" xfId="5101"/>
    <cellStyle name="_TableRowHead_ModelSetup_cashflows ilb" xfId="5102"/>
    <cellStyle name="_TableRowHead_ModelSetup_cashflows lang staats" xfId="5103"/>
    <cellStyle name="_TableRowHead_ModelSetup_cashflows pan european 500mm" xfId="5104"/>
    <cellStyle name="_TableRowHead_ModelSetup_cashflows staats" xfId="5105"/>
    <cellStyle name="_TableRowHead_ModelSetup_dv01" xfId="1104"/>
    <cellStyle name="_TableRowHead_ModelSetup_excess returns bm matching pf" xfId="5106"/>
    <cellStyle name="_TableRowHead_ModelSetup_feitelijk rendement" xfId="5107"/>
    <cellStyle name="_TableRowHead_ModelSetup_feitelijk rendement 2" xfId="7402"/>
    <cellStyle name="_TableRowHead_ModelSetup_feitelijk rendement_bei rates" xfId="6766"/>
    <cellStyle name="_TableRowHead_ModelSetup_feitelijk rendement_par swap rates" xfId="6134"/>
    <cellStyle name="_TableRowHead_ModelSetup_ilb reeel only" xfId="5108"/>
    <cellStyle name="_TableRowHead_ModelSetup_nominale counterpart ilb" xfId="5109"/>
    <cellStyle name="_TableRowHead_ModelSetup_tijdseries" xfId="5110"/>
    <cellStyle name="_TableRowHead_ModelSetup_tijdseries 2" xfId="7403"/>
    <cellStyle name="_TableRowHead_ModelSetup_tijdseries_bei rates" xfId="6767"/>
    <cellStyle name="_TableRowHead_ModelSetup_tijdseries_par swap rates" xfId="6135"/>
    <cellStyle name="_TableRowHead_ModelSetup_vpv" xfId="5111"/>
    <cellStyle name="_TableRowHead_ModelSetup_vpv 2" xfId="7404"/>
    <cellStyle name="_TableRowHead_ModelSetup_vpv return serie" xfId="5112"/>
    <cellStyle name="_TableRowHead_ModelSetup_vpv return serie 2" xfId="7405"/>
    <cellStyle name="_TableRowHead_ModelSetup_vpv return serie_bei rates" xfId="6769"/>
    <cellStyle name="_TableRowHead_ModelSetup_vpv return serie_par swap rates" xfId="6137"/>
    <cellStyle name="_TableRowHead_ModelSetup_vpv_bei rates" xfId="6768"/>
    <cellStyle name="_TableRowHead_ModelSetup_vpv_par swap rates" xfId="6136"/>
    <cellStyle name="_TableRowHead_PME Swaps" xfId="1105"/>
    <cellStyle name="_TableRowHead_Pricer" xfId="1106"/>
    <cellStyle name="_TableRowHead_Pricer 2" xfId="3482"/>
    <cellStyle name="_TableRowHead_Pricer 3" xfId="2313"/>
    <cellStyle name="_TableRowHead_Pricer_actuate" xfId="1107"/>
    <cellStyle name="_TableRowHead_Pricer_actuate 2" xfId="3483"/>
    <cellStyle name="_TableRowHead_Pricer_actuate 3" xfId="2314"/>
    <cellStyle name="_TableRowHead_Pricer_actuate_cashflows corp" xfId="5113"/>
    <cellStyle name="_TableRowHead_Pricer_actuate_cashflows Gov't AAA" xfId="5114"/>
    <cellStyle name="_TableRowHead_Pricer_actuate_cashflows ilb" xfId="5115"/>
    <cellStyle name="_TableRowHead_Pricer_actuate_cashflows lang staats" xfId="5116"/>
    <cellStyle name="_TableRowHead_Pricer_actuate_cashflows pan european 500mm" xfId="5117"/>
    <cellStyle name="_TableRowHead_Pricer_actuate_cashflows staats" xfId="5118"/>
    <cellStyle name="_TableRowHead_Pricer_actuate_excess returns bm matching pf" xfId="5119"/>
    <cellStyle name="_TableRowHead_Pricer_actuate_ilb reeel only" xfId="5120"/>
    <cellStyle name="_TableRowHead_Pricer_actuate_nominale counterpart ilb" xfId="5121"/>
    <cellStyle name="_TableRowHead_Pricer_actuate_tijdseries" xfId="5122"/>
    <cellStyle name="_TableRowHead_Pricer_actuate_tijdseries 2" xfId="7406"/>
    <cellStyle name="_TableRowHead_Pricer_actuate_tijdseries_bei rates" xfId="6770"/>
    <cellStyle name="_TableRowHead_Pricer_actuate_tijdseries_par swap rates" xfId="6138"/>
    <cellStyle name="_TableRowHead_Pricer_actuate_vpv" xfId="5123"/>
    <cellStyle name="_TableRowHead_Pricer_actuate_vpv 2" xfId="7407"/>
    <cellStyle name="_TableRowHead_Pricer_actuate_vpv return serie" xfId="5124"/>
    <cellStyle name="_TableRowHead_Pricer_actuate_vpv return serie 2" xfId="7408"/>
    <cellStyle name="_TableRowHead_Pricer_actuate_vpv return serie_bei rates" xfId="6772"/>
    <cellStyle name="_TableRowHead_Pricer_actuate_vpv return serie_par swap rates" xfId="6140"/>
    <cellStyle name="_TableRowHead_Pricer_actuate_vpv_bei rates" xfId="6771"/>
    <cellStyle name="_TableRowHead_Pricer_actuate_vpv_par swap rates" xfId="6139"/>
    <cellStyle name="_TableRowHead_Pricer_beleggingen" xfId="5125"/>
    <cellStyle name="_TableRowHead_Pricer_beleggingen 2" xfId="7409"/>
    <cellStyle name="_TableRowHead_Pricer_beleggingen_bei rates" xfId="6773"/>
    <cellStyle name="_TableRowHead_Pricer_beleggingen_par swap rates" xfId="6141"/>
    <cellStyle name="_TableRowHead_Pricer_cashflows corp" xfId="5126"/>
    <cellStyle name="_TableRowHead_Pricer_cashflows Gov't AAA" xfId="5127"/>
    <cellStyle name="_TableRowHead_Pricer_cashflows ilb" xfId="5128"/>
    <cellStyle name="_TableRowHead_Pricer_cashflows lang staats" xfId="5129"/>
    <cellStyle name="_TableRowHead_Pricer_cashflows pan european 500mm" xfId="5130"/>
    <cellStyle name="_TableRowHead_Pricer_cashflows staats" xfId="5131"/>
    <cellStyle name="_TableRowHead_Pricer_dv01" xfId="1108"/>
    <cellStyle name="_TableRowHead_Pricer_excess returns bm matching pf" xfId="5132"/>
    <cellStyle name="_TableRowHead_Pricer_feitelijk rendement" xfId="5133"/>
    <cellStyle name="_TableRowHead_Pricer_feitelijk rendement 2" xfId="7410"/>
    <cellStyle name="_TableRowHead_Pricer_feitelijk rendement_bei rates" xfId="6774"/>
    <cellStyle name="_TableRowHead_Pricer_feitelijk rendement_par swap rates" xfId="6142"/>
    <cellStyle name="_TableRowHead_Pricer_ilb reeel only" xfId="5134"/>
    <cellStyle name="_TableRowHead_Pricer_nominale counterpart ilb" xfId="5135"/>
    <cellStyle name="_TableRowHead_Pricer_tijdseries" xfId="5136"/>
    <cellStyle name="_TableRowHead_Pricer_tijdseries 2" xfId="7411"/>
    <cellStyle name="_TableRowHead_Pricer_tijdseries_bei rates" xfId="6775"/>
    <cellStyle name="_TableRowHead_Pricer_tijdseries_par swap rates" xfId="6143"/>
    <cellStyle name="_TableRowHead_Pricer_vpv" xfId="5137"/>
    <cellStyle name="_TableRowHead_Pricer_vpv 2" xfId="7412"/>
    <cellStyle name="_TableRowHead_Pricer_vpv return serie" xfId="5138"/>
    <cellStyle name="_TableRowHead_Pricer_vpv return serie 2" xfId="7413"/>
    <cellStyle name="_TableRowHead_Pricer_vpv return serie_bei rates" xfId="6777"/>
    <cellStyle name="_TableRowHead_Pricer_vpv return serie_par swap rates" xfId="6145"/>
    <cellStyle name="_TableRowHead_Pricer_vpv_bei rates" xfId="6776"/>
    <cellStyle name="_TableRowHead_Pricer_vpv_par swap rates" xfId="6144"/>
    <cellStyle name="_TableRowHead_Sheet1" xfId="1109"/>
    <cellStyle name="_TableRowHead_Sheet1 2" xfId="3485"/>
    <cellStyle name="_TableRowHead_Sheet1 3" xfId="2315"/>
    <cellStyle name="_TableRowHead_Sheet1_actuate" xfId="1110"/>
    <cellStyle name="_TableRowHead_Sheet1_actuate 2" xfId="3486"/>
    <cellStyle name="_TableRowHead_Sheet1_actuate 3" xfId="2316"/>
    <cellStyle name="_TableRowHead_Sheet1_actuate_cashflows corp" xfId="5139"/>
    <cellStyle name="_TableRowHead_Sheet1_actuate_cashflows Gov't AAA" xfId="5140"/>
    <cellStyle name="_TableRowHead_Sheet1_actuate_cashflows ilb" xfId="5141"/>
    <cellStyle name="_TableRowHead_Sheet1_actuate_cashflows lang staats" xfId="5142"/>
    <cellStyle name="_TableRowHead_Sheet1_actuate_cashflows pan european 500mm" xfId="5143"/>
    <cellStyle name="_TableRowHead_Sheet1_actuate_cashflows staats" xfId="5144"/>
    <cellStyle name="_TableRowHead_Sheet1_actuate_excess returns bm matching pf" xfId="5145"/>
    <cellStyle name="_TableRowHead_Sheet1_actuate_ilb reeel only" xfId="5146"/>
    <cellStyle name="_TableRowHead_Sheet1_actuate_nominale counterpart ilb" xfId="5147"/>
    <cellStyle name="_TableRowHead_Sheet1_actuate_tijdseries" xfId="5148"/>
    <cellStyle name="_TableRowHead_Sheet1_actuate_tijdseries 2" xfId="7414"/>
    <cellStyle name="_TableRowHead_Sheet1_actuate_tijdseries_bei rates" xfId="6778"/>
    <cellStyle name="_TableRowHead_Sheet1_actuate_tijdseries_par swap rates" xfId="6146"/>
    <cellStyle name="_TableRowHead_Sheet1_actuate_vpv" xfId="5149"/>
    <cellStyle name="_TableRowHead_Sheet1_actuate_vpv 2" xfId="7415"/>
    <cellStyle name="_TableRowHead_Sheet1_actuate_vpv return serie" xfId="5150"/>
    <cellStyle name="_TableRowHead_Sheet1_actuate_vpv return serie 2" xfId="7416"/>
    <cellStyle name="_TableRowHead_Sheet1_actuate_vpv return serie_bei rates" xfId="6780"/>
    <cellStyle name="_TableRowHead_Sheet1_actuate_vpv return serie_par swap rates" xfId="6148"/>
    <cellStyle name="_TableRowHead_Sheet1_actuate_vpv_bei rates" xfId="6779"/>
    <cellStyle name="_TableRowHead_Sheet1_actuate_vpv_par swap rates" xfId="6147"/>
    <cellStyle name="_TableRowHead_Sheet1_beleggingen" xfId="5151"/>
    <cellStyle name="_TableRowHead_Sheet1_beleggingen 2" xfId="7417"/>
    <cellStyle name="_TableRowHead_Sheet1_beleggingen_bei rates" xfId="6781"/>
    <cellStyle name="_TableRowHead_Sheet1_beleggingen_par swap rates" xfId="6149"/>
    <cellStyle name="_TableRowHead_Sheet1_cashflows corp" xfId="5152"/>
    <cellStyle name="_TableRowHead_Sheet1_cashflows Gov't AAA" xfId="5153"/>
    <cellStyle name="_TableRowHead_Sheet1_cashflows ilb" xfId="5154"/>
    <cellStyle name="_TableRowHead_Sheet1_cashflows lang staats" xfId="5155"/>
    <cellStyle name="_TableRowHead_Sheet1_cashflows pan european 500mm" xfId="5156"/>
    <cellStyle name="_TableRowHead_Sheet1_cashflows staats" xfId="5157"/>
    <cellStyle name="_TableRowHead_Sheet1_dv01" xfId="1111"/>
    <cellStyle name="_TableRowHead_Sheet1_excess returns bm matching pf" xfId="5158"/>
    <cellStyle name="_TableRowHead_Sheet1_feitelijk rendement" xfId="5159"/>
    <cellStyle name="_TableRowHead_Sheet1_feitelijk rendement 2" xfId="7418"/>
    <cellStyle name="_TableRowHead_Sheet1_feitelijk rendement_bei rates" xfId="6782"/>
    <cellStyle name="_TableRowHead_Sheet1_feitelijk rendement_par swap rates" xfId="6150"/>
    <cellStyle name="_TableRowHead_Sheet1_Gexa Multi Asset Path Generator" xfId="1112"/>
    <cellStyle name="_TableRowHead_Sheet1_ilb reeel only" xfId="5160"/>
    <cellStyle name="_TableRowHead_Sheet1_nominale counterpart ilb" xfId="5161"/>
    <cellStyle name="_TableRowHead_Sheet1_tijdseries" xfId="5162"/>
    <cellStyle name="_TableRowHead_Sheet1_tijdseries 2" xfId="7419"/>
    <cellStyle name="_TableRowHead_Sheet1_tijdseries_bei rates" xfId="6783"/>
    <cellStyle name="_TableRowHead_Sheet1_tijdseries_par swap rates" xfId="6151"/>
    <cellStyle name="_TableRowHead_Sheet1_vpv" xfId="5163"/>
    <cellStyle name="_TableRowHead_Sheet1_vpv 2" xfId="7420"/>
    <cellStyle name="_TableRowHead_Sheet1_vpv return serie" xfId="5164"/>
    <cellStyle name="_TableRowHead_Sheet1_vpv return serie 2" xfId="7421"/>
    <cellStyle name="_TableRowHead_Sheet1_vpv return serie_bei rates" xfId="6785"/>
    <cellStyle name="_TableRowHead_Sheet1_vpv return serie_par swap rates" xfId="6153"/>
    <cellStyle name="_TableRowHead_Sheet1_vpv_bei rates" xfId="6784"/>
    <cellStyle name="_TableRowHead_Sheet1_vpv_par swap rates" xfId="6152"/>
    <cellStyle name="_TableRowHead_SPP Values as at 12 June 05" xfId="1113"/>
    <cellStyle name="_TableRowHead_Tableau" xfId="1114"/>
    <cellStyle name="_TableRowHead_Tableau 2" xfId="3490"/>
    <cellStyle name="_TableRowHead_Tableau 3" xfId="2317"/>
    <cellStyle name="_TableRowHead_Tableau_actuate" xfId="1115"/>
    <cellStyle name="_TableRowHead_Tableau_actuate 2" xfId="3491"/>
    <cellStyle name="_TableRowHead_Tableau_actuate 3" xfId="2318"/>
    <cellStyle name="_TableRowHead_Tableau_actuate_cashflows corp" xfId="5166"/>
    <cellStyle name="_TableRowHead_Tableau_actuate_cashflows Gov't AAA" xfId="5167"/>
    <cellStyle name="_TableRowHead_Tableau_actuate_cashflows ilb" xfId="5168"/>
    <cellStyle name="_TableRowHead_Tableau_actuate_cashflows lang staats" xfId="5169"/>
    <cellStyle name="_TableRowHead_Tableau_actuate_cashflows pan european 500mm" xfId="5170"/>
    <cellStyle name="_TableRowHead_Tableau_actuate_cashflows staats" xfId="5171"/>
    <cellStyle name="_TableRowHead_Tableau_actuate_excess returns bm matching pf" xfId="5172"/>
    <cellStyle name="_TableRowHead_Tableau_actuate_ilb reeel only" xfId="5173"/>
    <cellStyle name="_TableRowHead_Tableau_actuate_nominale counterpart ilb" xfId="5174"/>
    <cellStyle name="_TableRowHead_Tableau_actuate_tijdseries" xfId="5175"/>
    <cellStyle name="_TableRowHead_Tableau_actuate_tijdseries 2" xfId="7422"/>
    <cellStyle name="_TableRowHead_Tableau_actuate_tijdseries_bei rates" xfId="6786"/>
    <cellStyle name="_TableRowHead_Tableau_actuate_tijdseries_par swap rates" xfId="6154"/>
    <cellStyle name="_TableRowHead_Tableau_actuate_vpv" xfId="5176"/>
    <cellStyle name="_TableRowHead_Tableau_actuate_vpv 2" xfId="7423"/>
    <cellStyle name="_TableRowHead_Tableau_actuate_vpv return serie" xfId="5177"/>
    <cellStyle name="_TableRowHead_Tableau_actuate_vpv return serie 2" xfId="7424"/>
    <cellStyle name="_TableRowHead_Tableau_actuate_vpv return serie_bei rates" xfId="6788"/>
    <cellStyle name="_TableRowHead_Tableau_actuate_vpv return serie_par swap rates" xfId="6156"/>
    <cellStyle name="_TableRowHead_Tableau_actuate_vpv_bei rates" xfId="6787"/>
    <cellStyle name="_TableRowHead_Tableau_actuate_vpv_par swap rates" xfId="6155"/>
    <cellStyle name="_TableRowHead_Tableau_beleggingen" xfId="5178"/>
    <cellStyle name="_TableRowHead_Tableau_beleggingen 2" xfId="7425"/>
    <cellStyle name="_TableRowHead_Tableau_beleggingen_bei rates" xfId="6789"/>
    <cellStyle name="_TableRowHead_Tableau_beleggingen_par swap rates" xfId="6157"/>
    <cellStyle name="_TableRowHead_Tableau_cashflows corp" xfId="5179"/>
    <cellStyle name="_TableRowHead_Tableau_cashflows Gov't AAA" xfId="5180"/>
    <cellStyle name="_TableRowHead_Tableau_cashflows ilb" xfId="5181"/>
    <cellStyle name="_TableRowHead_Tableau_cashflows lang staats" xfId="5182"/>
    <cellStyle name="_TableRowHead_Tableau_cashflows pan european 500mm" xfId="5183"/>
    <cellStyle name="_TableRowHead_Tableau_cashflows staats" xfId="5184"/>
    <cellStyle name="_TableRowHead_Tableau_dv01" xfId="1116"/>
    <cellStyle name="_TableRowHead_Tableau_excess returns bm matching pf" xfId="5185"/>
    <cellStyle name="_TableRowHead_Tableau_feitelijk rendement" xfId="5186"/>
    <cellStyle name="_TableRowHead_Tableau_feitelijk rendement 2" xfId="7426"/>
    <cellStyle name="_TableRowHead_Tableau_feitelijk rendement_bei rates" xfId="6790"/>
    <cellStyle name="_TableRowHead_Tableau_feitelijk rendement_par swap rates" xfId="6158"/>
    <cellStyle name="_TableRowHead_Tableau_ilb reeel only" xfId="5187"/>
    <cellStyle name="_TableRowHead_Tableau_nominale counterpart ilb" xfId="5188"/>
    <cellStyle name="_TableRowHead_Tableau_tijdseries" xfId="5189"/>
    <cellStyle name="_TableRowHead_Tableau_tijdseries 2" xfId="7427"/>
    <cellStyle name="_TableRowHead_Tableau_tijdseries_bei rates" xfId="6791"/>
    <cellStyle name="_TableRowHead_Tableau_tijdseries_par swap rates" xfId="6159"/>
    <cellStyle name="_TableRowHead_Tableau_vpv" xfId="5190"/>
    <cellStyle name="_TableRowHead_Tableau_vpv 2" xfId="7428"/>
    <cellStyle name="_TableRowHead_Tableau_vpv return serie" xfId="5191"/>
    <cellStyle name="_TableRowHead_Tableau_vpv return serie 2" xfId="7429"/>
    <cellStyle name="_TableRowHead_Tableau_vpv return serie_bei rates" xfId="6793"/>
    <cellStyle name="_TableRowHead_Tableau_vpv return serie_par swap rates" xfId="6161"/>
    <cellStyle name="_TableRowHead_Tableau_vpv_bei rates" xfId="6792"/>
    <cellStyle name="_TableRowHead_Tableau_vpv_par swap rates" xfId="6160"/>
    <cellStyle name="_TableSuperHead" xfId="1117"/>
    <cellStyle name="_TableSuperHead_allocatie" xfId="1118"/>
    <cellStyle name="_TableSuperHead_allocatie 2" xfId="3494"/>
    <cellStyle name="_TableSuperHead_allocatie 3" xfId="2319"/>
    <cellStyle name="_TableSuperHead_allocatie_actuate" xfId="1119"/>
    <cellStyle name="_TableSuperHead_allocatie_actuate 2" xfId="3495"/>
    <cellStyle name="_TableSuperHead_allocatie_actuate 3" xfId="2320"/>
    <cellStyle name="_TableSuperHead_allocatie_actuate_cashflows corp" xfId="5192"/>
    <cellStyle name="_TableSuperHead_allocatie_actuate_cashflows Gov't AAA" xfId="5193"/>
    <cellStyle name="_TableSuperHead_allocatie_actuate_cashflows ilb" xfId="5194"/>
    <cellStyle name="_TableSuperHead_allocatie_actuate_cashflows lang staats" xfId="5195"/>
    <cellStyle name="_TableSuperHead_allocatie_actuate_cashflows pan european 500mm" xfId="5196"/>
    <cellStyle name="_TableSuperHead_allocatie_actuate_cashflows staats" xfId="5197"/>
    <cellStyle name="_TableSuperHead_allocatie_actuate_excess returns bm matching pf" xfId="5198"/>
    <cellStyle name="_TableSuperHead_allocatie_actuate_ilb reeel only" xfId="5199"/>
    <cellStyle name="_TableSuperHead_allocatie_actuate_nominale counterpart ilb" xfId="5200"/>
    <cellStyle name="_TableSuperHead_allocatie_actuate_tijdseries" xfId="5201"/>
    <cellStyle name="_TableSuperHead_allocatie_actuate_tijdseries 2" xfId="7430"/>
    <cellStyle name="_TableSuperHead_allocatie_actuate_tijdseries_bei rates" xfId="6794"/>
    <cellStyle name="_TableSuperHead_allocatie_actuate_tijdseries_par swap rates" xfId="6162"/>
    <cellStyle name="_TableSuperHead_allocatie_actuate_vpv" xfId="5202"/>
    <cellStyle name="_TableSuperHead_allocatie_actuate_vpv 2" xfId="7431"/>
    <cellStyle name="_TableSuperHead_allocatie_actuate_vpv return serie" xfId="5203"/>
    <cellStyle name="_TableSuperHead_allocatie_actuate_vpv return serie 2" xfId="7432"/>
    <cellStyle name="_TableSuperHead_allocatie_actuate_vpv return serie_bei rates" xfId="6796"/>
    <cellStyle name="_TableSuperHead_allocatie_actuate_vpv return serie_par swap rates" xfId="6164"/>
    <cellStyle name="_TableSuperHead_allocatie_actuate_vpv_bei rates" xfId="6795"/>
    <cellStyle name="_TableSuperHead_allocatie_actuate_vpv_par swap rates" xfId="6163"/>
    <cellStyle name="_TableSuperHead_allocatie_beleggingen" xfId="5204"/>
    <cellStyle name="_TableSuperHead_allocatie_beleggingen 2" xfId="7433"/>
    <cellStyle name="_TableSuperHead_allocatie_beleggingen_bei rates" xfId="6797"/>
    <cellStyle name="_TableSuperHead_allocatie_beleggingen_par swap rates" xfId="6165"/>
    <cellStyle name="_TableSuperHead_allocatie_cashflows corp" xfId="5205"/>
    <cellStyle name="_TableSuperHead_allocatie_cashflows Gov't AAA" xfId="5206"/>
    <cellStyle name="_TableSuperHead_allocatie_cashflows ilb" xfId="5207"/>
    <cellStyle name="_TableSuperHead_allocatie_cashflows lang staats" xfId="5208"/>
    <cellStyle name="_TableSuperHead_allocatie_cashflows pan european 500mm" xfId="5209"/>
    <cellStyle name="_TableSuperHead_allocatie_cashflows staats" xfId="5210"/>
    <cellStyle name="_TableSuperHead_allocatie_dv01" xfId="1120"/>
    <cellStyle name="_TableSuperHead_allocatie_excess returns bm matching pf" xfId="5211"/>
    <cellStyle name="_TableSuperHead_allocatie_feitelijk rendement" xfId="5212"/>
    <cellStyle name="_TableSuperHead_allocatie_feitelijk rendement 2" xfId="7434"/>
    <cellStyle name="_TableSuperHead_allocatie_feitelijk rendement_bei rates" xfId="6798"/>
    <cellStyle name="_TableSuperHead_allocatie_feitelijk rendement_par swap rates" xfId="6166"/>
    <cellStyle name="_TableSuperHead_allocatie_ilb reeel only" xfId="5213"/>
    <cellStyle name="_TableSuperHead_allocatie_nominale counterpart ilb" xfId="5214"/>
    <cellStyle name="_TableSuperHead_allocatie_tijdseries" xfId="5215"/>
    <cellStyle name="_TableSuperHead_allocatie_tijdseries 2" xfId="7435"/>
    <cellStyle name="_TableSuperHead_allocatie_tijdseries_bei rates" xfId="6799"/>
    <cellStyle name="_TableSuperHead_allocatie_tijdseries_par swap rates" xfId="6167"/>
    <cellStyle name="_TableSuperHead_allocatie_vpv" xfId="5216"/>
    <cellStyle name="_TableSuperHead_allocatie_vpv 2" xfId="7436"/>
    <cellStyle name="_TableSuperHead_allocatie_vpv return serie" xfId="5217"/>
    <cellStyle name="_TableSuperHead_allocatie_vpv return serie 2" xfId="7437"/>
    <cellStyle name="_TableSuperHead_allocatie_vpv return serie_bei rates" xfId="6801"/>
    <cellStyle name="_TableSuperHead_allocatie_vpv return serie_par swap rates" xfId="6169"/>
    <cellStyle name="_TableSuperHead_allocatie_vpv_bei rates" xfId="6800"/>
    <cellStyle name="_TableSuperHead_allocatie_vpv_par swap rates" xfId="6168"/>
    <cellStyle name="_TableSuperHead_Asset Cashflows" xfId="1121"/>
    <cellStyle name="_TableSuperHead_Asset Cashflows 2" xfId="3496"/>
    <cellStyle name="_TableSuperHead_Asset Cashflows 3" xfId="2321"/>
    <cellStyle name="_TableSuperHead_Asset Cashflows_actuate" xfId="1122"/>
    <cellStyle name="_TableSuperHead_Asset Cashflows_actuate 2" xfId="3497"/>
    <cellStyle name="_TableSuperHead_Asset Cashflows_actuate 3" xfId="2322"/>
    <cellStyle name="_TableSuperHead_Asset Cashflows_actuate_cashflows corp" xfId="5218"/>
    <cellStyle name="_TableSuperHead_Asset Cashflows_actuate_cashflows Gov't AAA" xfId="5219"/>
    <cellStyle name="_TableSuperHead_Asset Cashflows_actuate_cashflows ilb" xfId="5220"/>
    <cellStyle name="_TableSuperHead_Asset Cashflows_actuate_cashflows lang staats" xfId="5221"/>
    <cellStyle name="_TableSuperHead_Asset Cashflows_actuate_cashflows pan european 500mm" xfId="5222"/>
    <cellStyle name="_TableSuperHead_Asset Cashflows_actuate_cashflows staats" xfId="5223"/>
    <cellStyle name="_TableSuperHead_Asset Cashflows_actuate_excess returns bm matching pf" xfId="5224"/>
    <cellStyle name="_TableSuperHead_Asset Cashflows_actuate_ilb reeel only" xfId="5225"/>
    <cellStyle name="_TableSuperHead_Asset Cashflows_actuate_nominale counterpart ilb" xfId="5226"/>
    <cellStyle name="_TableSuperHead_Asset Cashflows_actuate_tijdseries" xfId="5227"/>
    <cellStyle name="_TableSuperHead_Asset Cashflows_actuate_tijdseries 2" xfId="7438"/>
    <cellStyle name="_TableSuperHead_Asset Cashflows_actuate_tijdseries_bei rates" xfId="6802"/>
    <cellStyle name="_TableSuperHead_Asset Cashflows_actuate_tijdseries_par swap rates" xfId="6170"/>
    <cellStyle name="_TableSuperHead_Asset Cashflows_actuate_vpv" xfId="5228"/>
    <cellStyle name="_TableSuperHead_Asset Cashflows_actuate_vpv 2" xfId="7439"/>
    <cellStyle name="_TableSuperHead_Asset Cashflows_actuate_vpv return serie" xfId="5229"/>
    <cellStyle name="_TableSuperHead_Asset Cashflows_actuate_vpv return serie 2" xfId="7440"/>
    <cellStyle name="_TableSuperHead_Asset Cashflows_actuate_vpv return serie_bei rates" xfId="6804"/>
    <cellStyle name="_TableSuperHead_Asset Cashflows_actuate_vpv return serie_par swap rates" xfId="6172"/>
    <cellStyle name="_TableSuperHead_Asset Cashflows_actuate_vpv_bei rates" xfId="6803"/>
    <cellStyle name="_TableSuperHead_Asset Cashflows_actuate_vpv_par swap rates" xfId="6171"/>
    <cellStyle name="_TableSuperHead_Asset Cashflows_beleggingen" xfId="5230"/>
    <cellStyle name="_TableSuperHead_Asset Cashflows_beleggingen 2" xfId="7441"/>
    <cellStyle name="_TableSuperHead_Asset Cashflows_beleggingen_bei rates" xfId="6805"/>
    <cellStyle name="_TableSuperHead_Asset Cashflows_beleggingen_par swap rates" xfId="6173"/>
    <cellStyle name="_TableSuperHead_Asset Cashflows_cashflows corp" xfId="5231"/>
    <cellStyle name="_TableSuperHead_Asset Cashflows_cashflows Gov't AAA" xfId="5232"/>
    <cellStyle name="_TableSuperHead_Asset Cashflows_cashflows ilb" xfId="5233"/>
    <cellStyle name="_TableSuperHead_Asset Cashflows_cashflows lang staats" xfId="5234"/>
    <cellStyle name="_TableSuperHead_Asset Cashflows_cashflows pan european 500mm" xfId="5235"/>
    <cellStyle name="_TableSuperHead_Asset Cashflows_cashflows staats" xfId="5236"/>
    <cellStyle name="_TableSuperHead_Asset Cashflows_dv01" xfId="1123"/>
    <cellStyle name="_TableSuperHead_Asset Cashflows_excess returns bm matching pf" xfId="5237"/>
    <cellStyle name="_TableSuperHead_Asset Cashflows_feitelijk rendement" xfId="5238"/>
    <cellStyle name="_TableSuperHead_Asset Cashflows_feitelijk rendement 2" xfId="7442"/>
    <cellStyle name="_TableSuperHead_Asset Cashflows_feitelijk rendement_bei rates" xfId="6806"/>
    <cellStyle name="_TableSuperHead_Asset Cashflows_feitelijk rendement_par swap rates" xfId="6174"/>
    <cellStyle name="_TableSuperHead_Asset Cashflows_ilb reeel only" xfId="5239"/>
    <cellStyle name="_TableSuperHead_Asset Cashflows_nominale counterpart ilb" xfId="5240"/>
    <cellStyle name="_TableSuperHead_Asset Cashflows_tijdseries" xfId="5241"/>
    <cellStyle name="_TableSuperHead_Asset Cashflows_tijdseries 2" xfId="7443"/>
    <cellStyle name="_TableSuperHead_Asset Cashflows_tijdseries_bei rates" xfId="6807"/>
    <cellStyle name="_TableSuperHead_Asset Cashflows_tijdseries_par swap rates" xfId="6175"/>
    <cellStyle name="_TableSuperHead_Asset Cashflows_vpv" xfId="5242"/>
    <cellStyle name="_TableSuperHead_Asset Cashflows_vpv 2" xfId="7444"/>
    <cellStyle name="_TableSuperHead_Asset Cashflows_vpv return serie" xfId="5243"/>
    <cellStyle name="_TableSuperHead_Asset Cashflows_vpv return serie 2" xfId="7445"/>
    <cellStyle name="_TableSuperHead_Asset Cashflows_vpv return serie_bei rates" xfId="6809"/>
    <cellStyle name="_TableSuperHead_Asset Cashflows_vpv return serie_par swap rates" xfId="6177"/>
    <cellStyle name="_TableSuperHead_Asset Cashflows_vpv_bei rates" xfId="6808"/>
    <cellStyle name="_TableSuperHead_Asset Cashflows_vpv_par swap rates" xfId="6176"/>
    <cellStyle name="_TableSuperHead_CashFlows " xfId="1124"/>
    <cellStyle name="_TableSuperHead_CashFlows  2" xfId="3498"/>
    <cellStyle name="_TableSuperHead_CashFlows  3" xfId="2323"/>
    <cellStyle name="_TableSuperHead_CashFlows _actuate" xfId="1125"/>
    <cellStyle name="_TableSuperHead_CashFlows _actuate 2" xfId="3499"/>
    <cellStyle name="_TableSuperHead_CashFlows _actuate 3" xfId="2324"/>
    <cellStyle name="_TableSuperHead_CashFlows _actuate_cashflows corp" xfId="5244"/>
    <cellStyle name="_TableSuperHead_CashFlows _actuate_cashflows Gov't AAA" xfId="5245"/>
    <cellStyle name="_TableSuperHead_CashFlows _actuate_cashflows ilb" xfId="5246"/>
    <cellStyle name="_TableSuperHead_CashFlows _actuate_cashflows lang staats" xfId="5247"/>
    <cellStyle name="_TableSuperHead_CashFlows _actuate_cashflows pan european 500mm" xfId="5248"/>
    <cellStyle name="_TableSuperHead_CashFlows _actuate_cashflows staats" xfId="5249"/>
    <cellStyle name="_TableSuperHead_CashFlows _actuate_excess returns bm matching pf" xfId="5250"/>
    <cellStyle name="_TableSuperHead_CashFlows _actuate_ilb reeel only" xfId="5251"/>
    <cellStyle name="_TableSuperHead_CashFlows _actuate_nominale counterpart ilb" xfId="5252"/>
    <cellStyle name="_TableSuperHead_CashFlows _actuate_tijdseries" xfId="5253"/>
    <cellStyle name="_TableSuperHead_CashFlows _actuate_tijdseries 2" xfId="7446"/>
    <cellStyle name="_TableSuperHead_CashFlows _actuate_tijdseries_bei rates" xfId="6810"/>
    <cellStyle name="_TableSuperHead_CashFlows _actuate_tijdseries_par swap rates" xfId="6178"/>
    <cellStyle name="_TableSuperHead_CashFlows _actuate_vpv" xfId="5254"/>
    <cellStyle name="_TableSuperHead_CashFlows _actuate_vpv 2" xfId="7447"/>
    <cellStyle name="_TableSuperHead_CashFlows _actuate_vpv return serie" xfId="5255"/>
    <cellStyle name="_TableSuperHead_CashFlows _actuate_vpv return serie 2" xfId="7448"/>
    <cellStyle name="_TableSuperHead_CashFlows _actuate_vpv return serie_bei rates" xfId="6812"/>
    <cellStyle name="_TableSuperHead_CashFlows _actuate_vpv return serie_par swap rates" xfId="6180"/>
    <cellStyle name="_TableSuperHead_CashFlows _actuate_vpv_bei rates" xfId="6811"/>
    <cellStyle name="_TableSuperHead_CashFlows _actuate_vpv_par swap rates" xfId="6179"/>
    <cellStyle name="_TableSuperHead_CashFlows _beleggingen" xfId="5256"/>
    <cellStyle name="_TableSuperHead_CashFlows _beleggingen 2" xfId="7449"/>
    <cellStyle name="_TableSuperHead_CashFlows _beleggingen_bei rates" xfId="6813"/>
    <cellStyle name="_TableSuperHead_CashFlows _beleggingen_par swap rates" xfId="6181"/>
    <cellStyle name="_TableSuperHead_CashFlows _cashflows corp" xfId="5257"/>
    <cellStyle name="_TableSuperHead_CashFlows _cashflows Gov't AAA" xfId="5258"/>
    <cellStyle name="_TableSuperHead_CashFlows _cashflows ilb" xfId="5259"/>
    <cellStyle name="_TableSuperHead_CashFlows _cashflows lang staats" xfId="5260"/>
    <cellStyle name="_TableSuperHead_CashFlows _cashflows pan european 500mm" xfId="5261"/>
    <cellStyle name="_TableSuperHead_CashFlows _cashflows staats" xfId="5262"/>
    <cellStyle name="_TableSuperHead_CashFlows _dv01" xfId="1126"/>
    <cellStyle name="_TableSuperHead_CashFlows _excess returns bm matching pf" xfId="5263"/>
    <cellStyle name="_TableSuperHead_CashFlows _feitelijk rendement" xfId="5264"/>
    <cellStyle name="_TableSuperHead_CashFlows _feitelijk rendement 2" xfId="7450"/>
    <cellStyle name="_TableSuperHead_CashFlows _feitelijk rendement_bei rates" xfId="6814"/>
    <cellStyle name="_TableSuperHead_CashFlows _feitelijk rendement_par swap rates" xfId="6182"/>
    <cellStyle name="_TableSuperHead_CashFlows _ilb reeel only" xfId="5265"/>
    <cellStyle name="_TableSuperHead_CashFlows _nominale counterpart ilb" xfId="5266"/>
    <cellStyle name="_TableSuperHead_CashFlows _tijdseries" xfId="5267"/>
    <cellStyle name="_TableSuperHead_CashFlows _tijdseries 2" xfId="7451"/>
    <cellStyle name="_TableSuperHead_CashFlows _tijdseries_bei rates" xfId="6815"/>
    <cellStyle name="_TableSuperHead_CashFlows _tijdseries_par swap rates" xfId="6183"/>
    <cellStyle name="_TableSuperHead_CashFlows _vpv" xfId="5268"/>
    <cellStyle name="_TableSuperHead_CashFlows _vpv 2" xfId="7452"/>
    <cellStyle name="_TableSuperHead_CashFlows _vpv return serie" xfId="5269"/>
    <cellStyle name="_TableSuperHead_CashFlows _vpv return serie 2" xfId="7453"/>
    <cellStyle name="_TableSuperHead_CashFlows _vpv return serie_bei rates" xfId="6817"/>
    <cellStyle name="_TableSuperHead_CashFlows _vpv return serie_par swap rates" xfId="6185"/>
    <cellStyle name="_TableSuperHead_CashFlows _vpv_bei rates" xfId="6816"/>
    <cellStyle name="_TableSuperHead_CashFlows _vpv_par swap rates" xfId="6184"/>
    <cellStyle name="_TableSuperHead_Combined CashFlows" xfId="1127"/>
    <cellStyle name="_TableSuperHead_Combined CashFlows 2" xfId="3501"/>
    <cellStyle name="_TableSuperHead_Combined CashFlows 3" xfId="2326"/>
    <cellStyle name="_TableSuperHead_Combined CashFlows_actuate" xfId="1128"/>
    <cellStyle name="_TableSuperHead_Combined CashFlows_actuate 2" xfId="3502"/>
    <cellStyle name="_TableSuperHead_Combined CashFlows_actuate 3" xfId="2327"/>
    <cellStyle name="_TableSuperHead_Combined CashFlows_actuate_cashflows corp" xfId="5270"/>
    <cellStyle name="_TableSuperHead_Combined CashFlows_actuate_cashflows Gov't AAA" xfId="5271"/>
    <cellStyle name="_TableSuperHead_Combined CashFlows_actuate_cashflows ilb" xfId="5272"/>
    <cellStyle name="_TableSuperHead_Combined CashFlows_actuate_cashflows lang staats" xfId="5273"/>
    <cellStyle name="_TableSuperHead_Combined CashFlows_actuate_cashflows pan european 500mm" xfId="5274"/>
    <cellStyle name="_TableSuperHead_Combined CashFlows_actuate_cashflows staats" xfId="5275"/>
    <cellStyle name="_TableSuperHead_Combined CashFlows_actuate_excess returns bm matching pf" xfId="5276"/>
    <cellStyle name="_TableSuperHead_Combined CashFlows_actuate_ilb reeel only" xfId="5277"/>
    <cellStyle name="_TableSuperHead_Combined CashFlows_actuate_nominale counterpart ilb" xfId="5278"/>
    <cellStyle name="_TableSuperHead_Combined CashFlows_actuate_tijdseries" xfId="5279"/>
    <cellStyle name="_TableSuperHead_Combined CashFlows_actuate_tijdseries 2" xfId="7454"/>
    <cellStyle name="_TableSuperHead_Combined CashFlows_actuate_tijdseries_bei rates" xfId="6818"/>
    <cellStyle name="_TableSuperHead_Combined CashFlows_actuate_tijdseries_par swap rates" xfId="6186"/>
    <cellStyle name="_TableSuperHead_Combined CashFlows_actuate_vpv" xfId="5280"/>
    <cellStyle name="_TableSuperHead_Combined CashFlows_actuate_vpv 2" xfId="7455"/>
    <cellStyle name="_TableSuperHead_Combined CashFlows_actuate_vpv return serie" xfId="5281"/>
    <cellStyle name="_TableSuperHead_Combined CashFlows_actuate_vpv return serie 2" xfId="7456"/>
    <cellStyle name="_TableSuperHead_Combined CashFlows_actuate_vpv return serie_bei rates" xfId="6820"/>
    <cellStyle name="_TableSuperHead_Combined CashFlows_actuate_vpv return serie_par swap rates" xfId="6188"/>
    <cellStyle name="_TableSuperHead_Combined CashFlows_actuate_vpv_bei rates" xfId="6819"/>
    <cellStyle name="_TableSuperHead_Combined CashFlows_actuate_vpv_par swap rates" xfId="6187"/>
    <cellStyle name="_TableSuperHead_Combined CashFlows_beleggingen" xfId="5282"/>
    <cellStyle name="_TableSuperHead_Combined CashFlows_beleggingen 2" xfId="7457"/>
    <cellStyle name="_TableSuperHead_Combined CashFlows_beleggingen_bei rates" xfId="6821"/>
    <cellStyle name="_TableSuperHead_Combined CashFlows_beleggingen_par swap rates" xfId="6189"/>
    <cellStyle name="_TableSuperHead_Combined CashFlows_cashflows corp" xfId="5283"/>
    <cellStyle name="_TableSuperHead_Combined CashFlows_cashflows Gov't AAA" xfId="5284"/>
    <cellStyle name="_TableSuperHead_Combined CashFlows_cashflows ilb" xfId="5285"/>
    <cellStyle name="_TableSuperHead_Combined CashFlows_cashflows lang staats" xfId="5286"/>
    <cellStyle name="_TableSuperHead_Combined CashFlows_cashflows pan european 500mm" xfId="5287"/>
    <cellStyle name="_TableSuperHead_Combined CashFlows_cashflows staats" xfId="5288"/>
    <cellStyle name="_TableSuperHead_Combined CashFlows_dv01" xfId="1129"/>
    <cellStyle name="_TableSuperHead_Combined CashFlows_excess returns bm matching pf" xfId="5289"/>
    <cellStyle name="_TableSuperHead_Combined CashFlows_feitelijk rendement" xfId="5290"/>
    <cellStyle name="_TableSuperHead_Combined CashFlows_feitelijk rendement 2" xfId="7458"/>
    <cellStyle name="_TableSuperHead_Combined CashFlows_feitelijk rendement_bei rates" xfId="6822"/>
    <cellStyle name="_TableSuperHead_Combined CashFlows_feitelijk rendement_par swap rates" xfId="6190"/>
    <cellStyle name="_TableSuperHead_Combined CashFlows_ilb reeel only" xfId="5291"/>
    <cellStyle name="_TableSuperHead_Combined CashFlows_nominale counterpart ilb" xfId="5292"/>
    <cellStyle name="_TableSuperHead_Combined CashFlows_tijdseries" xfId="5293"/>
    <cellStyle name="_TableSuperHead_Combined CashFlows_tijdseries 2" xfId="7459"/>
    <cellStyle name="_TableSuperHead_Combined CashFlows_tijdseries_bei rates" xfId="6823"/>
    <cellStyle name="_TableSuperHead_Combined CashFlows_tijdseries_par swap rates" xfId="6191"/>
    <cellStyle name="_TableSuperHead_Combined CashFlows_vpv" xfId="5294"/>
    <cellStyle name="_TableSuperHead_Combined CashFlows_vpv 2" xfId="7460"/>
    <cellStyle name="_TableSuperHead_Combined CashFlows_vpv return serie" xfId="5295"/>
    <cellStyle name="_TableSuperHead_Combined CashFlows_vpv return serie 2" xfId="7461"/>
    <cellStyle name="_TableSuperHead_Combined CashFlows_vpv return serie_bei rates" xfId="6825"/>
    <cellStyle name="_TableSuperHead_Combined CashFlows_vpv return serie_par swap rates" xfId="6193"/>
    <cellStyle name="_TableSuperHead_Combined CashFlows_vpv_bei rates" xfId="6824"/>
    <cellStyle name="_TableSuperHead_Combined CashFlows_vpv_par swap rates" xfId="6192"/>
    <cellStyle name="_TableSuperHead_FP Liabilities_19oct05 v2" xfId="1130"/>
    <cellStyle name="_TableSuperHead_FP Liabilities_19oct05 v2 2" xfId="3503"/>
    <cellStyle name="_TableSuperHead_FP Liabilities_19oct05 v2 3" xfId="2328"/>
    <cellStyle name="_TableSuperHead_FP Liabilities_19oct05 v2_actuate" xfId="1131"/>
    <cellStyle name="_TableSuperHead_FP Liabilities_19oct05 v2_actuate 2" xfId="3504"/>
    <cellStyle name="_TableSuperHead_FP Liabilities_19oct05 v2_actuate 3" xfId="2329"/>
    <cellStyle name="_TableSuperHead_FP Liabilities_19oct05 v2_actuate_cashflows corp" xfId="5296"/>
    <cellStyle name="_TableSuperHead_FP Liabilities_19oct05 v2_actuate_cashflows Gov't AAA" xfId="5297"/>
    <cellStyle name="_TableSuperHead_FP Liabilities_19oct05 v2_actuate_cashflows ilb" xfId="5298"/>
    <cellStyle name="_TableSuperHead_FP Liabilities_19oct05 v2_actuate_cashflows lang staats" xfId="5299"/>
    <cellStyle name="_TableSuperHead_FP Liabilities_19oct05 v2_actuate_cashflows pan european 500mm" xfId="5300"/>
    <cellStyle name="_TableSuperHead_FP Liabilities_19oct05 v2_actuate_cashflows staats" xfId="5301"/>
    <cellStyle name="_TableSuperHead_FP Liabilities_19oct05 v2_actuate_excess returns bm matching pf" xfId="5302"/>
    <cellStyle name="_TableSuperHead_FP Liabilities_19oct05 v2_actuate_ilb reeel only" xfId="5303"/>
    <cellStyle name="_TableSuperHead_FP Liabilities_19oct05 v2_actuate_nominale counterpart ilb" xfId="5304"/>
    <cellStyle name="_TableSuperHead_FP Liabilities_19oct05 v2_actuate_tijdseries" xfId="5305"/>
    <cellStyle name="_TableSuperHead_FP Liabilities_19oct05 v2_actuate_tijdseries 2" xfId="7462"/>
    <cellStyle name="_TableSuperHead_FP Liabilities_19oct05 v2_actuate_tijdseries_bei rates" xfId="6826"/>
    <cellStyle name="_TableSuperHead_FP Liabilities_19oct05 v2_actuate_tijdseries_par swap rates" xfId="6194"/>
    <cellStyle name="_TableSuperHead_FP Liabilities_19oct05 v2_actuate_vpv" xfId="5306"/>
    <cellStyle name="_TableSuperHead_FP Liabilities_19oct05 v2_actuate_vpv 2" xfId="7463"/>
    <cellStyle name="_TableSuperHead_FP Liabilities_19oct05 v2_actuate_vpv return serie" xfId="5307"/>
    <cellStyle name="_TableSuperHead_FP Liabilities_19oct05 v2_actuate_vpv return serie 2" xfId="7464"/>
    <cellStyle name="_TableSuperHead_FP Liabilities_19oct05 v2_actuate_vpv return serie_bei rates" xfId="6828"/>
    <cellStyle name="_TableSuperHead_FP Liabilities_19oct05 v2_actuate_vpv return serie_par swap rates" xfId="6196"/>
    <cellStyle name="_TableSuperHead_FP Liabilities_19oct05 v2_actuate_vpv_bei rates" xfId="6827"/>
    <cellStyle name="_TableSuperHead_FP Liabilities_19oct05 v2_actuate_vpv_par swap rates" xfId="6195"/>
    <cellStyle name="_TableSuperHead_FP Liabilities_19oct05 v2_beleggingen" xfId="5308"/>
    <cellStyle name="_TableSuperHead_FP Liabilities_19oct05 v2_beleggingen 2" xfId="7465"/>
    <cellStyle name="_TableSuperHead_FP Liabilities_19oct05 v2_beleggingen_bei rates" xfId="6829"/>
    <cellStyle name="_TableSuperHead_FP Liabilities_19oct05 v2_beleggingen_par swap rates" xfId="6197"/>
    <cellStyle name="_TableSuperHead_FP Liabilities_19oct05 v2_cashflows corp" xfId="5309"/>
    <cellStyle name="_TableSuperHead_FP Liabilities_19oct05 v2_cashflows Gov't AAA" xfId="5310"/>
    <cellStyle name="_TableSuperHead_FP Liabilities_19oct05 v2_cashflows ilb" xfId="5311"/>
    <cellStyle name="_TableSuperHead_FP Liabilities_19oct05 v2_cashflows lang staats" xfId="5312"/>
    <cellStyle name="_TableSuperHead_FP Liabilities_19oct05 v2_cashflows pan european 500mm" xfId="5313"/>
    <cellStyle name="_TableSuperHead_FP Liabilities_19oct05 v2_cashflows staats" xfId="5314"/>
    <cellStyle name="_TableSuperHead_FP Liabilities_19oct05 v2_dv01" xfId="1132"/>
    <cellStyle name="_TableSuperHead_FP Liabilities_19oct05 v2_excess returns bm matching pf" xfId="5315"/>
    <cellStyle name="_TableSuperHead_FP Liabilities_19oct05 v2_feitelijk rendement" xfId="5316"/>
    <cellStyle name="_TableSuperHead_FP Liabilities_19oct05 v2_feitelijk rendement 2" xfId="7466"/>
    <cellStyle name="_TableSuperHead_FP Liabilities_19oct05 v2_feitelijk rendement_bei rates" xfId="6830"/>
    <cellStyle name="_TableSuperHead_FP Liabilities_19oct05 v2_feitelijk rendement_par swap rates" xfId="6198"/>
    <cellStyle name="_TableSuperHead_FP Liabilities_19oct05 v2_ilb reeel only" xfId="5317"/>
    <cellStyle name="_TableSuperHead_FP Liabilities_19oct05 v2_nominale counterpart ilb" xfId="5318"/>
    <cellStyle name="_TableSuperHead_FP Liabilities_19oct05 v2_tijdseries" xfId="5319"/>
    <cellStyle name="_TableSuperHead_FP Liabilities_19oct05 v2_tijdseries 2" xfId="7467"/>
    <cellStyle name="_TableSuperHead_FP Liabilities_19oct05 v2_tijdseries_bei rates" xfId="6831"/>
    <cellStyle name="_TableSuperHead_FP Liabilities_19oct05 v2_tijdseries_par swap rates" xfId="6199"/>
    <cellStyle name="_TableSuperHead_FP Liabilities_19oct05 v2_vpv" xfId="5320"/>
    <cellStyle name="_TableSuperHead_FP Liabilities_19oct05 v2_vpv 2" xfId="7468"/>
    <cellStyle name="_TableSuperHead_FP Liabilities_19oct05 v2_vpv return serie" xfId="5321"/>
    <cellStyle name="_TableSuperHead_FP Liabilities_19oct05 v2_vpv return serie 2" xfId="7469"/>
    <cellStyle name="_TableSuperHead_FP Liabilities_19oct05 v2_vpv return serie_bei rates" xfId="6833"/>
    <cellStyle name="_TableSuperHead_FP Liabilities_19oct05 v2_vpv return serie_par swap rates" xfId="6201"/>
    <cellStyle name="_TableSuperHead_FP Liabilities_19oct05 v2_vpv_bei rates" xfId="6832"/>
    <cellStyle name="_TableSuperHead_FP Liabilities_19oct05 v2_vpv_par swap rates" xfId="6200"/>
    <cellStyle name="_TableSuperHead_Govt Bond Data" xfId="1133"/>
    <cellStyle name="_TableSuperHead_INF Benchmark " xfId="1134"/>
    <cellStyle name="_TableSuperHead_InitialPosition" xfId="1135"/>
    <cellStyle name="_TableSuperHead_IR Benchmark" xfId="1136"/>
    <cellStyle name="_TableSuperHead_June 05 CF" xfId="1137"/>
    <cellStyle name="_TableSuperHead_June 05 CF 2" xfId="3510"/>
    <cellStyle name="_TableSuperHead_June 05 CF 3" xfId="2330"/>
    <cellStyle name="_TableSuperHead_June 05 CF_actuate" xfId="1138"/>
    <cellStyle name="_TableSuperHead_June 05 CF_actuate 2" xfId="3511"/>
    <cellStyle name="_TableSuperHead_June 05 CF_actuate 3" xfId="2331"/>
    <cellStyle name="_TableSuperHead_June 05 CF_actuate_cashflows corp" xfId="5322"/>
    <cellStyle name="_TableSuperHead_June 05 CF_actuate_cashflows Gov't AAA" xfId="5323"/>
    <cellStyle name="_TableSuperHead_June 05 CF_actuate_cashflows ilb" xfId="5324"/>
    <cellStyle name="_TableSuperHead_June 05 CF_actuate_cashflows lang staats" xfId="5325"/>
    <cellStyle name="_TableSuperHead_June 05 CF_actuate_cashflows pan european 500mm" xfId="5326"/>
    <cellStyle name="_TableSuperHead_June 05 CF_actuate_cashflows staats" xfId="5327"/>
    <cellStyle name="_TableSuperHead_June 05 CF_actuate_excess returns bm matching pf" xfId="5328"/>
    <cellStyle name="_TableSuperHead_June 05 CF_actuate_ilb reeel only" xfId="5329"/>
    <cellStyle name="_TableSuperHead_June 05 CF_actuate_nominale counterpart ilb" xfId="5330"/>
    <cellStyle name="_TableSuperHead_June 05 CF_actuate_tijdseries" xfId="5331"/>
    <cellStyle name="_TableSuperHead_June 05 CF_actuate_tijdseries 2" xfId="7470"/>
    <cellStyle name="_TableSuperHead_June 05 CF_actuate_tijdseries_bei rates" xfId="6834"/>
    <cellStyle name="_TableSuperHead_June 05 CF_actuate_tijdseries_par swap rates" xfId="6202"/>
    <cellStyle name="_TableSuperHead_June 05 CF_actuate_vpv" xfId="5332"/>
    <cellStyle name="_TableSuperHead_June 05 CF_actuate_vpv 2" xfId="7471"/>
    <cellStyle name="_TableSuperHead_June 05 CF_actuate_vpv return serie" xfId="5333"/>
    <cellStyle name="_TableSuperHead_June 05 CF_actuate_vpv return serie 2" xfId="7472"/>
    <cellStyle name="_TableSuperHead_June 05 CF_actuate_vpv return serie_bei rates" xfId="6836"/>
    <cellStyle name="_TableSuperHead_June 05 CF_actuate_vpv return serie_par swap rates" xfId="6204"/>
    <cellStyle name="_TableSuperHead_June 05 CF_actuate_vpv_bei rates" xfId="6835"/>
    <cellStyle name="_TableSuperHead_June 05 CF_actuate_vpv_par swap rates" xfId="6203"/>
    <cellStyle name="_TableSuperHead_June 05 CF_beleggingen" xfId="5334"/>
    <cellStyle name="_TableSuperHead_June 05 CF_beleggingen 2" xfId="7473"/>
    <cellStyle name="_TableSuperHead_June 05 CF_beleggingen_bei rates" xfId="6837"/>
    <cellStyle name="_TableSuperHead_June 05 CF_beleggingen_par swap rates" xfId="6205"/>
    <cellStyle name="_TableSuperHead_June 05 CF_cashflows corp" xfId="5335"/>
    <cellStyle name="_TableSuperHead_June 05 CF_cashflows Gov't AAA" xfId="5336"/>
    <cellStyle name="_TableSuperHead_June 05 CF_cashflows ilb" xfId="5337"/>
    <cellStyle name="_TableSuperHead_June 05 CF_cashflows lang staats" xfId="5338"/>
    <cellStyle name="_TableSuperHead_June 05 CF_cashflows pan european 500mm" xfId="5339"/>
    <cellStyle name="_TableSuperHead_June 05 CF_cashflows staats" xfId="5340"/>
    <cellStyle name="_TableSuperHead_June 05 CF_dv01" xfId="1139"/>
    <cellStyle name="_TableSuperHead_June 05 CF_excess returns bm matching pf" xfId="5341"/>
    <cellStyle name="_TableSuperHead_June 05 CF_feitelijk rendement" xfId="5342"/>
    <cellStyle name="_TableSuperHead_June 05 CF_feitelijk rendement 2" xfId="7474"/>
    <cellStyle name="_TableSuperHead_June 05 CF_feitelijk rendement_bei rates" xfId="6838"/>
    <cellStyle name="_TableSuperHead_June 05 CF_feitelijk rendement_par swap rates" xfId="6206"/>
    <cellStyle name="_TableSuperHead_June 05 CF_ilb reeel only" xfId="5343"/>
    <cellStyle name="_TableSuperHead_June 05 CF_nominale counterpart ilb" xfId="5344"/>
    <cellStyle name="_TableSuperHead_June 05 CF_tijdseries" xfId="5345"/>
    <cellStyle name="_TableSuperHead_June 05 CF_tijdseries 2" xfId="7475"/>
    <cellStyle name="_TableSuperHead_June 05 CF_tijdseries_bei rates" xfId="6839"/>
    <cellStyle name="_TableSuperHead_June 05 CF_tijdseries_par swap rates" xfId="6207"/>
    <cellStyle name="_TableSuperHead_June 05 CF_vpv" xfId="5346"/>
    <cellStyle name="_TableSuperHead_June 05 CF_vpv 2" xfId="7476"/>
    <cellStyle name="_TableSuperHead_June 05 CF_vpv return serie" xfId="5347"/>
    <cellStyle name="_TableSuperHead_June 05 CF_vpv return serie 2" xfId="7477"/>
    <cellStyle name="_TableSuperHead_June 05 CF_vpv return serie_bei rates" xfId="6841"/>
    <cellStyle name="_TableSuperHead_June 05 CF_vpv return serie_par swap rates" xfId="6209"/>
    <cellStyle name="_TableSuperHead_June 05 CF_vpv_bei rates" xfId="6840"/>
    <cellStyle name="_TableSuperHead_June 05 CF_vpv_par swap rates" xfId="6208"/>
    <cellStyle name="_TableSuperHead_June05" xfId="1140"/>
    <cellStyle name="_TableSuperHead_LDI Characts" xfId="1141"/>
    <cellStyle name="_TableSuperHead_Liabs DV01" xfId="1142"/>
    <cellStyle name="_TableSuperHead_Liabs DV01 2" xfId="3515"/>
    <cellStyle name="_TableSuperHead_Liabs DV01 3" xfId="2332"/>
    <cellStyle name="_TableSuperHead_Liabs DV01_actuate" xfId="1143"/>
    <cellStyle name="_TableSuperHead_Liabs DV01_actuate 2" xfId="3516"/>
    <cellStyle name="_TableSuperHead_Liabs DV01_actuate 3" xfId="2333"/>
    <cellStyle name="_TableSuperHead_Liabs DV01_actuate_cashflows corp" xfId="5348"/>
    <cellStyle name="_TableSuperHead_Liabs DV01_actuate_cashflows Gov't AAA" xfId="5349"/>
    <cellStyle name="_TableSuperHead_Liabs DV01_actuate_cashflows ilb" xfId="5350"/>
    <cellStyle name="_TableSuperHead_Liabs DV01_actuate_cashflows lang staats" xfId="5351"/>
    <cellStyle name="_TableSuperHead_Liabs DV01_actuate_cashflows pan european 500mm" xfId="5352"/>
    <cellStyle name="_TableSuperHead_Liabs DV01_actuate_cashflows staats" xfId="5353"/>
    <cellStyle name="_TableSuperHead_Liabs DV01_actuate_excess returns bm matching pf" xfId="5354"/>
    <cellStyle name="_TableSuperHead_Liabs DV01_actuate_ilb reeel only" xfId="5355"/>
    <cellStyle name="_TableSuperHead_Liabs DV01_actuate_nominale counterpart ilb" xfId="5356"/>
    <cellStyle name="_TableSuperHead_Liabs DV01_actuate_tijdseries" xfId="5357"/>
    <cellStyle name="_TableSuperHead_Liabs DV01_actuate_tijdseries 2" xfId="7478"/>
    <cellStyle name="_TableSuperHead_Liabs DV01_actuate_tijdseries_bei rates" xfId="6842"/>
    <cellStyle name="_TableSuperHead_Liabs DV01_actuate_tijdseries_par swap rates" xfId="6210"/>
    <cellStyle name="_TableSuperHead_Liabs DV01_actuate_vpv" xfId="5358"/>
    <cellStyle name="_TableSuperHead_Liabs DV01_actuate_vpv 2" xfId="7479"/>
    <cellStyle name="_TableSuperHead_Liabs DV01_actuate_vpv return serie" xfId="5359"/>
    <cellStyle name="_TableSuperHead_Liabs DV01_actuate_vpv return serie 2" xfId="7480"/>
    <cellStyle name="_TableSuperHead_Liabs DV01_actuate_vpv return serie_bei rates" xfId="6844"/>
    <cellStyle name="_TableSuperHead_Liabs DV01_actuate_vpv return serie_par swap rates" xfId="6212"/>
    <cellStyle name="_TableSuperHead_Liabs DV01_actuate_vpv_bei rates" xfId="6843"/>
    <cellStyle name="_TableSuperHead_Liabs DV01_actuate_vpv_par swap rates" xfId="6211"/>
    <cellStyle name="_TableSuperHead_Liabs DV01_beleggingen" xfId="5360"/>
    <cellStyle name="_TableSuperHead_Liabs DV01_beleggingen 2" xfId="7481"/>
    <cellStyle name="_TableSuperHead_Liabs DV01_beleggingen_bei rates" xfId="6845"/>
    <cellStyle name="_TableSuperHead_Liabs DV01_beleggingen_par swap rates" xfId="6213"/>
    <cellStyle name="_TableSuperHead_Liabs DV01_cashflows corp" xfId="5361"/>
    <cellStyle name="_TableSuperHead_Liabs DV01_cashflows Gov't AAA" xfId="5362"/>
    <cellStyle name="_TableSuperHead_Liabs DV01_cashflows ilb" xfId="5363"/>
    <cellStyle name="_TableSuperHead_Liabs DV01_cashflows lang staats" xfId="5364"/>
    <cellStyle name="_TableSuperHead_Liabs DV01_cashflows pan european 500mm" xfId="5365"/>
    <cellStyle name="_TableSuperHead_Liabs DV01_cashflows staats" xfId="5366"/>
    <cellStyle name="_TableSuperHead_Liabs DV01_dv01" xfId="1144"/>
    <cellStyle name="_TableSuperHead_Liabs DV01_excess returns bm matching pf" xfId="5367"/>
    <cellStyle name="_TableSuperHead_Liabs DV01_feitelijk rendement" xfId="5368"/>
    <cellStyle name="_TableSuperHead_Liabs DV01_feitelijk rendement 2" xfId="7482"/>
    <cellStyle name="_TableSuperHead_Liabs DV01_feitelijk rendement_bei rates" xfId="6846"/>
    <cellStyle name="_TableSuperHead_Liabs DV01_feitelijk rendement_par swap rates" xfId="6214"/>
    <cellStyle name="_TableSuperHead_Liabs DV01_ilb reeel only" xfId="5369"/>
    <cellStyle name="_TableSuperHead_Liabs DV01_nominale counterpart ilb" xfId="5370"/>
    <cellStyle name="_TableSuperHead_Liabs DV01_tijdseries" xfId="5371"/>
    <cellStyle name="_TableSuperHead_Liabs DV01_tijdseries 2" xfId="7483"/>
    <cellStyle name="_TableSuperHead_Liabs DV01_tijdseries_bei rates" xfId="6847"/>
    <cellStyle name="_TableSuperHead_Liabs DV01_tijdseries_par swap rates" xfId="6215"/>
    <cellStyle name="_TableSuperHead_Liabs DV01_vpv" xfId="5372"/>
    <cellStyle name="_TableSuperHead_Liabs DV01_vpv 2" xfId="7484"/>
    <cellStyle name="_TableSuperHead_Liabs DV01_vpv return serie" xfId="5373"/>
    <cellStyle name="_TableSuperHead_Liabs DV01_vpv return serie 2" xfId="7485"/>
    <cellStyle name="_TableSuperHead_Liabs DV01_vpv return serie_bei rates" xfId="6849"/>
    <cellStyle name="_TableSuperHead_Liabs DV01_vpv return serie_par swap rates" xfId="6217"/>
    <cellStyle name="_TableSuperHead_Liabs DV01_vpv_bei rates" xfId="6848"/>
    <cellStyle name="_TableSuperHead_Liabs DV01_vpv_par swap rates" xfId="6216"/>
    <cellStyle name="_TableSuperHead_Main" xfId="1145"/>
    <cellStyle name="_TableSuperHead_Main 2" xfId="3518"/>
    <cellStyle name="_TableSuperHead_Main 3" xfId="2334"/>
    <cellStyle name="_TableSuperHead_Main_actuate" xfId="1146"/>
    <cellStyle name="_TableSuperHead_Main_actuate 2" xfId="3519"/>
    <cellStyle name="_TableSuperHead_Main_actuate 3" xfId="2335"/>
    <cellStyle name="_TableSuperHead_Main_actuate_cashflows corp" xfId="5374"/>
    <cellStyle name="_TableSuperHead_Main_actuate_cashflows Gov't AAA" xfId="5375"/>
    <cellStyle name="_TableSuperHead_Main_actuate_cashflows ilb" xfId="5376"/>
    <cellStyle name="_TableSuperHead_Main_actuate_cashflows lang staats" xfId="5377"/>
    <cellStyle name="_TableSuperHead_Main_actuate_cashflows pan european 500mm" xfId="5378"/>
    <cellStyle name="_TableSuperHead_Main_actuate_cashflows staats" xfId="5379"/>
    <cellStyle name="_TableSuperHead_Main_actuate_excess returns bm matching pf" xfId="5380"/>
    <cellStyle name="_TableSuperHead_Main_actuate_ilb reeel only" xfId="5381"/>
    <cellStyle name="_TableSuperHead_Main_actuate_nominale counterpart ilb" xfId="5382"/>
    <cellStyle name="_TableSuperHead_Main_actuate_tijdseries" xfId="5383"/>
    <cellStyle name="_TableSuperHead_Main_actuate_tijdseries 2" xfId="7486"/>
    <cellStyle name="_TableSuperHead_Main_actuate_tijdseries_bei rates" xfId="6850"/>
    <cellStyle name="_TableSuperHead_Main_actuate_tijdseries_par swap rates" xfId="6218"/>
    <cellStyle name="_TableSuperHead_Main_actuate_vpv" xfId="5384"/>
    <cellStyle name="_TableSuperHead_Main_actuate_vpv 2" xfId="7487"/>
    <cellStyle name="_TableSuperHead_Main_actuate_vpv return serie" xfId="5385"/>
    <cellStyle name="_TableSuperHead_Main_actuate_vpv return serie 2" xfId="7488"/>
    <cellStyle name="_TableSuperHead_Main_actuate_vpv return serie_bei rates" xfId="6852"/>
    <cellStyle name="_TableSuperHead_Main_actuate_vpv return serie_par swap rates" xfId="6220"/>
    <cellStyle name="_TableSuperHead_Main_actuate_vpv_bei rates" xfId="6851"/>
    <cellStyle name="_TableSuperHead_Main_actuate_vpv_par swap rates" xfId="6219"/>
    <cellStyle name="_TableSuperHead_Main_beleggingen" xfId="5386"/>
    <cellStyle name="_TableSuperHead_Main_beleggingen 2" xfId="7489"/>
    <cellStyle name="_TableSuperHead_Main_beleggingen_bei rates" xfId="6853"/>
    <cellStyle name="_TableSuperHead_Main_beleggingen_par swap rates" xfId="6221"/>
    <cellStyle name="_TableSuperHead_Main_cashflows corp" xfId="5387"/>
    <cellStyle name="_TableSuperHead_Main_cashflows Gov't AAA" xfId="5388"/>
    <cellStyle name="_TableSuperHead_Main_cashflows ilb" xfId="5389"/>
    <cellStyle name="_TableSuperHead_Main_cashflows lang staats" xfId="5390"/>
    <cellStyle name="_TableSuperHead_Main_cashflows pan european 500mm" xfId="5391"/>
    <cellStyle name="_TableSuperHead_Main_cashflows staats" xfId="5392"/>
    <cellStyle name="_TableSuperHead_Main_dv01" xfId="1147"/>
    <cellStyle name="_TableSuperHead_Main_excess returns bm matching pf" xfId="5393"/>
    <cellStyle name="_TableSuperHead_Main_feitelijk rendement" xfId="5394"/>
    <cellStyle name="_TableSuperHead_Main_feitelijk rendement 2" xfId="7490"/>
    <cellStyle name="_TableSuperHead_Main_feitelijk rendement_bei rates" xfId="6854"/>
    <cellStyle name="_TableSuperHead_Main_feitelijk rendement_par swap rates" xfId="6222"/>
    <cellStyle name="_TableSuperHead_Main_ilb reeel only" xfId="5395"/>
    <cellStyle name="_TableSuperHead_Main_nominale counterpart ilb" xfId="5396"/>
    <cellStyle name="_TableSuperHead_Main_tijdseries" xfId="5397"/>
    <cellStyle name="_TableSuperHead_Main_tijdseries 2" xfId="7491"/>
    <cellStyle name="_TableSuperHead_Main_tijdseries_bei rates" xfId="6855"/>
    <cellStyle name="_TableSuperHead_Main_tijdseries_par swap rates" xfId="6223"/>
    <cellStyle name="_TableSuperHead_Main_vpv" xfId="5398"/>
    <cellStyle name="_TableSuperHead_Main_vpv 2" xfId="7492"/>
    <cellStyle name="_TableSuperHead_Main_vpv return serie" xfId="5399"/>
    <cellStyle name="_TableSuperHead_Main_vpv return serie 2" xfId="7493"/>
    <cellStyle name="_TableSuperHead_Main_vpv return serie_bei rates" xfId="6857"/>
    <cellStyle name="_TableSuperHead_Main_vpv return serie_par swap rates" xfId="6225"/>
    <cellStyle name="_TableSuperHead_Main_vpv_bei rates" xfId="6856"/>
    <cellStyle name="_TableSuperHead_Main_vpv_par swap rates" xfId="6224"/>
    <cellStyle name="_TableSuperHead_Matching PV Cashflows" xfId="1148"/>
    <cellStyle name="_TableSuperHead_Matching PV Cashflows 2" xfId="3521"/>
    <cellStyle name="_TableSuperHead_Matching PV Cashflows 3" xfId="2336"/>
    <cellStyle name="_TableSuperHead_Matching PV Cashflows_actuate" xfId="1149"/>
    <cellStyle name="_TableSuperHead_Matching PV Cashflows_actuate 2" xfId="3522"/>
    <cellStyle name="_TableSuperHead_Matching PV Cashflows_actuate 3" xfId="2337"/>
    <cellStyle name="_TableSuperHead_Matching PV Cashflows_actuate_cashflows corp" xfId="5400"/>
    <cellStyle name="_TableSuperHead_Matching PV Cashflows_actuate_cashflows Gov't AAA" xfId="5401"/>
    <cellStyle name="_TableSuperHead_Matching PV Cashflows_actuate_cashflows ilb" xfId="5402"/>
    <cellStyle name="_TableSuperHead_Matching PV Cashflows_actuate_cashflows lang staats" xfId="5403"/>
    <cellStyle name="_TableSuperHead_Matching PV Cashflows_actuate_cashflows pan european 500mm" xfId="5404"/>
    <cellStyle name="_TableSuperHead_Matching PV Cashflows_actuate_cashflows staats" xfId="5405"/>
    <cellStyle name="_TableSuperHead_Matching PV Cashflows_actuate_excess returns bm matching pf" xfId="5406"/>
    <cellStyle name="_TableSuperHead_Matching PV Cashflows_actuate_ilb reeel only" xfId="5407"/>
    <cellStyle name="_TableSuperHead_Matching PV Cashflows_actuate_nominale counterpart ilb" xfId="5408"/>
    <cellStyle name="_TableSuperHead_Matching PV Cashflows_actuate_tijdseries" xfId="5409"/>
    <cellStyle name="_TableSuperHead_Matching PV Cashflows_actuate_tijdseries 2" xfId="7494"/>
    <cellStyle name="_TableSuperHead_Matching PV Cashflows_actuate_tijdseries_bei rates" xfId="6858"/>
    <cellStyle name="_TableSuperHead_Matching PV Cashflows_actuate_tijdseries_par swap rates" xfId="6226"/>
    <cellStyle name="_TableSuperHead_Matching PV Cashflows_actuate_vpv" xfId="5410"/>
    <cellStyle name="_TableSuperHead_Matching PV Cashflows_actuate_vpv 2" xfId="7495"/>
    <cellStyle name="_TableSuperHead_Matching PV Cashflows_actuate_vpv return serie" xfId="5411"/>
    <cellStyle name="_TableSuperHead_Matching PV Cashflows_actuate_vpv return serie 2" xfId="7496"/>
    <cellStyle name="_TableSuperHead_Matching PV Cashflows_actuate_vpv return serie_bei rates" xfId="6860"/>
    <cellStyle name="_TableSuperHead_Matching PV Cashflows_actuate_vpv return serie_par swap rates" xfId="6228"/>
    <cellStyle name="_TableSuperHead_Matching PV Cashflows_actuate_vpv_bei rates" xfId="6859"/>
    <cellStyle name="_TableSuperHead_Matching PV Cashflows_actuate_vpv_par swap rates" xfId="6227"/>
    <cellStyle name="_TableSuperHead_Matching PV Cashflows_beleggingen" xfId="5412"/>
    <cellStyle name="_TableSuperHead_Matching PV Cashflows_beleggingen 2" xfId="7497"/>
    <cellStyle name="_TableSuperHead_Matching PV Cashflows_beleggingen_bei rates" xfId="6861"/>
    <cellStyle name="_TableSuperHead_Matching PV Cashflows_beleggingen_par swap rates" xfId="6229"/>
    <cellStyle name="_TableSuperHead_Matching PV Cashflows_cashflows corp" xfId="5413"/>
    <cellStyle name="_TableSuperHead_Matching PV Cashflows_cashflows Gov't AAA" xfId="5414"/>
    <cellStyle name="_TableSuperHead_Matching PV Cashflows_cashflows ilb" xfId="5415"/>
    <cellStyle name="_TableSuperHead_Matching PV Cashflows_cashflows lang staats" xfId="5416"/>
    <cellStyle name="_TableSuperHead_Matching PV Cashflows_cashflows pan european 500mm" xfId="5417"/>
    <cellStyle name="_TableSuperHead_Matching PV Cashflows_cashflows staats" xfId="5418"/>
    <cellStyle name="_TableSuperHead_Matching PV Cashflows_dv01" xfId="1150"/>
    <cellStyle name="_TableSuperHead_Matching PV Cashflows_excess returns bm matching pf" xfId="5419"/>
    <cellStyle name="_TableSuperHead_Matching PV Cashflows_feitelijk rendement" xfId="5420"/>
    <cellStyle name="_TableSuperHead_Matching PV Cashflows_feitelijk rendement 2" xfId="7498"/>
    <cellStyle name="_TableSuperHead_Matching PV Cashflows_feitelijk rendement_bei rates" xfId="6862"/>
    <cellStyle name="_TableSuperHead_Matching PV Cashflows_feitelijk rendement_par swap rates" xfId="6230"/>
    <cellStyle name="_TableSuperHead_Matching PV Cashflows_ilb reeel only" xfId="5421"/>
    <cellStyle name="_TableSuperHead_Matching PV Cashflows_nominale counterpart ilb" xfId="5422"/>
    <cellStyle name="_TableSuperHead_Matching PV Cashflows_tijdseries" xfId="5423"/>
    <cellStyle name="_TableSuperHead_Matching PV Cashflows_tijdseries 2" xfId="7499"/>
    <cellStyle name="_TableSuperHead_Matching PV Cashflows_tijdseries_bei rates" xfId="6863"/>
    <cellStyle name="_TableSuperHead_Matching PV Cashflows_tijdseries_par swap rates" xfId="6231"/>
    <cellStyle name="_TableSuperHead_Matching PV Cashflows_vpv" xfId="5424"/>
    <cellStyle name="_TableSuperHead_Matching PV Cashflows_vpv 2" xfId="7500"/>
    <cellStyle name="_TableSuperHead_Matching PV Cashflows_vpv return serie" xfId="5425"/>
    <cellStyle name="_TableSuperHead_Matching PV Cashflows_vpv return serie 2" xfId="7501"/>
    <cellStyle name="_TableSuperHead_Matching PV Cashflows_vpv return serie_bei rates" xfId="6865"/>
    <cellStyle name="_TableSuperHead_Matching PV Cashflows_vpv return serie_par swap rates" xfId="6233"/>
    <cellStyle name="_TableSuperHead_Matching PV Cashflows_vpv_bei rates" xfId="6864"/>
    <cellStyle name="_TableSuperHead_Matching PV Cashflows_vpv_par swap rates" xfId="6232"/>
    <cellStyle name="_TableSuperHead_ModelSetup" xfId="1151"/>
    <cellStyle name="_TableSuperHead_ModelSetup 2" xfId="3524"/>
    <cellStyle name="_TableSuperHead_ModelSetup 3" xfId="2338"/>
    <cellStyle name="_TableSuperHead_ModelSetup_actuate" xfId="1152"/>
    <cellStyle name="_TableSuperHead_ModelSetup_actuate 2" xfId="3525"/>
    <cellStyle name="_TableSuperHead_ModelSetup_actuate 3" xfId="2339"/>
    <cellStyle name="_TableSuperHead_ModelSetup_actuate_cashflows corp" xfId="5426"/>
    <cellStyle name="_TableSuperHead_ModelSetup_actuate_cashflows Gov't AAA" xfId="5427"/>
    <cellStyle name="_TableSuperHead_ModelSetup_actuate_cashflows ilb" xfId="5428"/>
    <cellStyle name="_TableSuperHead_ModelSetup_actuate_cashflows lang staats" xfId="5429"/>
    <cellStyle name="_TableSuperHead_ModelSetup_actuate_cashflows pan european 500mm" xfId="5430"/>
    <cellStyle name="_TableSuperHead_ModelSetup_actuate_cashflows staats" xfId="5431"/>
    <cellStyle name="_TableSuperHead_ModelSetup_actuate_excess returns bm matching pf" xfId="5432"/>
    <cellStyle name="_TableSuperHead_ModelSetup_actuate_ilb reeel only" xfId="5433"/>
    <cellStyle name="_TableSuperHead_ModelSetup_actuate_nominale counterpart ilb" xfId="5434"/>
    <cellStyle name="_TableSuperHead_ModelSetup_actuate_tijdseries" xfId="5435"/>
    <cellStyle name="_TableSuperHead_ModelSetup_actuate_tijdseries 2" xfId="7502"/>
    <cellStyle name="_TableSuperHead_ModelSetup_actuate_tijdseries_bei rates" xfId="6866"/>
    <cellStyle name="_TableSuperHead_ModelSetup_actuate_tijdseries_par swap rates" xfId="6234"/>
    <cellStyle name="_TableSuperHead_ModelSetup_actuate_vpv" xfId="5436"/>
    <cellStyle name="_TableSuperHead_ModelSetup_actuate_vpv 2" xfId="7503"/>
    <cellStyle name="_TableSuperHead_ModelSetup_actuate_vpv return serie" xfId="5437"/>
    <cellStyle name="_TableSuperHead_ModelSetup_actuate_vpv return serie 2" xfId="7504"/>
    <cellStyle name="_TableSuperHead_ModelSetup_actuate_vpv return serie_bei rates" xfId="6868"/>
    <cellStyle name="_TableSuperHead_ModelSetup_actuate_vpv return serie_par swap rates" xfId="6236"/>
    <cellStyle name="_TableSuperHead_ModelSetup_actuate_vpv_bei rates" xfId="6867"/>
    <cellStyle name="_TableSuperHead_ModelSetup_actuate_vpv_par swap rates" xfId="6235"/>
    <cellStyle name="_TableSuperHead_ModelSetup_beleggingen" xfId="5438"/>
    <cellStyle name="_TableSuperHead_ModelSetup_beleggingen 2" xfId="7505"/>
    <cellStyle name="_TableSuperHead_ModelSetup_beleggingen_bei rates" xfId="6869"/>
    <cellStyle name="_TableSuperHead_ModelSetup_beleggingen_par swap rates" xfId="6237"/>
    <cellStyle name="_TableSuperHead_ModelSetup_cashflows corp" xfId="5439"/>
    <cellStyle name="_TableSuperHead_ModelSetup_cashflows Gov't AAA" xfId="5440"/>
    <cellStyle name="_TableSuperHead_ModelSetup_cashflows ilb" xfId="5441"/>
    <cellStyle name="_TableSuperHead_ModelSetup_cashflows lang staats" xfId="5442"/>
    <cellStyle name="_TableSuperHead_ModelSetup_cashflows pan european 500mm" xfId="5443"/>
    <cellStyle name="_TableSuperHead_ModelSetup_cashflows staats" xfId="5444"/>
    <cellStyle name="_TableSuperHead_ModelSetup_dv01" xfId="1153"/>
    <cellStyle name="_TableSuperHead_ModelSetup_excess returns bm matching pf" xfId="5445"/>
    <cellStyle name="_TableSuperHead_ModelSetup_feitelijk rendement" xfId="5446"/>
    <cellStyle name="_TableSuperHead_ModelSetup_feitelijk rendement 2" xfId="7506"/>
    <cellStyle name="_TableSuperHead_ModelSetup_feitelijk rendement_bei rates" xfId="6870"/>
    <cellStyle name="_TableSuperHead_ModelSetup_feitelijk rendement_par swap rates" xfId="6238"/>
    <cellStyle name="_TableSuperHead_ModelSetup_ilb reeel only" xfId="5447"/>
    <cellStyle name="_TableSuperHead_ModelSetup_nominale counterpart ilb" xfId="5448"/>
    <cellStyle name="_TableSuperHead_ModelSetup_tijdseries" xfId="5449"/>
    <cellStyle name="_TableSuperHead_ModelSetup_tijdseries 2" xfId="7507"/>
    <cellStyle name="_TableSuperHead_ModelSetup_tijdseries_bei rates" xfId="6871"/>
    <cellStyle name="_TableSuperHead_ModelSetup_tijdseries_par swap rates" xfId="6239"/>
    <cellStyle name="_TableSuperHead_ModelSetup_vpv" xfId="5450"/>
    <cellStyle name="_TableSuperHead_ModelSetup_vpv 2" xfId="7508"/>
    <cellStyle name="_TableSuperHead_ModelSetup_vpv return serie" xfId="5451"/>
    <cellStyle name="_TableSuperHead_ModelSetup_vpv return serie 2" xfId="7509"/>
    <cellStyle name="_TableSuperHead_ModelSetup_vpv return serie_bei rates" xfId="6873"/>
    <cellStyle name="_TableSuperHead_ModelSetup_vpv return serie_par swap rates" xfId="6241"/>
    <cellStyle name="_TableSuperHead_ModelSetup_vpv_bei rates" xfId="6872"/>
    <cellStyle name="_TableSuperHead_ModelSetup_vpv_par swap rates" xfId="6240"/>
    <cellStyle name="_TableSuperHead_PME Swaps" xfId="1154"/>
    <cellStyle name="_TableSuperHead_Pricer" xfId="1155"/>
    <cellStyle name="_TableSuperHead_Pricer 2" xfId="3528"/>
    <cellStyle name="_TableSuperHead_Pricer 3" xfId="2340"/>
    <cellStyle name="_TableSuperHead_Pricer_actuate" xfId="1156"/>
    <cellStyle name="_TableSuperHead_Pricer_actuate 2" xfId="3529"/>
    <cellStyle name="_TableSuperHead_Pricer_actuate 3" xfId="2341"/>
    <cellStyle name="_TableSuperHead_Pricer_actuate_cashflows corp" xfId="5453"/>
    <cellStyle name="_TableSuperHead_Pricer_actuate_cashflows Gov't AAA" xfId="5454"/>
    <cellStyle name="_TableSuperHead_Pricer_actuate_cashflows ilb" xfId="5455"/>
    <cellStyle name="_TableSuperHead_Pricer_actuate_cashflows lang staats" xfId="5456"/>
    <cellStyle name="_TableSuperHead_Pricer_actuate_cashflows pan european 500mm" xfId="5457"/>
    <cellStyle name="_TableSuperHead_Pricer_actuate_cashflows staats" xfId="5458"/>
    <cellStyle name="_TableSuperHead_Pricer_actuate_excess returns bm matching pf" xfId="5459"/>
    <cellStyle name="_TableSuperHead_Pricer_actuate_ilb reeel only" xfId="5460"/>
    <cellStyle name="_TableSuperHead_Pricer_actuate_nominale counterpart ilb" xfId="5461"/>
    <cellStyle name="_TableSuperHead_Pricer_actuate_tijdseries" xfId="5462"/>
    <cellStyle name="_TableSuperHead_Pricer_actuate_tijdseries 2" xfId="7510"/>
    <cellStyle name="_TableSuperHead_Pricer_actuate_tijdseries_bei rates" xfId="6874"/>
    <cellStyle name="_TableSuperHead_Pricer_actuate_tijdseries_par swap rates" xfId="6242"/>
    <cellStyle name="_TableSuperHead_Pricer_actuate_vpv" xfId="5463"/>
    <cellStyle name="_TableSuperHead_Pricer_actuate_vpv 2" xfId="7511"/>
    <cellStyle name="_TableSuperHead_Pricer_actuate_vpv return serie" xfId="5464"/>
    <cellStyle name="_TableSuperHead_Pricer_actuate_vpv return serie 2" xfId="7512"/>
    <cellStyle name="_TableSuperHead_Pricer_actuate_vpv return serie_bei rates" xfId="6876"/>
    <cellStyle name="_TableSuperHead_Pricer_actuate_vpv return serie_par swap rates" xfId="6244"/>
    <cellStyle name="_TableSuperHead_Pricer_actuate_vpv_bei rates" xfId="6875"/>
    <cellStyle name="_TableSuperHead_Pricer_actuate_vpv_par swap rates" xfId="6243"/>
    <cellStyle name="_TableSuperHead_Pricer_beleggingen" xfId="5465"/>
    <cellStyle name="_TableSuperHead_Pricer_beleggingen 2" xfId="7513"/>
    <cellStyle name="_TableSuperHead_Pricer_beleggingen_bei rates" xfId="6877"/>
    <cellStyle name="_TableSuperHead_Pricer_beleggingen_par swap rates" xfId="6245"/>
    <cellStyle name="_TableSuperHead_Pricer_cashflows corp" xfId="5466"/>
    <cellStyle name="_TableSuperHead_Pricer_cashflows Gov't AAA" xfId="5467"/>
    <cellStyle name="_TableSuperHead_Pricer_cashflows ilb" xfId="5468"/>
    <cellStyle name="_TableSuperHead_Pricer_cashflows lang staats" xfId="5469"/>
    <cellStyle name="_TableSuperHead_Pricer_cashflows pan european 500mm" xfId="5470"/>
    <cellStyle name="_TableSuperHead_Pricer_cashflows staats" xfId="5471"/>
    <cellStyle name="_TableSuperHead_Pricer_dv01" xfId="1157"/>
    <cellStyle name="_TableSuperHead_Pricer_excess returns bm matching pf" xfId="5472"/>
    <cellStyle name="_TableSuperHead_Pricer_feitelijk rendement" xfId="5473"/>
    <cellStyle name="_TableSuperHead_Pricer_feitelijk rendement 2" xfId="7514"/>
    <cellStyle name="_TableSuperHead_Pricer_feitelijk rendement_bei rates" xfId="6878"/>
    <cellStyle name="_TableSuperHead_Pricer_feitelijk rendement_par swap rates" xfId="6246"/>
    <cellStyle name="_TableSuperHead_Pricer_ilb reeel only" xfId="5474"/>
    <cellStyle name="_TableSuperHead_Pricer_nominale counterpart ilb" xfId="5475"/>
    <cellStyle name="_TableSuperHead_Pricer_tijdseries" xfId="5476"/>
    <cellStyle name="_TableSuperHead_Pricer_tijdseries 2" xfId="7515"/>
    <cellStyle name="_TableSuperHead_Pricer_tijdseries_bei rates" xfId="6879"/>
    <cellStyle name="_TableSuperHead_Pricer_tijdseries_par swap rates" xfId="6247"/>
    <cellStyle name="_TableSuperHead_Pricer_vpv" xfId="5477"/>
    <cellStyle name="_TableSuperHead_Pricer_vpv 2" xfId="7516"/>
    <cellStyle name="_TableSuperHead_Pricer_vpv return serie" xfId="5478"/>
    <cellStyle name="_TableSuperHead_Pricer_vpv return serie 2" xfId="7517"/>
    <cellStyle name="_TableSuperHead_Pricer_vpv return serie_bei rates" xfId="6881"/>
    <cellStyle name="_TableSuperHead_Pricer_vpv return serie_par swap rates" xfId="6249"/>
    <cellStyle name="_TableSuperHead_Pricer_vpv_bei rates" xfId="6880"/>
    <cellStyle name="_TableSuperHead_Pricer_vpv_par swap rates" xfId="6248"/>
    <cellStyle name="_TableSuperHead_Sheet1" xfId="1158"/>
    <cellStyle name="_TableSuperHead_Sheet1 2" xfId="3531"/>
    <cellStyle name="_TableSuperHead_Sheet1 3" xfId="2342"/>
    <cellStyle name="_TableSuperHead_Sheet1_actuate" xfId="1159"/>
    <cellStyle name="_TableSuperHead_Sheet1_actuate 2" xfId="3532"/>
    <cellStyle name="_TableSuperHead_Sheet1_actuate 3" xfId="2343"/>
    <cellStyle name="_TableSuperHead_Sheet1_actuate_cashflows corp" xfId="5479"/>
    <cellStyle name="_TableSuperHead_Sheet1_actuate_cashflows Gov't AAA" xfId="5480"/>
    <cellStyle name="_TableSuperHead_Sheet1_actuate_cashflows ilb" xfId="5481"/>
    <cellStyle name="_TableSuperHead_Sheet1_actuate_cashflows lang staats" xfId="5482"/>
    <cellStyle name="_TableSuperHead_Sheet1_actuate_cashflows pan european 500mm" xfId="5483"/>
    <cellStyle name="_TableSuperHead_Sheet1_actuate_cashflows staats" xfId="5484"/>
    <cellStyle name="_TableSuperHead_Sheet1_actuate_excess returns bm matching pf" xfId="5485"/>
    <cellStyle name="_TableSuperHead_Sheet1_actuate_ilb reeel only" xfId="5486"/>
    <cellStyle name="_TableSuperHead_Sheet1_actuate_nominale counterpart ilb" xfId="5487"/>
    <cellStyle name="_TableSuperHead_Sheet1_actuate_tijdseries" xfId="5488"/>
    <cellStyle name="_TableSuperHead_Sheet1_actuate_tijdseries 2" xfId="7518"/>
    <cellStyle name="_TableSuperHead_Sheet1_actuate_tijdseries_bei rates" xfId="6882"/>
    <cellStyle name="_TableSuperHead_Sheet1_actuate_tijdseries_par swap rates" xfId="6250"/>
    <cellStyle name="_TableSuperHead_Sheet1_actuate_vpv" xfId="5489"/>
    <cellStyle name="_TableSuperHead_Sheet1_actuate_vpv 2" xfId="7519"/>
    <cellStyle name="_TableSuperHead_Sheet1_actuate_vpv return serie" xfId="5490"/>
    <cellStyle name="_TableSuperHead_Sheet1_actuate_vpv return serie 2" xfId="7520"/>
    <cellStyle name="_TableSuperHead_Sheet1_actuate_vpv return serie_bei rates" xfId="6884"/>
    <cellStyle name="_TableSuperHead_Sheet1_actuate_vpv return serie_par swap rates" xfId="6252"/>
    <cellStyle name="_TableSuperHead_Sheet1_actuate_vpv_bei rates" xfId="6883"/>
    <cellStyle name="_TableSuperHead_Sheet1_actuate_vpv_par swap rates" xfId="6251"/>
    <cellStyle name="_TableSuperHead_Sheet1_beleggingen" xfId="5491"/>
    <cellStyle name="_TableSuperHead_Sheet1_beleggingen 2" xfId="7521"/>
    <cellStyle name="_TableSuperHead_Sheet1_beleggingen_bei rates" xfId="6885"/>
    <cellStyle name="_TableSuperHead_Sheet1_beleggingen_par swap rates" xfId="6253"/>
    <cellStyle name="_TableSuperHead_Sheet1_cashflows corp" xfId="5492"/>
    <cellStyle name="_TableSuperHead_Sheet1_cashflows Gov't AAA" xfId="5493"/>
    <cellStyle name="_TableSuperHead_Sheet1_cashflows ilb" xfId="5494"/>
    <cellStyle name="_TableSuperHead_Sheet1_cashflows lang staats" xfId="5495"/>
    <cellStyle name="_TableSuperHead_Sheet1_cashflows pan european 500mm" xfId="5496"/>
    <cellStyle name="_TableSuperHead_Sheet1_cashflows staats" xfId="5497"/>
    <cellStyle name="_TableSuperHead_Sheet1_dv01" xfId="1160"/>
    <cellStyle name="_TableSuperHead_Sheet1_excess returns bm matching pf" xfId="5498"/>
    <cellStyle name="_TableSuperHead_Sheet1_feitelijk rendement" xfId="5499"/>
    <cellStyle name="_TableSuperHead_Sheet1_feitelijk rendement 2" xfId="7522"/>
    <cellStyle name="_TableSuperHead_Sheet1_feitelijk rendement_bei rates" xfId="6886"/>
    <cellStyle name="_TableSuperHead_Sheet1_feitelijk rendement_par swap rates" xfId="6254"/>
    <cellStyle name="_TableSuperHead_Sheet1_Gexa Multi Asset Path Generator" xfId="1161"/>
    <cellStyle name="_TableSuperHead_Sheet1_ilb reeel only" xfId="5500"/>
    <cellStyle name="_TableSuperHead_Sheet1_nominale counterpart ilb" xfId="5501"/>
    <cellStyle name="_TableSuperHead_Sheet1_tijdseries" xfId="5502"/>
    <cellStyle name="_TableSuperHead_Sheet1_tijdseries 2" xfId="7523"/>
    <cellStyle name="_TableSuperHead_Sheet1_tijdseries_bei rates" xfId="6887"/>
    <cellStyle name="_TableSuperHead_Sheet1_tijdseries_par swap rates" xfId="6255"/>
    <cellStyle name="_TableSuperHead_Sheet1_vpv" xfId="5503"/>
    <cellStyle name="_TableSuperHead_Sheet1_vpv 2" xfId="7524"/>
    <cellStyle name="_TableSuperHead_Sheet1_vpv return serie" xfId="5504"/>
    <cellStyle name="_TableSuperHead_Sheet1_vpv return serie 2" xfId="7525"/>
    <cellStyle name="_TableSuperHead_Sheet1_vpv return serie_bei rates" xfId="6889"/>
    <cellStyle name="_TableSuperHead_Sheet1_vpv return serie_par swap rates" xfId="6257"/>
    <cellStyle name="_TableSuperHead_Sheet1_vpv_bei rates" xfId="6888"/>
    <cellStyle name="_TableSuperHead_Sheet1_vpv_par swap rates" xfId="6256"/>
    <cellStyle name="_TableSuperHead_SPP Values as at 12 June 05" xfId="1162"/>
    <cellStyle name="_TableSuperHead_Tableau" xfId="1163"/>
    <cellStyle name="_TableSuperHead_Tableau 2" xfId="3536"/>
    <cellStyle name="_TableSuperHead_Tableau 3" xfId="2344"/>
    <cellStyle name="_TableSuperHead_Tableau_actuate" xfId="1164"/>
    <cellStyle name="_TableSuperHead_Tableau_actuate 2" xfId="3537"/>
    <cellStyle name="_TableSuperHead_Tableau_actuate 3" xfId="2345"/>
    <cellStyle name="_TableSuperHead_Tableau_actuate_cashflows corp" xfId="5505"/>
    <cellStyle name="_TableSuperHead_Tableau_actuate_cashflows Gov't AAA" xfId="5506"/>
    <cellStyle name="_TableSuperHead_Tableau_actuate_cashflows ilb" xfId="5507"/>
    <cellStyle name="_TableSuperHead_Tableau_actuate_cashflows lang staats" xfId="5508"/>
    <cellStyle name="_TableSuperHead_Tableau_actuate_cashflows pan european 500mm" xfId="5509"/>
    <cellStyle name="_TableSuperHead_Tableau_actuate_cashflows staats" xfId="5510"/>
    <cellStyle name="_TableSuperHead_Tableau_actuate_excess returns bm matching pf" xfId="5511"/>
    <cellStyle name="_TableSuperHead_Tableau_actuate_ilb reeel only" xfId="5512"/>
    <cellStyle name="_TableSuperHead_Tableau_actuate_nominale counterpart ilb" xfId="5513"/>
    <cellStyle name="_TableSuperHead_Tableau_actuate_tijdseries" xfId="5514"/>
    <cellStyle name="_TableSuperHead_Tableau_actuate_tijdseries 2" xfId="7526"/>
    <cellStyle name="_TableSuperHead_Tableau_actuate_tijdseries_bei rates" xfId="6890"/>
    <cellStyle name="_TableSuperHead_Tableau_actuate_tijdseries_par swap rates" xfId="6258"/>
    <cellStyle name="_TableSuperHead_Tableau_actuate_vpv" xfId="5515"/>
    <cellStyle name="_TableSuperHead_Tableau_actuate_vpv 2" xfId="7527"/>
    <cellStyle name="_TableSuperHead_Tableau_actuate_vpv return serie" xfId="5516"/>
    <cellStyle name="_TableSuperHead_Tableau_actuate_vpv return serie 2" xfId="7528"/>
    <cellStyle name="_TableSuperHead_Tableau_actuate_vpv return serie_bei rates" xfId="6892"/>
    <cellStyle name="_TableSuperHead_Tableau_actuate_vpv return serie_par swap rates" xfId="6260"/>
    <cellStyle name="_TableSuperHead_Tableau_actuate_vpv_bei rates" xfId="6891"/>
    <cellStyle name="_TableSuperHead_Tableau_actuate_vpv_par swap rates" xfId="6259"/>
    <cellStyle name="_TableSuperHead_Tableau_beleggingen" xfId="5517"/>
    <cellStyle name="_TableSuperHead_Tableau_beleggingen 2" xfId="7529"/>
    <cellStyle name="_TableSuperHead_Tableau_beleggingen_bei rates" xfId="6893"/>
    <cellStyle name="_TableSuperHead_Tableau_beleggingen_par swap rates" xfId="6261"/>
    <cellStyle name="_TableSuperHead_Tableau_cashflows corp" xfId="5518"/>
    <cellStyle name="_TableSuperHead_Tableau_cashflows Gov't AAA" xfId="5519"/>
    <cellStyle name="_TableSuperHead_Tableau_cashflows ilb" xfId="5520"/>
    <cellStyle name="_TableSuperHead_Tableau_cashflows lang staats" xfId="5521"/>
    <cellStyle name="_TableSuperHead_Tableau_cashflows pan european 500mm" xfId="5522"/>
    <cellStyle name="_TableSuperHead_Tableau_cashflows staats" xfId="5523"/>
    <cellStyle name="_TableSuperHead_Tableau_dv01" xfId="1165"/>
    <cellStyle name="_TableSuperHead_Tableau_excess returns bm matching pf" xfId="5524"/>
    <cellStyle name="_TableSuperHead_Tableau_feitelijk rendement" xfId="5525"/>
    <cellStyle name="_TableSuperHead_Tableau_feitelijk rendement 2" xfId="7530"/>
    <cellStyle name="_TableSuperHead_Tableau_feitelijk rendement_bei rates" xfId="6894"/>
    <cellStyle name="_TableSuperHead_Tableau_feitelijk rendement_par swap rates" xfId="6262"/>
    <cellStyle name="_TableSuperHead_Tableau_ilb reeel only" xfId="5526"/>
    <cellStyle name="_TableSuperHead_Tableau_nominale counterpart ilb" xfId="5527"/>
    <cellStyle name="_TableSuperHead_Tableau_tijdseries" xfId="5528"/>
    <cellStyle name="_TableSuperHead_Tableau_tijdseries 2" xfId="7531"/>
    <cellStyle name="_TableSuperHead_Tableau_tijdseries_bei rates" xfId="6895"/>
    <cellStyle name="_TableSuperHead_Tableau_tijdseries_par swap rates" xfId="6263"/>
    <cellStyle name="_TableSuperHead_Tableau_vpv" xfId="5529"/>
    <cellStyle name="_TableSuperHead_Tableau_vpv 2" xfId="7532"/>
    <cellStyle name="_TableSuperHead_Tableau_vpv return serie" xfId="5530"/>
    <cellStyle name="_TableSuperHead_Tableau_vpv return serie 2" xfId="7533"/>
    <cellStyle name="_TableSuperHead_Tableau_vpv return serie_bei rates" xfId="6897"/>
    <cellStyle name="_TableSuperHead_Tableau_vpv return serie_par swap rates" xfId="6265"/>
    <cellStyle name="_TableSuperHead_Tableau_vpv_bei rates" xfId="6896"/>
    <cellStyle name="_TableSuperHead_Tableau_vpv_par swap rates" xfId="6264"/>
    <cellStyle name="_tijdseries" xfId="5531"/>
    <cellStyle name="_vpv" xfId="5532"/>
    <cellStyle name="_vpv return serie" xfId="5533"/>
    <cellStyle name="20% - Accent1 2" xfId="5534"/>
    <cellStyle name="20% - Accent1 3" xfId="1166"/>
    <cellStyle name="20% - Accent2 2" xfId="5535"/>
    <cellStyle name="20% - Accent2 3" xfId="1167"/>
    <cellStyle name="20% - Accent3 2" xfId="5536"/>
    <cellStyle name="20% - Accent3 3" xfId="1168"/>
    <cellStyle name="20% - Accent4 2" xfId="5537"/>
    <cellStyle name="20% - Accent4 3" xfId="1169"/>
    <cellStyle name="20% - Accent5 2" xfId="5538"/>
    <cellStyle name="20% - Accent5 3" xfId="1170"/>
    <cellStyle name="20% - Accent6 2" xfId="5539"/>
    <cellStyle name="20% - Accent6 3" xfId="1171"/>
    <cellStyle name="40% - Accent1 2" xfId="5540"/>
    <cellStyle name="40% - Accent1 3" xfId="1172"/>
    <cellStyle name="40% - Accent2 2" xfId="5541"/>
    <cellStyle name="40% - Accent2 3" xfId="1173"/>
    <cellStyle name="40% - Accent3 2" xfId="5542"/>
    <cellStyle name="40% - Accent3 3" xfId="1174"/>
    <cellStyle name="40% - Accent4 2" xfId="5543"/>
    <cellStyle name="40% - Accent4 3" xfId="1175"/>
    <cellStyle name="40% - Accent5 2" xfId="5544"/>
    <cellStyle name="40% - Accent5 3" xfId="1176"/>
    <cellStyle name="40% - Accent6 2" xfId="5545"/>
    <cellStyle name="40% - Accent6 3" xfId="1177"/>
    <cellStyle name="60% - Accent1 2" xfId="5546"/>
    <cellStyle name="60% - Accent1 3" xfId="1178"/>
    <cellStyle name="60% - Accent2 2" xfId="5547"/>
    <cellStyle name="60% - Accent2 3" xfId="1179"/>
    <cellStyle name="60% - Accent3 2" xfId="5548"/>
    <cellStyle name="60% - Accent3 3" xfId="1180"/>
    <cellStyle name="60% - Accent4 2" xfId="5549"/>
    <cellStyle name="60% - Accent4 3" xfId="1181"/>
    <cellStyle name="60% - Accent5 2" xfId="5550"/>
    <cellStyle name="60% - Accent5 3" xfId="1182"/>
    <cellStyle name="60% - Accent6 2" xfId="5551"/>
    <cellStyle name="60% - Accent6 3" xfId="1183"/>
    <cellStyle name="Accent1 2" xfId="5552"/>
    <cellStyle name="Accent1 3" xfId="1184"/>
    <cellStyle name="Accent2 2" xfId="5553"/>
    <cellStyle name="Accent2 3" xfId="1185"/>
    <cellStyle name="Accent3 2" xfId="5554"/>
    <cellStyle name="Accent3 3" xfId="1186"/>
    <cellStyle name="Accent4 2" xfId="5555"/>
    <cellStyle name="Accent4 3" xfId="1187"/>
    <cellStyle name="Accent5 2" xfId="5556"/>
    <cellStyle name="Accent5 3" xfId="1188"/>
    <cellStyle name="Accent6 2" xfId="5557"/>
    <cellStyle name="Accent6 3" xfId="1189"/>
    <cellStyle name="Andre's Title" xfId="1190"/>
    <cellStyle name="Andre's Title 2" xfId="3560"/>
    <cellStyle name="Andre's Title 3" xfId="2346"/>
    <cellStyle name="Bad 2" xfId="5558"/>
    <cellStyle name="Bad 3" xfId="1191"/>
    <cellStyle name="Berekening" xfId="1192"/>
    <cellStyle name="Blauw" xfId="1193"/>
    <cellStyle name="Blue" xfId="1194"/>
    <cellStyle name="Body" xfId="1195"/>
    <cellStyle name="Body 2" xfId="3565"/>
    <cellStyle name="Body 3" xfId="2347"/>
    <cellStyle name="BoxHeading" xfId="1196"/>
    <cellStyle name="BoxHeading 2" xfId="3566"/>
    <cellStyle name="BoxHeading 3" xfId="2348"/>
    <cellStyle name="Calculation 2" xfId="5559"/>
    <cellStyle name="Calculation 3" xfId="1197"/>
    <cellStyle name="Cast" xfId="1198"/>
    <cellStyle name="Check Cell 2" xfId="5560"/>
    <cellStyle name="Check Cell 3" xfId="1199"/>
    <cellStyle name="Co. Names" xfId="1200"/>
    <cellStyle name="Co. Names - Bold" xfId="1201"/>
    <cellStyle name="Co. Names 2" xfId="3569"/>
    <cellStyle name="Co. Names 3" xfId="3856"/>
    <cellStyle name="Co. Names 4" xfId="5561"/>
    <cellStyle name="Co. Names 5" xfId="7545"/>
    <cellStyle name="Co. Names 6" xfId="2349"/>
    <cellStyle name="Co. Names 7" xfId="7547"/>
    <cellStyle name="Co. Names 8" xfId="7551"/>
    <cellStyle name="Co. Names_beleggingen" xfId="5562"/>
    <cellStyle name="ColumnHead" xfId="1202"/>
    <cellStyle name="Comma" xfId="3" builtinId="3"/>
    <cellStyle name="Comma 10" xfId="7576"/>
    <cellStyle name="Comma 2" xfId="5563"/>
    <cellStyle name="Comma 2 10" xfId="7596"/>
    <cellStyle name="Comma 2 11" xfId="7557"/>
    <cellStyle name="Comma 2 12" xfId="7556"/>
    <cellStyle name="Comma 2 13" xfId="7562"/>
    <cellStyle name="Comma 2 14" xfId="7595"/>
    <cellStyle name="Comma 2 15" xfId="7580"/>
    <cellStyle name="Comma 2 16" xfId="7584"/>
    <cellStyle name="Comma 2 17" xfId="7573"/>
    <cellStyle name="Comma 2 18" xfId="7571"/>
    <cellStyle name="Comma 2 19" xfId="7585"/>
    <cellStyle name="Comma 2 2" xfId="7597"/>
    <cellStyle name="Comma 2 2 2" xfId="7593"/>
    <cellStyle name="Comma 2 2 2 2" xfId="7564"/>
    <cellStyle name="Comma 2 2 3" xfId="7566"/>
    <cellStyle name="Comma 2 2 4" xfId="7583"/>
    <cellStyle name="Comma 2 2 5" xfId="7599"/>
    <cellStyle name="Comma 2 2 6" xfId="7588"/>
    <cellStyle name="Comma 2 2 7" xfId="7598"/>
    <cellStyle name="Comma 2 2 8" xfId="7567"/>
    <cellStyle name="Comma 2 20" xfId="7582"/>
    <cellStyle name="Comma 2 21" xfId="7555"/>
    <cellStyle name="Comma 2 3" xfId="7544"/>
    <cellStyle name="Comma 2 4" xfId="7572"/>
    <cellStyle name="Comma 2 4 2" xfId="7592"/>
    <cellStyle name="Comma 2 5" xfId="7568"/>
    <cellStyle name="Comma 2 6" xfId="7558"/>
    <cellStyle name="Comma 2 7" xfId="7561"/>
    <cellStyle name="Comma 2 8" xfId="7579"/>
    <cellStyle name="Comma 2 9" xfId="7563"/>
    <cellStyle name="Comma 3" xfId="3861"/>
    <cellStyle name="Comma 3 2" xfId="7569"/>
    <cellStyle name="Comma 4" xfId="1203"/>
    <cellStyle name="Comma 5" xfId="4"/>
    <cellStyle name="Comma 6" xfId="7574"/>
    <cellStyle name="Comma 7" xfId="7589"/>
    <cellStyle name="Comma 8" xfId="7590"/>
    <cellStyle name="Comma 9" xfId="7586"/>
    <cellStyle name="Computed" xfId="1204"/>
    <cellStyle name="Controlecel" xfId="1205"/>
    <cellStyle name="CoTitle" xfId="1206"/>
    <cellStyle name="CoTitle 2" xfId="3574"/>
    <cellStyle name="CoTitle 3" xfId="2350"/>
    <cellStyle name="Coupon" xfId="1207"/>
    <cellStyle name="Currency [2]" xfId="1208"/>
    <cellStyle name="Currency 2" xfId="7534"/>
    <cellStyle name="Datum" xfId="1209"/>
    <cellStyle name="Dezimal [0]_Assetklassen" xfId="1210"/>
    <cellStyle name="Dezimal_Assetklassen" xfId="1211"/>
    <cellStyle name="Euro" xfId="1212"/>
    <cellStyle name="Euro 2" xfId="7535"/>
    <cellStyle name="Explanatory Text 2" xfId="5564"/>
    <cellStyle name="Explanatory Text 3" xfId="1213"/>
    <cellStyle name="Footnotes" xfId="1214"/>
    <cellStyle name="Footnotes 2" xfId="3578"/>
    <cellStyle name="Footnotes 3" xfId="2351"/>
    <cellStyle name="Formula" xfId="1215"/>
    <cellStyle name="Formula 2" xfId="3579"/>
    <cellStyle name="Formula 3" xfId="2352"/>
    <cellStyle name="FullTime" xfId="1216"/>
    <cellStyle name="FullTime 2" xfId="3580"/>
    <cellStyle name="FullTime 3" xfId="2353"/>
    <cellStyle name="Gekoppelde cel" xfId="1217"/>
    <cellStyle name="Gevolgde hyperlink" xfId="1218"/>
    <cellStyle name="Goed" xfId="1219"/>
    <cellStyle name="Good 2" xfId="5565"/>
    <cellStyle name="Good 3" xfId="1220"/>
    <cellStyle name="HardeWaarde" xfId="1221"/>
    <cellStyle name="HardeWaarde 2" xfId="3584"/>
    <cellStyle name="HardeWaarde 3" xfId="2354"/>
    <cellStyle name="Header" xfId="1222"/>
    <cellStyle name="Header1" xfId="1223"/>
    <cellStyle name="Header1 2" xfId="3586"/>
    <cellStyle name="Header1 3" xfId="2355"/>
    <cellStyle name="Header2" xfId="1224"/>
    <cellStyle name="Header2 2" xfId="7536"/>
    <cellStyle name="Heading 1 2" xfId="5566"/>
    <cellStyle name="Heading 1 3" xfId="1225"/>
    <cellStyle name="Heading 2 2" xfId="5567"/>
    <cellStyle name="Heading 2 3" xfId="1226"/>
    <cellStyle name="Heading 3 2" xfId="5568"/>
    <cellStyle name="Heading 3 3" xfId="1227"/>
    <cellStyle name="Heading 4 2" xfId="5569"/>
    <cellStyle name="Heading 4 3" xfId="1228"/>
    <cellStyle name="Input" xfId="2" builtinId="20"/>
    <cellStyle name="Input 2" xfId="3592"/>
    <cellStyle name="Input 3" xfId="5570"/>
    <cellStyle name="Input 4" xfId="2356"/>
    <cellStyle name="Input 5" xfId="1229"/>
    <cellStyle name="InputCell" xfId="1230"/>
    <cellStyle name="InputCell 2" xfId="3593"/>
    <cellStyle name="InputCell 3" xfId="2357"/>
    <cellStyle name="Invoer" xfId="1231"/>
    <cellStyle name="Jaartal" xfId="1232"/>
    <cellStyle name="Komma_swaptionBO" xfId="1233"/>
    <cellStyle name="Komma+" xfId="5571"/>
    <cellStyle name="Komma0 - Opmaakprofiel2" xfId="1234"/>
    <cellStyle name="Komma0 - Opmaakprofiel3" xfId="1235"/>
    <cellStyle name="Komma1 - Opmaakprofiel1" xfId="1236"/>
    <cellStyle name="Kop 1" xfId="1237"/>
    <cellStyle name="Kop 2" xfId="1238"/>
    <cellStyle name="Kop 3" xfId="1239"/>
    <cellStyle name="Kop 4" xfId="1240"/>
    <cellStyle name="Kopje" xfId="1241"/>
    <cellStyle name="Kopje 2" xfId="3603"/>
    <cellStyle name="Kopje 3" xfId="2358"/>
    <cellStyle name="Label" xfId="1242"/>
    <cellStyle name="Linked Cell 2" xfId="5572"/>
    <cellStyle name="Linked Cell 3" xfId="1243"/>
    <cellStyle name="Millares [0]_ODDO1.xls Gráfico 1" xfId="1244"/>
    <cellStyle name="Millares_ODDO1.xls Gráfico 1" xfId="1245"/>
    <cellStyle name="MLComma0" xfId="1246"/>
    <cellStyle name="MLComma0 2" xfId="3605"/>
    <cellStyle name="MLComma0 3" xfId="2359"/>
    <cellStyle name="MLMultiple0" xfId="1247"/>
    <cellStyle name="MLPercent0" xfId="1248"/>
    <cellStyle name="Moneda [0]_ODDO1.xls Gráfico 1" xfId="1249"/>
    <cellStyle name="Moneda_ODDO1.xls Gráfico 1" xfId="1250"/>
    <cellStyle name="Neutraal" xfId="1251"/>
    <cellStyle name="Neutral 2" xfId="5573"/>
    <cellStyle name="Neutral 3" xfId="1252"/>
    <cellStyle name="Normal" xfId="0" builtinId="0"/>
    <cellStyle name="Normal - Style1" xfId="1253"/>
    <cellStyle name="Normal - Style1 2" xfId="3610"/>
    <cellStyle name="Normal - Style1 3" xfId="2360"/>
    <cellStyle name="Normal 2" xfId="5574"/>
    <cellStyle name="Normal 2 2" xfId="7565"/>
    <cellStyle name="Normal 3" xfId="5575"/>
    <cellStyle name="Normal 4" xfId="5576"/>
    <cellStyle name="Normal 5" xfId="6906"/>
    <cellStyle name="Normal 6" xfId="3860"/>
    <cellStyle name="Normal 7" xfId="3863"/>
    <cellStyle name="Normal 8" xfId="5640"/>
    <cellStyle name="Normal 9" xfId="5"/>
    <cellStyle name="Note 2" xfId="5578"/>
    <cellStyle name="Note 3" xfId="5579"/>
    <cellStyle name="Note 4" xfId="5580"/>
    <cellStyle name="Note 5" xfId="5577"/>
    <cellStyle name="Note 6" xfId="1254"/>
    <cellStyle name="Notes" xfId="1255"/>
    <cellStyle name="Notional" xfId="1256"/>
    <cellStyle name="Notitie" xfId="1257"/>
    <cellStyle name="Notitie 2" xfId="7537"/>
    <cellStyle name="Npv" xfId="1258"/>
    <cellStyle name="Npv 2" xfId="3613"/>
    <cellStyle name="Npv 3" xfId="2361"/>
    <cellStyle name="Number" xfId="7577"/>
    <cellStyle name="Numbers" xfId="1259"/>
    <cellStyle name="Numbers - Bold" xfId="1260"/>
    <cellStyle name="Numbers - Bold - Italic" xfId="1261"/>
    <cellStyle name="Numbers - Bold - Italic 2" xfId="3615"/>
    <cellStyle name="Numbers - Bold - Italic 3" xfId="2363"/>
    <cellStyle name="Numbers - Bold_beleggingen" xfId="5582"/>
    <cellStyle name="Numbers - Large" xfId="1262"/>
    <cellStyle name="Numbers 2" xfId="3614"/>
    <cellStyle name="Numbers 3" xfId="3857"/>
    <cellStyle name="Numbers 4" xfId="5581"/>
    <cellStyle name="Numbers 5" xfId="7546"/>
    <cellStyle name="Numbers 6" xfId="2362"/>
    <cellStyle name="Numbers 7" xfId="7548"/>
    <cellStyle name="Numbers 8" xfId="7550"/>
    <cellStyle name="Numbers_beleggingen" xfId="5583"/>
    <cellStyle name="Ongeldig" xfId="1263"/>
    <cellStyle name="Output 2" xfId="5584"/>
    <cellStyle name="Output 3" xfId="1264"/>
    <cellStyle name="Percent" xfId="1" builtinId="5"/>
    <cellStyle name="Percent 2" xfId="5585"/>
    <cellStyle name="Percent 2 2" xfId="7594"/>
    <cellStyle name="Percent 2 3" xfId="7570"/>
    <cellStyle name="Percent 2 4" xfId="7578"/>
    <cellStyle name="Percent 2 5" xfId="7559"/>
    <cellStyle name="Percent 2 6" xfId="7575"/>
    <cellStyle name="Percent 2 7" xfId="7587"/>
    <cellStyle name="Percent 2 8" xfId="7591"/>
    <cellStyle name="Percent 2 9" xfId="7581"/>
    <cellStyle name="Percent 3" xfId="3862"/>
    <cellStyle name="Percent 3 2" xfId="7560"/>
    <cellStyle name="Percent 4" xfId="1265"/>
    <cellStyle name="Percentage" xfId="1266"/>
    <cellStyle name="Percentage 2" xfId="3619"/>
    <cellStyle name="Percentage 3" xfId="2364"/>
    <cellStyle name="Price" xfId="1267"/>
    <cellStyle name="Procent 2" xfId="7553"/>
    <cellStyle name="r" xfId="1268"/>
    <cellStyle name="r 2" xfId="3621"/>
    <cellStyle name="r 3" xfId="2365"/>
    <cellStyle name="r_beleggingen" xfId="5586"/>
    <cellStyle name="r_cashflows corp" xfId="5587"/>
    <cellStyle name="r_cashflows Gov't AAA" xfId="5588"/>
    <cellStyle name="r_cashflows ilb" xfId="5589"/>
    <cellStyle name="r_cashflows lang staats" xfId="5590"/>
    <cellStyle name="r_cashflows pan european 500mm" xfId="5591"/>
    <cellStyle name="r_cashflows staats" xfId="5592"/>
    <cellStyle name="r_cashflows vpv" xfId="5593"/>
    <cellStyle name="r_custom cfs" xfId="5594"/>
    <cellStyle name="r_custom cfs 2" xfId="7538"/>
    <cellStyle name="r_custom cfs_bei rates" xfId="6898"/>
    <cellStyle name="r_custom cfs_par swap rates" xfId="6266"/>
    <cellStyle name="r_Data ver Grafieken (norm)" xfId="5595"/>
    <cellStyle name="r_feitelijk rendement" xfId="5596"/>
    <cellStyle name="r_ilb reeel only" xfId="5597"/>
    <cellStyle name="r_increm pf" xfId="1269"/>
    <cellStyle name="r_increm pf_beleggingen" xfId="5598"/>
    <cellStyle name="r_increm pf_cashflows corp" xfId="5599"/>
    <cellStyle name="r_increm pf_cashflows Gov't AAA" xfId="5600"/>
    <cellStyle name="r_increm pf_cashflows ilb" xfId="5601"/>
    <cellStyle name="r_increm pf_cashflows lang staats" xfId="5602"/>
    <cellStyle name="r_increm pf_cashflows pan european 500mm" xfId="5603"/>
    <cellStyle name="r_increm pf_cashflows staats" xfId="5604"/>
    <cellStyle name="r_increm pf_cashflows vpv" xfId="5605"/>
    <cellStyle name="r_increm pf_custom cfs" xfId="5606"/>
    <cellStyle name="r_increm pf_custom cfs 2" xfId="7539"/>
    <cellStyle name="r_increm pf_custom cfs_bei rates" xfId="6899"/>
    <cellStyle name="r_increm pf_custom cfs_par swap rates" xfId="6267"/>
    <cellStyle name="r_increm pf_Data ver Grafieken (norm)" xfId="5607"/>
    <cellStyle name="r_increm pf_feitelijk rendement" xfId="5608"/>
    <cellStyle name="r_increm pf_ilb reeel only" xfId="5609"/>
    <cellStyle name="r_increm pf_instellingen" xfId="5610"/>
    <cellStyle name="r_increm pf_instellingen_bei rates" xfId="6900"/>
    <cellStyle name="r_increm pf_instellingen_par swap rates" xfId="6268"/>
    <cellStyle name="r_increm pf_Klantinfo" xfId="5611"/>
    <cellStyle name="r_increm pf_menu" xfId="5612"/>
    <cellStyle name="r_increm pf_menu 2" xfId="7540"/>
    <cellStyle name="r_increm pf_menu_bei rates" xfId="6901"/>
    <cellStyle name="r_increm pf_menu_par swap rates" xfId="6269"/>
    <cellStyle name="r_increm pf_nom swaps" xfId="5613"/>
    <cellStyle name="r_increm pf_nominale counterpart ilb" xfId="5614"/>
    <cellStyle name="r_increm pf_output Liab opt" xfId="5615"/>
    <cellStyle name="r_increm pf_rekensheet" xfId="5616"/>
    <cellStyle name="r_increm pf_return reeksen" xfId="5617"/>
    <cellStyle name="r_increm pf_return reeksen 2" xfId="7541"/>
    <cellStyle name="r_increm pf_return reeksen_bei rates" xfId="6902"/>
    <cellStyle name="r_increm pf_return reeksen_par swap rates" xfId="6270"/>
    <cellStyle name="r_increm pf_tijdseries" xfId="5618"/>
    <cellStyle name="r_increm pf_tijdseries indices" xfId="5619"/>
    <cellStyle name="r_increm pf_vpv" xfId="5620"/>
    <cellStyle name="r_increm pf_VPV EN SWAPS" xfId="5621"/>
    <cellStyle name="r_increm pf_vpv return serie" xfId="5622"/>
    <cellStyle name="r_increm pf_z.c. infl swaps" xfId="5623"/>
    <cellStyle name="r_instellingen" xfId="5624"/>
    <cellStyle name="r_instellingen_bei rates" xfId="6903"/>
    <cellStyle name="r_instellingen_par swap rates" xfId="6271"/>
    <cellStyle name="r_Klantinfo" xfId="5625"/>
    <cellStyle name="r_menu" xfId="5626"/>
    <cellStyle name="r_menu 2" xfId="7542"/>
    <cellStyle name="r_menu_bei rates" xfId="6904"/>
    <cellStyle name="r_menu_par swap rates" xfId="6272"/>
    <cellStyle name="r_nom swaps" xfId="5627"/>
    <cellStyle name="r_nominale counterpart ilb" xfId="5628"/>
    <cellStyle name="r_output Liab opt" xfId="5629"/>
    <cellStyle name="r_rekensheet" xfId="5630"/>
    <cellStyle name="r_return reeksen" xfId="5631"/>
    <cellStyle name="r_return reeksen 2" xfId="7543"/>
    <cellStyle name="r_return reeksen_bei rates" xfId="6905"/>
    <cellStyle name="r_return reeksen_par swap rates" xfId="6273"/>
    <cellStyle name="r_tijdseries" xfId="5632"/>
    <cellStyle name="r_tijdseries indices" xfId="5633"/>
    <cellStyle name="r_vpv" xfId="5634"/>
    <cellStyle name="r_VPV EN SWAPS" xfId="5635"/>
    <cellStyle name="r_vpv return serie" xfId="5636"/>
    <cellStyle name="r_z.c. infl swaps" xfId="5637"/>
    <cellStyle name="realtime" xfId="1270"/>
    <cellStyle name="RiskValue" xfId="1271"/>
    <cellStyle name="RiskValue 2" xfId="3624"/>
    <cellStyle name="RiskValue 3" xfId="2366"/>
    <cellStyle name="RowHead" xfId="1272"/>
    <cellStyle name="RowHead 2" xfId="3625"/>
    <cellStyle name="RowHead 3" xfId="2367"/>
    <cellStyle name="Spread" xfId="1273"/>
    <cellStyle name="Standaard 2" xfId="7554"/>
    <cellStyle name="Standaard_~4815019" xfId="1274"/>
    <cellStyle name="Std_2" xfId="1275"/>
    <cellStyle name="Style 1" xfId="1276"/>
    <cellStyle name="Style 1 2" xfId="3628"/>
    <cellStyle name="Style 1 3" xfId="2368"/>
    <cellStyle name="Style 48" xfId="1277"/>
    <cellStyle name="Style 49" xfId="1278"/>
    <cellStyle name="Style 50" xfId="1279"/>
    <cellStyle name="Style 50 2" xfId="3631"/>
    <cellStyle name="Style 50 3" xfId="2369"/>
    <cellStyle name="Style 51" xfId="1280"/>
    <cellStyle name="Style 51 2" xfId="3632"/>
    <cellStyle name="Style 51 3" xfId="2370"/>
    <cellStyle name="Style 52" xfId="1281"/>
    <cellStyle name="Style 53" xfId="1282"/>
    <cellStyle name="Style 54" xfId="1283"/>
    <cellStyle name="Style 54 2" xfId="3635"/>
    <cellStyle name="Style 54 3" xfId="2371"/>
    <cellStyle name="Style 55" xfId="1284"/>
    <cellStyle name="Style 55 2" xfId="3636"/>
    <cellStyle name="Style 55 3" xfId="2372"/>
    <cellStyle name="Style 56" xfId="1285"/>
    <cellStyle name="Style 57" xfId="1286"/>
    <cellStyle name="Style 58" xfId="1287"/>
    <cellStyle name="Style 58 2" xfId="3639"/>
    <cellStyle name="Style 58 3" xfId="2373"/>
    <cellStyle name="Style 59" xfId="1288"/>
    <cellStyle name="Style 59 2" xfId="3640"/>
    <cellStyle name="Style 59 3" xfId="2374"/>
    <cellStyle name="Style 60" xfId="1289"/>
    <cellStyle name="Style 60 2" xfId="3641"/>
    <cellStyle name="Style 60 3" xfId="2375"/>
    <cellStyle name="Style 61" xfId="1290"/>
    <cellStyle name="Style 61 2" xfId="3642"/>
    <cellStyle name="Style 61 3" xfId="2376"/>
    <cellStyle name="Style 62" xfId="1291"/>
    <cellStyle name="Style 62 2" xfId="3643"/>
    <cellStyle name="Style 62 3" xfId="2377"/>
    <cellStyle name="Style 63" xfId="1292"/>
    <cellStyle name="Style 63 2" xfId="3644"/>
    <cellStyle name="Style 63 3" xfId="2378"/>
    <cellStyle name="Style 64" xfId="1293"/>
    <cellStyle name="Style 64 2" xfId="3645"/>
    <cellStyle name="Style 64 3" xfId="2379"/>
    <cellStyle name="Style 65" xfId="1294"/>
    <cellStyle name="Style 65 2" xfId="3646"/>
    <cellStyle name="Style 65 3" xfId="2380"/>
    <cellStyle name="Style 66" xfId="1295"/>
    <cellStyle name="Style 66 2" xfId="3647"/>
    <cellStyle name="Style 66 3" xfId="2381"/>
    <cellStyle name="Style 67" xfId="1296"/>
    <cellStyle name="Style 67 2" xfId="3648"/>
    <cellStyle name="Style 67 3" xfId="2382"/>
    <cellStyle name="Style 68" xfId="1297"/>
    <cellStyle name="Style 68 2" xfId="3649"/>
    <cellStyle name="Style 68 3" xfId="2383"/>
    <cellStyle name="Style 69" xfId="1298"/>
    <cellStyle name="Style 69 2" xfId="3650"/>
    <cellStyle name="Style 69 3" xfId="2384"/>
    <cellStyle name="Style 70" xfId="1299"/>
    <cellStyle name="Style 70 2" xfId="3651"/>
    <cellStyle name="Style 70 3" xfId="2385"/>
    <cellStyle name="Style 71" xfId="1300"/>
    <cellStyle name="Style 71 2" xfId="3652"/>
    <cellStyle name="Style 71 3" xfId="2386"/>
    <cellStyle name="Style 72" xfId="1301"/>
    <cellStyle name="Style 72 2" xfId="3653"/>
    <cellStyle name="Style 72 3" xfId="2387"/>
    <cellStyle name="Style 73" xfId="1302"/>
    <cellStyle name="Style 73 2" xfId="3654"/>
    <cellStyle name="Style 73 3" xfId="2388"/>
    <cellStyle name="Style 74" xfId="1303"/>
    <cellStyle name="Style 74 2" xfId="3655"/>
    <cellStyle name="Style 74 3" xfId="2389"/>
    <cellStyle name="swpBody01" xfId="1304"/>
    <cellStyle name="Titel" xfId="1305"/>
    <cellStyle name="Title - PROJECT" xfId="1307"/>
    <cellStyle name="Title - Underline" xfId="1308"/>
    <cellStyle name="Title 2" xfId="5638"/>
    <cellStyle name="Title 3" xfId="1306"/>
    <cellStyle name="Titles - Col. Headings" xfId="1309"/>
    <cellStyle name="Titles - Other" xfId="1310"/>
    <cellStyle name="Totaal" xfId="1311"/>
    <cellStyle name="Total 2" xfId="5639"/>
    <cellStyle name="Total 3" xfId="1312"/>
    <cellStyle name="Uitvoer" xfId="1313"/>
    <cellStyle name="Valuta_Inputrapportages jaar" xfId="1314"/>
    <cellStyle name="Verklarende tekst" xfId="1315"/>
    <cellStyle name="Vet" xfId="1316"/>
    <cellStyle name="Vet 2" xfId="3666"/>
    <cellStyle name="Vet 3" xfId="2390"/>
    <cellStyle name="Volatility" xfId="1317"/>
    <cellStyle name="Volatility 2" xfId="3667"/>
    <cellStyle name="Volatility 3" xfId="2391"/>
    <cellStyle name="Waarschuwingstekst" xfId="1318"/>
    <cellStyle name="Währung [0]_Assetklassen" xfId="1319"/>
    <cellStyle name="Währung_Assetklassen" xfId="1320"/>
    <cellStyle name="Warning Text 2" xfId="5641"/>
    <cellStyle name="Warning Text 3" xfId="132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[1]Evaluatie!$B$2</c:f>
          <c:strCache>
            <c:ptCount val="1"/>
            <c:pt idx="0">
              <c:v>Huidig</c:v>
            </c:pt>
          </c:strCache>
        </c:strRef>
      </c:tx>
      <c:layout/>
    </c:title>
    <c:plotArea>
      <c:layout>
        <c:manualLayout>
          <c:layoutTarget val="inner"/>
          <c:xMode val="edge"/>
          <c:yMode val="edge"/>
          <c:x val="0.24165590787638044"/>
          <c:y val="4.6569795719450295E-2"/>
          <c:w val="0.55203211085100756"/>
          <c:h val="0.73009555434064821"/>
        </c:manualLayout>
      </c:layout>
      <c:ofPieChart>
        <c:ofPieType val="pie"/>
        <c:varyColors val="1"/>
        <c:ser>
          <c:idx val="0"/>
          <c:order val="0"/>
          <c:dLbls>
            <c:showVal val="1"/>
            <c:showLeaderLines val="1"/>
          </c:dLbls>
          <c:cat>
            <c:strRef>
              <c:f>'Control panel'!$A$3:$A$10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legend>
      <c:legendPos val="b"/>
      <c:layout/>
    </c:legend>
    <c:plotVisOnly val="1"/>
  </c:chart>
  <c:spPr>
    <a:solidFill>
      <a:sysClr val="window" lastClr="FFFFFF"/>
    </a:solidFill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095"/>
          <c:w val="0.5562682138416909"/>
          <c:h val="0.69258218413304973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-7.5654321834007976E-3"/>
                  <c:y val="-6.8632946305440728E-2"/>
                </c:manualLayout>
              </c:layout>
              <c:showVal val="1"/>
            </c:dLbl>
            <c:dLbl>
              <c:idx val="4"/>
              <c:layout>
                <c:manualLayout>
                  <c:x val="-7.8066587971661503E-4"/>
                  <c:y val="-8.3464566929134135E-2"/>
                </c:manualLayout>
              </c:layout>
              <c:showVal val="1"/>
            </c:dLbl>
            <c:dLbl>
              <c:idx val="5"/>
              <c:layout>
                <c:manualLayout>
                  <c:x val="2.6391177018773394E-2"/>
                  <c:y val="0.11040230140723951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0.57446773586607058</c:v>
                </c:pt>
                <c:pt idx="1">
                  <c:v>0.17463533069014747</c:v>
                </c:pt>
                <c:pt idx="2">
                  <c:v>1.7111598310957168E-2</c:v>
                </c:pt>
                <c:pt idx="3">
                  <c:v>1.8072320878297075E-3</c:v>
                </c:pt>
                <c:pt idx="4">
                  <c:v>5.2738284925458699E-2</c:v>
                </c:pt>
                <c:pt idx="5">
                  <c:v>0.13426825055505817</c:v>
                </c:pt>
                <c:pt idx="6">
                  <c:v>3.0129418415718142E-2</c:v>
                </c:pt>
                <c:pt idx="7">
                  <c:v>3.7487700182925196E-3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33" l="0.70000000000000062" r="0.70000000000000062" t="0.75000000000001033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/>
    </c:title>
    <c:plotArea>
      <c:layout>
        <c:manualLayout>
          <c:layoutTarget val="inner"/>
          <c:xMode val="edge"/>
          <c:yMode val="edge"/>
          <c:x val="0.13456689285514045"/>
          <c:y val="0.19931379582574141"/>
          <c:w val="0.82649258218451005"/>
          <c:h val="0.46646094549689782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</c:numCache>
            </c:numRef>
          </c:val>
        </c:ser>
        <c:ser>
          <c:idx val="1"/>
          <c:order val="1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</c:numCache>
            </c:numRef>
          </c:val>
        </c:ser>
        <c:ser>
          <c:idx val="2"/>
          <c:order val="2"/>
          <c:cat>
            <c:strLit>
              <c:ptCount val="8"/>
              <c:pt idx="0">
                <c:v>Nominale matching</c:v>
              </c:pt>
              <c:pt idx="1">
                <c:v>High Yield</c:v>
              </c:pt>
              <c:pt idx="2">
                <c:v>Emerging market debt</c:v>
              </c:pt>
              <c:pt idx="3">
                <c:v>Aandelen ontwikkeld</c:v>
              </c:pt>
              <c:pt idx="4">
                <c:v>Aandelen opkomend</c:v>
              </c:pt>
              <c:pt idx="5">
                <c:v>Commodities</c:v>
              </c:pt>
              <c:pt idx="6">
                <c:v>Hedge funds</c:v>
              </c:pt>
              <c:pt idx="7">
                <c:v>Onroerend goed</c:v>
              </c:pt>
            </c:strLit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</c:numCache>
            </c:numRef>
          </c:val>
        </c:ser>
        <c:overlap val="100"/>
        <c:axId val="155939968"/>
        <c:axId val="15594188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marker val="1"/>
        <c:axId val="155939968"/>
        <c:axId val="155941888"/>
      </c:lineChart>
      <c:catAx>
        <c:axId val="155939968"/>
        <c:scaling>
          <c:orientation val="minMax"/>
        </c:scaling>
        <c:axPos val="b"/>
        <c:tickLblPos val="nextTo"/>
        <c:crossAx val="155941888"/>
        <c:crosses val="autoZero"/>
        <c:auto val="1"/>
        <c:lblAlgn val="ctr"/>
        <c:lblOffset val="100"/>
      </c:catAx>
      <c:valAx>
        <c:axId val="155941888"/>
        <c:scaling>
          <c:orientation val="minMax"/>
        </c:scaling>
        <c:axPos val="l"/>
        <c:majorGridlines/>
        <c:numFmt formatCode="0%" sourceLinked="0"/>
        <c:tickLblPos val="nextTo"/>
        <c:crossAx val="15593996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1" l="0.70000000000000062" r="0.70000000000000062" t="0.750000000000009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156122112"/>
        <c:axId val="156128000"/>
      </c:barChart>
      <c:catAx>
        <c:axId val="156122112"/>
        <c:scaling>
          <c:orientation val="minMax"/>
        </c:scaling>
        <c:axPos val="b"/>
        <c:tickLblPos val="nextTo"/>
        <c:crossAx val="156128000"/>
        <c:crosses val="autoZero"/>
        <c:auto val="1"/>
        <c:lblAlgn val="ctr"/>
        <c:lblOffset val="100"/>
      </c:catAx>
      <c:valAx>
        <c:axId val="156128000"/>
        <c:scaling>
          <c:orientation val="minMax"/>
        </c:scaling>
        <c:axPos val="l"/>
        <c:majorGridlines/>
        <c:numFmt formatCode="0.0%" sourceLinked="1"/>
        <c:tickLblPos val="nextTo"/>
        <c:crossAx val="15612211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71344111613556971"/>
          <c:y val="0.30999086720262159"/>
          <c:w val="0.27290015295627634"/>
          <c:h val="0.5031398294501771"/>
        </c:manualLayout>
      </c:layout>
    </c:legend>
    <c:plotVisOnly val="1"/>
  </c:chart>
  <c:printSettings>
    <c:headerFooter/>
    <c:pageMargins b="0.75000000000000844" l="0.70000000000000062" r="0.70000000000000062" t="0.75000000000000844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"/>
          <c:y val="0.15551261598255664"/>
          <c:w val="0.86236463089172677"/>
          <c:h val="0.547149189315630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Lit>
              <c:ptCount val="7"/>
              <c:pt idx="0">
                <c:v>High Yield</c:v>
              </c:pt>
              <c:pt idx="1">
                <c:v>Emerging market debt</c:v>
              </c:pt>
              <c:pt idx="2">
                <c:v>Aandelen ontwikkeld</c:v>
              </c:pt>
              <c:pt idx="3">
                <c:v>Aandelen opkomend</c:v>
              </c:pt>
              <c:pt idx="4">
                <c:v>Commodities</c:v>
              </c:pt>
              <c:pt idx="5">
                <c:v>Hedge funds</c:v>
              </c:pt>
              <c:pt idx="6">
                <c:v>Onroerend goed</c:v>
              </c:pt>
            </c:strLit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overlap val="100"/>
        <c:axId val="156158592"/>
        <c:axId val="156164864"/>
      </c:barChart>
      <c:lineChart>
        <c:grouping val="standard"/>
        <c:ser>
          <c:idx val="3"/>
          <c:order val="3"/>
          <c:tx>
            <c:v>High Yield Emerging market debt Aandelen ontwikkeld Aandelen opkomend Commodities Hedge funds Onroerend goed</c:v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</c:numCache>
            </c:numRef>
          </c:val>
        </c:ser>
        <c:marker val="1"/>
        <c:axId val="156158592"/>
        <c:axId val="156164864"/>
      </c:lineChart>
      <c:catAx>
        <c:axId val="156158592"/>
        <c:scaling>
          <c:orientation val="minMax"/>
        </c:scaling>
        <c:axPos val="b"/>
        <c:numFmt formatCode="General" sourceLinked="1"/>
        <c:tickLblPos val="nextTo"/>
        <c:crossAx val="156164864"/>
        <c:crosses val="autoZero"/>
        <c:auto val="1"/>
        <c:lblAlgn val="ctr"/>
        <c:lblOffset val="100"/>
      </c:catAx>
      <c:valAx>
        <c:axId val="156164864"/>
        <c:scaling>
          <c:orientation val="minMax"/>
        </c:scaling>
        <c:axPos val="l"/>
        <c:majorGridlines/>
        <c:numFmt formatCode="0%" sourceLinked="0"/>
        <c:tickLblPos val="nextTo"/>
        <c:crossAx val="156158592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55" l="0.70000000000000062" r="0.70000000000000062" t="0.75000000000000955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/>
              <a:t>Verwachte overrendementen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Scenarios!$B$27</c:f>
              <c:strCache>
                <c:ptCount val="1"/>
                <c:pt idx="0">
                  <c:v>Evenwicht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Scenarios!$B$28:$B$35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val>
        </c:ser>
        <c:ser>
          <c:idx val="1"/>
          <c:order val="1"/>
          <c:tx>
            <c:strRef>
              <c:f>Scenarios!$C$27</c:f>
              <c:strCache>
                <c:ptCount val="1"/>
                <c:pt idx="0">
                  <c:v>Base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Scenarios!$C$28:$C$35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ser>
          <c:idx val="2"/>
          <c:order val="2"/>
          <c:tx>
            <c:strRef>
              <c:f>Scenarios!$D$27</c:f>
              <c:strCache>
                <c:ptCount val="1"/>
                <c:pt idx="0">
                  <c:v>Base - muddle down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Scenarios!$D$28:$D$35</c:f>
              <c:numCache>
                <c:formatCode>0.0%</c:formatCode>
                <c:ptCount val="8"/>
                <c:pt idx="0">
                  <c:v>-1.0761362748873404E-3</c:v>
                </c:pt>
                <c:pt idx="1">
                  <c:v>-8.65324500372157E-2</c:v>
                </c:pt>
                <c:pt idx="2">
                  <c:v>-2.1111513867647543E-2</c:v>
                </c:pt>
                <c:pt idx="3">
                  <c:v>-0.19311368459773193</c:v>
                </c:pt>
                <c:pt idx="4">
                  <c:v>-6.9261756645690273E-2</c:v>
                </c:pt>
                <c:pt idx="5">
                  <c:v>1.202667991596415E-2</c:v>
                </c:pt>
                <c:pt idx="6">
                  <c:v>-4.6790508294452839E-2</c:v>
                </c:pt>
                <c:pt idx="7">
                  <c:v>-0.13956067047136589</c:v>
                </c:pt>
              </c:numCache>
            </c:numRef>
          </c:val>
        </c:ser>
        <c:ser>
          <c:idx val="3"/>
          <c:order val="3"/>
          <c:tx>
            <c:strRef>
              <c:f>Scenarios!$E$27</c:f>
              <c:strCache>
                <c:ptCount val="1"/>
                <c:pt idx="0">
                  <c:v>Base - muddle up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Scenarios!$E$28:$E$35</c:f>
              <c:numCache>
                <c:formatCode>0.0%</c:formatCode>
                <c:ptCount val="8"/>
                <c:pt idx="0">
                  <c:v>-3.4179872754884488E-3</c:v>
                </c:pt>
                <c:pt idx="1">
                  <c:v>5.1526244290784291E-2</c:v>
                </c:pt>
                <c:pt idx="2">
                  <c:v>3.2357333960853253E-3</c:v>
                </c:pt>
                <c:pt idx="3">
                  <c:v>4.3944352615336905E-2</c:v>
                </c:pt>
                <c:pt idx="4">
                  <c:v>7.474963400472559E-2</c:v>
                </c:pt>
                <c:pt idx="5">
                  <c:v>8.5249207175964209E-2</c:v>
                </c:pt>
                <c:pt idx="6">
                  <c:v>1.8215216611987023E-2</c:v>
                </c:pt>
                <c:pt idx="7">
                  <c:v>2.7964399001126676E-2</c:v>
                </c:pt>
              </c:numCache>
            </c:numRef>
          </c:val>
        </c:ser>
        <c:ser>
          <c:idx val="4"/>
          <c:order val="4"/>
          <c:tx>
            <c:strRef>
              <c:f>Scenarios!$F$27</c:f>
              <c:strCache>
                <c:ptCount val="1"/>
                <c:pt idx="0">
                  <c:v>Bear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Scenarios!$F$28:$F$35</c:f>
              <c:numCache>
                <c:formatCode>0.0%</c:formatCode>
                <c:ptCount val="8"/>
                <c:pt idx="0">
                  <c:v>-2.5720358328627513E-2</c:v>
                </c:pt>
                <c:pt idx="1">
                  <c:v>-0.43934344866388231</c:v>
                </c:pt>
                <c:pt idx="2">
                  <c:v>-0.41802644813429485</c:v>
                </c:pt>
                <c:pt idx="3">
                  <c:v>-0.5992014650452413</c:v>
                </c:pt>
                <c:pt idx="4">
                  <c:v>-0.42661422498990775</c:v>
                </c:pt>
                <c:pt idx="5">
                  <c:v>-0.52128297967070236</c:v>
                </c:pt>
                <c:pt idx="6">
                  <c:v>-0.25630468560846492</c:v>
                </c:pt>
                <c:pt idx="7">
                  <c:v>-0.45200242221105646</c:v>
                </c:pt>
              </c:numCache>
            </c:numRef>
          </c:val>
        </c:ser>
        <c:ser>
          <c:idx val="5"/>
          <c:order val="5"/>
          <c:tx>
            <c:strRef>
              <c:f>Scenarios!$G$27</c:f>
              <c:strCache>
                <c:ptCount val="1"/>
                <c:pt idx="0">
                  <c:v>Tail risk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Scenarios!$G$28:$G$35</c:f>
              <c:numCache>
                <c:formatCode>0.0%</c:formatCode>
                <c:ptCount val="8"/>
                <c:pt idx="0">
                  <c:v>-0.26287574291051119</c:v>
                </c:pt>
                <c:pt idx="1">
                  <c:v>-0.41627425662388229</c:v>
                </c:pt>
                <c:pt idx="2">
                  <c:v>-0.17149574156312622</c:v>
                </c:pt>
                <c:pt idx="3">
                  <c:v>-0.47126055414190038</c:v>
                </c:pt>
                <c:pt idx="4">
                  <c:v>-0.26558788944909251</c:v>
                </c:pt>
                <c:pt idx="5">
                  <c:v>-0.54077311463070243</c:v>
                </c:pt>
                <c:pt idx="6">
                  <c:v>-6.931471876793301E-3</c:v>
                </c:pt>
                <c:pt idx="7">
                  <c:v>-0.48031312669988807</c:v>
                </c:pt>
              </c:numCache>
            </c:numRef>
          </c:val>
        </c:ser>
        <c:ser>
          <c:idx val="6"/>
          <c:order val="6"/>
          <c:tx>
            <c:strRef>
              <c:f>Scenarios!$H$27</c:f>
              <c:strCache>
                <c:ptCount val="1"/>
                <c:pt idx="0">
                  <c:v>Bull case</c:v>
                </c:pt>
              </c:strCache>
            </c:strRef>
          </c:tx>
          <c:cat>
            <c:strRef>
              <c:f>Scenarios!$A$28:$A$35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Scenarios!$H$28:$H$35</c:f>
              <c:numCache>
                <c:formatCode>0.0%</c:formatCode>
                <c:ptCount val="8"/>
                <c:pt idx="0">
                  <c:v>-3.2441343963196256E-3</c:v>
                </c:pt>
                <c:pt idx="1">
                  <c:v>0.27529934429078429</c:v>
                </c:pt>
                <c:pt idx="2">
                  <c:v>0.25817653707968463</c:v>
                </c:pt>
                <c:pt idx="3">
                  <c:v>0.40935864013329615</c:v>
                </c:pt>
                <c:pt idx="4">
                  <c:v>0.37672139820686834</c:v>
                </c:pt>
                <c:pt idx="5">
                  <c:v>0.621322616702631</c:v>
                </c:pt>
                <c:pt idx="6">
                  <c:v>0.28021842301080391</c:v>
                </c:pt>
                <c:pt idx="7">
                  <c:v>0.41038049782760322</c:v>
                </c:pt>
              </c:numCache>
            </c:numRef>
          </c:val>
        </c:ser>
        <c:axId val="410621056"/>
        <c:axId val="410622592"/>
      </c:barChart>
      <c:catAx>
        <c:axId val="410621056"/>
        <c:scaling>
          <c:orientation val="minMax"/>
        </c:scaling>
        <c:axPos val="b"/>
        <c:numFmt formatCode="General" sourceLinked="1"/>
        <c:tickLblPos val="nextTo"/>
        <c:crossAx val="410622592"/>
        <c:crosses val="autoZero"/>
        <c:auto val="1"/>
        <c:lblAlgn val="ctr"/>
        <c:lblOffset val="100"/>
      </c:catAx>
      <c:valAx>
        <c:axId val="410622592"/>
        <c:scaling>
          <c:orientation val="minMax"/>
        </c:scaling>
        <c:axPos val="l"/>
        <c:majorGridlines/>
        <c:numFmt formatCode="0.0%" sourceLinked="1"/>
        <c:tickLblPos val="nextTo"/>
        <c:crossAx val="410621056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855" l="0.70000000000000062" r="0.70000000000000062" t="0.75000000000000855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</c:f>
          <c:strCache>
            <c:ptCount val="1"/>
            <c:pt idx="0">
              <c:v>Evenwicht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return'!$R$4:$R$10</c:f>
              <c:numCache>
                <c:formatCode>0.0%</c:formatCode>
                <c:ptCount val="7"/>
                <c:pt idx="0">
                  <c:v>7.7523703679179226E-2</c:v>
                </c:pt>
                <c:pt idx="1">
                  <c:v>7.2101864904390994E-2</c:v>
                </c:pt>
                <c:pt idx="2">
                  <c:v>0.13836433077278346</c:v>
                </c:pt>
                <c:pt idx="3">
                  <c:v>7.3678396828209328E-2</c:v>
                </c:pt>
                <c:pt idx="4">
                  <c:v>2.0173423169925982E-2</c:v>
                </c:pt>
                <c:pt idx="5">
                  <c:v>4.4880843106858817E-2</c:v>
                </c:pt>
                <c:pt idx="6">
                  <c:v>4.5840528997215114E-2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return'!$S$4:$S$10</c:f>
              <c:numCache>
                <c:formatCode>0.0%</c:formatCode>
                <c:ptCount val="7"/>
                <c:pt idx="0">
                  <c:v>0.11178242658846217</c:v>
                </c:pt>
                <c:pt idx="1">
                  <c:v>0.10778558921718012</c:v>
                </c:pt>
                <c:pt idx="2">
                  <c:v>5.6755031712511478E-2</c:v>
                </c:pt>
                <c:pt idx="3">
                  <c:v>4.9549119136717543E-2</c:v>
                </c:pt>
                <c:pt idx="4">
                  <c:v>3.0112115263790974E-2</c:v>
                </c:pt>
                <c:pt idx="5">
                  <c:v>8.1224458257631457E-2</c:v>
                </c:pt>
                <c:pt idx="6">
                  <c:v>9.0228168365143302E-2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return'!$Q$4:$Q$10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return'!$T$4:$T$10</c:f>
              <c:numCache>
                <c:formatCode>0.0%</c:formatCode>
                <c:ptCount val="7"/>
                <c:pt idx="0">
                  <c:v>0.11826925340980624</c:v>
                </c:pt>
                <c:pt idx="1">
                  <c:v>0.1073540296517986</c:v>
                </c:pt>
                <c:pt idx="2">
                  <c:v>5.4566375536032385E-2</c:v>
                </c:pt>
                <c:pt idx="3">
                  <c:v>4.8468349246479775E-2</c:v>
                </c:pt>
                <c:pt idx="4">
                  <c:v>3.0167960277201408E-2</c:v>
                </c:pt>
                <c:pt idx="5">
                  <c:v>8.002783289600518E-2</c:v>
                </c:pt>
                <c:pt idx="6">
                  <c:v>8.984186448715456E-2</c:v>
                </c:pt>
              </c:numCache>
            </c:numRef>
          </c:val>
        </c:ser>
        <c:gapWidth val="101"/>
        <c:overlap val="100"/>
        <c:axId val="429593344"/>
        <c:axId val="429594880"/>
      </c:barChart>
      <c:catAx>
        <c:axId val="429593344"/>
        <c:scaling>
          <c:orientation val="minMax"/>
        </c:scaling>
        <c:axPos val="l"/>
        <c:tickLblPos val="nextTo"/>
        <c:crossAx val="429594880"/>
        <c:crosses val="autoZero"/>
        <c:auto val="1"/>
        <c:lblAlgn val="ctr"/>
        <c:lblOffset val="100"/>
      </c:catAx>
      <c:valAx>
        <c:axId val="429594880"/>
        <c:scaling>
          <c:orientation val="minMax"/>
        </c:scaling>
        <c:axPos val="b"/>
        <c:majorGridlines/>
        <c:numFmt formatCode="0%" sourceLinked="0"/>
        <c:tickLblPos val="nextTo"/>
        <c:crossAx val="42959334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return'!$Q$17</c:f>
          <c:strCache>
            <c:ptCount val="1"/>
            <c:pt idx="0">
              <c:v>Base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return'!$R$18:$R$24</c:f>
              <c:numCache>
                <c:formatCode>0.0%</c:formatCode>
                <c:ptCount val="7"/>
                <c:pt idx="0">
                  <c:v>9.5304615523685604E-2</c:v>
                </c:pt>
                <c:pt idx="1">
                  <c:v>1.0080629740565394E-2</c:v>
                </c:pt>
                <c:pt idx="2">
                  <c:v>3.1098054798629564E-4</c:v>
                </c:pt>
                <c:pt idx="3">
                  <c:v>1.521987083539175E-2</c:v>
                </c:pt>
                <c:pt idx="4">
                  <c:v>0.45501853734259429</c:v>
                </c:pt>
                <c:pt idx="5">
                  <c:v>1.9868438206004254E-2</c:v>
                </c:pt>
                <c:pt idx="6">
                  <c:v>1.7409154601443391E-3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return'!$S$18:$S$24</c:f>
              <c:numCache>
                <c:formatCode>0.0%</c:formatCode>
                <c:ptCount val="7"/>
                <c:pt idx="0">
                  <c:v>0.14047239975423068</c:v>
                </c:pt>
                <c:pt idx="1">
                  <c:v>3.5081060368993576E-2</c:v>
                </c:pt>
                <c:pt idx="2">
                  <c:v>4.4346199654253073E-3</c:v>
                </c:pt>
                <c:pt idx="3">
                  <c:v>5.6345519071045708E-2</c:v>
                </c:pt>
                <c:pt idx="4">
                  <c:v>0.10624086070589217</c:v>
                </c:pt>
                <c:pt idx="5">
                  <c:v>5.0407663468918618E-2</c:v>
                </c:pt>
                <c:pt idx="6">
                  <c:v>9.4738890091217564E-3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return'!$Q$18:$Q$24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return'!$T$18:$T$24</c:f>
              <c:numCache>
                <c:formatCode>0.0%</c:formatCode>
                <c:ptCount val="7"/>
                <c:pt idx="0">
                  <c:v>0.13510486839856617</c:v>
                </c:pt>
                <c:pt idx="1">
                  <c:v>3.4737076271140803E-2</c:v>
                </c:pt>
                <c:pt idx="2">
                  <c:v>5.1868663386499597E-3</c:v>
                </c:pt>
                <c:pt idx="3">
                  <c:v>5.5521269307930998E-2</c:v>
                </c:pt>
                <c:pt idx="4">
                  <c:v>0.10838077196627249</c:v>
                </c:pt>
                <c:pt idx="5">
                  <c:v>5.1161979778295952E-2</c:v>
                </c:pt>
                <c:pt idx="6">
                  <c:v>1.0694456382009851E-2</c:v>
                </c:pt>
              </c:numCache>
            </c:numRef>
          </c:val>
        </c:ser>
        <c:gapWidth val="101"/>
        <c:overlap val="100"/>
        <c:axId val="473582592"/>
        <c:axId val="473592576"/>
      </c:barChart>
      <c:catAx>
        <c:axId val="473582592"/>
        <c:scaling>
          <c:orientation val="minMax"/>
        </c:scaling>
        <c:axPos val="l"/>
        <c:tickLblPos val="nextTo"/>
        <c:crossAx val="473592576"/>
        <c:crosses val="autoZero"/>
        <c:auto val="1"/>
        <c:lblAlgn val="ctr"/>
        <c:lblOffset val="100"/>
      </c:catAx>
      <c:valAx>
        <c:axId val="473592576"/>
        <c:scaling>
          <c:orientation val="minMax"/>
        </c:scaling>
        <c:axPos val="b"/>
        <c:majorGridlines/>
        <c:numFmt formatCode="0%" sourceLinked="0"/>
        <c:tickLblPos val="nextTo"/>
        <c:crossAx val="47358259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return'!$Q$31</c:f>
          <c:strCache>
            <c:ptCount val="1"/>
            <c:pt idx="0">
              <c:v>Base - muddle down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return'!$R$32:$R$38</c:f>
              <c:numCache>
                <c:formatCode>0.0%</c:formatCode>
                <c:ptCount val="7"/>
                <c:pt idx="0">
                  <c:v>9.7331828190076893E-4</c:v>
                </c:pt>
                <c:pt idx="1">
                  <c:v>1.7159244375471998E-2</c:v>
                </c:pt>
                <c:pt idx="2">
                  <c:v>1.6123355805191399E-5</c:v>
                </c:pt>
                <c:pt idx="3">
                  <c:v>3.8766894616157349E-4</c:v>
                </c:pt>
                <c:pt idx="4">
                  <c:v>0.84973198999984012</c:v>
                </c:pt>
                <c:pt idx="5">
                  <c:v>3.7704170688989506E-3</c:v>
                </c:pt>
                <c:pt idx="6">
                  <c:v>1.5819886252651036E-4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return'!$S$32:$S$38</c:f>
              <c:numCache>
                <c:formatCode>0.0%</c:formatCode>
                <c:ptCount val="7"/>
                <c:pt idx="0">
                  <c:v>7.929144015938857E-3</c:v>
                </c:pt>
                <c:pt idx="1">
                  <c:v>4.4319504730061188E-2</c:v>
                </c:pt>
                <c:pt idx="2">
                  <c:v>1.5159638129282826E-3</c:v>
                </c:pt>
                <c:pt idx="3">
                  <c:v>7.4151675356900083E-3</c:v>
                </c:pt>
                <c:pt idx="4">
                  <c:v>4.4550907013674146E-2</c:v>
                </c:pt>
                <c:pt idx="5">
                  <c:v>1.8945921282737768E-2</c:v>
                </c:pt>
                <c:pt idx="6">
                  <c:v>3.1264307183648749E-3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return'!$Q$32:$Q$38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return'!$T$32:$T$38</c:f>
              <c:numCache>
                <c:formatCode>0.0%</c:formatCode>
                <c:ptCount val="7"/>
                <c:pt idx="0">
                  <c:v>7.3345119432359097E-3</c:v>
                </c:pt>
                <c:pt idx="1">
                  <c:v>4.6041149648945297E-2</c:v>
                </c:pt>
                <c:pt idx="2">
                  <c:v>1.178346395981046E-3</c:v>
                </c:pt>
                <c:pt idx="3">
                  <c:v>7.1526689024403473E-3</c:v>
                </c:pt>
                <c:pt idx="4">
                  <c:v>4.5163043894582366E-2</c:v>
                </c:pt>
                <c:pt idx="5">
                  <c:v>1.8770803358369382E-2</c:v>
                </c:pt>
                <c:pt idx="6">
                  <c:v>3.397176233414516E-3</c:v>
                </c:pt>
              </c:numCache>
            </c:numRef>
          </c:val>
        </c:ser>
        <c:gapWidth val="101"/>
        <c:overlap val="100"/>
        <c:axId val="473626112"/>
        <c:axId val="473627648"/>
      </c:barChart>
      <c:catAx>
        <c:axId val="473626112"/>
        <c:scaling>
          <c:orientation val="minMax"/>
        </c:scaling>
        <c:axPos val="l"/>
        <c:tickLblPos val="nextTo"/>
        <c:crossAx val="473627648"/>
        <c:crosses val="autoZero"/>
        <c:auto val="1"/>
        <c:lblAlgn val="ctr"/>
        <c:lblOffset val="100"/>
      </c:catAx>
      <c:valAx>
        <c:axId val="473627648"/>
        <c:scaling>
          <c:orientation val="minMax"/>
        </c:scaling>
        <c:axPos val="b"/>
        <c:majorGridlines/>
        <c:numFmt formatCode="0%" sourceLinked="0"/>
        <c:tickLblPos val="nextTo"/>
        <c:crossAx val="473626112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return'!$Q$45</c:f>
          <c:strCache>
            <c:ptCount val="1"/>
            <c:pt idx="0">
              <c:v>Base - muddle up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return'!$R$46:$R$52</c:f>
              <c:numCache>
                <c:formatCode>0.0%</c:formatCode>
                <c:ptCount val="7"/>
                <c:pt idx="0">
                  <c:v>0.61239230310119175</c:v>
                </c:pt>
                <c:pt idx="1">
                  <c:v>2.7946565716081835E-3</c:v>
                </c:pt>
                <c:pt idx="2">
                  <c:v>2.0775934428418331E-3</c:v>
                </c:pt>
                <c:pt idx="3">
                  <c:v>1.645975756546526E-2</c:v>
                </c:pt>
                <c:pt idx="4">
                  <c:v>5.0434992797911832E-2</c:v>
                </c:pt>
                <c:pt idx="5">
                  <c:v>9.7234850478918125E-3</c:v>
                </c:pt>
                <c:pt idx="6">
                  <c:v>4.2673088400998404E-3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return'!$S$46:$S$52</c:f>
              <c:numCache>
                <c:formatCode>0.0%</c:formatCode>
                <c:ptCount val="7"/>
                <c:pt idx="0">
                  <c:v>9.5731347239399023E-2</c:v>
                </c:pt>
                <c:pt idx="1">
                  <c:v>1.2287775405978744E-2</c:v>
                </c:pt>
                <c:pt idx="2">
                  <c:v>1.407974385675073E-2</c:v>
                </c:pt>
                <c:pt idx="3">
                  <c:v>5.3208950731218813E-2</c:v>
                </c:pt>
                <c:pt idx="4">
                  <c:v>8.0012654148902962E-2</c:v>
                </c:pt>
                <c:pt idx="5">
                  <c:v>2.8019413077403348E-2</c:v>
                </c:pt>
                <c:pt idx="6">
                  <c:v>1.8510018173335793E-2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return'!$Q$46:$Q$52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return'!$T$46:$T$52</c:f>
              <c:numCache>
                <c:formatCode>0.0%</c:formatCode>
                <c:ptCount val="7"/>
                <c:pt idx="0">
                  <c:v>9.6314578512979532E-2</c:v>
                </c:pt>
                <c:pt idx="1">
                  <c:v>1.2137373915949348E-2</c:v>
                </c:pt>
                <c:pt idx="2">
                  <c:v>1.5811978751779188E-2</c:v>
                </c:pt>
                <c:pt idx="3">
                  <c:v>5.8543348121665742E-2</c:v>
                </c:pt>
                <c:pt idx="4">
                  <c:v>7.2780678045888392E-2</c:v>
                </c:pt>
                <c:pt idx="5">
                  <c:v>2.8785600742057479E-2</c:v>
                </c:pt>
                <c:pt idx="6">
                  <c:v>1.9393927449761296E-2</c:v>
                </c:pt>
              </c:numCache>
            </c:numRef>
          </c:val>
        </c:ser>
        <c:gapWidth val="100"/>
        <c:overlap val="100"/>
        <c:axId val="473718784"/>
        <c:axId val="473720320"/>
      </c:barChart>
      <c:catAx>
        <c:axId val="473718784"/>
        <c:scaling>
          <c:orientation val="minMax"/>
        </c:scaling>
        <c:axPos val="l"/>
        <c:tickLblPos val="nextTo"/>
        <c:crossAx val="473720320"/>
        <c:crosses val="autoZero"/>
        <c:auto val="1"/>
        <c:lblAlgn val="ctr"/>
        <c:lblOffset val="100"/>
      </c:catAx>
      <c:valAx>
        <c:axId val="473720320"/>
        <c:scaling>
          <c:orientation val="minMax"/>
        </c:scaling>
        <c:axPos val="b"/>
        <c:majorGridlines/>
        <c:numFmt formatCode="0%" sourceLinked="0"/>
        <c:tickLblPos val="nextTo"/>
        <c:crossAx val="473718784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return'!$Q$59</c:f>
          <c:strCache>
            <c:ptCount val="1"/>
            <c:pt idx="0">
              <c:v>Bear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return'!$R$60:$R$66</c:f>
              <c:numCache>
                <c:formatCode>0.0%</c:formatCode>
                <c:ptCount val="7"/>
                <c:pt idx="0">
                  <c:v>3.6395984093867494E-4</c:v>
                </c:pt>
                <c:pt idx="1">
                  <c:v>5.6322545765322E-4</c:v>
                </c:pt>
                <c:pt idx="2">
                  <c:v>7.1639402696013698E-5</c:v>
                </c:pt>
                <c:pt idx="3">
                  <c:v>2.1951336314716854E-4</c:v>
                </c:pt>
                <c:pt idx="4">
                  <c:v>1.6823967215296896E-4</c:v>
                </c:pt>
                <c:pt idx="5">
                  <c:v>6.291924264022467E-3</c:v>
                </c:pt>
                <c:pt idx="6">
                  <c:v>2.1032383615705061E-4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return'!$S$60:$S$66</c:f>
              <c:numCache>
                <c:formatCode>0.0%</c:formatCode>
                <c:ptCount val="7"/>
                <c:pt idx="0">
                  <c:v>0.13971701361647837</c:v>
                </c:pt>
                <c:pt idx="1">
                  <c:v>0.14306578853827345</c:v>
                </c:pt>
                <c:pt idx="2">
                  <c:v>8.2835974760089373E-2</c:v>
                </c:pt>
                <c:pt idx="3">
                  <c:v>0.12412970819022642</c:v>
                </c:pt>
                <c:pt idx="4">
                  <c:v>9.9817764585229327E-2</c:v>
                </c:pt>
                <c:pt idx="5">
                  <c:v>0.28113981579711805</c:v>
                </c:pt>
                <c:pt idx="6">
                  <c:v>0.12140510867533598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return'!$Q$60:$Q$66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return'!$T$60:$T$66</c:f>
              <c:numCache>
                <c:formatCode>0.0%</c:formatCode>
                <c:ptCount val="7"/>
                <c:pt idx="0">
                  <c:v>0.17463054250435311</c:v>
                </c:pt>
                <c:pt idx="1">
                  <c:v>0.17683435045496268</c:v>
                </c:pt>
                <c:pt idx="2">
                  <c:v>7.9645176354705277E-2</c:v>
                </c:pt>
                <c:pt idx="3">
                  <c:v>0.18084800399220846</c:v>
                </c:pt>
                <c:pt idx="4">
                  <c:v>0.1240690331019349</c:v>
                </c:pt>
                <c:pt idx="5">
                  <c:v>0.32827860685467175</c:v>
                </c:pt>
                <c:pt idx="6">
                  <c:v>0.17034837080638371</c:v>
                </c:pt>
              </c:numCache>
            </c:numRef>
          </c:val>
        </c:ser>
        <c:gapWidth val="100"/>
        <c:overlap val="100"/>
        <c:axId val="473831680"/>
        <c:axId val="473841664"/>
      </c:barChart>
      <c:catAx>
        <c:axId val="473831680"/>
        <c:scaling>
          <c:orientation val="minMax"/>
        </c:scaling>
        <c:axPos val="l"/>
        <c:tickLblPos val="nextTo"/>
        <c:crossAx val="473841664"/>
        <c:crosses val="autoZero"/>
        <c:auto val="1"/>
        <c:lblAlgn val="ctr"/>
        <c:lblOffset val="100"/>
      </c:catAx>
      <c:valAx>
        <c:axId val="473841664"/>
        <c:scaling>
          <c:orientation val="minMax"/>
        </c:scaling>
        <c:axPos val="b"/>
        <c:majorGridlines/>
        <c:numFmt formatCode="0%" sourceLinked="0"/>
        <c:tickLblPos val="nextTo"/>
        <c:crossAx val="47383168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return'!$Q$101</c:f>
          <c:strCache>
            <c:ptCount val="1"/>
            <c:pt idx="0">
              <c:v>Kansgewogen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gapWidth val="100"/>
        <c:overlap val="100"/>
        <c:axId val="473875200"/>
        <c:axId val="473876736"/>
      </c:barChart>
      <c:catAx>
        <c:axId val="473875200"/>
        <c:scaling>
          <c:orientation val="minMax"/>
        </c:scaling>
        <c:axPos val="l"/>
        <c:tickLblPos val="nextTo"/>
        <c:crossAx val="473876736"/>
        <c:crosses val="autoZero"/>
        <c:auto val="1"/>
        <c:lblAlgn val="ctr"/>
        <c:lblOffset val="100"/>
      </c:catAx>
      <c:valAx>
        <c:axId val="473876736"/>
        <c:scaling>
          <c:orientation val="minMax"/>
        </c:scaling>
        <c:axPos val="b"/>
        <c:majorGridlines/>
        <c:numFmt formatCode="0%" sourceLinked="0"/>
        <c:tickLblPos val="nextTo"/>
        <c:crossAx val="473875200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1" l="0.70000000000000062" r="0.70000000000000062" t="0.7500000000000111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return'!$A$102:$A$108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return'!$B$102:$B$108</c:f>
              <c:numCache>
                <c:formatCode>0.0%</c:formatCode>
                <c:ptCount val="7"/>
                <c:pt idx="0">
                  <c:v>0.39643238006622439</c:v>
                </c:pt>
                <c:pt idx="1">
                  <c:v>4.0425624806310949E-2</c:v>
                </c:pt>
                <c:pt idx="2">
                  <c:v>4.260448200565232E-3</c:v>
                </c:pt>
                <c:pt idx="3">
                  <c:v>0.12798321011413949</c:v>
                </c:pt>
                <c:pt idx="4">
                  <c:v>0.32479918858176166</c:v>
                </c:pt>
                <c:pt idx="5">
                  <c:v>7.103756005773916E-2</c:v>
                </c:pt>
                <c:pt idx="6">
                  <c:v>8.8859084896854689E-3</c:v>
                </c:pt>
              </c:numCache>
            </c:numRef>
          </c:val>
        </c:ser>
        <c:firstSliceAng val="0"/>
      </c:pieChart>
    </c:plotArea>
    <c:legend>
      <c:legendPos val="r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plotArea>
      <c:layout/>
      <c:pieChart>
        <c:varyColors val="1"/>
        <c:ser>
          <c:idx val="0"/>
          <c:order val="0"/>
          <c:dLbls>
            <c:txPr>
              <a:bodyPr/>
              <a:lstStyle/>
              <a:p>
                <a:pPr>
                  <a:defRPr sz="1400" baseline="0"/>
                </a:pPr>
                <a:endParaRPr lang="nl-NL"/>
              </a:p>
            </c:txPr>
            <c:showVal val="1"/>
            <c:showLeaderLines val="1"/>
          </c:dLbls>
          <c:cat>
            <c:strRef>
              <c:f>'Samenvatting mixen - return'!$A$135:$A$141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return'!$B$135:$B$141</c:f>
              <c:numCache>
                <c:formatCode>0.0%</c:formatCode>
                <c:ptCount val="7"/>
                <c:pt idx="0">
                  <c:v>0.16317857772190714</c:v>
                </c:pt>
                <c:pt idx="1">
                  <c:v>0.19290379455136406</c:v>
                </c:pt>
                <c:pt idx="2">
                  <c:v>0.25645812312142269</c:v>
                </c:pt>
                <c:pt idx="3">
                  <c:v>9.7041462553314958E-2</c:v>
                </c:pt>
                <c:pt idx="4">
                  <c:v>5.6755052286840531E-2</c:v>
                </c:pt>
                <c:pt idx="5">
                  <c:v>7.9154326422916976E-2</c:v>
                </c:pt>
                <c:pt idx="6">
                  <c:v>0.15450866334223365</c:v>
                </c:pt>
              </c:numCache>
            </c:numRef>
          </c:val>
        </c:ser>
        <c:firstSliceAng val="0"/>
      </c:pieChart>
    </c:plotArea>
    <c:legend>
      <c:legendPos val="l"/>
      <c:txPr>
        <a:bodyPr/>
        <a:lstStyle/>
        <a:p>
          <a:pPr>
            <a:defRPr sz="1400" baseline="0"/>
          </a:pPr>
          <a:endParaRPr lang="nl-NL"/>
        </a:p>
      </c:txPr>
    </c:legend>
    <c:plotVisOnly val="1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return'!$Q$87</c:f>
          <c:strCache>
            <c:ptCount val="1"/>
            <c:pt idx="0">
              <c:v>Bull case</c:v>
            </c:pt>
          </c:strCache>
        </c:strRef>
      </c:tx>
    </c:title>
    <c:plotArea>
      <c:layout/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return'!$R$88:$R$94</c:f>
              <c:numCache>
                <c:formatCode>0.0%</c:formatCode>
                <c:ptCount val="7"/>
                <c:pt idx="0">
                  <c:v>8.4753556683931988E-3</c:v>
                </c:pt>
                <c:pt idx="1">
                  <c:v>3.2089670703715025E-3</c:v>
                </c:pt>
                <c:pt idx="2">
                  <c:v>1.5806726159073439E-4</c:v>
                </c:pt>
                <c:pt idx="3">
                  <c:v>1.3347015598507306E-4</c:v>
                </c:pt>
                <c:pt idx="4">
                  <c:v>0.1226275537649839</c:v>
                </c:pt>
                <c:pt idx="5">
                  <c:v>1.2475079576170467E-2</c:v>
                </c:pt>
                <c:pt idx="6">
                  <c:v>0.43029176546889841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return'!$S$88:$S$94</c:f>
              <c:numCache>
                <c:formatCode>0.0%</c:formatCode>
                <c:ptCount val="7"/>
                <c:pt idx="0">
                  <c:v>6.3480483502412172E-2</c:v>
                </c:pt>
                <c:pt idx="1">
                  <c:v>3.1492860453719185E-2</c:v>
                </c:pt>
                <c:pt idx="2">
                  <c:v>1.121682311718513E-2</c:v>
                </c:pt>
                <c:pt idx="3">
                  <c:v>7.5817182883051422E-3</c:v>
                </c:pt>
                <c:pt idx="4">
                  <c:v>7.4380280053687645E-2</c:v>
                </c:pt>
                <c:pt idx="5">
                  <c:v>0.11013662225044657</c:v>
                </c:pt>
                <c:pt idx="6">
                  <c:v>0.1243409533678505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return'!$Q$88:$Q$94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return'!$T$88:$T$94</c:f>
              <c:numCache>
                <c:formatCode>0.0%</c:formatCode>
                <c:ptCount val="7"/>
                <c:pt idx="0">
                  <c:v>6.112137097652659E-2</c:v>
                </c:pt>
                <c:pt idx="1">
                  <c:v>3.6382201978937566E-2</c:v>
                </c:pt>
                <c:pt idx="2">
                  <c:v>1.0993784018580479E-2</c:v>
                </c:pt>
                <c:pt idx="3">
                  <c:v>9.9244280538291815E-3</c:v>
                </c:pt>
                <c:pt idx="4">
                  <c:v>7.5045904599773061E-2</c:v>
                </c:pt>
                <c:pt idx="5">
                  <c:v>0.11550640566773462</c:v>
                </c:pt>
                <c:pt idx="6">
                  <c:v>0.13046832903158545</c:v>
                </c:pt>
              </c:numCache>
            </c:numRef>
          </c:val>
        </c:ser>
        <c:gapWidth val="100"/>
        <c:overlap val="100"/>
        <c:axId val="474754048"/>
        <c:axId val="474755840"/>
      </c:barChart>
      <c:catAx>
        <c:axId val="474754048"/>
        <c:scaling>
          <c:orientation val="minMax"/>
        </c:scaling>
        <c:axPos val="l"/>
        <c:tickLblPos val="nextTo"/>
        <c:crossAx val="474755840"/>
        <c:crosses val="autoZero"/>
        <c:auto val="1"/>
        <c:lblAlgn val="ctr"/>
        <c:lblOffset val="100"/>
      </c:catAx>
      <c:valAx>
        <c:axId val="474755840"/>
        <c:scaling>
          <c:orientation val="minMax"/>
        </c:scaling>
        <c:axPos val="b"/>
        <c:majorGridlines/>
        <c:numFmt formatCode="0%" sourceLinked="0"/>
        <c:tickLblPos val="nextTo"/>
        <c:crossAx val="474754048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32" l="0.70000000000000062" r="0.70000000000000062" t="0.75000000000001132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strRef>
          <c:f>'Samenvatting mixen - return'!$Q$73</c:f>
          <c:strCache>
            <c:ptCount val="1"/>
            <c:pt idx="0">
              <c:v>Tail risk</c:v>
            </c:pt>
          </c:strCache>
        </c:strRef>
      </c:tx>
    </c:title>
    <c:plotArea>
      <c:layout>
        <c:manualLayout>
          <c:layoutTarget val="inner"/>
          <c:xMode val="edge"/>
          <c:yMode val="edge"/>
          <c:x val="0.30433552055993002"/>
          <c:y val="0.20358814523184601"/>
          <c:w val="0.64943525809273861"/>
          <c:h val="0.68969123651212083"/>
        </c:manualLayout>
      </c:layout>
      <c:barChart>
        <c:barDir val="bar"/>
        <c:grouping val="stacked"/>
        <c:ser>
          <c:idx val="0"/>
          <c:order val="0"/>
          <c:spPr>
            <a:noFill/>
          </c:spPr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return'!$R$74:$R$80</c:f>
              <c:numCache>
                <c:formatCode>0.0%</c:formatCode>
                <c:ptCount val="7"/>
                <c:pt idx="0">
                  <c:v>9.0091634382478374E-6</c:v>
                </c:pt>
                <c:pt idx="1">
                  <c:v>1.1077505439822777E-4</c:v>
                </c:pt>
                <c:pt idx="2">
                  <c:v>1.6321501928185519E-6</c:v>
                </c:pt>
                <c:pt idx="3">
                  <c:v>2.6944486895544232E-6</c:v>
                </c:pt>
                <c:pt idx="4">
                  <c:v>5.6631026702354599E-7</c:v>
                </c:pt>
                <c:pt idx="5">
                  <c:v>0.96405006368400703</c:v>
                </c:pt>
                <c:pt idx="6">
                  <c:v>4.0112150440200787E-6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return'!$S$74:$S$80</c:f>
              <c:numCache>
                <c:formatCode>0.0%</c:formatCode>
                <c:ptCount val="7"/>
                <c:pt idx="0">
                  <c:v>2.6905192349177282E-3</c:v>
                </c:pt>
                <c:pt idx="1">
                  <c:v>1.0687719239309274E-2</c:v>
                </c:pt>
                <c:pt idx="2">
                  <c:v>1.9805743194935472E-3</c:v>
                </c:pt>
                <c:pt idx="3">
                  <c:v>2.8632921305428265E-3</c:v>
                </c:pt>
                <c:pt idx="4">
                  <c:v>1.4765361156603579E-3</c:v>
                </c:pt>
                <c:pt idx="5">
                  <c:v>1.3853470409377677E-2</c:v>
                </c:pt>
                <c:pt idx="6">
                  <c:v>2.269136524660556E-3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return'!$Q$74:$Q$80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return'!$T$74:$T$80</c:f>
              <c:numCache>
                <c:formatCode>0.0%</c:formatCode>
                <c:ptCount val="7"/>
                <c:pt idx="0">
                  <c:v>2.9704751954857983E-3</c:v>
                </c:pt>
                <c:pt idx="1">
                  <c:v>1.2743341001383725E-2</c:v>
                </c:pt>
                <c:pt idx="2">
                  <c:v>2.1763119008722633E-3</c:v>
                </c:pt>
                <c:pt idx="3">
                  <c:v>3.4898908754950201E-3</c:v>
                </c:pt>
                <c:pt idx="4">
                  <c:v>1.6137954124868417E-3</c:v>
                </c:pt>
                <c:pt idx="5">
                  <c:v>1.4506896857543805E-2</c:v>
                </c:pt>
                <c:pt idx="6">
                  <c:v>2.5399729572493862E-3</c:v>
                </c:pt>
              </c:numCache>
            </c:numRef>
          </c:val>
        </c:ser>
        <c:gapWidth val="100"/>
        <c:overlap val="100"/>
        <c:axId val="474789376"/>
        <c:axId val="474790912"/>
      </c:barChart>
      <c:catAx>
        <c:axId val="474789376"/>
        <c:scaling>
          <c:orientation val="minMax"/>
        </c:scaling>
        <c:axPos val="l"/>
        <c:tickLblPos val="nextTo"/>
        <c:crossAx val="474790912"/>
        <c:crosses val="autoZero"/>
        <c:auto val="1"/>
        <c:lblAlgn val="ctr"/>
        <c:lblOffset val="100"/>
      </c:catAx>
      <c:valAx>
        <c:axId val="474790912"/>
        <c:scaling>
          <c:orientation val="minMax"/>
        </c:scaling>
        <c:axPos val="b"/>
        <c:majorGridlines/>
        <c:numFmt formatCode="0%" sourceLinked="0"/>
        <c:tickLblPos val="nextTo"/>
        <c:crossAx val="474789376"/>
        <c:crosses val="autoZero"/>
        <c:crossBetween val="between"/>
      </c:valAx>
    </c:plotArea>
    <c:plotVisOnly val="1"/>
  </c:chart>
  <c:spPr>
    <a:ln>
      <a:noFill/>
    </a:ln>
  </c:spPr>
  <c:printSettings>
    <c:headerFooter/>
    <c:pageMargins b="0.75000000000001155" l="0.70000000000000062" r="0.70000000000000062" t="0.7500000000000115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 sz="1400" baseline="0"/>
            </a:pPr>
            <a:r>
              <a:rPr lang="nl-NL" sz="1400" baseline="0"/>
              <a:t>Mogelijke spreiding binnen totale portefeuille</a:t>
            </a:r>
          </a:p>
        </c:rich>
      </c:tx>
      <c:layout>
        <c:manualLayout>
          <c:xMode val="edge"/>
          <c:yMode val="edge"/>
          <c:x val="0.16172942359222647"/>
          <c:y val="5.6700046772942707E-2"/>
        </c:manualLayout>
      </c:layout>
    </c:title>
    <c:plotArea>
      <c:layout>
        <c:manualLayout>
          <c:layoutTarget val="inner"/>
          <c:xMode val="edge"/>
          <c:yMode val="edge"/>
          <c:x val="0.13456684303492294"/>
          <c:y val="0.18930803620083991"/>
          <c:w val="0.82649258218451005"/>
          <c:h val="0.53316690114416088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mixen'!$S$109:$S$116</c:f>
              <c:numCache>
                <c:formatCode>0.0%</c:formatCode>
                <c:ptCount val="8"/>
                <c:pt idx="0">
                  <c:v>0.54547997783863766</c:v>
                </c:pt>
                <c:pt idx="1">
                  <c:v>0.10553247022509643</c:v>
                </c:pt>
                <c:pt idx="2">
                  <c:v>6.0496414436424627E-3</c:v>
                </c:pt>
                <c:pt idx="3">
                  <c:v>2.0879404510760271E-4</c:v>
                </c:pt>
                <c:pt idx="4">
                  <c:v>2.458081843461438E-2</c:v>
                </c:pt>
                <c:pt idx="5">
                  <c:v>0.11162660614638936</c:v>
                </c:pt>
                <c:pt idx="6">
                  <c:v>1.2733213190804019E-2</c:v>
                </c:pt>
                <c:pt idx="7">
                  <c:v>6.6619526005413281E-4</c:v>
                </c:pt>
              </c:numCache>
            </c:numRef>
          </c:val>
        </c:ser>
        <c:ser>
          <c:idx val="1"/>
          <c:order val="1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mixen'!$T$109:$T$116</c:f>
              <c:numCache>
                <c:formatCode>0.0%</c:formatCode>
                <c:ptCount val="8"/>
                <c:pt idx="0">
                  <c:v>2.8987758027432919E-2</c:v>
                </c:pt>
                <c:pt idx="1">
                  <c:v>6.9102860465051041E-2</c:v>
                </c:pt>
                <c:pt idx="2">
                  <c:v>1.1061956867314706E-2</c:v>
                </c:pt>
                <c:pt idx="3">
                  <c:v>1.5984380427221047E-3</c:v>
                </c:pt>
                <c:pt idx="4">
                  <c:v>2.8157466490844319E-2</c:v>
                </c:pt>
                <c:pt idx="5">
                  <c:v>2.264164440866881E-2</c:v>
                </c:pt>
                <c:pt idx="6">
                  <c:v>1.7396205224914123E-2</c:v>
                </c:pt>
                <c:pt idx="7">
                  <c:v>3.0825747582383868E-3</c:v>
                </c:pt>
              </c:numCache>
            </c:numRef>
          </c:val>
        </c:ser>
        <c:ser>
          <c:idx val="2"/>
          <c:order val="2"/>
          <c:cat>
            <c:strRef>
              <c:f>'Samenvatting mixen'!$R$109:$R$116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mixen'!$U$109:$U$116</c:f>
              <c:numCache>
                <c:formatCode>0.0%</c:formatCode>
                <c:ptCount val="8"/>
                <c:pt idx="0">
                  <c:v>2.6847671710471754E-2</c:v>
                </c:pt>
                <c:pt idx="1">
                  <c:v>5.1562949794343282E-2</c:v>
                </c:pt>
                <c:pt idx="2">
                  <c:v>7.619804213484422E-3</c:v>
                </c:pt>
                <c:pt idx="3">
                  <c:v>7.2831112866065758E-4</c:v>
                </c:pt>
                <c:pt idx="4">
                  <c:v>2.4315226985009618E-2</c:v>
                </c:pt>
                <c:pt idx="5">
                  <c:v>2.4225657871494694E-2</c:v>
                </c:pt>
                <c:pt idx="6">
                  <c:v>1.2440193551617833E-2</c:v>
                </c:pt>
                <c:pt idx="7">
                  <c:v>1.7549125764004846E-3</c:v>
                </c:pt>
              </c:numCache>
            </c:numRef>
          </c:val>
        </c:ser>
        <c:overlap val="100"/>
        <c:axId val="475182208"/>
        <c:axId val="475184128"/>
      </c:barChart>
      <c:lineChart>
        <c:grouping val="standard"/>
        <c:ser>
          <c:idx val="3"/>
          <c:order val="3"/>
          <c:tx>
            <c:strRef>
              <c:f>'Control panel'!$A$3:$A$10</c:f>
              <c:strCache>
                <c:ptCount val="1"/>
                <c:pt idx="0">
                  <c:v>Nominale matching 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panel'!$B$3:$B$10</c:f>
              <c:numCache>
                <c:formatCode>0.0%</c:formatCode>
                <c:ptCount val="8"/>
                <c:pt idx="0">
                  <c:v>0.55552002657163746</c:v>
                </c:pt>
                <c:pt idx="1">
                  <c:v>9.7772401711769694E-2</c:v>
                </c:pt>
                <c:pt idx="2">
                  <c:v>9.4763191533410202E-2</c:v>
                </c:pt>
                <c:pt idx="3">
                  <c:v>0.10281340879516217</c:v>
                </c:pt>
                <c:pt idx="4">
                  <c:v>5.1014363077869621E-2</c:v>
                </c:pt>
                <c:pt idx="5">
                  <c:v>2.0731266317763185E-2</c:v>
                </c:pt>
                <c:pt idx="6">
                  <c:v>3.0634868515694261E-2</c:v>
                </c:pt>
                <c:pt idx="7">
                  <c:v>4.6750473476693498E-2</c:v>
                </c:pt>
              </c:numCache>
            </c:numRef>
          </c:val>
        </c:ser>
        <c:marker val="1"/>
        <c:axId val="475182208"/>
        <c:axId val="475184128"/>
      </c:lineChart>
      <c:catAx>
        <c:axId val="475182208"/>
        <c:scaling>
          <c:orientation val="minMax"/>
        </c:scaling>
        <c:axPos val="b"/>
        <c:tickLblPos val="nextTo"/>
        <c:crossAx val="475184128"/>
        <c:crosses val="autoZero"/>
        <c:auto val="1"/>
        <c:lblAlgn val="ctr"/>
        <c:lblOffset val="100"/>
      </c:catAx>
      <c:valAx>
        <c:axId val="475184128"/>
        <c:scaling>
          <c:orientation val="minMax"/>
        </c:scaling>
        <c:axPos val="l"/>
        <c:majorGridlines/>
        <c:numFmt formatCode="0%" sourceLinked="0"/>
        <c:tickLblPos val="nextTo"/>
        <c:crossAx val="47518220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nl-NL" sz="1400" baseline="0"/>
              <a:t>Mogelijke spreiding binnen return portefeuille</a:t>
            </a:r>
          </a:p>
        </c:rich>
      </c:tx>
      <c:layout>
        <c:manualLayout>
          <c:xMode val="edge"/>
          <c:yMode val="edge"/>
          <c:x val="0.11306711661042335"/>
          <c:y val="2.9486291341391177E-2"/>
        </c:manualLayout>
      </c:layout>
    </c:title>
    <c:plotArea>
      <c:layout>
        <c:manualLayout>
          <c:layoutTarget val="inner"/>
          <c:xMode val="edge"/>
          <c:yMode val="edge"/>
          <c:x val="0.10682304417830227"/>
          <c:y val="0.15551261598255664"/>
          <c:w val="0.86236463089172677"/>
          <c:h val="0.5064974591396415"/>
        </c:manualLayout>
      </c:layout>
      <c:barChart>
        <c:barDir val="col"/>
        <c:grouping val="stacked"/>
        <c:ser>
          <c:idx val="0"/>
          <c:order val="0"/>
          <c:spPr>
            <a:noFill/>
          </c:spPr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return'!$R$102:$R$108</c:f>
              <c:numCache>
                <c:formatCode>0.0%</c:formatCode>
                <c:ptCount val="7"/>
                <c:pt idx="0">
                  <c:v>0.2286675572336673</c:v>
                </c:pt>
                <c:pt idx="1">
                  <c:v>8.7576945245457592E-3</c:v>
                </c:pt>
                <c:pt idx="2">
                  <c:v>1.5133968967211036E-4</c:v>
                </c:pt>
                <c:pt idx="3">
                  <c:v>3.4419623327164528E-2</c:v>
                </c:pt>
                <c:pt idx="4">
                  <c:v>0.21988943858648224</c:v>
                </c:pt>
                <c:pt idx="5">
                  <c:v>1.892195968710126E-2</c:v>
                </c:pt>
                <c:pt idx="6">
                  <c:v>7.1854890351226539E-4</c:v>
                </c:pt>
              </c:numCache>
            </c:numRef>
          </c:val>
        </c:ser>
        <c:ser>
          <c:idx val="1"/>
          <c:order val="1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return'!$S$102:$S$108</c:f>
              <c:numCache>
                <c:formatCode>0.0%</c:formatCode>
                <c:ptCount val="7"/>
                <c:pt idx="0">
                  <c:v>0.16776482283255709</c:v>
                </c:pt>
                <c:pt idx="1">
                  <c:v>3.1667930281765191E-2</c:v>
                </c:pt>
                <c:pt idx="2">
                  <c:v>4.1091085108931214E-3</c:v>
                </c:pt>
                <c:pt idx="3">
                  <c:v>9.3563586786974962E-2</c:v>
                </c:pt>
                <c:pt idx="4">
                  <c:v>0.10490974999527941</c:v>
                </c:pt>
                <c:pt idx="5">
                  <c:v>5.21156003706379E-2</c:v>
                </c:pt>
                <c:pt idx="6">
                  <c:v>8.1673595861732028E-3</c:v>
                </c:pt>
              </c:numCache>
            </c:numRef>
          </c:val>
        </c:ser>
        <c:ser>
          <c:idx val="2"/>
          <c:order val="2"/>
          <c:cat>
            <c:strRef>
              <c:f>'Samenvatting mixen - return'!$Q$102:$Q$108</c:f>
              <c:strCache>
                <c:ptCount val="7"/>
                <c:pt idx="0">
                  <c:v>High Yield</c:v>
                </c:pt>
                <c:pt idx="1">
                  <c:v>Emerging market debt</c:v>
                </c:pt>
                <c:pt idx="2">
                  <c:v>Aandelen ontwikkeld</c:v>
                </c:pt>
                <c:pt idx="3">
                  <c:v>Aandelen opkomend</c:v>
                </c:pt>
                <c:pt idx="4">
                  <c:v>Commodities</c:v>
                </c:pt>
                <c:pt idx="5">
                  <c:v>Hedge funds</c:v>
                </c:pt>
                <c:pt idx="6">
                  <c:v>Onroerend goed</c:v>
                </c:pt>
              </c:strCache>
            </c:strRef>
          </c:cat>
          <c:val>
            <c:numRef>
              <c:f>'Samenvatting mixen - return'!$T$102:$T$108</c:f>
              <c:numCache>
                <c:formatCode>0.0%</c:formatCode>
                <c:ptCount val="7"/>
                <c:pt idx="0">
                  <c:v>0.15663699052727331</c:v>
                </c:pt>
                <c:pt idx="1">
                  <c:v>3.4280162314284025E-2</c:v>
                </c:pt>
                <c:pt idx="2">
                  <c:v>4.2906394924869659E-3</c:v>
                </c:pt>
                <c:pt idx="3">
                  <c:v>8.9314274216169803E-2</c:v>
                </c:pt>
                <c:pt idx="4">
                  <c:v>0.10990813567574753</c:v>
                </c:pt>
                <c:pt idx="5">
                  <c:v>5.5428350881130309E-2</c:v>
                </c:pt>
                <c:pt idx="6">
                  <c:v>9.6393780729801103E-3</c:v>
                </c:pt>
              </c:numCache>
            </c:numRef>
          </c:val>
        </c:ser>
        <c:overlap val="100"/>
        <c:axId val="475218688"/>
        <c:axId val="475220608"/>
      </c:barChart>
      <c:lineChart>
        <c:grouping val="standard"/>
        <c:ser>
          <c:idx val="3"/>
          <c:order val="3"/>
          <c:tx>
            <c:strRef>
              <c:f>'Control panel'!$W$4:$W$10</c:f>
              <c:strCache>
                <c:ptCount val="1"/>
                <c:pt idx="0">
                  <c:v>High Yield Emerging market debt Aandelen ontwikkeld Aandelen opkomend Commodities Hedge funds Onroerend goed</c:v>
                </c:pt>
              </c:strCache>
            </c:strRef>
          </c:tx>
          <c:spPr>
            <a:ln>
              <a:noFill/>
            </a:ln>
          </c:spPr>
          <c:marker>
            <c:symbol val="circle"/>
            <c:size val="8"/>
            <c:spPr>
              <a:solidFill>
                <a:schemeClr val="tx2"/>
              </a:solidFill>
            </c:spPr>
          </c:marker>
          <c:val>
            <c:numRef>
              <c:f>'Control panel'!$X$4:$X$10</c:f>
              <c:numCache>
                <c:formatCode>0.0%</c:formatCode>
                <c:ptCount val="7"/>
                <c:pt idx="0">
                  <c:v>0.2199703193771177</c:v>
                </c:pt>
                <c:pt idx="1">
                  <c:v>0.21320013768558083</c:v>
                </c:pt>
                <c:pt idx="2">
                  <c:v>0.2313116786840628</c:v>
                </c:pt>
                <c:pt idx="3">
                  <c:v>0.1147731419357</c:v>
                </c:pt>
                <c:pt idx="4">
                  <c:v>4.6641620673837786E-2</c:v>
                </c:pt>
                <c:pt idx="5">
                  <c:v>6.8922944445396317E-2</c:v>
                </c:pt>
                <c:pt idx="6">
                  <c:v>0.10518015719830477</c:v>
                </c:pt>
              </c:numCache>
            </c:numRef>
          </c:val>
        </c:ser>
        <c:marker val="1"/>
        <c:axId val="475218688"/>
        <c:axId val="475220608"/>
      </c:lineChart>
      <c:catAx>
        <c:axId val="475218688"/>
        <c:scaling>
          <c:orientation val="minMax"/>
        </c:scaling>
        <c:axPos val="b"/>
        <c:numFmt formatCode="General" sourceLinked="1"/>
        <c:tickLblPos val="nextTo"/>
        <c:crossAx val="475220608"/>
        <c:crosses val="autoZero"/>
        <c:auto val="1"/>
        <c:lblAlgn val="ctr"/>
        <c:lblOffset val="100"/>
      </c:catAx>
      <c:valAx>
        <c:axId val="475220608"/>
        <c:scaling>
          <c:orientation val="minMax"/>
        </c:scaling>
        <c:axPos val="l"/>
        <c:majorGridlines/>
        <c:numFmt formatCode="0%" sourceLinked="0"/>
        <c:tickLblPos val="nextTo"/>
        <c:crossAx val="475218688"/>
        <c:crosses val="autoZero"/>
        <c:crossBetween val="between"/>
      </c:valAx>
    </c:plotArea>
    <c:plotVisOnly val="1"/>
    <c:dispBlanksAs val="gap"/>
  </c:chart>
  <c:spPr>
    <a:ln>
      <a:noFill/>
    </a:ln>
  </c:spPr>
  <c:printSettings>
    <c:headerFooter/>
    <c:pageMargins b="0.7500000000000101" l="0.70000000000000062" r="0.70000000000000062" t="0.750000000000010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Na verwerking visies</a:t>
            </a:r>
          </a:p>
        </c:rich>
      </c:tx>
      <c:layout>
        <c:manualLayout>
          <c:xMode val="edge"/>
          <c:yMode val="edge"/>
          <c:x val="0.20676291451451539"/>
          <c:y val="3.7664783427495296E-2"/>
        </c:manualLayout>
      </c:layout>
    </c:title>
    <c:plotArea>
      <c:layout>
        <c:manualLayout>
          <c:layoutTarget val="inner"/>
          <c:xMode val="edge"/>
          <c:yMode val="edge"/>
          <c:x val="0.16043497720679653"/>
          <c:y val="0.23251750989690109"/>
          <c:w val="0.5562682138416909"/>
          <c:h val="0.69258218413304906"/>
        </c:manualLayout>
      </c:layout>
      <c:ofPieChart>
        <c:ofPieType val="pie"/>
        <c:varyColors val="1"/>
        <c:ser>
          <c:idx val="0"/>
          <c:order val="0"/>
          <c:dLbls>
            <c:dLbl>
              <c:idx val="2"/>
              <c:layout>
                <c:manualLayout>
                  <c:x val="2.0184399476352546E-2"/>
                  <c:y val="1.7344781054910541E-2"/>
                </c:manualLayout>
              </c:layout>
              <c:showVal val="1"/>
            </c:dLbl>
            <c:dLbl>
              <c:idx val="3"/>
              <c:layout>
                <c:manualLayout>
                  <c:x val="0.12847275135033495"/>
                  <c:y val="-9.8764773047438248E-2"/>
                </c:manualLayout>
              </c:layout>
              <c:showVal val="1"/>
            </c:dLbl>
            <c:dLbl>
              <c:idx val="4"/>
              <c:layout>
                <c:manualLayout>
                  <c:x val="0.18151032546168941"/>
                  <c:y val="-3.0733870130640491E-2"/>
                </c:manualLayout>
              </c:layout>
              <c:showVal val="1"/>
            </c:dLbl>
            <c:showVal val="1"/>
            <c:showLeaderLines val="1"/>
          </c:dLbls>
          <c:cat>
            <c:strRef>
              <c:f>'Samenvatting mixen'!$A$109:$A$116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'Samenvatting mixen'!$B$109:$B$116</c:f>
              <c:numCache>
                <c:formatCode>0.0%</c:formatCode>
                <c:ptCount val="8"/>
                <c:pt idx="0">
                  <c:v>0.57446773586607058</c:v>
                </c:pt>
                <c:pt idx="1">
                  <c:v>0.17463533069014747</c:v>
                </c:pt>
                <c:pt idx="2">
                  <c:v>1.7111598310957168E-2</c:v>
                </c:pt>
                <c:pt idx="3">
                  <c:v>1.8072320878297075E-3</c:v>
                </c:pt>
                <c:pt idx="4">
                  <c:v>5.2738284925458699E-2</c:v>
                </c:pt>
                <c:pt idx="5">
                  <c:v>0.13426825055505817</c:v>
                </c:pt>
                <c:pt idx="6">
                  <c:v>3.0129418415718142E-2</c:v>
                </c:pt>
                <c:pt idx="7">
                  <c:v>3.7487700182925196E-3</c:v>
                </c:pt>
              </c:numCache>
            </c:numRef>
          </c:val>
        </c:ser>
        <c:gapWidth val="100"/>
        <c:splitType val="pos"/>
        <c:splitPos val="7"/>
        <c:secondPieSize val="75"/>
        <c:serLines/>
      </c:ofPieChart>
    </c:plotArea>
    <c:plotVisOnly val="1"/>
  </c:chart>
  <c:spPr>
    <a:ln>
      <a:noFill/>
    </a:ln>
  </c:spPr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Absoluut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IC'!$C$49</c:f>
              <c:strCache>
                <c:ptCount val="1"/>
                <c:pt idx="0">
                  <c:v>Historisch 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IC'!$C$50:$C$57</c:f>
              <c:numCache>
                <c:formatCode>0.0%</c:formatCode>
                <c:ptCount val="8"/>
                <c:pt idx="0">
                  <c:v>4.4499999999999998E-2</c:v>
                </c:pt>
                <c:pt idx="1">
                  <c:v>8.5371817899603325E-2</c:v>
                </c:pt>
                <c:pt idx="2">
                  <c:v>0.14294511515742836</c:v>
                </c:pt>
                <c:pt idx="3">
                  <c:v>7.3688794074914882E-2</c:v>
                </c:pt>
                <c:pt idx="4">
                  <c:v>8.8200075364801303E-2</c:v>
                </c:pt>
                <c:pt idx="5">
                  <c:v>9.6125190679341666E-2</c:v>
                </c:pt>
                <c:pt idx="6">
                  <c:v>6.2658557549145399E-2</c:v>
                </c:pt>
                <c:pt idx="7">
                  <c:v>7.3464510927495008E-2</c:v>
                </c:pt>
              </c:numCache>
            </c:numRef>
          </c:val>
        </c:ser>
        <c:ser>
          <c:idx val="1"/>
          <c:order val="1"/>
          <c:tx>
            <c:strRef>
              <c:f>'output IC'!$D$49</c:f>
              <c:strCache>
                <c:ptCount val="1"/>
                <c:pt idx="0">
                  <c:v>Verwacht 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IC'!$D$50:$D$57</c:f>
              <c:numCache>
                <c:formatCode>0.0%</c:formatCode>
                <c:ptCount val="8"/>
                <c:pt idx="0">
                  <c:v>9.3000000000000096E-3</c:v>
                </c:pt>
                <c:pt idx="1">
                  <c:v>5.6265360838678849E-2</c:v>
                </c:pt>
                <c:pt idx="2">
                  <c:v>4.8236186870114238E-2</c:v>
                </c:pt>
                <c:pt idx="3">
                  <c:v>4.4755655663184818E-2</c:v>
                </c:pt>
                <c:pt idx="4">
                  <c:v>0.11547766137672615</c:v>
                </c:pt>
                <c:pt idx="5">
                  <c:v>8.8245130245983364E-2</c:v>
                </c:pt>
                <c:pt idx="6">
                  <c:v>3.2952299000522406E-2</c:v>
                </c:pt>
                <c:pt idx="7">
                  <c:v>3.9406691481015818E-2</c:v>
                </c:pt>
              </c:numCache>
            </c:numRef>
          </c:val>
        </c:ser>
        <c:axId val="475362432"/>
        <c:axId val="475363968"/>
      </c:barChart>
      <c:catAx>
        <c:axId val="475362432"/>
        <c:scaling>
          <c:orientation val="minMax"/>
        </c:scaling>
        <c:axPos val="l"/>
        <c:tickLblPos val="nextTo"/>
        <c:crossAx val="475363968"/>
        <c:crosses val="autoZero"/>
        <c:auto val="1"/>
        <c:lblAlgn val="ctr"/>
        <c:lblOffset val="100"/>
      </c:catAx>
      <c:valAx>
        <c:axId val="475363968"/>
        <c:scaling>
          <c:orientation val="minMax"/>
        </c:scaling>
        <c:axPos val="b"/>
        <c:majorGridlines/>
        <c:numFmt formatCode="0.0%" sourceLinked="1"/>
        <c:tickLblPos val="nextTo"/>
        <c:crossAx val="475362432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355" l="0.70000000000000062" r="0.70000000000000062" t="0.75000000000000355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Base Case</a:t>
            </a:r>
          </a:p>
        </c:rich>
      </c:tx>
      <c:layout>
        <c:manualLayout>
          <c:xMode val="edge"/>
          <c:yMode val="edge"/>
          <c:x val="0.35548085335487484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3"/>
          <c:y val="5.1400554097404488E-2"/>
          <c:w val="0.82164348206474691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8.8675101509747223E-2"/>
                  <c:y val="-8.686267944125389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6.3888888888888884E-2"/>
                  <c:y val="-6.944444444444450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0833333333333336"/>
                  <c:y val="-1.851851851851858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3.9886039886040002E-3"/>
                  <c:y val="1.5446314553885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2.4999999999999897E-2"/>
                  <c:y val="6.481481481481553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6866096866096866"/>
                  <c:y val="6.6008197085707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1.1111111111111125E-2"/>
                  <c:y val="-5.092592592592592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yVal>
        </c:ser>
        <c:axId val="475475328"/>
        <c:axId val="475497984"/>
      </c:scatterChart>
      <c:valAx>
        <c:axId val="47547532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12"/>
            </c:manualLayout>
          </c:layout>
        </c:title>
        <c:numFmt formatCode="0%" sourceLinked="0"/>
        <c:tickLblPos val="nextTo"/>
        <c:crossAx val="475497984"/>
        <c:crosses val="autoZero"/>
        <c:crossBetween val="midCat"/>
      </c:valAx>
      <c:valAx>
        <c:axId val="475497984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75475328"/>
        <c:crosses val="autoZero"/>
        <c:crossBetween val="midCat"/>
      </c:valAx>
    </c:plotArea>
    <c:plotVisOnly val="1"/>
  </c:chart>
  <c:printSettings>
    <c:headerFooter/>
    <c:pageMargins b="0.75000000000000411" l="0.70000000000000062" r="0.70000000000000062" t="0.75000000000000411" header="0.30000000000000032" footer="0.30000000000000032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Evenwicht</a:t>
            </a:r>
            <a:r>
              <a:rPr lang="en-US" baseline="0"/>
              <a:t> PF</a:t>
            </a:r>
            <a:endParaRPr lang="en-US"/>
          </a:p>
        </c:rich>
      </c:tx>
      <c:layout>
        <c:manualLayout>
          <c:xMode val="edge"/>
          <c:yMode val="edge"/>
          <c:x val="0.35548085335487517"/>
          <c:y val="1.5539305674456851E-2"/>
        </c:manualLayout>
      </c:layout>
      <c:overlay val="1"/>
      <c:spPr>
        <a:solidFill>
          <a:sysClr val="window" lastClr="FFFFFF"/>
        </a:solidFill>
      </c:spPr>
    </c:title>
    <c:plotArea>
      <c:layout>
        <c:manualLayout>
          <c:layoutTarget val="inner"/>
          <c:xMode val="edge"/>
          <c:yMode val="edge"/>
          <c:x val="0.12379396325459388"/>
          <c:y val="5.1400554097404488E-2"/>
          <c:w val="0.82164348206474713"/>
          <c:h val="0.8213732137649461"/>
        </c:manualLayout>
      </c:layout>
      <c:scatterChart>
        <c:scatterStyle val="lineMarker"/>
        <c:ser>
          <c:idx val="0"/>
          <c:order val="0"/>
          <c:spPr>
            <a:ln w="28575">
              <a:noFill/>
            </a:ln>
          </c:spPr>
          <c:dLbls>
            <c:dLbl>
              <c:idx val="0"/>
              <c:layout>
                <c:manualLayout>
                  <c:x val="-9.7222222222222224E-2"/>
                  <c:y val="-9.722222222222222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Nominale Matching</a:t>
                    </a:r>
                  </a:p>
                </c:rich>
              </c:tx>
              <c:showVal val="1"/>
            </c:dLbl>
            <c:dLbl>
              <c:idx val="1"/>
              <c:layout>
                <c:manualLayout>
                  <c:x val="-0.18639612356147958"/>
                  <c:y val="-0.12124247557045779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High Yield</a:t>
                    </a:r>
                  </a:p>
                </c:rich>
              </c:tx>
              <c:showVal val="1"/>
            </c:dLbl>
            <c:dLbl>
              <c:idx val="2"/>
              <c:layout>
                <c:manualLayout>
                  <c:x val="-0.15961549678085249"/>
                  <c:y val="7.3801505558870519E-3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EMD</a:t>
                    </a:r>
                  </a:p>
                </c:rich>
              </c:tx>
              <c:showVal val="1"/>
            </c:dLbl>
            <c:dLbl>
              <c:idx val="3"/>
              <c:layout>
                <c:manualLayout>
                  <c:x val="-0.17264957264957265"/>
                  <c:y val="1.0266545995733041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Ontwikkeld</a:t>
                    </a:r>
                  </a:p>
                </c:rich>
              </c:tx>
              <c:showVal val="1"/>
            </c:dLbl>
            <c:dLbl>
              <c:idx val="4"/>
              <c:layout>
                <c:manualLayout>
                  <c:x val="-2.5641025641025859E-2"/>
                  <c:y val="-6.7336991255980458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Aandelen Opkomend</a:t>
                    </a:r>
                  </a:p>
                </c:rich>
              </c:tx>
              <c:showVal val="1"/>
            </c:dLbl>
            <c:dLbl>
              <c:idx val="5"/>
              <c:layout>
                <c:manualLayout>
                  <c:x val="-3.3546896381542048E-2"/>
                  <c:y val="8.5533885270981505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Grondstoffen</a:t>
                    </a:r>
                  </a:p>
                </c:rich>
              </c:tx>
              <c:showVal val="1"/>
            </c:dLbl>
            <c:dLbl>
              <c:idx val="6"/>
              <c:layout>
                <c:manualLayout>
                  <c:x val="-0.10313390313390319"/>
                  <c:y val="9.190703987646864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Hedge</a:t>
                    </a:r>
                    <a:r>
                      <a:rPr lang="en-US" baseline="0"/>
                      <a:t> Funds</a:t>
                    </a:r>
                    <a:endParaRPr lang="en-US"/>
                  </a:p>
                </c:rich>
              </c:tx>
              <c:showVal val="1"/>
            </c:dLbl>
            <c:dLbl>
              <c:idx val="7"/>
              <c:layout>
                <c:manualLayout>
                  <c:x val="-8.5185185185185197E-2"/>
                  <c:y val="-9.2364246219278773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Vastgoed</a:t>
                    </a:r>
                  </a:p>
                </c:rich>
              </c:tx>
              <c:showVal val="1"/>
            </c:dLbl>
            <c:dLbl>
              <c:idx val="8"/>
              <c:delete val="1"/>
            </c:dLbl>
            <c:spPr>
              <a:solidFill>
                <a:sysClr val="window" lastClr="FFFFFF"/>
              </a:solidFill>
            </c:spPr>
            <c:showVal val="1"/>
          </c:dLbls>
          <c:trendline>
            <c:spPr>
              <a:ln w="25400">
                <a:prstDash val="dash"/>
              </a:ln>
            </c:spPr>
            <c:trendlineType val="linear"/>
          </c:trendline>
          <c:xVal>
            <c:numRef>
              <c:f>'output IC'!$I$50:$I$57</c:f>
              <c:numCache>
                <c:formatCode>0.0%</c:formatCode>
                <c:ptCount val="8"/>
                <c:pt idx="0">
                  <c:v>0.1023</c:v>
                </c:pt>
                <c:pt idx="1">
                  <c:v>0.15853561014014847</c:v>
                </c:pt>
                <c:pt idx="2">
                  <c:v>0.16217253275473525</c:v>
                </c:pt>
                <c:pt idx="3">
                  <c:v>0.28718972670468956</c:v>
                </c:pt>
                <c:pt idx="4">
                  <c:v>0.29616397669669142</c:v>
                </c:pt>
                <c:pt idx="5">
                  <c:v>0.32648216646211403</c:v>
                </c:pt>
                <c:pt idx="6">
                  <c:v>0.16076897495152093</c:v>
                </c:pt>
                <c:pt idx="7">
                  <c:v>0.20064050365322861</c:v>
                </c:pt>
              </c:numCache>
            </c:numRef>
          </c:xVal>
          <c:yVal>
            <c:numRef>
              <c:f>'output IC'!$C$3:$C$10</c:f>
              <c:numCache>
                <c:formatCode>0.0%</c:formatCode>
                <c:ptCount val="8"/>
                <c:pt idx="0">
                  <c:v>0</c:v>
                </c:pt>
                <c:pt idx="1">
                  <c:v>0.03</c:v>
                </c:pt>
                <c:pt idx="2">
                  <c:v>3.139819541969964E-2</c:v>
                </c:pt>
                <c:pt idx="3">
                  <c:v>5.6592124636374697E-2</c:v>
                </c:pt>
                <c:pt idx="4">
                  <c:v>5.6149706786613261E-2</c:v>
                </c:pt>
                <c:pt idx="5">
                  <c:v>5.1695827746959064E-2</c:v>
                </c:pt>
                <c:pt idx="6">
                  <c:v>2.8296106892401265E-2</c:v>
                </c:pt>
                <c:pt idx="7">
                  <c:v>3.9623116882628269E-2</c:v>
                </c:pt>
              </c:numCache>
            </c:numRef>
          </c:yVal>
        </c:ser>
        <c:axId val="475564288"/>
        <c:axId val="475595136"/>
      </c:scatterChart>
      <c:valAx>
        <c:axId val="475564288"/>
        <c:scaling>
          <c:orientation val="minMax"/>
          <c:max val="0.4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Volatility</a:t>
                </a:r>
              </a:p>
            </c:rich>
          </c:tx>
          <c:layout>
            <c:manualLayout>
              <c:xMode val="edge"/>
              <c:yMode val="edge"/>
              <c:x val="0.84751837270341213"/>
              <c:y val="0.79071741032371434"/>
            </c:manualLayout>
          </c:layout>
        </c:title>
        <c:numFmt formatCode="0%" sourceLinked="0"/>
        <c:tickLblPos val="nextTo"/>
        <c:crossAx val="475595136"/>
        <c:crosses val="autoZero"/>
        <c:crossBetween val="midCat"/>
      </c:valAx>
      <c:valAx>
        <c:axId val="475595136"/>
        <c:scaling>
          <c:orientation val="minMax"/>
        </c:scaling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Overrendement</a:t>
                </a:r>
              </a:p>
            </c:rich>
          </c:tx>
        </c:title>
        <c:numFmt formatCode="0%" sourceLinked="0"/>
        <c:tickLblPos val="nextTo"/>
        <c:crossAx val="475564288"/>
        <c:crosses val="autoZero"/>
        <c:crossBetween val="midCat"/>
      </c:valAx>
    </c:plotArea>
    <c:plotVisOnly val="1"/>
  </c:chart>
  <c:printSettings>
    <c:headerFooter/>
    <c:pageMargins b="0.75000000000000433" l="0.70000000000000062" r="0.70000000000000062" t="0.75000000000000433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Relatief Rendement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IC'!$G$49</c:f>
              <c:strCache>
                <c:ptCount val="1"/>
                <c:pt idx="0">
                  <c:v>Historisch overrendement in %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IC'!$G$50:$G$57</c:f>
              <c:numCache>
                <c:formatCode>0.0%</c:formatCode>
                <c:ptCount val="8"/>
                <c:pt idx="0">
                  <c:v>-8.7300000000000003E-2</c:v>
                </c:pt>
                <c:pt idx="1">
                  <c:v>-4.6468851830414513E-2</c:v>
                </c:pt>
                <c:pt idx="2">
                  <c:v>1.1104445427410514E-2</c:v>
                </c:pt>
                <c:pt idx="3">
                  <c:v>-5.8151875655102964E-2</c:v>
                </c:pt>
                <c:pt idx="4">
                  <c:v>-4.3640594365216501E-2</c:v>
                </c:pt>
                <c:pt idx="5">
                  <c:v>-3.571547905067618E-2</c:v>
                </c:pt>
                <c:pt idx="6">
                  <c:v>-6.9182112180872446E-2</c:v>
                </c:pt>
                <c:pt idx="7">
                  <c:v>-5.8376158802522837E-2</c:v>
                </c:pt>
              </c:numCache>
            </c:numRef>
          </c:val>
        </c:ser>
        <c:ser>
          <c:idx val="1"/>
          <c:order val="1"/>
          <c:tx>
            <c:strRef>
              <c:f>'output IC'!$H$49</c:f>
              <c:strCache>
                <c:ptCount val="1"/>
                <c:pt idx="0">
                  <c:v>Verwacht overrendement Base Case (2013-2015)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IC'!$H$50:$H$57</c:f>
              <c:numCache>
                <c:formatCode>0.0%</c:formatCode>
                <c:ptCount val="8"/>
                <c:pt idx="0">
                  <c:v>-3.2445168309994665E-3</c:v>
                </c:pt>
                <c:pt idx="1">
                  <c:v>3.2492969125133414E-2</c:v>
                </c:pt>
                <c:pt idx="2">
                  <c:v>1.45681608513176E-2</c:v>
                </c:pt>
                <c:pt idx="3">
                  <c:v>-1.272492445230269E-2</c:v>
                </c:pt>
                <c:pt idx="4">
                  <c:v>5.7893485302571407E-2</c:v>
                </c:pt>
                <c:pt idx="5">
                  <c:v>7.1858480605475325E-2</c:v>
                </c:pt>
                <c:pt idx="6">
                  <c:v>1.8730269708989476E-2</c:v>
                </c:pt>
                <c:pt idx="7">
                  <c:v>-5.9825766089863959E-3</c:v>
                </c:pt>
              </c:numCache>
            </c:numRef>
          </c:val>
        </c:ser>
        <c:axId val="475616000"/>
        <c:axId val="475617536"/>
      </c:barChart>
      <c:catAx>
        <c:axId val="475616000"/>
        <c:scaling>
          <c:orientation val="minMax"/>
        </c:scaling>
        <c:axPos val="l"/>
        <c:tickLblPos val="none"/>
        <c:crossAx val="475617536"/>
        <c:crosses val="autoZero"/>
        <c:auto val="1"/>
        <c:lblAlgn val="ctr"/>
        <c:lblOffset val="100"/>
      </c:catAx>
      <c:valAx>
        <c:axId val="475617536"/>
        <c:scaling>
          <c:orientation val="minMax"/>
        </c:scaling>
        <c:axPos val="b"/>
        <c:majorGridlines/>
        <c:numFmt formatCode="0.0%" sourceLinked="1"/>
        <c:tickLblPos val="nextTo"/>
        <c:crossAx val="475616000"/>
        <c:crosses val="autoZero"/>
        <c:crossBetween val="between"/>
      </c:valAx>
    </c:plotArea>
    <c:legend>
      <c:legendPos val="b"/>
    </c:legend>
    <c:plotVisOnly val="1"/>
  </c:chart>
  <c:spPr>
    <a:noFill/>
    <a:ln>
      <a:noFill/>
    </a:ln>
  </c:spPr>
  <c:printSettings>
    <c:headerFooter/>
    <c:pageMargins b="0.75000000000000377" l="0.70000000000000062" r="0.70000000000000062" t="0.75000000000000377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nl-NL"/>
  <c:chart>
    <c:title>
      <c:tx>
        <c:rich>
          <a:bodyPr/>
          <a:lstStyle/>
          <a:p>
            <a:pPr>
              <a:defRPr/>
            </a:pPr>
            <a:r>
              <a:rPr lang="en-US"/>
              <a:t>Information Ratio (relative)</a:t>
            </a:r>
          </a:p>
        </c:rich>
      </c:tx>
    </c:title>
    <c:plotArea>
      <c:layout/>
      <c:barChart>
        <c:barDir val="bar"/>
        <c:grouping val="clustered"/>
        <c:ser>
          <c:idx val="0"/>
          <c:order val="0"/>
          <c:tx>
            <c:strRef>
              <c:f>'output IC'!$J$49</c:f>
              <c:strCache>
                <c:ptCount val="1"/>
                <c:pt idx="0">
                  <c:v>Historische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IC'!$J$50:$J$57</c:f>
              <c:numCache>
                <c:formatCode>#,##0.00_ ;\-#,##0.00\ </c:formatCode>
                <c:ptCount val="8"/>
                <c:pt idx="0">
                  <c:v>-0.85337243401759533</c:v>
                </c:pt>
                <c:pt idx="1">
                  <c:v>-0.29311302230038522</c:v>
                </c:pt>
                <c:pt idx="2">
                  <c:v>6.8473034482383871E-2</c:v>
                </c:pt>
                <c:pt idx="3">
                  <c:v>-0.20248591870731911</c:v>
                </c:pt>
                <c:pt idx="4">
                  <c:v>-0.14735281060164138</c:v>
                </c:pt>
                <c:pt idx="5">
                  <c:v>-0.1093948849877554</c:v>
                </c:pt>
                <c:pt idx="6">
                  <c:v>-0.43032004279267166</c:v>
                </c:pt>
                <c:pt idx="7">
                  <c:v>-0.29094902444730519</c:v>
                </c:pt>
              </c:numCache>
            </c:numRef>
          </c:val>
        </c:ser>
        <c:ser>
          <c:idx val="1"/>
          <c:order val="1"/>
          <c:tx>
            <c:strRef>
              <c:f>'output IC'!$K$49</c:f>
              <c:strCache>
                <c:ptCount val="1"/>
                <c:pt idx="0">
                  <c:v>Base Case Information Ratio</c:v>
                </c:pt>
              </c:strCache>
            </c:strRef>
          </c:tx>
          <c:cat>
            <c:strRef>
              <c:f>'output IC'!$B$50:$B$57</c:f>
              <c:strCache>
                <c:ptCount val="8"/>
                <c:pt idx="0">
                  <c:v>Nominale matching</c:v>
                </c:pt>
                <c:pt idx="1">
                  <c:v>High Yield</c:v>
                </c:pt>
                <c:pt idx="2">
                  <c:v>Emerging market debt</c:v>
                </c:pt>
                <c:pt idx="3">
                  <c:v>Aandelen ontwikkeld</c:v>
                </c:pt>
                <c:pt idx="4">
                  <c:v>Aandelen opkomend</c:v>
                </c:pt>
                <c:pt idx="5">
                  <c:v>Commodities</c:v>
                </c:pt>
                <c:pt idx="6">
                  <c:v>Hedge funds</c:v>
                </c:pt>
                <c:pt idx="7">
                  <c:v>Onroerend goed</c:v>
                </c:pt>
              </c:strCache>
            </c:strRef>
          </c:cat>
          <c:val>
            <c:numRef>
              <c:f>'output IC'!$K$50:$K$57</c:f>
              <c:numCache>
                <c:formatCode>#,##0.00_ ;[Red]\-#,##0.00\ </c:formatCode>
                <c:ptCount val="8"/>
                <c:pt idx="0">
                  <c:v>-3.1715707047893123E-2</c:v>
                </c:pt>
                <c:pt idx="1">
                  <c:v>0.20495691218149042</c:v>
                </c:pt>
                <c:pt idx="2">
                  <c:v>8.9831247029668326E-2</c:v>
                </c:pt>
                <c:pt idx="3">
                  <c:v>-4.4308424950685758E-2</c:v>
                </c:pt>
                <c:pt idx="4">
                  <c:v>0.19547780911201601</c:v>
                </c:pt>
                <c:pt idx="5">
                  <c:v>0.22009925192595167</c:v>
                </c:pt>
                <c:pt idx="6">
                  <c:v>0.11650425534303178</c:v>
                </c:pt>
                <c:pt idx="7">
                  <c:v>-2.9817392301437873E-2</c:v>
                </c:pt>
              </c:numCache>
            </c:numRef>
          </c:val>
        </c:ser>
        <c:axId val="475671168"/>
        <c:axId val="475677056"/>
      </c:barChart>
      <c:catAx>
        <c:axId val="475671168"/>
        <c:scaling>
          <c:orientation val="minMax"/>
        </c:scaling>
        <c:axPos val="l"/>
        <c:tickLblPos val="high"/>
        <c:crossAx val="475677056"/>
        <c:crosses val="autoZero"/>
        <c:auto val="1"/>
        <c:lblAlgn val="ctr"/>
        <c:lblOffset val="100"/>
      </c:catAx>
      <c:valAx>
        <c:axId val="475677056"/>
        <c:scaling>
          <c:orientation val="minMax"/>
        </c:scaling>
        <c:axPos val="b"/>
        <c:majorGridlines/>
        <c:numFmt formatCode="#,##0.00_ ;\-#,##0.00\ " sourceLinked="1"/>
        <c:tickLblPos val="nextTo"/>
        <c:crossAx val="475671168"/>
        <c:crosses val="autoZero"/>
        <c:crossBetween val="between"/>
      </c:valAx>
    </c:plotArea>
    <c:legend>
      <c:legendPos val="b"/>
    </c:legend>
    <c:plotVisOnly val="1"/>
  </c:chart>
  <c:spPr>
    <a:ln>
      <a:noFill/>
    </a:ln>
  </c:spPr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png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Relationship Id="rId9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290511</xdr:colOff>
      <xdr:row>2</xdr:row>
      <xdr:rowOff>168089</xdr:rowOff>
    </xdr:from>
    <xdr:to>
      <xdr:col>17</xdr:col>
      <xdr:colOff>142592</xdr:colOff>
      <xdr:row>19</xdr:row>
      <xdr:rowOff>133351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219913</xdr:colOff>
      <xdr:row>26</xdr:row>
      <xdr:rowOff>1121</xdr:rowOff>
    </xdr:from>
    <xdr:to>
      <xdr:col>17</xdr:col>
      <xdr:colOff>46782</xdr:colOff>
      <xdr:row>34</xdr:row>
      <xdr:rowOff>129429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0</xdr:colOff>
      <xdr:row>36</xdr:row>
      <xdr:rowOff>132648</xdr:rowOff>
    </xdr:from>
    <xdr:to>
      <xdr:col>15</xdr:col>
      <xdr:colOff>547267</xdr:colOff>
      <xdr:row>54</xdr:row>
      <xdr:rowOff>32916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257173</xdr:colOff>
      <xdr:row>16</xdr:row>
      <xdr:rowOff>123265</xdr:rowOff>
    </xdr:from>
    <xdr:to>
      <xdr:col>23</xdr:col>
      <xdr:colOff>1275508</xdr:colOff>
      <xdr:row>33</xdr:row>
      <xdr:rowOff>46226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105894</xdr:colOff>
      <xdr:row>36</xdr:row>
      <xdr:rowOff>130969</xdr:rowOff>
    </xdr:from>
    <xdr:to>
      <xdr:col>23</xdr:col>
      <xdr:colOff>992280</xdr:colOff>
      <xdr:row>54</xdr:row>
      <xdr:rowOff>145536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495300</xdr:colOff>
      <xdr:row>25</xdr:row>
      <xdr:rowOff>28575</xdr:rowOff>
    </xdr:from>
    <xdr:to>
      <xdr:col>13</xdr:col>
      <xdr:colOff>114300</xdr:colOff>
      <xdr:row>41</xdr:row>
      <xdr:rowOff>133350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19050</xdr:colOff>
      <xdr:row>3</xdr:row>
      <xdr:rowOff>47625</xdr:rowOff>
    </xdr:from>
    <xdr:to>
      <xdr:col>28</xdr:col>
      <xdr:colOff>276225</xdr:colOff>
      <xdr:row>17</xdr:row>
      <xdr:rowOff>123825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38100</xdr:colOff>
      <xdr:row>18</xdr:row>
      <xdr:rowOff>95250</xdr:rowOff>
    </xdr:from>
    <xdr:to>
      <xdr:col>28</xdr:col>
      <xdr:colOff>295275</xdr:colOff>
      <xdr:row>32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295275</xdr:colOff>
      <xdr:row>18</xdr:row>
      <xdr:rowOff>95250</xdr:rowOff>
    </xdr:from>
    <xdr:to>
      <xdr:col>35</xdr:col>
      <xdr:colOff>600075</xdr:colOff>
      <xdr:row>32</xdr:row>
      <xdr:rowOff>171450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38100</xdr:colOff>
      <xdr:row>32</xdr:row>
      <xdr:rowOff>180975</xdr:rowOff>
    </xdr:from>
    <xdr:to>
      <xdr:col>28</xdr:col>
      <xdr:colOff>295275</xdr:colOff>
      <xdr:row>47</xdr:row>
      <xdr:rowOff>66675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28</xdr:col>
      <xdr:colOff>304800</xdr:colOff>
      <xdr:row>32</xdr:row>
      <xdr:rowOff>180975</xdr:rowOff>
    </xdr:from>
    <xdr:to>
      <xdr:col>36</xdr:col>
      <xdr:colOff>0</xdr:colOff>
      <xdr:row>47</xdr:row>
      <xdr:rowOff>66675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28</xdr:col>
      <xdr:colOff>276225</xdr:colOff>
      <xdr:row>3</xdr:row>
      <xdr:rowOff>47625</xdr:rowOff>
    </xdr:from>
    <xdr:to>
      <xdr:col>35</xdr:col>
      <xdr:colOff>581025</xdr:colOff>
      <xdr:row>17</xdr:row>
      <xdr:rowOff>123825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704850</xdr:colOff>
      <xdr:row>114</xdr:row>
      <xdr:rowOff>180974</xdr:rowOff>
    </xdr:from>
    <xdr:to>
      <xdr:col>15</xdr:col>
      <xdr:colOff>152400</xdr:colOff>
      <xdr:row>132</xdr:row>
      <xdr:rowOff>9525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933449</xdr:colOff>
      <xdr:row>114</xdr:row>
      <xdr:rowOff>180974</xdr:rowOff>
    </xdr:from>
    <xdr:to>
      <xdr:col>5</xdr:col>
      <xdr:colOff>704849</xdr:colOff>
      <xdr:row>132</xdr:row>
      <xdr:rowOff>9525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247650</xdr:colOff>
      <xdr:row>50</xdr:row>
      <xdr:rowOff>133350</xdr:rowOff>
    </xdr:from>
    <xdr:to>
      <xdr:col>28</xdr:col>
      <xdr:colOff>504825</xdr:colOff>
      <xdr:row>65</xdr:row>
      <xdr:rowOff>19050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29</xdr:col>
      <xdr:colOff>342900</xdr:colOff>
      <xdr:row>50</xdr:row>
      <xdr:rowOff>95250</xdr:rowOff>
    </xdr:from>
    <xdr:to>
      <xdr:col>37</xdr:col>
      <xdr:colOff>38100</xdr:colOff>
      <xdr:row>64</xdr:row>
      <xdr:rowOff>171450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544607</xdr:colOff>
      <xdr:row>27</xdr:row>
      <xdr:rowOff>136152</xdr:rowOff>
    </xdr:from>
    <xdr:to>
      <xdr:col>37</xdr:col>
      <xdr:colOff>372035</xdr:colOff>
      <xdr:row>47</xdr:row>
      <xdr:rowOff>133909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366989</xdr:colOff>
      <xdr:row>1</xdr:row>
      <xdr:rowOff>100855</xdr:rowOff>
    </xdr:from>
    <xdr:to>
      <xdr:col>26</xdr:col>
      <xdr:colOff>11765</xdr:colOff>
      <xdr:row>18</xdr:row>
      <xdr:rowOff>11208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29</xdr:col>
      <xdr:colOff>44824</xdr:colOff>
      <xdr:row>19</xdr:row>
      <xdr:rowOff>14008</xdr:rowOff>
    </xdr:from>
    <xdr:to>
      <xdr:col>36</xdr:col>
      <xdr:colOff>445433</xdr:colOff>
      <xdr:row>26</xdr:row>
      <xdr:rowOff>63874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321609</xdr:colOff>
      <xdr:row>60</xdr:row>
      <xdr:rowOff>73958</xdr:rowOff>
    </xdr:from>
    <xdr:to>
      <xdr:col>4</xdr:col>
      <xdr:colOff>35859</xdr:colOff>
      <xdr:row>77</xdr:row>
      <xdr:rowOff>147917</xdr:rowOff>
    </xdr:to>
    <xdr:graphicFrame macro="">
      <xdr:nvGraphicFramePr>
        <xdr:cNvPr id="9" name="Chart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547409</xdr:colOff>
      <xdr:row>37</xdr:row>
      <xdr:rowOff>14008</xdr:rowOff>
    </xdr:from>
    <xdr:to>
      <xdr:col>22</xdr:col>
      <xdr:colOff>24093</xdr:colOff>
      <xdr:row>49</xdr:row>
      <xdr:rowOff>179855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14</xdr:col>
      <xdr:colOff>480172</xdr:colOff>
      <xdr:row>52</xdr:row>
      <xdr:rowOff>9525</xdr:rowOff>
    </xdr:from>
    <xdr:to>
      <xdr:col>21</xdr:col>
      <xdr:colOff>561975</xdr:colOff>
      <xdr:row>64</xdr:row>
      <xdr:rowOff>175372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</xdr:col>
      <xdr:colOff>1210234</xdr:colOff>
      <xdr:row>60</xdr:row>
      <xdr:rowOff>22412</xdr:rowOff>
    </xdr:from>
    <xdr:to>
      <xdr:col>9</xdr:col>
      <xdr:colOff>930087</xdr:colOff>
      <xdr:row>75</xdr:row>
      <xdr:rowOff>168090</xdr:rowOff>
    </xdr:to>
    <xdr:graphicFrame macro="">
      <xdr:nvGraphicFramePr>
        <xdr:cNvPr id="19" name="Chart 1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30</xdr:col>
      <xdr:colOff>403411</xdr:colOff>
      <xdr:row>12</xdr:row>
      <xdr:rowOff>156883</xdr:rowOff>
    </xdr:from>
    <xdr:to>
      <xdr:col>36</xdr:col>
      <xdr:colOff>265018</xdr:colOff>
      <xdr:row>16</xdr:row>
      <xdr:rowOff>121024</xdr:rowOff>
    </xdr:to>
    <xdr:pic>
      <xdr:nvPicPr>
        <xdr:cNvPr id="17409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8" cstate="print"/>
        <a:srcRect/>
        <a:stretch>
          <a:fillRect/>
        </a:stretch>
      </xdr:blipFill>
      <xdr:spPr bwMode="auto">
        <a:xfrm>
          <a:off x="24821029" y="2442883"/>
          <a:ext cx="3492313" cy="6477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>
    <xdr:from>
      <xdr:col>9</xdr:col>
      <xdr:colOff>1019735</xdr:colOff>
      <xdr:row>60</xdr:row>
      <xdr:rowOff>56031</xdr:rowOff>
    </xdr:from>
    <xdr:to>
      <xdr:col>12</xdr:col>
      <xdr:colOff>705971</xdr:colOff>
      <xdr:row>76</xdr:row>
      <xdr:rowOff>67235</xdr:rowOff>
    </xdr:to>
    <xdr:graphicFrame macro="">
      <xdr:nvGraphicFramePr>
        <xdr:cNvPr id="17" name="Chart 1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0.23541</cdr:x>
      <cdr:y>0.39694</cdr:y>
    </cdr:from>
    <cdr:to>
      <cdr:x>0.38875</cdr:x>
      <cdr:y>0.62056</cdr:y>
    </cdr:to>
    <cdr:cxnSp macro="">
      <cdr:nvCxnSpPr>
        <cdr:cNvPr id="2" name="Straight Arrow Connector 1"/>
        <cdr:cNvCxnSpPr/>
      </cdr:nvCxnSpPr>
      <cdr:spPr bwMode="auto">
        <a:xfrm xmlns:a="http://schemas.openxmlformats.org/drawingml/2006/main" flipV="1">
          <a:off x="1045431" y="973228"/>
          <a:ext cx="680966" cy="548282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  <cdr:relSizeAnchor xmlns:cdr="http://schemas.openxmlformats.org/drawingml/2006/chartDrawing">
    <cdr:from>
      <cdr:x>0.71696</cdr:x>
      <cdr:y>0.18373</cdr:y>
    </cdr:from>
    <cdr:to>
      <cdr:x>0.74964</cdr:x>
      <cdr:y>0.45338</cdr:y>
    </cdr:to>
    <cdr:cxnSp macro="">
      <cdr:nvCxnSpPr>
        <cdr:cNvPr id="3" name="Straight Arrow Connector 2"/>
        <cdr:cNvCxnSpPr/>
      </cdr:nvCxnSpPr>
      <cdr:spPr bwMode="auto">
        <a:xfrm xmlns:a="http://schemas.openxmlformats.org/drawingml/2006/main" flipV="1">
          <a:off x="3183956" y="450474"/>
          <a:ext cx="145128" cy="661140"/>
        </a:xfrm>
        <a:prstGeom xmlns:a="http://schemas.openxmlformats.org/drawingml/2006/main" prst="straightConnector1">
          <a:avLst/>
        </a:prstGeom>
        <a:solidFill xmlns:a="http://schemas.openxmlformats.org/drawingml/2006/main">
          <a:srgbClr val="4F81BD"/>
        </a:solidFill>
        <a:ln xmlns:a="http://schemas.openxmlformats.org/drawingml/2006/main" w="38100" cap="flat" cmpd="sng" algn="ctr">
          <a:solidFill>
            <a:srgbClr val="008E40"/>
          </a:solidFill>
          <a:prstDash val="solid"/>
          <a:round/>
          <a:headEnd type="none" w="med" len="med"/>
          <a:tailEnd type="arrow"/>
        </a:ln>
        <a:effectLst xmlns:a="http://schemas.openxmlformats.org/drawingml/2006/main"/>
        <a:extLst xmlns:a="http://schemas.openxmlformats.org/drawingml/2006/main">
          <a:ext uri="{AF507438-7753-43e0-B8FC-AC1667EBCBE1}">
            <a14:hiddenEffects xmlns:lc="http://schemas.openxmlformats.org/drawingml/2006/lockedCanvas" xmlns:a14="http://schemas.microsoft.com/office/drawing/2010/main" xmlns="" xmlns:p="http://schemas.openxmlformats.org/presentationml/2006/main" xmlns:r="http://schemas.openxmlformats.org/officeDocument/2006/relationships" xmlns:xdr="http://schemas.openxmlformats.org/drawingml/2006/spreadsheetDrawing">
              <a:effectLst>
                <a:outerShdw blurRad="63500" dist="38099" dir="2700000" algn="ctr" rotWithShape="0">
                  <a:schemeClr val="bg2">
                    <a:alpha val="74998"/>
                  </a:schemeClr>
                </a:outerShdw>
              </a:effectLst>
            </a14:hiddenEffects>
          </a:ext>
        </a:extLst>
      </cdr:spPr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fserver11\groups1\groups1\groups1\groups1\groups1\Projecten\Port2012\Excel\Portefeuilles2012_Zoetwaren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Parameters scenarios"/>
      <sheetName val="Parameters optimalisatie"/>
      <sheetName val="Samenvatting mixen"/>
      <sheetName val="Samenvatting mixen - return"/>
      <sheetName val="Positionering huidig"/>
      <sheetName val="Klantallocaties"/>
      <sheetName val="Kasstromen"/>
      <sheetName val="Evaluatie"/>
      <sheetName val="Portefeuilles2012_Zoetwaren"/>
    </sheetNames>
    <sheetDataSet>
      <sheetData sheetId="0">
        <row r="103">
          <cell r="A103" t="str">
            <v>B&amp;W</v>
          </cell>
        </row>
      </sheetData>
      <sheetData sheetId="1">
        <row r="47">
          <cell r="B47" t="str">
            <v>Matching portefeuille</v>
          </cell>
        </row>
      </sheetData>
      <sheetData sheetId="2"/>
      <sheetData sheetId="3"/>
      <sheetData sheetId="4"/>
      <sheetData sheetId="5"/>
      <sheetData sheetId="6"/>
      <sheetData sheetId="7">
        <row r="2">
          <cell r="B2" t="str">
            <v>Huidig</v>
          </cell>
        </row>
      </sheetData>
      <sheetData sheetId="8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7"/>
  <dimension ref="A1:X210"/>
  <sheetViews>
    <sheetView tabSelected="1" zoomScale="85" zoomScaleNormal="85" workbookViewId="0">
      <selection activeCell="G25" sqref="G25"/>
    </sheetView>
  </sheetViews>
  <sheetFormatPr defaultRowHeight="15"/>
  <cols>
    <col min="1" max="1" width="32.7109375" style="70" customWidth="1"/>
    <col min="2" max="6" width="15.7109375" style="70" customWidth="1"/>
    <col min="7" max="7" width="17.28515625" style="70" customWidth="1"/>
    <col min="8" max="22" width="9.140625" style="70"/>
    <col min="23" max="23" width="9.140625" style="123"/>
    <col min="24" max="24" width="20.42578125" style="123" bestFit="1" customWidth="1"/>
    <col min="25" max="16384" width="9.140625" style="70"/>
  </cols>
  <sheetData>
    <row r="1" spans="1:24" ht="15.75" thickBot="1">
      <c r="A1" s="127"/>
      <c r="B1" s="217" t="s">
        <v>100</v>
      </c>
      <c r="C1" s="376" t="s">
        <v>93</v>
      </c>
      <c r="D1" s="376"/>
      <c r="E1" s="377"/>
      <c r="F1" s="217" t="s">
        <v>123</v>
      </c>
      <c r="G1" s="217" t="s">
        <v>98</v>
      </c>
    </row>
    <row r="2" spans="1:24" ht="15.75" thickBot="1">
      <c r="A2" s="129"/>
      <c r="B2" s="218" t="s">
        <v>101</v>
      </c>
      <c r="C2" s="130" t="s">
        <v>91</v>
      </c>
      <c r="D2" s="131" t="s">
        <v>92</v>
      </c>
      <c r="E2" s="132" t="s">
        <v>23</v>
      </c>
      <c r="F2" s="218" t="s">
        <v>101</v>
      </c>
      <c r="G2" s="218" t="s">
        <v>101</v>
      </c>
    </row>
    <row r="3" spans="1:24">
      <c r="A3" s="133" t="str">
        <f>IF(Scenarios!A4&lt;&gt;"",Scenarios!A4,"")</f>
        <v>Nominale matching</v>
      </c>
      <c r="B3" s="207">
        <v>0.55552002657163746</v>
      </c>
      <c r="C3" s="267">
        <v>0</v>
      </c>
      <c r="D3" s="207">
        <v>1</v>
      </c>
      <c r="E3" s="135">
        <v>0.99</v>
      </c>
      <c r="F3" s="134">
        <f>IF('Samenvatting mixen'!B109&lt;&gt;"",'Samenvatting mixen'!B109,"")</f>
        <v>0.57446773586607058</v>
      </c>
      <c r="G3" s="134">
        <f>IF(A3&lt;&gt;"",+F3-B3,"")</f>
        <v>1.8947709294433124E-2</v>
      </c>
      <c r="H3" s="269"/>
      <c r="I3" s="407"/>
    </row>
    <row r="4" spans="1:24">
      <c r="A4" s="133" t="str">
        <f>IF(Scenarios!A5&lt;&gt;"",Scenarios!A5,"")</f>
        <v>High Yield</v>
      </c>
      <c r="B4" s="207">
        <v>9.7772401711769694E-2</v>
      </c>
      <c r="C4" s="267">
        <v>0</v>
      </c>
      <c r="D4" s="326">
        <v>1</v>
      </c>
      <c r="E4" s="135">
        <v>0.99</v>
      </c>
      <c r="F4" s="134">
        <f>IF('Samenvatting mixen'!B110&lt;&gt;"",'Samenvatting mixen'!B110,"")</f>
        <v>0.17463533069014747</v>
      </c>
      <c r="G4" s="134">
        <f t="shared" ref="G4:G14" si="0">IF(A4&lt;&gt;"",+F4-B4,"")</f>
        <v>7.6862928978377779E-2</v>
      </c>
      <c r="H4" s="270"/>
      <c r="I4" s="407"/>
      <c r="W4" s="123" t="str">
        <f>A4</f>
        <v>High Yield</v>
      </c>
      <c r="X4" s="124">
        <f>B4/SUM($B$4:$B$10)</f>
        <v>0.2199703193771177</v>
      </c>
    </row>
    <row r="5" spans="1:24">
      <c r="A5" s="133" t="str">
        <f>IF(Scenarios!A6&lt;&gt;"",Scenarios!A6,"")</f>
        <v>Emerging market debt</v>
      </c>
      <c r="B5" s="207">
        <v>9.4763191533410202E-2</v>
      </c>
      <c r="C5" s="267">
        <v>0</v>
      </c>
      <c r="D5" s="207">
        <v>1</v>
      </c>
      <c r="E5" s="135">
        <v>0.99</v>
      </c>
      <c r="F5" s="134">
        <f>IF('Samenvatting mixen'!B111&lt;&gt;"",'Samenvatting mixen'!B111,"")</f>
        <v>1.7111598310957168E-2</v>
      </c>
      <c r="G5" s="134">
        <f t="shared" si="0"/>
        <v>-7.7651593222453033E-2</v>
      </c>
      <c r="I5" s="407"/>
      <c r="W5" s="123" t="str">
        <f t="shared" ref="W5:W10" si="1">A5</f>
        <v>Emerging market debt</v>
      </c>
      <c r="X5" s="124">
        <f t="shared" ref="X5:X11" si="2">B5/SUM($B$4:$B$10)</f>
        <v>0.21320013768558083</v>
      </c>
    </row>
    <row r="6" spans="1:24">
      <c r="A6" s="133" t="str">
        <f>IF(Scenarios!A7&lt;&gt;"",Scenarios!A7,"")</f>
        <v>Aandelen ontwikkeld</v>
      </c>
      <c r="B6" s="326">
        <v>0.10281340879516217</v>
      </c>
      <c r="C6" s="267">
        <v>0</v>
      </c>
      <c r="D6" s="326">
        <v>1</v>
      </c>
      <c r="E6" s="135">
        <v>0.99</v>
      </c>
      <c r="F6" s="134">
        <f>IF('Samenvatting mixen'!B112&lt;&gt;"",'Samenvatting mixen'!B112,"")</f>
        <v>1.8072320878297075E-3</v>
      </c>
      <c r="G6" s="134">
        <f t="shared" si="0"/>
        <v>-0.10100617670733246</v>
      </c>
      <c r="H6" s="269"/>
      <c r="I6" s="407"/>
      <c r="W6" s="123" t="str">
        <f t="shared" si="1"/>
        <v>Aandelen ontwikkeld</v>
      </c>
      <c r="X6" s="124">
        <f t="shared" si="2"/>
        <v>0.2313116786840628</v>
      </c>
    </row>
    <row r="7" spans="1:24">
      <c r="A7" s="133" t="str">
        <f>IF(Scenarios!A8&lt;&gt;"",Scenarios!A8,"")</f>
        <v>Aandelen opkomend</v>
      </c>
      <c r="B7" s="326">
        <v>5.1014363077869621E-2</v>
      </c>
      <c r="C7" s="267">
        <v>0</v>
      </c>
      <c r="D7" s="326">
        <v>1</v>
      </c>
      <c r="E7" s="135">
        <v>0.99</v>
      </c>
      <c r="F7" s="134">
        <f>IF('Samenvatting mixen'!B113&lt;&gt;"",'Samenvatting mixen'!B113,"")</f>
        <v>5.2738284925458699E-2</v>
      </c>
      <c r="G7" s="134">
        <f t="shared" si="0"/>
        <v>1.7239218475890786E-3</v>
      </c>
      <c r="H7" s="269"/>
      <c r="I7" s="407"/>
      <c r="W7" s="123" t="str">
        <f t="shared" si="1"/>
        <v>Aandelen opkomend</v>
      </c>
      <c r="X7" s="124">
        <f t="shared" si="2"/>
        <v>0.1147731419357</v>
      </c>
    </row>
    <row r="8" spans="1:24">
      <c r="A8" s="133" t="str">
        <f>IF(Scenarios!A9&lt;&gt;"",Scenarios!A9,"")</f>
        <v>Commodities</v>
      </c>
      <c r="B8" s="326">
        <v>2.0731266317763185E-2</v>
      </c>
      <c r="C8" s="267">
        <v>0</v>
      </c>
      <c r="D8" s="326">
        <v>1</v>
      </c>
      <c r="E8" s="135">
        <v>0.99</v>
      </c>
      <c r="F8" s="134">
        <f>IF('Samenvatting mixen'!B114&lt;&gt;"",'Samenvatting mixen'!B114,"")</f>
        <v>0.13426825055505817</v>
      </c>
      <c r="G8" s="134">
        <f t="shared" si="0"/>
        <v>0.11353698423729498</v>
      </c>
      <c r="H8" s="269"/>
      <c r="I8" s="407"/>
      <c r="W8" s="123" t="str">
        <f t="shared" si="1"/>
        <v>Commodities</v>
      </c>
      <c r="X8" s="124">
        <f t="shared" si="2"/>
        <v>4.6641620673837786E-2</v>
      </c>
    </row>
    <row r="9" spans="1:24">
      <c r="A9" s="133" t="str">
        <f>IF(Scenarios!A10&lt;&gt;"",Scenarios!A10,"")</f>
        <v>Hedge funds</v>
      </c>
      <c r="B9" s="326">
        <v>3.0634868515694261E-2</v>
      </c>
      <c r="C9" s="267">
        <v>0</v>
      </c>
      <c r="D9" s="326">
        <v>1</v>
      </c>
      <c r="E9" s="135">
        <v>0.99</v>
      </c>
      <c r="F9" s="134">
        <f>IF('Samenvatting mixen'!B115&lt;&gt;"",'Samenvatting mixen'!B115,"")</f>
        <v>3.0129418415718142E-2</v>
      </c>
      <c r="G9" s="134">
        <f t="shared" si="0"/>
        <v>-5.054500999761187E-4</v>
      </c>
      <c r="I9" s="407"/>
      <c r="W9" s="123" t="str">
        <f t="shared" si="1"/>
        <v>Hedge funds</v>
      </c>
      <c r="X9" s="124">
        <f t="shared" si="2"/>
        <v>6.8922944445396317E-2</v>
      </c>
    </row>
    <row r="10" spans="1:24">
      <c r="A10" s="133" t="str">
        <f>IF(Scenarios!A11&lt;&gt;"",Scenarios!A11,"")</f>
        <v>Onroerend goed</v>
      </c>
      <c r="B10" s="326">
        <v>4.6750473476693498E-2</v>
      </c>
      <c r="C10" s="267">
        <v>0</v>
      </c>
      <c r="D10" s="326">
        <v>1</v>
      </c>
      <c r="E10" s="135">
        <v>0.99</v>
      </c>
      <c r="F10" s="134">
        <f>IF('Samenvatting mixen'!B116&lt;&gt;"",'Samenvatting mixen'!B116,"")</f>
        <v>3.7487700182925196E-3</v>
      </c>
      <c r="G10" s="134">
        <f t="shared" si="0"/>
        <v>-4.3001703458400979E-2</v>
      </c>
      <c r="I10" s="407"/>
      <c r="W10" s="123" t="str">
        <f t="shared" si="1"/>
        <v>Onroerend goed</v>
      </c>
      <c r="X10" s="124">
        <f t="shared" si="2"/>
        <v>0.10518015719830477</v>
      </c>
    </row>
    <row r="11" spans="1:24">
      <c r="A11" s="133" t="str">
        <f>IF(Scenarios!A12&lt;&gt;"",Scenarios!A12,"")</f>
        <v>Periferie bonds</v>
      </c>
      <c r="B11" s="326">
        <v>0</v>
      </c>
      <c r="C11" s="267">
        <v>0</v>
      </c>
      <c r="D11" s="326">
        <v>1</v>
      </c>
      <c r="E11" s="135">
        <v>0.99</v>
      </c>
      <c r="F11" s="134">
        <f>IF('Samenvatting mixen'!B117&lt;&gt;"",'Samenvatting mixen'!B117,"")</f>
        <v>1.1093379130467653E-2</v>
      </c>
      <c r="G11" s="134">
        <f t="shared" si="0"/>
        <v>1.1093379130467653E-2</v>
      </c>
      <c r="I11" s="407"/>
      <c r="X11" s="124">
        <f t="shared" si="2"/>
        <v>0</v>
      </c>
    </row>
    <row r="12" spans="1:24">
      <c r="A12" s="133" t="str">
        <f>IF(Scenarios!A13&lt;&gt;"",Scenarios!A13,"")</f>
        <v/>
      </c>
      <c r="B12" s="326"/>
      <c r="C12" s="267"/>
      <c r="D12" s="326"/>
      <c r="E12" s="135"/>
      <c r="F12" s="134" t="str">
        <f>IF('Samenvatting mixen'!B118&lt;&gt;"",'Samenvatting mixen'!B118,"")</f>
        <v/>
      </c>
      <c r="G12" s="134" t="str">
        <f t="shared" si="0"/>
        <v/>
      </c>
      <c r="X12" s="124"/>
    </row>
    <row r="13" spans="1:24">
      <c r="A13" s="133" t="str">
        <f>IF(Scenarios!A14&lt;&gt;"",Scenarios!A14,"")</f>
        <v/>
      </c>
      <c r="B13" s="326"/>
      <c r="C13" s="267"/>
      <c r="D13" s="326"/>
      <c r="E13" s="135"/>
      <c r="F13" s="134" t="str">
        <f>IF('Samenvatting mixen'!B119&lt;&gt;"",'Samenvatting mixen'!B119,"")</f>
        <v/>
      </c>
      <c r="G13" s="134" t="str">
        <f t="shared" si="0"/>
        <v/>
      </c>
      <c r="X13" s="124"/>
    </row>
    <row r="14" spans="1:24" ht="15.75" thickBot="1">
      <c r="A14" s="129" t="str">
        <f>IF(Scenarios!A15&lt;&gt;"",Scenarios!A15,"")</f>
        <v/>
      </c>
      <c r="B14" s="208"/>
      <c r="C14" s="268"/>
      <c r="D14" s="208"/>
      <c r="E14" s="137"/>
      <c r="F14" s="136" t="str">
        <f>IF('Samenvatting mixen'!B120&lt;&gt;"",'Samenvatting mixen'!B120,"")</f>
        <v/>
      </c>
      <c r="G14" s="136" t="str">
        <f t="shared" si="0"/>
        <v/>
      </c>
      <c r="X14" s="124"/>
    </row>
    <row r="15" spans="1:24" ht="15.75" thickBot="1">
      <c r="A15" s="138" t="s">
        <v>89</v>
      </c>
      <c r="B15" s="139">
        <f>Scenarios!C16</f>
        <v>9.982328696892509E-2</v>
      </c>
      <c r="C15" s="128"/>
      <c r="D15" s="140" t="s">
        <v>102</v>
      </c>
      <c r="E15" s="141">
        <v>0.99</v>
      </c>
      <c r="F15" s="128"/>
      <c r="X15" s="125"/>
    </row>
    <row r="16" spans="1:24">
      <c r="A16" s="162" t="s">
        <v>103</v>
      </c>
      <c r="B16" s="142">
        <v>0.03</v>
      </c>
      <c r="C16" s="128"/>
      <c r="D16" s="143"/>
      <c r="E16" s="144"/>
      <c r="F16" s="128"/>
    </row>
    <row r="17" spans="1:6">
      <c r="A17" s="128"/>
      <c r="B17" s="128"/>
      <c r="C17" s="128"/>
      <c r="D17" s="143"/>
      <c r="E17" s="144"/>
      <c r="F17" s="128"/>
    </row>
    <row r="18" spans="1:6">
      <c r="A18" s="128"/>
      <c r="B18" s="128"/>
      <c r="C18" s="128"/>
      <c r="D18" s="128"/>
      <c r="E18" s="128"/>
      <c r="F18" s="128"/>
    </row>
    <row r="19" spans="1:6">
      <c r="A19" s="303" t="s">
        <v>142</v>
      </c>
      <c r="B19" s="298">
        <f t="array" ref="B19">+MMULT(TRANSPOSE(F3:F10),MMULT(k,F3:F10))^(0.5)</f>
        <v>9.7176657530592001E-2</v>
      </c>
      <c r="C19" s="301"/>
      <c r="D19" s="301"/>
      <c r="E19" s="301"/>
      <c r="F19" s="206"/>
    </row>
    <row r="20" spans="1:6">
      <c r="A20" s="155"/>
      <c r="B20" s="206"/>
      <c r="C20" s="206"/>
      <c r="D20" s="206"/>
      <c r="E20" s="206"/>
      <c r="F20" s="155"/>
    </row>
    <row r="21" spans="1:6">
      <c r="A21" s="155"/>
      <c r="B21" s="153"/>
      <c r="C21" s="153"/>
      <c r="D21" s="153"/>
      <c r="E21" s="153"/>
      <c r="F21" s="144"/>
    </row>
    <row r="22" spans="1:6">
      <c r="A22" s="155"/>
      <c r="B22" s="153"/>
      <c r="C22" s="153"/>
      <c r="D22" s="153"/>
      <c r="E22" s="153"/>
      <c r="F22" s="144"/>
    </row>
    <row r="23" spans="1:6">
      <c r="A23" s="155"/>
      <c r="B23" s="153"/>
      <c r="C23" s="153"/>
      <c r="D23" s="153"/>
      <c r="E23" s="153"/>
      <c r="F23" s="144"/>
    </row>
    <row r="24" spans="1:6">
      <c r="A24" s="155"/>
      <c r="B24" s="153"/>
      <c r="C24" s="153"/>
      <c r="D24" s="153"/>
      <c r="E24" s="153"/>
      <c r="F24" s="144"/>
    </row>
    <row r="25" spans="1:6">
      <c r="A25" s="155"/>
      <c r="B25" s="155"/>
      <c r="C25" s="155"/>
      <c r="D25" s="155"/>
      <c r="E25" s="155"/>
      <c r="F25" s="144"/>
    </row>
    <row r="26" spans="1:6">
      <c r="A26" s="128"/>
      <c r="B26" s="128"/>
      <c r="C26" s="128"/>
      <c r="D26" s="128"/>
      <c r="E26" s="128"/>
      <c r="F26" s="128"/>
    </row>
    <row r="27" spans="1:6">
      <c r="A27" s="155" t="s">
        <v>14</v>
      </c>
      <c r="B27" s="156" t="s">
        <v>49</v>
      </c>
      <c r="C27" s="128"/>
      <c r="D27" s="128"/>
      <c r="E27" s="128"/>
      <c r="F27" s="128"/>
    </row>
    <row r="28" spans="1:6" ht="15.75" thickBot="1">
      <c r="A28" s="128"/>
      <c r="B28" s="128"/>
      <c r="C28" s="128"/>
      <c r="D28" s="128"/>
      <c r="E28" s="128"/>
      <c r="F28" s="128"/>
    </row>
    <row r="29" spans="1:6" ht="15.75" thickBot="1">
      <c r="A29" s="157" t="s">
        <v>93</v>
      </c>
      <c r="B29" s="158"/>
      <c r="C29" s="132" t="s">
        <v>106</v>
      </c>
      <c r="D29" s="128"/>
      <c r="E29" s="128"/>
      <c r="F29" s="128"/>
    </row>
    <row r="30" spans="1:6">
      <c r="A30" s="159" t="s">
        <v>105</v>
      </c>
      <c r="B30" s="134">
        <v>0</v>
      </c>
      <c r="C30" s="160">
        <v>0</v>
      </c>
      <c r="D30" s="128"/>
      <c r="E30" s="128"/>
      <c r="F30" s="128"/>
    </row>
    <row r="31" spans="1:6">
      <c r="A31" s="159" t="s">
        <v>104</v>
      </c>
      <c r="B31" s="134">
        <f>B15</f>
        <v>9.982328696892509E-2</v>
      </c>
      <c r="C31" s="160">
        <v>1</v>
      </c>
      <c r="D31" s="128"/>
      <c r="E31" s="128"/>
      <c r="F31" s="128"/>
    </row>
    <row r="32" spans="1:6" ht="15.75" thickBot="1">
      <c r="A32" s="161" t="s">
        <v>107</v>
      </c>
      <c r="B32" s="136">
        <v>0.02</v>
      </c>
      <c r="C32" s="149">
        <v>0</v>
      </c>
      <c r="D32" s="128"/>
      <c r="E32" s="128"/>
      <c r="F32" s="128"/>
    </row>
    <row r="33" spans="1:6">
      <c r="A33" s="128"/>
      <c r="B33" s="128"/>
      <c r="C33" s="128"/>
      <c r="D33" s="128"/>
      <c r="E33" s="128"/>
      <c r="F33" s="128"/>
    </row>
    <row r="34" spans="1:6">
      <c r="A34" s="191" t="s">
        <v>108</v>
      </c>
      <c r="B34" s="128"/>
      <c r="C34" s="128"/>
      <c r="D34" s="128"/>
      <c r="E34" s="128"/>
      <c r="F34" s="128"/>
    </row>
    <row r="35" spans="1:6">
      <c r="A35" s="162" t="s">
        <v>53</v>
      </c>
      <c r="B35" s="163">
        <v>0</v>
      </c>
      <c r="C35" s="128"/>
      <c r="D35" s="128"/>
      <c r="E35" s="128"/>
      <c r="F35" s="128"/>
    </row>
    <row r="36" spans="1:6">
      <c r="A36" s="162" t="s">
        <v>54</v>
      </c>
      <c r="B36" s="164">
        <v>2</v>
      </c>
      <c r="C36" s="128"/>
      <c r="D36" s="128"/>
      <c r="E36" s="128"/>
      <c r="F36" s="128"/>
    </row>
    <row r="37" spans="1:6">
      <c r="A37" s="128"/>
      <c r="B37" s="128"/>
      <c r="C37" s="128"/>
      <c r="D37" s="128"/>
      <c r="E37" s="128"/>
      <c r="F37" s="128"/>
    </row>
    <row r="38" spans="1:6">
      <c r="A38" s="70" t="s">
        <v>111</v>
      </c>
    </row>
    <row r="39" spans="1:6">
      <c r="A39" s="192" t="s">
        <v>109</v>
      </c>
      <c r="B39" s="165">
        <v>500</v>
      </c>
    </row>
    <row r="40" spans="1:6">
      <c r="A40" s="192" t="s">
        <v>110</v>
      </c>
      <c r="B40" s="165" t="s">
        <v>60</v>
      </c>
    </row>
    <row r="104" spans="1:1">
      <c r="A104" s="69" t="s">
        <v>14</v>
      </c>
    </row>
    <row r="105" spans="1:1">
      <c r="A105" s="70" t="s">
        <v>58</v>
      </c>
    </row>
    <row r="106" spans="1:1">
      <c r="A106" s="70" t="s">
        <v>49</v>
      </c>
    </row>
    <row r="107" spans="1:1">
      <c r="A107" s="70" t="s">
        <v>50</v>
      </c>
    </row>
    <row r="108" spans="1:1">
      <c r="A108" s="70" t="s">
        <v>51</v>
      </c>
    </row>
    <row r="110" spans="1:1">
      <c r="A110" s="165">
        <v>0</v>
      </c>
    </row>
    <row r="111" spans="1:1">
      <c r="A111" s="165">
        <v>1</v>
      </c>
    </row>
    <row r="112" spans="1:1">
      <c r="A112" s="165">
        <v>2</v>
      </c>
    </row>
    <row r="114" spans="1:1">
      <c r="A114" s="165" t="s">
        <v>60</v>
      </c>
    </row>
    <row r="115" spans="1:1">
      <c r="A115" s="165" t="s">
        <v>61</v>
      </c>
    </row>
    <row r="203" spans="1:6" ht="15.75" thickBot="1"/>
    <row r="204" spans="1:6">
      <c r="A204" s="145"/>
      <c r="B204" s="378" t="s">
        <v>98</v>
      </c>
      <c r="C204" s="376"/>
      <c r="D204" s="376"/>
      <c r="E204" s="377"/>
      <c r="F204" s="205" t="s">
        <v>99</v>
      </c>
    </row>
    <row r="205" spans="1:6" ht="15.75" thickBot="1">
      <c r="A205" s="146"/>
      <c r="B205" s="147" t="s">
        <v>94</v>
      </c>
      <c r="C205" s="148" t="s">
        <v>78</v>
      </c>
      <c r="D205" s="148" t="s">
        <v>95</v>
      </c>
      <c r="E205" s="149" t="s">
        <v>96</v>
      </c>
      <c r="F205" s="150"/>
    </row>
    <row r="206" spans="1:6">
      <c r="A206" s="151" t="s">
        <v>27</v>
      </c>
      <c r="B206" s="152">
        <v>-1E-3</v>
      </c>
      <c r="C206" s="153">
        <v>9.5665806092079075E-4</v>
      </c>
      <c r="D206" s="153">
        <v>-4.2098094805683751E-3</v>
      </c>
      <c r="E206" s="154">
        <v>-2.1826028553036574E-3</v>
      </c>
      <c r="F206" s="135">
        <v>0.6</v>
      </c>
    </row>
    <row r="207" spans="1:6">
      <c r="A207" s="151" t="s">
        <v>29</v>
      </c>
      <c r="B207" s="152">
        <v>-0.01</v>
      </c>
      <c r="C207" s="153">
        <v>-1.5821642227643869E-2</v>
      </c>
      <c r="D207" s="153">
        <v>2.4975428417868189E-2</v>
      </c>
      <c r="E207" s="154">
        <v>7.9322737499224957E-3</v>
      </c>
      <c r="F207" s="135">
        <v>0.4</v>
      </c>
    </row>
    <row r="208" spans="1:6">
      <c r="A208" s="151" t="s">
        <v>28</v>
      </c>
      <c r="B208" s="152">
        <v>9.9999999999999985E-3</v>
      </c>
      <c r="C208" s="153">
        <v>7.8062556418956319E-18</v>
      </c>
      <c r="D208" s="153">
        <v>-3.0000000000000002E-2</v>
      </c>
      <c r="E208" s="154">
        <v>-2.0000000000000004E-2</v>
      </c>
      <c r="F208" s="135">
        <v>0</v>
      </c>
    </row>
    <row r="209" spans="1:6" ht="15.75" thickBot="1">
      <c r="A209" s="151" t="s">
        <v>97</v>
      </c>
      <c r="B209" s="152">
        <v>1.0378578383895283E-2</v>
      </c>
      <c r="C209" s="153">
        <v>1.3858854184576361E-2</v>
      </c>
      <c r="D209" s="153">
        <v>1.3462277224022302E-3</v>
      </c>
      <c r="E209" s="154">
        <v>7.8027138965618484E-4</v>
      </c>
      <c r="F209" s="135">
        <v>0</v>
      </c>
    </row>
    <row r="210" spans="1:6" ht="15.75" thickBot="1">
      <c r="A210" s="158" t="s">
        <v>70</v>
      </c>
      <c r="B210" s="157"/>
      <c r="C210" s="166"/>
      <c r="D210" s="166"/>
      <c r="E210" s="167"/>
      <c r="F210" s="141">
        <v>0.95</v>
      </c>
    </row>
  </sheetData>
  <mergeCells count="2">
    <mergeCell ref="C1:E1"/>
    <mergeCell ref="B204:E204"/>
  </mergeCells>
  <dataValidations count="4">
    <dataValidation type="list" allowBlank="1" showInputMessage="1" showErrorMessage="1" sqref="B27">
      <formula1>$A$105:$A$108</formula1>
    </dataValidation>
    <dataValidation type="list" allowBlank="1" showInputMessage="1" showErrorMessage="1" sqref="C30:C32">
      <formula1>$A$110:$A$111</formula1>
    </dataValidation>
    <dataValidation type="list" allowBlank="1" showInputMessage="1" showErrorMessage="1" sqref="B36">
      <formula1>$A$110:$A$112</formula1>
    </dataValidation>
    <dataValidation type="list" allowBlank="1" showInputMessage="1" showErrorMessage="1" sqref="B40">
      <formula1>$A$114:$A$115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1:X116"/>
  <sheetViews>
    <sheetView zoomScale="85" zoomScaleNormal="85" workbookViewId="0">
      <selection activeCell="I20" sqref="I20"/>
    </sheetView>
  </sheetViews>
  <sheetFormatPr defaultRowHeight="12.75"/>
  <cols>
    <col min="1" max="1" width="24.5703125" style="3" customWidth="1"/>
    <col min="2" max="8" width="18.7109375" style="3" customWidth="1"/>
    <col min="9" max="9" width="21" style="3" customWidth="1"/>
    <col min="10" max="12" width="18.7109375" style="3" customWidth="1"/>
    <col min="13" max="13" width="18.140625" style="3" customWidth="1"/>
    <col min="14" max="14" width="15" style="3" customWidth="1"/>
    <col min="15" max="15" width="12.85546875" style="3" customWidth="1"/>
    <col min="16" max="18" width="9.140625" style="3"/>
    <col min="19" max="19" width="22" style="3" customWidth="1"/>
    <col min="20" max="24" width="15.7109375" style="3" customWidth="1"/>
    <col min="25" max="16384" width="9.140625" style="3"/>
  </cols>
  <sheetData>
    <row r="1" spans="1:21" ht="13.5" thickBot="1">
      <c r="B1" s="72"/>
      <c r="C1" s="72"/>
      <c r="D1" s="73"/>
    </row>
    <row r="2" spans="1:21" ht="15">
      <c r="A2" s="74"/>
      <c r="B2" s="265" t="s">
        <v>79</v>
      </c>
      <c r="C2" s="13" t="s">
        <v>79</v>
      </c>
      <c r="D2" s="266" t="s">
        <v>116</v>
      </c>
      <c r="E2" s="380" t="s">
        <v>117</v>
      </c>
      <c r="F2" s="381"/>
      <c r="G2" s="381"/>
      <c r="H2" s="381"/>
      <c r="I2" s="381"/>
      <c r="J2" s="381"/>
      <c r="K2" s="381"/>
      <c r="L2" s="381"/>
      <c r="M2" s="382"/>
      <c r="N2" s="382"/>
      <c r="O2" s="382"/>
      <c r="P2" s="383"/>
    </row>
    <row r="3" spans="1:21" ht="13.5" thickBot="1">
      <c r="A3" s="96"/>
      <c r="B3" s="97" t="s">
        <v>80</v>
      </c>
      <c r="C3" s="75" t="s">
        <v>82</v>
      </c>
      <c r="D3" s="75" t="s">
        <v>2</v>
      </c>
      <c r="E3" s="182" t="s">
        <v>71</v>
      </c>
      <c r="F3" s="5" t="s">
        <v>72</v>
      </c>
      <c r="G3" s="5" t="s">
        <v>73</v>
      </c>
      <c r="H3" s="5" t="s">
        <v>74</v>
      </c>
      <c r="I3" s="5" t="s">
        <v>75</v>
      </c>
      <c r="J3" s="5" t="s">
        <v>9</v>
      </c>
      <c r="K3" s="5" t="s">
        <v>76</v>
      </c>
      <c r="L3" s="5" t="s">
        <v>77</v>
      </c>
      <c r="M3" s="5" t="s">
        <v>164</v>
      </c>
      <c r="N3" s="5"/>
      <c r="O3" s="5"/>
      <c r="P3" s="27"/>
      <c r="S3" s="77"/>
      <c r="T3" s="71"/>
      <c r="U3" s="71"/>
    </row>
    <row r="4" spans="1:21">
      <c r="A4" s="362" t="s">
        <v>4</v>
      </c>
      <c r="B4" s="98">
        <f>IF('Control panel'!B3&lt;&gt;"",'Control panel'!B3,"")</f>
        <v>0.55552002657163746</v>
      </c>
      <c r="C4" s="168">
        <v>0</v>
      </c>
      <c r="D4" s="400">
        <v>4.3450149472468363E-2</v>
      </c>
      <c r="E4" s="401">
        <v>1</v>
      </c>
      <c r="F4" s="402">
        <v>0.5243300313487167</v>
      </c>
      <c r="G4" s="402">
        <v>0.5048621610682209</v>
      </c>
      <c r="H4" s="402">
        <v>0.25487540552021803</v>
      </c>
      <c r="I4" s="402">
        <v>0.29680815289592971</v>
      </c>
      <c r="J4" s="402">
        <v>0.25154461316198484</v>
      </c>
      <c r="K4" s="402">
        <v>0.48821319241673689</v>
      </c>
      <c r="L4" s="402">
        <v>0.39542796227510119</v>
      </c>
      <c r="M4" s="402">
        <v>0.47422188785278757</v>
      </c>
      <c r="N4" s="209"/>
      <c r="O4" s="209"/>
      <c r="P4" s="210"/>
      <c r="S4" s="79"/>
      <c r="T4" s="6"/>
      <c r="U4" s="80"/>
    </row>
    <row r="5" spans="1:21">
      <c r="A5" s="362" t="s">
        <v>5</v>
      </c>
      <c r="B5" s="99">
        <f>IF('Control panel'!B4&lt;&gt;"",'Control panel'!B4,"")</f>
        <v>9.7772401711769694E-2</v>
      </c>
      <c r="C5" s="168">
        <v>0.03</v>
      </c>
      <c r="D5" s="400">
        <v>0.15853561014014847</v>
      </c>
      <c r="E5" s="400">
        <v>0.52433003134871636</v>
      </c>
      <c r="F5" s="403">
        <v>1</v>
      </c>
      <c r="G5" s="403">
        <v>0.94338322745767289</v>
      </c>
      <c r="H5" s="403">
        <v>0.74070013517974964</v>
      </c>
      <c r="I5" s="403">
        <v>0.74187676376193956</v>
      </c>
      <c r="J5" s="403">
        <v>0.60846903584875156</v>
      </c>
      <c r="K5" s="403">
        <v>0.86668583493806206</v>
      </c>
      <c r="L5" s="403">
        <v>0.86259221475724557</v>
      </c>
      <c r="M5" s="403">
        <v>0.75906077754107681</v>
      </c>
      <c r="N5" s="327"/>
      <c r="O5" s="327"/>
      <c r="P5" s="328"/>
      <c r="S5" s="79"/>
      <c r="T5" s="6"/>
      <c r="U5" s="80"/>
    </row>
    <row r="6" spans="1:21">
      <c r="A6" s="362" t="s">
        <v>6</v>
      </c>
      <c r="B6" s="99">
        <f>IF('Control panel'!B5&lt;&gt;"",'Control panel'!B5,"")</f>
        <v>9.4763191533410202E-2</v>
      </c>
      <c r="C6" s="168">
        <v>3.139819541969964E-2</v>
      </c>
      <c r="D6" s="400">
        <v>0.16217253275473525</v>
      </c>
      <c r="E6" s="400">
        <v>0.50486216106822102</v>
      </c>
      <c r="F6" s="403">
        <v>0.943383227457673</v>
      </c>
      <c r="G6" s="403">
        <v>1</v>
      </c>
      <c r="H6" s="403">
        <v>0.77223648924957744</v>
      </c>
      <c r="I6" s="403">
        <v>0.79023745754825636</v>
      </c>
      <c r="J6" s="403">
        <v>0.63110682083437419</v>
      </c>
      <c r="K6" s="403">
        <v>0.87120901203593171</v>
      </c>
      <c r="L6" s="403">
        <v>0.86536847063850975</v>
      </c>
      <c r="M6" s="403">
        <v>0.72481655312346349</v>
      </c>
      <c r="N6" s="327"/>
      <c r="O6" s="327"/>
      <c r="P6" s="328"/>
      <c r="S6" s="79"/>
      <c r="T6" s="6"/>
      <c r="U6" s="80"/>
    </row>
    <row r="7" spans="1:21">
      <c r="A7" s="362" t="s">
        <v>7</v>
      </c>
      <c r="B7" s="99">
        <f>IF('Control panel'!B6&lt;&gt;"",'Control panel'!B6,"")</f>
        <v>0.10281340879516217</v>
      </c>
      <c r="C7" s="168">
        <v>5.6592124636374697E-2</v>
      </c>
      <c r="D7" s="400">
        <v>0.28718972670468956</v>
      </c>
      <c r="E7" s="400">
        <v>0.2548754055202187</v>
      </c>
      <c r="F7" s="403">
        <v>0.74070013517974975</v>
      </c>
      <c r="G7" s="403">
        <v>0.77223648924957744</v>
      </c>
      <c r="H7" s="403">
        <v>1</v>
      </c>
      <c r="I7" s="403">
        <v>0.81106497730540505</v>
      </c>
      <c r="J7" s="403">
        <v>0.69909036020626758</v>
      </c>
      <c r="K7" s="403">
        <v>0.74571542163255744</v>
      </c>
      <c r="L7" s="403">
        <v>0.88603334197313832</v>
      </c>
      <c r="M7" s="403">
        <v>0.62515021546234684</v>
      </c>
      <c r="N7" s="327"/>
      <c r="O7" s="327"/>
      <c r="P7" s="328"/>
      <c r="S7" s="79"/>
      <c r="T7" s="6"/>
      <c r="U7" s="80"/>
    </row>
    <row r="8" spans="1:21">
      <c r="A8" s="362" t="s">
        <v>8</v>
      </c>
      <c r="B8" s="99">
        <f>IF('Control panel'!B7&lt;&gt;"",'Control panel'!B7,"")</f>
        <v>5.1014363077869621E-2</v>
      </c>
      <c r="C8" s="168">
        <v>5.6149706786613261E-2</v>
      </c>
      <c r="D8" s="400">
        <v>0.29616397669669142</v>
      </c>
      <c r="E8" s="400">
        <v>0.29680815289593021</v>
      </c>
      <c r="F8" s="403">
        <v>0.74187676376193967</v>
      </c>
      <c r="G8" s="403">
        <v>0.79023745754825636</v>
      </c>
      <c r="H8" s="403">
        <v>0.81106497730540505</v>
      </c>
      <c r="I8" s="403">
        <v>0.99999999999999978</v>
      </c>
      <c r="J8" s="403">
        <v>0.63944069654526292</v>
      </c>
      <c r="K8" s="403">
        <v>0.64591301484464436</v>
      </c>
      <c r="L8" s="403">
        <v>0.78448428807756676</v>
      </c>
      <c r="M8" s="403">
        <v>0.51393319492259693</v>
      </c>
      <c r="N8" s="327"/>
      <c r="O8" s="327"/>
      <c r="P8" s="328"/>
      <c r="S8" s="79"/>
      <c r="T8" s="6"/>
      <c r="U8" s="80"/>
    </row>
    <row r="9" spans="1:21">
      <c r="A9" s="362" t="s">
        <v>9</v>
      </c>
      <c r="B9" s="99">
        <f>IF('Control panel'!B8&lt;&gt;"",'Control panel'!B8,"")</f>
        <v>2.0731266317763185E-2</v>
      </c>
      <c r="C9" s="168">
        <v>5.1695827746959064E-2</v>
      </c>
      <c r="D9" s="400">
        <v>0.32648216646211403</v>
      </c>
      <c r="E9" s="400">
        <v>0.25154461316198523</v>
      </c>
      <c r="F9" s="403">
        <v>0.60846903584875167</v>
      </c>
      <c r="G9" s="403">
        <v>0.6311068208343743</v>
      </c>
      <c r="H9" s="403">
        <v>0.69909036020626758</v>
      </c>
      <c r="I9" s="403">
        <v>0.63944069654526281</v>
      </c>
      <c r="J9" s="403">
        <v>0.99999999999999978</v>
      </c>
      <c r="K9" s="403">
        <v>0.57555638609831095</v>
      </c>
      <c r="L9" s="403">
        <v>0.6706441294402975</v>
      </c>
      <c r="M9" s="403">
        <v>0.49865020725851583</v>
      </c>
      <c r="N9" s="327"/>
      <c r="O9" s="327"/>
      <c r="P9" s="328"/>
      <c r="S9" s="79"/>
      <c r="T9" s="6"/>
      <c r="U9" s="80"/>
    </row>
    <row r="10" spans="1:21">
      <c r="A10" s="362" t="s">
        <v>10</v>
      </c>
      <c r="B10" s="99">
        <f>IF('Control panel'!B9&lt;&gt;"",'Control panel'!B9,"")</f>
        <v>3.0634868515694261E-2</v>
      </c>
      <c r="C10" s="168">
        <v>2.8296106892401265E-2</v>
      </c>
      <c r="D10" s="400">
        <v>0.16076897495152093</v>
      </c>
      <c r="E10" s="400">
        <v>0.488213192416737</v>
      </c>
      <c r="F10" s="403">
        <v>0.86668583493806206</v>
      </c>
      <c r="G10" s="403">
        <v>0.87120901203593182</v>
      </c>
      <c r="H10" s="403">
        <v>0.74571542163255744</v>
      </c>
      <c r="I10" s="403">
        <v>0.64591301484464425</v>
      </c>
      <c r="J10" s="403">
        <v>0.57555638609831083</v>
      </c>
      <c r="K10" s="403">
        <v>1.0000000000000002</v>
      </c>
      <c r="L10" s="403">
        <v>0.79740125449060317</v>
      </c>
      <c r="M10" s="403">
        <v>0.6990511874231996</v>
      </c>
      <c r="N10" s="327"/>
      <c r="O10" s="327"/>
      <c r="P10" s="328"/>
      <c r="S10" s="79"/>
      <c r="T10" s="6"/>
      <c r="U10" s="80"/>
    </row>
    <row r="11" spans="1:21">
      <c r="A11" s="362" t="s">
        <v>11</v>
      </c>
      <c r="B11" s="99">
        <f>IF('Control panel'!B10&lt;&gt;"",'Control panel'!B10,"")</f>
        <v>4.6750473476693498E-2</v>
      </c>
      <c r="C11" s="168">
        <v>3.9623116882628269E-2</v>
      </c>
      <c r="D11" s="400">
        <v>0.20064050365322861</v>
      </c>
      <c r="E11" s="400">
        <v>0.39542796227510135</v>
      </c>
      <c r="F11" s="403">
        <v>0.86259221475724557</v>
      </c>
      <c r="G11" s="403">
        <v>0.86536847063850963</v>
      </c>
      <c r="H11" s="403">
        <v>0.88603334197313832</v>
      </c>
      <c r="I11" s="403">
        <v>0.78448428807756676</v>
      </c>
      <c r="J11" s="403">
        <v>0.67064412944029761</v>
      </c>
      <c r="K11" s="403">
        <v>0.79740125449060328</v>
      </c>
      <c r="L11" s="403">
        <v>1.0000000000000002</v>
      </c>
      <c r="M11" s="403">
        <v>0.74626676152997484</v>
      </c>
      <c r="N11" s="327"/>
      <c r="O11" s="327"/>
      <c r="P11" s="328"/>
    </row>
    <row r="12" spans="1:21" s="260" customFormat="1">
      <c r="A12" s="404" t="s">
        <v>165</v>
      </c>
      <c r="B12" s="405">
        <f>IF('Control panel'!B11&lt;&gt;"",'Control panel'!B11,"")</f>
        <v>0</v>
      </c>
      <c r="C12" s="406">
        <v>2.5656887462827429E-2</v>
      </c>
      <c r="D12" s="400">
        <v>0.17312066928436093</v>
      </c>
      <c r="E12" s="400">
        <v>0.47422188785278774</v>
      </c>
      <c r="F12" s="403">
        <v>0.75906077754107693</v>
      </c>
      <c r="G12" s="403">
        <v>0.72481655312346349</v>
      </c>
      <c r="H12" s="403">
        <v>0.62515021546234673</v>
      </c>
      <c r="I12" s="403">
        <v>0.51393319492259693</v>
      </c>
      <c r="J12" s="403">
        <v>0.49865020725851572</v>
      </c>
      <c r="K12" s="403">
        <v>0.69905118742319949</v>
      </c>
      <c r="L12" s="403">
        <v>0.74626676152997495</v>
      </c>
      <c r="M12" s="403">
        <v>0.99999999999999989</v>
      </c>
      <c r="N12" s="327"/>
      <c r="O12" s="327"/>
      <c r="P12" s="328"/>
    </row>
    <row r="13" spans="1:21" s="260" customFormat="1">
      <c r="A13" s="362"/>
      <c r="B13" s="99" t="str">
        <f>IF('Control panel'!B12&lt;&gt;"",'Control panel'!B12,"")</f>
        <v/>
      </c>
      <c r="C13" s="168"/>
      <c r="D13" s="211"/>
      <c r="E13" s="211"/>
      <c r="F13" s="327"/>
      <c r="G13" s="327"/>
      <c r="H13" s="327"/>
      <c r="I13" s="327"/>
      <c r="J13" s="327"/>
      <c r="K13" s="327"/>
      <c r="L13" s="327"/>
      <c r="M13" s="327"/>
      <c r="N13" s="327"/>
      <c r="O13" s="327"/>
      <c r="P13" s="328"/>
    </row>
    <row r="14" spans="1:21" s="260" customFormat="1">
      <c r="A14" s="362"/>
      <c r="B14" s="99" t="str">
        <f>IF('Control panel'!B13&lt;&gt;"",'Control panel'!B13,"")</f>
        <v/>
      </c>
      <c r="C14" s="168"/>
      <c r="D14" s="211"/>
      <c r="E14" s="211"/>
      <c r="F14" s="327"/>
      <c r="G14" s="327"/>
      <c r="H14" s="327"/>
      <c r="I14" s="327"/>
      <c r="J14" s="327"/>
      <c r="K14" s="327"/>
      <c r="L14" s="327"/>
      <c r="M14" s="327"/>
      <c r="N14" s="327"/>
      <c r="O14" s="327"/>
      <c r="P14" s="328"/>
    </row>
    <row r="15" spans="1:21" s="260" customFormat="1" ht="13.5" thickBot="1">
      <c r="A15" s="363"/>
      <c r="B15" s="347" t="str">
        <f>IF('Control panel'!B14&lt;&gt;"",'Control panel'!B14,"")</f>
        <v/>
      </c>
      <c r="C15" s="331"/>
      <c r="D15" s="348"/>
      <c r="E15" s="348"/>
      <c r="F15" s="364"/>
      <c r="G15" s="364"/>
      <c r="H15" s="364"/>
      <c r="I15" s="364"/>
      <c r="J15" s="364"/>
      <c r="K15" s="364"/>
      <c r="L15" s="364"/>
      <c r="M15" s="364"/>
      <c r="N15" s="364"/>
      <c r="O15" s="364"/>
      <c r="P15" s="349"/>
    </row>
    <row r="16" spans="1:21">
      <c r="A16" s="79"/>
      <c r="B16" s="103" t="s">
        <v>89</v>
      </c>
      <c r="C16" s="80">
        <v>9.982328696892509E-2</v>
      </c>
      <c r="D16" s="78"/>
      <c r="E16" s="78"/>
      <c r="F16" s="78"/>
      <c r="G16" s="78"/>
      <c r="H16" s="78"/>
      <c r="I16" s="78"/>
      <c r="J16" s="78"/>
      <c r="K16" s="78"/>
      <c r="L16" s="81"/>
    </row>
    <row r="17" spans="1:24">
      <c r="A17" s="79" t="s">
        <v>85</v>
      </c>
    </row>
    <row r="18" spans="1:24">
      <c r="A18" s="82" t="s">
        <v>45</v>
      </c>
      <c r="B18" s="83" t="s">
        <v>58</v>
      </c>
      <c r="C18" s="94" t="s">
        <v>86</v>
      </c>
      <c r="H18" s="260"/>
    </row>
    <row r="19" spans="1:24">
      <c r="A19" s="82" t="s">
        <v>83</v>
      </c>
      <c r="B19" s="84" t="s">
        <v>4</v>
      </c>
      <c r="C19" s="190">
        <v>0</v>
      </c>
      <c r="H19" s="260"/>
    </row>
    <row r="20" spans="1:24">
      <c r="A20" s="82" t="s">
        <v>84</v>
      </c>
      <c r="B20" s="84" t="s">
        <v>5</v>
      </c>
      <c r="C20" s="190">
        <v>0.03</v>
      </c>
    </row>
    <row r="21" spans="1:24">
      <c r="D21" s="93"/>
      <c r="E21" s="93"/>
      <c r="G21" s="379"/>
      <c r="H21" s="379"/>
      <c r="I21" s="379"/>
      <c r="J21" s="379"/>
    </row>
    <row r="22" spans="1:24">
      <c r="D22" s="93"/>
      <c r="E22" s="93"/>
      <c r="S22" s="79"/>
      <c r="T22" s="379"/>
      <c r="U22" s="379"/>
      <c r="V22" s="379"/>
      <c r="W22" s="379"/>
      <c r="X22" s="379"/>
    </row>
    <row r="23" spans="1:24">
      <c r="D23" s="93"/>
      <c r="E23" s="93"/>
      <c r="S23" s="79"/>
      <c r="T23" s="245"/>
      <c r="U23" s="245"/>
      <c r="V23" s="245"/>
      <c r="W23" s="245"/>
      <c r="X23" s="245"/>
    </row>
    <row r="24" spans="1:24">
      <c r="D24" s="93"/>
      <c r="E24" s="93"/>
      <c r="S24" s="79"/>
      <c r="T24" s="245"/>
      <c r="U24" s="245"/>
      <c r="V24" s="245"/>
      <c r="W24" s="245"/>
      <c r="X24" s="245"/>
    </row>
    <row r="25" spans="1:24">
      <c r="D25" s="80"/>
      <c r="E25" s="93"/>
      <c r="F25" s="86"/>
      <c r="S25" s="77"/>
      <c r="T25" s="80"/>
      <c r="U25" s="80"/>
      <c r="V25" s="80"/>
      <c r="W25" s="80"/>
      <c r="X25" s="80"/>
    </row>
    <row r="26" spans="1:24" ht="13.5" thickBot="1">
      <c r="D26" s="93"/>
      <c r="E26" s="93"/>
      <c r="F26" s="77"/>
      <c r="S26" s="77"/>
      <c r="T26" s="80"/>
      <c r="U26" s="80"/>
      <c r="V26" s="80"/>
      <c r="W26" s="80"/>
      <c r="X26" s="80"/>
    </row>
    <row r="27" spans="1:24" ht="13.5" thickBot="1">
      <c r="A27" s="219" t="s">
        <v>115</v>
      </c>
      <c r="B27" s="255" t="s">
        <v>70</v>
      </c>
      <c r="C27" s="256" t="s">
        <v>112</v>
      </c>
      <c r="D27" s="256" t="s">
        <v>125</v>
      </c>
      <c r="E27" s="256" t="s">
        <v>126</v>
      </c>
      <c r="F27" s="256" t="s">
        <v>113</v>
      </c>
      <c r="G27" s="256" t="s">
        <v>114</v>
      </c>
      <c r="H27" s="257" t="s">
        <v>127</v>
      </c>
      <c r="I27" s="259" t="s">
        <v>30</v>
      </c>
      <c r="S27" s="77"/>
      <c r="T27" s="80"/>
      <c r="U27" s="80"/>
      <c r="V27" s="80"/>
      <c r="W27" s="80"/>
      <c r="X27" s="80"/>
    </row>
    <row r="28" spans="1:24">
      <c r="A28" s="14" t="str">
        <f>IF(A4&lt;&gt;"",A4,"")</f>
        <v>Nominale matching</v>
      </c>
      <c r="B28" s="21">
        <f>IF(C4&lt;&gt;"",C4,"")</f>
        <v>0</v>
      </c>
      <c r="C28" s="327">
        <v>-3.2445168309994665E-3</v>
      </c>
      <c r="D28" s="327">
        <v>-1.0761362748873404E-3</v>
      </c>
      <c r="E28" s="327">
        <v>-3.4179872754884488E-3</v>
      </c>
      <c r="F28" s="327">
        <v>-2.5720358328627513E-2</v>
      </c>
      <c r="G28" s="327">
        <v>-0.26287574291051119</v>
      </c>
      <c r="H28" s="328">
        <v>-3.2441343963196256E-3</v>
      </c>
      <c r="I28" s="330">
        <f>IF(A28&lt;&gt;"",+SUMPRODUCT(B28:H28,$B$41:$H$41),"")</f>
        <v>-3.2445168309994665E-3</v>
      </c>
      <c r="S28" s="77"/>
      <c r="T28" s="80"/>
      <c r="U28" s="80"/>
      <c r="V28" s="80"/>
      <c r="W28" s="80"/>
      <c r="X28" s="80"/>
    </row>
    <row r="29" spans="1:24">
      <c r="A29" s="18" t="str">
        <f t="shared" ref="A29:A39" si="0">IF(A5&lt;&gt;"",A5,"")</f>
        <v>High Yield</v>
      </c>
      <c r="B29" s="21">
        <f t="shared" ref="B29:B39" si="1">IF(C5&lt;&gt;"",C5,"")</f>
        <v>0.03</v>
      </c>
      <c r="C29" s="327">
        <v>3.2492969125133414E-2</v>
      </c>
      <c r="D29" s="327">
        <v>-8.65324500372157E-2</v>
      </c>
      <c r="E29" s="327">
        <v>5.1526244290784291E-2</v>
      </c>
      <c r="F29" s="327">
        <v>-0.43934344866388231</v>
      </c>
      <c r="G29" s="327">
        <v>-0.41627425662388229</v>
      </c>
      <c r="H29" s="328">
        <v>0.27529934429078429</v>
      </c>
      <c r="I29" s="168">
        <f t="shared" ref="I29:I39" si="2">IF(A29&lt;&gt;"",+SUMPRODUCT(B29:H29,$B$41:$H$41),"")</f>
        <v>3.2492969125133414E-2</v>
      </c>
      <c r="S29" s="77"/>
      <c r="T29" s="80"/>
      <c r="U29" s="80"/>
      <c r="V29" s="80"/>
      <c r="W29" s="80"/>
      <c r="X29" s="80"/>
    </row>
    <row r="30" spans="1:24">
      <c r="A30" s="18" t="str">
        <f t="shared" si="0"/>
        <v>Emerging market debt</v>
      </c>
      <c r="B30" s="21">
        <f t="shared" si="1"/>
        <v>3.139819541969964E-2</v>
      </c>
      <c r="C30" s="327">
        <v>1.45681608513176E-2</v>
      </c>
      <c r="D30" s="327">
        <v>-2.1111513867647543E-2</v>
      </c>
      <c r="E30" s="327">
        <v>3.2357333960853253E-3</v>
      </c>
      <c r="F30" s="327">
        <v>-0.41802644813429485</v>
      </c>
      <c r="G30" s="327">
        <v>-0.17149574156312622</v>
      </c>
      <c r="H30" s="328">
        <v>0.25817653707968463</v>
      </c>
      <c r="I30" s="168">
        <f t="shared" si="2"/>
        <v>1.45681608513176E-2</v>
      </c>
      <c r="S30" s="77"/>
      <c r="T30" s="80"/>
      <c r="U30" s="80"/>
      <c r="V30" s="80"/>
      <c r="W30" s="80"/>
      <c r="X30" s="80"/>
    </row>
    <row r="31" spans="1:24">
      <c r="A31" s="18" t="str">
        <f t="shared" si="0"/>
        <v>Aandelen ontwikkeld</v>
      </c>
      <c r="B31" s="21">
        <f t="shared" si="1"/>
        <v>5.6592124636374697E-2</v>
      </c>
      <c r="C31" s="327">
        <v>-1.272492445230269E-2</v>
      </c>
      <c r="D31" s="327">
        <v>-0.19311368459773193</v>
      </c>
      <c r="E31" s="327">
        <v>4.3944352615336905E-2</v>
      </c>
      <c r="F31" s="327">
        <v>-0.5992014650452413</v>
      </c>
      <c r="G31" s="327">
        <v>-0.47126055414190038</v>
      </c>
      <c r="H31" s="328">
        <v>0.40935864013329615</v>
      </c>
      <c r="I31" s="168">
        <f t="shared" si="2"/>
        <v>-1.272492445230269E-2</v>
      </c>
      <c r="J31" s="71"/>
    </row>
    <row r="32" spans="1:24">
      <c r="A32" s="18" t="str">
        <f t="shared" si="0"/>
        <v>Aandelen opkomend</v>
      </c>
      <c r="B32" s="21">
        <f t="shared" si="1"/>
        <v>5.6149706786613261E-2</v>
      </c>
      <c r="C32" s="327">
        <v>5.7893485302571407E-2</v>
      </c>
      <c r="D32" s="327">
        <v>-6.9261756645690273E-2</v>
      </c>
      <c r="E32" s="327">
        <v>7.474963400472559E-2</v>
      </c>
      <c r="F32" s="327">
        <v>-0.42661422498990775</v>
      </c>
      <c r="G32" s="327">
        <v>-0.26558788944909251</v>
      </c>
      <c r="H32" s="328">
        <v>0.37672139820686834</v>
      </c>
      <c r="I32" s="168">
        <f t="shared" si="2"/>
        <v>5.7893485302571407E-2</v>
      </c>
      <c r="J32" s="89"/>
      <c r="U32" s="90"/>
    </row>
    <row r="33" spans="1:21">
      <c r="A33" s="18" t="str">
        <f t="shared" si="0"/>
        <v>Commodities</v>
      </c>
      <c r="B33" s="21">
        <f t="shared" si="1"/>
        <v>5.1695827746959064E-2</v>
      </c>
      <c r="C33" s="327">
        <v>7.1858480605475325E-2</v>
      </c>
      <c r="D33" s="327">
        <v>1.202667991596415E-2</v>
      </c>
      <c r="E33" s="327">
        <v>8.5249207175964209E-2</v>
      </c>
      <c r="F33" s="327">
        <v>-0.52128297967070236</v>
      </c>
      <c r="G33" s="327">
        <v>-0.54077311463070243</v>
      </c>
      <c r="H33" s="328">
        <v>0.621322616702631</v>
      </c>
      <c r="I33" s="168">
        <f t="shared" si="2"/>
        <v>7.1858480605475325E-2</v>
      </c>
      <c r="J33" s="91"/>
      <c r="U33" s="90"/>
    </row>
    <row r="34" spans="1:21">
      <c r="A34" s="18" t="str">
        <f t="shared" si="0"/>
        <v>Hedge funds</v>
      </c>
      <c r="B34" s="21">
        <f t="shared" si="1"/>
        <v>2.8296106892401265E-2</v>
      </c>
      <c r="C34" s="327">
        <v>1.8730269708989476E-2</v>
      </c>
      <c r="D34" s="327">
        <v>-4.6790508294452839E-2</v>
      </c>
      <c r="E34" s="327">
        <v>1.8215216611987023E-2</v>
      </c>
      <c r="F34" s="327">
        <v>-0.25630468560846492</v>
      </c>
      <c r="G34" s="327">
        <v>-6.931471876793301E-3</v>
      </c>
      <c r="H34" s="328">
        <v>0.28021842301080391</v>
      </c>
      <c r="I34" s="168">
        <f t="shared" si="2"/>
        <v>1.8730269708989476E-2</v>
      </c>
      <c r="J34" s="91"/>
      <c r="U34" s="90"/>
    </row>
    <row r="35" spans="1:21">
      <c r="A35" s="18" t="str">
        <f t="shared" si="0"/>
        <v>Onroerend goed</v>
      </c>
      <c r="B35" s="21">
        <f t="shared" si="1"/>
        <v>3.9623116882628269E-2</v>
      </c>
      <c r="C35" s="327">
        <v>-5.9825766089863959E-3</v>
      </c>
      <c r="D35" s="327">
        <v>-0.13956067047136589</v>
      </c>
      <c r="E35" s="327">
        <v>2.7964399001126676E-2</v>
      </c>
      <c r="F35" s="327">
        <v>-0.45200242221105646</v>
      </c>
      <c r="G35" s="327">
        <v>-0.48031312669988807</v>
      </c>
      <c r="H35" s="328">
        <v>0.41038049782760322</v>
      </c>
      <c r="I35" s="168">
        <f t="shared" si="2"/>
        <v>-5.9825766089863959E-3</v>
      </c>
      <c r="J35" s="91"/>
      <c r="U35" s="90"/>
    </row>
    <row r="36" spans="1:21">
      <c r="A36" s="18" t="str">
        <f t="shared" si="0"/>
        <v>Periferie bonds</v>
      </c>
      <c r="B36" s="21">
        <f t="shared" si="1"/>
        <v>2.5656887462827429E-2</v>
      </c>
      <c r="C36" s="327">
        <v>3.8404573676165434E-3</v>
      </c>
      <c r="D36" s="327">
        <v>-0.14672572762255914</v>
      </c>
      <c r="E36" s="327">
        <v>2.2147204340377598E-2</v>
      </c>
      <c r="F36" s="327">
        <v>-0.34409214194437909</v>
      </c>
      <c r="G36" s="327">
        <v>-0.70677044028756997</v>
      </c>
      <c r="H36" s="328">
        <v>0.16161778235216684</v>
      </c>
      <c r="I36" s="168">
        <f t="shared" si="2"/>
        <v>3.8404573676165434E-3</v>
      </c>
      <c r="J36" s="91"/>
      <c r="U36" s="90"/>
    </row>
    <row r="37" spans="1:21">
      <c r="A37" s="18" t="str">
        <f t="shared" si="0"/>
        <v/>
      </c>
      <c r="B37" s="21" t="str">
        <f t="shared" si="1"/>
        <v/>
      </c>
      <c r="C37" s="327"/>
      <c r="D37" s="327"/>
      <c r="E37" s="327"/>
      <c r="F37" s="327"/>
      <c r="G37" s="327"/>
      <c r="H37" s="328"/>
      <c r="I37" s="168" t="str">
        <f t="shared" si="2"/>
        <v/>
      </c>
      <c r="J37" s="91"/>
      <c r="U37" s="90"/>
    </row>
    <row r="38" spans="1:21">
      <c r="A38" s="18" t="str">
        <f t="shared" si="0"/>
        <v/>
      </c>
      <c r="B38" s="21" t="str">
        <f t="shared" si="1"/>
        <v/>
      </c>
      <c r="C38" s="327"/>
      <c r="D38" s="327"/>
      <c r="E38" s="327"/>
      <c r="F38" s="327"/>
      <c r="G38" s="327"/>
      <c r="H38" s="328"/>
      <c r="I38" s="168" t="str">
        <f t="shared" si="2"/>
        <v/>
      </c>
      <c r="J38" s="91"/>
      <c r="U38" s="90"/>
    </row>
    <row r="39" spans="1:21" ht="13.5" thickBot="1">
      <c r="A39" s="341" t="str">
        <f t="shared" si="0"/>
        <v/>
      </c>
      <c r="B39" s="344" t="str">
        <f t="shared" si="1"/>
        <v/>
      </c>
      <c r="C39" s="329"/>
      <c r="D39" s="329"/>
      <c r="E39" s="329"/>
      <c r="F39" s="329"/>
      <c r="G39" s="329"/>
      <c r="H39" s="349"/>
      <c r="I39" s="331" t="str">
        <f t="shared" si="2"/>
        <v/>
      </c>
      <c r="J39" s="91"/>
    </row>
    <row r="40" spans="1:21" ht="13.5" thickBot="1">
      <c r="D40" s="93"/>
      <c r="E40" s="93"/>
      <c r="H40" s="79"/>
      <c r="I40" s="79"/>
      <c r="J40" s="79"/>
    </row>
    <row r="41" spans="1:21" ht="13.5" thickBot="1">
      <c r="A41" s="261" t="s">
        <v>122</v>
      </c>
      <c r="B41" s="258">
        <f>Optimalisatie!B13</f>
        <v>0</v>
      </c>
      <c r="C41" s="258">
        <f>Optimalisatie!C13</f>
        <v>1</v>
      </c>
      <c r="D41" s="258">
        <f>Optimalisatie!D13</f>
        <v>0</v>
      </c>
      <c r="E41" s="258">
        <f>Optimalisatie!E13</f>
        <v>0</v>
      </c>
      <c r="F41" s="258">
        <f>Optimalisatie!F13</f>
        <v>0</v>
      </c>
      <c r="G41" s="258">
        <f>Optimalisatie!G13</f>
        <v>0</v>
      </c>
      <c r="H41" s="258">
        <f>Optimalisatie!H13</f>
        <v>0</v>
      </c>
      <c r="I41" s="264">
        <f>+$B$41+((100%-$B$41)*(D41+E41+F41+G41+H41+C41))</f>
        <v>1</v>
      </c>
    </row>
    <row r="42" spans="1:21" ht="13.5" thickBot="1"/>
    <row r="43" spans="1:21" ht="13.5" thickBot="1">
      <c r="A43" s="261" t="s">
        <v>128</v>
      </c>
      <c r="B43" s="272">
        <f>SUMPRODUCT(B28:B39,'Control panel'!$F$3:$F$14)</f>
        <v>1.7066660696180604E-2</v>
      </c>
      <c r="C43" s="271">
        <f>SUMPRODUCT(C28:C39,'Control panel'!$F$3:$F$14)</f>
        <v>1.7322861875768026E-2</v>
      </c>
      <c r="D43" s="271">
        <f>SUMPRODUCT(D28:D39,'Control panel'!$F$3:$F$14)</f>
        <v>-2.2038662357749515E-2</v>
      </c>
      <c r="E43" s="271">
        <f>SUMPRODUCT(E28:E39,'Control panel'!$F$3:$F$14)</f>
        <v>2.3457328236569687E-2</v>
      </c>
      <c r="F43" s="271">
        <f>SUMPRODUCT(F28:F39,'Control panel'!$F$3:$F$14)</f>
        <v>-0.20546096634208744</v>
      </c>
      <c r="G43" s="271">
        <f>SUMPRODUCT(G28:G39,'Control panel'!$F$3:$F$14)</f>
        <v>-0.32396127569674815</v>
      </c>
      <c r="H43" s="271">
        <f>SUMPRODUCT(H28:H39,'Control panel'!$F$3:$F$14)</f>
        <v>0.16643662951919916</v>
      </c>
      <c r="I43" s="273">
        <f>SUMPRODUCT(I28:I39,'Control panel'!$F$3:$F$14)</f>
        <v>1.7322861875768026E-2</v>
      </c>
    </row>
    <row r="46" spans="1:21" ht="13.5" thickBot="1"/>
    <row r="47" spans="1:21" ht="13.5" thickBot="1">
      <c r="A47" s="262" t="s">
        <v>118</v>
      </c>
      <c r="B47" s="263">
        <v>8</v>
      </c>
    </row>
    <row r="48" spans="1:21" ht="13.5" thickBot="1">
      <c r="A48" s="262" t="s">
        <v>143</v>
      </c>
      <c r="B48" s="263">
        <v>9</v>
      </c>
    </row>
    <row r="53" spans="1:9">
      <c r="A53" s="260"/>
      <c r="B53" s="260"/>
      <c r="C53" s="260"/>
      <c r="D53" s="260"/>
      <c r="E53" s="260"/>
      <c r="F53" s="260"/>
      <c r="G53" s="260"/>
      <c r="H53" s="260"/>
      <c r="I53" s="260"/>
    </row>
    <row r="54" spans="1:9">
      <c r="A54" s="260"/>
      <c r="B54" s="260"/>
      <c r="C54" s="260"/>
      <c r="D54" s="260"/>
      <c r="E54" s="260"/>
      <c r="F54" s="260"/>
      <c r="G54" s="260"/>
      <c r="H54" s="260"/>
      <c r="I54" s="260"/>
    </row>
    <row r="55" spans="1:9">
      <c r="A55" s="260"/>
      <c r="B55" s="260"/>
      <c r="C55" s="260"/>
      <c r="D55" s="260"/>
      <c r="E55" s="260"/>
      <c r="F55" s="260"/>
      <c r="G55" s="260"/>
      <c r="H55" s="260"/>
      <c r="I55" s="260"/>
    </row>
    <row r="56" spans="1:9">
      <c r="A56" s="260"/>
      <c r="B56" s="260"/>
      <c r="C56" s="260"/>
      <c r="D56" s="260"/>
      <c r="E56" s="260"/>
      <c r="F56" s="260"/>
      <c r="G56" s="260"/>
      <c r="H56" s="260"/>
      <c r="I56" s="260"/>
    </row>
    <row r="57" spans="1:9">
      <c r="A57" s="260"/>
      <c r="B57" s="260"/>
      <c r="C57" s="260"/>
      <c r="D57" s="260"/>
      <c r="E57" s="260"/>
      <c r="F57" s="260"/>
      <c r="G57" s="260"/>
      <c r="H57" s="260"/>
      <c r="I57" s="260"/>
    </row>
    <row r="58" spans="1:9">
      <c r="A58" s="260"/>
      <c r="B58" s="260"/>
      <c r="C58" s="260"/>
      <c r="D58" s="260"/>
      <c r="E58" s="260"/>
      <c r="F58" s="260"/>
      <c r="G58" s="260"/>
      <c r="H58" s="260"/>
      <c r="I58" s="260"/>
    </row>
    <row r="59" spans="1:9">
      <c r="A59" s="260"/>
      <c r="B59" s="260"/>
      <c r="C59" s="260"/>
      <c r="D59" s="260"/>
      <c r="E59" s="260"/>
      <c r="F59" s="260"/>
      <c r="G59" s="260"/>
      <c r="H59" s="260"/>
      <c r="I59" s="260"/>
    </row>
    <row r="60" spans="1:9">
      <c r="A60" s="260"/>
      <c r="B60" s="260"/>
      <c r="C60" s="260"/>
      <c r="D60" s="260"/>
      <c r="E60" s="260"/>
      <c r="F60" s="260"/>
      <c r="G60" s="260"/>
      <c r="H60" s="260"/>
      <c r="I60" s="260"/>
    </row>
    <row r="61" spans="1:9">
      <c r="A61" s="260"/>
      <c r="B61" s="260"/>
      <c r="C61" s="260"/>
      <c r="D61" s="260"/>
      <c r="E61" s="260"/>
      <c r="F61" s="260"/>
      <c r="G61" s="260"/>
      <c r="H61" s="260"/>
      <c r="I61" s="260"/>
    </row>
    <row r="62" spans="1:9">
      <c r="A62" s="260"/>
      <c r="B62" s="260"/>
      <c r="C62" s="260"/>
      <c r="D62" s="260"/>
      <c r="E62" s="260"/>
      <c r="F62" s="260"/>
      <c r="G62" s="260"/>
      <c r="H62" s="260"/>
      <c r="I62" s="260"/>
    </row>
    <row r="63" spans="1:9">
      <c r="A63" s="260"/>
      <c r="B63" s="260"/>
      <c r="C63" s="260"/>
      <c r="D63" s="260"/>
      <c r="E63" s="260"/>
      <c r="F63" s="260"/>
      <c r="G63" s="260"/>
      <c r="H63" s="260"/>
      <c r="I63" s="260"/>
    </row>
    <row r="64" spans="1:9">
      <c r="A64" s="260"/>
      <c r="B64" s="260"/>
      <c r="C64" s="260"/>
      <c r="D64" s="260"/>
      <c r="E64" s="260"/>
      <c r="F64" s="260"/>
      <c r="G64" s="260"/>
      <c r="H64" s="260"/>
      <c r="I64" s="260"/>
    </row>
    <row r="65" spans="9:9">
      <c r="I65" s="260"/>
    </row>
    <row r="66" spans="9:9">
      <c r="I66" s="260"/>
    </row>
    <row r="67" spans="9:9">
      <c r="I67" s="260"/>
    </row>
    <row r="68" spans="9:9">
      <c r="I68" s="260"/>
    </row>
    <row r="69" spans="9:9">
      <c r="I69" s="260"/>
    </row>
    <row r="70" spans="9:9">
      <c r="I70" s="260"/>
    </row>
    <row r="97" spans="1:2">
      <c r="B97" s="94"/>
    </row>
    <row r="98" spans="1:2">
      <c r="B98" s="94"/>
    </row>
    <row r="100" spans="1:2">
      <c r="B100" s="94"/>
    </row>
    <row r="102" spans="1:2">
      <c r="A102" s="95" t="s">
        <v>81</v>
      </c>
    </row>
    <row r="103" spans="1:2">
      <c r="A103" s="3" t="s">
        <v>58</v>
      </c>
      <c r="B103" s="94">
        <v>0</v>
      </c>
    </row>
    <row r="104" spans="1:2">
      <c r="A104" s="3" t="str">
        <f>A4</f>
        <v>Nominale matching</v>
      </c>
      <c r="B104" s="94">
        <v>1</v>
      </c>
    </row>
    <row r="105" spans="1:2">
      <c r="A105" s="3" t="str">
        <f t="shared" ref="A105:A111" si="3">A5</f>
        <v>High Yield</v>
      </c>
      <c r="B105" s="94">
        <v>2</v>
      </c>
    </row>
    <row r="106" spans="1:2">
      <c r="A106" s="3" t="str">
        <f t="shared" si="3"/>
        <v>Emerging market debt</v>
      </c>
      <c r="B106" s="94">
        <v>3</v>
      </c>
    </row>
    <row r="107" spans="1:2">
      <c r="A107" s="3" t="str">
        <f t="shared" si="3"/>
        <v>Aandelen ontwikkeld</v>
      </c>
      <c r="B107" s="94">
        <v>4</v>
      </c>
    </row>
    <row r="108" spans="1:2">
      <c r="A108" s="3" t="str">
        <f t="shared" si="3"/>
        <v>Aandelen opkomend</v>
      </c>
      <c r="B108" s="94">
        <v>5</v>
      </c>
    </row>
    <row r="109" spans="1:2">
      <c r="A109" s="3" t="str">
        <f t="shared" si="3"/>
        <v>Commodities</v>
      </c>
      <c r="B109" s="94">
        <v>6</v>
      </c>
    </row>
    <row r="110" spans="1:2">
      <c r="A110" s="3" t="str">
        <f t="shared" si="3"/>
        <v>Hedge funds</v>
      </c>
      <c r="B110" s="94">
        <v>7</v>
      </c>
    </row>
    <row r="111" spans="1:2">
      <c r="A111" s="3" t="str">
        <f t="shared" si="3"/>
        <v>Onroerend goed</v>
      </c>
      <c r="B111" s="94">
        <v>8</v>
      </c>
    </row>
    <row r="113" spans="1:2">
      <c r="A113" s="25" t="s">
        <v>59</v>
      </c>
    </row>
    <row r="114" spans="1:2">
      <c r="A114" s="3" t="s">
        <v>45</v>
      </c>
      <c r="B114" s="94">
        <f>VLOOKUP(B18,$A$103:$B$111,2,0)</f>
        <v>0</v>
      </c>
    </row>
    <row r="115" spans="1:2">
      <c r="A115" s="3" t="s">
        <v>87</v>
      </c>
      <c r="B115" s="94">
        <f t="shared" ref="B115:B116" si="4">VLOOKUP(B19,$A$103:$B$111,2,0)</f>
        <v>1</v>
      </c>
    </row>
    <row r="116" spans="1:2">
      <c r="A116" s="3" t="s">
        <v>88</v>
      </c>
      <c r="B116" s="94">
        <f t="shared" si="4"/>
        <v>2</v>
      </c>
    </row>
  </sheetData>
  <mergeCells count="3">
    <mergeCell ref="G21:J21"/>
    <mergeCell ref="T22:X22"/>
    <mergeCell ref="E2:P2"/>
  </mergeCells>
  <dataValidations count="3">
    <dataValidation type="list" allowBlank="1" showInputMessage="1" showErrorMessage="1" sqref="B18">
      <formula1>$A$103:$A$111</formula1>
    </dataValidation>
    <dataValidation type="list" allowBlank="1" showInputMessage="1" showErrorMessage="1" sqref="B19:B20">
      <formula1>$A$104:$A$111</formula1>
    </dataValidation>
    <dataValidation type="list" allowBlank="1" showInputMessage="1" showErrorMessage="1" sqref="A1">
      <formula1>Klanten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landscape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Y110"/>
  <sheetViews>
    <sheetView zoomScale="70" zoomScaleNormal="70" workbookViewId="0">
      <selection activeCell="A15" sqref="A15"/>
    </sheetView>
  </sheetViews>
  <sheetFormatPr defaultRowHeight="12.75"/>
  <cols>
    <col min="1" max="1" width="23.85546875" style="34" customWidth="1"/>
    <col min="2" max="2" width="13.140625" style="34" customWidth="1"/>
    <col min="3" max="3" width="12" style="34" customWidth="1"/>
    <col min="4" max="16384" width="9.140625" style="34"/>
  </cols>
  <sheetData>
    <row r="1" spans="1:25">
      <c r="A1" s="35" t="s">
        <v>0</v>
      </c>
    </row>
    <row r="2" spans="1:25" ht="13.5" thickBot="1"/>
    <row r="3" spans="1:25" ht="15.75" thickBot="1">
      <c r="A3" s="36" t="s">
        <v>70</v>
      </c>
      <c r="B3" s="37" t="s">
        <v>1</v>
      </c>
      <c r="C3" s="37" t="s">
        <v>2</v>
      </c>
      <c r="D3" s="384" t="s">
        <v>3</v>
      </c>
      <c r="E3" s="385"/>
      <c r="F3" s="385"/>
      <c r="G3" s="385"/>
      <c r="H3" s="385"/>
      <c r="I3" s="385"/>
      <c r="J3" s="385"/>
      <c r="K3" s="385"/>
      <c r="L3" s="386"/>
      <c r="M3" s="386"/>
      <c r="N3" s="386"/>
      <c r="O3" s="387"/>
      <c r="R3" s="34" t="s">
        <v>4</v>
      </c>
      <c r="S3" s="34" t="s">
        <v>5</v>
      </c>
      <c r="T3" s="34" t="s">
        <v>6</v>
      </c>
      <c r="U3" s="34" t="s">
        <v>7</v>
      </c>
      <c r="V3" s="34" t="s">
        <v>8</v>
      </c>
      <c r="W3" s="34" t="s">
        <v>9</v>
      </c>
      <c r="X3" s="34" t="s">
        <v>10</v>
      </c>
      <c r="Y3" s="34" t="s">
        <v>11</v>
      </c>
    </row>
    <row r="4" spans="1:25">
      <c r="A4" s="39" t="str">
        <f>IF(Scenarios!A4&lt;&gt;"",Scenarios!A4,"")</f>
        <v>Nominale matching</v>
      </c>
      <c r="B4" s="40">
        <f>IF(Scenarios!B28&lt;&gt;"",Scenarios!B28,"")</f>
        <v>0</v>
      </c>
      <c r="C4" s="40">
        <f>IF(Scenarios!D4&lt;&gt;"",Scenarios!D4,"")</f>
        <v>4.3450149472468363E-2</v>
      </c>
      <c r="D4" s="373">
        <f>IF(Scenarios!E4&lt;&gt;"",Scenarios!E4,"")</f>
        <v>1</v>
      </c>
      <c r="E4" s="371">
        <f>IF(Scenarios!F4&lt;&gt;"",Scenarios!F4,"")</f>
        <v>0.5243300313487167</v>
      </c>
      <c r="F4" s="371">
        <f>IF(Scenarios!G4&lt;&gt;"",Scenarios!G4,"")</f>
        <v>0.5048621610682209</v>
      </c>
      <c r="G4" s="371">
        <f>IF(Scenarios!H4&lt;&gt;"",Scenarios!H4,"")</f>
        <v>0.25487540552021803</v>
      </c>
      <c r="H4" s="371">
        <f>IF(Scenarios!I4&lt;&gt;"",Scenarios!I4,"")</f>
        <v>0.29680815289592971</v>
      </c>
      <c r="I4" s="371">
        <f>IF(Scenarios!J4&lt;&gt;"",Scenarios!J4,"")</f>
        <v>0.25154461316198484</v>
      </c>
      <c r="J4" s="371">
        <f>IF(Scenarios!K4&lt;&gt;"",Scenarios!K4,"")</f>
        <v>0.48821319241673689</v>
      </c>
      <c r="K4" s="371">
        <f>IF(Scenarios!L4&lt;&gt;"",Scenarios!L4,"")</f>
        <v>0.39542796227510119</v>
      </c>
      <c r="L4" s="371">
        <f>IF(Scenarios!M4&lt;&gt;"",Scenarios!M4,"")</f>
        <v>0.47422188785278757</v>
      </c>
      <c r="M4" s="371" t="str">
        <f>IF(Scenarios!N4&lt;&gt;"",Scenarios!N4,"")</f>
        <v/>
      </c>
      <c r="N4" s="371" t="str">
        <f>IF(Scenarios!O4&lt;&gt;"",Scenarios!O4,"")</f>
        <v/>
      </c>
      <c r="O4" s="372" t="str">
        <f>IF(Scenarios!P4&lt;&gt;"",Scenarios!P4,"")</f>
        <v/>
      </c>
      <c r="P4" s="220" t="s">
        <v>119</v>
      </c>
      <c r="R4" s="34">
        <f t="array" ref="R4:Y11">+D4:K11*TRANSPOSE(C4:C11)*C4:C11</f>
        <v>1.8879154891798429E-3</v>
      </c>
      <c r="S4" s="34">
        <v>3.6117928682326554E-3</v>
      </c>
      <c r="T4" s="34">
        <v>3.5574712270892636E-3</v>
      </c>
      <c r="U4" s="34">
        <v>3.1804465765196827E-3</v>
      </c>
      <c r="V4" s="34">
        <v>3.8194368502445994E-3</v>
      </c>
      <c r="W4" s="34">
        <v>3.5683361505022097E-3</v>
      </c>
      <c r="X4" s="34">
        <v>3.4103820061645372E-3</v>
      </c>
      <c r="Y4" s="34">
        <v>3.4472855653615016E-3</v>
      </c>
    </row>
    <row r="5" spans="1:25">
      <c r="A5" s="39" t="str">
        <f>IF(Scenarios!A5&lt;&gt;"",Scenarios!A5,"")</f>
        <v>High Yield</v>
      </c>
      <c r="B5" s="40">
        <f>IF(Scenarios!B29&lt;&gt;"",Scenarios!B29,"")</f>
        <v>0.03</v>
      </c>
      <c r="C5" s="40">
        <f>IF(Scenarios!D5&lt;&gt;"",Scenarios!D5,"")</f>
        <v>0.15853561014014847</v>
      </c>
      <c r="D5" s="104">
        <f>IF(Scenarios!E5&lt;&gt;"",Scenarios!E5,"")</f>
        <v>0.52433003134871636</v>
      </c>
      <c r="E5" s="105">
        <f>IF(Scenarios!F5&lt;&gt;"",Scenarios!F5,"")</f>
        <v>1</v>
      </c>
      <c r="F5" s="105">
        <f>IF(Scenarios!G5&lt;&gt;"",Scenarios!G5,"")</f>
        <v>0.94338322745767289</v>
      </c>
      <c r="G5" s="105">
        <f>IF(Scenarios!H5&lt;&gt;"",Scenarios!H5,"")</f>
        <v>0.74070013517974964</v>
      </c>
      <c r="H5" s="105">
        <f>IF(Scenarios!I5&lt;&gt;"",Scenarios!I5,"")</f>
        <v>0.74187676376193956</v>
      </c>
      <c r="I5" s="105">
        <f>IF(Scenarios!J5&lt;&gt;"",Scenarios!J5,"")</f>
        <v>0.60846903584875156</v>
      </c>
      <c r="J5" s="105">
        <f>IF(Scenarios!K5&lt;&gt;"",Scenarios!K5,"")</f>
        <v>0.86668583493806206</v>
      </c>
      <c r="K5" s="105">
        <f>IF(Scenarios!L5&lt;&gt;"",Scenarios!L5,"")</f>
        <v>0.86259221475724557</v>
      </c>
      <c r="L5" s="105">
        <f>IF(Scenarios!M5&lt;&gt;"",Scenarios!M5,"")</f>
        <v>0.75906077754107681</v>
      </c>
      <c r="M5" s="105" t="str">
        <f>IF(Scenarios!N5&lt;&gt;"",Scenarios!N5,"")</f>
        <v/>
      </c>
      <c r="N5" s="105" t="str">
        <f>IF(Scenarios!O5&lt;&gt;"",Scenarios!O5,"")</f>
        <v/>
      </c>
      <c r="O5" s="106" t="str">
        <f>IF(Scenarios!P5&lt;&gt;"",Scenarios!P5,"")</f>
        <v/>
      </c>
      <c r="R5" s="34">
        <v>3.6117928682326524E-3</v>
      </c>
      <c r="S5" s="34">
        <v>2.5133539682509146E-2</v>
      </c>
      <c r="T5" s="34">
        <v>2.42544973313066E-2</v>
      </c>
      <c r="U5" s="34">
        <v>3.3723927940032879E-2</v>
      </c>
      <c r="V5" s="34">
        <v>3.4832996012383759E-2</v>
      </c>
      <c r="W5" s="34">
        <v>3.149377892134287E-2</v>
      </c>
      <c r="X5" s="34">
        <v>2.2089748417517992E-2</v>
      </c>
      <c r="Y5" s="34">
        <v>2.7437906502276666E-2</v>
      </c>
    </row>
    <row r="6" spans="1:25">
      <c r="A6" s="39" t="str">
        <f>IF(Scenarios!A6&lt;&gt;"",Scenarios!A6,"")</f>
        <v>Emerging market debt</v>
      </c>
      <c r="B6" s="40">
        <f>IF(Scenarios!B30&lt;&gt;"",Scenarios!B30,"")</f>
        <v>3.139819541969964E-2</v>
      </c>
      <c r="C6" s="40">
        <f>IF(Scenarios!D6&lt;&gt;"",Scenarios!D6,"")</f>
        <v>0.16217253275473525</v>
      </c>
      <c r="D6" s="104">
        <f>IF(Scenarios!E6&lt;&gt;"",Scenarios!E6,"")</f>
        <v>0.50486216106822102</v>
      </c>
      <c r="E6" s="105">
        <f>IF(Scenarios!F6&lt;&gt;"",Scenarios!F6,"")</f>
        <v>0.943383227457673</v>
      </c>
      <c r="F6" s="105">
        <f>IF(Scenarios!G6&lt;&gt;"",Scenarios!G6,"")</f>
        <v>1</v>
      </c>
      <c r="G6" s="105">
        <f>IF(Scenarios!H6&lt;&gt;"",Scenarios!H6,"")</f>
        <v>0.77223648924957744</v>
      </c>
      <c r="H6" s="105">
        <f>IF(Scenarios!I6&lt;&gt;"",Scenarios!I6,"")</f>
        <v>0.79023745754825636</v>
      </c>
      <c r="I6" s="105">
        <f>IF(Scenarios!J6&lt;&gt;"",Scenarios!J6,"")</f>
        <v>0.63110682083437419</v>
      </c>
      <c r="J6" s="105">
        <f>IF(Scenarios!K6&lt;&gt;"",Scenarios!K6,"")</f>
        <v>0.87120901203593171</v>
      </c>
      <c r="K6" s="105">
        <f>IF(Scenarios!L6&lt;&gt;"",Scenarios!L6,"")</f>
        <v>0.86536847063850975</v>
      </c>
      <c r="L6" s="105">
        <f>IF(Scenarios!M6&lt;&gt;"",Scenarios!M6,"")</f>
        <v>0.72481655312346349</v>
      </c>
      <c r="M6" s="105" t="str">
        <f>IF(Scenarios!N6&lt;&gt;"",Scenarios!N6,"")</f>
        <v/>
      </c>
      <c r="N6" s="105" t="str">
        <f>IF(Scenarios!O6&lt;&gt;"",Scenarios!O6,"")</f>
        <v/>
      </c>
      <c r="O6" s="106" t="str">
        <f>IF(Scenarios!P6&lt;&gt;"",Scenarios!P6,"")</f>
        <v/>
      </c>
      <c r="R6" s="34">
        <v>3.5574712270892645E-3</v>
      </c>
      <c r="S6" s="34">
        <v>2.42544973313066E-2</v>
      </c>
      <c r="T6" s="34">
        <v>2.6299930380085677E-2</v>
      </c>
      <c r="U6" s="34">
        <v>3.5966362616362865E-2</v>
      </c>
      <c r="V6" s="34">
        <v>3.7954838153009651E-2</v>
      </c>
      <c r="W6" s="34">
        <v>3.3414859318395565E-2</v>
      </c>
      <c r="X6" s="34">
        <v>2.271443305379434E-2</v>
      </c>
      <c r="Y6" s="34">
        <v>2.8157686969952241E-2</v>
      </c>
    </row>
    <row r="7" spans="1:25">
      <c r="A7" s="39" t="str">
        <f>IF(Scenarios!A7&lt;&gt;"",Scenarios!A7,"")</f>
        <v>Aandelen ontwikkeld</v>
      </c>
      <c r="B7" s="40">
        <f>IF(Scenarios!B31&lt;&gt;"",Scenarios!B31,"")</f>
        <v>5.6592124636374697E-2</v>
      </c>
      <c r="C7" s="40">
        <f>IF(Scenarios!D7&lt;&gt;"",Scenarios!D7,"")</f>
        <v>0.28718972670468956</v>
      </c>
      <c r="D7" s="104">
        <f>IF(Scenarios!E7&lt;&gt;"",Scenarios!E7,"")</f>
        <v>0.2548754055202187</v>
      </c>
      <c r="E7" s="105">
        <f>IF(Scenarios!F7&lt;&gt;"",Scenarios!F7,"")</f>
        <v>0.74070013517974975</v>
      </c>
      <c r="F7" s="105">
        <f>IF(Scenarios!G7&lt;&gt;"",Scenarios!G7,"")</f>
        <v>0.77223648924957744</v>
      </c>
      <c r="G7" s="105">
        <f>IF(Scenarios!H7&lt;&gt;"",Scenarios!H7,"")</f>
        <v>1</v>
      </c>
      <c r="H7" s="105">
        <f>IF(Scenarios!I7&lt;&gt;"",Scenarios!I7,"")</f>
        <v>0.81106497730540505</v>
      </c>
      <c r="I7" s="105">
        <f>IF(Scenarios!J7&lt;&gt;"",Scenarios!J7,"")</f>
        <v>0.69909036020626758</v>
      </c>
      <c r="J7" s="105">
        <f>IF(Scenarios!K7&lt;&gt;"",Scenarios!K7,"")</f>
        <v>0.74571542163255744</v>
      </c>
      <c r="K7" s="105">
        <f>IF(Scenarios!L7&lt;&gt;"",Scenarios!L7,"")</f>
        <v>0.88603334197313832</v>
      </c>
      <c r="L7" s="105">
        <f>IF(Scenarios!M7&lt;&gt;"",Scenarios!M7,"")</f>
        <v>0.62515021546234684</v>
      </c>
      <c r="M7" s="105" t="str">
        <f>IF(Scenarios!N7&lt;&gt;"",Scenarios!N7,"")</f>
        <v/>
      </c>
      <c r="N7" s="105" t="str">
        <f>IF(Scenarios!O7&lt;&gt;"",Scenarios!O7,"")</f>
        <v/>
      </c>
      <c r="O7" s="106" t="str">
        <f>IF(Scenarios!P7&lt;&gt;"",Scenarios!P7,"")</f>
        <v/>
      </c>
      <c r="R7" s="34">
        <v>3.1804465765196909E-3</v>
      </c>
      <c r="S7" s="34">
        <v>3.3723927940032886E-2</v>
      </c>
      <c r="T7" s="34">
        <v>3.5966362616362865E-2</v>
      </c>
      <c r="U7" s="34">
        <v>8.2477939124714281E-2</v>
      </c>
      <c r="V7" s="34">
        <v>6.8985335649692545E-2</v>
      </c>
      <c r="W7" s="34">
        <v>6.5548336970937676E-2</v>
      </c>
      <c r="X7" s="34">
        <v>3.4430574368130892E-2</v>
      </c>
      <c r="Y7" s="34">
        <v>5.1054917016870496E-2</v>
      </c>
    </row>
    <row r="8" spans="1:25">
      <c r="A8" s="39" t="str">
        <f>IF(Scenarios!A8&lt;&gt;"",Scenarios!A8,"")</f>
        <v>Aandelen opkomend</v>
      </c>
      <c r="B8" s="40">
        <f>IF(Scenarios!B32&lt;&gt;"",Scenarios!B32,"")</f>
        <v>5.6149706786613261E-2</v>
      </c>
      <c r="C8" s="40">
        <f>IF(Scenarios!D8&lt;&gt;"",Scenarios!D8,"")</f>
        <v>0.29616397669669142</v>
      </c>
      <c r="D8" s="104">
        <f>IF(Scenarios!E8&lt;&gt;"",Scenarios!E8,"")</f>
        <v>0.29680815289593021</v>
      </c>
      <c r="E8" s="105">
        <f>IF(Scenarios!F8&lt;&gt;"",Scenarios!F8,"")</f>
        <v>0.74187676376193967</v>
      </c>
      <c r="F8" s="105">
        <f>IF(Scenarios!G8&lt;&gt;"",Scenarios!G8,"")</f>
        <v>0.79023745754825636</v>
      </c>
      <c r="G8" s="105">
        <f>IF(Scenarios!H8&lt;&gt;"",Scenarios!H8,"")</f>
        <v>0.81106497730540505</v>
      </c>
      <c r="H8" s="105">
        <f>IF(Scenarios!I8&lt;&gt;"",Scenarios!I8,"")</f>
        <v>0.99999999999999978</v>
      </c>
      <c r="I8" s="105">
        <f>IF(Scenarios!J8&lt;&gt;"",Scenarios!J8,"")</f>
        <v>0.63944069654526292</v>
      </c>
      <c r="J8" s="105">
        <f>IF(Scenarios!K8&lt;&gt;"",Scenarios!K8,"")</f>
        <v>0.64591301484464436</v>
      </c>
      <c r="K8" s="105">
        <f>IF(Scenarios!L8&lt;&gt;"",Scenarios!L8,"")</f>
        <v>0.78448428807756676</v>
      </c>
      <c r="L8" s="105">
        <f>IF(Scenarios!M8&lt;&gt;"",Scenarios!M8,"")</f>
        <v>0.51393319492259693</v>
      </c>
      <c r="M8" s="105" t="str">
        <f>IF(Scenarios!N8&lt;&gt;"",Scenarios!N8,"")</f>
        <v/>
      </c>
      <c r="N8" s="105" t="str">
        <f>IF(Scenarios!O8&lt;&gt;"",Scenarios!O8,"")</f>
        <v/>
      </c>
      <c r="O8" s="106" t="str">
        <f>IF(Scenarios!P8&lt;&gt;"",Scenarios!P8,"")</f>
        <v/>
      </c>
      <c r="R8" s="34">
        <v>3.8194368502446055E-3</v>
      </c>
      <c r="S8" s="34">
        <v>3.4832996012383766E-2</v>
      </c>
      <c r="T8" s="34">
        <v>3.7954838153009651E-2</v>
      </c>
      <c r="U8" s="34">
        <v>6.8985335649692545E-2</v>
      </c>
      <c r="V8" s="34">
        <v>8.7713101092798368E-2</v>
      </c>
      <c r="W8" s="34">
        <v>6.1828964000340367E-2</v>
      </c>
      <c r="X8" s="34">
        <v>3.0754488693050051E-2</v>
      </c>
      <c r="Y8" s="34">
        <v>4.6616009330699086E-2</v>
      </c>
    </row>
    <row r="9" spans="1:25">
      <c r="A9" s="39" t="str">
        <f>IF(Scenarios!A9&lt;&gt;"",Scenarios!A9,"")</f>
        <v>Commodities</v>
      </c>
      <c r="B9" s="40">
        <f>IF(Scenarios!B33&lt;&gt;"",Scenarios!B33,"")</f>
        <v>5.1695827746959064E-2</v>
      </c>
      <c r="C9" s="40">
        <f>IF(Scenarios!D9&lt;&gt;"",Scenarios!D9,"")</f>
        <v>0.32648216646211403</v>
      </c>
      <c r="D9" s="104">
        <f>IF(Scenarios!E9&lt;&gt;"",Scenarios!E9,"")</f>
        <v>0.25154461316198523</v>
      </c>
      <c r="E9" s="105">
        <f>IF(Scenarios!F9&lt;&gt;"",Scenarios!F9,"")</f>
        <v>0.60846903584875167</v>
      </c>
      <c r="F9" s="105">
        <f>IF(Scenarios!G9&lt;&gt;"",Scenarios!G9,"")</f>
        <v>0.6311068208343743</v>
      </c>
      <c r="G9" s="105">
        <f>IF(Scenarios!H9&lt;&gt;"",Scenarios!H9,"")</f>
        <v>0.69909036020626758</v>
      </c>
      <c r="H9" s="105">
        <f>IF(Scenarios!I9&lt;&gt;"",Scenarios!I9,"")</f>
        <v>0.63944069654526281</v>
      </c>
      <c r="I9" s="105">
        <f>IF(Scenarios!J9&lt;&gt;"",Scenarios!J9,"")</f>
        <v>0.99999999999999978</v>
      </c>
      <c r="J9" s="105">
        <f>IF(Scenarios!K9&lt;&gt;"",Scenarios!K9,"")</f>
        <v>0.57555638609831095</v>
      </c>
      <c r="K9" s="105">
        <f>IF(Scenarios!L9&lt;&gt;"",Scenarios!L9,"")</f>
        <v>0.6706441294402975</v>
      </c>
      <c r="L9" s="105">
        <f>IF(Scenarios!M9&lt;&gt;"",Scenarios!M9,"")</f>
        <v>0.49865020725851583</v>
      </c>
      <c r="M9" s="105" t="str">
        <f>IF(Scenarios!N9&lt;&gt;"",Scenarios!N9,"")</f>
        <v/>
      </c>
      <c r="N9" s="105" t="str">
        <f>IF(Scenarios!O9&lt;&gt;"",Scenarios!O9,"")</f>
        <v/>
      </c>
      <c r="O9" s="106" t="str">
        <f>IF(Scenarios!P9&lt;&gt;"",Scenarios!P9,"")</f>
        <v/>
      </c>
      <c r="R9" s="34">
        <v>3.5683361505022149E-3</v>
      </c>
      <c r="S9" s="34">
        <v>3.1493778921342877E-2</v>
      </c>
      <c r="T9" s="34">
        <v>3.3414859318395572E-2</v>
      </c>
      <c r="U9" s="34">
        <v>6.5548336970937676E-2</v>
      </c>
      <c r="V9" s="34">
        <v>6.182896400034036E-2</v>
      </c>
      <c r="W9" s="34">
        <v>0.10659060501779552</v>
      </c>
      <c r="X9" s="34">
        <v>3.0209920570797095E-2</v>
      </c>
      <c r="Y9" s="34">
        <v>4.3930910080429195E-2</v>
      </c>
    </row>
    <row r="10" spans="1:25">
      <c r="A10" s="39" t="str">
        <f>IF(Scenarios!A10&lt;&gt;"",Scenarios!A10,"")</f>
        <v>Hedge funds</v>
      </c>
      <c r="B10" s="40">
        <f>IF(Scenarios!B34&lt;&gt;"",Scenarios!B34,"")</f>
        <v>2.8296106892401265E-2</v>
      </c>
      <c r="C10" s="40">
        <f>IF(Scenarios!D10&lt;&gt;"",Scenarios!D10,"")</f>
        <v>0.16076897495152093</v>
      </c>
      <c r="D10" s="104">
        <f>IF(Scenarios!E10&lt;&gt;"",Scenarios!E10,"")</f>
        <v>0.488213192416737</v>
      </c>
      <c r="E10" s="105">
        <f>IF(Scenarios!F10&lt;&gt;"",Scenarios!F10,"")</f>
        <v>0.86668583493806206</v>
      </c>
      <c r="F10" s="105">
        <f>IF(Scenarios!G10&lt;&gt;"",Scenarios!G10,"")</f>
        <v>0.87120901203593182</v>
      </c>
      <c r="G10" s="105">
        <f>IF(Scenarios!H10&lt;&gt;"",Scenarios!H10,"")</f>
        <v>0.74571542163255744</v>
      </c>
      <c r="H10" s="105">
        <f>IF(Scenarios!I10&lt;&gt;"",Scenarios!I10,"")</f>
        <v>0.64591301484464425</v>
      </c>
      <c r="I10" s="105">
        <f>IF(Scenarios!J10&lt;&gt;"",Scenarios!J10,"")</f>
        <v>0.57555638609831083</v>
      </c>
      <c r="J10" s="105">
        <f>IF(Scenarios!K10&lt;&gt;"",Scenarios!K10,"")</f>
        <v>1.0000000000000002</v>
      </c>
      <c r="K10" s="105">
        <f>IF(Scenarios!L10&lt;&gt;"",Scenarios!L10,"")</f>
        <v>0.79740125449060317</v>
      </c>
      <c r="L10" s="105">
        <f>IF(Scenarios!M10&lt;&gt;"",Scenarios!M10,"")</f>
        <v>0.6990511874231996</v>
      </c>
      <c r="M10" s="105" t="str">
        <f>IF(Scenarios!N10&lt;&gt;"",Scenarios!N10,"")</f>
        <v/>
      </c>
      <c r="N10" s="105" t="str">
        <f>IF(Scenarios!O10&lt;&gt;"",Scenarios!O10,"")</f>
        <v/>
      </c>
      <c r="O10" s="106" t="str">
        <f>IF(Scenarios!P10&lt;&gt;"",Scenarios!P10,"")</f>
        <v/>
      </c>
      <c r="R10" s="34">
        <v>3.4103820061645385E-3</v>
      </c>
      <c r="S10" s="34">
        <v>2.2089748417517995E-2</v>
      </c>
      <c r="T10" s="34">
        <v>2.2714433053794343E-2</v>
      </c>
      <c r="U10" s="34">
        <v>3.4430574368130892E-2</v>
      </c>
      <c r="V10" s="34">
        <v>3.0754488693050048E-2</v>
      </c>
      <c r="W10" s="34">
        <v>3.0209920570797091E-2</v>
      </c>
      <c r="X10" s="34">
        <v>2.5846663306962767E-2</v>
      </c>
      <c r="Y10" s="34">
        <v>2.5721587353605819E-2</v>
      </c>
    </row>
    <row r="11" spans="1:25">
      <c r="A11" s="39" t="str">
        <f>IF(Scenarios!A11&lt;&gt;"",Scenarios!A11,"")</f>
        <v>Onroerend goed</v>
      </c>
      <c r="B11" s="40">
        <f>IF(Scenarios!B35&lt;&gt;"",Scenarios!B35,"")</f>
        <v>3.9623116882628269E-2</v>
      </c>
      <c r="C11" s="40">
        <f>IF(Scenarios!D11&lt;&gt;"",Scenarios!D11,"")</f>
        <v>0.20064050365322861</v>
      </c>
      <c r="D11" s="104">
        <f>IF(Scenarios!E11&lt;&gt;"",Scenarios!E11,"")</f>
        <v>0.39542796227510135</v>
      </c>
      <c r="E11" s="105">
        <f>IF(Scenarios!F11&lt;&gt;"",Scenarios!F11,"")</f>
        <v>0.86259221475724557</v>
      </c>
      <c r="F11" s="105">
        <f>IF(Scenarios!G11&lt;&gt;"",Scenarios!G11,"")</f>
        <v>0.86536847063850963</v>
      </c>
      <c r="G11" s="105">
        <f>IF(Scenarios!H11&lt;&gt;"",Scenarios!H11,"")</f>
        <v>0.88603334197313832</v>
      </c>
      <c r="H11" s="105">
        <f>IF(Scenarios!I11&lt;&gt;"",Scenarios!I11,"")</f>
        <v>0.78448428807756676</v>
      </c>
      <c r="I11" s="105">
        <f>IF(Scenarios!J11&lt;&gt;"",Scenarios!J11,"")</f>
        <v>0.67064412944029761</v>
      </c>
      <c r="J11" s="105">
        <f>IF(Scenarios!K11&lt;&gt;"",Scenarios!K11,"")</f>
        <v>0.79740125449060328</v>
      </c>
      <c r="K11" s="105">
        <f>IF(Scenarios!L11&lt;&gt;"",Scenarios!L11,"")</f>
        <v>1.0000000000000002</v>
      </c>
      <c r="L11" s="105">
        <f>IF(Scenarios!M11&lt;&gt;"",Scenarios!M11,"")</f>
        <v>0.74626676152997484</v>
      </c>
      <c r="M11" s="105" t="str">
        <f>IF(Scenarios!N11&lt;&gt;"",Scenarios!N11,"")</f>
        <v/>
      </c>
      <c r="N11" s="105" t="str">
        <f>IF(Scenarios!O11&lt;&gt;"",Scenarios!O11,"")</f>
        <v/>
      </c>
      <c r="O11" s="106" t="str">
        <f>IF(Scenarios!P11&lt;&gt;"",Scenarios!P11,"")</f>
        <v/>
      </c>
      <c r="R11" s="34">
        <v>3.4472855653615029E-3</v>
      </c>
      <c r="S11" s="34">
        <v>2.7437906502276666E-2</v>
      </c>
      <c r="T11" s="34">
        <v>2.8157686969952238E-2</v>
      </c>
      <c r="U11" s="34">
        <v>5.1054917016870503E-2</v>
      </c>
      <c r="V11" s="34">
        <v>4.6616009330699093E-2</v>
      </c>
      <c r="W11" s="34">
        <v>4.3930910080429195E-2</v>
      </c>
      <c r="X11" s="34">
        <v>2.5721587353605819E-2</v>
      </c>
      <c r="Y11" s="34">
        <v>4.0256611706221253E-2</v>
      </c>
    </row>
    <row r="12" spans="1:25">
      <c r="A12" s="39" t="str">
        <f>IF(Scenarios!A12&lt;&gt;"",Scenarios!A12,"")</f>
        <v>Periferie bonds</v>
      </c>
      <c r="B12" s="40">
        <f>IF(Scenarios!B36&lt;&gt;"",Scenarios!B36,"")</f>
        <v>2.5656887462827429E-2</v>
      </c>
      <c r="C12" s="40">
        <f>IF(Scenarios!D12&lt;&gt;"",Scenarios!D12,"")</f>
        <v>0.17312066928436093</v>
      </c>
      <c r="D12" s="104">
        <f>IF(Scenarios!E12&lt;&gt;"",Scenarios!E12,"")</f>
        <v>0.47422188785278774</v>
      </c>
      <c r="E12" s="105">
        <f>IF(Scenarios!F12&lt;&gt;"",Scenarios!F12,"")</f>
        <v>0.75906077754107693</v>
      </c>
      <c r="F12" s="105">
        <f>IF(Scenarios!G12&lt;&gt;"",Scenarios!G12,"")</f>
        <v>0.72481655312346349</v>
      </c>
      <c r="G12" s="105">
        <f>IF(Scenarios!H12&lt;&gt;"",Scenarios!H12,"")</f>
        <v>0.62515021546234673</v>
      </c>
      <c r="H12" s="105">
        <f>IF(Scenarios!I12&lt;&gt;"",Scenarios!I12,"")</f>
        <v>0.51393319492259693</v>
      </c>
      <c r="I12" s="105">
        <f>IF(Scenarios!J12&lt;&gt;"",Scenarios!J12,"")</f>
        <v>0.49865020725851572</v>
      </c>
      <c r="J12" s="105">
        <f>IF(Scenarios!K12&lt;&gt;"",Scenarios!K12,"")</f>
        <v>0.69905118742319949</v>
      </c>
      <c r="K12" s="105">
        <f>IF(Scenarios!L12&lt;&gt;"",Scenarios!L12,"")</f>
        <v>0.74626676152997495</v>
      </c>
      <c r="L12" s="105">
        <f>IF(Scenarios!M12&lt;&gt;"",Scenarios!M12,"")</f>
        <v>0.99999999999999989</v>
      </c>
      <c r="M12" s="105" t="str">
        <f>IF(Scenarios!N12&lt;&gt;"",Scenarios!N12,"")</f>
        <v/>
      </c>
      <c r="N12" s="105" t="str">
        <f>IF(Scenarios!O12&lt;&gt;"",Scenarios!O12,"")</f>
        <v/>
      </c>
      <c r="O12" s="106" t="str">
        <f>IF(Scenarios!P12&lt;&gt;"",Scenarios!P12,"")</f>
        <v/>
      </c>
    </row>
    <row r="13" spans="1:25">
      <c r="A13" s="39" t="str">
        <f>IF(Scenarios!A13&lt;&gt;"",Scenarios!A13,"")</f>
        <v/>
      </c>
      <c r="B13" s="40" t="str">
        <f>IF(Scenarios!B37&lt;&gt;"",Scenarios!B37,"")</f>
        <v/>
      </c>
      <c r="C13" s="40" t="str">
        <f>IF(Scenarios!D13&lt;&gt;"",Scenarios!D13,"")</f>
        <v/>
      </c>
      <c r="D13" s="104" t="str">
        <f>IF(Scenarios!E13&lt;&gt;"",Scenarios!E13,"")</f>
        <v/>
      </c>
      <c r="E13" s="105" t="str">
        <f>IF(Scenarios!F13&lt;&gt;"",Scenarios!F13,"")</f>
        <v/>
      </c>
      <c r="F13" s="105" t="str">
        <f>IF(Scenarios!G13&lt;&gt;"",Scenarios!G13,"")</f>
        <v/>
      </c>
      <c r="G13" s="105" t="str">
        <f>IF(Scenarios!H13&lt;&gt;"",Scenarios!H13,"")</f>
        <v/>
      </c>
      <c r="H13" s="105" t="str">
        <f>IF(Scenarios!I13&lt;&gt;"",Scenarios!I13,"")</f>
        <v/>
      </c>
      <c r="I13" s="105" t="str">
        <f>IF(Scenarios!J13&lt;&gt;"",Scenarios!J13,"")</f>
        <v/>
      </c>
      <c r="J13" s="105" t="str">
        <f>IF(Scenarios!K13&lt;&gt;"",Scenarios!K13,"")</f>
        <v/>
      </c>
      <c r="K13" s="105" t="str">
        <f>IF(Scenarios!L13&lt;&gt;"",Scenarios!L13,"")</f>
        <v/>
      </c>
      <c r="L13" s="105" t="str">
        <f>IF(Scenarios!M13&lt;&gt;"",Scenarios!M13,"")</f>
        <v/>
      </c>
      <c r="M13" s="105" t="str">
        <f>IF(Scenarios!N13&lt;&gt;"",Scenarios!N13,"")</f>
        <v/>
      </c>
      <c r="N13" s="105" t="str">
        <f>IF(Scenarios!O13&lt;&gt;"",Scenarios!O13,"")</f>
        <v/>
      </c>
      <c r="O13" s="106" t="str">
        <f>IF(Scenarios!P13&lt;&gt;"",Scenarios!P13,"")</f>
        <v/>
      </c>
    </row>
    <row r="14" spans="1:25">
      <c r="A14" s="39" t="str">
        <f>IF(Scenarios!A14&lt;&gt;"",Scenarios!A14,"")</f>
        <v/>
      </c>
      <c r="B14" s="40" t="str">
        <f>IF(Scenarios!B38&lt;&gt;"",Scenarios!B38,"")</f>
        <v/>
      </c>
      <c r="C14" s="40" t="str">
        <f>IF(Scenarios!D14&lt;&gt;"",Scenarios!D14,"")</f>
        <v/>
      </c>
      <c r="D14" s="104" t="str">
        <f>IF(Scenarios!E14&lt;&gt;"",Scenarios!E14,"")</f>
        <v/>
      </c>
      <c r="E14" s="105" t="str">
        <f>IF(Scenarios!F14&lt;&gt;"",Scenarios!F14,"")</f>
        <v/>
      </c>
      <c r="F14" s="105" t="str">
        <f>IF(Scenarios!G14&lt;&gt;"",Scenarios!G14,"")</f>
        <v/>
      </c>
      <c r="G14" s="105" t="str">
        <f>IF(Scenarios!H14&lt;&gt;"",Scenarios!H14,"")</f>
        <v/>
      </c>
      <c r="H14" s="105" t="str">
        <f>IF(Scenarios!I14&lt;&gt;"",Scenarios!I14,"")</f>
        <v/>
      </c>
      <c r="I14" s="105" t="str">
        <f>IF(Scenarios!J14&lt;&gt;"",Scenarios!J14,"")</f>
        <v/>
      </c>
      <c r="J14" s="105" t="str">
        <f>IF(Scenarios!K14&lt;&gt;"",Scenarios!K14,"")</f>
        <v/>
      </c>
      <c r="K14" s="105" t="str">
        <f>IF(Scenarios!L14&lt;&gt;"",Scenarios!L14,"")</f>
        <v/>
      </c>
      <c r="L14" s="105" t="str">
        <f>IF(Scenarios!M14&lt;&gt;"",Scenarios!M14,"")</f>
        <v/>
      </c>
      <c r="M14" s="105" t="str">
        <f>IF(Scenarios!N14&lt;&gt;"",Scenarios!N14,"")</f>
        <v/>
      </c>
      <c r="N14" s="105" t="str">
        <f>IF(Scenarios!O14&lt;&gt;"",Scenarios!O14,"")</f>
        <v/>
      </c>
      <c r="O14" s="106" t="str">
        <f>IF(Scenarios!P14&lt;&gt;"",Scenarios!P14,"")</f>
        <v/>
      </c>
    </row>
    <row r="15" spans="1:25" ht="13.5" thickBot="1">
      <c r="A15" s="350" t="str">
        <f>IF(Scenarios!A15&lt;&gt;"",Scenarios!A15,"")</f>
        <v/>
      </c>
      <c r="B15" s="351" t="str">
        <f>IF(Scenarios!B39&lt;&gt;"",Scenarios!B39,"")</f>
        <v/>
      </c>
      <c r="C15" s="351" t="str">
        <f>IF(Scenarios!D15&lt;&gt;"",Scenarios!D15,"")</f>
        <v/>
      </c>
      <c r="D15" s="352" t="str">
        <f>IF(Scenarios!E15&lt;&gt;"",Scenarios!E15,"")</f>
        <v/>
      </c>
      <c r="E15" s="369" t="str">
        <f>IF(Scenarios!F15&lt;&gt;"",Scenarios!F15,"")</f>
        <v/>
      </c>
      <c r="F15" s="369" t="str">
        <f>IF(Scenarios!G15&lt;&gt;"",Scenarios!G15,"")</f>
        <v/>
      </c>
      <c r="G15" s="369" t="str">
        <f>IF(Scenarios!H15&lt;&gt;"",Scenarios!H15,"")</f>
        <v/>
      </c>
      <c r="H15" s="369" t="str">
        <f>IF(Scenarios!I15&lt;&gt;"",Scenarios!I15,"")</f>
        <v/>
      </c>
      <c r="I15" s="369" t="str">
        <f>IF(Scenarios!J15&lt;&gt;"",Scenarios!J15,"")</f>
        <v/>
      </c>
      <c r="J15" s="369" t="str">
        <f>IF(Scenarios!K15&lt;&gt;"",Scenarios!K15,"")</f>
        <v/>
      </c>
      <c r="K15" s="369" t="str">
        <f>IF(Scenarios!L15&lt;&gt;"",Scenarios!L15,"")</f>
        <v/>
      </c>
      <c r="L15" s="369" t="str">
        <f>IF(Scenarios!M15&lt;&gt;"",Scenarios!M15,"")</f>
        <v/>
      </c>
      <c r="M15" s="369" t="str">
        <f>IF(Scenarios!N15&lt;&gt;"",Scenarios!N15,"")</f>
        <v/>
      </c>
      <c r="N15" s="369" t="str">
        <f>IF(Scenarios!O15&lt;&gt;"",Scenarios!O15,"")</f>
        <v/>
      </c>
      <c r="O15" s="353" t="str">
        <f>IF(Scenarios!P15&lt;&gt;"",Scenarios!P15,"")</f>
        <v/>
      </c>
    </row>
    <row r="17" spans="1:16" ht="13.5" thickBot="1"/>
    <row r="18" spans="1:16" ht="15.75" thickBot="1">
      <c r="A18" s="41" t="str">
        <f>Scenarios!C27</f>
        <v>Base Case</v>
      </c>
      <c r="B18" s="37" t="s">
        <v>1</v>
      </c>
      <c r="C18" s="38" t="s">
        <v>2</v>
      </c>
      <c r="D18" s="384" t="s">
        <v>3</v>
      </c>
      <c r="E18" s="385"/>
      <c r="F18" s="385"/>
      <c r="G18" s="385"/>
      <c r="H18" s="385"/>
      <c r="I18" s="385"/>
      <c r="J18" s="385"/>
      <c r="K18" s="385"/>
      <c r="L18" s="386"/>
      <c r="M18" s="386"/>
      <c r="N18" s="386"/>
      <c r="O18" s="387"/>
    </row>
    <row r="19" spans="1:16">
      <c r="A19" s="39" t="str">
        <f>IF(Scenarios!A4&lt;&gt;"",Scenarios!A4,"")</f>
        <v>Nominale matching</v>
      </c>
      <c r="B19" s="40">
        <f>IF(Scenarios!C28&lt;&gt;"",Scenarios!C28,"")</f>
        <v>-3.2445168309994665E-3</v>
      </c>
      <c r="C19" s="40">
        <f>IF(Scenarios!D4&lt;&gt;"",Scenarios!D4,"")</f>
        <v>4.3450149472468363E-2</v>
      </c>
      <c r="D19" s="373">
        <f>IF(Scenarios!E4&lt;&gt;"",Scenarios!E4,"")</f>
        <v>1</v>
      </c>
      <c r="E19" s="371">
        <f>IF(Scenarios!F4&lt;&gt;"",Scenarios!F4,"")</f>
        <v>0.5243300313487167</v>
      </c>
      <c r="F19" s="371">
        <f>IF(Scenarios!G4&lt;&gt;"",Scenarios!G4,"")</f>
        <v>0.5048621610682209</v>
      </c>
      <c r="G19" s="371">
        <f>IF(Scenarios!H4&lt;&gt;"",Scenarios!H4,"")</f>
        <v>0.25487540552021803</v>
      </c>
      <c r="H19" s="371">
        <f>IF(Scenarios!I4&lt;&gt;"",Scenarios!I4,"")</f>
        <v>0.29680815289592971</v>
      </c>
      <c r="I19" s="371">
        <f>IF(Scenarios!J4&lt;&gt;"",Scenarios!J4,"")</f>
        <v>0.25154461316198484</v>
      </c>
      <c r="J19" s="371">
        <f>IF(Scenarios!K4&lt;&gt;"",Scenarios!K4,"")</f>
        <v>0.48821319241673689</v>
      </c>
      <c r="K19" s="371">
        <f>IF(Scenarios!L4&lt;&gt;"",Scenarios!L4,"")</f>
        <v>0.39542796227510119</v>
      </c>
      <c r="L19" s="371">
        <f>IF(Scenarios!M4&lt;&gt;"",Scenarios!M4,"")</f>
        <v>0.47422188785278757</v>
      </c>
      <c r="M19" s="371" t="str">
        <f>IF(Scenarios!N4&lt;&gt;"",Scenarios!N4,"")</f>
        <v/>
      </c>
      <c r="N19" s="371" t="str">
        <f>IF(Scenarios!O4&lt;&gt;"",Scenarios!O4,"")</f>
        <v/>
      </c>
      <c r="O19" s="372" t="str">
        <f>IF(Scenarios!P4&lt;&gt;"",Scenarios!P4,"")</f>
        <v/>
      </c>
      <c r="P19" s="220" t="s">
        <v>119</v>
      </c>
    </row>
    <row r="20" spans="1:16">
      <c r="A20" s="39" t="str">
        <f>IF(Scenarios!A5&lt;&gt;"",Scenarios!A5,"")</f>
        <v>High Yield</v>
      </c>
      <c r="B20" s="42">
        <f>IF(Scenarios!C29&lt;&gt;"",Scenarios!C29,"")</f>
        <v>3.2492969125133414E-2</v>
      </c>
      <c r="C20" s="40">
        <f>IF(Scenarios!D5&lt;&gt;"",Scenarios!D5,"")</f>
        <v>0.15853561014014847</v>
      </c>
      <c r="D20" s="104">
        <f>IF(Scenarios!E5&lt;&gt;"",Scenarios!E5,"")</f>
        <v>0.52433003134871636</v>
      </c>
      <c r="E20" s="105">
        <f>IF(Scenarios!F5&lt;&gt;"",Scenarios!F5,"")</f>
        <v>1</v>
      </c>
      <c r="F20" s="105">
        <f>IF(Scenarios!G5&lt;&gt;"",Scenarios!G5,"")</f>
        <v>0.94338322745767289</v>
      </c>
      <c r="G20" s="105">
        <f>IF(Scenarios!H5&lt;&gt;"",Scenarios!H5,"")</f>
        <v>0.74070013517974964</v>
      </c>
      <c r="H20" s="105">
        <f>IF(Scenarios!I5&lt;&gt;"",Scenarios!I5,"")</f>
        <v>0.74187676376193956</v>
      </c>
      <c r="I20" s="105">
        <f>IF(Scenarios!J5&lt;&gt;"",Scenarios!J5,"")</f>
        <v>0.60846903584875156</v>
      </c>
      <c r="J20" s="105">
        <f>IF(Scenarios!K5&lt;&gt;"",Scenarios!K5,"")</f>
        <v>0.86668583493806206</v>
      </c>
      <c r="K20" s="105">
        <f>IF(Scenarios!L5&lt;&gt;"",Scenarios!L5,"")</f>
        <v>0.86259221475724557</v>
      </c>
      <c r="L20" s="105">
        <f>IF(Scenarios!M5&lt;&gt;"",Scenarios!M5,"")</f>
        <v>0.75906077754107681</v>
      </c>
      <c r="M20" s="105" t="str">
        <f>IF(Scenarios!N5&lt;&gt;"",Scenarios!N5,"")</f>
        <v/>
      </c>
      <c r="N20" s="105" t="str">
        <f>IF(Scenarios!O5&lt;&gt;"",Scenarios!O5,"")</f>
        <v/>
      </c>
      <c r="O20" s="106" t="str">
        <f>IF(Scenarios!P5&lt;&gt;"",Scenarios!P5,"")</f>
        <v/>
      </c>
    </row>
    <row r="21" spans="1:16">
      <c r="A21" s="39" t="str">
        <f>IF(Scenarios!A6&lt;&gt;"",Scenarios!A6,"")</f>
        <v>Emerging market debt</v>
      </c>
      <c r="B21" s="42">
        <f>IF(Scenarios!C30&lt;&gt;"",Scenarios!C30,"")</f>
        <v>1.45681608513176E-2</v>
      </c>
      <c r="C21" s="40">
        <f>IF(Scenarios!D6&lt;&gt;"",Scenarios!D6,"")</f>
        <v>0.16217253275473525</v>
      </c>
      <c r="D21" s="104">
        <f>IF(Scenarios!E6&lt;&gt;"",Scenarios!E6,"")</f>
        <v>0.50486216106822102</v>
      </c>
      <c r="E21" s="105">
        <f>IF(Scenarios!F6&lt;&gt;"",Scenarios!F6,"")</f>
        <v>0.943383227457673</v>
      </c>
      <c r="F21" s="105">
        <f>IF(Scenarios!G6&lt;&gt;"",Scenarios!G6,"")</f>
        <v>1</v>
      </c>
      <c r="G21" s="105">
        <f>IF(Scenarios!H6&lt;&gt;"",Scenarios!H6,"")</f>
        <v>0.77223648924957744</v>
      </c>
      <c r="H21" s="105">
        <f>IF(Scenarios!I6&lt;&gt;"",Scenarios!I6,"")</f>
        <v>0.79023745754825636</v>
      </c>
      <c r="I21" s="105">
        <f>IF(Scenarios!J6&lt;&gt;"",Scenarios!J6,"")</f>
        <v>0.63110682083437419</v>
      </c>
      <c r="J21" s="105">
        <f>IF(Scenarios!K6&lt;&gt;"",Scenarios!K6,"")</f>
        <v>0.87120901203593171</v>
      </c>
      <c r="K21" s="105">
        <f>IF(Scenarios!L6&lt;&gt;"",Scenarios!L6,"")</f>
        <v>0.86536847063850975</v>
      </c>
      <c r="L21" s="105">
        <f>IF(Scenarios!M6&lt;&gt;"",Scenarios!M6,"")</f>
        <v>0.72481655312346349</v>
      </c>
      <c r="M21" s="105" t="str">
        <f>IF(Scenarios!N6&lt;&gt;"",Scenarios!N6,"")</f>
        <v/>
      </c>
      <c r="N21" s="105" t="str">
        <f>IF(Scenarios!O6&lt;&gt;"",Scenarios!O6,"")</f>
        <v/>
      </c>
      <c r="O21" s="106" t="str">
        <f>IF(Scenarios!P6&lt;&gt;"",Scenarios!P6,"")</f>
        <v/>
      </c>
    </row>
    <row r="22" spans="1:16">
      <c r="A22" s="39" t="str">
        <f>IF(Scenarios!A7&lt;&gt;"",Scenarios!A7,"")</f>
        <v>Aandelen ontwikkeld</v>
      </c>
      <c r="B22" s="42">
        <f>IF(Scenarios!C31&lt;&gt;"",Scenarios!C31,"")</f>
        <v>-1.272492445230269E-2</v>
      </c>
      <c r="C22" s="40">
        <f>IF(Scenarios!D7&lt;&gt;"",Scenarios!D7,"")</f>
        <v>0.28718972670468956</v>
      </c>
      <c r="D22" s="104">
        <f>IF(Scenarios!E7&lt;&gt;"",Scenarios!E7,"")</f>
        <v>0.2548754055202187</v>
      </c>
      <c r="E22" s="105">
        <f>IF(Scenarios!F7&lt;&gt;"",Scenarios!F7,"")</f>
        <v>0.74070013517974975</v>
      </c>
      <c r="F22" s="105">
        <f>IF(Scenarios!G7&lt;&gt;"",Scenarios!G7,"")</f>
        <v>0.77223648924957744</v>
      </c>
      <c r="G22" s="105">
        <f>IF(Scenarios!H7&lt;&gt;"",Scenarios!H7,"")</f>
        <v>1</v>
      </c>
      <c r="H22" s="105">
        <f>IF(Scenarios!I7&lt;&gt;"",Scenarios!I7,"")</f>
        <v>0.81106497730540505</v>
      </c>
      <c r="I22" s="105">
        <f>IF(Scenarios!J7&lt;&gt;"",Scenarios!J7,"")</f>
        <v>0.69909036020626758</v>
      </c>
      <c r="J22" s="105">
        <f>IF(Scenarios!K7&lt;&gt;"",Scenarios!K7,"")</f>
        <v>0.74571542163255744</v>
      </c>
      <c r="K22" s="105">
        <f>IF(Scenarios!L7&lt;&gt;"",Scenarios!L7,"")</f>
        <v>0.88603334197313832</v>
      </c>
      <c r="L22" s="105">
        <f>IF(Scenarios!M7&lt;&gt;"",Scenarios!M7,"")</f>
        <v>0.62515021546234684</v>
      </c>
      <c r="M22" s="105" t="str">
        <f>IF(Scenarios!N7&lt;&gt;"",Scenarios!N7,"")</f>
        <v/>
      </c>
      <c r="N22" s="105" t="str">
        <f>IF(Scenarios!O7&lt;&gt;"",Scenarios!O7,"")</f>
        <v/>
      </c>
      <c r="O22" s="106" t="str">
        <f>IF(Scenarios!P7&lt;&gt;"",Scenarios!P7,"")</f>
        <v/>
      </c>
    </row>
    <row r="23" spans="1:16">
      <c r="A23" s="39" t="str">
        <f>IF(Scenarios!A8&lt;&gt;"",Scenarios!A8,"")</f>
        <v>Aandelen opkomend</v>
      </c>
      <c r="B23" s="42">
        <f>IF(Scenarios!C32&lt;&gt;"",Scenarios!C32,"")</f>
        <v>5.7893485302571407E-2</v>
      </c>
      <c r="C23" s="40">
        <f>IF(Scenarios!D8&lt;&gt;"",Scenarios!D8,"")</f>
        <v>0.29616397669669142</v>
      </c>
      <c r="D23" s="104">
        <f>IF(Scenarios!E8&lt;&gt;"",Scenarios!E8,"")</f>
        <v>0.29680815289593021</v>
      </c>
      <c r="E23" s="105">
        <f>IF(Scenarios!F8&lt;&gt;"",Scenarios!F8,"")</f>
        <v>0.74187676376193967</v>
      </c>
      <c r="F23" s="105">
        <f>IF(Scenarios!G8&lt;&gt;"",Scenarios!G8,"")</f>
        <v>0.79023745754825636</v>
      </c>
      <c r="G23" s="105">
        <f>IF(Scenarios!H8&lt;&gt;"",Scenarios!H8,"")</f>
        <v>0.81106497730540505</v>
      </c>
      <c r="H23" s="105">
        <f>IF(Scenarios!I8&lt;&gt;"",Scenarios!I8,"")</f>
        <v>0.99999999999999978</v>
      </c>
      <c r="I23" s="105">
        <f>IF(Scenarios!J8&lt;&gt;"",Scenarios!J8,"")</f>
        <v>0.63944069654526292</v>
      </c>
      <c r="J23" s="105">
        <f>IF(Scenarios!K8&lt;&gt;"",Scenarios!K8,"")</f>
        <v>0.64591301484464436</v>
      </c>
      <c r="K23" s="105">
        <f>IF(Scenarios!L8&lt;&gt;"",Scenarios!L8,"")</f>
        <v>0.78448428807756676</v>
      </c>
      <c r="L23" s="105">
        <f>IF(Scenarios!M8&lt;&gt;"",Scenarios!M8,"")</f>
        <v>0.51393319492259693</v>
      </c>
      <c r="M23" s="105" t="str">
        <f>IF(Scenarios!N8&lt;&gt;"",Scenarios!N8,"")</f>
        <v/>
      </c>
      <c r="N23" s="105" t="str">
        <f>IF(Scenarios!O8&lt;&gt;"",Scenarios!O8,"")</f>
        <v/>
      </c>
      <c r="O23" s="106" t="str">
        <f>IF(Scenarios!P8&lt;&gt;"",Scenarios!P8,"")</f>
        <v/>
      </c>
    </row>
    <row r="24" spans="1:16">
      <c r="A24" s="39" t="str">
        <f>IF(Scenarios!A9&lt;&gt;"",Scenarios!A9,"")</f>
        <v>Commodities</v>
      </c>
      <c r="B24" s="42">
        <f>IF(Scenarios!C33&lt;&gt;"",Scenarios!C33,"")</f>
        <v>7.1858480605475325E-2</v>
      </c>
      <c r="C24" s="40">
        <f>IF(Scenarios!D9&lt;&gt;"",Scenarios!D9,"")</f>
        <v>0.32648216646211403</v>
      </c>
      <c r="D24" s="104">
        <f>IF(Scenarios!E9&lt;&gt;"",Scenarios!E9,"")</f>
        <v>0.25154461316198523</v>
      </c>
      <c r="E24" s="105">
        <f>IF(Scenarios!F9&lt;&gt;"",Scenarios!F9,"")</f>
        <v>0.60846903584875167</v>
      </c>
      <c r="F24" s="105">
        <f>IF(Scenarios!G9&lt;&gt;"",Scenarios!G9,"")</f>
        <v>0.6311068208343743</v>
      </c>
      <c r="G24" s="105">
        <f>IF(Scenarios!H9&lt;&gt;"",Scenarios!H9,"")</f>
        <v>0.69909036020626758</v>
      </c>
      <c r="H24" s="105">
        <f>IF(Scenarios!I9&lt;&gt;"",Scenarios!I9,"")</f>
        <v>0.63944069654526281</v>
      </c>
      <c r="I24" s="105">
        <f>IF(Scenarios!J9&lt;&gt;"",Scenarios!J9,"")</f>
        <v>0.99999999999999978</v>
      </c>
      <c r="J24" s="105">
        <f>IF(Scenarios!K9&lt;&gt;"",Scenarios!K9,"")</f>
        <v>0.57555638609831095</v>
      </c>
      <c r="K24" s="105">
        <f>IF(Scenarios!L9&lt;&gt;"",Scenarios!L9,"")</f>
        <v>0.6706441294402975</v>
      </c>
      <c r="L24" s="105">
        <f>IF(Scenarios!M9&lt;&gt;"",Scenarios!M9,"")</f>
        <v>0.49865020725851583</v>
      </c>
      <c r="M24" s="105" t="str">
        <f>IF(Scenarios!N9&lt;&gt;"",Scenarios!N9,"")</f>
        <v/>
      </c>
      <c r="N24" s="105" t="str">
        <f>IF(Scenarios!O9&lt;&gt;"",Scenarios!O9,"")</f>
        <v/>
      </c>
      <c r="O24" s="106" t="str">
        <f>IF(Scenarios!P9&lt;&gt;"",Scenarios!P9,"")</f>
        <v/>
      </c>
    </row>
    <row r="25" spans="1:16">
      <c r="A25" s="39" t="str">
        <f>IF(Scenarios!A10&lt;&gt;"",Scenarios!A10,"")</f>
        <v>Hedge funds</v>
      </c>
      <c r="B25" s="42">
        <f>IF(Scenarios!C34&lt;&gt;"",Scenarios!C34,"")</f>
        <v>1.8730269708989476E-2</v>
      </c>
      <c r="C25" s="40">
        <f>IF(Scenarios!D10&lt;&gt;"",Scenarios!D10,"")</f>
        <v>0.16076897495152093</v>
      </c>
      <c r="D25" s="104">
        <f>IF(Scenarios!E10&lt;&gt;"",Scenarios!E10,"")</f>
        <v>0.488213192416737</v>
      </c>
      <c r="E25" s="105">
        <f>IF(Scenarios!F10&lt;&gt;"",Scenarios!F10,"")</f>
        <v>0.86668583493806206</v>
      </c>
      <c r="F25" s="105">
        <f>IF(Scenarios!G10&lt;&gt;"",Scenarios!G10,"")</f>
        <v>0.87120901203593182</v>
      </c>
      <c r="G25" s="105">
        <f>IF(Scenarios!H10&lt;&gt;"",Scenarios!H10,"")</f>
        <v>0.74571542163255744</v>
      </c>
      <c r="H25" s="105">
        <f>IF(Scenarios!I10&lt;&gt;"",Scenarios!I10,"")</f>
        <v>0.64591301484464425</v>
      </c>
      <c r="I25" s="105">
        <f>IF(Scenarios!J10&lt;&gt;"",Scenarios!J10,"")</f>
        <v>0.57555638609831083</v>
      </c>
      <c r="J25" s="105">
        <f>IF(Scenarios!K10&lt;&gt;"",Scenarios!K10,"")</f>
        <v>1.0000000000000002</v>
      </c>
      <c r="K25" s="105">
        <f>IF(Scenarios!L10&lt;&gt;"",Scenarios!L10,"")</f>
        <v>0.79740125449060317</v>
      </c>
      <c r="L25" s="105">
        <f>IF(Scenarios!M10&lt;&gt;"",Scenarios!M10,"")</f>
        <v>0.6990511874231996</v>
      </c>
      <c r="M25" s="105" t="str">
        <f>IF(Scenarios!N10&lt;&gt;"",Scenarios!N10,"")</f>
        <v/>
      </c>
      <c r="N25" s="105" t="str">
        <f>IF(Scenarios!O10&lt;&gt;"",Scenarios!O10,"")</f>
        <v/>
      </c>
      <c r="O25" s="106" t="str">
        <f>IF(Scenarios!P10&lt;&gt;"",Scenarios!P10,"")</f>
        <v/>
      </c>
    </row>
    <row r="26" spans="1:16">
      <c r="A26" s="39" t="str">
        <f>IF(Scenarios!A11&lt;&gt;"",Scenarios!A11,"")</f>
        <v>Onroerend goed</v>
      </c>
      <c r="B26" s="42">
        <f>IF(Scenarios!C35&lt;&gt;"",Scenarios!C35,"")</f>
        <v>-5.9825766089863959E-3</v>
      </c>
      <c r="C26" s="40">
        <f>IF(Scenarios!D11&lt;&gt;"",Scenarios!D11,"")</f>
        <v>0.20064050365322861</v>
      </c>
      <c r="D26" s="104">
        <f>IF(Scenarios!E11&lt;&gt;"",Scenarios!E11,"")</f>
        <v>0.39542796227510135</v>
      </c>
      <c r="E26" s="105">
        <f>IF(Scenarios!F11&lt;&gt;"",Scenarios!F11,"")</f>
        <v>0.86259221475724557</v>
      </c>
      <c r="F26" s="105">
        <f>IF(Scenarios!G11&lt;&gt;"",Scenarios!G11,"")</f>
        <v>0.86536847063850963</v>
      </c>
      <c r="G26" s="105">
        <f>IF(Scenarios!H11&lt;&gt;"",Scenarios!H11,"")</f>
        <v>0.88603334197313832</v>
      </c>
      <c r="H26" s="105">
        <f>IF(Scenarios!I11&lt;&gt;"",Scenarios!I11,"")</f>
        <v>0.78448428807756676</v>
      </c>
      <c r="I26" s="105">
        <f>IF(Scenarios!J11&lt;&gt;"",Scenarios!J11,"")</f>
        <v>0.67064412944029761</v>
      </c>
      <c r="J26" s="105">
        <f>IF(Scenarios!K11&lt;&gt;"",Scenarios!K11,"")</f>
        <v>0.79740125449060328</v>
      </c>
      <c r="K26" s="105">
        <f>IF(Scenarios!L11&lt;&gt;"",Scenarios!L11,"")</f>
        <v>1.0000000000000002</v>
      </c>
      <c r="L26" s="105">
        <f>IF(Scenarios!M11&lt;&gt;"",Scenarios!M11,"")</f>
        <v>0.74626676152997484</v>
      </c>
      <c r="M26" s="105" t="str">
        <f>IF(Scenarios!N11&lt;&gt;"",Scenarios!N11,"")</f>
        <v/>
      </c>
      <c r="N26" s="105" t="str">
        <f>IF(Scenarios!O11&lt;&gt;"",Scenarios!O11,"")</f>
        <v/>
      </c>
      <c r="O26" s="106" t="str">
        <f>IF(Scenarios!P11&lt;&gt;"",Scenarios!P11,"")</f>
        <v/>
      </c>
    </row>
    <row r="27" spans="1:16">
      <c r="A27" s="39" t="str">
        <f>IF(Scenarios!A12&lt;&gt;"",Scenarios!A12,"")</f>
        <v>Periferie bonds</v>
      </c>
      <c r="B27" s="42">
        <f>IF(Scenarios!C36&lt;&gt;"",Scenarios!C36,"")</f>
        <v>3.8404573676165434E-3</v>
      </c>
      <c r="C27" s="40">
        <f>IF(Scenarios!D12&lt;&gt;"",Scenarios!D12,"")</f>
        <v>0.17312066928436093</v>
      </c>
      <c r="D27" s="104">
        <f>IF(Scenarios!E12&lt;&gt;"",Scenarios!E12,"")</f>
        <v>0.47422188785278774</v>
      </c>
      <c r="E27" s="105">
        <f>IF(Scenarios!F12&lt;&gt;"",Scenarios!F12,"")</f>
        <v>0.75906077754107693</v>
      </c>
      <c r="F27" s="105">
        <f>IF(Scenarios!G12&lt;&gt;"",Scenarios!G12,"")</f>
        <v>0.72481655312346349</v>
      </c>
      <c r="G27" s="105">
        <f>IF(Scenarios!H12&lt;&gt;"",Scenarios!H12,"")</f>
        <v>0.62515021546234673</v>
      </c>
      <c r="H27" s="105">
        <f>IF(Scenarios!I12&lt;&gt;"",Scenarios!I12,"")</f>
        <v>0.51393319492259693</v>
      </c>
      <c r="I27" s="105">
        <f>IF(Scenarios!J12&lt;&gt;"",Scenarios!J12,"")</f>
        <v>0.49865020725851572</v>
      </c>
      <c r="J27" s="105">
        <f>IF(Scenarios!K12&lt;&gt;"",Scenarios!K12,"")</f>
        <v>0.69905118742319949</v>
      </c>
      <c r="K27" s="105">
        <f>IF(Scenarios!L12&lt;&gt;"",Scenarios!L12,"")</f>
        <v>0.74626676152997495</v>
      </c>
      <c r="L27" s="105">
        <f>IF(Scenarios!M12&lt;&gt;"",Scenarios!M12,"")</f>
        <v>0.99999999999999989</v>
      </c>
      <c r="M27" s="105" t="str">
        <f>IF(Scenarios!N12&lt;&gt;"",Scenarios!N12,"")</f>
        <v/>
      </c>
      <c r="N27" s="105" t="str">
        <f>IF(Scenarios!O12&lt;&gt;"",Scenarios!O12,"")</f>
        <v/>
      </c>
      <c r="O27" s="106" t="str">
        <f>IF(Scenarios!P12&lt;&gt;"",Scenarios!P12,"")</f>
        <v/>
      </c>
    </row>
    <row r="28" spans="1:16">
      <c r="A28" s="39" t="str">
        <f>IF(Scenarios!A13&lt;&gt;"",Scenarios!A13,"")</f>
        <v/>
      </c>
      <c r="B28" s="42" t="str">
        <f>IF(Scenarios!C37&lt;&gt;"",Scenarios!C37,"")</f>
        <v/>
      </c>
      <c r="C28" s="40" t="str">
        <f>IF(Scenarios!D13&lt;&gt;"",Scenarios!D13,"")</f>
        <v/>
      </c>
      <c r="D28" s="104" t="str">
        <f>IF(Scenarios!E13&lt;&gt;"",Scenarios!E13,"")</f>
        <v/>
      </c>
      <c r="E28" s="105" t="str">
        <f>IF(Scenarios!F13&lt;&gt;"",Scenarios!F13,"")</f>
        <v/>
      </c>
      <c r="F28" s="105" t="str">
        <f>IF(Scenarios!G13&lt;&gt;"",Scenarios!G13,"")</f>
        <v/>
      </c>
      <c r="G28" s="105" t="str">
        <f>IF(Scenarios!H13&lt;&gt;"",Scenarios!H13,"")</f>
        <v/>
      </c>
      <c r="H28" s="105" t="str">
        <f>IF(Scenarios!I13&lt;&gt;"",Scenarios!I13,"")</f>
        <v/>
      </c>
      <c r="I28" s="105" t="str">
        <f>IF(Scenarios!J13&lt;&gt;"",Scenarios!J13,"")</f>
        <v/>
      </c>
      <c r="J28" s="105" t="str">
        <f>IF(Scenarios!K13&lt;&gt;"",Scenarios!K13,"")</f>
        <v/>
      </c>
      <c r="K28" s="105" t="str">
        <f>IF(Scenarios!L13&lt;&gt;"",Scenarios!L13,"")</f>
        <v/>
      </c>
      <c r="L28" s="105" t="str">
        <f>IF(Scenarios!M13&lt;&gt;"",Scenarios!M13,"")</f>
        <v/>
      </c>
      <c r="M28" s="105" t="str">
        <f>IF(Scenarios!N13&lt;&gt;"",Scenarios!N13,"")</f>
        <v/>
      </c>
      <c r="N28" s="105" t="str">
        <f>IF(Scenarios!O13&lt;&gt;"",Scenarios!O13,"")</f>
        <v/>
      </c>
      <c r="O28" s="106" t="str">
        <f>IF(Scenarios!P13&lt;&gt;"",Scenarios!P13,"")</f>
        <v/>
      </c>
    </row>
    <row r="29" spans="1:16">
      <c r="A29" s="39" t="str">
        <f>IF(Scenarios!A14&lt;&gt;"",Scenarios!A14,"")</f>
        <v/>
      </c>
      <c r="B29" s="42" t="str">
        <f>IF(Scenarios!C38&lt;&gt;"",Scenarios!C38,"")</f>
        <v/>
      </c>
      <c r="C29" s="40" t="str">
        <f>IF(Scenarios!D14&lt;&gt;"",Scenarios!D14,"")</f>
        <v/>
      </c>
      <c r="D29" s="104" t="str">
        <f>IF(Scenarios!E14&lt;&gt;"",Scenarios!E14,"")</f>
        <v/>
      </c>
      <c r="E29" s="105" t="str">
        <f>IF(Scenarios!F14&lt;&gt;"",Scenarios!F14,"")</f>
        <v/>
      </c>
      <c r="F29" s="105" t="str">
        <f>IF(Scenarios!G14&lt;&gt;"",Scenarios!G14,"")</f>
        <v/>
      </c>
      <c r="G29" s="105" t="str">
        <f>IF(Scenarios!H14&lt;&gt;"",Scenarios!H14,"")</f>
        <v/>
      </c>
      <c r="H29" s="105" t="str">
        <f>IF(Scenarios!I14&lt;&gt;"",Scenarios!I14,"")</f>
        <v/>
      </c>
      <c r="I29" s="105" t="str">
        <f>IF(Scenarios!J14&lt;&gt;"",Scenarios!J14,"")</f>
        <v/>
      </c>
      <c r="J29" s="105" t="str">
        <f>IF(Scenarios!K14&lt;&gt;"",Scenarios!K14,"")</f>
        <v/>
      </c>
      <c r="K29" s="105" t="str">
        <f>IF(Scenarios!L14&lt;&gt;"",Scenarios!L14,"")</f>
        <v/>
      </c>
      <c r="L29" s="105" t="str">
        <f>IF(Scenarios!M14&lt;&gt;"",Scenarios!M14,"")</f>
        <v/>
      </c>
      <c r="M29" s="105" t="str">
        <f>IF(Scenarios!N14&lt;&gt;"",Scenarios!N14,"")</f>
        <v/>
      </c>
      <c r="N29" s="105" t="str">
        <f>IF(Scenarios!O14&lt;&gt;"",Scenarios!O14,"")</f>
        <v/>
      </c>
      <c r="O29" s="106" t="str">
        <f>IF(Scenarios!P14&lt;&gt;"",Scenarios!P14,"")</f>
        <v/>
      </c>
    </row>
    <row r="30" spans="1:16" ht="13.5" thickBot="1">
      <c r="A30" s="350" t="str">
        <f>IF(Scenarios!A15&lt;&gt;"",Scenarios!A15,"")</f>
        <v/>
      </c>
      <c r="B30" s="354" t="str">
        <f>IF(Scenarios!C39&lt;&gt;"",Scenarios!C39,"")</f>
        <v/>
      </c>
      <c r="C30" s="351" t="str">
        <f>IF(Scenarios!D15&lt;&gt;"",Scenarios!D15,"")</f>
        <v/>
      </c>
      <c r="D30" s="352" t="str">
        <f>IF(Scenarios!E15&lt;&gt;"",Scenarios!E15,"")</f>
        <v/>
      </c>
      <c r="E30" s="369" t="str">
        <f>IF(Scenarios!F15&lt;&gt;"",Scenarios!F15,"")</f>
        <v/>
      </c>
      <c r="F30" s="369" t="str">
        <f>IF(Scenarios!G15&lt;&gt;"",Scenarios!G15,"")</f>
        <v/>
      </c>
      <c r="G30" s="369" t="str">
        <f>IF(Scenarios!H15&lt;&gt;"",Scenarios!H15,"")</f>
        <v/>
      </c>
      <c r="H30" s="369" t="str">
        <f>IF(Scenarios!I15&lt;&gt;"",Scenarios!I15,"")</f>
        <v/>
      </c>
      <c r="I30" s="369" t="str">
        <f>IF(Scenarios!J15&lt;&gt;"",Scenarios!J15,"")</f>
        <v/>
      </c>
      <c r="J30" s="369" t="str">
        <f>IF(Scenarios!K15&lt;&gt;"",Scenarios!K15,"")</f>
        <v/>
      </c>
      <c r="K30" s="369" t="str">
        <f>IF(Scenarios!L15&lt;&gt;"",Scenarios!L15,"")</f>
        <v/>
      </c>
      <c r="L30" s="369" t="str">
        <f>IF(Scenarios!M15&lt;&gt;"",Scenarios!M15,"")</f>
        <v/>
      </c>
      <c r="M30" s="369" t="str">
        <f>IF(Scenarios!N15&lt;&gt;"",Scenarios!N15,"")</f>
        <v/>
      </c>
      <c r="N30" s="369" t="str">
        <f>IF(Scenarios!O15&lt;&gt;"",Scenarios!O15,"")</f>
        <v/>
      </c>
      <c r="O30" s="353" t="str">
        <f>IF(Scenarios!P15&lt;&gt;"",Scenarios!P15,"")</f>
        <v/>
      </c>
    </row>
    <row r="32" spans="1:16" ht="13.5" thickBot="1"/>
    <row r="33" spans="1:16" ht="15.75" thickBot="1">
      <c r="A33" s="41" t="str">
        <f>Scenarios!D27</f>
        <v>Base - muddle down</v>
      </c>
      <c r="B33" s="37" t="s">
        <v>1</v>
      </c>
      <c r="C33" s="38" t="s">
        <v>2</v>
      </c>
      <c r="D33" s="384" t="s">
        <v>3</v>
      </c>
      <c r="E33" s="385"/>
      <c r="F33" s="385"/>
      <c r="G33" s="385"/>
      <c r="H33" s="385"/>
      <c r="I33" s="385"/>
      <c r="J33" s="385"/>
      <c r="K33" s="385"/>
      <c r="L33" s="386"/>
      <c r="M33" s="386"/>
      <c r="N33" s="386"/>
      <c r="O33" s="387"/>
    </row>
    <row r="34" spans="1:16">
      <c r="A34" s="39" t="str">
        <f>IF(Scenarios!A4&lt;&gt;"",Scenarios!A4,"")</f>
        <v>Nominale matching</v>
      </c>
      <c r="B34" s="40">
        <f>IF(Scenarios!D28&lt;&gt;"",Scenarios!D28,"")</f>
        <v>-1.0761362748873404E-3</v>
      </c>
      <c r="C34" s="40">
        <f>IF(Scenarios!D4&lt;&gt;"",Scenarios!D4,"")</f>
        <v>4.3450149472468363E-2</v>
      </c>
      <c r="D34" s="373">
        <f>IF(Scenarios!E4&lt;&gt;"",Scenarios!E4,"")</f>
        <v>1</v>
      </c>
      <c r="E34" s="371">
        <f>IF(Scenarios!F4&lt;&gt;"",Scenarios!F4,"")</f>
        <v>0.5243300313487167</v>
      </c>
      <c r="F34" s="371">
        <f>IF(Scenarios!G4&lt;&gt;"",Scenarios!G4,"")</f>
        <v>0.5048621610682209</v>
      </c>
      <c r="G34" s="371">
        <f>IF(Scenarios!H4&lt;&gt;"",Scenarios!H4,"")</f>
        <v>0.25487540552021803</v>
      </c>
      <c r="H34" s="371">
        <f>IF(Scenarios!I4&lt;&gt;"",Scenarios!I4,"")</f>
        <v>0.29680815289592971</v>
      </c>
      <c r="I34" s="371">
        <f>IF(Scenarios!J4&lt;&gt;"",Scenarios!J4,"")</f>
        <v>0.25154461316198484</v>
      </c>
      <c r="J34" s="371">
        <f>IF(Scenarios!K4&lt;&gt;"",Scenarios!K4,"")</f>
        <v>0.48821319241673689</v>
      </c>
      <c r="K34" s="371">
        <f>IF(Scenarios!L4&lt;&gt;"",Scenarios!L4,"")</f>
        <v>0.39542796227510119</v>
      </c>
      <c r="L34" s="371">
        <f>IF(Scenarios!M4&lt;&gt;"",Scenarios!M4,"")</f>
        <v>0.47422188785278757</v>
      </c>
      <c r="M34" s="371" t="str">
        <f>IF(Scenarios!N4&lt;&gt;"",Scenarios!N4,"")</f>
        <v/>
      </c>
      <c r="N34" s="371" t="str">
        <f>IF(Scenarios!O4&lt;&gt;"",Scenarios!O4,"")</f>
        <v/>
      </c>
      <c r="O34" s="372" t="str">
        <f>IF(Scenarios!P4&lt;&gt;"",Scenarios!P4,"")</f>
        <v/>
      </c>
      <c r="P34" s="220" t="s">
        <v>119</v>
      </c>
    </row>
    <row r="35" spans="1:16">
      <c r="A35" s="39" t="str">
        <f>IF(Scenarios!A5&lt;&gt;"",Scenarios!A5,"")</f>
        <v>High Yield</v>
      </c>
      <c r="B35" s="42">
        <f>IF(Scenarios!D29&lt;&gt;"",Scenarios!D29,"")</f>
        <v>-8.65324500372157E-2</v>
      </c>
      <c r="C35" s="221">
        <f>IF(Scenarios!D5&lt;&gt;"",Scenarios!D5,"")</f>
        <v>0.15853561014014847</v>
      </c>
      <c r="D35" s="224">
        <f>IF(Scenarios!E5&lt;&gt;"",Scenarios!E5,"")</f>
        <v>0.52433003134871636</v>
      </c>
      <c r="E35" s="225">
        <f>IF(Scenarios!F5&lt;&gt;"",Scenarios!F5,"")</f>
        <v>1</v>
      </c>
      <c r="F35" s="225">
        <f>IF(Scenarios!G5&lt;&gt;"",Scenarios!G5,"")</f>
        <v>0.94338322745767289</v>
      </c>
      <c r="G35" s="225">
        <f>IF(Scenarios!H5&lt;&gt;"",Scenarios!H5,"")</f>
        <v>0.74070013517974964</v>
      </c>
      <c r="H35" s="225">
        <f>IF(Scenarios!I5&lt;&gt;"",Scenarios!I5,"")</f>
        <v>0.74187676376193956</v>
      </c>
      <c r="I35" s="225">
        <f>IF(Scenarios!J5&lt;&gt;"",Scenarios!J5,"")</f>
        <v>0.60846903584875156</v>
      </c>
      <c r="J35" s="105">
        <f>IF(Scenarios!K5&lt;&gt;"",Scenarios!K5,"")</f>
        <v>0.86668583493806206</v>
      </c>
      <c r="K35" s="105">
        <f>IF(Scenarios!L5&lt;&gt;"",Scenarios!L5,"")</f>
        <v>0.86259221475724557</v>
      </c>
      <c r="L35" s="105">
        <f>IF(Scenarios!M5&lt;&gt;"",Scenarios!M5,"")</f>
        <v>0.75906077754107681</v>
      </c>
      <c r="M35" s="105" t="str">
        <f>IF(Scenarios!N5&lt;&gt;"",Scenarios!N5,"")</f>
        <v/>
      </c>
      <c r="N35" s="105" t="str">
        <f>IF(Scenarios!O5&lt;&gt;"",Scenarios!O5,"")</f>
        <v/>
      </c>
      <c r="O35" s="106" t="str">
        <f>IF(Scenarios!P5&lt;&gt;"",Scenarios!P5,"")</f>
        <v/>
      </c>
    </row>
    <row r="36" spans="1:16">
      <c r="A36" s="39" t="str">
        <f>IF(Scenarios!A6&lt;&gt;"",Scenarios!A6,"")</f>
        <v>Emerging market debt</v>
      </c>
      <c r="B36" s="42">
        <f>IF(Scenarios!D30&lt;&gt;"",Scenarios!D30,"")</f>
        <v>-2.1111513867647543E-2</v>
      </c>
      <c r="C36" s="221">
        <f>IF(Scenarios!D6&lt;&gt;"",Scenarios!D6,"")</f>
        <v>0.16217253275473525</v>
      </c>
      <c r="D36" s="224">
        <f>IF(Scenarios!E6&lt;&gt;"",Scenarios!E6,"")</f>
        <v>0.50486216106822102</v>
      </c>
      <c r="E36" s="225">
        <f>IF(Scenarios!F6&lt;&gt;"",Scenarios!F6,"")</f>
        <v>0.943383227457673</v>
      </c>
      <c r="F36" s="225">
        <f>IF(Scenarios!G6&lt;&gt;"",Scenarios!G6,"")</f>
        <v>1</v>
      </c>
      <c r="G36" s="225">
        <f>IF(Scenarios!H6&lt;&gt;"",Scenarios!H6,"")</f>
        <v>0.77223648924957744</v>
      </c>
      <c r="H36" s="225">
        <f>IF(Scenarios!I6&lt;&gt;"",Scenarios!I6,"")</f>
        <v>0.79023745754825636</v>
      </c>
      <c r="I36" s="225">
        <f>IF(Scenarios!J6&lt;&gt;"",Scenarios!J6,"")</f>
        <v>0.63110682083437419</v>
      </c>
      <c r="J36" s="105">
        <f>IF(Scenarios!K6&lt;&gt;"",Scenarios!K6,"")</f>
        <v>0.87120901203593171</v>
      </c>
      <c r="K36" s="105">
        <f>IF(Scenarios!L6&lt;&gt;"",Scenarios!L6,"")</f>
        <v>0.86536847063850975</v>
      </c>
      <c r="L36" s="105">
        <f>IF(Scenarios!M6&lt;&gt;"",Scenarios!M6,"")</f>
        <v>0.72481655312346349</v>
      </c>
      <c r="M36" s="105" t="str">
        <f>IF(Scenarios!N6&lt;&gt;"",Scenarios!N6,"")</f>
        <v/>
      </c>
      <c r="N36" s="105" t="str">
        <f>IF(Scenarios!O6&lt;&gt;"",Scenarios!O6,"")</f>
        <v/>
      </c>
      <c r="O36" s="106" t="str">
        <f>IF(Scenarios!P6&lt;&gt;"",Scenarios!P6,"")</f>
        <v/>
      </c>
    </row>
    <row r="37" spans="1:16">
      <c r="A37" s="39" t="str">
        <f>IF(Scenarios!A7&lt;&gt;"",Scenarios!A7,"")</f>
        <v>Aandelen ontwikkeld</v>
      </c>
      <c r="B37" s="42">
        <f>IF(Scenarios!D31&lt;&gt;"",Scenarios!D31,"")</f>
        <v>-0.19311368459773193</v>
      </c>
      <c r="C37" s="221">
        <f>IF(Scenarios!D7&lt;&gt;"",Scenarios!D7,"")</f>
        <v>0.28718972670468956</v>
      </c>
      <c r="D37" s="224">
        <f>IF(Scenarios!E7&lt;&gt;"",Scenarios!E7,"")</f>
        <v>0.2548754055202187</v>
      </c>
      <c r="E37" s="225">
        <f>IF(Scenarios!F7&lt;&gt;"",Scenarios!F7,"")</f>
        <v>0.74070013517974975</v>
      </c>
      <c r="F37" s="225">
        <f>IF(Scenarios!G7&lt;&gt;"",Scenarios!G7,"")</f>
        <v>0.77223648924957744</v>
      </c>
      <c r="G37" s="225">
        <f>IF(Scenarios!H7&lt;&gt;"",Scenarios!H7,"")</f>
        <v>1</v>
      </c>
      <c r="H37" s="225">
        <f>IF(Scenarios!I7&lt;&gt;"",Scenarios!I7,"")</f>
        <v>0.81106497730540505</v>
      </c>
      <c r="I37" s="225">
        <f>IF(Scenarios!J7&lt;&gt;"",Scenarios!J7,"")</f>
        <v>0.69909036020626758</v>
      </c>
      <c r="J37" s="105">
        <f>IF(Scenarios!K7&lt;&gt;"",Scenarios!K7,"")</f>
        <v>0.74571542163255744</v>
      </c>
      <c r="K37" s="105">
        <f>IF(Scenarios!L7&lt;&gt;"",Scenarios!L7,"")</f>
        <v>0.88603334197313832</v>
      </c>
      <c r="L37" s="105">
        <f>IF(Scenarios!M7&lt;&gt;"",Scenarios!M7,"")</f>
        <v>0.62515021546234684</v>
      </c>
      <c r="M37" s="105" t="str">
        <f>IF(Scenarios!N7&lt;&gt;"",Scenarios!N7,"")</f>
        <v/>
      </c>
      <c r="N37" s="105" t="str">
        <f>IF(Scenarios!O7&lt;&gt;"",Scenarios!O7,"")</f>
        <v/>
      </c>
      <c r="O37" s="106" t="str">
        <f>IF(Scenarios!P7&lt;&gt;"",Scenarios!P7,"")</f>
        <v/>
      </c>
    </row>
    <row r="38" spans="1:16">
      <c r="A38" s="39" t="str">
        <f>IF(Scenarios!A8&lt;&gt;"",Scenarios!A8,"")</f>
        <v>Aandelen opkomend</v>
      </c>
      <c r="B38" s="42">
        <f>IF(Scenarios!D32&lt;&gt;"",Scenarios!D32,"")</f>
        <v>-6.9261756645690273E-2</v>
      </c>
      <c r="C38" s="221">
        <f>IF(Scenarios!D8&lt;&gt;"",Scenarios!D8,"")</f>
        <v>0.29616397669669142</v>
      </c>
      <c r="D38" s="224">
        <f>IF(Scenarios!E8&lt;&gt;"",Scenarios!E8,"")</f>
        <v>0.29680815289593021</v>
      </c>
      <c r="E38" s="225">
        <f>IF(Scenarios!F8&lt;&gt;"",Scenarios!F8,"")</f>
        <v>0.74187676376193967</v>
      </c>
      <c r="F38" s="225">
        <f>IF(Scenarios!G8&lt;&gt;"",Scenarios!G8,"")</f>
        <v>0.79023745754825636</v>
      </c>
      <c r="G38" s="225">
        <f>IF(Scenarios!H8&lt;&gt;"",Scenarios!H8,"")</f>
        <v>0.81106497730540505</v>
      </c>
      <c r="H38" s="225">
        <f>IF(Scenarios!I8&lt;&gt;"",Scenarios!I8,"")</f>
        <v>0.99999999999999978</v>
      </c>
      <c r="I38" s="225">
        <f>IF(Scenarios!J8&lt;&gt;"",Scenarios!J8,"")</f>
        <v>0.63944069654526292</v>
      </c>
      <c r="J38" s="105">
        <f>IF(Scenarios!K8&lt;&gt;"",Scenarios!K8,"")</f>
        <v>0.64591301484464436</v>
      </c>
      <c r="K38" s="105">
        <f>IF(Scenarios!L8&lt;&gt;"",Scenarios!L8,"")</f>
        <v>0.78448428807756676</v>
      </c>
      <c r="L38" s="105">
        <f>IF(Scenarios!M8&lt;&gt;"",Scenarios!M8,"")</f>
        <v>0.51393319492259693</v>
      </c>
      <c r="M38" s="105" t="str">
        <f>IF(Scenarios!N8&lt;&gt;"",Scenarios!N8,"")</f>
        <v/>
      </c>
      <c r="N38" s="105" t="str">
        <f>IF(Scenarios!O8&lt;&gt;"",Scenarios!O8,"")</f>
        <v/>
      </c>
      <c r="O38" s="106" t="str">
        <f>IF(Scenarios!P8&lt;&gt;"",Scenarios!P8,"")</f>
        <v/>
      </c>
    </row>
    <row r="39" spans="1:16">
      <c r="A39" s="39" t="str">
        <f>IF(Scenarios!A9&lt;&gt;"",Scenarios!A9,"")</f>
        <v>Commodities</v>
      </c>
      <c r="B39" s="42">
        <f>IF(Scenarios!D33&lt;&gt;"",Scenarios!D33,"")</f>
        <v>1.202667991596415E-2</v>
      </c>
      <c r="C39" s="221">
        <f>IF(Scenarios!D9&lt;&gt;"",Scenarios!D9,"")</f>
        <v>0.32648216646211403</v>
      </c>
      <c r="D39" s="224">
        <f>IF(Scenarios!E9&lt;&gt;"",Scenarios!E9,"")</f>
        <v>0.25154461316198523</v>
      </c>
      <c r="E39" s="225">
        <f>IF(Scenarios!F9&lt;&gt;"",Scenarios!F9,"")</f>
        <v>0.60846903584875167</v>
      </c>
      <c r="F39" s="225">
        <f>IF(Scenarios!G9&lt;&gt;"",Scenarios!G9,"")</f>
        <v>0.6311068208343743</v>
      </c>
      <c r="G39" s="225">
        <f>IF(Scenarios!H9&lt;&gt;"",Scenarios!H9,"")</f>
        <v>0.69909036020626758</v>
      </c>
      <c r="H39" s="225">
        <f>IF(Scenarios!I9&lt;&gt;"",Scenarios!I9,"")</f>
        <v>0.63944069654526281</v>
      </c>
      <c r="I39" s="225">
        <f>IF(Scenarios!J9&lt;&gt;"",Scenarios!J9,"")</f>
        <v>0.99999999999999978</v>
      </c>
      <c r="J39" s="105">
        <f>IF(Scenarios!K9&lt;&gt;"",Scenarios!K9,"")</f>
        <v>0.57555638609831095</v>
      </c>
      <c r="K39" s="105">
        <f>IF(Scenarios!L9&lt;&gt;"",Scenarios!L9,"")</f>
        <v>0.6706441294402975</v>
      </c>
      <c r="L39" s="105">
        <f>IF(Scenarios!M9&lt;&gt;"",Scenarios!M9,"")</f>
        <v>0.49865020725851583</v>
      </c>
      <c r="M39" s="105" t="str">
        <f>IF(Scenarios!N9&lt;&gt;"",Scenarios!N9,"")</f>
        <v/>
      </c>
      <c r="N39" s="105" t="str">
        <f>IF(Scenarios!O9&lt;&gt;"",Scenarios!O9,"")</f>
        <v/>
      </c>
      <c r="O39" s="106" t="str">
        <f>IF(Scenarios!P9&lt;&gt;"",Scenarios!P9,"")</f>
        <v/>
      </c>
    </row>
    <row r="40" spans="1:16">
      <c r="A40" s="39" t="str">
        <f>IF(Scenarios!A10&lt;&gt;"",Scenarios!A10,"")</f>
        <v>Hedge funds</v>
      </c>
      <c r="B40" s="42">
        <f>IF(Scenarios!D34&lt;&gt;"",Scenarios!D34,"")</f>
        <v>-4.6790508294452839E-2</v>
      </c>
      <c r="C40" s="221">
        <f>IF(Scenarios!D10&lt;&gt;"",Scenarios!D10,"")</f>
        <v>0.16076897495152093</v>
      </c>
      <c r="D40" s="224">
        <f>IF(Scenarios!E10&lt;&gt;"",Scenarios!E10,"")</f>
        <v>0.488213192416737</v>
      </c>
      <c r="E40" s="225">
        <f>IF(Scenarios!F10&lt;&gt;"",Scenarios!F10,"")</f>
        <v>0.86668583493806206</v>
      </c>
      <c r="F40" s="225">
        <f>IF(Scenarios!G10&lt;&gt;"",Scenarios!G10,"")</f>
        <v>0.87120901203593182</v>
      </c>
      <c r="G40" s="225">
        <f>IF(Scenarios!H10&lt;&gt;"",Scenarios!H10,"")</f>
        <v>0.74571542163255744</v>
      </c>
      <c r="H40" s="225">
        <f>IF(Scenarios!I10&lt;&gt;"",Scenarios!I10,"")</f>
        <v>0.64591301484464425</v>
      </c>
      <c r="I40" s="225">
        <f>IF(Scenarios!J10&lt;&gt;"",Scenarios!J10,"")</f>
        <v>0.57555638609831083</v>
      </c>
      <c r="J40" s="105">
        <f>IF(Scenarios!K10&lt;&gt;"",Scenarios!K10,"")</f>
        <v>1.0000000000000002</v>
      </c>
      <c r="K40" s="105">
        <f>IF(Scenarios!L10&lt;&gt;"",Scenarios!L10,"")</f>
        <v>0.79740125449060317</v>
      </c>
      <c r="L40" s="105">
        <f>IF(Scenarios!M10&lt;&gt;"",Scenarios!M10,"")</f>
        <v>0.6990511874231996</v>
      </c>
      <c r="M40" s="105" t="str">
        <f>IF(Scenarios!N10&lt;&gt;"",Scenarios!N10,"")</f>
        <v/>
      </c>
      <c r="N40" s="105" t="str">
        <f>IF(Scenarios!O10&lt;&gt;"",Scenarios!O10,"")</f>
        <v/>
      </c>
      <c r="O40" s="106" t="str">
        <f>IF(Scenarios!P10&lt;&gt;"",Scenarios!P10,"")</f>
        <v/>
      </c>
    </row>
    <row r="41" spans="1:16">
      <c r="A41" s="39" t="str">
        <f>IF(Scenarios!A11&lt;&gt;"",Scenarios!A11,"")</f>
        <v>Onroerend goed</v>
      </c>
      <c r="B41" s="42">
        <f>IF(Scenarios!D35&lt;&gt;"",Scenarios!D35,"")</f>
        <v>-0.13956067047136589</v>
      </c>
      <c r="C41" s="221">
        <f>IF(Scenarios!D11&lt;&gt;"",Scenarios!D11,"")</f>
        <v>0.20064050365322861</v>
      </c>
      <c r="D41" s="224">
        <f>IF(Scenarios!E11&lt;&gt;"",Scenarios!E11,"")</f>
        <v>0.39542796227510135</v>
      </c>
      <c r="E41" s="225">
        <f>IF(Scenarios!F11&lt;&gt;"",Scenarios!F11,"")</f>
        <v>0.86259221475724557</v>
      </c>
      <c r="F41" s="225">
        <f>IF(Scenarios!G11&lt;&gt;"",Scenarios!G11,"")</f>
        <v>0.86536847063850963</v>
      </c>
      <c r="G41" s="225">
        <f>IF(Scenarios!H11&lt;&gt;"",Scenarios!H11,"")</f>
        <v>0.88603334197313832</v>
      </c>
      <c r="H41" s="225">
        <f>IF(Scenarios!I11&lt;&gt;"",Scenarios!I11,"")</f>
        <v>0.78448428807756676</v>
      </c>
      <c r="I41" s="225">
        <f>IF(Scenarios!J11&lt;&gt;"",Scenarios!J11,"")</f>
        <v>0.67064412944029761</v>
      </c>
      <c r="J41" s="105">
        <f>IF(Scenarios!K11&lt;&gt;"",Scenarios!K11,"")</f>
        <v>0.79740125449060328</v>
      </c>
      <c r="K41" s="105">
        <f>IF(Scenarios!L11&lt;&gt;"",Scenarios!L11,"")</f>
        <v>1.0000000000000002</v>
      </c>
      <c r="L41" s="105">
        <f>IF(Scenarios!M11&lt;&gt;"",Scenarios!M11,"")</f>
        <v>0.74626676152997484</v>
      </c>
      <c r="M41" s="105" t="str">
        <f>IF(Scenarios!N11&lt;&gt;"",Scenarios!N11,"")</f>
        <v/>
      </c>
      <c r="N41" s="105" t="str">
        <f>IF(Scenarios!O11&lt;&gt;"",Scenarios!O11,"")</f>
        <v/>
      </c>
      <c r="O41" s="106" t="str">
        <f>IF(Scenarios!P11&lt;&gt;"",Scenarios!P11,"")</f>
        <v/>
      </c>
    </row>
    <row r="42" spans="1:16">
      <c r="A42" s="39" t="str">
        <f>IF(Scenarios!A12&lt;&gt;"",Scenarios!A12,"")</f>
        <v>Periferie bonds</v>
      </c>
      <c r="B42" s="42">
        <f>IF(Scenarios!D36&lt;&gt;"",Scenarios!D36,"")</f>
        <v>-0.14672572762255914</v>
      </c>
      <c r="C42" s="221">
        <f>IF(Scenarios!D12&lt;&gt;"",Scenarios!D12,"")</f>
        <v>0.17312066928436093</v>
      </c>
      <c r="D42" s="224">
        <f>IF(Scenarios!E12&lt;&gt;"",Scenarios!E12,"")</f>
        <v>0.47422188785278774</v>
      </c>
      <c r="E42" s="225">
        <f>IF(Scenarios!F12&lt;&gt;"",Scenarios!F12,"")</f>
        <v>0.75906077754107693</v>
      </c>
      <c r="F42" s="225">
        <f>IF(Scenarios!G12&lt;&gt;"",Scenarios!G12,"")</f>
        <v>0.72481655312346349</v>
      </c>
      <c r="G42" s="225">
        <f>IF(Scenarios!H12&lt;&gt;"",Scenarios!H12,"")</f>
        <v>0.62515021546234673</v>
      </c>
      <c r="H42" s="225">
        <f>IF(Scenarios!I12&lt;&gt;"",Scenarios!I12,"")</f>
        <v>0.51393319492259693</v>
      </c>
      <c r="I42" s="225">
        <f>IF(Scenarios!J12&lt;&gt;"",Scenarios!J12,"")</f>
        <v>0.49865020725851572</v>
      </c>
      <c r="J42" s="105">
        <f>IF(Scenarios!K12&lt;&gt;"",Scenarios!K12,"")</f>
        <v>0.69905118742319949</v>
      </c>
      <c r="K42" s="105">
        <f>IF(Scenarios!L12&lt;&gt;"",Scenarios!L12,"")</f>
        <v>0.74626676152997495</v>
      </c>
      <c r="L42" s="105">
        <f>IF(Scenarios!M12&lt;&gt;"",Scenarios!M12,"")</f>
        <v>0.99999999999999989</v>
      </c>
      <c r="M42" s="105" t="str">
        <f>IF(Scenarios!N12&lt;&gt;"",Scenarios!N12,"")</f>
        <v/>
      </c>
      <c r="N42" s="105" t="str">
        <f>IF(Scenarios!O12&lt;&gt;"",Scenarios!O12,"")</f>
        <v/>
      </c>
      <c r="O42" s="106" t="str">
        <f>IF(Scenarios!P12&lt;&gt;"",Scenarios!P12,"")</f>
        <v/>
      </c>
    </row>
    <row r="43" spans="1:16">
      <c r="A43" s="39" t="str">
        <f>IF(Scenarios!A13&lt;&gt;"",Scenarios!A13,"")</f>
        <v/>
      </c>
      <c r="B43" s="42" t="str">
        <f>IF(Scenarios!D37&lt;&gt;"",Scenarios!D37,"")</f>
        <v/>
      </c>
      <c r="C43" s="221" t="str">
        <f>IF(Scenarios!D13&lt;&gt;"",Scenarios!D13,"")</f>
        <v/>
      </c>
      <c r="D43" s="224" t="str">
        <f>IF(Scenarios!E13&lt;&gt;"",Scenarios!E13,"")</f>
        <v/>
      </c>
      <c r="E43" s="225" t="str">
        <f>IF(Scenarios!F13&lt;&gt;"",Scenarios!F13,"")</f>
        <v/>
      </c>
      <c r="F43" s="225" t="str">
        <f>IF(Scenarios!G13&lt;&gt;"",Scenarios!G13,"")</f>
        <v/>
      </c>
      <c r="G43" s="225" t="str">
        <f>IF(Scenarios!H13&lt;&gt;"",Scenarios!H13,"")</f>
        <v/>
      </c>
      <c r="H43" s="225" t="str">
        <f>IF(Scenarios!I13&lt;&gt;"",Scenarios!I13,"")</f>
        <v/>
      </c>
      <c r="I43" s="225" t="str">
        <f>IF(Scenarios!J13&lt;&gt;"",Scenarios!J13,"")</f>
        <v/>
      </c>
      <c r="J43" s="105" t="str">
        <f>IF(Scenarios!K13&lt;&gt;"",Scenarios!K13,"")</f>
        <v/>
      </c>
      <c r="K43" s="105" t="str">
        <f>IF(Scenarios!L13&lt;&gt;"",Scenarios!L13,"")</f>
        <v/>
      </c>
      <c r="L43" s="105" t="str">
        <f>IF(Scenarios!M13&lt;&gt;"",Scenarios!M13,"")</f>
        <v/>
      </c>
      <c r="M43" s="105" t="str">
        <f>IF(Scenarios!N13&lt;&gt;"",Scenarios!N13,"")</f>
        <v/>
      </c>
      <c r="N43" s="105" t="str">
        <f>IF(Scenarios!O13&lt;&gt;"",Scenarios!O13,"")</f>
        <v/>
      </c>
      <c r="O43" s="106" t="str">
        <f>IF(Scenarios!P13&lt;&gt;"",Scenarios!P13,"")</f>
        <v/>
      </c>
    </row>
    <row r="44" spans="1:16">
      <c r="A44" s="39" t="str">
        <f>IF(Scenarios!A14&lt;&gt;"",Scenarios!A14,"")</f>
        <v/>
      </c>
      <c r="B44" s="42" t="str">
        <f>IF(Scenarios!D38&lt;&gt;"",Scenarios!D38,"")</f>
        <v/>
      </c>
      <c r="C44" s="221" t="str">
        <f>IF(Scenarios!D14&lt;&gt;"",Scenarios!D14,"")</f>
        <v/>
      </c>
      <c r="D44" s="224" t="str">
        <f>IF(Scenarios!E14&lt;&gt;"",Scenarios!E14,"")</f>
        <v/>
      </c>
      <c r="E44" s="225" t="str">
        <f>IF(Scenarios!F14&lt;&gt;"",Scenarios!F14,"")</f>
        <v/>
      </c>
      <c r="F44" s="225" t="str">
        <f>IF(Scenarios!G14&lt;&gt;"",Scenarios!G14,"")</f>
        <v/>
      </c>
      <c r="G44" s="225" t="str">
        <f>IF(Scenarios!H14&lt;&gt;"",Scenarios!H14,"")</f>
        <v/>
      </c>
      <c r="H44" s="225" t="str">
        <f>IF(Scenarios!I14&lt;&gt;"",Scenarios!I14,"")</f>
        <v/>
      </c>
      <c r="I44" s="225" t="str">
        <f>IF(Scenarios!J14&lt;&gt;"",Scenarios!J14,"")</f>
        <v/>
      </c>
      <c r="J44" s="105" t="str">
        <f>IF(Scenarios!K14&lt;&gt;"",Scenarios!K14,"")</f>
        <v/>
      </c>
      <c r="K44" s="105" t="str">
        <f>IF(Scenarios!L14&lt;&gt;"",Scenarios!L14,"")</f>
        <v/>
      </c>
      <c r="L44" s="105" t="str">
        <f>IF(Scenarios!M14&lt;&gt;"",Scenarios!M14,"")</f>
        <v/>
      </c>
      <c r="M44" s="105" t="str">
        <f>IF(Scenarios!N14&lt;&gt;"",Scenarios!N14,"")</f>
        <v/>
      </c>
      <c r="N44" s="105" t="str">
        <f>IF(Scenarios!O14&lt;&gt;"",Scenarios!O14,"")</f>
        <v/>
      </c>
      <c r="O44" s="106" t="str">
        <f>IF(Scenarios!P14&lt;&gt;"",Scenarios!P14,"")</f>
        <v/>
      </c>
    </row>
    <row r="45" spans="1:16" ht="13.5" thickBot="1">
      <c r="A45" s="350" t="str">
        <f>IF(Scenarios!A15&lt;&gt;"",Scenarios!A15,"")</f>
        <v/>
      </c>
      <c r="B45" s="354" t="str">
        <f>IF(Scenarios!D39&lt;&gt;"",Scenarios!D39,"")</f>
        <v/>
      </c>
      <c r="C45" s="355" t="str">
        <f>IF(Scenarios!D15&lt;&gt;"",Scenarios!D15,"")</f>
        <v/>
      </c>
      <c r="D45" s="361" t="str">
        <f>IF(Scenarios!E15&lt;&gt;"",Scenarios!E15,"")</f>
        <v/>
      </c>
      <c r="E45" s="370" t="str">
        <f>IF(Scenarios!F15&lt;&gt;"",Scenarios!F15,"")</f>
        <v/>
      </c>
      <c r="F45" s="370" t="str">
        <f>IF(Scenarios!G15&lt;&gt;"",Scenarios!G15,"")</f>
        <v/>
      </c>
      <c r="G45" s="370" t="str">
        <f>IF(Scenarios!H15&lt;&gt;"",Scenarios!H15,"")</f>
        <v/>
      </c>
      <c r="H45" s="370" t="str">
        <f>IF(Scenarios!I15&lt;&gt;"",Scenarios!I15,"")</f>
        <v/>
      </c>
      <c r="I45" s="370" t="str">
        <f>IF(Scenarios!J15&lt;&gt;"",Scenarios!J15,"")</f>
        <v/>
      </c>
      <c r="J45" s="369" t="str">
        <f>IF(Scenarios!K15&lt;&gt;"",Scenarios!K15,"")</f>
        <v/>
      </c>
      <c r="K45" s="369" t="str">
        <f>IF(Scenarios!L15&lt;&gt;"",Scenarios!L15,"")</f>
        <v/>
      </c>
      <c r="L45" s="369" t="str">
        <f>IF(Scenarios!M15&lt;&gt;"",Scenarios!M15,"")</f>
        <v/>
      </c>
      <c r="M45" s="369" t="str">
        <f>IF(Scenarios!N15&lt;&gt;"",Scenarios!N15,"")</f>
        <v/>
      </c>
      <c r="N45" s="369" t="str">
        <f>IF(Scenarios!O15&lt;&gt;"",Scenarios!O15,"")</f>
        <v/>
      </c>
      <c r="O45" s="353" t="str">
        <f>IF(Scenarios!P15&lt;&gt;"",Scenarios!P15,"")</f>
        <v/>
      </c>
    </row>
    <row r="47" spans="1:16" ht="13.5" thickBot="1"/>
    <row r="48" spans="1:16" ht="15.75" thickBot="1">
      <c r="A48" s="41" t="str">
        <f>Scenarios!E27</f>
        <v>Base - muddle up</v>
      </c>
      <c r="B48" s="37" t="s">
        <v>1</v>
      </c>
      <c r="C48" s="38" t="s">
        <v>2</v>
      </c>
      <c r="D48" s="384" t="s">
        <v>3</v>
      </c>
      <c r="E48" s="385"/>
      <c r="F48" s="385"/>
      <c r="G48" s="385"/>
      <c r="H48" s="385"/>
      <c r="I48" s="385"/>
      <c r="J48" s="385"/>
      <c r="K48" s="385"/>
      <c r="L48" s="386"/>
      <c r="M48" s="386"/>
      <c r="N48" s="386"/>
      <c r="O48" s="387"/>
    </row>
    <row r="49" spans="1:16">
      <c r="A49" s="39" t="str">
        <f>IF(Scenarios!A4&lt;&gt;"",Scenarios!A4,"")</f>
        <v>Nominale matching</v>
      </c>
      <c r="B49" s="40">
        <f>IF(Scenarios!E28&lt;&gt;"",Scenarios!E28,"")</f>
        <v>-3.4179872754884488E-3</v>
      </c>
      <c r="C49" s="40">
        <f>IF(Scenarios!D4&lt;&gt;"",Scenarios!D4,"")</f>
        <v>4.3450149472468363E-2</v>
      </c>
      <c r="D49" s="373">
        <f>IF(Scenarios!E4&lt;&gt;"",Scenarios!E4,"")</f>
        <v>1</v>
      </c>
      <c r="E49" s="371">
        <f>IF(Scenarios!F4&lt;&gt;"",Scenarios!F4,"")</f>
        <v>0.5243300313487167</v>
      </c>
      <c r="F49" s="371">
        <f>IF(Scenarios!G4&lt;&gt;"",Scenarios!G4,"")</f>
        <v>0.5048621610682209</v>
      </c>
      <c r="G49" s="371">
        <f>IF(Scenarios!H4&lt;&gt;"",Scenarios!H4,"")</f>
        <v>0.25487540552021803</v>
      </c>
      <c r="H49" s="371">
        <f>IF(Scenarios!I4&lt;&gt;"",Scenarios!I4,"")</f>
        <v>0.29680815289592971</v>
      </c>
      <c r="I49" s="371">
        <f>IF(Scenarios!J4&lt;&gt;"",Scenarios!J4,"")</f>
        <v>0.25154461316198484</v>
      </c>
      <c r="J49" s="371">
        <f>IF(Scenarios!K4&lt;&gt;"",Scenarios!K4,"")</f>
        <v>0.48821319241673689</v>
      </c>
      <c r="K49" s="371">
        <f>IF(Scenarios!L4&lt;&gt;"",Scenarios!L4,"")</f>
        <v>0.39542796227510119</v>
      </c>
      <c r="L49" s="371">
        <f>IF(Scenarios!M4&lt;&gt;"",Scenarios!M4,"")</f>
        <v>0.47422188785278757</v>
      </c>
      <c r="M49" s="371" t="str">
        <f>IF(Scenarios!N4&lt;&gt;"",Scenarios!N4,"")</f>
        <v/>
      </c>
      <c r="N49" s="371" t="str">
        <f>IF(Scenarios!O4&lt;&gt;"",Scenarios!O4,"")</f>
        <v/>
      </c>
      <c r="O49" s="372" t="str">
        <f>IF(Scenarios!P4&lt;&gt;"",Scenarios!P4,"")</f>
        <v/>
      </c>
      <c r="P49" s="220" t="s">
        <v>119</v>
      </c>
    </row>
    <row r="50" spans="1:16">
      <c r="A50" s="39" t="str">
        <f>IF(Scenarios!A5&lt;&gt;"",Scenarios!A5,"")</f>
        <v>High Yield</v>
      </c>
      <c r="B50" s="42">
        <f>IF(Scenarios!E29&lt;&gt;"",Scenarios!E29,"")</f>
        <v>5.1526244290784291E-2</v>
      </c>
      <c r="C50" s="221">
        <f>IF(Scenarios!D5&lt;&gt;"",Scenarios!D5,"")</f>
        <v>0.15853561014014847</v>
      </c>
      <c r="D50" s="224">
        <f>IF(Scenarios!E5&lt;&gt;"",Scenarios!E5,"")</f>
        <v>0.52433003134871636</v>
      </c>
      <c r="E50" s="225">
        <f>IF(Scenarios!F5&lt;&gt;"",Scenarios!F5,"")</f>
        <v>1</v>
      </c>
      <c r="F50" s="225">
        <f>IF(Scenarios!G5&lt;&gt;"",Scenarios!G5,"")</f>
        <v>0.94338322745767289</v>
      </c>
      <c r="G50" s="225">
        <f>IF(Scenarios!H5&lt;&gt;"",Scenarios!H5,"")</f>
        <v>0.74070013517974964</v>
      </c>
      <c r="H50" s="225">
        <f>IF(Scenarios!I5&lt;&gt;"",Scenarios!I5,"")</f>
        <v>0.74187676376193956</v>
      </c>
      <c r="I50" s="225">
        <f>IF(Scenarios!J5&lt;&gt;"",Scenarios!J5,"")</f>
        <v>0.60846903584875156</v>
      </c>
      <c r="J50" s="105">
        <f>IF(Scenarios!K5&lt;&gt;"",Scenarios!K5,"")</f>
        <v>0.86668583493806206</v>
      </c>
      <c r="K50" s="105">
        <f>IF(Scenarios!L5&lt;&gt;"",Scenarios!L5,"")</f>
        <v>0.86259221475724557</v>
      </c>
      <c r="L50" s="105">
        <f>IF(Scenarios!M5&lt;&gt;"",Scenarios!M5,"")</f>
        <v>0.75906077754107681</v>
      </c>
      <c r="M50" s="105" t="str">
        <f>IF(Scenarios!N5&lt;&gt;"",Scenarios!N5,"")</f>
        <v/>
      </c>
      <c r="N50" s="105" t="str">
        <f>IF(Scenarios!O5&lt;&gt;"",Scenarios!O5,"")</f>
        <v/>
      </c>
      <c r="O50" s="106" t="str">
        <f>IF(Scenarios!P5&lt;&gt;"",Scenarios!P5,"")</f>
        <v/>
      </c>
    </row>
    <row r="51" spans="1:16">
      <c r="A51" s="39" t="str">
        <f>IF(Scenarios!A6&lt;&gt;"",Scenarios!A6,"")</f>
        <v>Emerging market debt</v>
      </c>
      <c r="B51" s="42">
        <f>IF(Scenarios!E30&lt;&gt;"",Scenarios!E30,"")</f>
        <v>3.2357333960853253E-3</v>
      </c>
      <c r="C51" s="221">
        <f>IF(Scenarios!D6&lt;&gt;"",Scenarios!D6,"")</f>
        <v>0.16217253275473525</v>
      </c>
      <c r="D51" s="224">
        <f>IF(Scenarios!E6&lt;&gt;"",Scenarios!E6,"")</f>
        <v>0.50486216106822102</v>
      </c>
      <c r="E51" s="225">
        <f>IF(Scenarios!F6&lt;&gt;"",Scenarios!F6,"")</f>
        <v>0.943383227457673</v>
      </c>
      <c r="F51" s="225">
        <f>IF(Scenarios!G6&lt;&gt;"",Scenarios!G6,"")</f>
        <v>1</v>
      </c>
      <c r="G51" s="225">
        <f>IF(Scenarios!H6&lt;&gt;"",Scenarios!H6,"")</f>
        <v>0.77223648924957744</v>
      </c>
      <c r="H51" s="225">
        <f>IF(Scenarios!I6&lt;&gt;"",Scenarios!I6,"")</f>
        <v>0.79023745754825636</v>
      </c>
      <c r="I51" s="225">
        <f>IF(Scenarios!J6&lt;&gt;"",Scenarios!J6,"")</f>
        <v>0.63110682083437419</v>
      </c>
      <c r="J51" s="105">
        <f>IF(Scenarios!K6&lt;&gt;"",Scenarios!K6,"")</f>
        <v>0.87120901203593171</v>
      </c>
      <c r="K51" s="105">
        <f>IF(Scenarios!L6&lt;&gt;"",Scenarios!L6,"")</f>
        <v>0.86536847063850975</v>
      </c>
      <c r="L51" s="105">
        <f>IF(Scenarios!M6&lt;&gt;"",Scenarios!M6,"")</f>
        <v>0.72481655312346349</v>
      </c>
      <c r="M51" s="105" t="str">
        <f>IF(Scenarios!N6&lt;&gt;"",Scenarios!N6,"")</f>
        <v/>
      </c>
      <c r="N51" s="105" t="str">
        <f>IF(Scenarios!O6&lt;&gt;"",Scenarios!O6,"")</f>
        <v/>
      </c>
      <c r="O51" s="106" t="str">
        <f>IF(Scenarios!P6&lt;&gt;"",Scenarios!P6,"")</f>
        <v/>
      </c>
    </row>
    <row r="52" spans="1:16">
      <c r="A52" s="39" t="str">
        <f>IF(Scenarios!A7&lt;&gt;"",Scenarios!A7,"")</f>
        <v>Aandelen ontwikkeld</v>
      </c>
      <c r="B52" s="42">
        <f>IF(Scenarios!E31&lt;&gt;"",Scenarios!E31,"")</f>
        <v>4.3944352615336905E-2</v>
      </c>
      <c r="C52" s="221">
        <f>IF(Scenarios!D7&lt;&gt;"",Scenarios!D7,"")</f>
        <v>0.28718972670468956</v>
      </c>
      <c r="D52" s="224">
        <f>IF(Scenarios!E7&lt;&gt;"",Scenarios!E7,"")</f>
        <v>0.2548754055202187</v>
      </c>
      <c r="E52" s="225">
        <f>IF(Scenarios!F7&lt;&gt;"",Scenarios!F7,"")</f>
        <v>0.74070013517974975</v>
      </c>
      <c r="F52" s="225">
        <f>IF(Scenarios!G7&lt;&gt;"",Scenarios!G7,"")</f>
        <v>0.77223648924957744</v>
      </c>
      <c r="G52" s="225">
        <f>IF(Scenarios!H7&lt;&gt;"",Scenarios!H7,"")</f>
        <v>1</v>
      </c>
      <c r="H52" s="225">
        <f>IF(Scenarios!I7&lt;&gt;"",Scenarios!I7,"")</f>
        <v>0.81106497730540505</v>
      </c>
      <c r="I52" s="225">
        <f>IF(Scenarios!J7&lt;&gt;"",Scenarios!J7,"")</f>
        <v>0.69909036020626758</v>
      </c>
      <c r="J52" s="105">
        <f>IF(Scenarios!K7&lt;&gt;"",Scenarios!K7,"")</f>
        <v>0.74571542163255744</v>
      </c>
      <c r="K52" s="105">
        <f>IF(Scenarios!L7&lt;&gt;"",Scenarios!L7,"")</f>
        <v>0.88603334197313832</v>
      </c>
      <c r="L52" s="105">
        <f>IF(Scenarios!M7&lt;&gt;"",Scenarios!M7,"")</f>
        <v>0.62515021546234684</v>
      </c>
      <c r="M52" s="105" t="str">
        <f>IF(Scenarios!N7&lt;&gt;"",Scenarios!N7,"")</f>
        <v/>
      </c>
      <c r="N52" s="105" t="str">
        <f>IF(Scenarios!O7&lt;&gt;"",Scenarios!O7,"")</f>
        <v/>
      </c>
      <c r="O52" s="106" t="str">
        <f>IF(Scenarios!P7&lt;&gt;"",Scenarios!P7,"")</f>
        <v/>
      </c>
    </row>
    <row r="53" spans="1:16">
      <c r="A53" s="39" t="str">
        <f>IF(Scenarios!A8&lt;&gt;"",Scenarios!A8,"")</f>
        <v>Aandelen opkomend</v>
      </c>
      <c r="B53" s="42">
        <f>IF(Scenarios!E32&lt;&gt;"",Scenarios!E32,"")</f>
        <v>7.474963400472559E-2</v>
      </c>
      <c r="C53" s="221">
        <f>IF(Scenarios!D8&lt;&gt;"",Scenarios!D8,"")</f>
        <v>0.29616397669669142</v>
      </c>
      <c r="D53" s="224">
        <f>IF(Scenarios!E8&lt;&gt;"",Scenarios!E8,"")</f>
        <v>0.29680815289593021</v>
      </c>
      <c r="E53" s="225">
        <f>IF(Scenarios!F8&lt;&gt;"",Scenarios!F8,"")</f>
        <v>0.74187676376193967</v>
      </c>
      <c r="F53" s="225">
        <f>IF(Scenarios!G8&lt;&gt;"",Scenarios!G8,"")</f>
        <v>0.79023745754825636</v>
      </c>
      <c r="G53" s="225">
        <f>IF(Scenarios!H8&lt;&gt;"",Scenarios!H8,"")</f>
        <v>0.81106497730540505</v>
      </c>
      <c r="H53" s="225">
        <f>IF(Scenarios!I8&lt;&gt;"",Scenarios!I8,"")</f>
        <v>0.99999999999999978</v>
      </c>
      <c r="I53" s="225">
        <f>IF(Scenarios!J8&lt;&gt;"",Scenarios!J8,"")</f>
        <v>0.63944069654526292</v>
      </c>
      <c r="J53" s="105">
        <f>IF(Scenarios!K8&lt;&gt;"",Scenarios!K8,"")</f>
        <v>0.64591301484464436</v>
      </c>
      <c r="K53" s="105">
        <f>IF(Scenarios!L8&lt;&gt;"",Scenarios!L8,"")</f>
        <v>0.78448428807756676</v>
      </c>
      <c r="L53" s="105">
        <f>IF(Scenarios!M8&lt;&gt;"",Scenarios!M8,"")</f>
        <v>0.51393319492259693</v>
      </c>
      <c r="M53" s="105" t="str">
        <f>IF(Scenarios!N8&lt;&gt;"",Scenarios!N8,"")</f>
        <v/>
      </c>
      <c r="N53" s="105" t="str">
        <f>IF(Scenarios!O8&lt;&gt;"",Scenarios!O8,"")</f>
        <v/>
      </c>
      <c r="O53" s="106" t="str">
        <f>IF(Scenarios!P8&lt;&gt;"",Scenarios!P8,"")</f>
        <v/>
      </c>
    </row>
    <row r="54" spans="1:16">
      <c r="A54" s="39" t="str">
        <f>IF(Scenarios!A9&lt;&gt;"",Scenarios!A9,"")</f>
        <v>Commodities</v>
      </c>
      <c r="B54" s="42">
        <f>IF(Scenarios!E33&lt;&gt;"",Scenarios!E33,"")</f>
        <v>8.5249207175964209E-2</v>
      </c>
      <c r="C54" s="221">
        <f>IF(Scenarios!D9&lt;&gt;"",Scenarios!D9,"")</f>
        <v>0.32648216646211403</v>
      </c>
      <c r="D54" s="224">
        <f>IF(Scenarios!E9&lt;&gt;"",Scenarios!E9,"")</f>
        <v>0.25154461316198523</v>
      </c>
      <c r="E54" s="225">
        <f>IF(Scenarios!F9&lt;&gt;"",Scenarios!F9,"")</f>
        <v>0.60846903584875167</v>
      </c>
      <c r="F54" s="225">
        <f>IF(Scenarios!G9&lt;&gt;"",Scenarios!G9,"")</f>
        <v>0.6311068208343743</v>
      </c>
      <c r="G54" s="225">
        <f>IF(Scenarios!H9&lt;&gt;"",Scenarios!H9,"")</f>
        <v>0.69909036020626758</v>
      </c>
      <c r="H54" s="225">
        <f>IF(Scenarios!I9&lt;&gt;"",Scenarios!I9,"")</f>
        <v>0.63944069654526281</v>
      </c>
      <c r="I54" s="225">
        <f>IF(Scenarios!J9&lt;&gt;"",Scenarios!J9,"")</f>
        <v>0.99999999999999978</v>
      </c>
      <c r="J54" s="105">
        <f>IF(Scenarios!K9&lt;&gt;"",Scenarios!K9,"")</f>
        <v>0.57555638609831095</v>
      </c>
      <c r="K54" s="105">
        <f>IF(Scenarios!L9&lt;&gt;"",Scenarios!L9,"")</f>
        <v>0.6706441294402975</v>
      </c>
      <c r="L54" s="105">
        <f>IF(Scenarios!M9&lt;&gt;"",Scenarios!M9,"")</f>
        <v>0.49865020725851583</v>
      </c>
      <c r="M54" s="105" t="str">
        <f>IF(Scenarios!N9&lt;&gt;"",Scenarios!N9,"")</f>
        <v/>
      </c>
      <c r="N54" s="105" t="str">
        <f>IF(Scenarios!O9&lt;&gt;"",Scenarios!O9,"")</f>
        <v/>
      </c>
      <c r="O54" s="106" t="str">
        <f>IF(Scenarios!P9&lt;&gt;"",Scenarios!P9,"")</f>
        <v/>
      </c>
    </row>
    <row r="55" spans="1:16">
      <c r="A55" s="39" t="str">
        <f>IF(Scenarios!A10&lt;&gt;"",Scenarios!A10,"")</f>
        <v>Hedge funds</v>
      </c>
      <c r="B55" s="42">
        <f>IF(Scenarios!E34&lt;&gt;"",Scenarios!E34,"")</f>
        <v>1.8215216611987023E-2</v>
      </c>
      <c r="C55" s="221">
        <f>IF(Scenarios!D10&lt;&gt;"",Scenarios!D10,"")</f>
        <v>0.16076897495152093</v>
      </c>
      <c r="D55" s="224">
        <f>IF(Scenarios!E10&lt;&gt;"",Scenarios!E10,"")</f>
        <v>0.488213192416737</v>
      </c>
      <c r="E55" s="225">
        <f>IF(Scenarios!F10&lt;&gt;"",Scenarios!F10,"")</f>
        <v>0.86668583493806206</v>
      </c>
      <c r="F55" s="225">
        <f>IF(Scenarios!G10&lt;&gt;"",Scenarios!G10,"")</f>
        <v>0.87120901203593182</v>
      </c>
      <c r="G55" s="225">
        <f>IF(Scenarios!H10&lt;&gt;"",Scenarios!H10,"")</f>
        <v>0.74571542163255744</v>
      </c>
      <c r="H55" s="225">
        <f>IF(Scenarios!I10&lt;&gt;"",Scenarios!I10,"")</f>
        <v>0.64591301484464425</v>
      </c>
      <c r="I55" s="225">
        <f>IF(Scenarios!J10&lt;&gt;"",Scenarios!J10,"")</f>
        <v>0.57555638609831083</v>
      </c>
      <c r="J55" s="105">
        <f>IF(Scenarios!K10&lt;&gt;"",Scenarios!K10,"")</f>
        <v>1.0000000000000002</v>
      </c>
      <c r="K55" s="105">
        <f>IF(Scenarios!L10&lt;&gt;"",Scenarios!L10,"")</f>
        <v>0.79740125449060317</v>
      </c>
      <c r="L55" s="105">
        <f>IF(Scenarios!M10&lt;&gt;"",Scenarios!M10,"")</f>
        <v>0.6990511874231996</v>
      </c>
      <c r="M55" s="105" t="str">
        <f>IF(Scenarios!N10&lt;&gt;"",Scenarios!N10,"")</f>
        <v/>
      </c>
      <c r="N55" s="105" t="str">
        <f>IF(Scenarios!O10&lt;&gt;"",Scenarios!O10,"")</f>
        <v/>
      </c>
      <c r="O55" s="106" t="str">
        <f>IF(Scenarios!P10&lt;&gt;"",Scenarios!P10,"")</f>
        <v/>
      </c>
    </row>
    <row r="56" spans="1:16">
      <c r="A56" s="39" t="str">
        <f>IF(Scenarios!A11&lt;&gt;"",Scenarios!A11,"")</f>
        <v>Onroerend goed</v>
      </c>
      <c r="B56" s="42">
        <f>IF(Scenarios!E35&lt;&gt;"",Scenarios!E35,"")</f>
        <v>2.7964399001126676E-2</v>
      </c>
      <c r="C56" s="221">
        <f>IF(Scenarios!D11&lt;&gt;"",Scenarios!D11,"")</f>
        <v>0.20064050365322861</v>
      </c>
      <c r="D56" s="224">
        <f>IF(Scenarios!E11&lt;&gt;"",Scenarios!E11,"")</f>
        <v>0.39542796227510135</v>
      </c>
      <c r="E56" s="225">
        <f>IF(Scenarios!F11&lt;&gt;"",Scenarios!F11,"")</f>
        <v>0.86259221475724557</v>
      </c>
      <c r="F56" s="225">
        <f>IF(Scenarios!G11&lt;&gt;"",Scenarios!G11,"")</f>
        <v>0.86536847063850963</v>
      </c>
      <c r="G56" s="225">
        <f>IF(Scenarios!H11&lt;&gt;"",Scenarios!H11,"")</f>
        <v>0.88603334197313832</v>
      </c>
      <c r="H56" s="225">
        <f>IF(Scenarios!I11&lt;&gt;"",Scenarios!I11,"")</f>
        <v>0.78448428807756676</v>
      </c>
      <c r="I56" s="225">
        <f>IF(Scenarios!J11&lt;&gt;"",Scenarios!J11,"")</f>
        <v>0.67064412944029761</v>
      </c>
      <c r="J56" s="105">
        <f>IF(Scenarios!K11&lt;&gt;"",Scenarios!K11,"")</f>
        <v>0.79740125449060328</v>
      </c>
      <c r="K56" s="105">
        <f>IF(Scenarios!L11&lt;&gt;"",Scenarios!L11,"")</f>
        <v>1.0000000000000002</v>
      </c>
      <c r="L56" s="105">
        <f>IF(Scenarios!M11&lt;&gt;"",Scenarios!M11,"")</f>
        <v>0.74626676152997484</v>
      </c>
      <c r="M56" s="105" t="str">
        <f>IF(Scenarios!N11&lt;&gt;"",Scenarios!N11,"")</f>
        <v/>
      </c>
      <c r="N56" s="105" t="str">
        <f>IF(Scenarios!O11&lt;&gt;"",Scenarios!O11,"")</f>
        <v/>
      </c>
      <c r="O56" s="106" t="str">
        <f>IF(Scenarios!P11&lt;&gt;"",Scenarios!P11,"")</f>
        <v/>
      </c>
    </row>
    <row r="57" spans="1:16">
      <c r="A57" s="39" t="str">
        <f>IF(Scenarios!A12&lt;&gt;"",Scenarios!A12,"")</f>
        <v>Periferie bonds</v>
      </c>
      <c r="B57" s="42">
        <f>IF(Scenarios!E36&lt;&gt;"",Scenarios!E36,"")</f>
        <v>2.2147204340377598E-2</v>
      </c>
      <c r="C57" s="221">
        <f>IF(Scenarios!D12&lt;&gt;"",Scenarios!D12,"")</f>
        <v>0.17312066928436093</v>
      </c>
      <c r="D57" s="224">
        <f>IF(Scenarios!E12&lt;&gt;"",Scenarios!E12,"")</f>
        <v>0.47422188785278774</v>
      </c>
      <c r="E57" s="225">
        <f>IF(Scenarios!F12&lt;&gt;"",Scenarios!F12,"")</f>
        <v>0.75906077754107693</v>
      </c>
      <c r="F57" s="225">
        <f>IF(Scenarios!G12&lt;&gt;"",Scenarios!G12,"")</f>
        <v>0.72481655312346349</v>
      </c>
      <c r="G57" s="225">
        <f>IF(Scenarios!H12&lt;&gt;"",Scenarios!H12,"")</f>
        <v>0.62515021546234673</v>
      </c>
      <c r="H57" s="225">
        <f>IF(Scenarios!I12&lt;&gt;"",Scenarios!I12,"")</f>
        <v>0.51393319492259693</v>
      </c>
      <c r="I57" s="225">
        <f>IF(Scenarios!J12&lt;&gt;"",Scenarios!J12,"")</f>
        <v>0.49865020725851572</v>
      </c>
      <c r="J57" s="105">
        <f>IF(Scenarios!K12&lt;&gt;"",Scenarios!K12,"")</f>
        <v>0.69905118742319949</v>
      </c>
      <c r="K57" s="105">
        <f>IF(Scenarios!L12&lt;&gt;"",Scenarios!L12,"")</f>
        <v>0.74626676152997495</v>
      </c>
      <c r="L57" s="105">
        <f>IF(Scenarios!M12&lt;&gt;"",Scenarios!M12,"")</f>
        <v>0.99999999999999989</v>
      </c>
      <c r="M57" s="105" t="str">
        <f>IF(Scenarios!N12&lt;&gt;"",Scenarios!N12,"")</f>
        <v/>
      </c>
      <c r="N57" s="105" t="str">
        <f>IF(Scenarios!O12&lt;&gt;"",Scenarios!O12,"")</f>
        <v/>
      </c>
      <c r="O57" s="106" t="str">
        <f>IF(Scenarios!P12&lt;&gt;"",Scenarios!P12,"")</f>
        <v/>
      </c>
    </row>
    <row r="58" spans="1:16">
      <c r="A58" s="39" t="str">
        <f>IF(Scenarios!A13&lt;&gt;"",Scenarios!A13,"")</f>
        <v/>
      </c>
      <c r="B58" s="42" t="str">
        <f>IF(Scenarios!E37&lt;&gt;"",Scenarios!E37,"")</f>
        <v/>
      </c>
      <c r="C58" s="221" t="str">
        <f>IF(Scenarios!D13&lt;&gt;"",Scenarios!D13,"")</f>
        <v/>
      </c>
      <c r="D58" s="224" t="str">
        <f>IF(Scenarios!E13&lt;&gt;"",Scenarios!E13,"")</f>
        <v/>
      </c>
      <c r="E58" s="225" t="str">
        <f>IF(Scenarios!F13&lt;&gt;"",Scenarios!F13,"")</f>
        <v/>
      </c>
      <c r="F58" s="225" t="str">
        <f>IF(Scenarios!G13&lt;&gt;"",Scenarios!G13,"")</f>
        <v/>
      </c>
      <c r="G58" s="225" t="str">
        <f>IF(Scenarios!H13&lt;&gt;"",Scenarios!H13,"")</f>
        <v/>
      </c>
      <c r="H58" s="225" t="str">
        <f>IF(Scenarios!I13&lt;&gt;"",Scenarios!I13,"")</f>
        <v/>
      </c>
      <c r="I58" s="225" t="str">
        <f>IF(Scenarios!J13&lt;&gt;"",Scenarios!J13,"")</f>
        <v/>
      </c>
      <c r="J58" s="105" t="str">
        <f>IF(Scenarios!K13&lt;&gt;"",Scenarios!K13,"")</f>
        <v/>
      </c>
      <c r="K58" s="105" t="str">
        <f>IF(Scenarios!L13&lt;&gt;"",Scenarios!L13,"")</f>
        <v/>
      </c>
      <c r="L58" s="105" t="str">
        <f>IF(Scenarios!M13&lt;&gt;"",Scenarios!M13,"")</f>
        <v/>
      </c>
      <c r="M58" s="105" t="str">
        <f>IF(Scenarios!N13&lt;&gt;"",Scenarios!N13,"")</f>
        <v/>
      </c>
      <c r="N58" s="105" t="str">
        <f>IF(Scenarios!O13&lt;&gt;"",Scenarios!O13,"")</f>
        <v/>
      </c>
      <c r="O58" s="106" t="str">
        <f>IF(Scenarios!P13&lt;&gt;"",Scenarios!P13,"")</f>
        <v/>
      </c>
    </row>
    <row r="59" spans="1:16">
      <c r="A59" s="39" t="str">
        <f>IF(Scenarios!A14&lt;&gt;"",Scenarios!A14,"")</f>
        <v/>
      </c>
      <c r="B59" s="42" t="str">
        <f>IF(Scenarios!E38&lt;&gt;"",Scenarios!E38,"")</f>
        <v/>
      </c>
      <c r="C59" s="221" t="str">
        <f>IF(Scenarios!D14&lt;&gt;"",Scenarios!D14,"")</f>
        <v/>
      </c>
      <c r="D59" s="224" t="str">
        <f>IF(Scenarios!E14&lt;&gt;"",Scenarios!E14,"")</f>
        <v/>
      </c>
      <c r="E59" s="225" t="str">
        <f>IF(Scenarios!F14&lt;&gt;"",Scenarios!F14,"")</f>
        <v/>
      </c>
      <c r="F59" s="225" t="str">
        <f>IF(Scenarios!G14&lt;&gt;"",Scenarios!G14,"")</f>
        <v/>
      </c>
      <c r="G59" s="225" t="str">
        <f>IF(Scenarios!H14&lt;&gt;"",Scenarios!H14,"")</f>
        <v/>
      </c>
      <c r="H59" s="225" t="str">
        <f>IF(Scenarios!I14&lt;&gt;"",Scenarios!I14,"")</f>
        <v/>
      </c>
      <c r="I59" s="225" t="str">
        <f>IF(Scenarios!J14&lt;&gt;"",Scenarios!J14,"")</f>
        <v/>
      </c>
      <c r="J59" s="105" t="str">
        <f>IF(Scenarios!K14&lt;&gt;"",Scenarios!K14,"")</f>
        <v/>
      </c>
      <c r="K59" s="105" t="str">
        <f>IF(Scenarios!L14&lt;&gt;"",Scenarios!L14,"")</f>
        <v/>
      </c>
      <c r="L59" s="105" t="str">
        <f>IF(Scenarios!M14&lt;&gt;"",Scenarios!M14,"")</f>
        <v/>
      </c>
      <c r="M59" s="105" t="str">
        <f>IF(Scenarios!N14&lt;&gt;"",Scenarios!N14,"")</f>
        <v/>
      </c>
      <c r="N59" s="105" t="str">
        <f>IF(Scenarios!O14&lt;&gt;"",Scenarios!O14,"")</f>
        <v/>
      </c>
      <c r="O59" s="106" t="str">
        <f>IF(Scenarios!P14&lt;&gt;"",Scenarios!P14,"")</f>
        <v/>
      </c>
    </row>
    <row r="60" spans="1:16" ht="13.5" thickBot="1">
      <c r="A60" s="350" t="str">
        <f>IF(Scenarios!A15&lt;&gt;"",Scenarios!A15,"")</f>
        <v/>
      </c>
      <c r="B60" s="354" t="str">
        <f>IF(Scenarios!E39&lt;&gt;"",Scenarios!E39,"")</f>
        <v/>
      </c>
      <c r="C60" s="355" t="str">
        <f>IF(Scenarios!D15&lt;&gt;"",Scenarios!D15,"")</f>
        <v/>
      </c>
      <c r="D60" s="361" t="str">
        <f>IF(Scenarios!E15&lt;&gt;"",Scenarios!E15,"")</f>
        <v/>
      </c>
      <c r="E60" s="370" t="str">
        <f>IF(Scenarios!F15&lt;&gt;"",Scenarios!F15,"")</f>
        <v/>
      </c>
      <c r="F60" s="370" t="str">
        <f>IF(Scenarios!G15&lt;&gt;"",Scenarios!G15,"")</f>
        <v/>
      </c>
      <c r="G60" s="370" t="str">
        <f>IF(Scenarios!H15&lt;&gt;"",Scenarios!H15,"")</f>
        <v/>
      </c>
      <c r="H60" s="370" t="str">
        <f>IF(Scenarios!I15&lt;&gt;"",Scenarios!I15,"")</f>
        <v/>
      </c>
      <c r="I60" s="370" t="str">
        <f>IF(Scenarios!J15&lt;&gt;"",Scenarios!J15,"")</f>
        <v/>
      </c>
      <c r="J60" s="369" t="str">
        <f>IF(Scenarios!K15&lt;&gt;"",Scenarios!K15,"")</f>
        <v/>
      </c>
      <c r="K60" s="369" t="str">
        <f>IF(Scenarios!L15&lt;&gt;"",Scenarios!L15,"")</f>
        <v/>
      </c>
      <c r="L60" s="369" t="str">
        <f>IF(Scenarios!M15&lt;&gt;"",Scenarios!M15,"")</f>
        <v/>
      </c>
      <c r="M60" s="369" t="str">
        <f>IF(Scenarios!N15&lt;&gt;"",Scenarios!N15,"")</f>
        <v/>
      </c>
      <c r="N60" s="369" t="str">
        <f>IF(Scenarios!O15&lt;&gt;"",Scenarios!O15,"")</f>
        <v/>
      </c>
      <c r="O60" s="353" t="str">
        <f>IF(Scenarios!P15&lt;&gt;"",Scenarios!P15,"")</f>
        <v/>
      </c>
    </row>
    <row r="62" spans="1:16" ht="13.5" thickBot="1"/>
    <row r="63" spans="1:16" ht="15.75" thickBot="1">
      <c r="A63" s="41" t="str">
        <f>Scenarios!F27</f>
        <v>Bear case</v>
      </c>
      <c r="B63" s="37" t="s">
        <v>1</v>
      </c>
      <c r="C63" s="214" t="s">
        <v>2</v>
      </c>
      <c r="D63" s="384" t="s">
        <v>3</v>
      </c>
      <c r="E63" s="385"/>
      <c r="F63" s="385"/>
      <c r="G63" s="385"/>
      <c r="H63" s="385"/>
      <c r="I63" s="385"/>
      <c r="J63" s="385"/>
      <c r="K63" s="385"/>
      <c r="L63" s="386"/>
      <c r="M63" s="386"/>
      <c r="N63" s="386"/>
      <c r="O63" s="387"/>
    </row>
    <row r="64" spans="1:16">
      <c r="A64" s="39" t="str">
        <f>IF(Scenarios!A4&lt;&gt;"",Scenarios!A4,"")</f>
        <v>Nominale matching</v>
      </c>
      <c r="B64" s="213">
        <f>IF(Scenarios!F28&lt;&gt;"",Scenarios!F28,"")</f>
        <v>-2.5720358328627513E-2</v>
      </c>
      <c r="C64" s="215">
        <v>6.2230972955435157E-2</v>
      </c>
      <c r="D64" s="249">
        <v>1</v>
      </c>
      <c r="E64" s="250">
        <v>0.47102969549764873</v>
      </c>
      <c r="F64" s="250">
        <v>0.44102598120003672</v>
      </c>
      <c r="G64" s="250">
        <v>0.1916139221868596</v>
      </c>
      <c r="H64" s="250">
        <v>0.24756676138433611</v>
      </c>
      <c r="I64" s="250">
        <v>0.1747091736012199</v>
      </c>
      <c r="J64" s="250">
        <v>0.43690863222333309</v>
      </c>
      <c r="K64" s="250">
        <v>0.33880552794512614</v>
      </c>
      <c r="L64" s="250">
        <v>0.27792080346817494</v>
      </c>
      <c r="M64" s="250"/>
      <c r="N64" s="250"/>
      <c r="O64" s="251"/>
      <c r="P64" s="34" t="s">
        <v>124</v>
      </c>
    </row>
    <row r="65" spans="1:17">
      <c r="A65" s="39" t="str">
        <f>IF(Scenarios!A5&lt;&gt;"",Scenarios!A5,"")</f>
        <v>High Yield</v>
      </c>
      <c r="B65" s="213">
        <f>IF(Scenarios!F29&lt;&gt;"",Scenarios!F29,"")</f>
        <v>-0.43934344866388231</v>
      </c>
      <c r="C65" s="212">
        <v>0.22813368702469963</v>
      </c>
      <c r="D65" s="246">
        <v>0.47102969549764873</v>
      </c>
      <c r="E65" s="247">
        <v>1.0000000000000002</v>
      </c>
      <c r="F65" s="247">
        <v>0.93822360415104178</v>
      </c>
      <c r="G65" s="247">
        <v>0.75326025420376108</v>
      </c>
      <c r="H65" s="247">
        <v>0.73352486795767102</v>
      </c>
      <c r="I65" s="247">
        <v>0.63359529390296199</v>
      </c>
      <c r="J65" s="247">
        <v>0.87098619109423425</v>
      </c>
      <c r="K65" s="247">
        <v>0.87135999187444568</v>
      </c>
      <c r="L65" s="247">
        <v>0.77254531980661478</v>
      </c>
      <c r="M65" s="247"/>
      <c r="N65" s="247"/>
      <c r="O65" s="248"/>
    </row>
    <row r="66" spans="1:17">
      <c r="A66" s="39" t="str">
        <f>IF(Scenarios!A6&lt;&gt;"",Scenarios!A6,"")</f>
        <v>Emerging market debt</v>
      </c>
      <c r="B66" s="213">
        <f>IF(Scenarios!F30&lt;&gt;"",Scenarios!F30,"")</f>
        <v>-0.41802644813429485</v>
      </c>
      <c r="C66" s="212">
        <v>0.23612462727275424</v>
      </c>
      <c r="D66" s="246">
        <v>0.44102598120003672</v>
      </c>
      <c r="E66" s="247">
        <v>0.93822360415104189</v>
      </c>
      <c r="F66" s="247">
        <v>1.0000000000000002</v>
      </c>
      <c r="G66" s="247">
        <v>0.79963015318153241</v>
      </c>
      <c r="H66" s="247">
        <v>0.78704984484445428</v>
      </c>
      <c r="I66" s="247">
        <v>0.6705837763066671</v>
      </c>
      <c r="J66" s="247">
        <v>0.87302411710056305</v>
      </c>
      <c r="K66" s="247">
        <v>0.89106747178031864</v>
      </c>
      <c r="L66" s="247">
        <v>0.80427107264270714</v>
      </c>
      <c r="M66" s="247"/>
      <c r="N66" s="247"/>
      <c r="O66" s="248"/>
    </row>
    <row r="67" spans="1:17">
      <c r="A67" s="39" t="str">
        <f>IF(Scenarios!A7&lt;&gt;"",Scenarios!A7,"")</f>
        <v>Aandelen ontwikkeld</v>
      </c>
      <c r="B67" s="213">
        <f>IF(Scenarios!F31&lt;&gt;"",Scenarios!F31,"")</f>
        <v>-0.5992014650452413</v>
      </c>
      <c r="C67" s="212">
        <v>0.41877013863949536</v>
      </c>
      <c r="D67" s="246">
        <v>0.19161392218685974</v>
      </c>
      <c r="E67" s="247">
        <v>0.75326025420376086</v>
      </c>
      <c r="F67" s="247">
        <v>0.79963015318153241</v>
      </c>
      <c r="G67" s="247">
        <v>1</v>
      </c>
      <c r="H67" s="247">
        <v>0.80812183743359234</v>
      </c>
      <c r="I67" s="247">
        <v>0.70238919189824067</v>
      </c>
      <c r="J67" s="247">
        <v>0.80604385760605091</v>
      </c>
      <c r="K67" s="247">
        <v>0.88086813992686197</v>
      </c>
      <c r="L67" s="247">
        <v>0.83948460537294911</v>
      </c>
      <c r="M67" s="247"/>
      <c r="N67" s="247"/>
      <c r="O67" s="248"/>
    </row>
    <row r="68" spans="1:17">
      <c r="A68" s="39" t="str">
        <f>IF(Scenarios!A8&lt;&gt;"",Scenarios!A8,"")</f>
        <v>Aandelen opkomend</v>
      </c>
      <c r="B68" s="213">
        <f>IF(Scenarios!F32&lt;&gt;"",Scenarios!F32,"")</f>
        <v>-0.42661422498990775</v>
      </c>
      <c r="C68" s="212">
        <v>0.43715930361035565</v>
      </c>
      <c r="D68" s="246">
        <v>0.24756676138433592</v>
      </c>
      <c r="E68" s="247">
        <v>0.73352486795767102</v>
      </c>
      <c r="F68" s="247">
        <v>0.78704984484445417</v>
      </c>
      <c r="G68" s="247">
        <v>0.80812183743359234</v>
      </c>
      <c r="H68" s="247">
        <v>1</v>
      </c>
      <c r="I68" s="247">
        <v>0.6227307997578343</v>
      </c>
      <c r="J68" s="247">
        <v>0.64969582874157039</v>
      </c>
      <c r="K68" s="247">
        <v>0.77520880186806285</v>
      </c>
      <c r="L68" s="247">
        <v>0.77115145356021197</v>
      </c>
      <c r="M68" s="247"/>
      <c r="N68" s="247"/>
      <c r="O68" s="248"/>
    </row>
    <row r="69" spans="1:17">
      <c r="A69" s="39" t="str">
        <f>IF(Scenarios!A9&lt;&gt;"",Scenarios!A9,"")</f>
        <v>Commodities</v>
      </c>
      <c r="B69" s="213">
        <f>IF(Scenarios!F33&lt;&gt;"",Scenarios!F33,"")</f>
        <v>-0.52128297967070236</v>
      </c>
      <c r="C69" s="212">
        <v>0.49612218939856001</v>
      </c>
      <c r="D69" s="246">
        <v>0.17470917360121993</v>
      </c>
      <c r="E69" s="247">
        <v>0.63359529390296199</v>
      </c>
      <c r="F69" s="247">
        <v>0.67058377630666699</v>
      </c>
      <c r="G69" s="247">
        <v>0.70238919189824078</v>
      </c>
      <c r="H69" s="247">
        <v>0.6227307997578343</v>
      </c>
      <c r="I69" s="247">
        <v>0.99999999999999989</v>
      </c>
      <c r="J69" s="247">
        <v>0.64379087144854052</v>
      </c>
      <c r="K69" s="247">
        <v>0.65952840986787564</v>
      </c>
      <c r="L69" s="247">
        <v>0.72568785459449825</v>
      </c>
      <c r="M69" s="247"/>
      <c r="N69" s="247"/>
      <c r="O69" s="248"/>
    </row>
    <row r="70" spans="1:17">
      <c r="A70" s="39" t="str">
        <f>IF(Scenarios!A10&lt;&gt;"",Scenarios!A10,"")</f>
        <v>Hedge funds</v>
      </c>
      <c r="B70" s="213">
        <f>IF(Scenarios!F34&lt;&gt;"",Scenarios!F34,"")</f>
        <v>-0.25630468560846492</v>
      </c>
      <c r="C70" s="212">
        <v>0.22513334484340575</v>
      </c>
      <c r="D70" s="246">
        <v>0.43690863222333315</v>
      </c>
      <c r="E70" s="247">
        <v>0.87098619109423403</v>
      </c>
      <c r="F70" s="247">
        <v>0.87302411710056305</v>
      </c>
      <c r="G70" s="247">
        <v>0.80604385760605068</v>
      </c>
      <c r="H70" s="247">
        <v>0.6496958287415705</v>
      </c>
      <c r="I70" s="247">
        <v>0.64379087144854041</v>
      </c>
      <c r="J70" s="247">
        <v>1.0000000000000002</v>
      </c>
      <c r="K70" s="247">
        <v>0.86491136423250092</v>
      </c>
      <c r="L70" s="247">
        <v>0.7928883844057325</v>
      </c>
      <c r="M70" s="247"/>
      <c r="N70" s="247"/>
      <c r="O70" s="248"/>
    </row>
    <row r="71" spans="1:17">
      <c r="A71" s="39" t="str">
        <f>IF(Scenarios!A11&lt;&gt;"",Scenarios!A11,"")</f>
        <v>Onroerend goed</v>
      </c>
      <c r="B71" s="213">
        <f>IF(Scenarios!F35&lt;&gt;"",Scenarios!F35,"")</f>
        <v>-0.45200242221105646</v>
      </c>
      <c r="C71" s="212">
        <v>0.28443486592153544</v>
      </c>
      <c r="D71" s="246">
        <v>0.33880552794512614</v>
      </c>
      <c r="E71" s="247">
        <v>0.87135999187444568</v>
      </c>
      <c r="F71" s="247">
        <v>0.89106747178031853</v>
      </c>
      <c r="G71" s="247">
        <v>0.88086813992686197</v>
      </c>
      <c r="H71" s="247">
        <v>0.77520880186806285</v>
      </c>
      <c r="I71" s="247">
        <v>0.65952840986787553</v>
      </c>
      <c r="J71" s="247">
        <v>0.86491136423250081</v>
      </c>
      <c r="K71" s="247">
        <v>1</v>
      </c>
      <c r="L71" s="247">
        <v>0.83610334317906021</v>
      </c>
      <c r="M71" s="247"/>
      <c r="N71" s="247"/>
      <c r="O71" s="248"/>
    </row>
    <row r="72" spans="1:17">
      <c r="A72" s="39" t="str">
        <f>IF(Scenarios!A12&lt;&gt;"",Scenarios!A12,"")</f>
        <v>Periferie bonds</v>
      </c>
      <c r="B72" s="213">
        <f>IF(Scenarios!F36&lt;&gt;"",Scenarios!F36,"")</f>
        <v>-0.34409214194437909</v>
      </c>
      <c r="C72" s="212">
        <f>AVERAGE(C67:C71)</f>
        <v>0.37232396848267041</v>
      </c>
      <c r="D72" s="246">
        <f t="shared" ref="D72" si="0">AVERAGE(D67:D71)</f>
        <v>0.27792080346817494</v>
      </c>
      <c r="E72" s="247">
        <f t="shared" ref="E72" si="1">AVERAGE(E67:E71)</f>
        <v>0.77254531980661478</v>
      </c>
      <c r="F72" s="247">
        <f t="shared" ref="F72" si="2">AVERAGE(F67:F71)</f>
        <v>0.80427107264270714</v>
      </c>
      <c r="G72" s="247">
        <f t="shared" ref="G72" si="3">AVERAGE(G67:G71)</f>
        <v>0.83948460537294911</v>
      </c>
      <c r="H72" s="247">
        <f t="shared" ref="H72" si="4">AVERAGE(H67:H71)</f>
        <v>0.77115145356021197</v>
      </c>
      <c r="I72" s="247">
        <f t="shared" ref="I72" si="5">AVERAGE(I67:I71)</f>
        <v>0.72568785459449825</v>
      </c>
      <c r="J72" s="247">
        <f t="shared" ref="J72" si="6">AVERAGE(J67:J71)</f>
        <v>0.7928883844057325</v>
      </c>
      <c r="K72" s="247">
        <f t="shared" ref="K72" si="7">AVERAGE(K67:K71)</f>
        <v>0.83610334317906021</v>
      </c>
      <c r="L72" s="247">
        <v>1</v>
      </c>
      <c r="M72" s="247"/>
      <c r="N72" s="247"/>
      <c r="O72" s="248"/>
    </row>
    <row r="73" spans="1:17">
      <c r="A73" s="39" t="str">
        <f>IF(Scenarios!A13&lt;&gt;"",Scenarios!A13,"")</f>
        <v/>
      </c>
      <c r="B73" s="213" t="str">
        <f>IF(Scenarios!F37&lt;&gt;"",Scenarios!F37,"")</f>
        <v/>
      </c>
      <c r="C73" s="212"/>
      <c r="D73" s="246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8"/>
    </row>
    <row r="74" spans="1:17">
      <c r="A74" s="39" t="str">
        <f>IF(Scenarios!A14&lt;&gt;"",Scenarios!A14,"")</f>
        <v/>
      </c>
      <c r="B74" s="213" t="str">
        <f>IF(Scenarios!F38&lt;&gt;"",Scenarios!F38,"")</f>
        <v/>
      </c>
      <c r="C74" s="212"/>
      <c r="D74" s="246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8"/>
    </row>
    <row r="75" spans="1:17" ht="13.5" thickBot="1">
      <c r="A75" s="350" t="str">
        <f>IF(Scenarios!A15&lt;&gt;"",Scenarios!A15,"")</f>
        <v/>
      </c>
      <c r="B75" s="360" t="str">
        <f>IF(Scenarios!F39&lt;&gt;"",Scenarios!F39,"")</f>
        <v/>
      </c>
      <c r="C75" s="357"/>
      <c r="D75" s="358"/>
      <c r="E75" s="365"/>
      <c r="F75" s="365"/>
      <c r="G75" s="365"/>
      <c r="H75" s="365"/>
      <c r="I75" s="365"/>
      <c r="J75" s="365"/>
      <c r="K75" s="365"/>
      <c r="L75" s="365"/>
      <c r="M75" s="365"/>
      <c r="N75" s="365"/>
      <c r="O75" s="359"/>
    </row>
    <row r="76" spans="1:17">
      <c r="A76" s="196"/>
      <c r="B76" s="197"/>
      <c r="C76" s="198"/>
      <c r="D76" s="105"/>
      <c r="E76" s="105"/>
      <c r="F76" s="105"/>
      <c r="G76" s="105"/>
      <c r="H76" s="105"/>
      <c r="I76" s="105"/>
      <c r="J76" s="105"/>
      <c r="K76" s="105"/>
      <c r="L76" s="105"/>
      <c r="M76" s="105"/>
      <c r="N76" s="105"/>
      <c r="O76" s="105"/>
    </row>
    <row r="77" spans="1:17" ht="13.5" thickBot="1"/>
    <row r="78" spans="1:17" ht="15.75" thickBot="1">
      <c r="A78" s="41" t="str">
        <f>Scenarios!G27</f>
        <v>Tail risk</v>
      </c>
      <c r="B78" s="37" t="s">
        <v>1</v>
      </c>
      <c r="C78" s="193" t="s">
        <v>2</v>
      </c>
      <c r="D78" s="384" t="s">
        <v>3</v>
      </c>
      <c r="E78" s="385"/>
      <c r="F78" s="385"/>
      <c r="G78" s="385"/>
      <c r="H78" s="385"/>
      <c r="I78" s="385"/>
      <c r="J78" s="385"/>
      <c r="K78" s="385"/>
      <c r="L78" s="386"/>
      <c r="M78" s="386"/>
      <c r="N78" s="386"/>
      <c r="O78" s="387"/>
      <c r="Q78" s="73"/>
    </row>
    <row r="79" spans="1:17">
      <c r="A79" s="39" t="str">
        <f>IF(Scenarios!A4&lt;&gt;"",Scenarios!A4,"")</f>
        <v>Nominale matching</v>
      </c>
      <c r="B79" s="42">
        <f>IF(Scenarios!G28&lt;&gt;"",Scenarios!G28,"")</f>
        <v>-0.26287574291051119</v>
      </c>
      <c r="C79" s="212">
        <v>9.0618112702252188E-2</v>
      </c>
      <c r="D79" s="249">
        <v>1</v>
      </c>
      <c r="E79" s="250">
        <v>0.57085300818064821</v>
      </c>
      <c r="F79" s="250">
        <v>0.51590317152054344</v>
      </c>
      <c r="G79" s="250">
        <v>0.22543235061374906</v>
      </c>
      <c r="H79" s="250">
        <v>0.30482733339870521</v>
      </c>
      <c r="I79" s="250">
        <v>0.1877131252242237</v>
      </c>
      <c r="J79" s="250">
        <v>0.56475392912687616</v>
      </c>
      <c r="K79" s="250">
        <v>0.42620353457974319</v>
      </c>
      <c r="L79" s="250">
        <v>0.3417860545886594</v>
      </c>
      <c r="M79" s="250"/>
      <c r="N79" s="250"/>
      <c r="O79" s="251"/>
      <c r="P79" s="34" t="s">
        <v>120</v>
      </c>
      <c r="Q79" s="73"/>
    </row>
    <row r="80" spans="1:17">
      <c r="A80" s="39" t="str">
        <f>IF(Scenarios!A5&lt;&gt;"",Scenarios!A5,"")</f>
        <v>High Yield</v>
      </c>
      <c r="B80" s="42">
        <f>IF(Scenarios!G29&lt;&gt;"",Scenarios!G29,"")</f>
        <v>-0.41627425662388229</v>
      </c>
      <c r="C80" s="212">
        <v>0.31486528648887419</v>
      </c>
      <c r="D80" s="246">
        <v>0.57085300818064832</v>
      </c>
      <c r="E80" s="247">
        <v>0.99999999999999978</v>
      </c>
      <c r="F80" s="247">
        <v>0.92670220027648009</v>
      </c>
      <c r="G80" s="247">
        <v>0.70556983049672706</v>
      </c>
      <c r="H80" s="247">
        <v>0.73729250351193587</v>
      </c>
      <c r="I80" s="247">
        <v>0.60792613623167058</v>
      </c>
      <c r="J80" s="247">
        <v>0.86315016289079405</v>
      </c>
      <c r="K80" s="247">
        <v>0.86742743262167787</v>
      </c>
      <c r="L80" s="247">
        <v>0.75627321315056117</v>
      </c>
      <c r="M80" s="247"/>
      <c r="N80" s="247"/>
      <c r="O80" s="248"/>
      <c r="Q80" s="73"/>
    </row>
    <row r="81" spans="1:17">
      <c r="A81" s="39" t="str">
        <f>IF(Scenarios!A6&lt;&gt;"",Scenarios!A6,"")</f>
        <v>Emerging market debt</v>
      </c>
      <c r="B81" s="42">
        <f>IF(Scenarios!G30&lt;&gt;"",Scenarios!G30,"")</f>
        <v>-0.17149574156312622</v>
      </c>
      <c r="C81" s="212">
        <v>0.33563157880530137</v>
      </c>
      <c r="D81" s="246">
        <v>0.51590317152054366</v>
      </c>
      <c r="E81" s="247">
        <v>0.92670220027648009</v>
      </c>
      <c r="F81" s="247">
        <v>0.99999999999999989</v>
      </c>
      <c r="G81" s="247">
        <v>0.77735373318815371</v>
      </c>
      <c r="H81" s="247">
        <v>0.80713427036091268</v>
      </c>
      <c r="I81" s="247">
        <v>0.67030879727576365</v>
      </c>
      <c r="J81" s="247">
        <v>0.8684724670306897</v>
      </c>
      <c r="K81" s="247">
        <v>0.8890877543808684</v>
      </c>
      <c r="L81" s="247">
        <v>0.80247140444727771</v>
      </c>
      <c r="M81" s="247"/>
      <c r="N81" s="247"/>
      <c r="O81" s="248"/>
      <c r="Q81" s="73"/>
    </row>
    <row r="82" spans="1:17">
      <c r="A82" s="39" t="str">
        <f>IF(Scenarios!A7&lt;&gt;"",Scenarios!A7,"")</f>
        <v>Aandelen ontwikkeld</v>
      </c>
      <c r="B82" s="42">
        <f>IF(Scenarios!G31&lt;&gt;"",Scenarios!G31,"")</f>
        <v>-0.47126055414190038</v>
      </c>
      <c r="C82" s="212">
        <v>0.58057822101166678</v>
      </c>
      <c r="D82" s="246">
        <v>0.22543235061374906</v>
      </c>
      <c r="E82" s="247">
        <v>0.70556983049672706</v>
      </c>
      <c r="F82" s="247">
        <v>0.77735373318815371</v>
      </c>
      <c r="G82" s="247">
        <v>1.0000000000000002</v>
      </c>
      <c r="H82" s="247">
        <v>0.82379140885718805</v>
      </c>
      <c r="I82" s="247">
        <v>0.71491859487248288</v>
      </c>
      <c r="J82" s="247">
        <v>0.7945256498620229</v>
      </c>
      <c r="K82" s="247">
        <v>0.86375669090984664</v>
      </c>
      <c r="L82" s="247">
        <v>0.83939846890030823</v>
      </c>
      <c r="M82" s="247"/>
      <c r="N82" s="247"/>
      <c r="O82" s="248"/>
      <c r="Q82" s="73"/>
    </row>
    <row r="83" spans="1:17">
      <c r="A83" s="39" t="str">
        <f>IF(Scenarios!A8&lt;&gt;"",Scenarios!A8,"")</f>
        <v>Aandelen opkomend</v>
      </c>
      <c r="B83" s="42">
        <f>IF(Scenarios!G32&lt;&gt;"",Scenarios!G32,"")</f>
        <v>-0.26558788944909251</v>
      </c>
      <c r="C83" s="212">
        <v>0.63397873832777574</v>
      </c>
      <c r="D83" s="246">
        <v>0.30482733339870499</v>
      </c>
      <c r="E83" s="247">
        <v>0.73729250351193587</v>
      </c>
      <c r="F83" s="247">
        <v>0.80713427036091279</v>
      </c>
      <c r="G83" s="247">
        <v>0.82379140885718805</v>
      </c>
      <c r="H83" s="247">
        <v>1</v>
      </c>
      <c r="I83" s="247">
        <v>0.66043271027173578</v>
      </c>
      <c r="J83" s="247">
        <v>0.67907866736685552</v>
      </c>
      <c r="K83" s="247">
        <v>0.79157487896608858</v>
      </c>
      <c r="L83" s="247">
        <v>0.79097553309237356</v>
      </c>
      <c r="M83" s="247"/>
      <c r="N83" s="247"/>
      <c r="O83" s="248"/>
      <c r="Q83" s="73"/>
    </row>
    <row r="84" spans="1:17">
      <c r="A84" s="39" t="str">
        <f>IF(Scenarios!A9&lt;&gt;"",Scenarios!A9,"")</f>
        <v>Commodities</v>
      </c>
      <c r="B84" s="42">
        <f>IF(Scenarios!G33&lt;&gt;"",Scenarios!G33,"")</f>
        <v>-0.54077311463070243</v>
      </c>
      <c r="C84" s="212">
        <v>0.67038386164030728</v>
      </c>
      <c r="D84" s="246">
        <v>0.18771312522422376</v>
      </c>
      <c r="E84" s="247">
        <v>0.60792613623167069</v>
      </c>
      <c r="F84" s="247">
        <v>0.67030879727576365</v>
      </c>
      <c r="G84" s="247">
        <v>0.71491859487248288</v>
      </c>
      <c r="H84" s="247">
        <v>0.66043271027173578</v>
      </c>
      <c r="I84" s="247">
        <v>1.0000000000000002</v>
      </c>
      <c r="J84" s="247">
        <v>0.64225367758188689</v>
      </c>
      <c r="K84" s="247">
        <v>0.67366535141540462</v>
      </c>
      <c r="L84" s="247">
        <v>0.73825406682830197</v>
      </c>
      <c r="M84" s="247"/>
      <c r="N84" s="247"/>
      <c r="O84" s="248"/>
      <c r="Q84" s="73"/>
    </row>
    <row r="85" spans="1:17">
      <c r="A85" s="39" t="str">
        <f>IF(Scenarios!A10&lt;&gt;"",Scenarios!A10,"")</f>
        <v>Hedge funds</v>
      </c>
      <c r="B85" s="42">
        <f>IF(Scenarios!G34&lt;&gt;"",Scenarios!G34,"")</f>
        <v>-6.931471876793301E-3</v>
      </c>
      <c r="C85" s="212">
        <v>0.29165630729321568</v>
      </c>
      <c r="D85" s="246">
        <v>0.56475392912687616</v>
      </c>
      <c r="E85" s="247">
        <v>0.86315016289079405</v>
      </c>
      <c r="F85" s="247">
        <v>0.86847246703068981</v>
      </c>
      <c r="G85" s="247">
        <v>0.7945256498620229</v>
      </c>
      <c r="H85" s="247">
        <v>0.67907866736685563</v>
      </c>
      <c r="I85" s="247">
        <v>0.64225367758188689</v>
      </c>
      <c r="J85" s="247">
        <v>1</v>
      </c>
      <c r="K85" s="247">
        <v>0.89194847086880591</v>
      </c>
      <c r="L85" s="247">
        <v>0.8015612931359144</v>
      </c>
      <c r="M85" s="247"/>
      <c r="N85" s="247"/>
      <c r="O85" s="248"/>
      <c r="Q85" s="73"/>
    </row>
    <row r="86" spans="1:17">
      <c r="A86" s="39" t="str">
        <f>IF(Scenarios!A11&lt;&gt;"",Scenarios!A11,"")</f>
        <v>Onroerend goed</v>
      </c>
      <c r="B86" s="42">
        <f>IF(Scenarios!G35&lt;&gt;"",Scenarios!G35,"")</f>
        <v>-0.48031312669988807</v>
      </c>
      <c r="C86" s="212">
        <v>0.38188039832723164</v>
      </c>
      <c r="D86" s="246">
        <v>0.4262035345797428</v>
      </c>
      <c r="E86" s="247">
        <v>0.86742743262167776</v>
      </c>
      <c r="F86" s="247">
        <v>0.8890877543808684</v>
      </c>
      <c r="G86" s="247">
        <v>0.86375669090984664</v>
      </c>
      <c r="H86" s="247">
        <v>0.79157487896608847</v>
      </c>
      <c r="I86" s="247">
        <v>0.67366535141540462</v>
      </c>
      <c r="J86" s="247">
        <v>0.89194847086880591</v>
      </c>
      <c r="K86" s="247">
        <v>1</v>
      </c>
      <c r="L86" s="247">
        <v>0.84418907843202917</v>
      </c>
      <c r="M86" s="247"/>
      <c r="N86" s="247"/>
      <c r="O86" s="248"/>
    </row>
    <row r="87" spans="1:17">
      <c r="A87" s="39" t="str">
        <f>IF(Scenarios!A12&lt;&gt;"",Scenarios!A12,"")</f>
        <v>Periferie bonds</v>
      </c>
      <c r="B87" s="42">
        <f>IF(Scenarios!G36&lt;&gt;"",Scenarios!G36,"")</f>
        <v>-0.70677044028756997</v>
      </c>
      <c r="C87" s="212">
        <f>AVERAGE(C82:C86)</f>
        <v>0.51169550532003938</v>
      </c>
      <c r="D87" s="246">
        <f t="shared" ref="D87:K87" si="8">AVERAGE(D82:D86)</f>
        <v>0.3417860545886594</v>
      </c>
      <c r="E87" s="247">
        <f t="shared" si="8"/>
        <v>0.75627321315056117</v>
      </c>
      <c r="F87" s="247">
        <f t="shared" si="8"/>
        <v>0.80247140444727771</v>
      </c>
      <c r="G87" s="247">
        <f t="shared" si="8"/>
        <v>0.83939846890030823</v>
      </c>
      <c r="H87" s="247">
        <f t="shared" si="8"/>
        <v>0.79097553309237356</v>
      </c>
      <c r="I87" s="247">
        <f t="shared" si="8"/>
        <v>0.73825406682830197</v>
      </c>
      <c r="J87" s="247">
        <f t="shared" si="8"/>
        <v>0.8015612931359144</v>
      </c>
      <c r="K87" s="247">
        <f t="shared" si="8"/>
        <v>0.84418907843202917</v>
      </c>
      <c r="L87" s="247">
        <v>1</v>
      </c>
      <c r="M87" s="247"/>
      <c r="N87" s="247"/>
      <c r="O87" s="248"/>
    </row>
    <row r="88" spans="1:17">
      <c r="A88" s="39" t="str">
        <f>IF(Scenarios!A13&lt;&gt;"",Scenarios!A13,"")</f>
        <v/>
      </c>
      <c r="B88" s="42" t="str">
        <f>IF(Scenarios!G37&lt;&gt;"",Scenarios!G37,"")</f>
        <v/>
      </c>
      <c r="C88" s="212"/>
      <c r="D88" s="246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8"/>
    </row>
    <row r="89" spans="1:17">
      <c r="A89" s="39" t="str">
        <f>IF(Scenarios!A14&lt;&gt;"",Scenarios!A14,"")</f>
        <v/>
      </c>
      <c r="B89" s="42" t="str">
        <f>IF(Scenarios!G38&lt;&gt;"",Scenarios!G38,"")</f>
        <v/>
      </c>
      <c r="C89" s="212"/>
      <c r="D89" s="246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8"/>
    </row>
    <row r="90" spans="1:17" ht="13.5" thickBot="1">
      <c r="A90" s="350" t="str">
        <f>IF(Scenarios!A15&lt;&gt;"",Scenarios!A15,"")</f>
        <v/>
      </c>
      <c r="B90" s="354" t="str">
        <f>IF(Scenarios!G39&lt;&gt;"",Scenarios!G39,"")</f>
        <v/>
      </c>
      <c r="C90" s="357"/>
      <c r="D90" s="358"/>
      <c r="E90" s="365"/>
      <c r="F90" s="365"/>
      <c r="G90" s="365"/>
      <c r="H90" s="365"/>
      <c r="I90" s="365"/>
      <c r="J90" s="365"/>
      <c r="K90" s="365"/>
      <c r="L90" s="365"/>
      <c r="M90" s="365"/>
      <c r="N90" s="365"/>
      <c r="O90" s="359"/>
    </row>
    <row r="91" spans="1:17">
      <c r="A91" s="196"/>
      <c r="B91" s="197"/>
      <c r="C91" s="198"/>
      <c r="D91" s="105"/>
      <c r="E91" s="105"/>
      <c r="F91" s="105"/>
      <c r="G91" s="105"/>
      <c r="H91" s="105"/>
      <c r="I91" s="105"/>
      <c r="J91" s="105"/>
      <c r="K91" s="105"/>
      <c r="L91" s="105"/>
      <c r="M91" s="105"/>
      <c r="N91" s="105"/>
      <c r="O91" s="105"/>
    </row>
    <row r="92" spans="1:17" ht="13.5" thickBot="1">
      <c r="A92" s="73"/>
      <c r="B92" s="73"/>
      <c r="C92" s="73"/>
      <c r="D92" s="73"/>
      <c r="E92" s="73"/>
      <c r="F92" s="73"/>
      <c r="G92" s="73"/>
      <c r="H92" s="73"/>
      <c r="I92" s="73"/>
      <c r="J92" s="73"/>
      <c r="K92" s="73"/>
      <c r="L92" s="73"/>
      <c r="M92" s="73"/>
      <c r="N92" s="73"/>
      <c r="O92" s="73"/>
      <c r="Q92" s="73"/>
    </row>
    <row r="93" spans="1:17" ht="15.75" thickBot="1">
      <c r="A93" s="41" t="str">
        <f>Scenarios!H27</f>
        <v>Bull case</v>
      </c>
      <c r="B93" s="37" t="s">
        <v>1</v>
      </c>
      <c r="C93" s="193" t="s">
        <v>2</v>
      </c>
      <c r="D93" s="384" t="s">
        <v>3</v>
      </c>
      <c r="E93" s="385"/>
      <c r="F93" s="385"/>
      <c r="G93" s="385"/>
      <c r="H93" s="385"/>
      <c r="I93" s="385"/>
      <c r="J93" s="385"/>
      <c r="K93" s="385"/>
      <c r="L93" s="386"/>
      <c r="M93" s="386"/>
      <c r="N93" s="386"/>
      <c r="O93" s="387"/>
      <c r="Q93" s="73"/>
    </row>
    <row r="94" spans="1:17">
      <c r="A94" s="39" t="str">
        <f>IF(Scenarios!A4&lt;&gt;"",Scenarios!A4,"")</f>
        <v>Nominale matching</v>
      </c>
      <c r="B94" s="40">
        <f>IF(Scenarios!H28&lt;&gt;"",Scenarios!H28,"")</f>
        <v>-3.2441343963196256E-3</v>
      </c>
      <c r="C94" s="40">
        <f>IF(Scenarios!D4&lt;&gt;"",Scenarios!D4,"")</f>
        <v>4.3450149472468363E-2</v>
      </c>
      <c r="D94" s="373">
        <f>IF(Scenarios!E4&lt;&gt;"",Scenarios!E4,"")</f>
        <v>1</v>
      </c>
      <c r="E94" s="371">
        <f>IF(Scenarios!F4&lt;&gt;"",Scenarios!F4,"")</f>
        <v>0.5243300313487167</v>
      </c>
      <c r="F94" s="371">
        <f>IF(Scenarios!G4&lt;&gt;"",Scenarios!G4,"")</f>
        <v>0.5048621610682209</v>
      </c>
      <c r="G94" s="371">
        <f>IF(Scenarios!H4&lt;&gt;"",Scenarios!H4,"")</f>
        <v>0.25487540552021803</v>
      </c>
      <c r="H94" s="371">
        <f>IF(Scenarios!I4&lt;&gt;"",Scenarios!I4,"")</f>
        <v>0.29680815289592971</v>
      </c>
      <c r="I94" s="371">
        <f>IF(Scenarios!J4&lt;&gt;"",Scenarios!J4,"")</f>
        <v>0.25154461316198484</v>
      </c>
      <c r="J94" s="371">
        <f>IF(Scenarios!K4&lt;&gt;"",Scenarios!K4,"")</f>
        <v>0.48821319241673689</v>
      </c>
      <c r="K94" s="371">
        <f>IF(Scenarios!L4&lt;&gt;"",Scenarios!L4,"")</f>
        <v>0.39542796227510119</v>
      </c>
      <c r="L94" s="371">
        <f>IF(Scenarios!M4&lt;&gt;"",Scenarios!M4,"")</f>
        <v>0.47422188785278757</v>
      </c>
      <c r="M94" s="371" t="str">
        <f>IF(Scenarios!N4&lt;&gt;"",Scenarios!N4,"")</f>
        <v/>
      </c>
      <c r="N94" s="371" t="str">
        <f>IF(Scenarios!O4&lt;&gt;"",Scenarios!O4,"")</f>
        <v/>
      </c>
      <c r="O94" s="372" t="str">
        <f>IF(Scenarios!P4&lt;&gt;"",Scenarios!P4,"")</f>
        <v/>
      </c>
      <c r="P94" s="220" t="s">
        <v>121</v>
      </c>
    </row>
    <row r="95" spans="1:17">
      <c r="A95" s="39" t="str">
        <f>IF(Scenarios!A5&lt;&gt;"",Scenarios!A5,"")</f>
        <v>High Yield</v>
      </c>
      <c r="B95" s="42">
        <f>IF(Scenarios!H29&lt;&gt;"",Scenarios!H29,"")</f>
        <v>0.27529934429078429</v>
      </c>
      <c r="C95" s="221">
        <f>IF(Scenarios!D5&lt;&gt;"",Scenarios!D5,"")</f>
        <v>0.15853561014014847</v>
      </c>
      <c r="D95" s="366">
        <f>IF(Scenarios!E5&lt;&gt;"",Scenarios!E5,"")</f>
        <v>0.52433003134871636</v>
      </c>
      <c r="E95" s="222">
        <f>IF(Scenarios!F5&lt;&gt;"",Scenarios!F5,"")</f>
        <v>1</v>
      </c>
      <c r="F95" s="222">
        <f>IF(Scenarios!G5&lt;&gt;"",Scenarios!G5,"")</f>
        <v>0.94338322745767289</v>
      </c>
      <c r="G95" s="222">
        <f>IF(Scenarios!H5&lt;&gt;"",Scenarios!H5,"")</f>
        <v>0.74070013517974964</v>
      </c>
      <c r="H95" s="222">
        <f>IF(Scenarios!I5&lt;&gt;"",Scenarios!I5,"")</f>
        <v>0.74187676376193956</v>
      </c>
      <c r="I95" s="222">
        <f>IF(Scenarios!J5&lt;&gt;"",Scenarios!J5,"")</f>
        <v>0.60846903584875156</v>
      </c>
      <c r="J95" s="222">
        <f>IF(Scenarios!K5&lt;&gt;"",Scenarios!K5,"")</f>
        <v>0.86668583493806206</v>
      </c>
      <c r="K95" s="222">
        <f>IF(Scenarios!L5&lt;&gt;"",Scenarios!L5,"")</f>
        <v>0.86259221475724557</v>
      </c>
      <c r="L95" s="222">
        <f>IF(Scenarios!M5&lt;&gt;"",Scenarios!M5,"")</f>
        <v>0.75906077754107681</v>
      </c>
      <c r="M95" s="222" t="str">
        <f>IF(Scenarios!N5&lt;&gt;"",Scenarios!N5,"")</f>
        <v/>
      </c>
      <c r="N95" s="222" t="str">
        <f>IF(Scenarios!O5&lt;&gt;"",Scenarios!O5,"")</f>
        <v/>
      </c>
      <c r="O95" s="223" t="str">
        <f>IF(Scenarios!P5&lt;&gt;"",Scenarios!P5,"")</f>
        <v/>
      </c>
    </row>
    <row r="96" spans="1:17">
      <c r="A96" s="39" t="str">
        <f>IF(Scenarios!A6&lt;&gt;"",Scenarios!A6,"")</f>
        <v>Emerging market debt</v>
      </c>
      <c r="B96" s="42">
        <f>IF(Scenarios!H30&lt;&gt;"",Scenarios!H30,"")</f>
        <v>0.25817653707968463</v>
      </c>
      <c r="C96" s="221">
        <f>IF(Scenarios!D6&lt;&gt;"",Scenarios!D6,"")</f>
        <v>0.16217253275473525</v>
      </c>
      <c r="D96" s="366">
        <f>IF(Scenarios!E6&lt;&gt;"",Scenarios!E6,"")</f>
        <v>0.50486216106822102</v>
      </c>
      <c r="E96" s="222">
        <f>IF(Scenarios!F6&lt;&gt;"",Scenarios!F6,"")</f>
        <v>0.943383227457673</v>
      </c>
      <c r="F96" s="222">
        <f>IF(Scenarios!G6&lt;&gt;"",Scenarios!G6,"")</f>
        <v>1</v>
      </c>
      <c r="G96" s="222">
        <f>IF(Scenarios!H6&lt;&gt;"",Scenarios!H6,"")</f>
        <v>0.77223648924957744</v>
      </c>
      <c r="H96" s="222">
        <f>IF(Scenarios!I6&lt;&gt;"",Scenarios!I6,"")</f>
        <v>0.79023745754825636</v>
      </c>
      <c r="I96" s="222">
        <f>IF(Scenarios!J6&lt;&gt;"",Scenarios!J6,"")</f>
        <v>0.63110682083437419</v>
      </c>
      <c r="J96" s="222">
        <f>IF(Scenarios!K6&lt;&gt;"",Scenarios!K6,"")</f>
        <v>0.87120901203593171</v>
      </c>
      <c r="K96" s="222">
        <f>IF(Scenarios!L6&lt;&gt;"",Scenarios!L6,"")</f>
        <v>0.86536847063850975</v>
      </c>
      <c r="L96" s="222">
        <f>IF(Scenarios!M6&lt;&gt;"",Scenarios!M6,"")</f>
        <v>0.72481655312346349</v>
      </c>
      <c r="M96" s="222" t="str">
        <f>IF(Scenarios!N6&lt;&gt;"",Scenarios!N6,"")</f>
        <v/>
      </c>
      <c r="N96" s="222" t="str">
        <f>IF(Scenarios!O6&lt;&gt;"",Scenarios!O6,"")</f>
        <v/>
      </c>
      <c r="O96" s="223" t="str">
        <f>IF(Scenarios!P6&lt;&gt;"",Scenarios!P6,"")</f>
        <v/>
      </c>
    </row>
    <row r="97" spans="1:17">
      <c r="A97" s="39" t="str">
        <f>IF(Scenarios!A7&lt;&gt;"",Scenarios!A7,"")</f>
        <v>Aandelen ontwikkeld</v>
      </c>
      <c r="B97" s="42">
        <f>IF(Scenarios!H31&lt;&gt;"",Scenarios!H31,"")</f>
        <v>0.40935864013329615</v>
      </c>
      <c r="C97" s="221">
        <f>IF(Scenarios!D7&lt;&gt;"",Scenarios!D7,"")</f>
        <v>0.28718972670468956</v>
      </c>
      <c r="D97" s="366">
        <f>IF(Scenarios!E7&lt;&gt;"",Scenarios!E7,"")</f>
        <v>0.2548754055202187</v>
      </c>
      <c r="E97" s="222">
        <f>IF(Scenarios!F7&lt;&gt;"",Scenarios!F7,"")</f>
        <v>0.74070013517974975</v>
      </c>
      <c r="F97" s="222">
        <f>IF(Scenarios!G7&lt;&gt;"",Scenarios!G7,"")</f>
        <v>0.77223648924957744</v>
      </c>
      <c r="G97" s="222">
        <f>IF(Scenarios!H7&lt;&gt;"",Scenarios!H7,"")</f>
        <v>1</v>
      </c>
      <c r="H97" s="222">
        <f>IF(Scenarios!I7&lt;&gt;"",Scenarios!I7,"")</f>
        <v>0.81106497730540505</v>
      </c>
      <c r="I97" s="222">
        <f>IF(Scenarios!J7&lt;&gt;"",Scenarios!J7,"")</f>
        <v>0.69909036020626758</v>
      </c>
      <c r="J97" s="222">
        <f>IF(Scenarios!K7&lt;&gt;"",Scenarios!K7,"")</f>
        <v>0.74571542163255744</v>
      </c>
      <c r="K97" s="222">
        <f>IF(Scenarios!L7&lt;&gt;"",Scenarios!L7,"")</f>
        <v>0.88603334197313832</v>
      </c>
      <c r="L97" s="222">
        <f>IF(Scenarios!M7&lt;&gt;"",Scenarios!M7,"")</f>
        <v>0.62515021546234684</v>
      </c>
      <c r="M97" s="222" t="str">
        <f>IF(Scenarios!N7&lt;&gt;"",Scenarios!N7,"")</f>
        <v/>
      </c>
      <c r="N97" s="222" t="str">
        <f>IF(Scenarios!O7&lt;&gt;"",Scenarios!O7,"")</f>
        <v/>
      </c>
      <c r="O97" s="223" t="str">
        <f>IF(Scenarios!P7&lt;&gt;"",Scenarios!P7,"")</f>
        <v/>
      </c>
    </row>
    <row r="98" spans="1:17">
      <c r="A98" s="39" t="str">
        <f>IF(Scenarios!A8&lt;&gt;"",Scenarios!A8,"")</f>
        <v>Aandelen opkomend</v>
      </c>
      <c r="B98" s="42">
        <f>IF(Scenarios!H32&lt;&gt;"",Scenarios!H32,"")</f>
        <v>0.37672139820686834</v>
      </c>
      <c r="C98" s="221">
        <f>IF(Scenarios!D8&lt;&gt;"",Scenarios!D8,"")</f>
        <v>0.29616397669669142</v>
      </c>
      <c r="D98" s="366">
        <f>IF(Scenarios!E8&lt;&gt;"",Scenarios!E8,"")</f>
        <v>0.29680815289593021</v>
      </c>
      <c r="E98" s="222">
        <f>IF(Scenarios!F8&lt;&gt;"",Scenarios!F8,"")</f>
        <v>0.74187676376193967</v>
      </c>
      <c r="F98" s="222">
        <f>IF(Scenarios!G8&lt;&gt;"",Scenarios!G8,"")</f>
        <v>0.79023745754825636</v>
      </c>
      <c r="G98" s="222">
        <f>IF(Scenarios!H8&lt;&gt;"",Scenarios!H8,"")</f>
        <v>0.81106497730540505</v>
      </c>
      <c r="H98" s="222">
        <f>IF(Scenarios!I8&lt;&gt;"",Scenarios!I8,"")</f>
        <v>0.99999999999999978</v>
      </c>
      <c r="I98" s="222">
        <f>IF(Scenarios!J8&lt;&gt;"",Scenarios!J8,"")</f>
        <v>0.63944069654526292</v>
      </c>
      <c r="J98" s="222">
        <f>IF(Scenarios!K8&lt;&gt;"",Scenarios!K8,"")</f>
        <v>0.64591301484464436</v>
      </c>
      <c r="K98" s="222">
        <f>IF(Scenarios!L8&lt;&gt;"",Scenarios!L8,"")</f>
        <v>0.78448428807756676</v>
      </c>
      <c r="L98" s="222">
        <f>IF(Scenarios!M8&lt;&gt;"",Scenarios!M8,"")</f>
        <v>0.51393319492259693</v>
      </c>
      <c r="M98" s="222" t="str">
        <f>IF(Scenarios!N8&lt;&gt;"",Scenarios!N8,"")</f>
        <v/>
      </c>
      <c r="N98" s="222" t="str">
        <f>IF(Scenarios!O8&lt;&gt;"",Scenarios!O8,"")</f>
        <v/>
      </c>
      <c r="O98" s="223" t="str">
        <f>IF(Scenarios!P8&lt;&gt;"",Scenarios!P8,"")</f>
        <v/>
      </c>
    </row>
    <row r="99" spans="1:17">
      <c r="A99" s="39" t="str">
        <f>IF(Scenarios!A9&lt;&gt;"",Scenarios!A9,"")</f>
        <v>Commodities</v>
      </c>
      <c r="B99" s="42">
        <f>IF(Scenarios!H33&lt;&gt;"",Scenarios!H33,"")</f>
        <v>0.621322616702631</v>
      </c>
      <c r="C99" s="221">
        <f>IF(Scenarios!D9&lt;&gt;"",Scenarios!D9,"")</f>
        <v>0.32648216646211403</v>
      </c>
      <c r="D99" s="366">
        <f>IF(Scenarios!E9&lt;&gt;"",Scenarios!E9,"")</f>
        <v>0.25154461316198523</v>
      </c>
      <c r="E99" s="222">
        <f>IF(Scenarios!F9&lt;&gt;"",Scenarios!F9,"")</f>
        <v>0.60846903584875167</v>
      </c>
      <c r="F99" s="222">
        <f>IF(Scenarios!G9&lt;&gt;"",Scenarios!G9,"")</f>
        <v>0.6311068208343743</v>
      </c>
      <c r="G99" s="222">
        <f>IF(Scenarios!H9&lt;&gt;"",Scenarios!H9,"")</f>
        <v>0.69909036020626758</v>
      </c>
      <c r="H99" s="222">
        <f>IF(Scenarios!I9&lt;&gt;"",Scenarios!I9,"")</f>
        <v>0.63944069654526281</v>
      </c>
      <c r="I99" s="222">
        <f>IF(Scenarios!J9&lt;&gt;"",Scenarios!J9,"")</f>
        <v>0.99999999999999978</v>
      </c>
      <c r="J99" s="222">
        <f>IF(Scenarios!K9&lt;&gt;"",Scenarios!K9,"")</f>
        <v>0.57555638609831095</v>
      </c>
      <c r="K99" s="222">
        <f>IF(Scenarios!L9&lt;&gt;"",Scenarios!L9,"")</f>
        <v>0.6706441294402975</v>
      </c>
      <c r="L99" s="222">
        <f>IF(Scenarios!M9&lt;&gt;"",Scenarios!M9,"")</f>
        <v>0.49865020725851583</v>
      </c>
      <c r="M99" s="222" t="str">
        <f>IF(Scenarios!N9&lt;&gt;"",Scenarios!N9,"")</f>
        <v/>
      </c>
      <c r="N99" s="222" t="str">
        <f>IF(Scenarios!O9&lt;&gt;"",Scenarios!O9,"")</f>
        <v/>
      </c>
      <c r="O99" s="223" t="str">
        <f>IF(Scenarios!P9&lt;&gt;"",Scenarios!P9,"")</f>
        <v/>
      </c>
    </row>
    <row r="100" spans="1:17">
      <c r="A100" s="39" t="str">
        <f>IF(Scenarios!A10&lt;&gt;"",Scenarios!A10,"")</f>
        <v>Hedge funds</v>
      </c>
      <c r="B100" s="42">
        <f>IF(Scenarios!H34&lt;&gt;"",Scenarios!H34,"")</f>
        <v>0.28021842301080391</v>
      </c>
      <c r="C100" s="221">
        <f>IF(Scenarios!D10&lt;&gt;"",Scenarios!D10,"")</f>
        <v>0.16076897495152093</v>
      </c>
      <c r="D100" s="366">
        <f>IF(Scenarios!E10&lt;&gt;"",Scenarios!E10,"")</f>
        <v>0.488213192416737</v>
      </c>
      <c r="E100" s="222">
        <f>IF(Scenarios!F10&lt;&gt;"",Scenarios!F10,"")</f>
        <v>0.86668583493806206</v>
      </c>
      <c r="F100" s="222">
        <f>IF(Scenarios!G10&lt;&gt;"",Scenarios!G10,"")</f>
        <v>0.87120901203593182</v>
      </c>
      <c r="G100" s="222">
        <f>IF(Scenarios!H10&lt;&gt;"",Scenarios!H10,"")</f>
        <v>0.74571542163255744</v>
      </c>
      <c r="H100" s="222">
        <f>IF(Scenarios!I10&lt;&gt;"",Scenarios!I10,"")</f>
        <v>0.64591301484464425</v>
      </c>
      <c r="I100" s="222">
        <f>IF(Scenarios!J10&lt;&gt;"",Scenarios!J10,"")</f>
        <v>0.57555638609831083</v>
      </c>
      <c r="J100" s="222">
        <f>IF(Scenarios!K10&lt;&gt;"",Scenarios!K10,"")</f>
        <v>1.0000000000000002</v>
      </c>
      <c r="K100" s="222">
        <f>IF(Scenarios!L10&lt;&gt;"",Scenarios!L10,"")</f>
        <v>0.79740125449060317</v>
      </c>
      <c r="L100" s="222">
        <f>IF(Scenarios!M10&lt;&gt;"",Scenarios!M10,"")</f>
        <v>0.6990511874231996</v>
      </c>
      <c r="M100" s="222" t="str">
        <f>IF(Scenarios!N10&lt;&gt;"",Scenarios!N10,"")</f>
        <v/>
      </c>
      <c r="N100" s="222" t="str">
        <f>IF(Scenarios!O10&lt;&gt;"",Scenarios!O10,"")</f>
        <v/>
      </c>
      <c r="O100" s="223" t="str">
        <f>IF(Scenarios!P10&lt;&gt;"",Scenarios!P10,"")</f>
        <v/>
      </c>
    </row>
    <row r="101" spans="1:17">
      <c r="A101" s="39" t="str">
        <f>IF(Scenarios!A11&lt;&gt;"",Scenarios!A11,"")</f>
        <v>Onroerend goed</v>
      </c>
      <c r="B101" s="42">
        <f>IF(Scenarios!H35&lt;&gt;"",Scenarios!H35,"")</f>
        <v>0.41038049782760322</v>
      </c>
      <c r="C101" s="221">
        <f>IF(Scenarios!D11&lt;&gt;"",Scenarios!D11,"")</f>
        <v>0.20064050365322861</v>
      </c>
      <c r="D101" s="366">
        <f>IF(Scenarios!E11&lt;&gt;"",Scenarios!E11,"")</f>
        <v>0.39542796227510135</v>
      </c>
      <c r="E101" s="222">
        <f>IF(Scenarios!F11&lt;&gt;"",Scenarios!F11,"")</f>
        <v>0.86259221475724557</v>
      </c>
      <c r="F101" s="222">
        <f>IF(Scenarios!G11&lt;&gt;"",Scenarios!G11,"")</f>
        <v>0.86536847063850963</v>
      </c>
      <c r="G101" s="222">
        <f>IF(Scenarios!H11&lt;&gt;"",Scenarios!H11,"")</f>
        <v>0.88603334197313832</v>
      </c>
      <c r="H101" s="222">
        <f>IF(Scenarios!I11&lt;&gt;"",Scenarios!I11,"")</f>
        <v>0.78448428807756676</v>
      </c>
      <c r="I101" s="222">
        <f>IF(Scenarios!J11&lt;&gt;"",Scenarios!J11,"")</f>
        <v>0.67064412944029761</v>
      </c>
      <c r="J101" s="222">
        <f>IF(Scenarios!K11&lt;&gt;"",Scenarios!K11,"")</f>
        <v>0.79740125449060328</v>
      </c>
      <c r="K101" s="222">
        <f>IF(Scenarios!L11&lt;&gt;"",Scenarios!L11,"")</f>
        <v>1.0000000000000002</v>
      </c>
      <c r="L101" s="222">
        <f>IF(Scenarios!M11&lt;&gt;"",Scenarios!M11,"")</f>
        <v>0.74626676152997484</v>
      </c>
      <c r="M101" s="222" t="str">
        <f>IF(Scenarios!N11&lt;&gt;"",Scenarios!N11,"")</f>
        <v/>
      </c>
      <c r="N101" s="222" t="str">
        <f>IF(Scenarios!O11&lt;&gt;"",Scenarios!O11,"")</f>
        <v/>
      </c>
      <c r="O101" s="223" t="str">
        <f>IF(Scenarios!P11&lt;&gt;"",Scenarios!P11,"")</f>
        <v/>
      </c>
    </row>
    <row r="102" spans="1:17">
      <c r="A102" s="39" t="str">
        <f>IF(Scenarios!A12&lt;&gt;"",Scenarios!A12,"")</f>
        <v>Periferie bonds</v>
      </c>
      <c r="B102" s="42">
        <f>IF(Scenarios!H36&lt;&gt;"",Scenarios!H36,"")</f>
        <v>0.16161778235216684</v>
      </c>
      <c r="C102" s="221">
        <f>IF(Scenarios!D12&lt;&gt;"",Scenarios!D12,"")</f>
        <v>0.17312066928436093</v>
      </c>
      <c r="D102" s="366">
        <f>IF(Scenarios!E12&lt;&gt;"",Scenarios!E12,"")</f>
        <v>0.47422188785278774</v>
      </c>
      <c r="E102" s="222">
        <f>IF(Scenarios!F12&lt;&gt;"",Scenarios!F12,"")</f>
        <v>0.75906077754107693</v>
      </c>
      <c r="F102" s="222">
        <f>IF(Scenarios!G12&lt;&gt;"",Scenarios!G12,"")</f>
        <v>0.72481655312346349</v>
      </c>
      <c r="G102" s="222">
        <f>IF(Scenarios!H12&lt;&gt;"",Scenarios!H12,"")</f>
        <v>0.62515021546234673</v>
      </c>
      <c r="H102" s="222">
        <f>IF(Scenarios!I12&lt;&gt;"",Scenarios!I12,"")</f>
        <v>0.51393319492259693</v>
      </c>
      <c r="I102" s="222">
        <f>IF(Scenarios!J12&lt;&gt;"",Scenarios!J12,"")</f>
        <v>0.49865020725851572</v>
      </c>
      <c r="J102" s="222">
        <f>IF(Scenarios!K12&lt;&gt;"",Scenarios!K12,"")</f>
        <v>0.69905118742319949</v>
      </c>
      <c r="K102" s="222">
        <f>IF(Scenarios!L12&lt;&gt;"",Scenarios!L12,"")</f>
        <v>0.74626676152997495</v>
      </c>
      <c r="L102" s="222">
        <f>IF(Scenarios!M12&lt;&gt;"",Scenarios!M12,"")</f>
        <v>0.99999999999999989</v>
      </c>
      <c r="M102" s="222" t="str">
        <f>IF(Scenarios!N12&lt;&gt;"",Scenarios!N12,"")</f>
        <v/>
      </c>
      <c r="N102" s="222" t="str">
        <f>IF(Scenarios!O12&lt;&gt;"",Scenarios!O12,"")</f>
        <v/>
      </c>
      <c r="O102" s="223" t="str">
        <f>IF(Scenarios!P12&lt;&gt;"",Scenarios!P12,"")</f>
        <v/>
      </c>
      <c r="Q102" s="73"/>
    </row>
    <row r="103" spans="1:17">
      <c r="A103" s="39" t="str">
        <f>IF(Scenarios!A13&lt;&gt;"",Scenarios!A13,"")</f>
        <v/>
      </c>
      <c r="B103" s="42" t="str">
        <f>IF(Scenarios!H37&lt;&gt;"",Scenarios!H37,"")</f>
        <v/>
      </c>
      <c r="C103" s="221" t="str">
        <f>IF(Scenarios!D13&lt;&gt;"",Scenarios!D13,"")</f>
        <v/>
      </c>
      <c r="D103" s="366" t="str">
        <f>IF(Scenarios!E13&lt;&gt;"",Scenarios!E13,"")</f>
        <v/>
      </c>
      <c r="E103" s="222" t="str">
        <f>IF(Scenarios!F13&lt;&gt;"",Scenarios!F13,"")</f>
        <v/>
      </c>
      <c r="F103" s="222" t="str">
        <f>IF(Scenarios!G13&lt;&gt;"",Scenarios!G13,"")</f>
        <v/>
      </c>
      <c r="G103" s="222" t="str">
        <f>IF(Scenarios!H13&lt;&gt;"",Scenarios!H13,"")</f>
        <v/>
      </c>
      <c r="H103" s="222" t="str">
        <f>IF(Scenarios!I13&lt;&gt;"",Scenarios!I13,"")</f>
        <v/>
      </c>
      <c r="I103" s="222" t="str">
        <f>IF(Scenarios!J13&lt;&gt;"",Scenarios!J13,"")</f>
        <v/>
      </c>
      <c r="J103" s="222" t="str">
        <f>IF(Scenarios!K13&lt;&gt;"",Scenarios!K13,"")</f>
        <v/>
      </c>
      <c r="K103" s="222" t="str">
        <f>IF(Scenarios!L13&lt;&gt;"",Scenarios!L13,"")</f>
        <v/>
      </c>
      <c r="L103" s="222" t="str">
        <f>IF(Scenarios!M13&lt;&gt;"",Scenarios!M13,"")</f>
        <v/>
      </c>
      <c r="M103" s="222" t="str">
        <f>IF(Scenarios!N13&lt;&gt;"",Scenarios!N13,"")</f>
        <v/>
      </c>
      <c r="N103" s="222" t="str">
        <f>IF(Scenarios!O13&lt;&gt;"",Scenarios!O13,"")</f>
        <v/>
      </c>
      <c r="O103" s="223" t="str">
        <f>IF(Scenarios!P13&lt;&gt;"",Scenarios!P13,"")</f>
        <v/>
      </c>
      <c r="Q103" s="73"/>
    </row>
    <row r="104" spans="1:17">
      <c r="A104" s="39" t="str">
        <f>IF(Scenarios!A14&lt;&gt;"",Scenarios!A14,"")</f>
        <v/>
      </c>
      <c r="B104" s="42" t="str">
        <f>IF(Scenarios!H38&lt;&gt;"",Scenarios!H38,"")</f>
        <v/>
      </c>
      <c r="C104" s="221" t="str">
        <f>IF(Scenarios!D14&lt;&gt;"",Scenarios!D14,"")</f>
        <v/>
      </c>
      <c r="D104" s="366" t="str">
        <f>IF(Scenarios!E14&lt;&gt;"",Scenarios!E14,"")</f>
        <v/>
      </c>
      <c r="E104" s="222" t="str">
        <f>IF(Scenarios!F14&lt;&gt;"",Scenarios!F14,"")</f>
        <v/>
      </c>
      <c r="F104" s="222" t="str">
        <f>IF(Scenarios!G14&lt;&gt;"",Scenarios!G14,"")</f>
        <v/>
      </c>
      <c r="G104" s="222" t="str">
        <f>IF(Scenarios!H14&lt;&gt;"",Scenarios!H14,"")</f>
        <v/>
      </c>
      <c r="H104" s="222" t="str">
        <f>IF(Scenarios!I14&lt;&gt;"",Scenarios!I14,"")</f>
        <v/>
      </c>
      <c r="I104" s="222" t="str">
        <f>IF(Scenarios!J14&lt;&gt;"",Scenarios!J14,"")</f>
        <v/>
      </c>
      <c r="J104" s="222" t="str">
        <f>IF(Scenarios!K14&lt;&gt;"",Scenarios!K14,"")</f>
        <v/>
      </c>
      <c r="K104" s="222" t="str">
        <f>IF(Scenarios!L14&lt;&gt;"",Scenarios!L14,"")</f>
        <v/>
      </c>
      <c r="L104" s="222" t="str">
        <f>IF(Scenarios!M14&lt;&gt;"",Scenarios!M14,"")</f>
        <v/>
      </c>
      <c r="M104" s="222" t="str">
        <f>IF(Scenarios!N14&lt;&gt;"",Scenarios!N14,"")</f>
        <v/>
      </c>
      <c r="N104" s="222" t="str">
        <f>IF(Scenarios!O14&lt;&gt;"",Scenarios!O14,"")</f>
        <v/>
      </c>
      <c r="O104" s="223" t="str">
        <f>IF(Scenarios!P14&lt;&gt;"",Scenarios!P14,"")</f>
        <v/>
      </c>
      <c r="Q104" s="73"/>
    </row>
    <row r="105" spans="1:17" ht="13.5" thickBot="1">
      <c r="A105" s="350" t="str">
        <f>IF(Scenarios!A15&lt;&gt;"",Scenarios!A15,"")</f>
        <v/>
      </c>
      <c r="B105" s="354" t="str">
        <f>IF(Scenarios!H39&lt;&gt;"",Scenarios!H39,"")</f>
        <v/>
      </c>
      <c r="C105" s="355" t="str">
        <f>IF(Scenarios!D15&lt;&gt;"",Scenarios!D15,"")</f>
        <v/>
      </c>
      <c r="D105" s="367" t="str">
        <f>IF(Scenarios!E15&lt;&gt;"",Scenarios!E15,"")</f>
        <v/>
      </c>
      <c r="E105" s="368" t="str">
        <f>IF(Scenarios!F15&lt;&gt;"",Scenarios!F15,"")</f>
        <v/>
      </c>
      <c r="F105" s="368" t="str">
        <f>IF(Scenarios!G15&lt;&gt;"",Scenarios!G15,"")</f>
        <v/>
      </c>
      <c r="G105" s="368" t="str">
        <f>IF(Scenarios!H15&lt;&gt;"",Scenarios!H15,"")</f>
        <v/>
      </c>
      <c r="H105" s="368" t="str">
        <f>IF(Scenarios!I15&lt;&gt;"",Scenarios!I15,"")</f>
        <v/>
      </c>
      <c r="I105" s="368" t="str">
        <f>IF(Scenarios!J15&lt;&gt;"",Scenarios!J15,"")</f>
        <v/>
      </c>
      <c r="J105" s="368" t="str">
        <f>IF(Scenarios!K15&lt;&gt;"",Scenarios!K15,"")</f>
        <v/>
      </c>
      <c r="K105" s="368" t="str">
        <f>IF(Scenarios!L15&lt;&gt;"",Scenarios!L15,"")</f>
        <v/>
      </c>
      <c r="L105" s="368" t="str">
        <f>IF(Scenarios!M15&lt;&gt;"",Scenarios!M15,"")</f>
        <v/>
      </c>
      <c r="M105" s="368" t="str">
        <f>IF(Scenarios!N15&lt;&gt;"",Scenarios!N15,"")</f>
        <v/>
      </c>
      <c r="N105" s="368" t="str">
        <f>IF(Scenarios!O15&lt;&gt;"",Scenarios!O15,"")</f>
        <v/>
      </c>
      <c r="O105" s="356" t="str">
        <f>IF(Scenarios!P15&lt;&gt;"",Scenarios!P15,"")</f>
        <v/>
      </c>
      <c r="Q105" s="73"/>
    </row>
    <row r="106" spans="1:17">
      <c r="Q106" s="73"/>
    </row>
    <row r="107" spans="1:17">
      <c r="Q107" s="73"/>
    </row>
    <row r="108" spans="1:17">
      <c r="A108" s="73"/>
      <c r="B108" s="73"/>
      <c r="C108" s="73"/>
      <c r="D108" s="73"/>
      <c r="E108" s="73"/>
      <c r="F108" s="73"/>
      <c r="G108" s="73"/>
      <c r="H108" s="73"/>
      <c r="I108" s="73"/>
      <c r="J108" s="73"/>
      <c r="K108" s="73"/>
      <c r="L108" s="73"/>
      <c r="M108" s="73"/>
      <c r="N108" s="73"/>
      <c r="O108" s="73"/>
      <c r="Q108" s="73"/>
    </row>
    <row r="109" spans="1:17">
      <c r="A109" s="73"/>
      <c r="B109" s="73"/>
      <c r="C109" s="73"/>
      <c r="D109" s="73"/>
      <c r="E109" s="73"/>
      <c r="F109" s="73"/>
      <c r="G109" s="73"/>
      <c r="H109" s="73"/>
      <c r="I109" s="73"/>
      <c r="J109" s="73"/>
      <c r="K109" s="73"/>
      <c r="L109" s="73"/>
      <c r="M109" s="73"/>
      <c r="N109" s="73"/>
      <c r="O109" s="73"/>
      <c r="Q109" s="73"/>
    </row>
    <row r="110" spans="1:17">
      <c r="A110" s="73"/>
      <c r="B110" s="73"/>
      <c r="C110" s="73"/>
      <c r="D110" s="73"/>
      <c r="E110" s="73"/>
      <c r="F110" s="73"/>
      <c r="G110" s="73"/>
      <c r="H110" s="73"/>
      <c r="I110" s="73"/>
      <c r="J110" s="73"/>
      <c r="K110" s="73"/>
      <c r="L110" s="73"/>
      <c r="M110" s="73"/>
      <c r="N110" s="73"/>
      <c r="O110" s="73"/>
      <c r="Q110" s="73"/>
    </row>
  </sheetData>
  <mergeCells count="7">
    <mergeCell ref="D78:O78"/>
    <mergeCell ref="D93:O93"/>
    <mergeCell ref="D3:O3"/>
    <mergeCell ref="D18:O18"/>
    <mergeCell ref="D33:O33"/>
    <mergeCell ref="D48:O48"/>
    <mergeCell ref="D63:O6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H129"/>
  <sheetViews>
    <sheetView zoomScale="80" zoomScaleNormal="80" workbookViewId="0">
      <selection activeCell="A15" sqref="A15"/>
    </sheetView>
  </sheetViews>
  <sheetFormatPr defaultRowHeight="15"/>
  <cols>
    <col min="1" max="1" width="32.42578125" style="70" customWidth="1"/>
    <col min="2" max="2" width="19.140625" style="70" customWidth="1"/>
    <col min="3" max="8" width="18.7109375" style="70" customWidth="1"/>
    <col min="9" max="16384" width="9.140625" style="70"/>
  </cols>
  <sheetData>
    <row r="1" spans="1:8" ht="15.75" thickBot="1">
      <c r="A1" s="7" t="s">
        <v>15</v>
      </c>
      <c r="B1" s="3"/>
      <c r="C1" s="4"/>
      <c r="D1" s="4"/>
      <c r="E1" s="3"/>
      <c r="F1" s="3"/>
    </row>
    <row r="2" spans="1:8" ht="15.75" thickBot="1">
      <c r="A2" s="3"/>
      <c r="B2" s="3"/>
      <c r="C2" s="388" t="s">
        <v>16</v>
      </c>
      <c r="D2" s="389"/>
      <c r="E2" s="390" t="s">
        <v>17</v>
      </c>
      <c r="F2" s="391"/>
      <c r="G2" s="392" t="s">
        <v>33</v>
      </c>
      <c r="H2" s="393"/>
    </row>
    <row r="3" spans="1:8" ht="15.75" thickBot="1">
      <c r="A3" s="8" t="s">
        <v>18</v>
      </c>
      <c r="B3" s="9" t="s">
        <v>19</v>
      </c>
      <c r="C3" s="10" t="s">
        <v>20</v>
      </c>
      <c r="D3" s="11" t="s">
        <v>21</v>
      </c>
      <c r="E3" s="11" t="s">
        <v>20</v>
      </c>
      <c r="F3" s="12" t="s">
        <v>21</v>
      </c>
      <c r="G3" s="126" t="s">
        <v>22</v>
      </c>
      <c r="H3" s="13" t="s">
        <v>23</v>
      </c>
    </row>
    <row r="4" spans="1:8">
      <c r="A4" s="14" t="str">
        <f>IF('Absolute visies'!A4&lt;&gt;"",'Absolute visies'!A4,"")</f>
        <v>Nominale matching</v>
      </c>
      <c r="B4" s="15" t="s">
        <v>24</v>
      </c>
      <c r="C4" s="16">
        <f>IF('Control panel'!C3&lt;&gt;"",'Control panel'!C3,"")</f>
        <v>0</v>
      </c>
      <c r="D4" s="16">
        <f>IF('Control panel'!D3&lt;&gt;"",'Control panel'!D3,"")</f>
        <v>1</v>
      </c>
      <c r="E4" s="16">
        <v>0</v>
      </c>
      <c r="F4" s="16">
        <v>1</v>
      </c>
      <c r="G4" s="17">
        <f>IF('Control panel'!B3&lt;&gt;"",'Control panel'!B3,"")</f>
        <v>0.55552002657163746</v>
      </c>
      <c r="H4" s="16">
        <f>IF('Control panel'!E3&lt;&gt;"",'Control panel'!E3,"")</f>
        <v>0.99</v>
      </c>
    </row>
    <row r="5" spans="1:8">
      <c r="A5" s="18" t="str">
        <f>IF('Absolute visies'!A5&lt;&gt;"",'Absolute visies'!A5,"")</f>
        <v>High Yield</v>
      </c>
      <c r="B5" s="19" t="s">
        <v>25</v>
      </c>
      <c r="C5" s="20">
        <f>IF('Control panel'!C4&lt;&gt;"",'Control panel'!C4,"")</f>
        <v>0</v>
      </c>
      <c r="D5" s="20">
        <f>IF('Control panel'!D4&lt;&gt;"",'Control panel'!D4,"")</f>
        <v>1</v>
      </c>
      <c r="E5" s="20">
        <v>0</v>
      </c>
      <c r="F5" s="20">
        <v>1</v>
      </c>
      <c r="G5" s="21">
        <f>IF('Control panel'!B4&lt;&gt;"",'Control panel'!B4,"")</f>
        <v>9.7772401711769694E-2</v>
      </c>
      <c r="H5" s="20">
        <f>IF('Control panel'!E4&lt;&gt;"",'Control panel'!E4,"")</f>
        <v>0.99</v>
      </c>
    </row>
    <row r="6" spans="1:8">
      <c r="A6" s="18" t="str">
        <f>IF('Absolute visies'!A6&lt;&gt;"",'Absolute visies'!A6,"")</f>
        <v>Emerging market debt</v>
      </c>
      <c r="B6" s="19" t="s">
        <v>25</v>
      </c>
      <c r="C6" s="20">
        <f>IF('Control panel'!C5&lt;&gt;"",'Control panel'!C5,"")</f>
        <v>0</v>
      </c>
      <c r="D6" s="20">
        <f>IF('Control panel'!D5&lt;&gt;"",'Control panel'!D5,"")</f>
        <v>1</v>
      </c>
      <c r="E6" s="20">
        <v>0</v>
      </c>
      <c r="F6" s="20">
        <v>1</v>
      </c>
      <c r="G6" s="21">
        <f>IF('Control panel'!B5&lt;&gt;"",'Control panel'!B5,"")</f>
        <v>9.4763191533410202E-2</v>
      </c>
      <c r="H6" s="20">
        <f>IF('Control panel'!E5&lt;&gt;"",'Control panel'!E5,"")</f>
        <v>0.99</v>
      </c>
    </row>
    <row r="7" spans="1:8">
      <c r="A7" s="18" t="str">
        <f>IF('Absolute visies'!A7&lt;&gt;"",'Absolute visies'!A7,"")</f>
        <v>Aandelen ontwikkeld</v>
      </c>
      <c r="B7" s="19" t="s">
        <v>25</v>
      </c>
      <c r="C7" s="20">
        <f>IF('Control panel'!C6&lt;&gt;"",'Control panel'!C6,"")</f>
        <v>0</v>
      </c>
      <c r="D7" s="20">
        <f>IF('Control panel'!D6&lt;&gt;"",'Control panel'!D6,"")</f>
        <v>1</v>
      </c>
      <c r="E7" s="20">
        <v>0</v>
      </c>
      <c r="F7" s="20">
        <v>1</v>
      </c>
      <c r="G7" s="21">
        <f>IF('Control panel'!B6&lt;&gt;"",'Control panel'!B6,"")</f>
        <v>0.10281340879516217</v>
      </c>
      <c r="H7" s="20">
        <f>IF('Control panel'!E6&lt;&gt;"",'Control panel'!E6,"")</f>
        <v>0.99</v>
      </c>
    </row>
    <row r="8" spans="1:8">
      <c r="A8" s="18" t="str">
        <f>IF('Absolute visies'!A8&lt;&gt;"",'Absolute visies'!A8,"")</f>
        <v>Aandelen opkomend</v>
      </c>
      <c r="B8" s="19" t="s">
        <v>25</v>
      </c>
      <c r="C8" s="20">
        <f>IF('Control panel'!C7&lt;&gt;"",'Control panel'!C7,"")</f>
        <v>0</v>
      </c>
      <c r="D8" s="20">
        <f>IF('Control panel'!D7&lt;&gt;"",'Control panel'!D7,"")</f>
        <v>1</v>
      </c>
      <c r="E8" s="20">
        <v>0</v>
      </c>
      <c r="F8" s="20">
        <v>1</v>
      </c>
      <c r="G8" s="21">
        <f>IF('Control panel'!B7&lt;&gt;"",'Control panel'!B7,"")</f>
        <v>5.1014363077869621E-2</v>
      </c>
      <c r="H8" s="20">
        <f>IF('Control panel'!E7&lt;&gt;"",'Control panel'!E7,"")</f>
        <v>0.99</v>
      </c>
    </row>
    <row r="9" spans="1:8">
      <c r="A9" s="18" t="str">
        <f>IF('Absolute visies'!A9&lt;&gt;"",'Absolute visies'!A9,"")</f>
        <v>Commodities</v>
      </c>
      <c r="B9" s="19" t="s">
        <v>25</v>
      </c>
      <c r="C9" s="20">
        <f>IF('Control panel'!C8&lt;&gt;"",'Control panel'!C8,"")</f>
        <v>0</v>
      </c>
      <c r="D9" s="20">
        <f>IF('Control panel'!D8&lt;&gt;"",'Control panel'!D8,"")</f>
        <v>1</v>
      </c>
      <c r="E9" s="20">
        <v>0</v>
      </c>
      <c r="F9" s="20">
        <v>1</v>
      </c>
      <c r="G9" s="21">
        <f>IF('Control panel'!B8&lt;&gt;"",'Control panel'!B8,"")</f>
        <v>2.0731266317763185E-2</v>
      </c>
      <c r="H9" s="20">
        <f>IF('Control panel'!E8&lt;&gt;"",'Control panel'!E8,"")</f>
        <v>0.99</v>
      </c>
    </row>
    <row r="10" spans="1:8">
      <c r="A10" s="18" t="str">
        <f>IF('Absolute visies'!A10&lt;&gt;"",'Absolute visies'!A10,"")</f>
        <v>Hedge funds</v>
      </c>
      <c r="B10" s="19" t="s">
        <v>25</v>
      </c>
      <c r="C10" s="20">
        <f>IF('Control panel'!C9&lt;&gt;"",'Control panel'!C9,"")</f>
        <v>0</v>
      </c>
      <c r="D10" s="20">
        <f>IF('Control panel'!D9&lt;&gt;"",'Control panel'!D9,"")</f>
        <v>1</v>
      </c>
      <c r="E10" s="20">
        <v>0</v>
      </c>
      <c r="F10" s="20">
        <v>1</v>
      </c>
      <c r="G10" s="21">
        <f>IF('Control panel'!B9&lt;&gt;"",'Control panel'!B9,"")</f>
        <v>3.0634868515694261E-2</v>
      </c>
      <c r="H10" s="20">
        <f>IF('Control panel'!E9&lt;&gt;"",'Control panel'!E9,"")</f>
        <v>0.99</v>
      </c>
    </row>
    <row r="11" spans="1:8">
      <c r="A11" s="18" t="str">
        <f>IF('Absolute visies'!A11&lt;&gt;"",'Absolute visies'!A11,"")</f>
        <v>Onroerend goed</v>
      </c>
      <c r="B11" s="19" t="s">
        <v>25</v>
      </c>
      <c r="C11" s="20">
        <f>IF('Control panel'!C10&lt;&gt;"",'Control panel'!C10,"")</f>
        <v>0</v>
      </c>
      <c r="D11" s="20">
        <f>IF('Control panel'!D10&lt;&gt;"",'Control panel'!D10,"")</f>
        <v>1</v>
      </c>
      <c r="E11" s="20">
        <v>0</v>
      </c>
      <c r="F11" s="20">
        <v>1</v>
      </c>
      <c r="G11" s="21">
        <f>IF('Control panel'!B10&lt;&gt;"",'Control panel'!B10,"")</f>
        <v>4.6750473476693498E-2</v>
      </c>
      <c r="H11" s="20">
        <f>IF('Control panel'!E10&lt;&gt;"",'Control panel'!E10,"")</f>
        <v>0.99</v>
      </c>
    </row>
    <row r="12" spans="1:8">
      <c r="A12" s="18" t="str">
        <f>IF('Absolute visies'!A12&lt;&gt;"",'Absolute visies'!A12,"")</f>
        <v>Periferie bonds</v>
      </c>
      <c r="B12" s="19" t="s">
        <v>25</v>
      </c>
      <c r="C12" s="20">
        <f>IF('Control panel'!C11&lt;&gt;"",'Control panel'!C11,"")</f>
        <v>0</v>
      </c>
      <c r="D12" s="20">
        <f>IF('Control panel'!D11&lt;&gt;"",'Control panel'!D11,"")</f>
        <v>1</v>
      </c>
      <c r="E12" s="20">
        <v>0</v>
      </c>
      <c r="F12" s="20">
        <v>1</v>
      </c>
      <c r="G12" s="21">
        <f>IF('Control panel'!B11&lt;&gt;"",'Control panel'!B11,"")</f>
        <v>0</v>
      </c>
      <c r="H12" s="20">
        <f>IF('Control panel'!E11&lt;&gt;"",'Control panel'!E11,"")</f>
        <v>0.99</v>
      </c>
    </row>
    <row r="13" spans="1:8">
      <c r="A13" s="18" t="str">
        <f>IF('Absolute visies'!A13&lt;&gt;"",'Absolute visies'!A13,"")</f>
        <v/>
      </c>
      <c r="B13" s="19"/>
      <c r="C13" s="20" t="str">
        <f>IF('Control panel'!C12&lt;&gt;"",'Control panel'!C12,"")</f>
        <v/>
      </c>
      <c r="D13" s="20" t="str">
        <f>IF('Control panel'!D12&lt;&gt;"",'Control panel'!D12,"")</f>
        <v/>
      </c>
      <c r="E13" s="20">
        <v>0</v>
      </c>
      <c r="F13" s="20">
        <v>1</v>
      </c>
      <c r="G13" s="21" t="str">
        <f>IF('Control panel'!B12&lt;&gt;"",'Control panel'!B12,"")</f>
        <v/>
      </c>
      <c r="H13" s="20" t="str">
        <f>IF('Control panel'!E12&lt;&gt;"",'Control panel'!E12,"")</f>
        <v/>
      </c>
    </row>
    <row r="14" spans="1:8">
      <c r="A14" s="18" t="str">
        <f>IF('Absolute visies'!A14&lt;&gt;"",'Absolute visies'!A14,"")</f>
        <v/>
      </c>
      <c r="B14" s="19"/>
      <c r="C14" s="20" t="str">
        <f>IF('Control panel'!C13&lt;&gt;"",'Control panel'!C13,"")</f>
        <v/>
      </c>
      <c r="D14" s="20" t="str">
        <f>IF('Control panel'!D13&lt;&gt;"",'Control panel'!D13,"")</f>
        <v/>
      </c>
      <c r="E14" s="20">
        <v>0</v>
      </c>
      <c r="F14" s="20">
        <v>1</v>
      </c>
      <c r="G14" s="21" t="str">
        <f>IF('Control panel'!B13&lt;&gt;"",'Control panel'!B13,"")</f>
        <v/>
      </c>
      <c r="H14" s="20" t="str">
        <f>IF('Control panel'!E13&lt;&gt;"",'Control panel'!E13,"")</f>
        <v/>
      </c>
    </row>
    <row r="15" spans="1:8" ht="15.75" thickBot="1">
      <c r="A15" s="341" t="str">
        <f>IF('Absolute visies'!A15&lt;&gt;"",'Absolute visies'!A15,"")</f>
        <v/>
      </c>
      <c r="B15" s="343"/>
      <c r="C15" s="345" t="str">
        <f>IF('Control panel'!C14&lt;&gt;"",'Control panel'!C14,"")</f>
        <v/>
      </c>
      <c r="D15" s="345" t="str">
        <f>IF('Control panel'!D14&lt;&gt;"",'Control panel'!D14,"")</f>
        <v/>
      </c>
      <c r="E15" s="345">
        <v>0</v>
      </c>
      <c r="F15" s="345">
        <v>1</v>
      </c>
      <c r="G15" s="344" t="str">
        <f>IF('Control panel'!B14&lt;&gt;"",'Control panel'!B14,"")</f>
        <v/>
      </c>
      <c r="H15" s="345" t="str">
        <f>IF('Control panel'!E14&lt;&gt;"",'Control panel'!E14,"")</f>
        <v/>
      </c>
    </row>
    <row r="16" spans="1:8" ht="15.75" thickBot="1">
      <c r="G16" s="24" t="s">
        <v>26</v>
      </c>
      <c r="H16" s="23">
        <f>'Control panel'!E15</f>
        <v>0.99</v>
      </c>
    </row>
    <row r="17" spans="1:8" ht="15.75" thickBot="1">
      <c r="G17" s="26"/>
      <c r="H17" s="6"/>
    </row>
    <row r="18" spans="1:8" ht="15.75" thickBot="1">
      <c r="A18" s="32" t="s">
        <v>32</v>
      </c>
      <c r="B18" s="28">
        <v>0</v>
      </c>
      <c r="C18" s="28">
        <v>0</v>
      </c>
      <c r="D18" s="28">
        <v>0</v>
      </c>
      <c r="E18" s="28">
        <v>0</v>
      </c>
      <c r="F18" s="28">
        <v>0</v>
      </c>
      <c r="G18" s="29">
        <v>0</v>
      </c>
    </row>
    <row r="19" spans="1:8">
      <c r="A19" s="14" t="str">
        <f>IF('Absolute visies'!A4&lt;&gt;"",'Absolute visies'!A4,"")</f>
        <v>Nominale matching</v>
      </c>
      <c r="B19" s="226">
        <v>0</v>
      </c>
      <c r="C19" s="226">
        <v>0</v>
      </c>
      <c r="D19" s="226">
        <v>0</v>
      </c>
      <c r="E19" s="226">
        <v>0</v>
      </c>
      <c r="F19" s="226">
        <v>0</v>
      </c>
      <c r="G19" s="227">
        <v>0</v>
      </c>
    </row>
    <row r="20" spans="1:8">
      <c r="A20" s="18" t="str">
        <f>IF('Absolute visies'!A5&lt;&gt;"",'Absolute visies'!A5,"")</f>
        <v>High Yield</v>
      </c>
      <c r="B20" s="228">
        <v>0</v>
      </c>
      <c r="C20" s="228">
        <v>0</v>
      </c>
      <c r="D20" s="228">
        <v>0</v>
      </c>
      <c r="E20" s="228">
        <v>0</v>
      </c>
      <c r="F20" s="228">
        <v>0</v>
      </c>
      <c r="G20" s="228">
        <v>0</v>
      </c>
    </row>
    <row r="21" spans="1:8">
      <c r="A21" s="18" t="str">
        <f>IF('Absolute visies'!A6&lt;&gt;"",'Absolute visies'!A6,"")</f>
        <v>Emerging market debt</v>
      </c>
      <c r="B21" s="228">
        <v>0</v>
      </c>
      <c r="C21" s="228">
        <v>0</v>
      </c>
      <c r="D21" s="228">
        <v>0</v>
      </c>
      <c r="E21" s="228">
        <v>0</v>
      </c>
      <c r="F21" s="228">
        <v>0</v>
      </c>
      <c r="G21" s="229">
        <v>0</v>
      </c>
    </row>
    <row r="22" spans="1:8">
      <c r="A22" s="18" t="str">
        <f>IF('Absolute visies'!A7&lt;&gt;"",'Absolute visies'!A7,"")</f>
        <v>Aandelen ontwikkeld</v>
      </c>
      <c r="B22" s="228">
        <v>0</v>
      </c>
      <c r="C22" s="228">
        <v>0</v>
      </c>
      <c r="D22" s="228">
        <v>0</v>
      </c>
      <c r="E22" s="228">
        <v>0</v>
      </c>
      <c r="F22" s="228">
        <v>0</v>
      </c>
      <c r="G22" s="229">
        <v>0</v>
      </c>
    </row>
    <row r="23" spans="1:8">
      <c r="A23" s="18" t="str">
        <f>IF('Absolute visies'!A8&lt;&gt;"",'Absolute visies'!A8,"")</f>
        <v>Aandelen opkomend</v>
      </c>
      <c r="B23" s="228">
        <v>0</v>
      </c>
      <c r="C23" s="228">
        <v>0</v>
      </c>
      <c r="D23" s="228">
        <v>0</v>
      </c>
      <c r="E23" s="228">
        <v>0</v>
      </c>
      <c r="F23" s="228">
        <v>0</v>
      </c>
      <c r="G23" s="229">
        <v>0</v>
      </c>
    </row>
    <row r="24" spans="1:8">
      <c r="A24" s="18" t="str">
        <f>IF('Absolute visies'!A9&lt;&gt;"",'Absolute visies'!A9,"")</f>
        <v>Commodities</v>
      </c>
      <c r="B24" s="228">
        <v>0</v>
      </c>
      <c r="C24" s="228">
        <v>0</v>
      </c>
      <c r="D24" s="228">
        <v>0</v>
      </c>
      <c r="E24" s="228">
        <v>0</v>
      </c>
      <c r="F24" s="228">
        <v>0</v>
      </c>
      <c r="G24" s="229">
        <v>0</v>
      </c>
    </row>
    <row r="25" spans="1:8">
      <c r="A25" s="18" t="str">
        <f>IF('Absolute visies'!A10&lt;&gt;"",'Absolute visies'!A10,"")</f>
        <v>Hedge funds</v>
      </c>
      <c r="B25" s="228">
        <v>0</v>
      </c>
      <c r="C25" s="228">
        <v>0</v>
      </c>
      <c r="D25" s="228">
        <v>0</v>
      </c>
      <c r="E25" s="228">
        <v>0</v>
      </c>
      <c r="F25" s="228">
        <v>0</v>
      </c>
      <c r="G25" s="229">
        <v>0</v>
      </c>
    </row>
    <row r="26" spans="1:8">
      <c r="A26" s="18" t="str">
        <f>IF('Absolute visies'!A11&lt;&gt;"",'Absolute visies'!A11,"")</f>
        <v>Onroerend goed</v>
      </c>
      <c r="B26" s="228">
        <v>0</v>
      </c>
      <c r="C26" s="228">
        <v>0</v>
      </c>
      <c r="D26" s="228">
        <v>0</v>
      </c>
      <c r="E26" s="228">
        <v>0</v>
      </c>
      <c r="F26" s="228">
        <v>0</v>
      </c>
      <c r="G26" s="229">
        <v>0</v>
      </c>
    </row>
    <row r="27" spans="1:8">
      <c r="A27" s="18" t="str">
        <f>IF('Absolute visies'!A12&lt;&gt;"",'Absolute visies'!A12,"")</f>
        <v>Periferie bonds</v>
      </c>
      <c r="B27" s="228">
        <v>0</v>
      </c>
      <c r="C27" s="228">
        <v>0</v>
      </c>
      <c r="D27" s="228">
        <v>0</v>
      </c>
      <c r="E27" s="228">
        <v>0</v>
      </c>
      <c r="F27" s="228">
        <v>0</v>
      </c>
      <c r="G27" s="229">
        <v>0</v>
      </c>
    </row>
    <row r="28" spans="1:8">
      <c r="A28" s="18" t="str">
        <f>IF('Absolute visies'!A13&lt;&gt;"",'Absolute visies'!A13,"")</f>
        <v/>
      </c>
      <c r="B28" s="228">
        <v>0</v>
      </c>
      <c r="C28" s="228">
        <v>0</v>
      </c>
      <c r="D28" s="228">
        <v>0</v>
      </c>
      <c r="E28" s="228">
        <v>0</v>
      </c>
      <c r="F28" s="228">
        <v>0</v>
      </c>
      <c r="G28" s="229">
        <v>0</v>
      </c>
    </row>
    <row r="29" spans="1:8">
      <c r="A29" s="18" t="str">
        <f>IF('Absolute visies'!A14&lt;&gt;"",'Absolute visies'!A14,"")</f>
        <v/>
      </c>
      <c r="B29" s="228">
        <v>0</v>
      </c>
      <c r="C29" s="228">
        <v>0</v>
      </c>
      <c r="D29" s="228">
        <v>0</v>
      </c>
      <c r="E29" s="228">
        <v>0</v>
      </c>
      <c r="F29" s="228">
        <v>0</v>
      </c>
      <c r="G29" s="229">
        <v>0</v>
      </c>
    </row>
    <row r="30" spans="1:8" ht="15.75" thickBot="1">
      <c r="A30" s="341" t="str">
        <f>IF('Absolute visies'!A15&lt;&gt;"",'Absolute visies'!A15,"")</f>
        <v/>
      </c>
      <c r="B30" s="230">
        <v>0</v>
      </c>
      <c r="C30" s="230">
        <v>0</v>
      </c>
      <c r="D30" s="230">
        <v>0</v>
      </c>
      <c r="E30" s="230">
        <v>0</v>
      </c>
      <c r="F30" s="230">
        <v>0</v>
      </c>
      <c r="G30" s="346">
        <v>0</v>
      </c>
    </row>
    <row r="31" spans="1:8" ht="15.75" thickBot="1">
      <c r="A31" s="33" t="s">
        <v>34</v>
      </c>
      <c r="B31" s="30">
        <v>0</v>
      </c>
      <c r="C31" s="30">
        <v>0</v>
      </c>
      <c r="D31" s="30">
        <v>0</v>
      </c>
      <c r="E31" s="30">
        <v>0</v>
      </c>
      <c r="F31" s="30">
        <v>0</v>
      </c>
      <c r="G31" s="31">
        <v>0</v>
      </c>
    </row>
    <row r="108" spans="1:5">
      <c r="A108" s="25" t="s">
        <v>31</v>
      </c>
      <c r="B108" s="3"/>
      <c r="D108" s="25" t="s">
        <v>35</v>
      </c>
      <c r="E108" s="3"/>
    </row>
    <row r="109" spans="1:5">
      <c r="A109" s="3"/>
      <c r="B109" s="3"/>
      <c r="D109" s="3"/>
      <c r="E109" s="3"/>
    </row>
    <row r="110" spans="1:5">
      <c r="A110" s="3" t="s">
        <v>19</v>
      </c>
      <c r="B110" s="3" t="s">
        <v>24</v>
      </c>
      <c r="C110" s="94">
        <v>1</v>
      </c>
      <c r="D110" s="3" t="s">
        <v>36</v>
      </c>
      <c r="E110" s="94">
        <v>1</v>
      </c>
    </row>
    <row r="111" spans="1:5">
      <c r="A111" s="3"/>
      <c r="B111" s="3" t="s">
        <v>25</v>
      </c>
      <c r="C111" s="94">
        <v>2</v>
      </c>
      <c r="D111" s="3" t="s">
        <v>37</v>
      </c>
      <c r="E111" s="94">
        <v>0</v>
      </c>
    </row>
    <row r="114" spans="1:2">
      <c r="A114" s="25" t="s">
        <v>62</v>
      </c>
    </row>
    <row r="115" spans="1:2">
      <c r="A115" s="374" t="str">
        <f>IF(A4&lt;&gt;"",A4,"")</f>
        <v>Nominale matching</v>
      </c>
      <c r="B115" s="375">
        <f>IF(A115&lt;&gt;"",VLOOKUP(B4,$B$110:$C$111,2,0),"")</f>
        <v>1</v>
      </c>
    </row>
    <row r="116" spans="1:2">
      <c r="A116" s="374" t="str">
        <f t="shared" ref="A116:A128" si="0">IF(A5&lt;&gt;"",A5,"")</f>
        <v>High Yield</v>
      </c>
      <c r="B116" s="375">
        <f t="shared" ref="B116:B127" si="1">IF(A116&lt;&gt;"",VLOOKUP(B5,$B$110:$C$111,2,0),"")</f>
        <v>2</v>
      </c>
    </row>
    <row r="117" spans="1:2">
      <c r="A117" s="374" t="str">
        <f t="shared" si="0"/>
        <v>Emerging market debt</v>
      </c>
      <c r="B117" s="375">
        <f t="shared" si="1"/>
        <v>2</v>
      </c>
    </row>
    <row r="118" spans="1:2">
      <c r="A118" s="374" t="str">
        <f t="shared" si="0"/>
        <v>Aandelen ontwikkeld</v>
      </c>
      <c r="B118" s="375">
        <f t="shared" si="1"/>
        <v>2</v>
      </c>
    </row>
    <row r="119" spans="1:2">
      <c r="A119" s="374" t="str">
        <f t="shared" si="0"/>
        <v>Aandelen opkomend</v>
      </c>
      <c r="B119" s="375">
        <f t="shared" si="1"/>
        <v>2</v>
      </c>
    </row>
    <row r="120" spans="1:2">
      <c r="A120" s="374" t="str">
        <f t="shared" si="0"/>
        <v>Commodities</v>
      </c>
      <c r="B120" s="375">
        <f t="shared" si="1"/>
        <v>2</v>
      </c>
    </row>
    <row r="121" spans="1:2">
      <c r="A121" s="374" t="str">
        <f t="shared" si="0"/>
        <v>Hedge funds</v>
      </c>
      <c r="B121" s="375">
        <f t="shared" si="1"/>
        <v>2</v>
      </c>
    </row>
    <row r="122" spans="1:2">
      <c r="A122" s="374" t="str">
        <f t="shared" si="0"/>
        <v>Onroerend goed</v>
      </c>
      <c r="B122" s="375">
        <f t="shared" si="1"/>
        <v>2</v>
      </c>
    </row>
    <row r="123" spans="1:2">
      <c r="A123" s="374" t="str">
        <f t="shared" si="0"/>
        <v>Periferie bonds</v>
      </c>
      <c r="B123" s="375">
        <f t="shared" si="1"/>
        <v>2</v>
      </c>
    </row>
    <row r="124" spans="1:2">
      <c r="A124" s="374" t="str">
        <f t="shared" si="0"/>
        <v/>
      </c>
      <c r="B124" s="375" t="str">
        <f t="shared" si="1"/>
        <v/>
      </c>
    </row>
    <row r="125" spans="1:2">
      <c r="A125" s="374" t="str">
        <f t="shared" si="0"/>
        <v/>
      </c>
      <c r="B125" s="375" t="str">
        <f t="shared" si="1"/>
        <v/>
      </c>
    </row>
    <row r="126" spans="1:2">
      <c r="A126" s="374" t="str">
        <f t="shared" si="0"/>
        <v/>
      </c>
      <c r="B126" s="375" t="str">
        <f t="shared" si="1"/>
        <v/>
      </c>
    </row>
    <row r="127" spans="1:2">
      <c r="A127" s="374" t="str">
        <f t="shared" si="0"/>
        <v/>
      </c>
      <c r="B127" s="375" t="str">
        <f t="shared" si="1"/>
        <v/>
      </c>
    </row>
    <row r="128" spans="1:2">
      <c r="A128" s="260" t="str">
        <f t="shared" si="0"/>
        <v/>
      </c>
    </row>
    <row r="129" spans="1:1">
      <c r="A129" s="260"/>
    </row>
  </sheetData>
  <mergeCells count="3">
    <mergeCell ref="C2:D2"/>
    <mergeCell ref="E2:F2"/>
    <mergeCell ref="G2:H2"/>
  </mergeCells>
  <conditionalFormatting sqref="B4:B15">
    <cfRule type="iconSet" priority="7">
      <iconSet iconSet="3Flags">
        <cfvo type="percent" val="0"/>
        <cfvo type="percent" val="33"/>
        <cfvo type="percent" val="67"/>
      </iconSet>
    </cfRule>
    <cfRule type="colorScale" priority="8">
      <colorScale>
        <cfvo type="min" val="0"/>
        <cfvo type="percentile" val="50"/>
        <cfvo type="max" val="0"/>
        <color rgb="FFF8696B"/>
        <color rgb="FFFFEB84"/>
        <color rgb="FF63BE7B"/>
      </colorScale>
    </cfRule>
  </conditionalFormatting>
  <conditionalFormatting sqref="C4:C15">
    <cfRule type="iconSet" priority="9">
      <iconSet reverse="1">
        <cfvo type="percent" val="0"/>
        <cfvo type="percent" val="33"/>
        <cfvo type="percent" val="67"/>
      </iconSet>
    </cfRule>
  </conditionalFormatting>
  <conditionalFormatting sqref="D4:D15">
    <cfRule type="iconSet" priority="10">
      <iconSet>
        <cfvo type="percent" val="0"/>
        <cfvo type="percent" val="33"/>
        <cfvo type="percent" val="67"/>
      </iconSet>
    </cfRule>
  </conditionalFormatting>
  <conditionalFormatting sqref="E4:E15">
    <cfRule type="iconSet" priority="11">
      <iconSet reverse="1">
        <cfvo type="percent" val="0"/>
        <cfvo type="percent" val="33"/>
        <cfvo type="percent" val="67"/>
      </iconSet>
    </cfRule>
  </conditionalFormatting>
  <conditionalFormatting sqref="F4:F15">
    <cfRule type="iconSet" priority="12">
      <iconSet>
        <cfvo type="percent" val="0"/>
        <cfvo type="percent" val="33"/>
        <cfvo type="percent" val="67"/>
      </iconSet>
    </cfRule>
  </conditionalFormatting>
  <dataValidations count="2">
    <dataValidation type="list" allowBlank="1" showInputMessage="1" showErrorMessage="1" sqref="B18:G18">
      <formula1>$E$110:$E$111</formula1>
    </dataValidation>
    <dataValidation type="list" allowBlank="1" showInputMessage="1" showErrorMessage="1" sqref="B4:B15">
      <formula1>$B$110:$B$111</formula1>
    </dataValidation>
  </dataValidation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I129"/>
  <sheetViews>
    <sheetView zoomScale="80" zoomScaleNormal="80" workbookViewId="0">
      <selection activeCell="D13" sqref="D13"/>
    </sheetView>
  </sheetViews>
  <sheetFormatPr defaultRowHeight="15"/>
  <cols>
    <col min="1" max="1" width="44.7109375" style="70" customWidth="1"/>
    <col min="2" max="9" width="20.7109375" style="70" customWidth="1"/>
    <col min="10" max="16384" width="9.140625" style="70"/>
  </cols>
  <sheetData>
    <row r="1" spans="1:8">
      <c r="A1" s="169" t="s">
        <v>39</v>
      </c>
    </row>
    <row r="2" spans="1:8">
      <c r="C2" s="170"/>
    </row>
    <row r="3" spans="1:8">
      <c r="A3" s="25" t="s">
        <v>40</v>
      </c>
      <c r="B3" s="3"/>
      <c r="C3" s="171"/>
      <c r="D3" s="3"/>
      <c r="E3" s="3"/>
      <c r="F3" s="3"/>
    </row>
    <row r="4" spans="1:8" ht="15.75" thickBot="1">
      <c r="A4" s="172"/>
      <c r="B4" s="194"/>
      <c r="C4" s="194"/>
      <c r="D4" s="194"/>
      <c r="E4" s="194"/>
      <c r="F4" s="194"/>
      <c r="G4" s="194"/>
      <c r="H4" s="194"/>
    </row>
    <row r="5" spans="1:8" ht="15.75" thickBot="1">
      <c r="A5" s="201" t="s">
        <v>38</v>
      </c>
      <c r="B5" s="202" t="str">
        <f>Scenarios!B27</f>
        <v>Evenwicht</v>
      </c>
      <c r="C5" s="173" t="str">
        <f>Scenarios!C27</f>
        <v>Base Case</v>
      </c>
      <c r="D5" s="202" t="str">
        <f>Scenarios!D27</f>
        <v>Base - muddle down</v>
      </c>
      <c r="E5" s="173" t="str">
        <f>Scenarios!E27</f>
        <v>Base - muddle up</v>
      </c>
      <c r="F5" s="202" t="str">
        <f>Scenarios!F27</f>
        <v>Bear case</v>
      </c>
      <c r="G5" s="202" t="str">
        <f>Scenarios!G27</f>
        <v>Tail risk</v>
      </c>
      <c r="H5" s="202" t="str">
        <f>Scenarios!H27</f>
        <v>Bull case</v>
      </c>
    </row>
    <row r="6" spans="1:8">
      <c r="A6" s="174" t="s">
        <v>70</v>
      </c>
      <c r="B6" s="252">
        <v>1</v>
      </c>
      <c r="C6" s="236">
        <v>0</v>
      </c>
      <c r="D6" s="235">
        <v>0</v>
      </c>
      <c r="E6" s="236">
        <v>0</v>
      </c>
      <c r="F6" s="235">
        <v>0</v>
      </c>
      <c r="G6" s="235">
        <v>0</v>
      </c>
      <c r="H6" s="235">
        <v>0</v>
      </c>
    </row>
    <row r="7" spans="1:8">
      <c r="A7" s="174" t="s">
        <v>112</v>
      </c>
      <c r="B7" s="203">
        <v>0</v>
      </c>
      <c r="C7" s="93">
        <v>1</v>
      </c>
      <c r="D7" s="203">
        <v>0</v>
      </c>
      <c r="E7" s="93">
        <v>0</v>
      </c>
      <c r="F7" s="203">
        <v>0</v>
      </c>
      <c r="G7" s="203">
        <v>0</v>
      </c>
      <c r="H7" s="203">
        <v>0</v>
      </c>
    </row>
    <row r="8" spans="1:8">
      <c r="A8" s="174" t="s">
        <v>125</v>
      </c>
      <c r="B8" s="203">
        <v>0</v>
      </c>
      <c r="C8" s="93">
        <v>0</v>
      </c>
      <c r="D8" s="203">
        <v>1</v>
      </c>
      <c r="E8" s="93">
        <v>0</v>
      </c>
      <c r="F8" s="203">
        <v>0</v>
      </c>
      <c r="G8" s="203">
        <v>0</v>
      </c>
      <c r="H8" s="203">
        <v>0</v>
      </c>
    </row>
    <row r="9" spans="1:8">
      <c r="A9" s="174" t="s">
        <v>126</v>
      </c>
      <c r="B9" s="203">
        <v>0</v>
      </c>
      <c r="C9" s="93">
        <v>0</v>
      </c>
      <c r="D9" s="203">
        <v>0</v>
      </c>
      <c r="E9" s="93">
        <v>1</v>
      </c>
      <c r="F9" s="203">
        <v>0</v>
      </c>
      <c r="G9" s="203">
        <v>0</v>
      </c>
      <c r="H9" s="203">
        <v>0</v>
      </c>
    </row>
    <row r="10" spans="1:8">
      <c r="A10" s="174" t="s">
        <v>113</v>
      </c>
      <c r="B10" s="203">
        <v>0</v>
      </c>
      <c r="C10" s="93">
        <v>0</v>
      </c>
      <c r="D10" s="203">
        <v>0</v>
      </c>
      <c r="E10" s="93">
        <v>0</v>
      </c>
      <c r="F10" s="203">
        <v>1</v>
      </c>
      <c r="G10" s="203">
        <v>0</v>
      </c>
      <c r="H10" s="203">
        <v>0</v>
      </c>
    </row>
    <row r="11" spans="1:8">
      <c r="A11" s="174" t="s">
        <v>114</v>
      </c>
      <c r="B11" s="203">
        <v>0</v>
      </c>
      <c r="C11" s="93">
        <v>0</v>
      </c>
      <c r="D11" s="203">
        <v>0</v>
      </c>
      <c r="E11" s="93">
        <v>0</v>
      </c>
      <c r="F11" s="203">
        <v>0</v>
      </c>
      <c r="G11" s="203">
        <v>1</v>
      </c>
      <c r="H11" s="203">
        <v>0</v>
      </c>
    </row>
    <row r="12" spans="1:8" ht="15.75" thickBot="1">
      <c r="A12" s="174" t="s">
        <v>127</v>
      </c>
      <c r="B12" s="204">
        <v>0</v>
      </c>
      <c r="C12" s="200">
        <v>0</v>
      </c>
      <c r="D12" s="204">
        <v>0</v>
      </c>
      <c r="E12" s="200">
        <v>0</v>
      </c>
      <c r="F12" s="204">
        <v>0</v>
      </c>
      <c r="G12" s="204">
        <v>0</v>
      </c>
      <c r="H12" s="204">
        <v>1</v>
      </c>
    </row>
    <row r="13" spans="1:8" ht="15.75" thickBot="1">
      <c r="A13" s="195" t="s">
        <v>30</v>
      </c>
      <c r="B13" s="232">
        <v>0</v>
      </c>
      <c r="C13" s="232">
        <v>1</v>
      </c>
      <c r="D13" s="233">
        <v>0</v>
      </c>
      <c r="E13" s="233">
        <v>0</v>
      </c>
      <c r="F13" s="233">
        <v>0</v>
      </c>
      <c r="G13" s="234">
        <v>0</v>
      </c>
      <c r="H13" s="233">
        <v>0</v>
      </c>
    </row>
    <row r="14" spans="1:8">
      <c r="A14" s="199"/>
      <c r="B14" s="85"/>
      <c r="C14" s="85"/>
      <c r="D14" s="85"/>
      <c r="E14" s="85"/>
      <c r="F14" s="85"/>
    </row>
    <row r="15" spans="1:8">
      <c r="A15" s="86" t="s">
        <v>41</v>
      </c>
    </row>
    <row r="16" spans="1:8">
      <c r="A16" s="92" t="s">
        <v>45</v>
      </c>
      <c r="B16" s="68" t="s">
        <v>58</v>
      </c>
    </row>
    <row r="17" spans="1:9" ht="15.75" thickBot="1">
      <c r="A17" s="92"/>
    </row>
    <row r="18" spans="1:9">
      <c r="A18" s="175"/>
      <c r="B18" s="176" t="s">
        <v>43</v>
      </c>
      <c r="C18" s="177"/>
      <c r="D18" s="177"/>
      <c r="E18" s="87"/>
      <c r="F18" s="178"/>
      <c r="G18" s="178"/>
      <c r="H18" s="179"/>
      <c r="I18" s="88" t="s">
        <v>46</v>
      </c>
    </row>
    <row r="19" spans="1:9" ht="15.75" thickBot="1">
      <c r="A19" s="180"/>
      <c r="B19" s="97" t="s">
        <v>42</v>
      </c>
      <c r="C19" s="97" t="s">
        <v>48</v>
      </c>
      <c r="D19" s="97" t="s">
        <v>44</v>
      </c>
      <c r="E19" s="75" t="s">
        <v>48</v>
      </c>
      <c r="F19" s="101" t="s">
        <v>63</v>
      </c>
      <c r="G19" s="101" t="s">
        <v>48</v>
      </c>
      <c r="H19" s="101" t="s">
        <v>14</v>
      </c>
      <c r="I19" s="101" t="s">
        <v>47</v>
      </c>
    </row>
    <row r="20" spans="1:9">
      <c r="A20" s="174" t="str">
        <f>A6</f>
        <v>Evenwicht</v>
      </c>
      <c r="B20" s="181">
        <v>0</v>
      </c>
      <c r="C20" s="182">
        <v>0</v>
      </c>
      <c r="D20" s="99">
        <f>D27</f>
        <v>9.982328696892509E-2</v>
      </c>
      <c r="E20" s="19">
        <v>1</v>
      </c>
      <c r="F20" s="183">
        <v>0.02</v>
      </c>
      <c r="G20" s="27">
        <v>0</v>
      </c>
      <c r="H20" s="27" t="str">
        <f>'Control panel'!B27:B27</f>
        <v>Max rendement</v>
      </c>
      <c r="I20" s="27" t="s">
        <v>61</v>
      </c>
    </row>
    <row r="21" spans="1:9">
      <c r="A21" s="174" t="str">
        <f t="shared" ref="A21:A26" si="0">A7</f>
        <v>Base Case</v>
      </c>
      <c r="B21" s="181">
        <v>0</v>
      </c>
      <c r="C21" s="182">
        <v>0</v>
      </c>
      <c r="D21" s="99">
        <f t="shared" ref="D21:D26" si="1">$D$27</f>
        <v>9.982328696892509E-2</v>
      </c>
      <c r="E21" s="19">
        <v>1</v>
      </c>
      <c r="F21" s="183">
        <v>0.02</v>
      </c>
      <c r="G21" s="27">
        <v>0</v>
      </c>
      <c r="H21" s="27" t="s">
        <v>49</v>
      </c>
      <c r="I21" s="27" t="s">
        <v>61</v>
      </c>
    </row>
    <row r="22" spans="1:9">
      <c r="A22" s="174" t="str">
        <f t="shared" si="0"/>
        <v>Base - muddle down</v>
      </c>
      <c r="B22" s="181">
        <v>0</v>
      </c>
      <c r="C22" s="182">
        <v>0</v>
      </c>
      <c r="D22" s="99">
        <f t="shared" si="1"/>
        <v>9.982328696892509E-2</v>
      </c>
      <c r="E22" s="19">
        <v>1</v>
      </c>
      <c r="F22" s="183">
        <v>0.02</v>
      </c>
      <c r="G22" s="27">
        <v>0</v>
      </c>
      <c r="H22" s="27" t="s">
        <v>49</v>
      </c>
      <c r="I22" s="27" t="s">
        <v>61</v>
      </c>
    </row>
    <row r="23" spans="1:9">
      <c r="A23" s="174" t="str">
        <f t="shared" si="0"/>
        <v>Base - muddle up</v>
      </c>
      <c r="B23" s="181">
        <v>0</v>
      </c>
      <c r="C23" s="182">
        <v>0</v>
      </c>
      <c r="D23" s="99">
        <f t="shared" si="1"/>
        <v>9.982328696892509E-2</v>
      </c>
      <c r="E23" s="19">
        <v>1</v>
      </c>
      <c r="F23" s="183">
        <v>0.02</v>
      </c>
      <c r="G23" s="27">
        <v>0</v>
      </c>
      <c r="H23" s="27" t="s">
        <v>49</v>
      </c>
      <c r="I23" s="27" t="s">
        <v>61</v>
      </c>
    </row>
    <row r="24" spans="1:9">
      <c r="A24" s="174" t="str">
        <f t="shared" si="0"/>
        <v>Bear case</v>
      </c>
      <c r="B24" s="181">
        <v>0</v>
      </c>
      <c r="C24" s="182">
        <v>0</v>
      </c>
      <c r="D24" s="99">
        <f t="shared" si="1"/>
        <v>9.982328696892509E-2</v>
      </c>
      <c r="E24" s="19">
        <v>1</v>
      </c>
      <c r="F24" s="183">
        <v>0.02</v>
      </c>
      <c r="G24" s="27">
        <v>0</v>
      </c>
      <c r="H24" s="27" t="s">
        <v>49</v>
      </c>
      <c r="I24" s="27" t="s">
        <v>61</v>
      </c>
    </row>
    <row r="25" spans="1:9">
      <c r="A25" s="174" t="str">
        <f t="shared" si="0"/>
        <v>Tail risk</v>
      </c>
      <c r="B25" s="181">
        <v>0</v>
      </c>
      <c r="C25" s="182">
        <v>0</v>
      </c>
      <c r="D25" s="99">
        <f t="shared" si="1"/>
        <v>9.982328696892509E-2</v>
      </c>
      <c r="E25" s="19">
        <v>1</v>
      </c>
      <c r="F25" s="183">
        <v>0.02</v>
      </c>
      <c r="G25" s="27">
        <v>0</v>
      </c>
      <c r="H25" s="27" t="s">
        <v>49</v>
      </c>
      <c r="I25" s="27" t="s">
        <v>61</v>
      </c>
    </row>
    <row r="26" spans="1:9">
      <c r="A26" s="174" t="str">
        <f t="shared" si="0"/>
        <v>Bull case</v>
      </c>
      <c r="B26" s="181">
        <v>0</v>
      </c>
      <c r="C26" s="182">
        <v>0</v>
      </c>
      <c r="D26" s="99">
        <f t="shared" si="1"/>
        <v>9.982328696892509E-2</v>
      </c>
      <c r="E26" s="19">
        <v>1</v>
      </c>
      <c r="F26" s="183">
        <v>0.02</v>
      </c>
      <c r="G26" s="27">
        <v>0</v>
      </c>
      <c r="H26" s="27" t="s">
        <v>49</v>
      </c>
      <c r="I26" s="27" t="s">
        <v>61</v>
      </c>
    </row>
    <row r="27" spans="1:9" ht="15.75" thickBot="1">
      <c r="A27" s="184" t="str">
        <f>A13</f>
        <v>Kansgewogen</v>
      </c>
      <c r="B27" s="185">
        <f>'Control panel'!B30</f>
        <v>0</v>
      </c>
      <c r="C27" s="76">
        <f>'Control panel'!C30</f>
        <v>0</v>
      </c>
      <c r="D27" s="100">
        <f>'Control panel'!B31</f>
        <v>9.982328696892509E-2</v>
      </c>
      <c r="E27" s="22">
        <f>'Control panel'!C31</f>
        <v>1</v>
      </c>
      <c r="F27" s="186">
        <v>0.02</v>
      </c>
      <c r="G27" s="31">
        <f>'Control panel'!C32</f>
        <v>0</v>
      </c>
      <c r="H27" s="31" t="str">
        <f>'Control panel'!B27</f>
        <v>Max rendement</v>
      </c>
      <c r="I27" s="231" t="s">
        <v>60</v>
      </c>
    </row>
    <row r="29" spans="1:9">
      <c r="A29" s="25" t="s">
        <v>52</v>
      </c>
    </row>
    <row r="30" spans="1:9">
      <c r="A30" s="187" t="s">
        <v>53</v>
      </c>
      <c r="B30" s="102">
        <f>'Control panel'!B35</f>
        <v>0</v>
      </c>
    </row>
    <row r="31" spans="1:9">
      <c r="A31" s="187" t="s">
        <v>54</v>
      </c>
      <c r="B31" s="68">
        <f>'Control panel'!B36</f>
        <v>2</v>
      </c>
    </row>
    <row r="33" spans="1:2">
      <c r="A33" s="25" t="s">
        <v>55</v>
      </c>
    </row>
    <row r="34" spans="1:2">
      <c r="A34" s="188" t="s">
        <v>13</v>
      </c>
      <c r="B34" s="68">
        <f>'Control panel'!B39</f>
        <v>500</v>
      </c>
    </row>
    <row r="35" spans="1:2">
      <c r="A35" s="188" t="s">
        <v>12</v>
      </c>
      <c r="B35" s="68">
        <v>500</v>
      </c>
    </row>
    <row r="100" spans="1:3">
      <c r="A100" s="69" t="s">
        <v>31</v>
      </c>
    </row>
    <row r="101" spans="1:3">
      <c r="A101" s="70" t="s">
        <v>36</v>
      </c>
      <c r="B101" s="165">
        <v>1</v>
      </c>
    </row>
    <row r="102" spans="1:3">
      <c r="A102" s="70" t="s">
        <v>37</v>
      </c>
      <c r="B102" s="165">
        <v>0</v>
      </c>
    </row>
    <row r="104" spans="1:3">
      <c r="A104" s="69" t="s">
        <v>14</v>
      </c>
      <c r="C104" s="189" t="s">
        <v>62</v>
      </c>
    </row>
    <row r="105" spans="1:3">
      <c r="A105" s="70" t="s">
        <v>58</v>
      </c>
      <c r="B105" s="165">
        <v>0</v>
      </c>
      <c r="C105" s="165">
        <f>VLOOKUP(H20,$A$105:$B$108,2,0)</f>
        <v>1</v>
      </c>
    </row>
    <row r="106" spans="1:3">
      <c r="A106" s="70" t="s">
        <v>49</v>
      </c>
      <c r="B106" s="165">
        <v>1</v>
      </c>
      <c r="C106" s="165">
        <f t="shared" ref="C106:C111" si="2">VLOOKUP(H21,$A$105:$B$108,2,0)</f>
        <v>1</v>
      </c>
    </row>
    <row r="107" spans="1:3">
      <c r="A107" s="70" t="s">
        <v>50</v>
      </c>
      <c r="B107" s="165">
        <v>2</v>
      </c>
      <c r="C107" s="165">
        <f t="shared" si="2"/>
        <v>1</v>
      </c>
    </row>
    <row r="108" spans="1:3">
      <c r="A108" s="70" t="s">
        <v>51</v>
      </c>
      <c r="B108" s="165">
        <v>3</v>
      </c>
      <c r="C108" s="165">
        <f t="shared" si="2"/>
        <v>1</v>
      </c>
    </row>
    <row r="109" spans="1:3">
      <c r="C109" s="165">
        <f t="shared" si="2"/>
        <v>1</v>
      </c>
    </row>
    <row r="110" spans="1:3">
      <c r="C110" s="165">
        <f t="shared" si="2"/>
        <v>1</v>
      </c>
    </row>
    <row r="111" spans="1:3">
      <c r="A111" s="69" t="s">
        <v>56</v>
      </c>
      <c r="B111" s="165">
        <v>0</v>
      </c>
      <c r="C111" s="165">
        <f t="shared" si="2"/>
        <v>1</v>
      </c>
    </row>
    <row r="112" spans="1:3">
      <c r="B112" s="165">
        <v>1</v>
      </c>
      <c r="C112" s="165">
        <f>VLOOKUP(H27,$A$105:$B$108,2,0)</f>
        <v>1</v>
      </c>
    </row>
    <row r="113" spans="1:2">
      <c r="B113" s="165">
        <v>2</v>
      </c>
    </row>
    <row r="115" spans="1:2">
      <c r="A115" s="69" t="s">
        <v>57</v>
      </c>
    </row>
    <row r="116" spans="1:2">
      <c r="A116" s="70" t="s">
        <v>58</v>
      </c>
      <c r="B116" s="165">
        <v>0</v>
      </c>
    </row>
    <row r="117" spans="1:2">
      <c r="A117" s="70" t="str">
        <f>'Absolute visies'!A49</f>
        <v>Nominale matching</v>
      </c>
      <c r="B117" s="165">
        <v>1</v>
      </c>
    </row>
    <row r="118" spans="1:2">
      <c r="A118" s="70" t="str">
        <f>'Absolute visies'!A50</f>
        <v>High Yield</v>
      </c>
      <c r="B118" s="165">
        <v>2</v>
      </c>
    </row>
    <row r="119" spans="1:2">
      <c r="A119" s="70" t="str">
        <f>'Absolute visies'!A51</f>
        <v>Emerging market debt</v>
      </c>
      <c r="B119" s="165">
        <v>3</v>
      </c>
    </row>
    <row r="120" spans="1:2">
      <c r="A120" s="70" t="str">
        <f>'Absolute visies'!A52</f>
        <v>Aandelen ontwikkeld</v>
      </c>
      <c r="B120" s="165">
        <v>4</v>
      </c>
    </row>
    <row r="121" spans="1:2">
      <c r="A121" s="70" t="str">
        <f>'Absolute visies'!A53</f>
        <v>Aandelen opkomend</v>
      </c>
      <c r="B121" s="165">
        <v>5</v>
      </c>
    </row>
    <row r="122" spans="1:2">
      <c r="A122" s="70" t="str">
        <f>'Absolute visies'!A54</f>
        <v>Commodities</v>
      </c>
      <c r="B122" s="165">
        <v>6</v>
      </c>
    </row>
    <row r="123" spans="1:2">
      <c r="A123" s="70" t="str">
        <f>'Absolute visies'!A55</f>
        <v>Hedge funds</v>
      </c>
      <c r="B123" s="165">
        <v>7</v>
      </c>
    </row>
    <row r="124" spans="1:2">
      <c r="A124" s="70" t="str">
        <f>'Absolute visies'!A56</f>
        <v>Onroerend goed</v>
      </c>
      <c r="B124" s="165">
        <v>8</v>
      </c>
    </row>
    <row r="126" spans="1:2">
      <c r="A126" s="69" t="s">
        <v>59</v>
      </c>
      <c r="B126" s="165">
        <f>VLOOKUP(B16,A116:B124,2,0)</f>
        <v>0</v>
      </c>
    </row>
    <row r="128" spans="1:2">
      <c r="A128" s="69" t="s">
        <v>46</v>
      </c>
      <c r="B128" s="165" t="s">
        <v>60</v>
      </c>
    </row>
    <row r="129" spans="2:2">
      <c r="B129" s="165" t="s">
        <v>61</v>
      </c>
    </row>
  </sheetData>
  <conditionalFormatting sqref="C20:C27">
    <cfRule type="iconSet" priority="3">
      <iconSet>
        <cfvo type="percent" val="0"/>
        <cfvo type="percent" val="33"/>
        <cfvo type="percent" val="67"/>
      </iconSet>
    </cfRule>
  </conditionalFormatting>
  <conditionalFormatting sqref="E20:E27">
    <cfRule type="iconSet" priority="2">
      <iconSet>
        <cfvo type="percent" val="0"/>
        <cfvo type="percent" val="33"/>
        <cfvo type="percent" val="67"/>
      </iconSet>
    </cfRule>
  </conditionalFormatting>
  <conditionalFormatting sqref="G20:G27">
    <cfRule type="iconSet" priority="1">
      <iconSet>
        <cfvo type="percent" val="0"/>
        <cfvo type="percent" val="33"/>
        <cfvo type="percent" val="67"/>
      </iconSet>
    </cfRule>
  </conditionalFormatting>
  <dataValidations count="6">
    <dataValidation type="list" allowBlank="1" showInputMessage="1" showErrorMessage="1" sqref="I20:I27">
      <formula1>$B$128:$B$129</formula1>
    </dataValidation>
    <dataValidation type="list" allowBlank="1" showInputMessage="1" showErrorMessage="1" sqref="H20:H27">
      <formula1>$A$105:$A$108</formula1>
    </dataValidation>
    <dataValidation type="list" allowBlank="1" showInputMessage="1" showErrorMessage="1" sqref="D2">
      <formula1>hh</formula1>
    </dataValidation>
    <dataValidation type="list" allowBlank="1" showInputMessage="1" showErrorMessage="1" sqref="G20:G27 E20:E27 C20:C27">
      <formula1>aan_uit</formula1>
    </dataValidation>
    <dataValidation type="list" allowBlank="1" showInputMessage="1" showErrorMessage="1" sqref="B31">
      <formula1>$B$111:$B$113</formula1>
    </dataValidation>
    <dataValidation type="list" allowBlank="1" showInputMessage="1" showErrorMessage="1" sqref="B16">
      <formula1>$A$116:$A$124</formula1>
    </dataValidation>
  </dataValidations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10"/>
  <dimension ref="A1:Q28"/>
  <sheetViews>
    <sheetView workbookViewId="0">
      <selection activeCell="E22" sqref="E22"/>
    </sheetView>
  </sheetViews>
  <sheetFormatPr defaultRowHeight="15"/>
  <cols>
    <col min="1" max="1" width="18.140625" bestFit="1" customWidth="1"/>
    <col min="2" max="2" width="11.5703125" bestFit="1" customWidth="1"/>
    <col min="3" max="3" width="16.42578125" customWidth="1"/>
    <col min="6" max="6" width="18.140625" bestFit="1" customWidth="1"/>
    <col min="7" max="15" width="10.28515625" bestFit="1" customWidth="1"/>
    <col min="16" max="17" width="11.28515625" bestFit="1" customWidth="1"/>
  </cols>
  <sheetData>
    <row r="1" spans="1:17" ht="15.75" thickBot="1"/>
    <row r="2" spans="1:17" ht="15.75" thickBot="1">
      <c r="B2" s="332" t="s">
        <v>148</v>
      </c>
      <c r="C2" s="333" t="s">
        <v>149</v>
      </c>
    </row>
    <row r="3" spans="1:17" ht="15.75" thickBot="1">
      <c r="A3" s="195" t="s">
        <v>150</v>
      </c>
      <c r="B3" s="334">
        <v>0.1</v>
      </c>
      <c r="C3" s="335">
        <v>0.2</v>
      </c>
    </row>
    <row r="5" spans="1:17" ht="15.75" thickBot="1"/>
    <row r="6" spans="1:17" ht="15.75" thickBot="1">
      <c r="A6" s="336" t="s">
        <v>151</v>
      </c>
      <c r="B6" s="337">
        <v>10</v>
      </c>
    </row>
    <row r="7" spans="1:17" ht="15.75" thickBot="1">
      <c r="A7" s="336" t="s">
        <v>163</v>
      </c>
      <c r="B7" s="337">
        <v>8</v>
      </c>
    </row>
    <row r="8" spans="1:17" ht="15.75" thickBot="1">
      <c r="A8" s="74"/>
    </row>
    <row r="9" spans="1:17" ht="15.75" thickBot="1">
      <c r="A9" s="338"/>
      <c r="B9" s="259" t="s">
        <v>30</v>
      </c>
      <c r="C9" s="259" t="s">
        <v>48</v>
      </c>
      <c r="G9" s="336" t="s">
        <v>152</v>
      </c>
      <c r="H9" s="336" t="s">
        <v>153</v>
      </c>
      <c r="I9" s="336" t="s">
        <v>154</v>
      </c>
      <c r="J9" s="336" t="s">
        <v>155</v>
      </c>
      <c r="K9" s="336" t="s">
        <v>156</v>
      </c>
      <c r="L9" s="336" t="s">
        <v>157</v>
      </c>
      <c r="M9" s="336" t="s">
        <v>158</v>
      </c>
      <c r="N9" s="336" t="s">
        <v>159</v>
      </c>
      <c r="O9" s="336" t="s">
        <v>160</v>
      </c>
      <c r="P9" s="336" t="s">
        <v>161</v>
      </c>
      <c r="Q9" s="336" t="s">
        <v>162</v>
      </c>
    </row>
    <row r="10" spans="1:17">
      <c r="A10" s="14" t="s">
        <v>4</v>
      </c>
      <c r="B10" s="340">
        <f>Scenarios!I28</f>
        <v>-3.2445168309994665E-3</v>
      </c>
      <c r="C10" s="15">
        <v>0</v>
      </c>
      <c r="F10" s="339" t="s">
        <v>4</v>
      </c>
      <c r="G10" s="339">
        <v>0</v>
      </c>
      <c r="H10" s="339">
        <v>0</v>
      </c>
      <c r="I10" s="339">
        <v>0</v>
      </c>
      <c r="J10" s="339">
        <v>0</v>
      </c>
      <c r="K10" s="339">
        <v>0</v>
      </c>
      <c r="L10" s="339">
        <v>0</v>
      </c>
      <c r="M10" s="339">
        <v>0</v>
      </c>
      <c r="N10" s="339">
        <v>0</v>
      </c>
      <c r="O10" s="339">
        <v>0</v>
      </c>
      <c r="P10" s="339">
        <v>0</v>
      </c>
      <c r="Q10" s="339">
        <v>0</v>
      </c>
    </row>
    <row r="11" spans="1:17">
      <c r="A11" s="18" t="s">
        <v>5</v>
      </c>
      <c r="B11" s="340">
        <f>Scenarios!I29</f>
        <v>3.2492969125133414E-2</v>
      </c>
      <c r="C11" s="19">
        <v>0</v>
      </c>
      <c r="F11" s="340" t="s">
        <v>5</v>
      </c>
      <c r="G11" s="340">
        <v>0.03</v>
      </c>
      <c r="H11" s="340">
        <v>0.03</v>
      </c>
      <c r="I11" s="340">
        <v>0.03</v>
      </c>
      <c r="J11" s="340">
        <v>0.03</v>
      </c>
      <c r="K11" s="340">
        <v>0.03</v>
      </c>
      <c r="L11" s="340">
        <v>0.03</v>
      </c>
      <c r="M11" s="340">
        <v>0.03</v>
      </c>
      <c r="N11" s="340">
        <v>0.03</v>
      </c>
      <c r="O11" s="340">
        <v>0.03</v>
      </c>
      <c r="P11" s="340">
        <v>0.03</v>
      </c>
      <c r="Q11" s="340">
        <v>0.03</v>
      </c>
    </row>
    <row r="12" spans="1:17">
      <c r="A12" s="18" t="s">
        <v>6</v>
      </c>
      <c r="B12" s="340">
        <f>Scenarios!I30</f>
        <v>1.45681608513176E-2</v>
      </c>
      <c r="C12" s="19">
        <v>0</v>
      </c>
      <c r="F12" s="340" t="s">
        <v>6</v>
      </c>
      <c r="G12" s="340">
        <v>3.1398195419985959E-2</v>
      </c>
      <c r="H12" s="340">
        <v>3.1398195419985959E-2</v>
      </c>
      <c r="I12" s="340">
        <v>3.1398195419985959E-2</v>
      </c>
      <c r="J12" s="340">
        <v>3.1398195419985959E-2</v>
      </c>
      <c r="K12" s="340">
        <v>3.1398195419985959E-2</v>
      </c>
      <c r="L12" s="340">
        <v>3.1398195419985959E-2</v>
      </c>
      <c r="M12" s="340">
        <v>3.1398195419985959E-2</v>
      </c>
      <c r="N12" s="340">
        <v>3.1398195419985959E-2</v>
      </c>
      <c r="O12" s="340">
        <v>3.1398195419985959E-2</v>
      </c>
      <c r="P12" s="340">
        <v>3.1398195419985959E-2</v>
      </c>
      <c r="Q12" s="340">
        <v>3.1398195419985959E-2</v>
      </c>
    </row>
    <row r="13" spans="1:17">
      <c r="A13" s="18" t="s">
        <v>7</v>
      </c>
      <c r="B13" s="340">
        <f>Scenarios!I31</f>
        <v>-1.272492445230269E-2</v>
      </c>
      <c r="C13" s="19">
        <v>0</v>
      </c>
      <c r="F13" s="340" t="s">
        <v>7</v>
      </c>
      <c r="G13" s="340">
        <v>0.1</v>
      </c>
      <c r="H13" s="340">
        <v>0.11</v>
      </c>
      <c r="I13" s="340">
        <v>0.12000000000000001</v>
      </c>
      <c r="J13" s="340">
        <v>0.13</v>
      </c>
      <c r="K13" s="340">
        <v>0.14000000000000001</v>
      </c>
      <c r="L13" s="340">
        <v>0.15</v>
      </c>
      <c r="M13" s="340">
        <v>0.16</v>
      </c>
      <c r="N13" s="340">
        <v>0.17</v>
      </c>
      <c r="O13" s="340">
        <v>0.18</v>
      </c>
      <c r="P13" s="340">
        <v>0.19</v>
      </c>
      <c r="Q13" s="340">
        <v>0.2</v>
      </c>
    </row>
    <row r="14" spans="1:17">
      <c r="A14" s="18" t="s">
        <v>8</v>
      </c>
      <c r="B14" s="340">
        <f>Scenarios!I32</f>
        <v>5.7893485302571407E-2</v>
      </c>
      <c r="C14" s="19">
        <v>1</v>
      </c>
      <c r="F14" s="340" t="s">
        <v>8</v>
      </c>
      <c r="G14" s="340">
        <v>0.1</v>
      </c>
      <c r="H14" s="340">
        <v>0.11</v>
      </c>
      <c r="I14" s="340">
        <v>0.12000000000000001</v>
      </c>
      <c r="J14" s="340">
        <v>0.13</v>
      </c>
      <c r="K14" s="340">
        <v>0.14000000000000001</v>
      </c>
      <c r="L14" s="340">
        <v>0.15</v>
      </c>
      <c r="M14" s="340">
        <v>0.16</v>
      </c>
      <c r="N14" s="340">
        <v>0.17</v>
      </c>
      <c r="O14" s="340">
        <v>0.18</v>
      </c>
      <c r="P14" s="340">
        <v>0.19</v>
      </c>
      <c r="Q14" s="340">
        <v>0.2</v>
      </c>
    </row>
    <row r="15" spans="1:17">
      <c r="A15" s="18" t="s">
        <v>9</v>
      </c>
      <c r="B15" s="340">
        <f>Scenarios!I33</f>
        <v>7.1858480605475325E-2</v>
      </c>
      <c r="C15" s="19">
        <v>0</v>
      </c>
      <c r="F15" s="340" t="s">
        <v>9</v>
      </c>
      <c r="G15" s="340">
        <v>5.16958277280853E-2</v>
      </c>
      <c r="H15" s="340">
        <v>5.16958277280853E-2</v>
      </c>
      <c r="I15" s="340">
        <v>5.16958277280853E-2</v>
      </c>
      <c r="J15" s="340">
        <v>5.16958277280853E-2</v>
      </c>
      <c r="K15" s="340">
        <v>5.16958277280853E-2</v>
      </c>
      <c r="L15" s="340">
        <v>5.16958277280853E-2</v>
      </c>
      <c r="M15" s="340">
        <v>5.16958277280853E-2</v>
      </c>
      <c r="N15" s="340">
        <v>5.16958277280853E-2</v>
      </c>
      <c r="O15" s="340">
        <v>5.16958277280853E-2</v>
      </c>
      <c r="P15" s="340">
        <v>5.16958277280853E-2</v>
      </c>
      <c r="Q15" s="340">
        <v>5.16958277280853E-2</v>
      </c>
    </row>
    <row r="16" spans="1:17">
      <c r="A16" s="18" t="s">
        <v>10</v>
      </c>
      <c r="B16" s="340">
        <f>Scenarios!I34</f>
        <v>1.8730269708989476E-2</v>
      </c>
      <c r="C16" s="19">
        <v>0</v>
      </c>
      <c r="F16" s="340" t="s">
        <v>10</v>
      </c>
      <c r="G16" s="340">
        <v>2.8296106893951258E-2</v>
      </c>
      <c r="H16" s="340">
        <v>2.8296106893951258E-2</v>
      </c>
      <c r="I16" s="340">
        <v>2.8296106893951258E-2</v>
      </c>
      <c r="J16" s="340">
        <v>2.8296106893951258E-2</v>
      </c>
      <c r="K16" s="340">
        <v>2.8296106893951258E-2</v>
      </c>
      <c r="L16" s="340">
        <v>2.8296106893951258E-2</v>
      </c>
      <c r="M16" s="340">
        <v>2.8296106893951258E-2</v>
      </c>
      <c r="N16" s="340">
        <v>2.8296106893951258E-2</v>
      </c>
      <c r="O16" s="340">
        <v>2.8296106893951258E-2</v>
      </c>
      <c r="P16" s="340">
        <v>2.8296106893951258E-2</v>
      </c>
      <c r="Q16" s="340">
        <v>2.8296106893951258E-2</v>
      </c>
    </row>
    <row r="17" spans="1:17" ht="15.75" thickBot="1">
      <c r="A17" s="341" t="s">
        <v>11</v>
      </c>
      <c r="B17" s="340">
        <f>Scenarios!I35</f>
        <v>-5.9825766089863959E-3</v>
      </c>
      <c r="C17" s="343">
        <v>0</v>
      </c>
      <c r="F17" s="342" t="s">
        <v>11</v>
      </c>
      <c r="G17" s="342">
        <v>3.9623116873055711E-2</v>
      </c>
      <c r="H17" s="342">
        <v>3.9623116873055711E-2</v>
      </c>
      <c r="I17" s="342">
        <v>3.9623116873055711E-2</v>
      </c>
      <c r="J17" s="342">
        <v>3.9623116873055711E-2</v>
      </c>
      <c r="K17" s="342">
        <v>3.9623116873055711E-2</v>
      </c>
      <c r="L17" s="342">
        <v>3.9623116873055711E-2</v>
      </c>
      <c r="M17" s="342">
        <v>3.9623116873055711E-2</v>
      </c>
      <c r="N17" s="342">
        <v>3.9623116873055711E-2</v>
      </c>
      <c r="O17" s="342">
        <v>3.9623116873055711E-2</v>
      </c>
      <c r="P17" s="342">
        <v>3.9623116873055711E-2</v>
      </c>
      <c r="Q17" s="342">
        <v>3.9623116873055711E-2</v>
      </c>
    </row>
    <row r="20" spans="1:17" ht="15.75" thickBot="1"/>
    <row r="21" spans="1:17">
      <c r="F21" s="339"/>
      <c r="G21" s="67">
        <v>0.64830585599218105</v>
      </c>
      <c r="H21" s="67">
        <v>0.65273119272685742</v>
      </c>
      <c r="I21" s="67">
        <v>0.65602475272254301</v>
      </c>
      <c r="J21" s="67">
        <v>0.65869864752261875</v>
      </c>
      <c r="K21" s="67">
        <v>0.65980949157446445</v>
      </c>
      <c r="L21" s="67">
        <v>0.66277145171705465</v>
      </c>
      <c r="M21" s="67">
        <v>0.66379830340209134</v>
      </c>
      <c r="N21" s="67">
        <v>0.6644652200310095</v>
      </c>
      <c r="O21" s="67">
        <v>0.66679746380970761</v>
      </c>
      <c r="P21" s="67">
        <v>0.66765118047510918</v>
      </c>
      <c r="Q21" s="67">
        <v>0.66803748118421447</v>
      </c>
    </row>
    <row r="22" spans="1:17">
      <c r="F22" s="340"/>
      <c r="G22" s="67">
        <v>2.2417195533197348E-2</v>
      </c>
      <c r="H22" s="67">
        <v>2.1877387556514548E-2</v>
      </c>
      <c r="I22" s="67">
        <v>1.9651672407697902E-2</v>
      </c>
      <c r="J22" s="67">
        <v>1.7211827038446221E-2</v>
      </c>
      <c r="K22" s="67">
        <v>1.7128429546077049E-2</v>
      </c>
      <c r="L22" s="67">
        <v>1.496412147426658E-2</v>
      </c>
      <c r="M22" s="67">
        <v>1.4433948409661088E-2</v>
      </c>
      <c r="N22" s="67">
        <v>1.4175394238207439E-2</v>
      </c>
      <c r="O22" s="67">
        <v>1.2850736231164582E-2</v>
      </c>
      <c r="P22" s="67">
        <v>1.2316400522307182E-2</v>
      </c>
      <c r="Q22" s="67">
        <v>1.3443926482220295E-2</v>
      </c>
    </row>
    <row r="23" spans="1:17">
      <c r="F23" s="340"/>
      <c r="G23" s="67">
        <v>2.0773596052931689E-2</v>
      </c>
      <c r="H23" s="67">
        <v>1.7160310851450492E-2</v>
      </c>
      <c r="I23" s="67">
        <v>1.6571293975728433E-2</v>
      </c>
      <c r="J23" s="67">
        <v>1.5561125798495114E-2</v>
      </c>
      <c r="K23" s="67">
        <v>1.4413903107230029E-2</v>
      </c>
      <c r="L23" s="67">
        <v>1.33138972447201E-2</v>
      </c>
      <c r="M23" s="67">
        <v>1.1314358285879181E-2</v>
      </c>
      <c r="N23" s="67">
        <v>1.2791809385989563E-2</v>
      </c>
      <c r="O23" s="67">
        <v>1.134624256979188E-2</v>
      </c>
      <c r="P23" s="67">
        <v>1.0650196350221497E-2</v>
      </c>
      <c r="Q23" s="67">
        <v>1.0285811755654276E-2</v>
      </c>
    </row>
    <row r="24" spans="1:17">
      <c r="F24" s="340"/>
      <c r="G24" s="67">
        <v>0.16317941014349474</v>
      </c>
      <c r="H24" s="67">
        <v>0.16883653460470924</v>
      </c>
      <c r="I24" s="67">
        <v>0.16714624190663308</v>
      </c>
      <c r="J24" s="67">
        <v>0.16680251147610914</v>
      </c>
      <c r="K24" s="67">
        <v>0.17133500731815415</v>
      </c>
      <c r="L24" s="67">
        <v>0.17395497094172371</v>
      </c>
      <c r="M24" s="67">
        <v>0.16941595802547008</v>
      </c>
      <c r="N24" s="67">
        <v>0.17553803930492179</v>
      </c>
      <c r="O24" s="67">
        <v>0.17785139847987366</v>
      </c>
      <c r="P24" s="67">
        <v>0.17722197789919703</v>
      </c>
      <c r="Q24" s="67">
        <v>0.17289910384310514</v>
      </c>
    </row>
    <row r="25" spans="1:17">
      <c r="F25" s="340"/>
      <c r="G25" s="67">
        <v>0.10352241326570276</v>
      </c>
      <c r="H25" s="67">
        <v>0.10181431096499875</v>
      </c>
      <c r="I25" s="67">
        <v>0.10714110082044621</v>
      </c>
      <c r="J25" s="67">
        <v>0.10975985621037677</v>
      </c>
      <c r="K25" s="67">
        <v>0.10710815096721689</v>
      </c>
      <c r="L25" s="67">
        <v>0.10706555047559994</v>
      </c>
      <c r="M25" s="67">
        <v>0.11316715472441648</v>
      </c>
      <c r="N25" s="67">
        <v>0.10732317293591319</v>
      </c>
      <c r="O25" s="67">
        <v>0.10735685290109741</v>
      </c>
      <c r="P25" s="67">
        <v>0.10930120135970697</v>
      </c>
      <c r="Q25" s="67">
        <v>0.11305503270308218</v>
      </c>
    </row>
    <row r="26" spans="1:17">
      <c r="F26" s="340"/>
      <c r="G26" s="67">
        <v>6.2584709688595528E-3</v>
      </c>
      <c r="H26" s="67">
        <v>5.6303328056901804E-3</v>
      </c>
      <c r="I26" s="67">
        <v>5.1353393951497567E-3</v>
      </c>
      <c r="J26" s="67">
        <v>4.5271875918509565E-3</v>
      </c>
      <c r="K26" s="67">
        <v>4.2346645973486592E-3</v>
      </c>
      <c r="L26" s="67">
        <v>4.0772364076044473E-3</v>
      </c>
      <c r="M26" s="67">
        <v>3.5364000513237589E-3</v>
      </c>
      <c r="N26" s="67">
        <v>3.6807698358501907E-3</v>
      </c>
      <c r="O26" s="67">
        <v>3.3736688961760754E-3</v>
      </c>
      <c r="P26" s="67">
        <v>3.2667487711065747E-3</v>
      </c>
      <c r="Q26" s="67">
        <v>3.2827382125600749E-3</v>
      </c>
    </row>
    <row r="27" spans="1:17">
      <c r="F27" s="340"/>
      <c r="G27" s="67">
        <v>2.4135614482784295E-2</v>
      </c>
      <c r="H27" s="67">
        <v>2.0492784918044883E-2</v>
      </c>
      <c r="I27" s="67">
        <v>1.8409497329581491E-2</v>
      </c>
      <c r="J27" s="67">
        <v>1.7645171061335903E-2</v>
      </c>
      <c r="K27" s="67">
        <v>1.7335016592853265E-2</v>
      </c>
      <c r="L27" s="67">
        <v>1.5359149081788362E-2</v>
      </c>
      <c r="M27" s="67">
        <v>1.6557107249191218E-2</v>
      </c>
      <c r="N27" s="67">
        <v>1.4400876671060945E-2</v>
      </c>
      <c r="O27" s="67">
        <v>1.3839508994151047E-2</v>
      </c>
      <c r="P27" s="67">
        <v>1.358330014243442E-2</v>
      </c>
      <c r="Q27" s="67">
        <v>1.2521741913034751E-2</v>
      </c>
    </row>
    <row r="28" spans="1:17" ht="15.75" thickBot="1">
      <c r="F28" s="342"/>
      <c r="G28" s="67">
        <v>1.140744356084882E-2</v>
      </c>
      <c r="H28" s="67">
        <v>1.1457145571733341E-2</v>
      </c>
      <c r="I28" s="67">
        <v>9.9201014422203165E-3</v>
      </c>
      <c r="J28" s="67">
        <v>9.7936733007678838E-3</v>
      </c>
      <c r="K28" s="67">
        <v>8.6353362966557438E-3</v>
      </c>
      <c r="L28" s="67">
        <v>8.4936226572424074E-3</v>
      </c>
      <c r="M28" s="67">
        <v>7.7767698519673979E-3</v>
      </c>
      <c r="N28" s="67">
        <v>7.624717597046791E-3</v>
      </c>
      <c r="O28" s="67">
        <v>6.5841281180373341E-3</v>
      </c>
      <c r="P28" s="67">
        <v>6.0089944799167792E-3</v>
      </c>
      <c r="Q28" s="67">
        <v>6.4741639061287335E-3</v>
      </c>
    </row>
  </sheetData>
  <conditionalFormatting sqref="C10">
    <cfRule type="iconSet" priority="3">
      <iconSet>
        <cfvo type="percent" val="0"/>
        <cfvo type="percent" val="33"/>
        <cfvo type="percent" val="67"/>
      </iconSet>
    </cfRule>
  </conditionalFormatting>
  <conditionalFormatting sqref="C11:C17">
    <cfRule type="iconSet" priority="2">
      <iconSet>
        <cfvo type="percent" val="0"/>
        <cfvo type="percent" val="33"/>
        <cfvo type="percent" val="67"/>
      </iconSet>
    </cfRule>
  </conditionalFormatting>
  <conditionalFormatting sqref="C10:C17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C10:C17">
      <formula1>aan_uit</formula1>
    </dataValidation>
  </dataValidations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/>
  <dimension ref="A1:AJ120"/>
  <sheetViews>
    <sheetView topLeftCell="A61" zoomScale="70" zoomScaleNormal="70" workbookViewId="0">
      <selection activeCell="H13" sqref="H13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8" max="18" width="20.5703125" customWidth="1"/>
    <col min="26" max="26" width="9.42578125" customWidth="1"/>
    <col min="31" max="31" width="18.7109375" customWidth="1"/>
  </cols>
  <sheetData>
    <row r="1" spans="1:30" ht="15.75" thickBot="1">
      <c r="A1" s="43" t="s">
        <v>69</v>
      </c>
    </row>
    <row r="2" spans="1:30" ht="15.75" thickBot="1">
      <c r="A2" s="44"/>
      <c r="D2" s="394" t="s">
        <v>64</v>
      </c>
      <c r="E2" s="395"/>
      <c r="F2" s="396"/>
      <c r="G2" s="394" t="s">
        <v>65</v>
      </c>
      <c r="H2" s="395"/>
      <c r="I2" s="395"/>
      <c r="J2" s="395"/>
      <c r="K2" s="395"/>
      <c r="L2" s="395"/>
      <c r="M2" s="395"/>
      <c r="N2" s="395"/>
      <c r="O2" s="396"/>
      <c r="R2" s="216" t="s">
        <v>66</v>
      </c>
      <c r="S2" s="45"/>
      <c r="T2" s="45"/>
      <c r="U2" s="45"/>
      <c r="W2" s="45"/>
    </row>
    <row r="3" spans="1:30">
      <c r="A3" s="237" t="s">
        <v>70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0.38842610847061654</v>
      </c>
      <c r="H3" s="243">
        <v>0.28196528107481589</v>
      </c>
      <c r="I3" s="243">
        <v>0.15781326873153034</v>
      </c>
      <c r="J3" s="243">
        <v>8.9311685439999455E-2</v>
      </c>
      <c r="K3" s="243">
        <v>5.8981550206079758E-2</v>
      </c>
      <c r="L3" s="243">
        <v>2.3479565825963222E-2</v>
      </c>
      <c r="M3" s="243">
        <v>2.2540250995795041E-5</v>
      </c>
      <c r="N3" s="243">
        <v>0</v>
      </c>
      <c r="O3" s="244">
        <v>0</v>
      </c>
      <c r="R3" s="46" t="str">
        <f>A3</f>
        <v>Evenwicht</v>
      </c>
      <c r="S3" s="46"/>
      <c r="T3" s="47"/>
      <c r="U3" s="46"/>
      <c r="W3" s="46"/>
      <c r="AA3" s="47"/>
      <c r="AB3" s="47"/>
      <c r="AC3" s="47"/>
      <c r="AD3" s="47"/>
    </row>
    <row r="4" spans="1:30">
      <c r="A4" s="48" t="str">
        <f>'Absolute visies'!A4</f>
        <v>Nominale matching</v>
      </c>
      <c r="B4" s="1">
        <v>0.55136924712091062</v>
      </c>
      <c r="C4" s="49">
        <v>1.557691429457278E-2</v>
      </c>
      <c r="D4" s="50">
        <v>0.54045609847011733</v>
      </c>
      <c r="E4" s="1">
        <v>0.55102193916426312</v>
      </c>
      <c r="F4" s="51">
        <v>0.561635794872543</v>
      </c>
      <c r="G4" s="2">
        <v>-3.0840564248265149E-2</v>
      </c>
      <c r="H4" s="2">
        <v>-0.13820992096646409</v>
      </c>
      <c r="I4" s="2">
        <v>3.6511276324047937E-2</v>
      </c>
      <c r="J4" s="2">
        <v>0.8988696839161725</v>
      </c>
      <c r="K4" s="2">
        <v>0.24953425987748434</v>
      </c>
      <c r="L4" s="2">
        <v>0.12826200111024258</v>
      </c>
      <c r="M4" s="2">
        <v>1</v>
      </c>
      <c r="N4" s="2">
        <v>1</v>
      </c>
      <c r="O4" s="52"/>
      <c r="R4" s="46" t="str">
        <f>IF(A4&lt;&gt;"",A4,"")</f>
        <v>Nominale matching</v>
      </c>
      <c r="S4" s="47">
        <f>IF(A4&lt;&gt;"",D4,"")</f>
        <v>0.54045609847011733</v>
      </c>
      <c r="T4" s="47">
        <f>IF(A4&lt;&gt;"",B4-D4,"")</f>
        <v>1.0913148650793292E-2</v>
      </c>
      <c r="U4" s="47">
        <f>IF(A4&lt;&gt;"",F4-B4,"")</f>
        <v>1.0266547751632382E-2</v>
      </c>
      <c r="W4" s="53"/>
      <c r="AA4" s="47"/>
      <c r="AB4" s="47"/>
      <c r="AC4" s="47"/>
      <c r="AD4" s="47"/>
    </row>
    <row r="5" spans="1:30">
      <c r="A5" s="54" t="str">
        <f>'Absolute visies'!A5</f>
        <v>High Yield</v>
      </c>
      <c r="B5" s="1">
        <v>8.5390213827363406E-2</v>
      </c>
      <c r="C5" s="49">
        <v>4.8129488839309176E-2</v>
      </c>
      <c r="D5" s="50">
        <v>4.6757011358724551E-2</v>
      </c>
      <c r="E5" s="1">
        <v>8.1969477076114461E-2</v>
      </c>
      <c r="F5" s="51">
        <v>0.12002942868805927</v>
      </c>
      <c r="G5" s="2">
        <v>1</v>
      </c>
      <c r="H5" s="2">
        <v>0.65633821435896178</v>
      </c>
      <c r="I5" s="2">
        <v>0.12870740571641923</v>
      </c>
      <c r="J5" s="2">
        <v>-0.54920273464462466</v>
      </c>
      <c r="K5" s="2">
        <v>2.9038285451132937E-2</v>
      </c>
      <c r="L5" s="2">
        <v>-0.12604119922834514</v>
      </c>
      <c r="M5" s="2">
        <v>0.18338653237395108</v>
      </c>
      <c r="N5" s="2">
        <v>0.9999999999982393</v>
      </c>
      <c r="O5" s="52"/>
      <c r="R5" s="46" t="str">
        <f t="shared" ref="R5:R15" si="0">IF(A5&lt;&gt;"",A5,"")</f>
        <v>High Yield</v>
      </c>
      <c r="S5" s="47">
        <f t="shared" ref="S5:S15" si="1">IF(A5&lt;&gt;"",D5,"")</f>
        <v>4.6757011358724551E-2</v>
      </c>
      <c r="T5" s="47">
        <f t="shared" ref="T5:T15" si="2">IF(A5&lt;&gt;"",B5-D5,"")</f>
        <v>3.8633202468638855E-2</v>
      </c>
      <c r="U5" s="47">
        <f t="shared" ref="U5:U15" si="3">IF(A5&lt;&gt;"",F5-B5,"")</f>
        <v>3.4639214860695863E-2</v>
      </c>
      <c r="W5" s="53"/>
      <c r="AA5" s="47"/>
      <c r="AB5" s="47"/>
      <c r="AC5" s="47"/>
      <c r="AD5" s="47"/>
    </row>
    <row r="6" spans="1:30">
      <c r="A6" s="54" t="str">
        <f>'Absolute visies'!A6</f>
        <v>Emerging market debt</v>
      </c>
      <c r="B6" s="1">
        <v>8.1005418334623963E-2</v>
      </c>
      <c r="C6" s="49">
        <v>4.6598083439187407E-2</v>
      </c>
      <c r="D6" s="50">
        <v>4.5865746399639182E-2</v>
      </c>
      <c r="E6" s="1">
        <v>7.5063866015439074E-2</v>
      </c>
      <c r="F6" s="51">
        <v>0.11289313373471424</v>
      </c>
      <c r="G6" s="2">
        <v>-0.82765166704142556</v>
      </c>
      <c r="H6" s="2">
        <v>1</v>
      </c>
      <c r="I6" s="2">
        <v>0.14142731600502859</v>
      </c>
      <c r="J6" s="2">
        <v>-0.54527293904984675</v>
      </c>
      <c r="K6" s="2">
        <v>4.2054605643541264E-2</v>
      </c>
      <c r="L6" s="2">
        <v>-0.12054512512169416</v>
      </c>
      <c r="M6" s="2">
        <v>0.14490108037185132</v>
      </c>
      <c r="N6" s="2">
        <v>0.9999999999981557</v>
      </c>
      <c r="O6" s="52"/>
      <c r="R6" s="46" t="str">
        <f t="shared" si="0"/>
        <v>Emerging market debt</v>
      </c>
      <c r="S6" s="47">
        <f t="shared" si="1"/>
        <v>4.5865746399639182E-2</v>
      </c>
      <c r="T6" s="47">
        <f t="shared" si="2"/>
        <v>3.5139671934984781E-2</v>
      </c>
      <c r="U6" s="47">
        <f t="shared" si="3"/>
        <v>3.1887715400090277E-2</v>
      </c>
      <c r="AA6" s="47"/>
      <c r="AB6" s="47"/>
      <c r="AC6" s="47"/>
      <c r="AD6" s="47"/>
    </row>
    <row r="7" spans="1:30">
      <c r="A7" s="54" t="str">
        <f>'Absolute visies'!A7</f>
        <v>Aandelen ontwikkeld</v>
      </c>
      <c r="B7" s="1">
        <v>8.7140469492885175E-2</v>
      </c>
      <c r="C7" s="49">
        <v>2.3016557552947882E-2</v>
      </c>
      <c r="D7" s="50">
        <v>6.9831550110757118E-2</v>
      </c>
      <c r="E7" s="1">
        <v>8.7324469284577461E-2</v>
      </c>
      <c r="F7" s="51">
        <v>0.10368569737378194</v>
      </c>
      <c r="G7" s="2">
        <v>4.6961066111160792E-2</v>
      </c>
      <c r="H7" s="2">
        <v>0.38747550748473442</v>
      </c>
      <c r="I7" s="2">
        <v>-0.16372598014392944</v>
      </c>
      <c r="J7" s="2">
        <v>1</v>
      </c>
      <c r="K7" s="2">
        <v>-0.67679334561080962</v>
      </c>
      <c r="L7" s="2">
        <v>-0.26220976935010881</v>
      </c>
      <c r="M7" s="2">
        <v>-0.53773408659719368</v>
      </c>
      <c r="N7" s="2">
        <v>0.99999999999668132</v>
      </c>
      <c r="O7" s="52"/>
      <c r="R7" s="46" t="str">
        <f t="shared" si="0"/>
        <v>Aandelen ontwikkeld</v>
      </c>
      <c r="S7" s="47">
        <f t="shared" si="1"/>
        <v>6.9831550110757118E-2</v>
      </c>
      <c r="T7" s="47">
        <f t="shared" si="2"/>
        <v>1.7308919382128057E-2</v>
      </c>
      <c r="U7" s="47">
        <f t="shared" si="3"/>
        <v>1.6545227880896768E-2</v>
      </c>
      <c r="AA7" s="47"/>
      <c r="AB7" s="47"/>
      <c r="AC7" s="47"/>
      <c r="AD7" s="47"/>
    </row>
    <row r="8" spans="1:30">
      <c r="A8" s="54" t="str">
        <f>'Absolute visies'!A8</f>
        <v>Aandelen opkomend</v>
      </c>
      <c r="B8" s="1">
        <v>5.4937266403263518E-2</v>
      </c>
      <c r="C8" s="49">
        <v>2.020443450449378E-2</v>
      </c>
      <c r="D8" s="50">
        <v>4.1674723609566276E-2</v>
      </c>
      <c r="E8" s="1">
        <v>5.4790744058679001E-2</v>
      </c>
      <c r="F8" s="51">
        <v>7.0263857641292102E-2</v>
      </c>
      <c r="G8" s="2">
        <v>-2.0683809215110763E-2</v>
      </c>
      <c r="H8" s="2">
        <v>-0.32579299456417216</v>
      </c>
      <c r="I8" s="2">
        <v>-0.1949192885234293</v>
      </c>
      <c r="J8" s="2">
        <v>0.14749765419108352</v>
      </c>
      <c r="K8" s="2">
        <v>1</v>
      </c>
      <c r="L8" s="2">
        <v>-0.36687664976780343</v>
      </c>
      <c r="M8" s="2">
        <v>-0.52534853570069329</v>
      </c>
      <c r="N8" s="2">
        <v>0.99999999999670719</v>
      </c>
      <c r="O8" s="52"/>
      <c r="R8" s="46" t="str">
        <f t="shared" si="0"/>
        <v>Aandelen opkomend</v>
      </c>
      <c r="S8" s="47">
        <f t="shared" si="1"/>
        <v>4.1674723609566276E-2</v>
      </c>
      <c r="T8" s="47">
        <f t="shared" si="2"/>
        <v>1.3262542793697242E-2</v>
      </c>
      <c r="U8" s="47">
        <f t="shared" si="3"/>
        <v>1.5326591238028583E-2</v>
      </c>
      <c r="AA8" s="47"/>
      <c r="AB8" s="47"/>
      <c r="AC8" s="47"/>
      <c r="AD8" s="47"/>
    </row>
    <row r="9" spans="1:30">
      <c r="A9" s="54" t="str">
        <f>'Absolute visies'!A9</f>
        <v>Commodities</v>
      </c>
      <c r="B9" s="1">
        <v>2.2503673046712587E-2</v>
      </c>
      <c r="C9" s="49">
        <v>1.2442451361832137E-2</v>
      </c>
      <c r="D9" s="50">
        <v>1.2928511675215838E-2</v>
      </c>
      <c r="E9" s="1">
        <v>2.2231051576160739E-2</v>
      </c>
      <c r="F9" s="51">
        <v>3.218707545321875E-2</v>
      </c>
      <c r="G9" s="2">
        <v>1.2247242798040682E-2</v>
      </c>
      <c r="H9" s="2">
        <v>3.0491898302112641E-4</v>
      </c>
      <c r="I9" s="2">
        <v>-3.6015356410725438E-2</v>
      </c>
      <c r="J9" s="2">
        <v>-4.1559313788618858E-2</v>
      </c>
      <c r="K9" s="2">
        <v>7.7191708609974583E-2</v>
      </c>
      <c r="L9" s="2">
        <v>1</v>
      </c>
      <c r="M9" s="2">
        <v>-0.4093962614763122</v>
      </c>
      <c r="N9" s="2">
        <v>0.99999999999695499</v>
      </c>
      <c r="O9" s="52"/>
      <c r="R9" s="46" t="str">
        <f t="shared" si="0"/>
        <v>Commodities</v>
      </c>
      <c r="S9" s="47">
        <f t="shared" si="1"/>
        <v>1.2928511675215838E-2</v>
      </c>
      <c r="T9" s="47">
        <f t="shared" si="2"/>
        <v>9.5751613714967487E-3</v>
      </c>
      <c r="U9" s="47">
        <f t="shared" si="3"/>
        <v>9.6834024065061627E-3</v>
      </c>
      <c r="AA9" s="47"/>
      <c r="AB9" s="47"/>
      <c r="AC9" s="47"/>
      <c r="AD9" s="47"/>
    </row>
    <row r="10" spans="1:30">
      <c r="A10" s="54" t="str">
        <f>'Absolute visies'!A10</f>
        <v>Hedge funds</v>
      </c>
      <c r="B10" s="1">
        <v>5.6767380601991033E-2</v>
      </c>
      <c r="C10" s="49">
        <v>3.3553857590458654E-2</v>
      </c>
      <c r="D10" s="50">
        <v>2.8721691486864168E-2</v>
      </c>
      <c r="E10" s="1">
        <v>5.2772333613786623E-2</v>
      </c>
      <c r="F10" s="51">
        <v>8.1233404971105122E-2</v>
      </c>
      <c r="G10" s="2">
        <v>-9.0796514125249056E-2</v>
      </c>
      <c r="H10" s="2">
        <v>-0.71088749453045752</v>
      </c>
      <c r="I10" s="2">
        <v>-0.91198537296741089</v>
      </c>
      <c r="J10" s="2">
        <v>-0.63614281799426498</v>
      </c>
      <c r="K10" s="2">
        <v>-0.41272298417177045</v>
      </c>
      <c r="L10" s="2">
        <v>-0.10604188179781374</v>
      </c>
      <c r="M10" s="2">
        <v>0.22488920919428551</v>
      </c>
      <c r="N10" s="2">
        <v>0.99999999999832845</v>
      </c>
      <c r="O10" s="52"/>
      <c r="R10" s="46" t="str">
        <f t="shared" si="0"/>
        <v>Hedge funds</v>
      </c>
      <c r="S10" s="47">
        <f t="shared" si="1"/>
        <v>2.8721691486864168E-2</v>
      </c>
      <c r="T10" s="47">
        <f t="shared" si="2"/>
        <v>2.8045689115126865E-2</v>
      </c>
      <c r="U10" s="47">
        <f t="shared" si="3"/>
        <v>2.4466024369114089E-2</v>
      </c>
      <c r="AA10" s="47"/>
      <c r="AB10" s="47"/>
      <c r="AC10" s="47"/>
      <c r="AD10" s="47"/>
    </row>
    <row r="11" spans="1:30">
      <c r="A11" s="54" t="str">
        <f>'Absolute visies'!A11</f>
        <v>Onroerend goed</v>
      </c>
      <c r="B11" s="1">
        <v>6.0886331172249931E-2</v>
      </c>
      <c r="C11" s="49">
        <v>3.6512799239895186E-2</v>
      </c>
      <c r="D11" s="50">
        <v>3.2607596871767411E-2</v>
      </c>
      <c r="E11" s="1">
        <v>5.7346315512002047E-2</v>
      </c>
      <c r="F11" s="51">
        <v>8.7862963033754946E-2</v>
      </c>
      <c r="G11" s="2">
        <v>-8.9235754279150828E-2</v>
      </c>
      <c r="H11" s="2">
        <v>-0.86922823076562494</v>
      </c>
      <c r="I11" s="2">
        <v>1</v>
      </c>
      <c r="J11" s="2">
        <v>-0.27418953262989837</v>
      </c>
      <c r="K11" s="2">
        <v>-0.30830252979955092</v>
      </c>
      <c r="L11" s="2">
        <v>-0.14654737584447319</v>
      </c>
      <c r="M11" s="2">
        <v>-8.0697938169871614E-2</v>
      </c>
      <c r="N11" s="2">
        <v>0.99999999999766809</v>
      </c>
      <c r="O11" s="52"/>
      <c r="R11" s="46" t="str">
        <f t="shared" si="0"/>
        <v>Onroerend goed</v>
      </c>
      <c r="S11" s="47">
        <f t="shared" si="1"/>
        <v>3.2607596871767411E-2</v>
      </c>
      <c r="T11" s="47">
        <f t="shared" si="2"/>
        <v>2.8278734300482521E-2</v>
      </c>
      <c r="U11" s="47">
        <f t="shared" si="3"/>
        <v>2.6976631861505014E-2</v>
      </c>
    </row>
    <row r="12" spans="1:30">
      <c r="A12" s="54" t="str">
        <f>'Absolute visies'!A12</f>
        <v>Periferie bonds</v>
      </c>
      <c r="B12" s="1"/>
      <c r="C12" s="49"/>
      <c r="D12" s="50"/>
      <c r="E12" s="1"/>
      <c r="F12" s="51"/>
      <c r="G12" s="2"/>
      <c r="H12" s="2"/>
      <c r="I12" s="2"/>
      <c r="J12" s="2"/>
      <c r="K12" s="2"/>
      <c r="L12" s="2"/>
      <c r="M12" s="2"/>
      <c r="N12" s="2"/>
      <c r="O12" s="52"/>
      <c r="R12" s="46" t="str">
        <f t="shared" si="0"/>
        <v>Periferie bonds</v>
      </c>
      <c r="S12" s="47">
        <f t="shared" si="1"/>
        <v>0</v>
      </c>
      <c r="T12" s="47">
        <f t="shared" si="2"/>
        <v>0</v>
      </c>
      <c r="U12" s="47">
        <f t="shared" si="3"/>
        <v>0</v>
      </c>
    </row>
    <row r="13" spans="1:30">
      <c r="A13" s="54" t="str">
        <f>'Absolute visies'!A13</f>
        <v/>
      </c>
      <c r="B13" s="1"/>
      <c r="C13" s="49"/>
      <c r="D13" s="50"/>
      <c r="E13" s="1"/>
      <c r="F13" s="51"/>
      <c r="G13" s="2"/>
      <c r="H13" s="2"/>
      <c r="I13" s="2"/>
      <c r="J13" s="2"/>
      <c r="K13" s="2"/>
      <c r="L13" s="2"/>
      <c r="M13" s="2"/>
      <c r="N13" s="2"/>
      <c r="O13" s="52"/>
      <c r="R13" s="46" t="str">
        <f t="shared" si="0"/>
        <v/>
      </c>
      <c r="S13" s="47" t="str">
        <f t="shared" si="1"/>
        <v/>
      </c>
      <c r="T13" s="47" t="str">
        <f t="shared" si="2"/>
        <v/>
      </c>
      <c r="U13" s="47" t="str">
        <f t="shared" si="3"/>
        <v/>
      </c>
    </row>
    <row r="14" spans="1:30">
      <c r="A14" s="54" t="str">
        <f>'Absolute visies'!A14</f>
        <v/>
      </c>
      <c r="B14" s="1"/>
      <c r="C14" s="49"/>
      <c r="D14" s="50"/>
      <c r="E14" s="1"/>
      <c r="F14" s="51"/>
      <c r="G14" s="2"/>
      <c r="H14" s="2"/>
      <c r="I14" s="2"/>
      <c r="J14" s="2"/>
      <c r="K14" s="2"/>
      <c r="L14" s="2"/>
      <c r="M14" s="2"/>
      <c r="N14" s="2"/>
      <c r="O14" s="52"/>
      <c r="R14" s="46" t="str">
        <f t="shared" si="0"/>
        <v/>
      </c>
      <c r="S14" s="47" t="str">
        <f t="shared" si="1"/>
        <v/>
      </c>
      <c r="T14" s="47" t="str">
        <f t="shared" si="2"/>
        <v/>
      </c>
      <c r="U14" s="47" t="str">
        <f t="shared" si="3"/>
        <v/>
      </c>
    </row>
    <row r="15" spans="1:30">
      <c r="A15" s="55" t="str">
        <f>'Absolute visies'!A15</f>
        <v/>
      </c>
      <c r="B15" s="56"/>
      <c r="C15" s="57"/>
      <c r="D15" s="58"/>
      <c r="E15" s="56"/>
      <c r="F15" s="59"/>
      <c r="G15" s="60"/>
      <c r="H15" s="60"/>
      <c r="I15" s="60"/>
      <c r="J15" s="60"/>
      <c r="K15" s="60"/>
      <c r="L15" s="60"/>
      <c r="M15" s="60"/>
      <c r="N15" s="60"/>
      <c r="O15" s="61"/>
      <c r="R15" s="46" t="str">
        <f t="shared" si="0"/>
        <v/>
      </c>
      <c r="S15" s="47" t="str">
        <f t="shared" si="1"/>
        <v/>
      </c>
      <c r="T15" s="47" t="str">
        <f t="shared" si="2"/>
        <v/>
      </c>
      <c r="U15" s="47" t="str">
        <f t="shared" si="3"/>
        <v/>
      </c>
    </row>
    <row r="16" spans="1:30">
      <c r="AA16" s="47"/>
      <c r="AB16" s="47"/>
      <c r="AC16" s="47"/>
      <c r="AD16" s="47"/>
    </row>
    <row r="17" spans="1:30">
      <c r="A17" s="43" t="s">
        <v>68</v>
      </c>
      <c r="D17" s="394" t="s">
        <v>64</v>
      </c>
      <c r="E17" s="395"/>
      <c r="F17" s="396"/>
      <c r="G17" s="394" t="s">
        <v>65</v>
      </c>
      <c r="H17" s="395"/>
      <c r="I17" s="395"/>
      <c r="J17" s="395"/>
      <c r="K17" s="395"/>
      <c r="L17" s="395"/>
      <c r="M17" s="395"/>
      <c r="N17" s="395"/>
      <c r="O17" s="396"/>
    </row>
    <row r="18" spans="1:30">
      <c r="A18" s="237" t="str">
        <f>Optimalisatie!A21</f>
        <v>Base Case</v>
      </c>
      <c r="B18" s="238" t="s">
        <v>1</v>
      </c>
      <c r="C18" s="239" t="s">
        <v>2</v>
      </c>
      <c r="D18" s="240">
        <v>0.25</v>
      </c>
      <c r="E18" s="241">
        <v>0.5</v>
      </c>
      <c r="F18" s="242">
        <v>0.75</v>
      </c>
      <c r="G18" s="243">
        <v>0.793870753850349</v>
      </c>
      <c r="H18" s="243">
        <v>9.0032283068141039E-2</v>
      </c>
      <c r="I18" s="243">
        <v>7.4079883375709032E-2</v>
      </c>
      <c r="J18" s="243">
        <v>3.7381924491545204E-2</v>
      </c>
      <c r="K18" s="243">
        <v>2.9660592285682963E-3</v>
      </c>
      <c r="L18" s="243">
        <v>1.0855006994477945E-3</v>
      </c>
      <c r="M18" s="243">
        <v>5.8359528623763701E-4</v>
      </c>
      <c r="N18" s="243">
        <v>0</v>
      </c>
      <c r="O18" s="244">
        <v>0</v>
      </c>
      <c r="R18" s="46" t="str">
        <f>A18</f>
        <v>Base Case</v>
      </c>
      <c r="S18" s="46"/>
      <c r="T18" s="47"/>
      <c r="U18" s="46"/>
      <c r="AA18" s="47"/>
      <c r="AB18" s="47"/>
      <c r="AC18" s="47"/>
      <c r="AD18" s="47"/>
    </row>
    <row r="19" spans="1:30">
      <c r="A19" s="54" t="str">
        <f>IF(A4&lt;&gt;"",A4,"")</f>
        <v>Nominale matching</v>
      </c>
      <c r="B19" s="253">
        <v>0.63884131311996284</v>
      </c>
      <c r="C19" s="49">
        <v>3.3388435170532221E-2</v>
      </c>
      <c r="D19" s="50">
        <v>0.6155766536146553</v>
      </c>
      <c r="E19" s="1">
        <v>0.64262510968805775</v>
      </c>
      <c r="F19" s="51">
        <v>0.66431038682323595</v>
      </c>
      <c r="G19" s="2">
        <v>-0.56042177567045171</v>
      </c>
      <c r="H19" s="2">
        <v>0.18313749683766231</v>
      </c>
      <c r="I19" s="2">
        <v>-0.47652219504931431</v>
      </c>
      <c r="J19" s="2">
        <v>-0.33421197790326884</v>
      </c>
      <c r="K19" s="2">
        <v>-0.2548593858775865</v>
      </c>
      <c r="L19" s="2">
        <v>-0.69817593933227184</v>
      </c>
      <c r="M19" s="2">
        <v>-0.41375795201160609</v>
      </c>
      <c r="N19" s="2">
        <v>1</v>
      </c>
      <c r="O19" s="52"/>
      <c r="R19" s="46" t="str">
        <f>IF(A19&lt;&gt;"",A19,"")</f>
        <v>Nominale matching</v>
      </c>
      <c r="S19" s="47">
        <f>IF(A19&lt;&gt;"",D19,"")</f>
        <v>0.6155766536146553</v>
      </c>
      <c r="T19" s="47">
        <f>IF(A19&lt;&gt;"",B19-D19,"")</f>
        <v>2.3264659505307539E-2</v>
      </c>
      <c r="U19" s="47">
        <f>IF(A19&lt;&gt;"",F19-B19,"")</f>
        <v>2.5469073703273115E-2</v>
      </c>
      <c r="AA19" s="47"/>
      <c r="AB19" s="47"/>
      <c r="AC19" s="47"/>
      <c r="AD19" s="47"/>
    </row>
    <row r="20" spans="1:30">
      <c r="A20" s="54" t="str">
        <f t="shared" ref="A20:A30" si="4">IF(A5&lt;&gt;"",A5,"")</f>
        <v>High Yield</v>
      </c>
      <c r="B20" s="253">
        <v>8.9152415993890524E-2</v>
      </c>
      <c r="C20" s="49">
        <v>5.7583447950149025E-2</v>
      </c>
      <c r="D20" s="50">
        <v>4.3600169544033028E-2</v>
      </c>
      <c r="E20" s="1">
        <v>7.9182136751944354E-2</v>
      </c>
      <c r="F20" s="51">
        <v>0.12465809585601395</v>
      </c>
      <c r="G20" s="2">
        <v>1</v>
      </c>
      <c r="H20" s="2">
        <v>2.0851454662755609E-2</v>
      </c>
      <c r="I20" s="2">
        <v>-0.36798307719795231</v>
      </c>
      <c r="J20" s="2">
        <v>-0.21894270330411147</v>
      </c>
      <c r="K20" s="2">
        <v>-0.19361879854251043</v>
      </c>
      <c r="L20" s="2">
        <v>-4.1759760950414823E-2</v>
      </c>
      <c r="M20" s="2">
        <v>-0.18754647272114583</v>
      </c>
      <c r="N20" s="2">
        <v>0.99999999999999012</v>
      </c>
      <c r="O20" s="52"/>
      <c r="R20" s="46" t="str">
        <f t="shared" ref="R20:R30" si="5">IF(A20&lt;&gt;"",A20,"")</f>
        <v>High Yield</v>
      </c>
      <c r="S20" s="47">
        <f t="shared" ref="S20:S30" si="6">IF(A20&lt;&gt;"",D20,"")</f>
        <v>4.3600169544033028E-2</v>
      </c>
      <c r="T20" s="47">
        <f t="shared" ref="T20:T30" si="7">IF(A20&lt;&gt;"",B20-D20,"")</f>
        <v>4.5552246449857496E-2</v>
      </c>
      <c r="U20" s="47">
        <f t="shared" ref="U20:U30" si="8">IF(A20&lt;&gt;"",F20-B20,"")</f>
        <v>3.5505679862123427E-2</v>
      </c>
      <c r="AA20" s="47"/>
      <c r="AB20" s="47"/>
      <c r="AC20" s="47"/>
      <c r="AD20" s="47"/>
    </row>
    <row r="21" spans="1:30">
      <c r="A21" s="54" t="str">
        <f t="shared" si="4"/>
        <v>Emerging market debt</v>
      </c>
      <c r="B21" s="253">
        <v>1.6180596839274166E-2</v>
      </c>
      <c r="C21" s="49">
        <v>1.3773782145671732E-2</v>
      </c>
      <c r="D21" s="50">
        <v>5.6764861630027308E-3</v>
      </c>
      <c r="E21" s="1">
        <v>1.2286490051609988E-2</v>
      </c>
      <c r="F21" s="51">
        <v>2.4079264019034787E-2</v>
      </c>
      <c r="G21" s="2">
        <v>-2.9331494303368628E-2</v>
      </c>
      <c r="H21" s="2">
        <v>-0.10731640699813987</v>
      </c>
      <c r="I21" s="2">
        <v>-0.13785581233579336</v>
      </c>
      <c r="J21" s="2">
        <v>1</v>
      </c>
      <c r="K21" s="2">
        <v>-0.13082800369604561</v>
      </c>
      <c r="L21" s="2">
        <v>-8.3879614338137301E-2</v>
      </c>
      <c r="M21" s="2">
        <v>-0.18020642906483089</v>
      </c>
      <c r="N21" s="2">
        <v>0.99999999999998956</v>
      </c>
      <c r="O21" s="52"/>
      <c r="R21" s="46" t="str">
        <f t="shared" si="5"/>
        <v>Emerging market debt</v>
      </c>
      <c r="S21" s="47">
        <f t="shared" si="6"/>
        <v>5.6764861630027308E-3</v>
      </c>
      <c r="T21" s="47">
        <f t="shared" si="7"/>
        <v>1.0504110676271435E-2</v>
      </c>
      <c r="U21" s="47">
        <f t="shared" si="8"/>
        <v>7.8986671797606212E-3</v>
      </c>
      <c r="AA21" s="47"/>
      <c r="AB21" s="47"/>
      <c r="AC21" s="47"/>
      <c r="AD21" s="47"/>
    </row>
    <row r="22" spans="1:30">
      <c r="A22" s="54" t="str">
        <f t="shared" si="4"/>
        <v>Aandelen ontwikkeld</v>
      </c>
      <c r="B22" s="253">
        <v>1.6946947243372027E-3</v>
      </c>
      <c r="C22" s="49">
        <v>1.8565137754232542E-3</v>
      </c>
      <c r="D22" s="50">
        <v>2.6526515614317753E-4</v>
      </c>
      <c r="E22" s="1">
        <v>9.7234691477604768E-4</v>
      </c>
      <c r="F22" s="51">
        <v>2.458815512760911E-3</v>
      </c>
      <c r="G22" s="2">
        <v>2.9943116588051274E-4</v>
      </c>
      <c r="H22" s="2">
        <v>6.5101509433286879E-3</v>
      </c>
      <c r="I22" s="2">
        <v>-9.0710263254931509E-3</v>
      </c>
      <c r="J22" s="2">
        <v>-1.4644759010299688E-2</v>
      </c>
      <c r="K22" s="2">
        <v>4.8428116128048657E-3</v>
      </c>
      <c r="L22" s="2">
        <v>-0.51720555602717433</v>
      </c>
      <c r="M22" s="2">
        <v>1</v>
      </c>
      <c r="N22" s="2">
        <v>0.99999999999997169</v>
      </c>
      <c r="O22" s="52"/>
      <c r="R22" s="46" t="str">
        <f t="shared" si="5"/>
        <v>Aandelen ontwikkeld</v>
      </c>
      <c r="S22" s="47">
        <f t="shared" si="6"/>
        <v>2.6526515614317753E-4</v>
      </c>
      <c r="T22" s="47">
        <f t="shared" si="7"/>
        <v>1.4294295681940251E-3</v>
      </c>
      <c r="U22" s="47">
        <f t="shared" si="8"/>
        <v>7.6412078842370834E-4</v>
      </c>
      <c r="AA22" s="47"/>
      <c r="AB22" s="47"/>
      <c r="AC22" s="47"/>
      <c r="AD22" s="47"/>
    </row>
    <row r="23" spans="1:30">
      <c r="A23" s="54" t="str">
        <f t="shared" si="4"/>
        <v>Aandelen opkomend</v>
      </c>
      <c r="B23" s="253">
        <v>2.5254391686127226E-2</v>
      </c>
      <c r="C23" s="49">
        <v>1.9812412621961473E-2</v>
      </c>
      <c r="D23" s="50">
        <v>1.0406197405009143E-2</v>
      </c>
      <c r="E23" s="1">
        <v>2.0416540295551868E-2</v>
      </c>
      <c r="F23" s="51">
        <v>3.5705544932015471E-2</v>
      </c>
      <c r="G23" s="2">
        <v>-7.9343405454464944E-2</v>
      </c>
      <c r="H23" s="2">
        <v>1</v>
      </c>
      <c r="I23" s="2">
        <v>0.49663292229024469</v>
      </c>
      <c r="J23" s="2">
        <v>-2.4880744397344962E-2</v>
      </c>
      <c r="K23" s="2">
        <v>-0.14047120614789432</v>
      </c>
      <c r="L23" s="2">
        <v>0.50912100049277142</v>
      </c>
      <c r="M23" s="2">
        <v>3.785558898329322E-3</v>
      </c>
      <c r="N23" s="2">
        <v>0.99999999999998068</v>
      </c>
      <c r="O23" s="52"/>
      <c r="R23" s="46" t="str">
        <f t="shared" si="5"/>
        <v>Aandelen opkomend</v>
      </c>
      <c r="S23" s="47">
        <f t="shared" si="6"/>
        <v>1.0406197405009143E-2</v>
      </c>
      <c r="T23" s="47">
        <f t="shared" si="7"/>
        <v>1.4848194281118082E-2</v>
      </c>
      <c r="U23" s="47">
        <f t="shared" si="8"/>
        <v>1.0451153245888245E-2</v>
      </c>
      <c r="AA23" s="47"/>
      <c r="AB23" s="47"/>
      <c r="AC23" s="47"/>
      <c r="AD23" s="47"/>
    </row>
    <row r="24" spans="1:30">
      <c r="A24" s="54" t="str">
        <f t="shared" si="4"/>
        <v>Commodities</v>
      </c>
      <c r="B24" s="253">
        <v>0.19937901187906307</v>
      </c>
      <c r="C24" s="49">
        <v>2.1342483309186477E-2</v>
      </c>
      <c r="D24" s="50">
        <v>0.18484038086021393</v>
      </c>
      <c r="E24" s="1">
        <v>0.19966034838295904</v>
      </c>
      <c r="F24" s="51">
        <v>0.21566980437883349</v>
      </c>
      <c r="G24" s="2">
        <v>-0.31360110137459635</v>
      </c>
      <c r="H24" s="2">
        <v>-0.4707788425245143</v>
      </c>
      <c r="I24" s="2">
        <v>-0.48573585137353353</v>
      </c>
      <c r="J24" s="2">
        <v>-0.17880579092965412</v>
      </c>
      <c r="K24" s="2">
        <v>-0.11011845482494245</v>
      </c>
      <c r="L24" s="2">
        <v>1</v>
      </c>
      <c r="M24" s="2">
        <v>0.16963842895057998</v>
      </c>
      <c r="N24" s="2">
        <v>0.99999999999997446</v>
      </c>
      <c r="O24" s="52"/>
      <c r="R24" s="46" t="str">
        <f t="shared" si="5"/>
        <v>Commodities</v>
      </c>
      <c r="S24" s="47">
        <f t="shared" si="6"/>
        <v>0.18484038086021393</v>
      </c>
      <c r="T24" s="47">
        <f t="shared" si="7"/>
        <v>1.4538631018849141E-2</v>
      </c>
      <c r="U24" s="47">
        <f t="shared" si="8"/>
        <v>1.6290792499770418E-2</v>
      </c>
      <c r="AA24" s="47"/>
      <c r="AB24" s="47"/>
      <c r="AC24" s="47"/>
      <c r="AD24" s="47"/>
    </row>
    <row r="25" spans="1:30">
      <c r="A25" s="54" t="str">
        <f t="shared" si="4"/>
        <v>Hedge funds</v>
      </c>
      <c r="B25" s="253">
        <v>2.549361968294718E-2</v>
      </c>
      <c r="C25" s="49">
        <v>1.9237734565573303E-2</v>
      </c>
      <c r="D25" s="50">
        <v>1.0498635837818742E-2</v>
      </c>
      <c r="E25" s="1">
        <v>2.1157849483218812E-2</v>
      </c>
      <c r="F25" s="51">
        <v>3.5946781985662569E-2</v>
      </c>
      <c r="G25" s="2">
        <v>-1.6063822806494415E-2</v>
      </c>
      <c r="H25" s="2">
        <v>-0.64485774199312718</v>
      </c>
      <c r="I25" s="2">
        <v>1</v>
      </c>
      <c r="J25" s="2">
        <v>-0.17759067296206404</v>
      </c>
      <c r="K25" s="2">
        <v>-0.17494696252382047</v>
      </c>
      <c r="L25" s="2">
        <v>-0.1321286758796176</v>
      </c>
      <c r="M25" s="2">
        <v>-0.20506775725583351</v>
      </c>
      <c r="N25" s="2">
        <v>0.9999999999999909</v>
      </c>
      <c r="O25" s="52"/>
      <c r="R25" s="46" t="str">
        <f t="shared" si="5"/>
        <v>Hedge funds</v>
      </c>
      <c r="S25" s="47">
        <f t="shared" si="6"/>
        <v>1.0498635837818742E-2</v>
      </c>
      <c r="T25" s="47">
        <f t="shared" si="7"/>
        <v>1.4994983845128438E-2</v>
      </c>
      <c r="U25" s="47">
        <f t="shared" si="8"/>
        <v>1.0453162302715389E-2</v>
      </c>
    </row>
    <row r="26" spans="1:30">
      <c r="A26" s="54" t="str">
        <f t="shared" si="4"/>
        <v>Onroerend goed</v>
      </c>
      <c r="B26" s="253">
        <v>4.0039560743981373E-3</v>
      </c>
      <c r="C26" s="49">
        <v>3.9239983059554326E-3</v>
      </c>
      <c r="D26" s="50">
        <v>1.1170785589746234E-3</v>
      </c>
      <c r="E26" s="1">
        <v>2.5873946688405852E-3</v>
      </c>
      <c r="F26" s="51">
        <v>5.6139257697055802E-3</v>
      </c>
      <c r="G26" s="2">
        <v>-1.5378315565043159E-3</v>
      </c>
      <c r="H26" s="2">
        <v>1.2453889072035726E-2</v>
      </c>
      <c r="I26" s="2">
        <v>-1.946496000815728E-2</v>
      </c>
      <c r="J26" s="2">
        <v>-5.0923351493256573E-2</v>
      </c>
      <c r="K26" s="2">
        <v>1</v>
      </c>
      <c r="L26" s="2">
        <v>-3.5971453965138046E-2</v>
      </c>
      <c r="M26" s="2">
        <v>-0.18684537679546892</v>
      </c>
      <c r="N26" s="2">
        <v>0.99999999999998468</v>
      </c>
      <c r="O26" s="52"/>
      <c r="R26" s="46" t="str">
        <f t="shared" si="5"/>
        <v>Onroerend goed</v>
      </c>
      <c r="S26" s="47">
        <f t="shared" si="6"/>
        <v>1.1170785589746234E-3</v>
      </c>
      <c r="T26" s="47">
        <f t="shared" si="7"/>
        <v>2.8868775154235141E-3</v>
      </c>
      <c r="U26" s="47">
        <f t="shared" si="8"/>
        <v>1.6099696953074429E-3</v>
      </c>
    </row>
    <row r="27" spans="1:30">
      <c r="A27" s="54" t="str">
        <f t="shared" si="4"/>
        <v>Periferie bonds</v>
      </c>
      <c r="B27" s="253"/>
      <c r="C27" s="49"/>
      <c r="D27" s="50"/>
      <c r="E27" s="1"/>
      <c r="F27" s="51"/>
      <c r="G27" s="2"/>
      <c r="H27" s="2"/>
      <c r="I27" s="2"/>
      <c r="J27" s="2"/>
      <c r="K27" s="2"/>
      <c r="L27" s="2"/>
      <c r="M27" s="2"/>
      <c r="N27" s="2"/>
      <c r="O27" s="52"/>
      <c r="R27" s="46" t="str">
        <f t="shared" si="5"/>
        <v>Periferie bonds</v>
      </c>
      <c r="S27" s="47">
        <f t="shared" si="6"/>
        <v>0</v>
      </c>
      <c r="T27" s="47">
        <f t="shared" si="7"/>
        <v>0</v>
      </c>
      <c r="U27" s="47">
        <f t="shared" si="8"/>
        <v>0</v>
      </c>
    </row>
    <row r="28" spans="1:30">
      <c r="A28" s="54" t="str">
        <f t="shared" si="4"/>
        <v/>
      </c>
      <c r="B28" s="253"/>
      <c r="C28" s="49"/>
      <c r="D28" s="50"/>
      <c r="E28" s="1"/>
      <c r="F28" s="51"/>
      <c r="G28" s="2"/>
      <c r="H28" s="2"/>
      <c r="I28" s="2"/>
      <c r="J28" s="2"/>
      <c r="K28" s="2"/>
      <c r="L28" s="2"/>
      <c r="M28" s="2"/>
      <c r="N28" s="2"/>
      <c r="O28" s="52"/>
      <c r="R28" s="46" t="str">
        <f t="shared" si="5"/>
        <v/>
      </c>
      <c r="S28" s="47" t="str">
        <f t="shared" si="6"/>
        <v/>
      </c>
      <c r="T28" s="47" t="str">
        <f t="shared" si="7"/>
        <v/>
      </c>
      <c r="U28" s="47" t="str">
        <f t="shared" si="8"/>
        <v/>
      </c>
    </row>
    <row r="29" spans="1:30">
      <c r="A29" s="54" t="str">
        <f t="shared" si="4"/>
        <v/>
      </c>
      <c r="B29" s="253"/>
      <c r="C29" s="49"/>
      <c r="D29" s="50"/>
      <c r="E29" s="1"/>
      <c r="F29" s="51"/>
      <c r="G29" s="2"/>
      <c r="H29" s="2"/>
      <c r="I29" s="2"/>
      <c r="J29" s="2"/>
      <c r="K29" s="2"/>
      <c r="L29" s="2"/>
      <c r="M29" s="2"/>
      <c r="N29" s="2"/>
      <c r="O29" s="52"/>
      <c r="R29" s="46" t="str">
        <f t="shared" si="5"/>
        <v/>
      </c>
      <c r="S29" s="47" t="str">
        <f t="shared" si="6"/>
        <v/>
      </c>
      <c r="T29" s="47" t="str">
        <f t="shared" si="7"/>
        <v/>
      </c>
      <c r="U29" s="47" t="str">
        <f t="shared" si="8"/>
        <v/>
      </c>
    </row>
    <row r="30" spans="1:30">
      <c r="A30" s="55" t="str">
        <f t="shared" si="4"/>
        <v/>
      </c>
      <c r="B30" s="254"/>
      <c r="C30" s="57"/>
      <c r="D30" s="58"/>
      <c r="E30" s="56"/>
      <c r="F30" s="59"/>
      <c r="G30" s="60"/>
      <c r="H30" s="60"/>
      <c r="I30" s="60"/>
      <c r="J30" s="60"/>
      <c r="K30" s="60"/>
      <c r="L30" s="60"/>
      <c r="M30" s="60"/>
      <c r="N30" s="60"/>
      <c r="O30" s="61"/>
      <c r="R30" s="46" t="str">
        <f t="shared" si="5"/>
        <v/>
      </c>
      <c r="S30" s="47" t="str">
        <f t="shared" si="6"/>
        <v/>
      </c>
      <c r="T30" s="47" t="str">
        <f t="shared" si="7"/>
        <v/>
      </c>
      <c r="U30" s="47" t="str">
        <f t="shared" si="8"/>
        <v/>
      </c>
    </row>
    <row r="31" spans="1:30">
      <c r="A31" s="62"/>
      <c r="B31" s="1"/>
      <c r="C31" s="1"/>
      <c r="D31" s="1"/>
      <c r="E31" s="1"/>
      <c r="F31" s="63"/>
      <c r="G31" s="63"/>
      <c r="H31" s="63"/>
      <c r="I31" s="63"/>
      <c r="J31" s="63"/>
      <c r="K31" s="63"/>
      <c r="L31" s="63"/>
      <c r="M31" s="63"/>
      <c r="N31" s="63"/>
      <c r="O31" s="63"/>
    </row>
    <row r="32" spans="1:30">
      <c r="D32" s="394" t="s">
        <v>64</v>
      </c>
      <c r="E32" s="395"/>
      <c r="F32" s="396"/>
      <c r="G32" s="394" t="s">
        <v>65</v>
      </c>
      <c r="H32" s="395"/>
      <c r="I32" s="395"/>
      <c r="J32" s="395"/>
      <c r="K32" s="395"/>
      <c r="L32" s="395"/>
      <c r="M32" s="395"/>
      <c r="N32" s="395"/>
      <c r="O32" s="396"/>
    </row>
    <row r="33" spans="1:30">
      <c r="A33" s="237" t="str">
        <f>Optimalisatie!A22</f>
        <v>Base - muddle down</v>
      </c>
      <c r="B33" s="238" t="s">
        <v>1</v>
      </c>
      <c r="C33" s="239" t="s">
        <v>2</v>
      </c>
      <c r="D33" s="240">
        <v>0.25</v>
      </c>
      <c r="E33" s="241">
        <v>0.5</v>
      </c>
      <c r="F33" s="242">
        <v>0.75</v>
      </c>
      <c r="G33" s="243">
        <v>0.94253143676828777</v>
      </c>
      <c r="H33" s="243">
        <v>4.532412629492133E-2</v>
      </c>
      <c r="I33" s="243">
        <v>9.0017233777434091E-3</v>
      </c>
      <c r="J33" s="243">
        <v>1.7047845267519346E-3</v>
      </c>
      <c r="K33" s="243">
        <v>1.108365325975913E-3</v>
      </c>
      <c r="L33" s="243">
        <v>2.4528668855272606E-4</v>
      </c>
      <c r="M33" s="243">
        <v>8.427701776902996E-5</v>
      </c>
      <c r="N33" s="243">
        <v>0</v>
      </c>
      <c r="O33" s="244">
        <v>0</v>
      </c>
      <c r="R33" s="46" t="str">
        <f>A33</f>
        <v>Base - muddle down</v>
      </c>
      <c r="S33" s="46"/>
      <c r="T33" s="47"/>
      <c r="U33" s="46"/>
      <c r="AA33" s="47"/>
      <c r="AB33" s="47"/>
      <c r="AC33" s="47"/>
      <c r="AD33" s="47"/>
    </row>
    <row r="34" spans="1:30">
      <c r="A34" s="54" t="str">
        <f>IF(A19&lt;&gt;"",A19,"")</f>
        <v>Nominale matching</v>
      </c>
      <c r="B34" s="1">
        <v>0.78328071561288071</v>
      </c>
      <c r="C34" s="49">
        <v>4.4949055045451672E-2</v>
      </c>
      <c r="D34" s="50">
        <v>0.74659048455063393</v>
      </c>
      <c r="E34" s="1">
        <v>0.7779908362121255</v>
      </c>
      <c r="F34" s="51">
        <v>0.81621824544585664</v>
      </c>
      <c r="G34" s="63">
        <v>1</v>
      </c>
      <c r="H34" s="63">
        <v>-0.41129206286182252</v>
      </c>
      <c r="I34" s="63">
        <v>-0.33360597469587644</v>
      </c>
      <c r="J34" s="63">
        <v>-0.39848075457609228</v>
      </c>
      <c r="K34" s="63">
        <v>-7.1648585407850213E-2</v>
      </c>
      <c r="L34" s="63">
        <v>-0.16921503843523203</v>
      </c>
      <c r="M34" s="2">
        <v>-0.13330311921438928</v>
      </c>
      <c r="N34" s="2">
        <v>0.99999999999999944</v>
      </c>
      <c r="O34" s="64"/>
      <c r="R34" s="46" t="str">
        <f>IF(A34&lt;&gt;"",A34,"")</f>
        <v>Nominale matching</v>
      </c>
      <c r="S34" s="47">
        <f>IF(A34&lt;&gt;"",D34,"")</f>
        <v>0.74659048455063393</v>
      </c>
      <c r="T34" s="47">
        <f>IF(A34&lt;&gt;"",B34-D34,"")</f>
        <v>3.6690231062246781E-2</v>
      </c>
      <c r="U34" s="47">
        <f>IF(A34&lt;&gt;"",F34-B34,"")</f>
        <v>3.2937529832975931E-2</v>
      </c>
      <c r="AA34" s="47"/>
      <c r="AB34" s="47"/>
      <c r="AC34" s="47"/>
      <c r="AD34" s="47"/>
    </row>
    <row r="35" spans="1:30">
      <c r="A35" s="54" t="str">
        <f t="shared" ref="A35:A45" si="9">IF(A20&lt;&gt;"",A20,"")</f>
        <v>High Yield</v>
      </c>
      <c r="B35" s="1">
        <v>1.9077726566221387E-3</v>
      </c>
      <c r="C35" s="49">
        <v>2.1676205771686092E-3</v>
      </c>
      <c r="D35" s="50">
        <v>4.4624039680647536E-4</v>
      </c>
      <c r="E35" s="1">
        <v>1.1616677580811954E-3</v>
      </c>
      <c r="F35" s="51">
        <v>2.7584962519587343E-3</v>
      </c>
      <c r="G35" s="63">
        <v>-5.982121023048079E-3</v>
      </c>
      <c r="H35" s="63">
        <v>-6.7988676808736544E-3</v>
      </c>
      <c r="I35" s="63">
        <v>4.1508685061550414E-2</v>
      </c>
      <c r="J35" s="63">
        <v>1</v>
      </c>
      <c r="K35" s="63">
        <v>-0.73699371069913255</v>
      </c>
      <c r="L35" s="63">
        <v>-0.20537570976242411</v>
      </c>
      <c r="M35" s="2">
        <v>-0.12069117293912303</v>
      </c>
      <c r="N35" s="2">
        <v>0.99999999999998557</v>
      </c>
      <c r="O35" s="64"/>
      <c r="R35" s="46" t="str">
        <f t="shared" ref="R35:R45" si="10">IF(A35&lt;&gt;"",A35,"")</f>
        <v>High Yield</v>
      </c>
      <c r="S35" s="47">
        <f t="shared" ref="S35:S45" si="11">IF(A35&lt;&gt;"",D35,"")</f>
        <v>4.4624039680647536E-4</v>
      </c>
      <c r="T35" s="47">
        <f t="shared" ref="T35:T45" si="12">IF(A35&lt;&gt;"",B35-D35,"")</f>
        <v>1.4615322598156633E-3</v>
      </c>
      <c r="U35" s="47">
        <f t="shared" ref="U35:U45" si="13">IF(A35&lt;&gt;"",F35-B35,"")</f>
        <v>8.5072359533659562E-4</v>
      </c>
      <c r="AA35" s="47"/>
      <c r="AB35" s="47"/>
      <c r="AC35" s="47"/>
      <c r="AD35" s="47"/>
    </row>
    <row r="36" spans="1:30">
      <c r="A36" s="54" t="str">
        <f t="shared" si="9"/>
        <v>Emerging market debt</v>
      </c>
      <c r="B36" s="1">
        <v>1.3595195293279591E-2</v>
      </c>
      <c r="C36" s="49">
        <v>1.1408837736874356E-2</v>
      </c>
      <c r="D36" s="50">
        <v>5.1174023303065183E-3</v>
      </c>
      <c r="E36" s="1">
        <v>1.1143586812791808E-2</v>
      </c>
      <c r="F36" s="51">
        <v>1.8683715609112271E-2</v>
      </c>
      <c r="G36" s="63">
        <v>-7.0744475668827952E-2</v>
      </c>
      <c r="H36" s="63">
        <v>1</v>
      </c>
      <c r="I36" s="63">
        <v>-0.33135843661495584</v>
      </c>
      <c r="J36" s="63">
        <v>-0.38520638333023183</v>
      </c>
      <c r="K36" s="63">
        <v>-6.7861721235359676E-2</v>
      </c>
      <c r="L36" s="63">
        <v>-0.1617076241198987</v>
      </c>
      <c r="M36" s="2">
        <v>-0.12971631821517587</v>
      </c>
      <c r="N36" s="2">
        <v>0.99999999999999734</v>
      </c>
      <c r="O36" s="64"/>
      <c r="R36" s="46" t="str">
        <f t="shared" si="10"/>
        <v>Emerging market debt</v>
      </c>
      <c r="S36" s="47">
        <f t="shared" si="11"/>
        <v>5.1174023303065183E-3</v>
      </c>
      <c r="T36" s="47">
        <f t="shared" si="12"/>
        <v>8.4777929629730724E-3</v>
      </c>
      <c r="U36" s="47">
        <f t="shared" si="13"/>
        <v>5.0885203158326803E-3</v>
      </c>
      <c r="AA36" s="47"/>
      <c r="AB36" s="47"/>
      <c r="AC36" s="47"/>
      <c r="AD36" s="47"/>
    </row>
    <row r="37" spans="1:30">
      <c r="A37" s="54" t="str">
        <f t="shared" si="9"/>
        <v>Aandelen ontwikkeld</v>
      </c>
      <c r="B37" s="1">
        <v>3.2570713579514895E-4</v>
      </c>
      <c r="C37" s="49">
        <v>5.3462815314748026E-4</v>
      </c>
      <c r="D37" s="50">
        <v>1.2907178347474162E-5</v>
      </c>
      <c r="E37" s="1">
        <v>1.0874476476746103E-4</v>
      </c>
      <c r="F37" s="51">
        <v>4.1546894876086317E-4</v>
      </c>
      <c r="G37" s="63">
        <v>-9.5847666017417053E-4</v>
      </c>
      <c r="H37" s="63">
        <v>-4.2754131157911575E-3</v>
      </c>
      <c r="I37" s="63">
        <v>2.16783210381577E-3</v>
      </c>
      <c r="J37" s="63">
        <v>-2.6868969170335691E-3</v>
      </c>
      <c r="K37" s="63">
        <v>1.71358581562218E-2</v>
      </c>
      <c r="L37" s="63">
        <v>6.1081915770190898E-2</v>
      </c>
      <c r="M37" s="2">
        <v>1</v>
      </c>
      <c r="N37" s="2">
        <v>0.99999999999986688</v>
      </c>
      <c r="O37" s="64"/>
      <c r="R37" s="46" t="str">
        <f t="shared" si="10"/>
        <v>Aandelen ontwikkeld</v>
      </c>
      <c r="S37" s="47">
        <f t="shared" si="11"/>
        <v>1.2907178347474162E-5</v>
      </c>
      <c r="T37" s="47">
        <f t="shared" si="12"/>
        <v>3.127999574476748E-4</v>
      </c>
      <c r="U37" s="47">
        <f t="shared" si="13"/>
        <v>8.9761812965714221E-5</v>
      </c>
      <c r="AA37" s="47"/>
      <c r="AB37" s="47"/>
      <c r="AC37" s="47"/>
      <c r="AD37" s="47"/>
    </row>
    <row r="38" spans="1:30">
      <c r="A38" s="54" t="str">
        <f t="shared" si="9"/>
        <v>Aandelen opkomend</v>
      </c>
      <c r="B38" s="1">
        <v>1.677817707621187E-3</v>
      </c>
      <c r="C38" s="49">
        <v>1.9972994912901281E-3</v>
      </c>
      <c r="D38" s="50">
        <v>2.7108429391002652E-4</v>
      </c>
      <c r="E38" s="1">
        <v>9.8295523034614557E-4</v>
      </c>
      <c r="F38" s="51">
        <v>2.4374409755168504E-3</v>
      </c>
      <c r="G38" s="63">
        <v>-5.1435288661773456E-3</v>
      </c>
      <c r="H38" s="63">
        <v>-8.1729549398597851E-3</v>
      </c>
      <c r="I38" s="63">
        <v>1.1432592347476983E-2</v>
      </c>
      <c r="J38" s="63">
        <v>0.62556311385419017</v>
      </c>
      <c r="K38" s="63">
        <v>1</v>
      </c>
      <c r="L38" s="63">
        <v>-0.18765738361769826</v>
      </c>
      <c r="M38" s="2">
        <v>-0.14409451695638989</v>
      </c>
      <c r="N38" s="2">
        <v>0.99999999999998912</v>
      </c>
      <c r="O38" s="64"/>
      <c r="R38" s="46" t="str">
        <f t="shared" si="10"/>
        <v>Aandelen opkomend</v>
      </c>
      <c r="S38" s="47">
        <f t="shared" si="11"/>
        <v>2.7108429391002652E-4</v>
      </c>
      <c r="T38" s="47">
        <f t="shared" si="12"/>
        <v>1.4067334137111605E-3</v>
      </c>
      <c r="U38" s="47">
        <f t="shared" si="13"/>
        <v>7.596232678956634E-4</v>
      </c>
      <c r="AA38" s="47"/>
      <c r="AB38" s="47"/>
      <c r="AC38" s="47"/>
      <c r="AD38" s="47"/>
    </row>
    <row r="39" spans="1:30">
      <c r="A39" s="54" t="str">
        <f t="shared" si="9"/>
        <v>Commodities</v>
      </c>
      <c r="B39" s="1">
        <v>0.19346840744270685</v>
      </c>
      <c r="C39" s="49">
        <v>3.9959253207484162E-2</v>
      </c>
      <c r="D39" s="50">
        <v>0.16339629983999532</v>
      </c>
      <c r="E39" s="1">
        <v>0.19581357387615095</v>
      </c>
      <c r="F39" s="51">
        <v>0.22755348375183077</v>
      </c>
      <c r="G39" s="63">
        <v>-0.8831119695235542</v>
      </c>
      <c r="H39" s="63">
        <v>-0.54513418024124971</v>
      </c>
      <c r="I39" s="63">
        <v>-0.38692846728538988</v>
      </c>
      <c r="J39" s="63">
        <v>-0.4143186808748433</v>
      </c>
      <c r="K39" s="63">
        <v>-7.4528776698736657E-2</v>
      </c>
      <c r="L39" s="63">
        <v>-0.17365418171939517</v>
      </c>
      <c r="M39" s="2">
        <v>-0.13453978068433703</v>
      </c>
      <c r="N39" s="2">
        <v>1</v>
      </c>
      <c r="O39" s="64"/>
      <c r="R39" s="46" t="str">
        <f t="shared" si="10"/>
        <v>Commodities</v>
      </c>
      <c r="S39" s="47">
        <f t="shared" si="11"/>
        <v>0.16339629983999532</v>
      </c>
      <c r="T39" s="47">
        <f t="shared" si="12"/>
        <v>3.0072107602711534E-2</v>
      </c>
      <c r="U39" s="47">
        <f t="shared" si="13"/>
        <v>3.4085076309123913E-2</v>
      </c>
      <c r="AA39" s="47"/>
      <c r="AB39" s="47"/>
      <c r="AC39" s="47"/>
      <c r="AD39" s="47"/>
    </row>
    <row r="40" spans="1:30">
      <c r="A40" s="54" t="str">
        <f t="shared" si="9"/>
        <v>Hedge funds</v>
      </c>
      <c r="B40" s="1">
        <v>5.0365343344510854E-3</v>
      </c>
      <c r="C40" s="49">
        <v>5.245285373496898E-3</v>
      </c>
      <c r="D40" s="50">
        <v>1.2613832892028715E-3</v>
      </c>
      <c r="E40" s="1">
        <v>3.5554014467704897E-3</v>
      </c>
      <c r="F40" s="51">
        <v>6.6327672947640859E-3</v>
      </c>
      <c r="G40" s="63">
        <v>-3.1236851366311446E-2</v>
      </c>
      <c r="H40" s="63">
        <v>-1.6419498041326402E-2</v>
      </c>
      <c r="I40" s="63">
        <v>1</v>
      </c>
      <c r="J40" s="63">
        <v>-0.46940008826335683</v>
      </c>
      <c r="K40" s="63">
        <v>-5.613641060213697E-2</v>
      </c>
      <c r="L40" s="63">
        <v>-0.16347197811549152</v>
      </c>
      <c r="M40" s="2">
        <v>-0.13567093857543708</v>
      </c>
      <c r="N40" s="2">
        <v>0.99999999999999867</v>
      </c>
      <c r="O40" s="64"/>
      <c r="R40" s="46" t="str">
        <f t="shared" si="10"/>
        <v>Hedge funds</v>
      </c>
      <c r="S40" s="47">
        <f t="shared" si="11"/>
        <v>1.2613832892028715E-3</v>
      </c>
      <c r="T40" s="47">
        <f t="shared" si="12"/>
        <v>3.7751510452482141E-3</v>
      </c>
      <c r="U40" s="47">
        <f t="shared" si="13"/>
        <v>1.5962329603130005E-3</v>
      </c>
    </row>
    <row r="41" spans="1:30">
      <c r="A41" s="54" t="str">
        <f t="shared" si="9"/>
        <v>Onroerend goed</v>
      </c>
      <c r="B41" s="1">
        <v>7.0784981664355267E-4</v>
      </c>
      <c r="C41" s="49">
        <v>9.0525200038224214E-4</v>
      </c>
      <c r="D41" s="50">
        <v>9.0112776773304418E-5</v>
      </c>
      <c r="E41" s="1">
        <v>3.3469627245593097E-4</v>
      </c>
      <c r="F41" s="51">
        <v>1.0108229809801376E-3</v>
      </c>
      <c r="G41" s="63">
        <v>-2.8225768919066304E-3</v>
      </c>
      <c r="H41" s="63">
        <v>-7.907023119075221E-3</v>
      </c>
      <c r="I41" s="63">
        <v>-3.2162309166199974E-3</v>
      </c>
      <c r="J41" s="63">
        <v>4.4529690107389198E-2</v>
      </c>
      <c r="K41" s="63">
        <v>-9.9666535130040323E-3</v>
      </c>
      <c r="L41" s="63">
        <v>1</v>
      </c>
      <c r="M41" s="2">
        <v>-0.20198415341502848</v>
      </c>
      <c r="N41" s="2">
        <v>0.99999999999995148</v>
      </c>
      <c r="O41" s="64"/>
      <c r="R41" s="46" t="str">
        <f t="shared" si="10"/>
        <v>Onroerend goed</v>
      </c>
      <c r="S41" s="47">
        <f t="shared" si="11"/>
        <v>9.0112776773304418E-5</v>
      </c>
      <c r="T41" s="47">
        <f t="shared" si="12"/>
        <v>6.1773703987024831E-4</v>
      </c>
      <c r="U41" s="47">
        <f t="shared" si="13"/>
        <v>3.0297316433658492E-4</v>
      </c>
    </row>
    <row r="42" spans="1:30">
      <c r="A42" s="54" t="str">
        <f t="shared" si="9"/>
        <v>Periferie bonds</v>
      </c>
      <c r="B42" s="1"/>
      <c r="C42" s="49"/>
      <c r="D42" s="50"/>
      <c r="E42" s="1"/>
      <c r="F42" s="51"/>
      <c r="G42" s="63"/>
      <c r="H42" s="63"/>
      <c r="I42" s="63"/>
      <c r="J42" s="63"/>
      <c r="K42" s="63"/>
      <c r="L42" s="63"/>
      <c r="M42" s="2"/>
      <c r="N42" s="2"/>
      <c r="O42" s="64"/>
      <c r="R42" s="46" t="str">
        <f t="shared" si="10"/>
        <v>Periferie bonds</v>
      </c>
      <c r="S42" s="47">
        <f t="shared" si="11"/>
        <v>0</v>
      </c>
      <c r="T42" s="47">
        <f t="shared" si="12"/>
        <v>0</v>
      </c>
      <c r="U42" s="47">
        <f t="shared" si="13"/>
        <v>0</v>
      </c>
    </row>
    <row r="43" spans="1:30">
      <c r="A43" s="54" t="str">
        <f t="shared" si="9"/>
        <v/>
      </c>
      <c r="B43" s="1"/>
      <c r="C43" s="49"/>
      <c r="D43" s="50"/>
      <c r="E43" s="1"/>
      <c r="F43" s="51"/>
      <c r="G43" s="63"/>
      <c r="H43" s="63"/>
      <c r="I43" s="63"/>
      <c r="J43" s="63"/>
      <c r="K43" s="63"/>
      <c r="L43" s="63"/>
      <c r="M43" s="2"/>
      <c r="N43" s="2"/>
      <c r="O43" s="64"/>
      <c r="R43" s="46" t="str">
        <f t="shared" si="10"/>
        <v/>
      </c>
      <c r="S43" s="47" t="str">
        <f t="shared" si="11"/>
        <v/>
      </c>
      <c r="T43" s="47" t="str">
        <f t="shared" si="12"/>
        <v/>
      </c>
      <c r="U43" s="47" t="str">
        <f t="shared" si="13"/>
        <v/>
      </c>
    </row>
    <row r="44" spans="1:30">
      <c r="A44" s="54" t="str">
        <f t="shared" si="9"/>
        <v/>
      </c>
      <c r="B44" s="1"/>
      <c r="C44" s="49"/>
      <c r="D44" s="50"/>
      <c r="E44" s="1"/>
      <c r="F44" s="51"/>
      <c r="G44" s="63"/>
      <c r="H44" s="63"/>
      <c r="I44" s="63"/>
      <c r="J44" s="63"/>
      <c r="K44" s="63"/>
      <c r="L44" s="63"/>
      <c r="M44" s="2"/>
      <c r="N44" s="2"/>
      <c r="O44" s="64"/>
      <c r="R44" s="46" t="str">
        <f t="shared" si="10"/>
        <v/>
      </c>
      <c r="S44" s="47" t="str">
        <f t="shared" si="11"/>
        <v/>
      </c>
      <c r="T44" s="47" t="str">
        <f t="shared" si="12"/>
        <v/>
      </c>
      <c r="U44" s="47" t="str">
        <f t="shared" si="13"/>
        <v/>
      </c>
    </row>
    <row r="45" spans="1:30">
      <c r="A45" s="55" t="str">
        <f t="shared" si="9"/>
        <v/>
      </c>
      <c r="B45" s="56"/>
      <c r="C45" s="57"/>
      <c r="D45" s="58"/>
      <c r="E45" s="56"/>
      <c r="F45" s="59"/>
      <c r="G45" s="65"/>
      <c r="H45" s="65"/>
      <c r="I45" s="65"/>
      <c r="J45" s="65"/>
      <c r="K45" s="65"/>
      <c r="L45" s="65"/>
      <c r="M45" s="60"/>
      <c r="N45" s="60"/>
      <c r="O45" s="66"/>
      <c r="R45" s="46" t="str">
        <f t="shared" si="10"/>
        <v/>
      </c>
      <c r="S45" s="47" t="str">
        <f t="shared" si="11"/>
        <v/>
      </c>
      <c r="T45" s="47" t="str">
        <f t="shared" si="12"/>
        <v/>
      </c>
      <c r="U45" s="47" t="str">
        <f t="shared" si="13"/>
        <v/>
      </c>
    </row>
    <row r="46" spans="1:30">
      <c r="A46" s="62"/>
      <c r="B46" s="1"/>
      <c r="C46" s="1"/>
      <c r="D46" s="1"/>
      <c r="E46" s="1"/>
      <c r="F46" s="63"/>
      <c r="G46" s="63"/>
      <c r="H46" s="63"/>
      <c r="I46" s="63"/>
      <c r="J46" s="63"/>
      <c r="K46" s="63"/>
      <c r="L46" s="63"/>
      <c r="M46" s="63"/>
      <c r="N46" s="63"/>
      <c r="O46" s="63"/>
    </row>
    <row r="47" spans="1:30">
      <c r="D47" s="394" t="s">
        <v>64</v>
      </c>
      <c r="E47" s="395"/>
      <c r="F47" s="396"/>
      <c r="G47" s="394" t="s">
        <v>65</v>
      </c>
      <c r="H47" s="395"/>
      <c r="I47" s="395"/>
      <c r="J47" s="395"/>
      <c r="K47" s="395"/>
      <c r="L47" s="395"/>
      <c r="M47" s="395"/>
      <c r="N47" s="395"/>
      <c r="O47" s="396"/>
    </row>
    <row r="48" spans="1:30">
      <c r="A48" s="237" t="str">
        <f>Optimalisatie!A23</f>
        <v>Base - muddle up</v>
      </c>
      <c r="B48" s="238" t="s">
        <v>1</v>
      </c>
      <c r="C48" s="239" t="s">
        <v>2</v>
      </c>
      <c r="D48" s="240">
        <v>0.25</v>
      </c>
      <c r="E48" s="241">
        <v>0.5</v>
      </c>
      <c r="F48" s="242">
        <v>0.75</v>
      </c>
      <c r="G48" s="243">
        <v>0.78871922360021518</v>
      </c>
      <c r="H48" s="243">
        <v>0.13662749436942745</v>
      </c>
      <c r="I48" s="243">
        <v>3.7109636704326543E-2</v>
      </c>
      <c r="J48" s="243">
        <v>1.8359758608281651E-2</v>
      </c>
      <c r="K48" s="243">
        <v>1.1232378418607136E-2</v>
      </c>
      <c r="L48" s="243">
        <v>6.5060368190501539E-3</v>
      </c>
      <c r="M48" s="243">
        <v>1.4454714800923307E-3</v>
      </c>
      <c r="N48" s="243">
        <v>-2.2204460492503131E-16</v>
      </c>
      <c r="O48" s="244">
        <v>-2.2204460492503131E-16</v>
      </c>
      <c r="R48" s="46" t="str">
        <f>A48</f>
        <v>Base - muddle up</v>
      </c>
      <c r="S48" s="46"/>
      <c r="T48" s="47"/>
      <c r="U48" s="46"/>
      <c r="AA48" s="47"/>
      <c r="AB48" s="47"/>
      <c r="AC48" s="47"/>
      <c r="AD48" s="47"/>
    </row>
    <row r="49" spans="1:30">
      <c r="A49" s="54" t="str">
        <f>IF(A34&lt;&gt;"",A34,"")</f>
        <v>Nominale matching</v>
      </c>
      <c r="B49" s="1">
        <v>0.50224217822971995</v>
      </c>
      <c r="C49" s="49">
        <v>2.7294445320792882E-2</v>
      </c>
      <c r="D49" s="50">
        <v>0.48221556051732301</v>
      </c>
      <c r="E49" s="1">
        <v>0.49946483614639714</v>
      </c>
      <c r="F49" s="51">
        <v>0.51904534970287974</v>
      </c>
      <c r="G49" s="2">
        <v>-0.41577588942961319</v>
      </c>
      <c r="H49" s="2">
        <v>7.481061156838513E-2</v>
      </c>
      <c r="I49" s="2">
        <v>-0.39688477319286353</v>
      </c>
      <c r="J49" s="2">
        <v>-0.15657973245735549</v>
      </c>
      <c r="K49" s="2">
        <v>0.1588307163732709</v>
      </c>
      <c r="L49" s="2">
        <v>-0.31760354056969964</v>
      </c>
      <c r="M49" s="2">
        <v>1</v>
      </c>
      <c r="N49" s="2">
        <v>1</v>
      </c>
      <c r="O49" s="52"/>
      <c r="R49" s="46" t="str">
        <f>IF(A49&lt;&gt;"",A49,"")</f>
        <v>Nominale matching</v>
      </c>
      <c r="S49" s="47">
        <f>IF(A49&lt;&gt;"",D49,"")</f>
        <v>0.48221556051732301</v>
      </c>
      <c r="T49" s="47">
        <f>IF(A49&lt;&gt;"",B49-D49,"")</f>
        <v>2.0026617712396944E-2</v>
      </c>
      <c r="U49" s="47">
        <f>IF(A49&lt;&gt;"",F49-B49,"")</f>
        <v>1.6803171473159795E-2</v>
      </c>
      <c r="AA49" s="47"/>
      <c r="AB49" s="47"/>
      <c r="AC49" s="47"/>
      <c r="AD49" s="47"/>
    </row>
    <row r="50" spans="1:30">
      <c r="A50" s="54" t="str">
        <f t="shared" ref="A50:A60" si="14">IF(A35&lt;&gt;"",A35,"")</f>
        <v>High Yield</v>
      </c>
      <c r="B50" s="1">
        <v>0.35478962257899305</v>
      </c>
      <c r="C50" s="49">
        <v>6.3800563928549756E-2</v>
      </c>
      <c r="D50" s="50">
        <v>0.31098204076122105</v>
      </c>
      <c r="E50" s="1">
        <v>0.35882680299595404</v>
      </c>
      <c r="F50" s="51">
        <v>0.3994292776455613</v>
      </c>
      <c r="G50" s="2">
        <v>1</v>
      </c>
      <c r="H50" s="2">
        <v>-0.14512687884780417</v>
      </c>
      <c r="I50" s="2">
        <v>-0.28155621835310524</v>
      </c>
      <c r="J50" s="2">
        <v>-0.23816705716560296</v>
      </c>
      <c r="K50" s="2">
        <v>-0.10999650438436712</v>
      </c>
      <c r="L50" s="2">
        <v>-0.15503126329848343</v>
      </c>
      <c r="M50" s="2">
        <v>8.5357946865054463E-2</v>
      </c>
      <c r="N50" s="2">
        <v>0.99999999999991684</v>
      </c>
      <c r="O50" s="52"/>
      <c r="R50" s="46" t="str">
        <f t="shared" ref="R50:R60" si="15">IF(A50&lt;&gt;"",A50,"")</f>
        <v>High Yield</v>
      </c>
      <c r="S50" s="47">
        <f t="shared" ref="S50:S60" si="16">IF(A50&lt;&gt;"",D50,"")</f>
        <v>0.31098204076122105</v>
      </c>
      <c r="T50" s="47">
        <f t="shared" ref="T50:T60" si="17">IF(A50&lt;&gt;"",B50-D50,"")</f>
        <v>4.3807581817772001E-2</v>
      </c>
      <c r="U50" s="47">
        <f t="shared" ref="U50:U60" si="18">IF(A50&lt;&gt;"",F50-B50,"")</f>
        <v>4.4639655066568251E-2</v>
      </c>
      <c r="AA50" s="47"/>
      <c r="AB50" s="47"/>
      <c r="AC50" s="47"/>
      <c r="AD50" s="47"/>
    </row>
    <row r="51" spans="1:30">
      <c r="A51" s="54" t="str">
        <f t="shared" si="14"/>
        <v>Emerging market debt</v>
      </c>
      <c r="B51" s="1">
        <v>7.5078569998237024E-3</v>
      </c>
      <c r="C51" s="49">
        <v>6.2695299140085748E-3</v>
      </c>
      <c r="D51" s="50">
        <v>2.4598822319072703E-3</v>
      </c>
      <c r="E51" s="1">
        <v>6.1025756373224854E-3</v>
      </c>
      <c r="F51" s="51">
        <v>1.0555692085699208E-2</v>
      </c>
      <c r="G51" s="2">
        <v>8.9472545995746542E-4</v>
      </c>
      <c r="H51" s="2">
        <v>-5.8299802010407138E-3</v>
      </c>
      <c r="I51" s="2">
        <v>-3.2743705646323458E-2</v>
      </c>
      <c r="J51" s="2">
        <v>4.707837238107121E-2</v>
      </c>
      <c r="K51" s="2">
        <v>8.531691205240409E-2</v>
      </c>
      <c r="L51" s="2">
        <v>1</v>
      </c>
      <c r="M51" s="2">
        <v>0.25085944604142024</v>
      </c>
      <c r="N51" s="2">
        <v>0.99999999999991651</v>
      </c>
      <c r="O51" s="52"/>
      <c r="R51" s="46" t="str">
        <f t="shared" si="15"/>
        <v>Emerging market debt</v>
      </c>
      <c r="S51" s="47">
        <f t="shared" si="16"/>
        <v>2.4598822319072703E-3</v>
      </c>
      <c r="T51" s="47">
        <f t="shared" si="17"/>
        <v>5.047974767916432E-3</v>
      </c>
      <c r="U51" s="47">
        <f t="shared" si="18"/>
        <v>3.047835085875506E-3</v>
      </c>
      <c r="AA51" s="47"/>
      <c r="AB51" s="47"/>
      <c r="AC51" s="47"/>
      <c r="AD51" s="47"/>
    </row>
    <row r="52" spans="1:30">
      <c r="A52" s="54" t="str">
        <f t="shared" si="14"/>
        <v>Aandelen ontwikkeld</v>
      </c>
      <c r="B52" s="1">
        <v>8.011986515903775E-3</v>
      </c>
      <c r="C52" s="49">
        <v>7.9100345860492367E-3</v>
      </c>
      <c r="D52" s="50">
        <v>2.0305495539164053E-3</v>
      </c>
      <c r="E52" s="1">
        <v>5.5614344137194767E-3</v>
      </c>
      <c r="F52" s="51">
        <v>1.1729675859151027E-2</v>
      </c>
      <c r="G52" s="2">
        <v>-1.506833580378366E-3</v>
      </c>
      <c r="H52" s="2">
        <v>-5.5364827147361042E-3</v>
      </c>
      <c r="I52" s="2">
        <v>3.1011494773012047E-2</v>
      </c>
      <c r="J52" s="2">
        <v>0.24105648262007182</v>
      </c>
      <c r="K52" s="2">
        <v>1</v>
      </c>
      <c r="L52" s="2">
        <v>-0.15699570299117846</v>
      </c>
      <c r="M52" s="2">
        <v>-0.47781938186171946</v>
      </c>
      <c r="N52" s="2">
        <v>0.99999999999986666</v>
      </c>
      <c r="O52" s="52"/>
      <c r="R52" s="46" t="str">
        <f t="shared" si="15"/>
        <v>Aandelen ontwikkeld</v>
      </c>
      <c r="S52" s="47">
        <f t="shared" si="16"/>
        <v>2.0305495539164053E-3</v>
      </c>
      <c r="T52" s="47">
        <f t="shared" si="17"/>
        <v>5.9814369619873697E-3</v>
      </c>
      <c r="U52" s="47">
        <f t="shared" si="18"/>
        <v>3.7176893432472515E-3</v>
      </c>
      <c r="AA52" s="47"/>
      <c r="AB52" s="47"/>
      <c r="AC52" s="47"/>
      <c r="AD52" s="47"/>
    </row>
    <row r="53" spans="1:30">
      <c r="A53" s="54" t="str">
        <f t="shared" si="14"/>
        <v>Aandelen opkomend</v>
      </c>
      <c r="B53" s="1">
        <v>3.3884336998753976E-2</v>
      </c>
      <c r="C53" s="49">
        <v>2.6176398538210664E-2</v>
      </c>
      <c r="D53" s="50">
        <v>1.3252922402653841E-2</v>
      </c>
      <c r="E53" s="1">
        <v>2.6706570024498999E-2</v>
      </c>
      <c r="F53" s="51">
        <v>5.0354547339143393E-2</v>
      </c>
      <c r="G53" s="2">
        <v>-0.16893817798355004</v>
      </c>
      <c r="H53" s="2">
        <v>1</v>
      </c>
      <c r="I53" s="2">
        <v>-0.13190838951910661</v>
      </c>
      <c r="J53" s="2">
        <v>-0.29237827953004314</v>
      </c>
      <c r="K53" s="2">
        <v>-0.29037128067198154</v>
      </c>
      <c r="L53" s="2">
        <v>-3.6142182511189516E-2</v>
      </c>
      <c r="M53" s="2">
        <v>-0.53359228441493245</v>
      </c>
      <c r="N53" s="2">
        <v>0.99999999999985867</v>
      </c>
      <c r="O53" s="52"/>
      <c r="R53" s="46" t="str">
        <f t="shared" si="15"/>
        <v>Aandelen opkomend</v>
      </c>
      <c r="S53" s="47">
        <f t="shared" si="16"/>
        <v>1.3252922402653841E-2</v>
      </c>
      <c r="T53" s="47">
        <f t="shared" si="17"/>
        <v>2.0631414596100135E-2</v>
      </c>
      <c r="U53" s="47">
        <f t="shared" si="18"/>
        <v>1.6470210340389417E-2</v>
      </c>
      <c r="AA53" s="47"/>
      <c r="AB53" s="47"/>
      <c r="AC53" s="47"/>
      <c r="AD53" s="47"/>
    </row>
    <row r="54" spans="1:30">
      <c r="A54" s="54" t="str">
        <f t="shared" si="14"/>
        <v>Commodities</v>
      </c>
      <c r="B54" s="1">
        <v>6.3345782262113653E-2</v>
      </c>
      <c r="C54" s="49">
        <v>3.3139051000478731E-2</v>
      </c>
      <c r="D54" s="50">
        <v>3.9491191388218876E-2</v>
      </c>
      <c r="E54" s="1">
        <v>6.2487136209745484E-2</v>
      </c>
      <c r="F54" s="51">
        <v>8.678586126620659E-2</v>
      </c>
      <c r="G54" s="2">
        <v>-0.41142171175099024</v>
      </c>
      <c r="H54" s="2">
        <v>-0.83933776507164748</v>
      </c>
      <c r="I54" s="2">
        <v>-0.20653070137652096</v>
      </c>
      <c r="J54" s="2">
        <v>-0.33873552910488325</v>
      </c>
      <c r="K54" s="2">
        <v>-0.29992079219807799</v>
      </c>
      <c r="L54" s="2">
        <v>-3.6692281198862281E-2</v>
      </c>
      <c r="M54" s="2">
        <v>-0.57564627915234079</v>
      </c>
      <c r="N54" s="2">
        <v>0.99999999999985612</v>
      </c>
      <c r="O54" s="52"/>
      <c r="R54" s="46" t="str">
        <f t="shared" si="15"/>
        <v>Commodities</v>
      </c>
      <c r="S54" s="47">
        <f t="shared" si="16"/>
        <v>3.9491191388218876E-2</v>
      </c>
      <c r="T54" s="47">
        <f t="shared" si="17"/>
        <v>2.3854590873894778E-2</v>
      </c>
      <c r="U54" s="47">
        <f t="shared" si="18"/>
        <v>2.3440079004092937E-2</v>
      </c>
      <c r="AA54" s="47"/>
      <c r="AB54" s="47"/>
      <c r="AC54" s="47"/>
      <c r="AD54" s="47"/>
    </row>
    <row r="55" spans="1:30">
      <c r="A55" s="54" t="str">
        <f t="shared" si="14"/>
        <v>Hedge funds</v>
      </c>
      <c r="B55" s="1">
        <v>1.8918343350395002E-2</v>
      </c>
      <c r="C55" s="49">
        <v>1.449354081492692E-2</v>
      </c>
      <c r="D55" s="50">
        <v>7.8922602013887927E-3</v>
      </c>
      <c r="E55" s="1">
        <v>1.551744764950307E-2</v>
      </c>
      <c r="F55" s="51">
        <v>2.6628649600344164E-2</v>
      </c>
      <c r="G55" s="2">
        <v>9.6007684858659369E-3</v>
      </c>
      <c r="H55" s="2">
        <v>-5.2130285383018234E-2</v>
      </c>
      <c r="I55" s="2">
        <v>1</v>
      </c>
      <c r="J55" s="2">
        <v>-0.26227425674325561</v>
      </c>
      <c r="K55" s="2">
        <v>-8.7909604610728997E-2</v>
      </c>
      <c r="L55" s="2">
        <v>-0.14153160651040353</v>
      </c>
      <c r="M55" s="2">
        <v>0.2547486041698428</v>
      </c>
      <c r="N55" s="2">
        <v>0.99999999999992806</v>
      </c>
      <c r="O55" s="52"/>
      <c r="R55" s="46" t="str">
        <f t="shared" si="15"/>
        <v>Hedge funds</v>
      </c>
      <c r="S55" s="47">
        <f t="shared" si="16"/>
        <v>7.8922602013887927E-3</v>
      </c>
      <c r="T55" s="47">
        <f t="shared" si="17"/>
        <v>1.1026083149006209E-2</v>
      </c>
      <c r="U55" s="47">
        <f t="shared" si="18"/>
        <v>7.7103062499491622E-3</v>
      </c>
    </row>
    <row r="56" spans="1:30">
      <c r="A56" s="54" t="str">
        <f t="shared" si="14"/>
        <v>Onroerend goed</v>
      </c>
      <c r="B56" s="1">
        <v>1.1299893064296632E-2</v>
      </c>
      <c r="C56" s="49">
        <v>1.0237036751756622E-2</v>
      </c>
      <c r="D56" s="50">
        <v>3.3790541981335341E-3</v>
      </c>
      <c r="E56" s="1">
        <v>8.3616457235650855E-3</v>
      </c>
      <c r="F56" s="51">
        <v>1.6329560621621258E-2</v>
      </c>
      <c r="G56" s="2">
        <v>-1.285288120129219E-2</v>
      </c>
      <c r="H56" s="2">
        <v>-2.6849219350138082E-2</v>
      </c>
      <c r="I56" s="2">
        <v>1.8612293314911193E-2</v>
      </c>
      <c r="J56" s="2">
        <v>1</v>
      </c>
      <c r="K56" s="2">
        <v>-0.45594944656052211</v>
      </c>
      <c r="L56" s="2">
        <v>-0.15600342292016972</v>
      </c>
      <c r="M56" s="2">
        <v>-3.9080516475019965E-3</v>
      </c>
      <c r="N56" s="2">
        <v>0.99999999999990485</v>
      </c>
      <c r="O56" s="52"/>
      <c r="R56" s="46" t="str">
        <f t="shared" si="15"/>
        <v>Onroerend goed</v>
      </c>
      <c r="S56" s="47">
        <f t="shared" si="16"/>
        <v>3.3790541981335341E-3</v>
      </c>
      <c r="T56" s="47">
        <f t="shared" si="17"/>
        <v>7.9208388661630991E-3</v>
      </c>
      <c r="U56" s="47">
        <f t="shared" si="18"/>
        <v>5.0296675573246255E-3</v>
      </c>
    </row>
    <row r="57" spans="1:30">
      <c r="A57" s="54" t="str">
        <f t="shared" si="14"/>
        <v>Periferie bonds</v>
      </c>
      <c r="B57" s="1"/>
      <c r="C57" s="49"/>
      <c r="D57" s="50"/>
      <c r="E57" s="1"/>
      <c r="F57" s="51"/>
      <c r="G57" s="2"/>
      <c r="H57" s="2"/>
      <c r="I57" s="2"/>
      <c r="J57" s="2"/>
      <c r="K57" s="2"/>
      <c r="L57" s="2"/>
      <c r="M57" s="2"/>
      <c r="N57" s="2"/>
      <c r="O57" s="52"/>
      <c r="R57" s="46" t="str">
        <f t="shared" si="15"/>
        <v>Periferie bonds</v>
      </c>
      <c r="S57" s="47">
        <f t="shared" si="16"/>
        <v>0</v>
      </c>
      <c r="T57" s="47">
        <f t="shared" si="17"/>
        <v>0</v>
      </c>
      <c r="U57" s="47">
        <f t="shared" si="18"/>
        <v>0</v>
      </c>
    </row>
    <row r="58" spans="1:30">
      <c r="A58" s="54" t="str">
        <f t="shared" si="14"/>
        <v/>
      </c>
      <c r="B58" s="1"/>
      <c r="C58" s="49"/>
      <c r="D58" s="50"/>
      <c r="E58" s="1"/>
      <c r="F58" s="51"/>
      <c r="G58" s="2"/>
      <c r="H58" s="2"/>
      <c r="I58" s="2"/>
      <c r="J58" s="2"/>
      <c r="K58" s="2"/>
      <c r="L58" s="2"/>
      <c r="M58" s="2"/>
      <c r="N58" s="2"/>
      <c r="O58" s="52"/>
      <c r="R58" s="46" t="str">
        <f t="shared" si="15"/>
        <v/>
      </c>
      <c r="S58" s="47" t="str">
        <f t="shared" si="16"/>
        <v/>
      </c>
      <c r="T58" s="47" t="str">
        <f t="shared" si="17"/>
        <v/>
      </c>
      <c r="U58" s="47" t="str">
        <f t="shared" si="18"/>
        <v/>
      </c>
    </row>
    <row r="59" spans="1:30">
      <c r="A59" s="54" t="str">
        <f t="shared" si="14"/>
        <v/>
      </c>
      <c r="B59" s="1"/>
      <c r="C59" s="49"/>
      <c r="D59" s="50"/>
      <c r="E59" s="1"/>
      <c r="F59" s="51"/>
      <c r="G59" s="2"/>
      <c r="H59" s="2"/>
      <c r="I59" s="2"/>
      <c r="J59" s="2"/>
      <c r="K59" s="2"/>
      <c r="L59" s="2"/>
      <c r="M59" s="2"/>
      <c r="N59" s="2"/>
      <c r="O59" s="52"/>
      <c r="R59" s="46" t="str">
        <f t="shared" si="15"/>
        <v/>
      </c>
      <c r="S59" s="47" t="str">
        <f t="shared" si="16"/>
        <v/>
      </c>
      <c r="T59" s="47" t="str">
        <f t="shared" si="17"/>
        <v/>
      </c>
      <c r="U59" s="47" t="str">
        <f t="shared" si="18"/>
        <v/>
      </c>
    </row>
    <row r="60" spans="1:30">
      <c r="A60" s="55" t="str">
        <f t="shared" si="14"/>
        <v/>
      </c>
      <c r="B60" s="56"/>
      <c r="C60" s="57"/>
      <c r="D60" s="58"/>
      <c r="E60" s="56"/>
      <c r="F60" s="59"/>
      <c r="G60" s="60"/>
      <c r="H60" s="60"/>
      <c r="I60" s="60"/>
      <c r="J60" s="60"/>
      <c r="K60" s="60"/>
      <c r="L60" s="60"/>
      <c r="M60" s="60"/>
      <c r="N60" s="60"/>
      <c r="O60" s="61"/>
      <c r="R60" s="46" t="str">
        <f t="shared" si="15"/>
        <v/>
      </c>
      <c r="S60" s="47" t="str">
        <f t="shared" si="16"/>
        <v/>
      </c>
      <c r="T60" s="47" t="str">
        <f t="shared" si="17"/>
        <v/>
      </c>
      <c r="U60" s="47" t="str">
        <f t="shared" si="18"/>
        <v/>
      </c>
    </row>
    <row r="61" spans="1:30">
      <c r="A61" s="62"/>
      <c r="B61" s="1"/>
      <c r="C61" s="1"/>
      <c r="D61" s="1"/>
      <c r="E61" s="1"/>
      <c r="F61" s="63"/>
      <c r="G61" s="63"/>
      <c r="H61" s="63"/>
      <c r="I61" s="63"/>
      <c r="J61" s="63"/>
      <c r="K61" s="63"/>
      <c r="L61" s="63"/>
      <c r="M61" s="63"/>
      <c r="N61" s="63"/>
      <c r="O61" s="63"/>
    </row>
    <row r="62" spans="1:30">
      <c r="D62" s="394" t="s">
        <v>64</v>
      </c>
      <c r="E62" s="395"/>
      <c r="F62" s="396"/>
      <c r="G62" s="394" t="s">
        <v>65</v>
      </c>
      <c r="H62" s="395"/>
      <c r="I62" s="395"/>
      <c r="J62" s="395"/>
      <c r="K62" s="395"/>
      <c r="L62" s="395"/>
      <c r="M62" s="395"/>
      <c r="N62" s="395"/>
      <c r="O62" s="396"/>
    </row>
    <row r="63" spans="1:30">
      <c r="A63" s="237" t="str">
        <f>Optimalisatie!A24</f>
        <v>Bear case</v>
      </c>
      <c r="B63" s="238" t="s">
        <v>1</v>
      </c>
      <c r="C63" s="239" t="s">
        <v>2</v>
      </c>
      <c r="D63" s="240">
        <v>0.25</v>
      </c>
      <c r="E63" s="241">
        <v>0.5</v>
      </c>
      <c r="F63" s="242">
        <v>0.75</v>
      </c>
      <c r="G63" s="243">
        <v>0.63167042455531885</v>
      </c>
      <c r="H63" s="243">
        <v>0.13894436854693715</v>
      </c>
      <c r="I63" s="243">
        <v>6.421693960948438E-2</v>
      </c>
      <c r="J63" s="243">
        <v>5.8277039942023934E-2</v>
      </c>
      <c r="K63" s="243">
        <v>4.8245149523757469E-2</v>
      </c>
      <c r="L63" s="243">
        <v>3.4778016924208788E-2</v>
      </c>
      <c r="M63" s="243">
        <v>2.3868060898269206E-2</v>
      </c>
      <c r="N63" s="243">
        <v>-2.2204460492503131E-16</v>
      </c>
      <c r="O63" s="244">
        <v>1.1102230246251565E-16</v>
      </c>
      <c r="R63" s="46" t="str">
        <f>A63</f>
        <v>Bear case</v>
      </c>
      <c r="S63" s="46"/>
      <c r="T63" s="47"/>
      <c r="U63" s="46"/>
      <c r="AA63" s="47"/>
      <c r="AB63" s="47"/>
      <c r="AC63" s="47"/>
      <c r="AD63" s="47"/>
    </row>
    <row r="64" spans="1:30">
      <c r="A64" s="54" t="str">
        <f>IF(A49&lt;&gt;"",A49,"")</f>
        <v>Nominale matching</v>
      </c>
      <c r="B64" s="1">
        <v>0.99951772230649738</v>
      </c>
      <c r="C64" s="49">
        <v>2.7618248141322692E-4</v>
      </c>
      <c r="D64" s="50">
        <v>0.99931780465692999</v>
      </c>
      <c r="E64" s="1">
        <v>0.99953037398481459</v>
      </c>
      <c r="F64" s="51">
        <v>0.99974379018238646</v>
      </c>
      <c r="G64" s="63">
        <v>1</v>
      </c>
      <c r="H64" s="63">
        <v>0.67992005193047256</v>
      </c>
      <c r="I64" s="63">
        <v>5.1230485358227619E-3</v>
      </c>
      <c r="J64" s="63">
        <v>-8.9064462512594172E-2</v>
      </c>
      <c r="K64" s="63">
        <v>-0.10889364460230755</v>
      </c>
      <c r="L64" s="63">
        <v>-0.1123318841786814</v>
      </c>
      <c r="M64" s="2">
        <v>-9.5388669615706967E-2</v>
      </c>
      <c r="N64" s="2">
        <v>0.99999999999994638</v>
      </c>
      <c r="O64" s="64"/>
      <c r="R64" s="46" t="str">
        <f>IF(A64&lt;&gt;"",A64,"")</f>
        <v>Nominale matching</v>
      </c>
      <c r="S64" s="47">
        <f>IF(A64&lt;&gt;"",D64,"")</f>
        <v>0.99931780465692999</v>
      </c>
      <c r="T64" s="47">
        <f>IF(A64&lt;&gt;"",B64-D64,"")</f>
        <v>1.9991764956739377E-4</v>
      </c>
      <c r="U64" s="47">
        <f>IF(A64&lt;&gt;"",F64-B64,"")</f>
        <v>2.2606787588907995E-4</v>
      </c>
      <c r="AA64" s="47"/>
      <c r="AB64" s="47"/>
      <c r="AC64" s="47"/>
      <c r="AD64" s="47"/>
    </row>
    <row r="65" spans="1:36">
      <c r="A65" s="54" t="str">
        <f t="shared" ref="A65:A75" si="19">IF(A50&lt;&gt;"",A50,"")</f>
        <v>High Yield</v>
      </c>
      <c r="B65" s="1">
        <v>6.5857399035425149E-5</v>
      </c>
      <c r="C65" s="49">
        <v>1.0687487560494308E-4</v>
      </c>
      <c r="D65" s="50">
        <v>1.0429872640552892E-6</v>
      </c>
      <c r="E65" s="1">
        <v>1.6658760365540942E-5</v>
      </c>
      <c r="F65" s="51">
        <v>8.1906410096718138E-5</v>
      </c>
      <c r="G65" s="63">
        <v>-5.9543311663538802E-2</v>
      </c>
      <c r="H65" s="63">
        <v>-0.52564096339401656</v>
      </c>
      <c r="I65" s="63">
        <v>1</v>
      </c>
      <c r="J65" s="63">
        <v>-0.42129037186085516</v>
      </c>
      <c r="K65" s="63">
        <v>-0.3518633253534349</v>
      </c>
      <c r="L65" s="63">
        <v>-0.13069474319183239</v>
      </c>
      <c r="M65" s="2">
        <v>-0.12790447352817486</v>
      </c>
      <c r="N65" s="2">
        <v>0.99999999999996159</v>
      </c>
      <c r="O65" s="64"/>
      <c r="R65" s="46" t="str">
        <f t="shared" ref="R65:R75" si="20">IF(A65&lt;&gt;"",A65,"")</f>
        <v>High Yield</v>
      </c>
      <c r="S65" s="47">
        <f t="shared" ref="S65:S75" si="21">IF(A65&lt;&gt;"",D65,"")</f>
        <v>1.0429872640552892E-6</v>
      </c>
      <c r="T65" s="47">
        <f t="shared" ref="T65:T75" si="22">IF(A65&lt;&gt;"",B65-D65,"")</f>
        <v>6.4814411771369856E-5</v>
      </c>
      <c r="U65" s="47">
        <f t="shared" ref="U65:U75" si="23">IF(A65&lt;&gt;"",F65-B65,"")</f>
        <v>1.604901106129299E-5</v>
      </c>
      <c r="AA65" s="47"/>
      <c r="AB65" s="47"/>
      <c r="AC65" s="47"/>
      <c r="AD65" s="47"/>
    </row>
    <row r="66" spans="1:36">
      <c r="A66" s="54" t="str">
        <f t="shared" si="19"/>
        <v>Emerging market debt</v>
      </c>
      <c r="B66" s="1">
        <v>6.6007038093652913E-5</v>
      </c>
      <c r="C66" s="49">
        <v>1.0645579748892662E-4</v>
      </c>
      <c r="D66" s="50">
        <v>1.0974472695264296E-6</v>
      </c>
      <c r="E66" s="1">
        <v>1.8301639810128035E-5</v>
      </c>
      <c r="F66" s="51">
        <v>8.5305053970452115E-5</v>
      </c>
      <c r="G66" s="63">
        <v>-5.8912369329685403E-2</v>
      </c>
      <c r="H66" s="63">
        <v>-0.51797181172287599</v>
      </c>
      <c r="I66" s="63">
        <v>-0.99062868831660089</v>
      </c>
      <c r="J66" s="63">
        <v>-0.48514247716617237</v>
      </c>
      <c r="K66" s="63">
        <v>-0.22282817025948354</v>
      </c>
      <c r="L66" s="63">
        <v>-0.23375420959241247</v>
      </c>
      <c r="M66" s="2">
        <v>-0.12550196637732813</v>
      </c>
      <c r="N66" s="2">
        <v>0.99999999999991684</v>
      </c>
      <c r="O66" s="64"/>
      <c r="R66" s="46" t="str">
        <f t="shared" si="20"/>
        <v>Emerging market debt</v>
      </c>
      <c r="S66" s="47">
        <f t="shared" si="21"/>
        <v>1.0974472695264296E-6</v>
      </c>
      <c r="T66" s="47">
        <f t="shared" si="22"/>
        <v>6.4909590824126478E-5</v>
      </c>
      <c r="U66" s="47">
        <f t="shared" si="23"/>
        <v>1.9298015876799201E-5</v>
      </c>
      <c r="AA66" s="47"/>
      <c r="AB66" s="47"/>
      <c r="AC66" s="47"/>
      <c r="AD66" s="47"/>
    </row>
    <row r="67" spans="1:36">
      <c r="A67" s="54" t="str">
        <f t="shared" si="19"/>
        <v>Aandelen ontwikkeld</v>
      </c>
      <c r="B67" s="1">
        <v>3.2821235226595556E-5</v>
      </c>
      <c r="C67" s="49">
        <v>6.1890540458705518E-5</v>
      </c>
      <c r="D67" s="50">
        <v>2.7601941922940682E-7</v>
      </c>
      <c r="E67" s="1">
        <v>6.1678407293092054E-6</v>
      </c>
      <c r="F67" s="51">
        <v>3.4050134770155967E-5</v>
      </c>
      <c r="G67" s="63">
        <v>-2.8888392110480547E-3</v>
      </c>
      <c r="H67" s="63">
        <v>-7.4553124080068922E-2</v>
      </c>
      <c r="I67" s="63">
        <v>-3.0797186778291669E-3</v>
      </c>
      <c r="J67" s="63">
        <v>1.4491540462356011E-3</v>
      </c>
      <c r="K67" s="63">
        <v>6.7144160727511434E-2</v>
      </c>
      <c r="L67" s="63">
        <v>0.13920734575845539</v>
      </c>
      <c r="M67" s="2">
        <v>1</v>
      </c>
      <c r="N67" s="2">
        <v>0.99999999999996936</v>
      </c>
      <c r="O67" s="64"/>
      <c r="R67" s="46" t="str">
        <f t="shared" si="20"/>
        <v>Aandelen ontwikkeld</v>
      </c>
      <c r="S67" s="47">
        <f t="shared" si="21"/>
        <v>2.7601941922940682E-7</v>
      </c>
      <c r="T67" s="47">
        <f t="shared" si="22"/>
        <v>3.2545215807366153E-5</v>
      </c>
      <c r="U67" s="47">
        <f t="shared" si="23"/>
        <v>1.2288995435604105E-6</v>
      </c>
      <c r="AA67" s="47"/>
      <c r="AB67" s="47"/>
      <c r="AC67" s="47"/>
      <c r="AD67" s="47"/>
    </row>
    <row r="68" spans="1:36">
      <c r="A68" s="54" t="str">
        <f t="shared" si="19"/>
        <v>Aandelen opkomend</v>
      </c>
      <c r="B68" s="1">
        <v>5.6499982623495601E-5</v>
      </c>
      <c r="C68" s="49">
        <v>9.6933815694907251E-5</v>
      </c>
      <c r="D68" s="50">
        <v>4.3091737891626107E-7</v>
      </c>
      <c r="E68" s="1">
        <v>1.1749223743755259E-5</v>
      </c>
      <c r="F68" s="51">
        <v>6.4073098861509278E-5</v>
      </c>
      <c r="G68" s="63">
        <v>-4.9465870943181042E-2</v>
      </c>
      <c r="H68" s="63">
        <v>-0.28249069624936241</v>
      </c>
      <c r="I68" s="63">
        <v>-5.775234479276567E-2</v>
      </c>
      <c r="J68" s="63">
        <v>1</v>
      </c>
      <c r="K68" s="63">
        <v>-0.32720049431034243</v>
      </c>
      <c r="L68" s="63">
        <v>-0.24891770126784879</v>
      </c>
      <c r="M68" s="2">
        <v>-0.10773269473207477</v>
      </c>
      <c r="N68" s="2">
        <v>0.999999999999995</v>
      </c>
      <c r="O68" s="64"/>
      <c r="R68" s="46" t="str">
        <f t="shared" si="20"/>
        <v>Aandelen opkomend</v>
      </c>
      <c r="S68" s="47">
        <f t="shared" si="21"/>
        <v>4.3091737891626107E-7</v>
      </c>
      <c r="T68" s="47">
        <f t="shared" si="22"/>
        <v>5.606906524457934E-5</v>
      </c>
      <c r="U68" s="47">
        <f t="shared" si="23"/>
        <v>7.5731162380136773E-6</v>
      </c>
      <c r="AA68" s="47"/>
      <c r="AB68" s="47"/>
      <c r="AC68" s="47"/>
      <c r="AD68" s="47"/>
    </row>
    <row r="69" spans="1:36">
      <c r="A69" s="54" t="str">
        <f t="shared" si="19"/>
        <v>Commodities</v>
      </c>
      <c r="B69" s="1">
        <v>4.1755075717608028E-5</v>
      </c>
      <c r="C69" s="49">
        <v>7.4025520063019908E-5</v>
      </c>
      <c r="D69" s="50">
        <v>3.0794709335900696E-7</v>
      </c>
      <c r="E69" s="1">
        <v>7.1073502129320125E-6</v>
      </c>
      <c r="F69" s="51">
        <v>4.4484400676418222E-5</v>
      </c>
      <c r="G69" s="63">
        <v>-2.8268015581100984E-2</v>
      </c>
      <c r="H69" s="63">
        <v>-9.8568533822621027E-2</v>
      </c>
      <c r="I69" s="63">
        <v>-7.9219385681417898E-2</v>
      </c>
      <c r="J69" s="63">
        <v>6.7628285994260892E-2</v>
      </c>
      <c r="K69" s="63">
        <v>6.9823004356098381E-2</v>
      </c>
      <c r="L69" s="63">
        <v>1</v>
      </c>
      <c r="M69" s="2">
        <v>-0.28393019206352849</v>
      </c>
      <c r="N69" s="2">
        <v>1</v>
      </c>
      <c r="O69" s="64"/>
      <c r="R69" s="46" t="str">
        <f t="shared" si="20"/>
        <v>Commodities</v>
      </c>
      <c r="S69" s="47">
        <f t="shared" si="21"/>
        <v>3.0794709335900696E-7</v>
      </c>
      <c r="T69" s="47">
        <f t="shared" si="22"/>
        <v>4.144712862424902E-5</v>
      </c>
      <c r="U69" s="47">
        <f t="shared" si="23"/>
        <v>2.7293249588101933E-6</v>
      </c>
      <c r="AA69" s="47"/>
      <c r="AB69" s="47"/>
      <c r="AC69" s="47"/>
      <c r="AD69" s="47"/>
    </row>
    <row r="70" spans="1:36">
      <c r="A70" s="54" t="str">
        <f t="shared" si="19"/>
        <v>Hedge funds</v>
      </c>
      <c r="B70" s="1">
        <v>1.6800676560255187E-4</v>
      </c>
      <c r="C70" s="49">
        <v>2.3089124414326447E-4</v>
      </c>
      <c r="D70" s="50">
        <v>6.5723379232597564E-6</v>
      </c>
      <c r="E70" s="1">
        <v>5.8487725243907854E-5</v>
      </c>
      <c r="F70" s="51">
        <v>2.3183407403589871E-4</v>
      </c>
      <c r="G70" s="63">
        <v>-0.7651690605991065</v>
      </c>
      <c r="H70" s="63">
        <v>1</v>
      </c>
      <c r="I70" s="63">
        <v>6.2461948739179988E-3</v>
      </c>
      <c r="J70" s="63">
        <v>-0.11536569490280223</v>
      </c>
      <c r="K70" s="63">
        <v>-0.12618153055803741</v>
      </c>
      <c r="L70" s="63">
        <v>-0.12661094679168539</v>
      </c>
      <c r="M70" s="2">
        <v>-8.3126051777462656E-2</v>
      </c>
      <c r="N70" s="2">
        <v>0.99999999999991873</v>
      </c>
      <c r="O70" s="64"/>
      <c r="R70" s="46" t="str">
        <f t="shared" si="20"/>
        <v>Hedge funds</v>
      </c>
      <c r="S70" s="47">
        <f t="shared" si="21"/>
        <v>6.5723379232597564E-6</v>
      </c>
      <c r="T70" s="47">
        <f t="shared" si="22"/>
        <v>1.6143442767929211E-4</v>
      </c>
      <c r="U70" s="47">
        <f t="shared" si="23"/>
        <v>6.382730843334684E-5</v>
      </c>
    </row>
    <row r="71" spans="1:36">
      <c r="A71" s="54" t="str">
        <f t="shared" si="19"/>
        <v>Onroerend goed</v>
      </c>
      <c r="B71" s="1">
        <v>5.1330197202964345E-5</v>
      </c>
      <c r="C71" s="49">
        <v>8.7315111350468329E-5</v>
      </c>
      <c r="D71" s="50">
        <v>6.8720279996447941E-7</v>
      </c>
      <c r="E71" s="1">
        <v>1.1049236563763996E-5</v>
      </c>
      <c r="F71" s="51">
        <v>6.1218718017505094E-5</v>
      </c>
      <c r="G71" s="63">
        <v>-3.575253267235725E-2</v>
      </c>
      <c r="H71" s="63">
        <v>-0.18069492266148604</v>
      </c>
      <c r="I71" s="63">
        <v>0.1193108940588361</v>
      </c>
      <c r="J71" s="63">
        <v>4.1785566401864378E-2</v>
      </c>
      <c r="K71" s="63">
        <v>1</v>
      </c>
      <c r="L71" s="63">
        <v>-0.28689786073604723</v>
      </c>
      <c r="M71" s="2">
        <v>-0.17641595190572995</v>
      </c>
      <c r="N71" s="2">
        <v>0.99999999999994826</v>
      </c>
      <c r="O71" s="64"/>
      <c r="R71" s="46" t="str">
        <f t="shared" si="20"/>
        <v>Onroerend goed</v>
      </c>
      <c r="S71" s="47">
        <f t="shared" si="21"/>
        <v>6.8720279996447941E-7</v>
      </c>
      <c r="T71" s="47">
        <f t="shared" si="22"/>
        <v>5.0642994402999865E-5</v>
      </c>
      <c r="U71" s="47">
        <f t="shared" si="23"/>
        <v>9.8885208145407498E-6</v>
      </c>
    </row>
    <row r="72" spans="1:36">
      <c r="A72" s="54" t="str">
        <f t="shared" si="19"/>
        <v>Periferie bonds</v>
      </c>
      <c r="B72" s="1"/>
      <c r="C72" s="49"/>
      <c r="D72" s="50"/>
      <c r="E72" s="1"/>
      <c r="F72" s="51"/>
      <c r="G72" s="63"/>
      <c r="H72" s="63"/>
      <c r="I72" s="63"/>
      <c r="J72" s="63"/>
      <c r="K72" s="63"/>
      <c r="L72" s="63"/>
      <c r="M72" s="2"/>
      <c r="N72" s="2"/>
      <c r="O72" s="64"/>
      <c r="R72" s="46" t="str">
        <f t="shared" si="20"/>
        <v>Periferie bonds</v>
      </c>
      <c r="S72" s="47">
        <f t="shared" si="21"/>
        <v>0</v>
      </c>
      <c r="T72" s="47">
        <f t="shared" si="22"/>
        <v>0</v>
      </c>
      <c r="U72" s="47">
        <f t="shared" si="23"/>
        <v>0</v>
      </c>
    </row>
    <row r="73" spans="1:36">
      <c r="A73" s="54" t="str">
        <f t="shared" si="19"/>
        <v/>
      </c>
      <c r="B73" s="1"/>
      <c r="C73" s="49"/>
      <c r="D73" s="50"/>
      <c r="E73" s="1"/>
      <c r="F73" s="51"/>
      <c r="G73" s="63"/>
      <c r="H73" s="63"/>
      <c r="I73" s="63"/>
      <c r="J73" s="63"/>
      <c r="K73" s="63"/>
      <c r="L73" s="63"/>
      <c r="M73" s="2"/>
      <c r="N73" s="2"/>
      <c r="O73" s="64"/>
      <c r="R73" s="46" t="str">
        <f t="shared" si="20"/>
        <v/>
      </c>
      <c r="S73" s="47" t="str">
        <f t="shared" si="21"/>
        <v/>
      </c>
      <c r="T73" s="47" t="str">
        <f t="shared" si="22"/>
        <v/>
      </c>
      <c r="U73" s="47" t="str">
        <f t="shared" si="23"/>
        <v/>
      </c>
    </row>
    <row r="74" spans="1:36">
      <c r="A74" s="54" t="str">
        <f t="shared" si="19"/>
        <v/>
      </c>
      <c r="B74" s="1"/>
      <c r="C74" s="49"/>
      <c r="D74" s="50"/>
      <c r="E74" s="1"/>
      <c r="F74" s="51"/>
      <c r="G74" s="63"/>
      <c r="H74" s="63"/>
      <c r="I74" s="63"/>
      <c r="J74" s="63"/>
      <c r="K74" s="63"/>
      <c r="L74" s="63"/>
      <c r="M74" s="2"/>
      <c r="N74" s="2"/>
      <c r="O74" s="64"/>
      <c r="R74" s="46" t="str">
        <f t="shared" si="20"/>
        <v/>
      </c>
      <c r="S74" s="47" t="str">
        <f t="shared" si="21"/>
        <v/>
      </c>
      <c r="T74" s="47" t="str">
        <f t="shared" si="22"/>
        <v/>
      </c>
      <c r="U74" s="47" t="str">
        <f t="shared" si="23"/>
        <v/>
      </c>
    </row>
    <row r="75" spans="1:36">
      <c r="A75" s="55" t="str">
        <f t="shared" si="19"/>
        <v/>
      </c>
      <c r="B75" s="56"/>
      <c r="C75" s="57"/>
      <c r="D75" s="58"/>
      <c r="E75" s="56"/>
      <c r="F75" s="59"/>
      <c r="G75" s="65"/>
      <c r="H75" s="65"/>
      <c r="I75" s="65"/>
      <c r="J75" s="65"/>
      <c r="K75" s="65"/>
      <c r="L75" s="65"/>
      <c r="M75" s="60"/>
      <c r="N75" s="60"/>
      <c r="O75" s="66"/>
      <c r="R75" s="46" t="str">
        <f t="shared" si="20"/>
        <v/>
      </c>
      <c r="S75" s="47" t="str">
        <f t="shared" si="21"/>
        <v/>
      </c>
      <c r="T75" s="47" t="str">
        <f t="shared" si="22"/>
        <v/>
      </c>
      <c r="U75" s="47" t="str">
        <f t="shared" si="23"/>
        <v/>
      </c>
    </row>
    <row r="76" spans="1:36">
      <c r="A76" s="62"/>
      <c r="B76" s="1"/>
      <c r="C76" s="1"/>
      <c r="D76" s="1"/>
      <c r="E76" s="1"/>
      <c r="F76" s="63"/>
      <c r="G76" s="63"/>
      <c r="H76" s="63"/>
      <c r="I76" s="63"/>
      <c r="J76" s="63"/>
      <c r="K76" s="63"/>
      <c r="L76" s="63"/>
      <c r="M76" s="63"/>
      <c r="N76" s="63"/>
      <c r="O76" s="63"/>
    </row>
    <row r="77" spans="1:36">
      <c r="D77" s="394" t="s">
        <v>64</v>
      </c>
      <c r="E77" s="395"/>
      <c r="F77" s="396"/>
      <c r="G77" s="394" t="s">
        <v>65</v>
      </c>
      <c r="H77" s="395"/>
      <c r="I77" s="395"/>
      <c r="J77" s="395"/>
      <c r="K77" s="395"/>
      <c r="L77" s="395"/>
      <c r="M77" s="395"/>
      <c r="N77" s="395"/>
      <c r="O77" s="396"/>
    </row>
    <row r="78" spans="1:36">
      <c r="A78" s="237" t="str">
        <f>Optimalisatie!A11</f>
        <v>Tail risk</v>
      </c>
      <c r="B78" s="238" t="s">
        <v>1</v>
      </c>
      <c r="C78" s="239" t="s">
        <v>2</v>
      </c>
      <c r="D78" s="240">
        <v>0.25</v>
      </c>
      <c r="E78" s="241">
        <v>0.5</v>
      </c>
      <c r="F78" s="242">
        <v>0.75</v>
      </c>
      <c r="G78" s="243">
        <v>0.58557246205002744</v>
      </c>
      <c r="H78" s="243">
        <v>0.2677849361089617</v>
      </c>
      <c r="I78" s="243">
        <v>5.4024934790248058E-2</v>
      </c>
      <c r="J78" s="243">
        <v>3.3086911843915878E-2</v>
      </c>
      <c r="K78" s="243">
        <v>2.5688551774999735E-2</v>
      </c>
      <c r="L78" s="243">
        <v>2.1600094399689684E-2</v>
      </c>
      <c r="M78" s="243">
        <v>1.2242109032163162E-2</v>
      </c>
      <c r="N78" s="243">
        <v>0</v>
      </c>
      <c r="O78" s="244"/>
      <c r="R78" s="46" t="str">
        <f>A78</f>
        <v>Tail risk</v>
      </c>
      <c r="S78" s="46"/>
      <c r="T78" s="47"/>
      <c r="U78" s="46"/>
      <c r="AA78" s="47"/>
      <c r="AB78" s="47"/>
      <c r="AC78" s="47"/>
      <c r="AD78" s="47"/>
      <c r="AF78" s="67"/>
      <c r="AG78" s="67"/>
      <c r="AH78" s="67"/>
      <c r="AJ78" s="47"/>
    </row>
    <row r="79" spans="1:36">
      <c r="A79" s="54" t="str">
        <f>IF(A64&lt;&gt;"",A64,"")</f>
        <v>Nominale matching</v>
      </c>
      <c r="B79" s="1">
        <v>0.91040031831552837</v>
      </c>
      <c r="C79" s="49">
        <v>1.0309384190786669E-3</v>
      </c>
      <c r="D79" s="50">
        <v>0.90959526434573212</v>
      </c>
      <c r="E79" s="1">
        <v>0.91020330868110377</v>
      </c>
      <c r="F79" s="51">
        <v>0.91095282498647823</v>
      </c>
      <c r="G79" s="2">
        <v>-0.29267840963925446</v>
      </c>
      <c r="H79" s="2">
        <v>1</v>
      </c>
      <c r="I79" s="2">
        <v>-0.80024478078089178</v>
      </c>
      <c r="J79" s="2">
        <v>-1.6737582406700893E-2</v>
      </c>
      <c r="K79" s="2">
        <v>-0.13198018745057433</v>
      </c>
      <c r="L79" s="2">
        <v>-7.1121187675469308E-2</v>
      </c>
      <c r="M79" s="2">
        <v>-0.11374426552970805</v>
      </c>
      <c r="N79" s="2">
        <v>0.99999999999998423</v>
      </c>
      <c r="O79" s="64"/>
      <c r="R79" s="46" t="str">
        <f>IF(A79&lt;&gt;"",A79,"")</f>
        <v>Nominale matching</v>
      </c>
      <c r="S79" s="47">
        <f>IF(A79&lt;&gt;"",D79,"")</f>
        <v>0.90959526434573212</v>
      </c>
      <c r="T79" s="47">
        <f>IF(A79&lt;&gt;"",B79-D79,"")</f>
        <v>8.0505396979624333E-4</v>
      </c>
      <c r="U79" s="47">
        <f>IF(A79&lt;&gt;"",F79-B79,"")</f>
        <v>5.5250667094985939E-4</v>
      </c>
      <c r="AA79" s="47"/>
      <c r="AB79" s="47"/>
      <c r="AC79" s="47"/>
      <c r="AD79" s="47"/>
      <c r="AF79" s="67"/>
      <c r="AG79" s="67"/>
      <c r="AH79" s="67"/>
      <c r="AJ79" s="47"/>
    </row>
    <row r="80" spans="1:36">
      <c r="A80" s="54" t="str">
        <f t="shared" ref="A80:A90" si="24">IF(A65&lt;&gt;"",A65,"")</f>
        <v>High Yield</v>
      </c>
      <c r="B80" s="1">
        <v>2.4245520146417212E-4</v>
      </c>
      <c r="C80" s="49">
        <v>3.9952963100400483E-4</v>
      </c>
      <c r="D80" s="50">
        <v>5.3239154391964945E-6</v>
      </c>
      <c r="E80" s="1">
        <v>6.0631447860123962E-5</v>
      </c>
      <c r="F80" s="51">
        <v>3.2645216682692974E-4</v>
      </c>
      <c r="G80" s="2">
        <v>1.2574763590285956E-2</v>
      </c>
      <c r="H80" s="2">
        <v>-3.6539002303062015E-3</v>
      </c>
      <c r="I80" s="2">
        <v>0.74893860359933029</v>
      </c>
      <c r="J80" s="2">
        <v>1</v>
      </c>
      <c r="K80" s="2">
        <v>-0.4752893959404117</v>
      </c>
      <c r="L80" s="2">
        <v>-0.19847752694332635</v>
      </c>
      <c r="M80" s="2">
        <v>-0.14133740953364959</v>
      </c>
      <c r="N80" s="2">
        <v>0.99999999999998468</v>
      </c>
      <c r="O80" s="64"/>
      <c r="R80" s="46" t="str">
        <f t="shared" ref="R80:R90" si="25">IF(A80&lt;&gt;"",A80,"")</f>
        <v>High Yield</v>
      </c>
      <c r="S80" s="47">
        <f t="shared" ref="S80:S90" si="26">IF(A80&lt;&gt;"",D80,"")</f>
        <v>5.3239154391964945E-6</v>
      </c>
      <c r="T80" s="47">
        <f t="shared" ref="T80:T90" si="27">IF(A80&lt;&gt;"",B80-D80,"")</f>
        <v>2.3713128602497564E-4</v>
      </c>
      <c r="U80" s="47">
        <f t="shared" ref="U80:U90" si="28">IF(A80&lt;&gt;"",F80-B80,"")</f>
        <v>8.3996965362757614E-5</v>
      </c>
      <c r="AA80" s="47"/>
      <c r="AB80" s="47"/>
      <c r="AC80" s="47"/>
      <c r="AD80" s="47"/>
      <c r="AF80" s="67"/>
      <c r="AG80" s="67"/>
      <c r="AH80" s="67"/>
      <c r="AJ80" s="47"/>
    </row>
    <row r="81" spans="1:36">
      <c r="A81" s="54" t="str">
        <f t="shared" si="24"/>
        <v>Emerging market debt</v>
      </c>
      <c r="B81" s="1">
        <v>9.6966778017564003E-4</v>
      </c>
      <c r="C81" s="49">
        <v>1.2223040652990888E-3</v>
      </c>
      <c r="D81" s="50">
        <v>4.6196730692603174E-5</v>
      </c>
      <c r="E81" s="1">
        <v>5.0079865122370625E-4</v>
      </c>
      <c r="F81" s="51">
        <v>1.5017266053136301E-3</v>
      </c>
      <c r="G81" s="2">
        <v>-0.70032235365337592</v>
      </c>
      <c r="H81" s="2">
        <v>-0.76885698456421736</v>
      </c>
      <c r="I81" s="2">
        <v>-0.74541447372540282</v>
      </c>
      <c r="J81" s="2">
        <v>-7.5277139913826563E-2</v>
      </c>
      <c r="K81" s="2">
        <v>-0.17289095385509462</v>
      </c>
      <c r="L81" s="2">
        <v>-9.0276225637885857E-2</v>
      </c>
      <c r="M81" s="2">
        <v>-0.12658660400555594</v>
      </c>
      <c r="N81" s="2">
        <v>0.99999999999998679</v>
      </c>
      <c r="O81" s="64"/>
      <c r="R81" s="46" t="str">
        <f t="shared" si="25"/>
        <v>Emerging market debt</v>
      </c>
      <c r="S81" s="47">
        <f t="shared" si="26"/>
        <v>4.6196730692603174E-5</v>
      </c>
      <c r="T81" s="47">
        <f t="shared" si="27"/>
        <v>9.2347104948303684E-4</v>
      </c>
      <c r="U81" s="47">
        <f t="shared" si="28"/>
        <v>5.3205882513799002E-4</v>
      </c>
      <c r="AA81" s="47"/>
      <c r="AB81" s="47"/>
      <c r="AC81" s="47"/>
      <c r="AD81" s="47"/>
      <c r="AF81" s="67"/>
      <c r="AG81" s="67"/>
      <c r="AH81" s="67"/>
      <c r="AJ81" s="47"/>
    </row>
    <row r="82" spans="1:36">
      <c r="A82" s="54" t="str">
        <f t="shared" si="24"/>
        <v>Aandelen ontwikkeld</v>
      </c>
      <c r="B82" s="1">
        <v>1.7808289296488317E-4</v>
      </c>
      <c r="C82" s="49">
        <v>3.1833217667634798E-4</v>
      </c>
      <c r="D82" s="50">
        <v>9.661664333100948E-7</v>
      </c>
      <c r="E82" s="1">
        <v>2.6064712252070314E-5</v>
      </c>
      <c r="F82" s="51">
        <v>2.1140167637085597E-4</v>
      </c>
      <c r="G82" s="2">
        <v>7.2477861113822151E-3</v>
      </c>
      <c r="H82" s="2">
        <v>-2.3075340504508771E-2</v>
      </c>
      <c r="I82" s="2">
        <v>0.1774527328541009</v>
      </c>
      <c r="J82" s="2">
        <v>0.13528231546370201</v>
      </c>
      <c r="K82" s="2">
        <v>0.33180531277465553</v>
      </c>
      <c r="L82" s="2">
        <v>1</v>
      </c>
      <c r="M82" s="2">
        <v>-0.16482007075318658</v>
      </c>
      <c r="N82" s="2">
        <v>1</v>
      </c>
      <c r="O82" s="64"/>
      <c r="R82" s="46" t="str">
        <f t="shared" si="25"/>
        <v>Aandelen ontwikkeld</v>
      </c>
      <c r="S82" s="47">
        <f t="shared" si="26"/>
        <v>9.661664333100948E-7</v>
      </c>
      <c r="T82" s="47">
        <f t="shared" si="27"/>
        <v>1.7711672653157308E-4</v>
      </c>
      <c r="U82" s="47">
        <f t="shared" si="28"/>
        <v>3.3318783405972806E-5</v>
      </c>
      <c r="AA82" s="47"/>
      <c r="AB82" s="47"/>
      <c r="AC82" s="47"/>
      <c r="AD82" s="47"/>
      <c r="AF82" s="67"/>
      <c r="AG82" s="67"/>
      <c r="AH82" s="67"/>
      <c r="AJ82" s="47"/>
    </row>
    <row r="83" spans="1:36">
      <c r="A83" s="54" t="str">
        <f t="shared" si="24"/>
        <v>Aandelen opkomend</v>
      </c>
      <c r="B83" s="1">
        <v>2.564489860338996E-4</v>
      </c>
      <c r="C83" s="49">
        <v>4.3003569463960733E-4</v>
      </c>
      <c r="D83" s="50">
        <v>1.6511004576110284E-6</v>
      </c>
      <c r="E83" s="1">
        <v>5.1218597797573118E-5</v>
      </c>
      <c r="F83" s="51">
        <v>3.4935989717820438E-4</v>
      </c>
      <c r="G83" s="2">
        <v>-5.6065772454889938E-2</v>
      </c>
      <c r="H83" s="2">
        <v>6.6952453942922457E-2</v>
      </c>
      <c r="I83" s="2">
        <v>1</v>
      </c>
      <c r="J83" s="2">
        <v>-0.94846854425630722</v>
      </c>
      <c r="K83" s="2">
        <v>-0.32650273481301417</v>
      </c>
      <c r="L83" s="2">
        <v>-9.0452343486416273E-2</v>
      </c>
      <c r="M83" s="2">
        <v>-0.20353486651370886</v>
      </c>
      <c r="N83" s="2">
        <v>0.99999999999997968</v>
      </c>
      <c r="O83" s="64"/>
      <c r="R83" s="46" t="str">
        <f t="shared" si="25"/>
        <v>Aandelen opkomend</v>
      </c>
      <c r="S83" s="47">
        <f t="shared" si="26"/>
        <v>1.6511004576110284E-6</v>
      </c>
      <c r="T83" s="47">
        <f t="shared" si="27"/>
        <v>2.5479788557628859E-4</v>
      </c>
      <c r="U83" s="47">
        <f t="shared" si="28"/>
        <v>9.2910911144304784E-5</v>
      </c>
      <c r="AA83" s="47"/>
      <c r="AB83" s="47"/>
      <c r="AC83" s="47"/>
      <c r="AD83" s="47"/>
      <c r="AF83" s="67"/>
      <c r="AG83" s="67"/>
      <c r="AH83" s="67"/>
      <c r="AJ83" s="47"/>
    </row>
    <row r="84" spans="1:36">
      <c r="A84" s="54" t="str">
        <f t="shared" si="24"/>
        <v>Commodities</v>
      </c>
      <c r="B84" s="1">
        <v>1.3266771859855406E-4</v>
      </c>
      <c r="C84" s="49">
        <v>2.3869618300325653E-4</v>
      </c>
      <c r="D84" s="50">
        <v>4.2553612459991924E-7</v>
      </c>
      <c r="E84" s="1">
        <v>2.4171818834641723E-5</v>
      </c>
      <c r="F84" s="51">
        <v>1.433888691762387E-4</v>
      </c>
      <c r="G84" s="2">
        <v>1.6735666131070796E-2</v>
      </c>
      <c r="H84" s="2">
        <v>-1.140711525179579E-2</v>
      </c>
      <c r="I84" s="2">
        <v>7.5892630143845966E-2</v>
      </c>
      <c r="J84" s="2">
        <v>-5.0631175426556978E-2</v>
      </c>
      <c r="K84" s="2">
        <v>-3.8842799648584836E-2</v>
      </c>
      <c r="L84" s="2">
        <v>3.433345289890951E-2</v>
      </c>
      <c r="M84" s="2">
        <v>1</v>
      </c>
      <c r="N84" s="2">
        <v>0.99999999999999967</v>
      </c>
      <c r="O84" s="64"/>
      <c r="R84" s="46" t="str">
        <f t="shared" si="25"/>
        <v>Commodities</v>
      </c>
      <c r="S84" s="47">
        <f t="shared" si="26"/>
        <v>4.2553612459991924E-7</v>
      </c>
      <c r="T84" s="47">
        <f t="shared" si="27"/>
        <v>1.3224218247395413E-4</v>
      </c>
      <c r="U84" s="47">
        <f t="shared" si="28"/>
        <v>1.0721150577684647E-5</v>
      </c>
      <c r="AA84" s="47"/>
      <c r="AB84" s="47"/>
      <c r="AC84" s="47"/>
      <c r="AD84" s="47"/>
      <c r="AF84" s="67"/>
      <c r="AG84" s="67"/>
      <c r="AH84" s="67"/>
      <c r="AJ84" s="47"/>
    </row>
    <row r="85" spans="1:36">
      <c r="A85" s="54" t="str">
        <f t="shared" si="24"/>
        <v>Hedge funds</v>
      </c>
      <c r="B85" s="1">
        <v>8.7616171604620083E-2</v>
      </c>
      <c r="C85" s="49">
        <v>1.423288028594963E-3</v>
      </c>
      <c r="D85" s="50">
        <v>8.6613925123170454E-2</v>
      </c>
      <c r="E85" s="1">
        <v>8.7646812905970081E-2</v>
      </c>
      <c r="F85" s="51">
        <v>8.8639360463143413E-2</v>
      </c>
      <c r="G85" s="2">
        <v>1</v>
      </c>
      <c r="H85" s="2">
        <v>-0.24137907962274566</v>
      </c>
      <c r="I85" s="2">
        <v>-0.71538971043123145</v>
      </c>
      <c r="J85" s="2">
        <v>-0.12450642916959904</v>
      </c>
      <c r="K85" s="2">
        <v>-0.18629924106697829</v>
      </c>
      <c r="L85" s="2">
        <v>-8.8234678351421542E-2</v>
      </c>
      <c r="M85" s="2">
        <v>-0.1458141602953528</v>
      </c>
      <c r="N85" s="2">
        <v>0.99999999999999134</v>
      </c>
      <c r="O85" s="64"/>
      <c r="R85" s="46" t="str">
        <f t="shared" si="25"/>
        <v>Hedge funds</v>
      </c>
      <c r="S85" s="47">
        <f t="shared" si="26"/>
        <v>8.6613925123170454E-2</v>
      </c>
      <c r="T85" s="47">
        <f t="shared" si="27"/>
        <v>1.0022464814496285E-3</v>
      </c>
      <c r="U85" s="47">
        <f t="shared" si="28"/>
        <v>1.0231888585233301E-3</v>
      </c>
    </row>
    <row r="86" spans="1:36">
      <c r="A86" s="54" t="str">
        <f t="shared" si="24"/>
        <v>Onroerend goed</v>
      </c>
      <c r="B86" s="1">
        <v>2.041875006144596E-4</v>
      </c>
      <c r="C86" s="49">
        <v>3.4041848862041696E-4</v>
      </c>
      <c r="D86" s="50">
        <v>2.6356546255662357E-6</v>
      </c>
      <c r="E86" s="1">
        <v>5.0997763788292636E-5</v>
      </c>
      <c r="F86" s="51">
        <v>2.7249945475081886E-4</v>
      </c>
      <c r="G86" s="2">
        <v>1.2508319914775004E-2</v>
      </c>
      <c r="H86" s="2">
        <v>-1.8580033769344112E-2</v>
      </c>
      <c r="I86" s="2">
        <v>0.25876499834025657</v>
      </c>
      <c r="J86" s="2">
        <v>8.033855570928318E-2</v>
      </c>
      <c r="K86" s="2">
        <v>1</v>
      </c>
      <c r="L86" s="2">
        <v>-0.4957714908044068</v>
      </c>
      <c r="M86" s="2">
        <v>-0.10416262336885089</v>
      </c>
      <c r="N86" s="2">
        <v>0.99999999999998201</v>
      </c>
      <c r="O86" s="64"/>
      <c r="R86" s="46" t="str">
        <f t="shared" si="25"/>
        <v>Onroerend goed</v>
      </c>
      <c r="S86" s="47">
        <f t="shared" si="26"/>
        <v>2.6356546255662357E-6</v>
      </c>
      <c r="T86" s="47">
        <f t="shared" si="27"/>
        <v>2.0155184598889337E-4</v>
      </c>
      <c r="U86" s="47">
        <f t="shared" si="28"/>
        <v>6.8311954136359267E-5</v>
      </c>
    </row>
    <row r="87" spans="1:36">
      <c r="A87" s="54" t="str">
        <f t="shared" si="24"/>
        <v>Periferie bonds</v>
      </c>
      <c r="B87" s="1"/>
      <c r="C87" s="49"/>
      <c r="D87" s="50"/>
      <c r="E87" s="1"/>
      <c r="F87" s="51"/>
      <c r="G87" s="2"/>
      <c r="H87" s="2"/>
      <c r="I87" s="2"/>
      <c r="J87" s="2"/>
      <c r="K87" s="2"/>
      <c r="L87" s="2"/>
      <c r="M87" s="2"/>
      <c r="N87" s="2"/>
      <c r="O87" s="64"/>
      <c r="R87" s="46" t="str">
        <f t="shared" si="25"/>
        <v>Periferie bonds</v>
      </c>
      <c r="S87" s="47">
        <f t="shared" si="26"/>
        <v>0</v>
      </c>
      <c r="T87" s="47">
        <f t="shared" si="27"/>
        <v>0</v>
      </c>
      <c r="U87" s="47">
        <f t="shared" si="28"/>
        <v>0</v>
      </c>
    </row>
    <row r="88" spans="1:36">
      <c r="A88" s="54" t="str">
        <f t="shared" si="24"/>
        <v/>
      </c>
      <c r="B88" s="1"/>
      <c r="C88" s="49"/>
      <c r="D88" s="50"/>
      <c r="E88" s="1"/>
      <c r="F88" s="51"/>
      <c r="G88" s="2"/>
      <c r="H88" s="2"/>
      <c r="I88" s="2"/>
      <c r="J88" s="2"/>
      <c r="K88" s="2"/>
      <c r="L88" s="2"/>
      <c r="M88" s="2"/>
      <c r="N88" s="2"/>
      <c r="O88" s="64"/>
      <c r="R88" s="46" t="str">
        <f t="shared" si="25"/>
        <v/>
      </c>
      <c r="S88" s="47" t="str">
        <f t="shared" si="26"/>
        <v/>
      </c>
      <c r="T88" s="47" t="str">
        <f t="shared" si="27"/>
        <v/>
      </c>
      <c r="U88" s="47" t="str">
        <f t="shared" si="28"/>
        <v/>
      </c>
    </row>
    <row r="89" spans="1:36">
      <c r="A89" s="54" t="str">
        <f t="shared" si="24"/>
        <v/>
      </c>
      <c r="B89" s="1"/>
      <c r="C89" s="49"/>
      <c r="D89" s="50"/>
      <c r="E89" s="1"/>
      <c r="F89" s="51"/>
      <c r="G89" s="2"/>
      <c r="H89" s="2"/>
      <c r="I89" s="2"/>
      <c r="J89" s="2"/>
      <c r="K89" s="2"/>
      <c r="L89" s="2"/>
      <c r="M89" s="2"/>
      <c r="N89" s="2"/>
      <c r="O89" s="64"/>
      <c r="R89" s="46" t="str">
        <f t="shared" si="25"/>
        <v/>
      </c>
      <c r="S89" s="47" t="str">
        <f t="shared" si="26"/>
        <v/>
      </c>
      <c r="T89" s="47" t="str">
        <f t="shared" si="27"/>
        <v/>
      </c>
      <c r="U89" s="47" t="str">
        <f t="shared" si="28"/>
        <v/>
      </c>
    </row>
    <row r="90" spans="1:36">
      <c r="A90" s="55" t="str">
        <f t="shared" si="24"/>
        <v/>
      </c>
      <c r="B90" s="56"/>
      <c r="C90" s="57"/>
      <c r="D90" s="58"/>
      <c r="E90" s="56"/>
      <c r="F90" s="59"/>
      <c r="G90" s="60"/>
      <c r="H90" s="60"/>
      <c r="I90" s="60"/>
      <c r="J90" s="60"/>
      <c r="K90" s="60"/>
      <c r="L90" s="60"/>
      <c r="M90" s="60"/>
      <c r="N90" s="60"/>
      <c r="O90" s="66"/>
      <c r="R90" s="46" t="str">
        <f t="shared" si="25"/>
        <v/>
      </c>
      <c r="S90" s="47" t="str">
        <f t="shared" si="26"/>
        <v/>
      </c>
      <c r="T90" s="47" t="str">
        <f t="shared" si="27"/>
        <v/>
      </c>
      <c r="U90" s="47" t="str">
        <f t="shared" si="28"/>
        <v/>
      </c>
    </row>
    <row r="93" spans="1:36">
      <c r="A93" s="237" t="str">
        <f>Optimalisatie!A12</f>
        <v>Bull case</v>
      </c>
      <c r="B93" s="238" t="s">
        <v>1</v>
      </c>
      <c r="C93" s="239" t="s">
        <v>2</v>
      </c>
      <c r="D93" s="240">
        <v>0.25</v>
      </c>
      <c r="E93" s="241">
        <v>0.5</v>
      </c>
      <c r="F93" s="242">
        <v>0.75</v>
      </c>
      <c r="G93" s="243">
        <v>0.55259014264862238</v>
      </c>
      <c r="H93" s="243">
        <v>0.28535413579288471</v>
      </c>
      <c r="I93" s="243">
        <v>0.11751609264074669</v>
      </c>
      <c r="J93" s="243">
        <v>3.4422360988265122E-2</v>
      </c>
      <c r="K93" s="243">
        <v>6.6266464743856002E-3</v>
      </c>
      <c r="L93" s="243">
        <v>2.8242089078042154E-3</v>
      </c>
      <c r="M93" s="243">
        <v>6.6641254729460364E-4</v>
      </c>
      <c r="N93" s="243">
        <v>4.4408920985006262E-16</v>
      </c>
      <c r="O93" s="244">
        <v>1.1102230246251565E-16</v>
      </c>
      <c r="R93" s="46" t="str">
        <f>A93</f>
        <v>Bull case</v>
      </c>
      <c r="S93" s="46"/>
      <c r="T93" s="47"/>
      <c r="U93" s="46"/>
      <c r="AA93" s="47"/>
      <c r="AB93" s="47"/>
      <c r="AC93" s="47"/>
      <c r="AD93" s="47"/>
    </row>
    <row r="94" spans="1:36">
      <c r="A94" s="54" t="str">
        <f>IF(A79&lt;&gt;"",A79,"")</f>
        <v>Nominale matching</v>
      </c>
      <c r="B94" s="1">
        <v>0.74210401897635492</v>
      </c>
      <c r="C94" s="49">
        <v>1.2297692296716255E-2</v>
      </c>
      <c r="D94" s="50">
        <v>0.73339422303277468</v>
      </c>
      <c r="E94" s="1">
        <v>0.74175858282811602</v>
      </c>
      <c r="F94" s="51">
        <v>0.75010893470008844</v>
      </c>
      <c r="G94" s="63">
        <v>9.4401307148054125E-3</v>
      </c>
      <c r="H94" s="63">
        <v>-0.47388824526661594</v>
      </c>
      <c r="I94" s="63">
        <v>-0.37899268443827289</v>
      </c>
      <c r="J94" s="63">
        <v>-0.27241130861879043</v>
      </c>
      <c r="K94" s="63">
        <v>0.20177619706499927</v>
      </c>
      <c r="L94" s="63">
        <v>0.13338934615924919</v>
      </c>
      <c r="M94" s="2">
        <v>1</v>
      </c>
      <c r="N94" s="2">
        <v>1</v>
      </c>
      <c r="O94" s="64"/>
      <c r="R94" s="46" t="str">
        <f>IF(A94&lt;&gt;"",A94,"")</f>
        <v>Nominale matching</v>
      </c>
      <c r="S94" s="47">
        <f>IF(A94&lt;&gt;"",D94,"")</f>
        <v>0.73339422303277468</v>
      </c>
      <c r="T94" s="47">
        <f>IF(A94&lt;&gt;"",B94-D94,"")</f>
        <v>8.7097959435802341E-3</v>
      </c>
      <c r="U94" s="47">
        <f>IF(A94&lt;&gt;"",F94-B94,"")</f>
        <v>8.0049157237335189E-3</v>
      </c>
      <c r="AA94" s="47"/>
      <c r="AB94" s="47"/>
      <c r="AC94" s="47"/>
      <c r="AD94" s="47"/>
    </row>
    <row r="95" spans="1:36">
      <c r="A95" s="54" t="str">
        <f t="shared" ref="A95:A105" si="29">IF(A80&lt;&gt;"",A80,"")</f>
        <v>High Yield</v>
      </c>
      <c r="B95" s="1">
        <v>1.8694595409361223E-2</v>
      </c>
      <c r="C95" s="49">
        <v>1.7245139012676155E-2</v>
      </c>
      <c r="D95" s="50">
        <v>4.7981671404336646E-3</v>
      </c>
      <c r="E95" s="1">
        <v>1.435471332530891E-2</v>
      </c>
      <c r="F95" s="51">
        <v>2.6872585920989386E-2</v>
      </c>
      <c r="G95" s="63">
        <v>-8.4445900128290924E-2</v>
      </c>
      <c r="H95" s="63">
        <v>-0.22945302923980851</v>
      </c>
      <c r="I95" s="63">
        <v>1</v>
      </c>
      <c r="J95" s="63">
        <v>-0.16478367662694124</v>
      </c>
      <c r="K95" s="63">
        <v>-0.14338471100251041</v>
      </c>
      <c r="L95" s="63">
        <v>-5.9733790818225441E-2</v>
      </c>
      <c r="M95" s="2">
        <v>0.18309794069472732</v>
      </c>
      <c r="N95" s="2">
        <v>0.99999999999993983</v>
      </c>
      <c r="O95" s="64"/>
      <c r="R95" s="46" t="str">
        <f t="shared" ref="R95:R105" si="30">IF(A95&lt;&gt;"",A95,"")</f>
        <v>High Yield</v>
      </c>
      <c r="S95" s="47">
        <f t="shared" ref="S95:S105" si="31">IF(A95&lt;&gt;"",D95,"")</f>
        <v>4.7981671404336646E-3</v>
      </c>
      <c r="T95" s="47">
        <f t="shared" ref="T95:T105" si="32">IF(A95&lt;&gt;"",B95-D95,"")</f>
        <v>1.389642826892756E-2</v>
      </c>
      <c r="U95" s="47">
        <f t="shared" ref="U95:U105" si="33">IF(A95&lt;&gt;"",F95-B95,"")</f>
        <v>8.177990511628163E-3</v>
      </c>
      <c r="AA95" s="47"/>
      <c r="AB95" s="47"/>
      <c r="AC95" s="47"/>
      <c r="AD95" s="47"/>
    </row>
    <row r="96" spans="1:36">
      <c r="A96" s="54" t="str">
        <f t="shared" si="29"/>
        <v>Emerging market debt</v>
      </c>
      <c r="B96" s="1">
        <v>8.9274739671457801E-3</v>
      </c>
      <c r="C96" s="49">
        <v>9.2275057316660077E-3</v>
      </c>
      <c r="D96" s="50">
        <v>1.817380098889378E-3</v>
      </c>
      <c r="E96" s="1">
        <v>5.4645433390532652E-3</v>
      </c>
      <c r="F96" s="51">
        <v>1.3500514652096028E-2</v>
      </c>
      <c r="G96" s="63">
        <v>-1.1990627124513658E-2</v>
      </c>
      <c r="H96" s="63">
        <v>-8.3537751805722385E-2</v>
      </c>
      <c r="I96" s="63">
        <v>-5.305074058128631E-2</v>
      </c>
      <c r="J96" s="63">
        <v>1</v>
      </c>
      <c r="K96" s="63">
        <v>-0.19239314374599686</v>
      </c>
      <c r="L96" s="63">
        <v>-0.10191756970633468</v>
      </c>
      <c r="M96" s="2">
        <v>0.17878956297374513</v>
      </c>
      <c r="N96" s="2">
        <v>0.99999999999993749</v>
      </c>
      <c r="O96" s="64"/>
      <c r="R96" s="46" t="str">
        <f t="shared" si="30"/>
        <v>Emerging market debt</v>
      </c>
      <c r="S96" s="47">
        <f t="shared" si="31"/>
        <v>1.817380098889378E-3</v>
      </c>
      <c r="T96" s="47">
        <f t="shared" si="32"/>
        <v>7.1100938682564022E-3</v>
      </c>
      <c r="U96" s="47">
        <f t="shared" si="33"/>
        <v>4.573040684950248E-3</v>
      </c>
      <c r="AA96" s="47"/>
      <c r="AB96" s="47"/>
      <c r="AC96" s="47"/>
      <c r="AD96" s="47"/>
    </row>
    <row r="97" spans="1:36">
      <c r="A97" s="54" t="str">
        <f t="shared" si="29"/>
        <v>Aandelen ontwikkeld</v>
      </c>
      <c r="B97" s="1">
        <v>2.8936030398781527E-3</v>
      </c>
      <c r="C97" s="49">
        <v>3.7251141641533856E-3</v>
      </c>
      <c r="D97" s="50">
        <v>2.1152357814109167E-4</v>
      </c>
      <c r="E97" s="1">
        <v>1.5284078852579835E-3</v>
      </c>
      <c r="F97" s="51">
        <v>4.0265696216699298E-3</v>
      </c>
      <c r="G97" s="63">
        <v>-3.397018006447634E-3</v>
      </c>
      <c r="H97" s="63">
        <v>-2.5579905886276986E-2</v>
      </c>
      <c r="I97" s="63">
        <v>-1.5383877466865897E-2</v>
      </c>
      <c r="J97" s="63">
        <v>7.6784751948671039E-3</v>
      </c>
      <c r="K97" s="63">
        <v>1</v>
      </c>
      <c r="L97" s="63">
        <v>-0.4185059990385267</v>
      </c>
      <c r="M97" s="2">
        <v>-0.42178337461605814</v>
      </c>
      <c r="N97" s="2">
        <v>0.99999999999990585</v>
      </c>
      <c r="O97" s="64"/>
      <c r="R97" s="46" t="str">
        <f t="shared" si="30"/>
        <v>Aandelen ontwikkeld</v>
      </c>
      <c r="S97" s="47">
        <f t="shared" si="31"/>
        <v>2.1152357814109167E-4</v>
      </c>
      <c r="T97" s="47">
        <f t="shared" si="32"/>
        <v>2.6820794617370609E-3</v>
      </c>
      <c r="U97" s="47">
        <f t="shared" si="33"/>
        <v>1.1329665817917771E-3</v>
      </c>
      <c r="AA97" s="47"/>
      <c r="AB97" s="47"/>
      <c r="AC97" s="47"/>
      <c r="AD97" s="47"/>
    </row>
    <row r="98" spans="1:36">
      <c r="A98" s="54" t="str">
        <f t="shared" si="29"/>
        <v>Aandelen opkomend</v>
      </c>
      <c r="B98" s="1">
        <v>1.9587393313640106E-3</v>
      </c>
      <c r="C98" s="49">
        <v>2.600992407180704E-3</v>
      </c>
      <c r="D98" s="50">
        <v>1.2034398533330801E-4</v>
      </c>
      <c r="E98" s="1">
        <v>8.9191024594513794E-4</v>
      </c>
      <c r="F98" s="51">
        <v>2.9074123427886428E-3</v>
      </c>
      <c r="G98" s="63">
        <v>-9.4671647086846976E-4</v>
      </c>
      <c r="H98" s="63">
        <v>-1.500143065831256E-2</v>
      </c>
      <c r="I98" s="63">
        <v>-2.9953259290631872E-2</v>
      </c>
      <c r="J98" s="63">
        <v>1.1425148483992807E-2</v>
      </c>
      <c r="K98" s="63">
        <v>0.12385799145773238</v>
      </c>
      <c r="L98" s="63">
        <v>1</v>
      </c>
      <c r="M98" s="2">
        <v>-0.47234351160355004</v>
      </c>
      <c r="N98" s="2">
        <v>0.9999999999999134</v>
      </c>
      <c r="O98" s="64"/>
      <c r="R98" s="46" t="str">
        <f t="shared" si="30"/>
        <v>Aandelen opkomend</v>
      </c>
      <c r="S98" s="47">
        <f t="shared" si="31"/>
        <v>1.2034398533330801E-4</v>
      </c>
      <c r="T98" s="47">
        <f t="shared" si="32"/>
        <v>1.8383953460307026E-3</v>
      </c>
      <c r="U98" s="47">
        <f t="shared" si="33"/>
        <v>9.4867301142463221E-4</v>
      </c>
      <c r="AA98" s="47"/>
      <c r="AB98" s="47"/>
      <c r="AC98" s="47"/>
      <c r="AD98" s="47"/>
    </row>
    <row r="99" spans="1:36">
      <c r="A99" s="54" t="str">
        <f t="shared" si="29"/>
        <v>Commodities</v>
      </c>
      <c r="B99" s="1">
        <v>5.0076100481880492E-2</v>
      </c>
      <c r="C99" s="49">
        <v>1.7382188674499352E-2</v>
      </c>
      <c r="D99" s="50">
        <v>3.9041996584103802E-2</v>
      </c>
      <c r="E99" s="1">
        <v>5.0444092400136267E-2</v>
      </c>
      <c r="F99" s="51">
        <v>6.2866551932150322E-2</v>
      </c>
      <c r="G99" s="63">
        <v>-0.33492116344313633</v>
      </c>
      <c r="H99" s="63">
        <v>-0.54705311035322068</v>
      </c>
      <c r="I99" s="63">
        <v>-0.33242312933302348</v>
      </c>
      <c r="J99" s="63">
        <v>-0.25237913367790321</v>
      </c>
      <c r="K99" s="63">
        <v>-0.57372856581139475</v>
      </c>
      <c r="L99" s="63">
        <v>-0.32309967144561963</v>
      </c>
      <c r="M99" s="2">
        <v>-0.603631999527528</v>
      </c>
      <c r="N99" s="2">
        <v>0.99999999999988221</v>
      </c>
      <c r="O99" s="64"/>
      <c r="R99" s="46" t="str">
        <f t="shared" si="30"/>
        <v>Commodities</v>
      </c>
      <c r="S99" s="47">
        <f t="shared" si="31"/>
        <v>3.9041996584103802E-2</v>
      </c>
      <c r="T99" s="47">
        <f t="shared" si="32"/>
        <v>1.103410389777669E-2</v>
      </c>
      <c r="U99" s="47">
        <f t="shared" si="33"/>
        <v>1.279045145026983E-2</v>
      </c>
      <c r="AA99" s="47"/>
      <c r="AB99" s="47"/>
      <c r="AC99" s="47"/>
      <c r="AD99" s="47"/>
    </row>
    <row r="100" spans="1:36">
      <c r="A100" s="54" t="str">
        <f t="shared" si="29"/>
        <v>Hedge funds</v>
      </c>
      <c r="B100" s="1">
        <v>3.237305465508386E-2</v>
      </c>
      <c r="C100" s="49">
        <v>2.8885744729244146E-2</v>
      </c>
      <c r="D100" s="50">
        <v>8.5551150091976377E-3</v>
      </c>
      <c r="E100" s="1">
        <v>2.4232052490117784E-2</v>
      </c>
      <c r="F100" s="51">
        <v>4.9982231182866543E-2</v>
      </c>
      <c r="G100" s="63">
        <v>-0.57373870554154915</v>
      </c>
      <c r="H100" s="63">
        <v>1</v>
      </c>
      <c r="I100" s="63">
        <v>-0.10558784598792503</v>
      </c>
      <c r="J100" s="63">
        <v>-0.15611626675478429</v>
      </c>
      <c r="K100" s="63">
        <v>-0.13418253345076703</v>
      </c>
      <c r="L100" s="63">
        <v>-7.238742922435433E-2</v>
      </c>
      <c r="M100" s="2">
        <v>0.21080688611278012</v>
      </c>
      <c r="N100" s="2">
        <v>0.99999999999994171</v>
      </c>
      <c r="O100" s="64"/>
      <c r="R100" s="46" t="str">
        <f t="shared" si="30"/>
        <v>Hedge funds</v>
      </c>
      <c r="S100" s="47">
        <f t="shared" si="31"/>
        <v>8.5551150091976377E-3</v>
      </c>
      <c r="T100" s="47">
        <f t="shared" si="32"/>
        <v>2.3817939645886223E-2</v>
      </c>
      <c r="U100" s="47">
        <f t="shared" si="33"/>
        <v>1.7609176527782683E-2</v>
      </c>
    </row>
    <row r="101" spans="1:36">
      <c r="A101" s="54" t="str">
        <f t="shared" si="29"/>
        <v>Onroerend goed</v>
      </c>
      <c r="B101" s="1">
        <v>0.142972414138931</v>
      </c>
      <c r="C101" s="49">
        <v>3.4034854525069623E-2</v>
      </c>
      <c r="D101" s="50">
        <v>0.118080976125847</v>
      </c>
      <c r="E101" s="1">
        <v>0.14112047005579109</v>
      </c>
      <c r="F101" s="51">
        <v>0.16515039952283034</v>
      </c>
      <c r="G101" s="63">
        <v>1</v>
      </c>
      <c r="H101" s="63">
        <v>0.3745134732099577</v>
      </c>
      <c r="I101" s="63">
        <v>-8.4608462901994058E-2</v>
      </c>
      <c r="J101" s="63">
        <v>-0.17341323800043834</v>
      </c>
      <c r="K101" s="63">
        <v>-0.28194523451207659</v>
      </c>
      <c r="L101" s="63">
        <v>-0.15774488592620645</v>
      </c>
      <c r="M101" s="2">
        <v>-7.4935504034239001E-2</v>
      </c>
      <c r="N101" s="2">
        <v>0.99999999999992095</v>
      </c>
      <c r="O101" s="64"/>
      <c r="R101" s="46" t="str">
        <f t="shared" si="30"/>
        <v>Onroerend goed</v>
      </c>
      <c r="S101" s="47">
        <f t="shared" si="31"/>
        <v>0.118080976125847</v>
      </c>
      <c r="T101" s="47">
        <f t="shared" si="32"/>
        <v>2.4891438013083994E-2</v>
      </c>
      <c r="U101" s="47">
        <f t="shared" si="33"/>
        <v>2.217798538389934E-2</v>
      </c>
    </row>
    <row r="102" spans="1:36">
      <c r="A102" s="54" t="str">
        <f t="shared" si="29"/>
        <v>Periferie bonds</v>
      </c>
      <c r="B102" s="1"/>
      <c r="C102" s="49"/>
      <c r="D102" s="50"/>
      <c r="E102" s="1"/>
      <c r="F102" s="51"/>
      <c r="G102" s="63"/>
      <c r="H102" s="63"/>
      <c r="I102" s="63"/>
      <c r="J102" s="63"/>
      <c r="K102" s="63"/>
      <c r="L102" s="63"/>
      <c r="M102" s="2"/>
      <c r="N102" s="2"/>
      <c r="O102" s="64"/>
      <c r="R102" s="46" t="str">
        <f t="shared" si="30"/>
        <v>Periferie bonds</v>
      </c>
      <c r="S102" s="47">
        <f t="shared" si="31"/>
        <v>0</v>
      </c>
      <c r="T102" s="47">
        <f t="shared" si="32"/>
        <v>0</v>
      </c>
      <c r="U102" s="47">
        <f t="shared" si="33"/>
        <v>0</v>
      </c>
    </row>
    <row r="103" spans="1:36">
      <c r="A103" s="54" t="str">
        <f t="shared" si="29"/>
        <v/>
      </c>
      <c r="B103" s="1"/>
      <c r="C103" s="49"/>
      <c r="D103" s="50"/>
      <c r="E103" s="1"/>
      <c r="F103" s="51"/>
      <c r="G103" s="63"/>
      <c r="H103" s="63"/>
      <c r="I103" s="63"/>
      <c r="J103" s="63"/>
      <c r="K103" s="63"/>
      <c r="L103" s="63"/>
      <c r="M103" s="2"/>
      <c r="N103" s="2"/>
      <c r="O103" s="64"/>
      <c r="R103" s="46" t="str">
        <f t="shared" si="30"/>
        <v/>
      </c>
      <c r="S103" s="47" t="str">
        <f t="shared" si="31"/>
        <v/>
      </c>
      <c r="T103" s="47" t="str">
        <f t="shared" si="32"/>
        <v/>
      </c>
      <c r="U103" s="47" t="str">
        <f t="shared" si="33"/>
        <v/>
      </c>
    </row>
    <row r="104" spans="1:36">
      <c r="A104" s="54" t="str">
        <f t="shared" si="29"/>
        <v/>
      </c>
      <c r="B104" s="1"/>
      <c r="C104" s="49"/>
      <c r="D104" s="50"/>
      <c r="E104" s="1"/>
      <c r="F104" s="51"/>
      <c r="G104" s="63"/>
      <c r="H104" s="63"/>
      <c r="I104" s="63"/>
      <c r="J104" s="63"/>
      <c r="K104" s="63"/>
      <c r="L104" s="63"/>
      <c r="M104" s="2"/>
      <c r="N104" s="2"/>
      <c r="O104" s="64"/>
      <c r="R104" s="46" t="str">
        <f t="shared" si="30"/>
        <v/>
      </c>
      <c r="S104" s="47" t="str">
        <f t="shared" si="31"/>
        <v/>
      </c>
      <c r="T104" s="47" t="str">
        <f t="shared" si="32"/>
        <v/>
      </c>
      <c r="U104" s="47" t="str">
        <f t="shared" si="33"/>
        <v/>
      </c>
    </row>
    <row r="105" spans="1:36">
      <c r="A105" s="55" t="str">
        <f t="shared" si="29"/>
        <v/>
      </c>
      <c r="B105" s="56"/>
      <c r="C105" s="57"/>
      <c r="D105" s="58"/>
      <c r="E105" s="56"/>
      <c r="F105" s="59"/>
      <c r="G105" s="65"/>
      <c r="H105" s="65"/>
      <c r="I105" s="65"/>
      <c r="J105" s="65"/>
      <c r="K105" s="65"/>
      <c r="L105" s="65"/>
      <c r="M105" s="60"/>
      <c r="N105" s="60"/>
      <c r="O105" s="66"/>
      <c r="R105" s="46" t="str">
        <f t="shared" si="30"/>
        <v/>
      </c>
      <c r="S105" s="47" t="str">
        <f t="shared" si="31"/>
        <v/>
      </c>
      <c r="T105" s="47" t="str">
        <f t="shared" si="32"/>
        <v/>
      </c>
      <c r="U105" s="47" t="str">
        <f t="shared" si="33"/>
        <v/>
      </c>
    </row>
    <row r="106" spans="1:36">
      <c r="A106" s="62"/>
      <c r="B106" s="1"/>
      <c r="C106" s="1"/>
      <c r="D106" s="1"/>
      <c r="E106" s="1"/>
      <c r="F106" s="63"/>
      <c r="G106" s="63"/>
      <c r="H106" s="63"/>
      <c r="I106" s="63"/>
      <c r="J106" s="63"/>
      <c r="K106" s="63"/>
      <c r="L106" s="63"/>
      <c r="M106" s="63"/>
      <c r="N106" s="63"/>
      <c r="O106" s="63"/>
    </row>
    <row r="107" spans="1:36">
      <c r="D107" s="394" t="s">
        <v>64</v>
      </c>
      <c r="E107" s="395"/>
      <c r="F107" s="396"/>
      <c r="G107" s="394" t="s">
        <v>65</v>
      </c>
      <c r="H107" s="395"/>
      <c r="I107" s="395"/>
      <c r="J107" s="395"/>
      <c r="K107" s="395"/>
      <c r="L107" s="395"/>
      <c r="M107" s="395"/>
      <c r="N107" s="395"/>
      <c r="O107" s="396"/>
    </row>
    <row r="108" spans="1:36">
      <c r="A108" s="237" t="str">
        <f>Optimalisatie!A13</f>
        <v>Kansgewogen</v>
      </c>
      <c r="B108" s="238" t="s">
        <v>1</v>
      </c>
      <c r="C108" s="239" t="s">
        <v>2</v>
      </c>
      <c r="D108" s="240">
        <v>0.25</v>
      </c>
      <c r="E108" s="241">
        <v>0.5</v>
      </c>
      <c r="F108" s="242">
        <v>0.75</v>
      </c>
      <c r="G108" s="243">
        <v>0.77791384055044988</v>
      </c>
      <c r="H108" s="243">
        <v>0.13291736964097234</v>
      </c>
      <c r="I108" s="243">
        <v>5.5930443225996829E-2</v>
      </c>
      <c r="J108" s="243">
        <v>2.0290140236125187E-2</v>
      </c>
      <c r="K108" s="243">
        <v>9.8712048158712262E-3</v>
      </c>
      <c r="L108" s="243">
        <v>1.3886675719495534E-3</v>
      </c>
      <c r="M108" s="243">
        <v>1.2007888236807984E-3</v>
      </c>
      <c r="N108" s="243">
        <v>4.8754513495741225E-4</v>
      </c>
      <c r="O108" s="244">
        <v>0</v>
      </c>
      <c r="R108" s="46" t="str">
        <f>A108</f>
        <v>Kansgewogen</v>
      </c>
      <c r="S108" s="46"/>
      <c r="T108" s="47"/>
      <c r="U108" s="46"/>
      <c r="AA108" s="47"/>
      <c r="AB108" s="47"/>
      <c r="AC108" s="47"/>
      <c r="AD108" s="47"/>
      <c r="AF108" s="67"/>
      <c r="AG108" s="67"/>
      <c r="AH108" s="67"/>
      <c r="AJ108" s="47"/>
    </row>
    <row r="109" spans="1:36">
      <c r="A109" s="54" t="str">
        <f>IF(A94&lt;&gt;"",A94,"")</f>
        <v>Nominale matching</v>
      </c>
      <c r="B109" s="253">
        <v>0.57446773586607058</v>
      </c>
      <c r="C109" s="49">
        <v>4.1292449738349869E-2</v>
      </c>
      <c r="D109" s="50">
        <v>0.54547997783863766</v>
      </c>
      <c r="E109" s="1">
        <v>0.57323410270427078</v>
      </c>
      <c r="F109" s="51">
        <v>0.60131540757654234</v>
      </c>
      <c r="G109" s="2">
        <v>-0.4792475008722959</v>
      </c>
      <c r="H109" s="2">
        <v>3.497055406506452E-3</v>
      </c>
      <c r="I109" s="2">
        <v>-0.42500117450277058</v>
      </c>
      <c r="J109" s="2">
        <v>-0.32721320852803903</v>
      </c>
      <c r="K109" s="2">
        <v>-0.38133730923916104</v>
      </c>
      <c r="L109" s="2">
        <v>-0.33303362944941589</v>
      </c>
      <c r="M109" s="2">
        <v>-0.81456966474121661</v>
      </c>
      <c r="N109" s="2">
        <v>-0.14303852019916122</v>
      </c>
      <c r="O109" s="64">
        <v>0.99999999999992162</v>
      </c>
      <c r="R109" s="46" t="str">
        <f>IF(A109&lt;&gt;"",A109,"")</f>
        <v>Nominale matching</v>
      </c>
      <c r="S109" s="47">
        <f>IF(A109&lt;&gt;"",D109,"")</f>
        <v>0.54547997783863766</v>
      </c>
      <c r="T109" s="47">
        <f>IF(A109&lt;&gt;"",B109-D109,"")</f>
        <v>2.8987758027432919E-2</v>
      </c>
      <c r="U109" s="47">
        <f>IF(A109&lt;&gt;"",F109-B109,"")</f>
        <v>2.6847671710471754E-2</v>
      </c>
      <c r="AA109" s="47"/>
      <c r="AB109" s="47"/>
      <c r="AC109" s="47"/>
      <c r="AD109" s="47"/>
      <c r="AF109" s="67"/>
      <c r="AG109" s="67"/>
      <c r="AH109" s="67"/>
      <c r="AJ109" s="47"/>
    </row>
    <row r="110" spans="1:36">
      <c r="A110" s="54" t="str">
        <f t="shared" ref="A110:A120" si="34">IF(A95&lt;&gt;"",A95,"")</f>
        <v>High Yield</v>
      </c>
      <c r="B110" s="253">
        <v>0.17463533069014747</v>
      </c>
      <c r="C110" s="49">
        <v>8.30016178064239E-2</v>
      </c>
      <c r="D110" s="50">
        <v>0.10553247022509643</v>
      </c>
      <c r="E110" s="1">
        <v>0.17179093647059637</v>
      </c>
      <c r="F110" s="51">
        <v>0.22619828048449075</v>
      </c>
      <c r="G110" s="2">
        <v>1</v>
      </c>
      <c r="H110" s="2">
        <v>-8.3499620709110309E-2</v>
      </c>
      <c r="I110" s="2">
        <v>-0.23594898896671615</v>
      </c>
      <c r="J110" s="2">
        <v>-0.212522402429172</v>
      </c>
      <c r="K110" s="2">
        <v>-0.19457091503381349</v>
      </c>
      <c r="L110" s="2">
        <v>-0.15130373559778909</v>
      </c>
      <c r="M110" s="2">
        <v>3.2702757971716109E-2</v>
      </c>
      <c r="N110" s="2">
        <v>-0.14254449659753085</v>
      </c>
      <c r="O110" s="64">
        <v>0.99999999999993583</v>
      </c>
      <c r="R110" s="46" t="str">
        <f t="shared" ref="R110:R120" si="35">IF(A110&lt;&gt;"",A110,"")</f>
        <v>High Yield</v>
      </c>
      <c r="S110" s="47">
        <f t="shared" ref="S110:S120" si="36">IF(A110&lt;&gt;"",D110,"")</f>
        <v>0.10553247022509643</v>
      </c>
      <c r="T110" s="47">
        <f t="shared" ref="T110:T120" si="37">IF(A110&lt;&gt;"",B110-D110,"")</f>
        <v>6.9102860465051041E-2</v>
      </c>
      <c r="U110" s="47">
        <f t="shared" ref="U110:U120" si="38">IF(A110&lt;&gt;"",F110-B110,"")</f>
        <v>5.1562949794343282E-2</v>
      </c>
      <c r="AA110" s="47"/>
      <c r="AB110" s="47"/>
      <c r="AC110" s="47"/>
      <c r="AD110" s="47"/>
      <c r="AF110" s="67"/>
      <c r="AG110" s="67"/>
      <c r="AH110" s="67"/>
      <c r="AJ110" s="47"/>
    </row>
    <row r="111" spans="1:36">
      <c r="A111" s="54" t="str">
        <f t="shared" si="34"/>
        <v>Emerging market debt</v>
      </c>
      <c r="B111" s="253">
        <v>1.7111598310957168E-2</v>
      </c>
      <c r="C111" s="49">
        <v>1.432158654019443E-2</v>
      </c>
      <c r="D111" s="50">
        <v>6.0496414436424627E-3</v>
      </c>
      <c r="E111" s="1">
        <v>1.2801785704481965E-2</v>
      </c>
      <c r="F111" s="51">
        <v>2.473140252444159E-2</v>
      </c>
      <c r="G111" s="2">
        <v>-9.351057909013076E-3</v>
      </c>
      <c r="H111" s="2">
        <v>-3.6271602475711109E-2</v>
      </c>
      <c r="I111" s="2">
        <v>-2.11089201261387E-2</v>
      </c>
      <c r="J111" s="2">
        <v>1</v>
      </c>
      <c r="K111" s="2">
        <v>-0.20849002913960485</v>
      </c>
      <c r="L111" s="2">
        <v>-0.14318685950383925</v>
      </c>
      <c r="M111" s="2">
        <v>-8.9406164746849398E-2</v>
      </c>
      <c r="N111" s="2">
        <v>-0.1226735441376364</v>
      </c>
      <c r="O111" s="64">
        <v>0.99999999999993838</v>
      </c>
      <c r="R111" s="46" t="str">
        <f t="shared" si="35"/>
        <v>Emerging market debt</v>
      </c>
      <c r="S111" s="47">
        <f t="shared" si="36"/>
        <v>6.0496414436424627E-3</v>
      </c>
      <c r="T111" s="47">
        <f t="shared" si="37"/>
        <v>1.1061956867314706E-2</v>
      </c>
      <c r="U111" s="47">
        <f t="shared" si="38"/>
        <v>7.619804213484422E-3</v>
      </c>
      <c r="AA111" s="47"/>
      <c r="AB111" s="47"/>
      <c r="AC111" s="47"/>
      <c r="AD111" s="47"/>
      <c r="AF111" s="67"/>
      <c r="AG111" s="67"/>
      <c r="AH111" s="67"/>
      <c r="AJ111" s="47"/>
    </row>
    <row r="112" spans="1:36">
      <c r="A112" s="54" t="str">
        <f t="shared" si="34"/>
        <v>Aandelen ontwikkeld</v>
      </c>
      <c r="B112" s="253">
        <v>1.8072320878297075E-3</v>
      </c>
      <c r="C112" s="49">
        <v>2.3023465280507202E-3</v>
      </c>
      <c r="D112" s="50">
        <v>2.0879404510760271E-4</v>
      </c>
      <c r="E112" s="1">
        <v>9.0076079932845359E-4</v>
      </c>
      <c r="F112" s="51">
        <v>2.535543216490365E-3</v>
      </c>
      <c r="G112" s="2">
        <v>1.777154718541045E-3</v>
      </c>
      <c r="H112" s="2">
        <v>-1.30554788446925E-3</v>
      </c>
      <c r="I112" s="2">
        <v>-6.5374603649224041E-3</v>
      </c>
      <c r="J112" s="2">
        <v>-1.329230474412582E-2</v>
      </c>
      <c r="K112" s="2">
        <v>-9.9345800206102845E-3</v>
      </c>
      <c r="L112" s="2">
        <v>-6.6083436736025639E-2</v>
      </c>
      <c r="M112" s="2">
        <v>3.2243247038471583E-2</v>
      </c>
      <c r="N112" s="2">
        <v>1</v>
      </c>
      <c r="O112" s="64">
        <v>1</v>
      </c>
      <c r="R112" s="46" t="str">
        <f t="shared" si="35"/>
        <v>Aandelen ontwikkeld</v>
      </c>
      <c r="S112" s="47">
        <f t="shared" si="36"/>
        <v>2.0879404510760271E-4</v>
      </c>
      <c r="T112" s="47">
        <f t="shared" si="37"/>
        <v>1.5984380427221047E-3</v>
      </c>
      <c r="U112" s="47">
        <f t="shared" si="38"/>
        <v>7.2831112866065758E-4</v>
      </c>
      <c r="AA112" s="47"/>
      <c r="AB112" s="47"/>
      <c r="AC112" s="47"/>
      <c r="AD112" s="47"/>
      <c r="AF112" s="67"/>
      <c r="AG112" s="67"/>
      <c r="AH112" s="67"/>
      <c r="AJ112" s="47"/>
    </row>
    <row r="113" spans="1:36">
      <c r="A113" s="54" t="str">
        <f t="shared" si="34"/>
        <v>Aandelen opkomend</v>
      </c>
      <c r="B113" s="253">
        <v>5.2738284925458699E-2</v>
      </c>
      <c r="C113" s="49">
        <v>3.4380587826857975E-2</v>
      </c>
      <c r="D113" s="50">
        <v>2.458081843461438E-2</v>
      </c>
      <c r="E113" s="1">
        <v>4.8274989472190659E-2</v>
      </c>
      <c r="F113" s="51">
        <v>7.7053511910468317E-2</v>
      </c>
      <c r="G113" s="2">
        <v>-0.15426863517041586</v>
      </c>
      <c r="H113" s="2">
        <v>1</v>
      </c>
      <c r="I113" s="2">
        <v>-2.7897664143773353E-2</v>
      </c>
      <c r="J113" s="2">
        <v>-0.10395281722307394</v>
      </c>
      <c r="K113" s="2">
        <v>-4.4312475311776005E-2</v>
      </c>
      <c r="L113" s="2">
        <v>5.9846782685792251E-3</v>
      </c>
      <c r="M113" s="2">
        <v>0.71282551362478841</v>
      </c>
      <c r="N113" s="2">
        <v>-0.13637037726173404</v>
      </c>
      <c r="O113" s="64">
        <v>0.99999999999994837</v>
      </c>
      <c r="R113" s="46" t="str">
        <f t="shared" si="35"/>
        <v>Aandelen opkomend</v>
      </c>
      <c r="S113" s="47">
        <f t="shared" si="36"/>
        <v>2.458081843461438E-2</v>
      </c>
      <c r="T113" s="47">
        <f t="shared" si="37"/>
        <v>2.8157466490844319E-2</v>
      </c>
      <c r="U113" s="47">
        <f t="shared" si="38"/>
        <v>2.4315226985009618E-2</v>
      </c>
      <c r="AA113" s="47"/>
      <c r="AB113" s="47"/>
      <c r="AC113" s="47"/>
      <c r="AD113" s="47"/>
      <c r="AF113" s="67"/>
      <c r="AG113" s="67"/>
      <c r="AH113" s="67"/>
      <c r="AJ113" s="47"/>
    </row>
    <row r="114" spans="1:36">
      <c r="A114" s="54" t="str">
        <f t="shared" si="34"/>
        <v>Commodities</v>
      </c>
      <c r="B114" s="253">
        <v>0.13426825055505817</v>
      </c>
      <c r="C114" s="49">
        <v>3.5634492510686358E-2</v>
      </c>
      <c r="D114" s="50">
        <v>0.11162660614638936</v>
      </c>
      <c r="E114" s="1">
        <v>0.13491803527476348</v>
      </c>
      <c r="F114" s="51">
        <v>0.15849390842655287</v>
      </c>
      <c r="G114" s="2">
        <v>-0.31874459130729588</v>
      </c>
      <c r="H114" s="2">
        <v>-0.73081700869920241</v>
      </c>
      <c r="I114" s="2">
        <v>-0.216822779027905</v>
      </c>
      <c r="J114" s="2">
        <v>-0.1281730484247659</v>
      </c>
      <c r="K114" s="2">
        <v>1.0769686118535949E-2</v>
      </c>
      <c r="L114" s="2">
        <v>5.2386771031840147E-2</v>
      </c>
      <c r="M114" s="2">
        <v>1</v>
      </c>
      <c r="N114" s="2">
        <v>-0.14004825062328952</v>
      </c>
      <c r="O114" s="64">
        <v>0.99999999999995204</v>
      </c>
      <c r="R114" s="46" t="str">
        <f t="shared" si="35"/>
        <v>Commodities</v>
      </c>
      <c r="S114" s="47">
        <f t="shared" si="36"/>
        <v>0.11162660614638936</v>
      </c>
      <c r="T114" s="47">
        <f t="shared" si="37"/>
        <v>2.264164440866881E-2</v>
      </c>
      <c r="U114" s="47">
        <f t="shared" si="38"/>
        <v>2.4225657871494694E-2</v>
      </c>
      <c r="AA114" s="47"/>
      <c r="AB114" s="47"/>
      <c r="AC114" s="47"/>
      <c r="AD114" s="47"/>
      <c r="AF114" s="67"/>
      <c r="AG114" s="67"/>
      <c r="AH114" s="67"/>
      <c r="AJ114" s="47"/>
    </row>
    <row r="115" spans="1:36">
      <c r="A115" s="54" t="str">
        <f t="shared" si="34"/>
        <v>Hedge funds</v>
      </c>
      <c r="B115" s="253">
        <v>3.0129418415718142E-2</v>
      </c>
      <c r="C115" s="49">
        <v>2.3742997017360306E-2</v>
      </c>
      <c r="D115" s="50">
        <v>1.2733213190804019E-2</v>
      </c>
      <c r="E115" s="1">
        <v>2.4269525515101899E-2</v>
      </c>
      <c r="F115" s="51">
        <v>4.2569611967335975E-2</v>
      </c>
      <c r="G115" s="2">
        <v>-4.1317371729021377E-2</v>
      </c>
      <c r="H115" s="2">
        <v>-0.1494681049897888</v>
      </c>
      <c r="I115" s="2">
        <v>1</v>
      </c>
      <c r="J115" s="2">
        <v>-0.19905330409549424</v>
      </c>
      <c r="K115" s="2">
        <v>-0.165396018895138</v>
      </c>
      <c r="L115" s="2">
        <v>-0.15809746404435976</v>
      </c>
      <c r="M115" s="2">
        <v>-0.12712334515273266</v>
      </c>
      <c r="N115" s="2">
        <v>-0.1316074814682103</v>
      </c>
      <c r="O115" s="64">
        <v>0.99999999999993494</v>
      </c>
      <c r="R115" s="46" t="str">
        <f t="shared" si="35"/>
        <v>Hedge funds</v>
      </c>
      <c r="S115" s="47">
        <f t="shared" si="36"/>
        <v>1.2733213190804019E-2</v>
      </c>
      <c r="T115" s="47">
        <f t="shared" si="37"/>
        <v>1.7396205224914123E-2</v>
      </c>
      <c r="U115" s="47">
        <f t="shared" si="38"/>
        <v>1.2440193551617833E-2</v>
      </c>
    </row>
    <row r="116" spans="1:36">
      <c r="A116" s="54" t="str">
        <f t="shared" si="34"/>
        <v>Onroerend goed</v>
      </c>
      <c r="B116" s="253">
        <v>3.7487700182925196E-3</v>
      </c>
      <c r="C116" s="49">
        <v>3.8607003657837868E-3</v>
      </c>
      <c r="D116" s="50">
        <v>6.6619526005413281E-4</v>
      </c>
      <c r="E116" s="1">
        <v>2.4625519341369435E-3</v>
      </c>
      <c r="F116" s="51">
        <v>5.5036825946930042E-3</v>
      </c>
      <c r="G116" s="2">
        <v>1.4949031659071172E-3</v>
      </c>
      <c r="H116" s="2">
        <v>-7.0610991956262907E-3</v>
      </c>
      <c r="I116" s="2">
        <v>-2.0595793313942658E-2</v>
      </c>
      <c r="J116" s="2">
        <v>-2.1726774715792912E-2</v>
      </c>
      <c r="K116" s="2">
        <v>-6.7283584784352153E-3</v>
      </c>
      <c r="L116" s="2">
        <v>1</v>
      </c>
      <c r="M116" s="2">
        <v>-0.4210482924315882</v>
      </c>
      <c r="N116" s="2">
        <v>-5.9095161199325785E-2</v>
      </c>
      <c r="O116" s="64">
        <v>0.99999999999995859</v>
      </c>
      <c r="R116" s="46" t="str">
        <f t="shared" si="35"/>
        <v>Onroerend goed</v>
      </c>
      <c r="S116" s="47">
        <f t="shared" si="36"/>
        <v>6.6619526005413281E-4</v>
      </c>
      <c r="T116" s="47">
        <f t="shared" si="37"/>
        <v>3.0825747582383868E-3</v>
      </c>
      <c r="U116" s="47">
        <f t="shared" si="38"/>
        <v>1.7549125764004846E-3</v>
      </c>
    </row>
    <row r="117" spans="1:36">
      <c r="A117" s="54" t="str">
        <f t="shared" si="34"/>
        <v>Periferie bonds</v>
      </c>
      <c r="B117" s="253">
        <v>1.1093379130467653E-2</v>
      </c>
      <c r="C117" s="49">
        <v>9.8055524822028162E-3</v>
      </c>
      <c r="D117" s="50">
        <v>3.5371072657361391E-3</v>
      </c>
      <c r="E117" s="1">
        <v>8.5103883099709021E-3</v>
      </c>
      <c r="F117" s="51">
        <v>1.6022003785150452E-2</v>
      </c>
      <c r="G117" s="2">
        <v>-3.4290089640593216E-4</v>
      </c>
      <c r="H117" s="2">
        <v>4.9259285474015516E-3</v>
      </c>
      <c r="I117" s="2">
        <v>-4.6087219553831792E-2</v>
      </c>
      <c r="J117" s="2">
        <v>5.9338601604606855E-3</v>
      </c>
      <c r="K117" s="2">
        <v>1</v>
      </c>
      <c r="L117" s="2">
        <v>-0.20666632396901333</v>
      </c>
      <c r="M117" s="2">
        <v>-0.32562405156261798</v>
      </c>
      <c r="N117" s="2">
        <v>-0.12462216851317227</v>
      </c>
      <c r="O117" s="64">
        <v>0.9999999999999355</v>
      </c>
      <c r="R117" s="46" t="str">
        <f t="shared" si="35"/>
        <v>Periferie bonds</v>
      </c>
      <c r="S117" s="47">
        <f t="shared" si="36"/>
        <v>3.5371072657361391E-3</v>
      </c>
      <c r="T117" s="47">
        <f t="shared" si="37"/>
        <v>7.5562718647315136E-3</v>
      </c>
      <c r="U117" s="47">
        <f t="shared" si="38"/>
        <v>4.9286246546827988E-3</v>
      </c>
    </row>
    <row r="118" spans="1:36">
      <c r="A118" s="54" t="str">
        <f t="shared" si="34"/>
        <v/>
      </c>
      <c r="B118" s="253"/>
      <c r="C118" s="49"/>
      <c r="D118" s="50"/>
      <c r="E118" s="1"/>
      <c r="F118" s="51"/>
      <c r="G118" s="2"/>
      <c r="H118" s="2"/>
      <c r="I118" s="2"/>
      <c r="J118" s="2"/>
      <c r="K118" s="2"/>
      <c r="L118" s="2"/>
      <c r="M118" s="2"/>
      <c r="N118" s="2"/>
      <c r="O118" s="64"/>
      <c r="R118" s="46" t="str">
        <f t="shared" si="35"/>
        <v/>
      </c>
      <c r="S118" s="47" t="str">
        <f t="shared" si="36"/>
        <v/>
      </c>
      <c r="T118" s="47" t="str">
        <f t="shared" si="37"/>
        <v/>
      </c>
      <c r="U118" s="47" t="str">
        <f t="shared" si="38"/>
        <v/>
      </c>
    </row>
    <row r="119" spans="1:36">
      <c r="A119" s="54" t="str">
        <f t="shared" si="34"/>
        <v/>
      </c>
      <c r="B119" s="253"/>
      <c r="C119" s="49"/>
      <c r="D119" s="50"/>
      <c r="E119" s="1"/>
      <c r="F119" s="51"/>
      <c r="G119" s="2"/>
      <c r="H119" s="2"/>
      <c r="I119" s="2"/>
      <c r="J119" s="2"/>
      <c r="K119" s="2"/>
      <c r="L119" s="2"/>
      <c r="M119" s="2"/>
      <c r="N119" s="2"/>
      <c r="O119" s="64"/>
      <c r="R119" s="46" t="str">
        <f t="shared" si="35"/>
        <v/>
      </c>
      <c r="S119" s="47" t="str">
        <f t="shared" si="36"/>
        <v/>
      </c>
      <c r="T119" s="47" t="str">
        <f t="shared" si="37"/>
        <v/>
      </c>
      <c r="U119" s="47" t="str">
        <f t="shared" si="38"/>
        <v/>
      </c>
    </row>
    <row r="120" spans="1:36">
      <c r="A120" s="55" t="str">
        <f t="shared" si="34"/>
        <v/>
      </c>
      <c r="B120" s="254"/>
      <c r="C120" s="57"/>
      <c r="D120" s="58"/>
      <c r="E120" s="56"/>
      <c r="F120" s="59"/>
      <c r="G120" s="60"/>
      <c r="H120" s="60"/>
      <c r="I120" s="60"/>
      <c r="J120" s="60"/>
      <c r="K120" s="60"/>
      <c r="L120" s="60"/>
      <c r="M120" s="60"/>
      <c r="N120" s="60"/>
      <c r="O120" s="66"/>
      <c r="R120" s="46" t="str">
        <f t="shared" si="35"/>
        <v/>
      </c>
      <c r="S120" s="47" t="str">
        <f t="shared" si="36"/>
        <v/>
      </c>
      <c r="T120" s="47" t="str">
        <f t="shared" si="37"/>
        <v/>
      </c>
      <c r="U120" s="47" t="str">
        <f t="shared" si="38"/>
        <v/>
      </c>
    </row>
  </sheetData>
  <mergeCells count="14">
    <mergeCell ref="D107:F107"/>
    <mergeCell ref="G107:O107"/>
    <mergeCell ref="D2:F2"/>
    <mergeCell ref="G2:O2"/>
    <mergeCell ref="D17:F17"/>
    <mergeCell ref="G17:O17"/>
    <mergeCell ref="D32:F32"/>
    <mergeCell ref="G32:O32"/>
    <mergeCell ref="D47:F47"/>
    <mergeCell ref="G47:O47"/>
    <mergeCell ref="D62:F62"/>
    <mergeCell ref="G62:O62"/>
    <mergeCell ref="D77:F77"/>
    <mergeCell ref="G77:O77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6"/>
  <dimension ref="A1:AA153"/>
  <sheetViews>
    <sheetView topLeftCell="A79" zoomScale="85" zoomScaleNormal="85" workbookViewId="0">
      <selection activeCell="C31" sqref="C31"/>
    </sheetView>
  </sheetViews>
  <sheetFormatPr defaultRowHeight="15"/>
  <cols>
    <col min="1" max="1" width="32.28515625" customWidth="1"/>
    <col min="2" max="2" width="18.140625" customWidth="1"/>
    <col min="3" max="6" width="13.42578125" customWidth="1"/>
    <col min="16" max="16" width="20.5703125" bestFit="1" customWidth="1"/>
    <col min="17" max="17" width="30.5703125" customWidth="1"/>
    <col min="18" max="18" width="10.42578125" customWidth="1"/>
    <col min="25" max="25" width="19" customWidth="1"/>
  </cols>
  <sheetData>
    <row r="1" spans="1:23">
      <c r="A1" s="43" t="s">
        <v>90</v>
      </c>
    </row>
    <row r="2" spans="1:23">
      <c r="A2" s="44"/>
      <c r="D2" s="394" t="s">
        <v>64</v>
      </c>
      <c r="E2" s="395"/>
      <c r="F2" s="396"/>
      <c r="G2" s="394" t="s">
        <v>65</v>
      </c>
      <c r="H2" s="395"/>
      <c r="I2" s="395"/>
      <c r="J2" s="395"/>
      <c r="K2" s="395"/>
      <c r="L2" s="395"/>
      <c r="M2" s="395"/>
      <c r="N2" s="396"/>
    </row>
    <row r="3" spans="1:23">
      <c r="A3" s="237" t="str">
        <f>'Samenvatting mixen'!A3</f>
        <v>Evenwicht</v>
      </c>
      <c r="B3" s="238" t="s">
        <v>67</v>
      </c>
      <c r="C3" s="239" t="s">
        <v>2</v>
      </c>
      <c r="D3" s="240">
        <v>0.25</v>
      </c>
      <c r="E3" s="241">
        <v>0.5</v>
      </c>
      <c r="F3" s="242">
        <v>0.75</v>
      </c>
      <c r="G3" s="243">
        <v>0.4019162038467341</v>
      </c>
      <c r="H3" s="243">
        <v>0.28717855631880496</v>
      </c>
      <c r="I3" s="243">
        <v>0.16433637684678171</v>
      </c>
      <c r="J3" s="243">
        <v>7.2396135998920252E-2</v>
      </c>
      <c r="K3" s="243">
        <v>5.1596540237880073E-2</v>
      </c>
      <c r="L3" s="243">
        <v>2.2576186750875804E-2</v>
      </c>
      <c r="M3" s="243">
        <v>2.2204460492503131E-16</v>
      </c>
      <c r="N3" s="243"/>
      <c r="O3" s="244"/>
      <c r="Q3" s="46" t="str">
        <f>A3</f>
        <v>Evenwicht</v>
      </c>
    </row>
    <row r="4" spans="1:23">
      <c r="A4" s="48" t="str">
        <f>+'Samenvatting mixen'!A5</f>
        <v>High Yield</v>
      </c>
      <c r="B4" s="107">
        <v>0.1893061302676414</v>
      </c>
      <c r="C4" s="108">
        <v>0.10533421867518726</v>
      </c>
      <c r="D4" s="109">
        <v>7.7523703679179226E-2</v>
      </c>
      <c r="E4" s="107">
        <v>0.18387052233614809</v>
      </c>
      <c r="F4" s="110">
        <v>0.30757538367744763</v>
      </c>
      <c r="G4" s="2">
        <v>1</v>
      </c>
      <c r="H4" s="2">
        <v>0.65867260180023646</v>
      </c>
      <c r="I4" s="2">
        <v>0.13051974151461584</v>
      </c>
      <c r="J4" s="2">
        <v>-0.31313274189416612</v>
      </c>
      <c r="K4" s="2">
        <v>-0.18674721697475877</v>
      </c>
      <c r="L4" s="2">
        <v>-0.20457021444179699</v>
      </c>
      <c r="M4" s="2">
        <v>0.99999999999999933</v>
      </c>
      <c r="N4" s="52"/>
      <c r="O4" s="67"/>
      <c r="Q4" s="67" t="str">
        <f>A4</f>
        <v>High Yield</v>
      </c>
      <c r="R4" s="67">
        <f>D4</f>
        <v>7.7523703679179226E-2</v>
      </c>
      <c r="S4" s="47">
        <f>B4-D4</f>
        <v>0.11178242658846217</v>
      </c>
      <c r="T4" s="47">
        <f>F4-B4</f>
        <v>0.11826925340980624</v>
      </c>
      <c r="U4" s="47"/>
      <c r="V4" s="47"/>
      <c r="W4" s="47"/>
    </row>
    <row r="5" spans="1:23">
      <c r="A5" s="54" t="str">
        <f>+'Samenvatting mixen'!A6</f>
        <v>Emerging market debt</v>
      </c>
      <c r="B5" s="107">
        <v>0.17988745412157112</v>
      </c>
      <c r="C5" s="108">
        <v>0.10220273456865829</v>
      </c>
      <c r="D5" s="109">
        <v>7.2101864904390994E-2</v>
      </c>
      <c r="E5" s="107">
        <v>0.1665383286011983</v>
      </c>
      <c r="F5" s="110">
        <v>0.28724148377336972</v>
      </c>
      <c r="G5" s="2">
        <v>-0.84429570871613857</v>
      </c>
      <c r="H5" s="2">
        <v>1</v>
      </c>
      <c r="I5" s="2">
        <v>0.15283936823980868</v>
      </c>
      <c r="J5" s="2">
        <v>-0.31056204761571454</v>
      </c>
      <c r="K5" s="2">
        <v>-0.16397535689778608</v>
      </c>
      <c r="L5" s="2">
        <v>-0.18865805169705288</v>
      </c>
      <c r="M5" s="2">
        <v>0.99999999999999956</v>
      </c>
      <c r="N5" s="52"/>
      <c r="O5" s="67"/>
      <c r="Q5" s="67" t="str">
        <f t="shared" ref="Q5:Q10" si="0">A5</f>
        <v>Emerging market debt</v>
      </c>
      <c r="R5" s="67">
        <f t="shared" ref="R5:R10" si="1">D5</f>
        <v>7.2101864904390994E-2</v>
      </c>
      <c r="S5" s="47">
        <f t="shared" ref="S5:S10" si="2">B5-D5</f>
        <v>0.10778558921718012</v>
      </c>
      <c r="T5" s="47">
        <f t="shared" ref="T5:T10" si="3">F5-B5</f>
        <v>0.1073540296517986</v>
      </c>
      <c r="U5" s="47"/>
      <c r="V5" s="47"/>
      <c r="W5" s="47"/>
    </row>
    <row r="6" spans="1:23">
      <c r="A6" s="54" t="str">
        <f>+'Samenvatting mixen'!A7</f>
        <v>Aandelen ontwikkeld</v>
      </c>
      <c r="B6" s="107">
        <v>0.19511936248529493</v>
      </c>
      <c r="C6" s="108">
        <v>5.4342647784118514E-2</v>
      </c>
      <c r="D6" s="109">
        <v>0.13836433077278346</v>
      </c>
      <c r="E6" s="107">
        <v>0.19545652883993458</v>
      </c>
      <c r="F6" s="110">
        <v>0.24968573802132732</v>
      </c>
      <c r="G6" s="2">
        <v>4.1783086166723112E-2</v>
      </c>
      <c r="H6" s="2">
        <v>0.4152081346860047</v>
      </c>
      <c r="I6" s="2">
        <v>-0.1516940168224109</v>
      </c>
      <c r="J6" s="2">
        <v>1</v>
      </c>
      <c r="K6" s="2">
        <v>0.10413455640853729</v>
      </c>
      <c r="L6" s="2">
        <v>-9.2378366234370596E-2</v>
      </c>
      <c r="M6" s="2">
        <v>0.99999999999999933</v>
      </c>
      <c r="N6" s="52"/>
      <c r="O6" s="67"/>
      <c r="Q6" s="67" t="str">
        <f t="shared" si="0"/>
        <v>Aandelen ontwikkeld</v>
      </c>
      <c r="R6" s="67">
        <f t="shared" si="1"/>
        <v>0.13836433077278346</v>
      </c>
      <c r="S6" s="47">
        <f t="shared" si="2"/>
        <v>5.6755031712511478E-2</v>
      </c>
      <c r="T6" s="47">
        <f t="shared" si="3"/>
        <v>5.4566375536032385E-2</v>
      </c>
      <c r="U6" s="47"/>
      <c r="V6" s="47"/>
      <c r="W6" s="47"/>
    </row>
    <row r="7" spans="1:23">
      <c r="A7" s="54" t="str">
        <f>+'Samenvatting mixen'!A8</f>
        <v>Aandelen opkomend</v>
      </c>
      <c r="B7" s="107">
        <v>0.12322751596492687</v>
      </c>
      <c r="C7" s="108">
        <v>4.689203838391201E-2</v>
      </c>
      <c r="D7" s="109">
        <v>7.3678396828209328E-2</v>
      </c>
      <c r="E7" s="107">
        <v>0.12349391342067817</v>
      </c>
      <c r="F7" s="110">
        <v>0.17169586521140665</v>
      </c>
      <c r="G7" s="2">
        <v>-2.2137926007272515E-2</v>
      </c>
      <c r="H7" s="2">
        <v>-0.33660223770512399</v>
      </c>
      <c r="I7" s="2">
        <v>-0.1952520490032989</v>
      </c>
      <c r="J7" s="2">
        <v>-0.26059620347352969</v>
      </c>
      <c r="K7" s="2">
        <v>1</v>
      </c>
      <c r="L7" s="2">
        <v>-0.14417050967310077</v>
      </c>
      <c r="M7" s="2">
        <v>1</v>
      </c>
      <c r="N7" s="52"/>
      <c r="O7" s="67"/>
      <c r="Q7" s="67" t="str">
        <f t="shared" si="0"/>
        <v>Aandelen opkomend</v>
      </c>
      <c r="R7" s="67">
        <f t="shared" si="1"/>
        <v>7.3678396828209328E-2</v>
      </c>
      <c r="S7" s="47">
        <f t="shared" si="2"/>
        <v>4.9549119136717543E-2</v>
      </c>
      <c r="T7" s="47">
        <f t="shared" si="3"/>
        <v>4.8468349246479775E-2</v>
      </c>
      <c r="U7" s="47"/>
      <c r="V7" s="47"/>
      <c r="W7" s="47"/>
    </row>
    <row r="8" spans="1:23">
      <c r="A8" s="54" t="str">
        <f>+'Samenvatting mixen'!A9</f>
        <v>Commodities</v>
      </c>
      <c r="B8" s="107">
        <v>5.0285538433716956E-2</v>
      </c>
      <c r="C8" s="108">
        <v>2.8032283153565561E-2</v>
      </c>
      <c r="D8" s="109">
        <v>2.0173423169925982E-2</v>
      </c>
      <c r="E8" s="107">
        <v>4.9187616478122823E-2</v>
      </c>
      <c r="F8" s="110">
        <v>8.0453498710918364E-2</v>
      </c>
      <c r="G8" s="2">
        <v>1.1060550110331649E-2</v>
      </c>
      <c r="H8" s="2">
        <v>-2.1100044111946165E-3</v>
      </c>
      <c r="I8" s="2">
        <v>-3.6397930090485968E-2</v>
      </c>
      <c r="J8" s="2">
        <v>-8.1314363825982852E-2</v>
      </c>
      <c r="K8" s="2">
        <v>-5.5614469388555673E-2</v>
      </c>
      <c r="L8" s="2">
        <v>1</v>
      </c>
      <c r="M8" s="2">
        <v>0.99999999999999711</v>
      </c>
      <c r="N8" s="52"/>
      <c r="O8" s="67"/>
      <c r="Q8" s="67" t="str">
        <f t="shared" si="0"/>
        <v>Commodities</v>
      </c>
      <c r="R8" s="67">
        <f t="shared" si="1"/>
        <v>2.0173423169925982E-2</v>
      </c>
      <c r="S8" s="47">
        <f t="shared" si="2"/>
        <v>3.0112115263790974E-2</v>
      </c>
      <c r="T8" s="47">
        <f t="shared" si="3"/>
        <v>3.0167960277201408E-2</v>
      </c>
      <c r="U8" s="47"/>
      <c r="V8" s="47"/>
      <c r="W8" s="47"/>
    </row>
    <row r="9" spans="1:23">
      <c r="A9" s="54" t="str">
        <f>+'Samenvatting mixen'!A10</f>
        <v>Hedge funds</v>
      </c>
      <c r="B9" s="107">
        <v>0.12610530136449027</v>
      </c>
      <c r="C9" s="108">
        <v>7.3983093130255778E-2</v>
      </c>
      <c r="D9" s="109">
        <v>4.4880843106858817E-2</v>
      </c>
      <c r="E9" s="107">
        <v>0.11757619972976338</v>
      </c>
      <c r="F9" s="110">
        <v>0.20613313426049545</v>
      </c>
      <c r="G9" s="2">
        <v>-9.8604601244596787E-2</v>
      </c>
      <c r="H9" s="2">
        <v>-0.78606999012079515</v>
      </c>
      <c r="I9" s="2">
        <v>-0.90001511383822896</v>
      </c>
      <c r="J9" s="2">
        <v>-0.11609547359624726</v>
      </c>
      <c r="K9" s="2">
        <v>-0.50328967449373396</v>
      </c>
      <c r="L9" s="2">
        <v>-0.22104707539925347</v>
      </c>
      <c r="M9" s="2">
        <v>0.99999999999999922</v>
      </c>
      <c r="N9" s="52"/>
      <c r="O9" s="67"/>
      <c r="Q9" s="67" t="str">
        <f t="shared" si="0"/>
        <v>Hedge funds</v>
      </c>
      <c r="R9" s="67">
        <f t="shared" si="1"/>
        <v>4.4880843106858817E-2</v>
      </c>
      <c r="S9" s="47">
        <f t="shared" si="2"/>
        <v>8.1224458257631457E-2</v>
      </c>
      <c r="T9" s="47">
        <f t="shared" si="3"/>
        <v>8.002783289600518E-2</v>
      </c>
      <c r="U9" s="47"/>
      <c r="V9" s="47"/>
      <c r="W9" s="47"/>
    </row>
    <row r="10" spans="1:23">
      <c r="A10" s="54" t="str">
        <f>+'Samenvatting mixen'!A11</f>
        <v>Onroerend goed</v>
      </c>
      <c r="B10" s="107">
        <v>0.13606869736235841</v>
      </c>
      <c r="C10" s="108">
        <v>8.209915604933421E-2</v>
      </c>
      <c r="D10" s="109">
        <v>4.5840528997215114E-2</v>
      </c>
      <c r="E10" s="107">
        <v>0.12995807882156671</v>
      </c>
      <c r="F10" s="110">
        <v>0.22591056184951297</v>
      </c>
      <c r="G10" s="2">
        <v>-8.7805400309046558E-2</v>
      </c>
      <c r="H10" s="2">
        <v>-0.94909850424912778</v>
      </c>
      <c r="I10" s="2">
        <v>1</v>
      </c>
      <c r="J10" s="2">
        <v>8.1700830405640246E-2</v>
      </c>
      <c r="K10" s="2">
        <v>-0.19450783865370366</v>
      </c>
      <c r="L10" s="2">
        <v>-0.14917578255442313</v>
      </c>
      <c r="M10" s="2">
        <v>0.99999999999999878</v>
      </c>
      <c r="N10" s="52"/>
      <c r="O10" s="67"/>
      <c r="Q10" s="67" t="str">
        <f t="shared" si="0"/>
        <v>Onroerend goed</v>
      </c>
      <c r="R10" s="67">
        <f t="shared" si="1"/>
        <v>4.5840528997215114E-2</v>
      </c>
      <c r="S10" s="47">
        <f t="shared" si="2"/>
        <v>9.0228168365143302E-2</v>
      </c>
      <c r="T10" s="47">
        <f t="shared" si="3"/>
        <v>8.984186448715456E-2</v>
      </c>
      <c r="U10" s="47"/>
      <c r="V10" s="47"/>
      <c r="W10" s="47"/>
    </row>
    <row r="11" spans="1:23">
      <c r="A11" s="54"/>
      <c r="B11" s="107"/>
      <c r="C11" s="108"/>
      <c r="D11" s="109"/>
      <c r="E11" s="107"/>
      <c r="F11" s="110"/>
      <c r="G11" s="2"/>
      <c r="H11" s="2"/>
      <c r="I11" s="2"/>
      <c r="J11" s="2"/>
      <c r="K11" s="2"/>
      <c r="L11" s="2"/>
      <c r="M11" s="2"/>
      <c r="N11" s="52"/>
      <c r="O11" s="67"/>
      <c r="Q11" s="67"/>
      <c r="R11" s="67"/>
      <c r="S11" s="47"/>
      <c r="T11" s="47"/>
      <c r="U11" s="47"/>
      <c r="V11" s="47"/>
    </row>
    <row r="12" spans="1:23">
      <c r="A12" s="54"/>
      <c r="B12" s="107"/>
      <c r="C12" s="108"/>
      <c r="D12" s="109"/>
      <c r="E12" s="107"/>
      <c r="F12" s="110"/>
      <c r="G12" s="2"/>
      <c r="H12" s="2"/>
      <c r="I12" s="2"/>
      <c r="J12" s="2"/>
      <c r="K12" s="2"/>
      <c r="L12" s="2"/>
      <c r="M12" s="2"/>
      <c r="N12" s="52"/>
      <c r="O12" s="67"/>
      <c r="Q12" s="67"/>
      <c r="R12" s="67"/>
      <c r="S12" s="47"/>
      <c r="T12" s="47"/>
      <c r="U12" s="47"/>
      <c r="V12" s="47"/>
    </row>
    <row r="13" spans="1:23">
      <c r="A13" s="54"/>
      <c r="B13" s="107"/>
      <c r="C13" s="108"/>
      <c r="D13" s="109"/>
      <c r="E13" s="107"/>
      <c r="F13" s="110"/>
      <c r="G13" s="2"/>
      <c r="H13" s="2"/>
      <c r="I13" s="2"/>
      <c r="J13" s="2"/>
      <c r="K13" s="2"/>
      <c r="L13" s="2"/>
      <c r="M13" s="2"/>
      <c r="N13" s="52"/>
      <c r="O13" s="67"/>
      <c r="Q13" s="67"/>
      <c r="R13" s="67"/>
      <c r="S13" s="47"/>
      <c r="T13" s="47"/>
      <c r="U13" s="47"/>
      <c r="V13" s="47"/>
    </row>
    <row r="14" spans="1:23">
      <c r="A14" s="55"/>
      <c r="B14" s="111"/>
      <c r="C14" s="112"/>
      <c r="D14" s="113"/>
      <c r="E14" s="111"/>
      <c r="F14" s="114"/>
      <c r="G14" s="60"/>
      <c r="H14" s="60"/>
      <c r="I14" s="60"/>
      <c r="J14" s="60"/>
      <c r="K14" s="60"/>
      <c r="L14" s="60"/>
      <c r="M14" s="60"/>
      <c r="N14" s="61"/>
      <c r="O14" s="67"/>
      <c r="Q14" s="67"/>
      <c r="R14" s="67"/>
      <c r="S14" s="47"/>
      <c r="T14" s="47"/>
      <c r="U14" s="47"/>
      <c r="V14" s="47"/>
    </row>
    <row r="16" spans="1:23">
      <c r="A16" s="43" t="s">
        <v>68</v>
      </c>
      <c r="D16" s="394" t="s">
        <v>64</v>
      </c>
      <c r="E16" s="395"/>
      <c r="F16" s="396"/>
      <c r="G16" s="394" t="s">
        <v>65</v>
      </c>
      <c r="H16" s="395"/>
      <c r="I16" s="395"/>
      <c r="J16" s="395"/>
      <c r="K16" s="395"/>
      <c r="L16" s="395"/>
      <c r="M16" s="395"/>
      <c r="N16" s="396"/>
      <c r="T16" s="43"/>
      <c r="U16" s="43"/>
    </row>
    <row r="17" spans="1:24">
      <c r="A17" s="237" t="str">
        <f>'Samenvatting mixen'!A18</f>
        <v>Base Case</v>
      </c>
      <c r="B17" s="238" t="s">
        <v>1</v>
      </c>
      <c r="C17" s="239" t="s">
        <v>2</v>
      </c>
      <c r="D17" s="240">
        <v>0.25</v>
      </c>
      <c r="E17" s="241">
        <v>0.5</v>
      </c>
      <c r="F17" s="242">
        <v>0.75</v>
      </c>
      <c r="G17" s="243">
        <v>0.74031071575333507</v>
      </c>
      <c r="H17" s="243">
        <v>0.11607118391386151</v>
      </c>
      <c r="I17" s="243">
        <v>9.1831107977294768E-2</v>
      </c>
      <c r="J17" s="243">
        <v>4.7024019388314242E-2</v>
      </c>
      <c r="K17" s="243">
        <v>3.9164348311543362E-3</v>
      </c>
      <c r="L17" s="243">
        <v>8.4653813603363659E-4</v>
      </c>
      <c r="M17" s="243">
        <v>0</v>
      </c>
      <c r="N17" s="243"/>
      <c r="O17" s="244"/>
      <c r="Q17" s="46" t="str">
        <f>A17</f>
        <v>Base Case</v>
      </c>
    </row>
    <row r="18" spans="1:24">
      <c r="A18" s="48" t="str">
        <f>A4</f>
        <v>High Yield</v>
      </c>
      <c r="B18" s="107">
        <v>0.23577701527791628</v>
      </c>
      <c r="C18" s="108">
        <v>0.13282199227996005</v>
      </c>
      <c r="D18" s="109">
        <v>9.5304615523685604E-2</v>
      </c>
      <c r="E18" s="107">
        <v>0.22268813755612707</v>
      </c>
      <c r="F18" s="110">
        <v>0.37088188367648245</v>
      </c>
      <c r="G18" s="2">
        <v>1</v>
      </c>
      <c r="H18" s="2">
        <v>-0.3178125581149378</v>
      </c>
      <c r="I18" s="2">
        <v>-0.26093929604090943</v>
      </c>
      <c r="J18" s="2">
        <v>-0.2178555858011485</v>
      </c>
      <c r="K18" s="2">
        <v>-0.21634487347929382</v>
      </c>
      <c r="L18" s="2">
        <v>-0.16571505403912265</v>
      </c>
      <c r="M18" s="2">
        <v>0.99999999999999911</v>
      </c>
      <c r="N18" s="52"/>
      <c r="Q18" s="46" t="str">
        <f t="shared" ref="Q18:Q24" si="4">A18</f>
        <v>High Yield</v>
      </c>
      <c r="R18" s="67">
        <f>D18</f>
        <v>9.5304615523685604E-2</v>
      </c>
      <c r="S18" s="47">
        <f>B18-D18</f>
        <v>0.14047239975423068</v>
      </c>
      <c r="T18" s="47">
        <f>F18-B18</f>
        <v>0.13510486839856617</v>
      </c>
      <c r="U18" s="47"/>
    </row>
    <row r="19" spans="1:24">
      <c r="A19" s="54" t="str">
        <f t="shared" ref="A19:A24" si="5">A5</f>
        <v>Emerging market debt</v>
      </c>
      <c r="B19" s="107">
        <v>4.516169010955897E-2</v>
      </c>
      <c r="C19" s="108">
        <v>3.8584568524031665E-2</v>
      </c>
      <c r="D19" s="109">
        <v>1.0080629740565394E-2</v>
      </c>
      <c r="E19" s="107">
        <v>3.423862540832092E-2</v>
      </c>
      <c r="F19" s="110">
        <v>7.9898766380699773E-2</v>
      </c>
      <c r="G19" s="2">
        <v>-6.5836327054349164E-2</v>
      </c>
      <c r="H19" s="2">
        <v>-6.5658916872625678E-2</v>
      </c>
      <c r="I19" s="2">
        <v>-5.8103030101013066E-2</v>
      </c>
      <c r="J19" s="2">
        <v>1</v>
      </c>
      <c r="K19" s="2">
        <v>-0.15394509943874812</v>
      </c>
      <c r="L19" s="2">
        <v>-0.15031444380816866</v>
      </c>
      <c r="M19" s="2">
        <v>0.99999999999999756</v>
      </c>
      <c r="N19" s="52"/>
      <c r="Q19" s="46" t="str">
        <f t="shared" si="4"/>
        <v>Emerging market debt</v>
      </c>
      <c r="R19" s="67">
        <f t="shared" ref="R19:R24" si="6">D19</f>
        <v>1.0080629740565394E-2</v>
      </c>
      <c r="S19" s="47">
        <f t="shared" ref="S19:S24" si="7">B19-D19</f>
        <v>3.5081060368993576E-2</v>
      </c>
      <c r="T19" s="47">
        <f t="shared" ref="T19:T24" si="8">F19-B19</f>
        <v>3.4737076271140803E-2</v>
      </c>
      <c r="U19" s="47"/>
    </row>
    <row r="20" spans="1:24">
      <c r="A20" s="54" t="str">
        <f t="shared" si="5"/>
        <v>Aandelen ontwikkeld</v>
      </c>
      <c r="B20" s="107">
        <v>4.7456005134116032E-3</v>
      </c>
      <c r="C20" s="108">
        <v>5.2134525447881256E-3</v>
      </c>
      <c r="D20" s="109">
        <v>3.1098054798629564E-4</v>
      </c>
      <c r="E20" s="107">
        <v>2.7033708404513596E-3</v>
      </c>
      <c r="F20" s="110">
        <v>9.9324668520615628E-3</v>
      </c>
      <c r="G20" s="2">
        <v>-2.5149327874538405E-3</v>
      </c>
      <c r="H20" s="2">
        <v>1.1426874053082024E-4</v>
      </c>
      <c r="I20" s="2">
        <v>-9.9986750670455048E-3</v>
      </c>
      <c r="J20" s="2">
        <v>-1.4668075860528229E-2</v>
      </c>
      <c r="K20" s="2">
        <v>2.1944775684048883E-2</v>
      </c>
      <c r="L20" s="2">
        <v>1</v>
      </c>
      <c r="M20" s="2">
        <v>0.99999999999997502</v>
      </c>
      <c r="N20" s="52"/>
      <c r="Q20" s="46" t="str">
        <f t="shared" si="4"/>
        <v>Aandelen ontwikkeld</v>
      </c>
      <c r="R20" s="67">
        <f t="shared" si="6"/>
        <v>3.1098054798629564E-4</v>
      </c>
      <c r="S20" s="47">
        <f t="shared" si="7"/>
        <v>4.4346199654253073E-3</v>
      </c>
      <c r="T20" s="47">
        <f t="shared" si="8"/>
        <v>5.1868663386499597E-3</v>
      </c>
      <c r="U20" s="47"/>
    </row>
    <row r="21" spans="1:24">
      <c r="A21" s="54" t="str">
        <f t="shared" si="5"/>
        <v>Aandelen opkomend</v>
      </c>
      <c r="B21" s="107">
        <v>7.156538990643746E-2</v>
      </c>
      <c r="C21" s="108">
        <v>5.8315286195927483E-2</v>
      </c>
      <c r="D21" s="109">
        <v>1.521987083539175E-2</v>
      </c>
      <c r="E21" s="107">
        <v>5.6146977814044027E-2</v>
      </c>
      <c r="F21" s="110">
        <v>0.12708665921436846</v>
      </c>
      <c r="G21" s="2">
        <v>-0.10571152771286559</v>
      </c>
      <c r="H21" s="2">
        <v>1</v>
      </c>
      <c r="I21" s="2">
        <v>-0.24657858172836164</v>
      </c>
      <c r="J21" s="2">
        <v>-0.19972520517814984</v>
      </c>
      <c r="K21" s="2">
        <v>-0.22247239903104868</v>
      </c>
      <c r="L21" s="2">
        <v>-0.16738286858425239</v>
      </c>
      <c r="M21" s="2">
        <v>0.99999999999999989</v>
      </c>
      <c r="N21" s="52"/>
      <c r="Q21" s="46" t="str">
        <f t="shared" si="4"/>
        <v>Aandelen opkomend</v>
      </c>
      <c r="R21" s="67">
        <f t="shared" si="6"/>
        <v>1.521987083539175E-2</v>
      </c>
      <c r="S21" s="47">
        <f t="shared" si="7"/>
        <v>5.6345519071045708E-2</v>
      </c>
      <c r="T21" s="47">
        <f t="shared" si="8"/>
        <v>5.5521269307930998E-2</v>
      </c>
      <c r="U21" s="47"/>
    </row>
    <row r="22" spans="1:24">
      <c r="A22" s="54" t="str">
        <f t="shared" si="5"/>
        <v>Commodities</v>
      </c>
      <c r="B22" s="107">
        <v>0.56125939804848646</v>
      </c>
      <c r="C22" s="108">
        <v>0.10522143232304454</v>
      </c>
      <c r="D22" s="109">
        <v>0.45501853734259429</v>
      </c>
      <c r="E22" s="107">
        <v>0.55921941720482726</v>
      </c>
      <c r="F22" s="110">
        <v>0.66964017001475895</v>
      </c>
      <c r="G22" s="2">
        <v>-0.74848395598529527</v>
      </c>
      <c r="H22" s="2">
        <v>-0.55431001157431292</v>
      </c>
      <c r="I22" s="2">
        <v>-0.40077746930147407</v>
      </c>
      <c r="J22" s="2">
        <v>-0.33329289740875373</v>
      </c>
      <c r="K22" s="2">
        <v>-0.23754685744798706</v>
      </c>
      <c r="L22" s="2">
        <v>-0.1713564726326999</v>
      </c>
      <c r="M22" s="2">
        <v>1</v>
      </c>
      <c r="N22" s="52"/>
      <c r="Q22" s="46" t="str">
        <f t="shared" si="4"/>
        <v>Commodities</v>
      </c>
      <c r="R22" s="67">
        <f t="shared" si="6"/>
        <v>0.45501853734259429</v>
      </c>
      <c r="S22" s="47">
        <f t="shared" si="7"/>
        <v>0.10624086070589217</v>
      </c>
      <c r="T22" s="47">
        <f t="shared" si="8"/>
        <v>0.10838077196627249</v>
      </c>
      <c r="U22" s="47"/>
    </row>
    <row r="23" spans="1:24">
      <c r="A23" s="54" t="str">
        <f t="shared" si="5"/>
        <v>Hedge funds</v>
      </c>
      <c r="B23" s="107">
        <v>7.0276101674922875E-2</v>
      </c>
      <c r="C23" s="108">
        <v>5.2300212890738704E-2</v>
      </c>
      <c r="D23" s="109">
        <v>1.9868438206004254E-2</v>
      </c>
      <c r="E23" s="107">
        <v>5.9562621162508551E-2</v>
      </c>
      <c r="F23" s="110">
        <v>0.12143808145321883</v>
      </c>
      <c r="G23" s="2">
        <v>-6.9148852723331433E-2</v>
      </c>
      <c r="H23" s="2">
        <v>-6.2320301182087749E-2</v>
      </c>
      <c r="I23" s="2">
        <v>1</v>
      </c>
      <c r="J23" s="2">
        <v>-0.18293114738380392</v>
      </c>
      <c r="K23" s="2">
        <v>-0.19163554628696311</v>
      </c>
      <c r="L23" s="2">
        <v>-0.15638283997619587</v>
      </c>
      <c r="M23" s="2">
        <v>0.99999999999999967</v>
      </c>
      <c r="N23" s="52"/>
      <c r="Q23" s="46" t="str">
        <f t="shared" si="4"/>
        <v>Hedge funds</v>
      </c>
      <c r="R23" s="67">
        <f t="shared" si="6"/>
        <v>1.9868438206004254E-2</v>
      </c>
      <c r="S23" s="47">
        <f t="shared" si="7"/>
        <v>5.0407663468918618E-2</v>
      </c>
      <c r="T23" s="47">
        <f t="shared" si="8"/>
        <v>5.1161979778295952E-2</v>
      </c>
      <c r="U23" s="47"/>
    </row>
    <row r="24" spans="1:24">
      <c r="A24" s="54" t="str">
        <f t="shared" si="5"/>
        <v>Onroerend goed</v>
      </c>
      <c r="B24" s="107">
        <v>1.1214804469266095E-2</v>
      </c>
      <c r="C24" s="108">
        <v>1.1180791041482209E-2</v>
      </c>
      <c r="D24" s="109">
        <v>1.7409154601443391E-3</v>
      </c>
      <c r="E24" s="107">
        <v>7.2319193238043747E-3</v>
      </c>
      <c r="F24" s="110">
        <v>2.1909260851275945E-2</v>
      </c>
      <c r="G24" s="2">
        <v>-8.3044037367039289E-3</v>
      </c>
      <c r="H24" s="2">
        <v>-1.2480996566554162E-5</v>
      </c>
      <c r="I24" s="2">
        <v>-2.3602947761196716E-2</v>
      </c>
      <c r="J24" s="2">
        <v>-5.152708836761434E-2</v>
      </c>
      <c r="K24" s="2">
        <v>1</v>
      </c>
      <c r="L24" s="2">
        <v>-0.18884832095953816</v>
      </c>
      <c r="M24" s="2">
        <v>0.99999999999999234</v>
      </c>
      <c r="N24" s="52"/>
      <c r="Q24" s="46" t="str">
        <f t="shared" si="4"/>
        <v>Onroerend goed</v>
      </c>
      <c r="R24" s="67">
        <f t="shared" si="6"/>
        <v>1.7409154601443391E-3</v>
      </c>
      <c r="S24" s="47">
        <f t="shared" si="7"/>
        <v>9.4738890091217564E-3</v>
      </c>
      <c r="T24" s="47">
        <f t="shared" si="8"/>
        <v>1.0694456382009851E-2</v>
      </c>
      <c r="U24" s="47"/>
    </row>
    <row r="25" spans="1:24">
      <c r="A25" s="54"/>
      <c r="B25" s="107"/>
      <c r="C25" s="108"/>
      <c r="D25" s="109"/>
      <c r="E25" s="107"/>
      <c r="F25" s="110"/>
      <c r="G25" s="2"/>
      <c r="H25" s="2"/>
      <c r="I25" s="2"/>
      <c r="J25" s="2"/>
      <c r="K25" s="2"/>
      <c r="L25" s="2"/>
      <c r="M25" s="2"/>
      <c r="N25" s="52"/>
      <c r="Q25" s="46"/>
      <c r="R25" s="67"/>
      <c r="S25" s="47"/>
      <c r="T25" s="47"/>
      <c r="U25" s="47"/>
      <c r="X25" s="46"/>
    </row>
    <row r="26" spans="1:24">
      <c r="A26" s="54"/>
      <c r="B26" s="107"/>
      <c r="C26" s="108"/>
      <c r="D26" s="109"/>
      <c r="E26" s="107"/>
      <c r="F26" s="110"/>
      <c r="G26" s="2"/>
      <c r="H26" s="2"/>
      <c r="I26" s="2"/>
      <c r="J26" s="2"/>
      <c r="K26" s="2"/>
      <c r="L26" s="2"/>
      <c r="M26" s="2"/>
      <c r="N26" s="52"/>
      <c r="Q26" s="46"/>
      <c r="R26" s="67"/>
      <c r="S26" s="47"/>
      <c r="T26" s="47"/>
      <c r="U26" s="47"/>
      <c r="W26" s="47"/>
    </row>
    <row r="27" spans="1:24">
      <c r="A27" s="54"/>
      <c r="B27" s="107"/>
      <c r="C27" s="108"/>
      <c r="D27" s="109"/>
      <c r="E27" s="107"/>
      <c r="F27" s="110"/>
      <c r="G27" s="2"/>
      <c r="H27" s="2"/>
      <c r="I27" s="2"/>
      <c r="J27" s="2"/>
      <c r="K27" s="2"/>
      <c r="L27" s="2"/>
      <c r="M27" s="2"/>
      <c r="N27" s="52"/>
      <c r="Q27" s="46"/>
      <c r="R27" s="67"/>
      <c r="S27" s="47"/>
      <c r="T27" s="47"/>
      <c r="U27" s="47"/>
      <c r="W27" s="47"/>
    </row>
    <row r="28" spans="1:24">
      <c r="A28" s="55"/>
      <c r="B28" s="111"/>
      <c r="C28" s="112"/>
      <c r="D28" s="113"/>
      <c r="E28" s="111"/>
      <c r="F28" s="114"/>
      <c r="G28" s="60"/>
      <c r="H28" s="60"/>
      <c r="I28" s="60"/>
      <c r="J28" s="60"/>
      <c r="K28" s="60"/>
      <c r="L28" s="60"/>
      <c r="M28" s="60"/>
      <c r="N28" s="61"/>
      <c r="Q28" s="46"/>
      <c r="R28" s="67"/>
      <c r="S28" s="47"/>
      <c r="T28" s="47"/>
      <c r="U28" s="47"/>
      <c r="W28" s="47"/>
    </row>
    <row r="29" spans="1:24">
      <c r="A29" s="115"/>
      <c r="B29" s="116"/>
      <c r="C29" s="116"/>
      <c r="D29" s="117"/>
      <c r="E29" s="117"/>
      <c r="F29" s="117"/>
      <c r="G29" s="118"/>
      <c r="H29" s="119"/>
      <c r="I29" s="118"/>
      <c r="J29" s="118"/>
      <c r="K29" s="118"/>
      <c r="L29" s="118"/>
      <c r="M29" s="118"/>
      <c r="N29" s="120"/>
      <c r="W29" s="47"/>
    </row>
    <row r="30" spans="1:24">
      <c r="A30" s="44"/>
      <c r="D30" s="394" t="s">
        <v>64</v>
      </c>
      <c r="E30" s="395"/>
      <c r="F30" s="396"/>
      <c r="G30" s="394" t="s">
        <v>65</v>
      </c>
      <c r="H30" s="395"/>
      <c r="I30" s="395"/>
      <c r="J30" s="395"/>
      <c r="K30" s="395"/>
      <c r="L30" s="395"/>
      <c r="M30" s="395"/>
      <c r="N30" s="396"/>
      <c r="O30" s="62"/>
      <c r="W30" s="47"/>
    </row>
    <row r="31" spans="1:24">
      <c r="A31" s="237" t="str">
        <f>'Samenvatting mixen'!A33</f>
        <v>Base - muddle down</v>
      </c>
      <c r="B31" s="238" t="s">
        <v>67</v>
      </c>
      <c r="C31" s="239" t="s">
        <v>2</v>
      </c>
      <c r="D31" s="240">
        <v>0.25</v>
      </c>
      <c r="E31" s="241">
        <v>0.5</v>
      </c>
      <c r="F31" s="242">
        <v>0.75</v>
      </c>
      <c r="G31" s="243">
        <v>0.79864726178174439</v>
      </c>
      <c r="H31" s="243">
        <v>0.14623123708459629</v>
      </c>
      <c r="I31" s="243">
        <v>3.0458412026499015E-2</v>
      </c>
      <c r="J31" s="243">
        <v>1.8848968624525231E-2</v>
      </c>
      <c r="K31" s="243">
        <v>4.2693044848112205E-3</v>
      </c>
      <c r="L31" s="243">
        <v>1.544815997827631E-3</v>
      </c>
      <c r="M31" s="243">
        <v>0</v>
      </c>
      <c r="N31" s="243"/>
      <c r="O31" s="244"/>
      <c r="Q31" s="46" t="str">
        <f>A31</f>
        <v>Base - muddle down</v>
      </c>
      <c r="W31" s="47"/>
    </row>
    <row r="32" spans="1:24">
      <c r="A32" s="54" t="str">
        <f>A4</f>
        <v>High Yield</v>
      </c>
      <c r="B32" s="107">
        <v>8.9024622978396261E-3</v>
      </c>
      <c r="C32" s="108">
        <v>9.7367605357514108E-3</v>
      </c>
      <c r="D32" s="109">
        <v>9.7331828190076893E-4</v>
      </c>
      <c r="E32" s="107">
        <v>5.8622029058235069E-3</v>
      </c>
      <c r="F32" s="110">
        <v>1.6236974241075536E-2</v>
      </c>
      <c r="G32" s="2">
        <v>-5.2336785313407807E-3</v>
      </c>
      <c r="H32" s="2">
        <v>5.5860232859309751E-2</v>
      </c>
      <c r="I32" s="2">
        <v>1</v>
      </c>
      <c r="J32" s="2">
        <v>-0.81650879157803202</v>
      </c>
      <c r="K32" s="2">
        <v>-0.23684379692571134</v>
      </c>
      <c r="L32" s="2">
        <v>-0.13642244001829573</v>
      </c>
      <c r="M32" s="2">
        <v>0.99999999999998523</v>
      </c>
      <c r="N32" s="52"/>
      <c r="O32" s="62"/>
      <c r="Q32" s="46" t="str">
        <f t="shared" ref="Q32:Q38" si="9">A32</f>
        <v>High Yield</v>
      </c>
      <c r="R32" s="67">
        <f>D32</f>
        <v>9.7331828190076893E-4</v>
      </c>
      <c r="S32" s="47">
        <f>B32-D32</f>
        <v>7.929144015938857E-3</v>
      </c>
      <c r="T32" s="47">
        <f>F32-B32</f>
        <v>7.3345119432359097E-3</v>
      </c>
      <c r="U32" s="47"/>
    </row>
    <row r="33" spans="1:24">
      <c r="A33" s="54" t="str">
        <f t="shared" ref="A33:A38" si="10">A5</f>
        <v>Emerging market debt</v>
      </c>
      <c r="B33" s="107">
        <v>6.1478749105533186E-2</v>
      </c>
      <c r="C33" s="108">
        <v>4.5405273726367788E-2</v>
      </c>
      <c r="D33" s="109">
        <v>1.7159244375471998E-2</v>
      </c>
      <c r="E33" s="107">
        <v>5.327746594279513E-2</v>
      </c>
      <c r="F33" s="110">
        <v>0.10751989875447848</v>
      </c>
      <c r="G33" s="2">
        <v>1</v>
      </c>
      <c r="H33" s="2">
        <v>-0.5449860231708572</v>
      </c>
      <c r="I33" s="2">
        <v>-0.52614224829872092</v>
      </c>
      <c r="J33" s="2">
        <v>-6.9329002747351709E-2</v>
      </c>
      <c r="K33" s="2">
        <v>-0.1948507063336638</v>
      </c>
      <c r="L33" s="2">
        <v>-0.14902737406571065</v>
      </c>
      <c r="M33" s="2">
        <v>0.99999999999998412</v>
      </c>
      <c r="N33" s="52"/>
      <c r="O33" s="62"/>
      <c r="Q33" s="46" t="str">
        <f t="shared" si="9"/>
        <v>Emerging market debt</v>
      </c>
      <c r="R33" s="67">
        <f t="shared" ref="R33:R38" si="11">D33</f>
        <v>1.7159244375471998E-2</v>
      </c>
      <c r="S33" s="47">
        <f t="shared" ref="S33:S38" si="12">B33-D33</f>
        <v>4.4319504730061188E-2</v>
      </c>
      <c r="T33" s="47">
        <f t="shared" ref="T33:T38" si="13">F33-B33</f>
        <v>4.6041149648945297E-2</v>
      </c>
      <c r="U33" s="47"/>
    </row>
    <row r="34" spans="1:24">
      <c r="A34" s="54" t="str">
        <f t="shared" si="10"/>
        <v>Aandelen ontwikkeld</v>
      </c>
      <c r="B34" s="107">
        <v>1.5320871687334739E-3</v>
      </c>
      <c r="C34" s="108">
        <v>2.5273241871881071E-3</v>
      </c>
      <c r="D34" s="109">
        <v>1.6123355805191399E-5</v>
      </c>
      <c r="E34" s="107">
        <v>5.5431097235591619E-4</v>
      </c>
      <c r="F34" s="110">
        <v>2.7104335647145199E-3</v>
      </c>
      <c r="G34" s="2">
        <v>-5.228200475449132E-3</v>
      </c>
      <c r="H34" s="2">
        <v>1.357408398609731E-3</v>
      </c>
      <c r="I34" s="2">
        <v>-3.8675860143410541E-3</v>
      </c>
      <c r="J34" s="2">
        <v>1.9816745159330042E-2</v>
      </c>
      <c r="K34" s="2">
        <v>8.1813539315327116E-2</v>
      </c>
      <c r="L34" s="2">
        <v>1</v>
      </c>
      <c r="M34" s="2">
        <v>1</v>
      </c>
      <c r="N34" s="52"/>
      <c r="O34" s="62"/>
      <c r="P34" s="67"/>
      <c r="Q34" s="46" t="str">
        <f t="shared" si="9"/>
        <v>Aandelen ontwikkeld</v>
      </c>
      <c r="R34" s="67">
        <f t="shared" si="11"/>
        <v>1.6123355805191399E-5</v>
      </c>
      <c r="S34" s="47">
        <f t="shared" si="12"/>
        <v>1.5159638129282826E-3</v>
      </c>
      <c r="T34" s="47">
        <f t="shared" si="13"/>
        <v>1.178346395981046E-3</v>
      </c>
      <c r="U34" s="47"/>
      <c r="V34" s="47"/>
    </row>
    <row r="35" spans="1:24">
      <c r="A35" s="54" t="str">
        <f t="shared" si="10"/>
        <v>Aandelen opkomend</v>
      </c>
      <c r="B35" s="107">
        <v>7.8028364818515817E-3</v>
      </c>
      <c r="C35" s="108">
        <v>9.0649832243677123E-3</v>
      </c>
      <c r="D35" s="109">
        <v>3.8766894616157349E-4</v>
      </c>
      <c r="E35" s="107">
        <v>4.4834099721580162E-3</v>
      </c>
      <c r="F35" s="110">
        <v>1.4955505384291929E-2</v>
      </c>
      <c r="G35" s="2">
        <v>-7.10387136499029E-3</v>
      </c>
      <c r="H35" s="2">
        <v>3.154605712762678E-2</v>
      </c>
      <c r="I35" s="2">
        <v>0.6959519755450323</v>
      </c>
      <c r="J35" s="2">
        <v>1</v>
      </c>
      <c r="K35" s="2">
        <v>-0.2414004470945445</v>
      </c>
      <c r="L35" s="2">
        <v>-0.1617414665929798</v>
      </c>
      <c r="M35" s="2">
        <v>0.99999999999998546</v>
      </c>
      <c r="N35" s="52"/>
      <c r="O35" s="62"/>
      <c r="P35" s="67"/>
      <c r="Q35" s="46" t="str">
        <f t="shared" si="9"/>
        <v>Aandelen opkomend</v>
      </c>
      <c r="R35" s="67">
        <f t="shared" si="11"/>
        <v>3.8766894616157349E-4</v>
      </c>
      <c r="S35" s="47">
        <f t="shared" si="12"/>
        <v>7.4151675356900083E-3</v>
      </c>
      <c r="T35" s="47">
        <f t="shared" si="13"/>
        <v>7.1526689024403473E-3</v>
      </c>
      <c r="U35" s="47"/>
      <c r="V35" s="47"/>
    </row>
    <row r="36" spans="1:24">
      <c r="A36" s="54" t="str">
        <f t="shared" si="10"/>
        <v>Commodities</v>
      </c>
      <c r="B36" s="107">
        <v>0.89428289701351427</v>
      </c>
      <c r="C36" s="108">
        <v>4.4679061224825754E-2</v>
      </c>
      <c r="D36" s="109">
        <v>0.84973198999984012</v>
      </c>
      <c r="E36" s="107">
        <v>0.89723566507248764</v>
      </c>
      <c r="F36" s="110">
        <v>0.93944594090809663</v>
      </c>
      <c r="G36" s="2">
        <v>-0.9823558512637619</v>
      </c>
      <c r="H36" s="2">
        <v>-0.54451071561742337</v>
      </c>
      <c r="I36" s="2">
        <v>-0.55371546212727063</v>
      </c>
      <c r="J36" s="2">
        <v>-7.4304166541022135E-2</v>
      </c>
      <c r="K36" s="2">
        <v>-0.2088227432140374</v>
      </c>
      <c r="L36" s="2">
        <v>-0.15412152675784183</v>
      </c>
      <c r="M36" s="2">
        <v>0.99999999999998523</v>
      </c>
      <c r="N36" s="52"/>
      <c r="O36" s="62"/>
      <c r="P36" s="67"/>
      <c r="Q36" s="46" t="str">
        <f t="shared" si="9"/>
        <v>Commodities</v>
      </c>
      <c r="R36" s="67">
        <f t="shared" si="11"/>
        <v>0.84973198999984012</v>
      </c>
      <c r="S36" s="47">
        <f t="shared" si="12"/>
        <v>4.4550907013674146E-2</v>
      </c>
      <c r="T36" s="47">
        <f t="shared" si="13"/>
        <v>4.5163043894582366E-2</v>
      </c>
      <c r="U36" s="47"/>
      <c r="V36" s="47"/>
    </row>
    <row r="37" spans="1:24">
      <c r="A37" s="54" t="str">
        <f t="shared" si="10"/>
        <v>Hedge funds</v>
      </c>
      <c r="B37" s="107">
        <v>2.2716338351636719E-2</v>
      </c>
      <c r="C37" s="108">
        <v>2.1407436233595908E-2</v>
      </c>
      <c r="D37" s="109">
        <v>3.7704170688989506E-3</v>
      </c>
      <c r="E37" s="107">
        <v>1.6949212730774647E-2</v>
      </c>
      <c r="F37" s="110">
        <v>4.1487141710006101E-2</v>
      </c>
      <c r="G37" s="2">
        <v>1.0614124095847614E-2</v>
      </c>
      <c r="H37" s="2">
        <v>1</v>
      </c>
      <c r="I37" s="2">
        <v>-0.66609318412257834</v>
      </c>
      <c r="J37" s="2">
        <v>-6.4208661223976921E-2</v>
      </c>
      <c r="K37" s="2">
        <v>-0.19989584574737274</v>
      </c>
      <c r="L37" s="2">
        <v>-0.15359350877686212</v>
      </c>
      <c r="M37" s="2">
        <v>0.99999999999998523</v>
      </c>
      <c r="N37" s="52"/>
      <c r="O37" s="62"/>
      <c r="P37" s="67"/>
      <c r="Q37" s="46" t="str">
        <f t="shared" si="9"/>
        <v>Hedge funds</v>
      </c>
      <c r="R37" s="67">
        <f t="shared" si="11"/>
        <v>3.7704170688989506E-3</v>
      </c>
      <c r="S37" s="47">
        <f t="shared" si="12"/>
        <v>1.8945921282737768E-2</v>
      </c>
      <c r="T37" s="47">
        <f t="shared" si="13"/>
        <v>1.8770803358369382E-2</v>
      </c>
      <c r="U37" s="47"/>
      <c r="V37" s="47"/>
      <c r="X37" s="46"/>
    </row>
    <row r="38" spans="1:24">
      <c r="A38" s="54" t="str">
        <f t="shared" si="10"/>
        <v>Onroerend goed</v>
      </c>
      <c r="B38" s="107">
        <v>3.2846295808913852E-3</v>
      </c>
      <c r="C38" s="108">
        <v>4.1187050655235842E-3</v>
      </c>
      <c r="D38" s="109">
        <v>1.5819886252651036E-4</v>
      </c>
      <c r="E38" s="107">
        <v>1.6663459413799099E-3</v>
      </c>
      <c r="F38" s="110">
        <v>6.6818058143059012E-3</v>
      </c>
      <c r="G38" s="2">
        <v>-1.0692522460304426E-2</v>
      </c>
      <c r="H38" s="2">
        <v>7.3304040273365005E-4</v>
      </c>
      <c r="I38" s="2">
        <v>5.3866505017877257E-2</v>
      </c>
      <c r="J38" s="2">
        <v>4.5338769310520775E-3</v>
      </c>
      <c r="K38" s="2">
        <v>1</v>
      </c>
      <c r="L38" s="2">
        <v>-0.24509368378832344</v>
      </c>
      <c r="M38" s="2">
        <v>0.99999999999998779</v>
      </c>
      <c r="N38" s="52"/>
      <c r="O38" s="62"/>
      <c r="P38" s="67"/>
      <c r="Q38" s="46" t="str">
        <f t="shared" si="9"/>
        <v>Onroerend goed</v>
      </c>
      <c r="R38" s="67">
        <f t="shared" si="11"/>
        <v>1.5819886252651036E-4</v>
      </c>
      <c r="S38" s="47">
        <f t="shared" si="12"/>
        <v>3.1264307183648749E-3</v>
      </c>
      <c r="T38" s="47">
        <f t="shared" si="13"/>
        <v>3.397176233414516E-3</v>
      </c>
      <c r="U38" s="47"/>
      <c r="V38" s="47"/>
      <c r="W38" s="47"/>
    </row>
    <row r="39" spans="1:24">
      <c r="A39" s="54"/>
      <c r="B39" s="107"/>
      <c r="C39" s="108"/>
      <c r="D39" s="109"/>
      <c r="E39" s="107"/>
      <c r="F39" s="110"/>
      <c r="G39" s="2"/>
      <c r="H39" s="2"/>
      <c r="I39" s="2"/>
      <c r="J39" s="2"/>
      <c r="K39" s="2"/>
      <c r="L39" s="2"/>
      <c r="M39" s="2"/>
      <c r="N39" s="52"/>
      <c r="O39" s="62"/>
      <c r="P39" s="67"/>
      <c r="Q39" s="46"/>
      <c r="R39" s="67"/>
      <c r="S39" s="47"/>
      <c r="T39" s="47"/>
      <c r="U39" s="47"/>
      <c r="V39" s="47"/>
      <c r="W39" s="47"/>
    </row>
    <row r="40" spans="1:24">
      <c r="A40" s="54"/>
      <c r="B40" s="107"/>
      <c r="C40" s="108"/>
      <c r="D40" s="109"/>
      <c r="E40" s="107"/>
      <c r="F40" s="110"/>
      <c r="G40" s="2"/>
      <c r="H40" s="2"/>
      <c r="I40" s="2"/>
      <c r="J40" s="2"/>
      <c r="K40" s="2"/>
      <c r="L40" s="2"/>
      <c r="M40" s="2"/>
      <c r="N40" s="52"/>
      <c r="O40" s="62"/>
      <c r="P40" s="67"/>
      <c r="Q40" s="46"/>
      <c r="R40" s="67"/>
      <c r="S40" s="47"/>
      <c r="T40" s="47"/>
      <c r="U40" s="47"/>
      <c r="V40" s="47"/>
      <c r="W40" s="47"/>
    </row>
    <row r="41" spans="1:24">
      <c r="A41" s="54"/>
      <c r="B41" s="107"/>
      <c r="C41" s="108"/>
      <c r="D41" s="109"/>
      <c r="E41" s="107"/>
      <c r="F41" s="110"/>
      <c r="G41" s="2"/>
      <c r="H41" s="2"/>
      <c r="I41" s="2"/>
      <c r="J41" s="2"/>
      <c r="K41" s="2"/>
      <c r="L41" s="2"/>
      <c r="M41" s="2"/>
      <c r="N41" s="52"/>
      <c r="O41" s="62"/>
      <c r="P41" s="67"/>
      <c r="Q41" s="46"/>
      <c r="R41" s="67"/>
      <c r="S41" s="47"/>
      <c r="T41" s="47"/>
      <c r="U41" s="47"/>
      <c r="V41" s="47"/>
      <c r="W41" s="47"/>
    </row>
    <row r="42" spans="1:24">
      <c r="A42" s="55"/>
      <c r="B42" s="111"/>
      <c r="C42" s="112"/>
      <c r="D42" s="113"/>
      <c r="E42" s="111"/>
      <c r="F42" s="114"/>
      <c r="G42" s="60"/>
      <c r="H42" s="60"/>
      <c r="I42" s="60"/>
      <c r="J42" s="60"/>
      <c r="K42" s="60"/>
      <c r="L42" s="60"/>
      <c r="M42" s="60"/>
      <c r="N42" s="61"/>
      <c r="O42" s="62"/>
      <c r="P42" s="67"/>
      <c r="Q42" s="46"/>
      <c r="R42" s="67"/>
      <c r="S42" s="47"/>
      <c r="T42" s="47"/>
      <c r="U42" s="47"/>
      <c r="V42" s="47"/>
      <c r="W42" s="47"/>
    </row>
    <row r="43" spans="1:24">
      <c r="A43" s="62"/>
      <c r="B43" s="107"/>
      <c r="C43" s="107"/>
      <c r="D43" s="107"/>
      <c r="E43" s="107"/>
      <c r="F43" s="107"/>
      <c r="G43" s="63"/>
      <c r="H43" s="63"/>
      <c r="I43" s="63"/>
      <c r="J43" s="63"/>
      <c r="K43" s="63"/>
      <c r="L43" s="63"/>
      <c r="M43" s="63"/>
      <c r="N43" s="63"/>
      <c r="O43" s="62"/>
      <c r="P43" s="67"/>
      <c r="Q43" s="67"/>
      <c r="R43" s="67"/>
      <c r="T43" s="47"/>
      <c r="U43" s="47"/>
      <c r="V43" s="47"/>
      <c r="W43" s="47"/>
    </row>
    <row r="44" spans="1:24">
      <c r="A44" s="44"/>
      <c r="D44" s="394" t="s">
        <v>64</v>
      </c>
      <c r="E44" s="395"/>
      <c r="F44" s="396"/>
      <c r="G44" s="394" t="s">
        <v>65</v>
      </c>
      <c r="H44" s="395"/>
      <c r="I44" s="395"/>
      <c r="J44" s="395"/>
      <c r="K44" s="395"/>
      <c r="L44" s="395"/>
      <c r="M44" s="395"/>
      <c r="N44" s="396"/>
      <c r="O44" s="62"/>
    </row>
    <row r="45" spans="1:24">
      <c r="A45" s="237" t="str">
        <f>'Samenvatting mixen'!A48</f>
        <v>Base - muddle up</v>
      </c>
      <c r="B45" s="238" t="s">
        <v>67</v>
      </c>
      <c r="C45" s="239" t="s">
        <v>2</v>
      </c>
      <c r="D45" s="240">
        <v>0.25</v>
      </c>
      <c r="E45" s="241">
        <v>0.5</v>
      </c>
      <c r="F45" s="242">
        <v>0.75</v>
      </c>
      <c r="G45" s="243">
        <v>0.6821104453434057</v>
      </c>
      <c r="H45" s="243">
        <v>0.21024420254495857</v>
      </c>
      <c r="I45" s="243">
        <v>5.4105574613200758E-2</v>
      </c>
      <c r="J45" s="243">
        <v>2.8287946278246379E-2</v>
      </c>
      <c r="K45" s="243">
        <v>1.591760861571434E-2</v>
      </c>
      <c r="L45" s="243">
        <v>9.3342226044745846E-3</v>
      </c>
      <c r="M45" s="243">
        <v>0</v>
      </c>
      <c r="N45" s="243"/>
      <c r="O45" s="244"/>
      <c r="Q45" s="46" t="str">
        <f>A45</f>
        <v>Base - muddle up</v>
      </c>
    </row>
    <row r="46" spans="1:24">
      <c r="A46" s="48" t="str">
        <f t="shared" ref="A46:A52" si="14">A4</f>
        <v>High Yield</v>
      </c>
      <c r="B46" s="107">
        <v>0.70812365034059077</v>
      </c>
      <c r="C46" s="108">
        <v>9.3058089562554305E-2</v>
      </c>
      <c r="D46" s="109">
        <v>0.61239230310119175</v>
      </c>
      <c r="E46" s="107">
        <v>0.71023069930578342</v>
      </c>
      <c r="F46" s="110">
        <v>0.8044382288535703</v>
      </c>
      <c r="G46" s="2">
        <v>1</v>
      </c>
      <c r="H46" s="2">
        <v>-0.25458519502059712</v>
      </c>
      <c r="I46" s="2">
        <v>-0.33219887936279097</v>
      </c>
      <c r="J46" s="2">
        <v>-0.27279914559158358</v>
      </c>
      <c r="K46" s="2">
        <v>-0.16919807037536766</v>
      </c>
      <c r="L46" s="2">
        <v>-0.13568924623576148</v>
      </c>
      <c r="M46" s="2">
        <v>0.99999999999999989</v>
      </c>
      <c r="N46" s="52"/>
      <c r="O46" s="62"/>
      <c r="Q46" s="46" t="str">
        <f t="shared" ref="Q46:Q52" si="15">A46</f>
        <v>High Yield</v>
      </c>
      <c r="R46" s="67">
        <f>D46</f>
        <v>0.61239230310119175</v>
      </c>
      <c r="S46" s="47">
        <f>B46-D46</f>
        <v>9.5731347239399023E-2</v>
      </c>
      <c r="T46" s="47">
        <f>F46-B46</f>
        <v>9.6314578512979532E-2</v>
      </c>
      <c r="U46" s="47"/>
    </row>
    <row r="47" spans="1:24">
      <c r="A47" s="54" t="str">
        <f t="shared" si="14"/>
        <v>Emerging market debt</v>
      </c>
      <c r="B47" s="107">
        <v>1.5082431977586928E-2</v>
      </c>
      <c r="C47" s="108">
        <v>1.252090118023712E-2</v>
      </c>
      <c r="D47" s="109">
        <v>2.7946565716081835E-3</v>
      </c>
      <c r="E47" s="107">
        <v>1.2181450924488725E-2</v>
      </c>
      <c r="F47" s="110">
        <v>2.7219805893536276E-2</v>
      </c>
      <c r="G47" s="2">
        <v>-7.0238363455568656E-3</v>
      </c>
      <c r="H47" s="2">
        <v>-3.574056364515498E-3</v>
      </c>
      <c r="I47" s="2">
        <v>-3.7349095796939749E-2</v>
      </c>
      <c r="J47" s="2">
        <v>6.2529272730784305E-2</v>
      </c>
      <c r="K47" s="2">
        <v>0.19998713506301535</v>
      </c>
      <c r="L47" s="2">
        <v>1</v>
      </c>
      <c r="M47" s="2">
        <v>0.99999999999999656</v>
      </c>
      <c r="N47" s="52"/>
      <c r="O47" s="62"/>
      <c r="Q47" s="46" t="str">
        <f t="shared" si="15"/>
        <v>Emerging market debt</v>
      </c>
      <c r="R47" s="67">
        <f t="shared" ref="R47:R52" si="16">D47</f>
        <v>2.7946565716081835E-3</v>
      </c>
      <c r="S47" s="47">
        <f t="shared" ref="S47:S52" si="17">B47-D47</f>
        <v>1.2287775405978744E-2</v>
      </c>
      <c r="T47" s="47">
        <f t="shared" ref="T47:T52" si="18">F47-B47</f>
        <v>1.2137373915949348E-2</v>
      </c>
      <c r="U47" s="47"/>
    </row>
    <row r="48" spans="1:24">
      <c r="A48" s="54" t="str">
        <f t="shared" si="14"/>
        <v>Aandelen ontwikkeld</v>
      </c>
      <c r="B48" s="107">
        <v>1.6157337299592563E-2</v>
      </c>
      <c r="C48" s="108">
        <v>1.5987934145464216E-2</v>
      </c>
      <c r="D48" s="109">
        <v>2.0775934428418331E-3</v>
      </c>
      <c r="E48" s="107">
        <v>1.1304967923447127E-2</v>
      </c>
      <c r="F48" s="110">
        <v>3.1969316051371752E-2</v>
      </c>
      <c r="G48" s="2">
        <v>-5.8488044332055365E-3</v>
      </c>
      <c r="H48" s="2">
        <v>-6.3997751447693232E-3</v>
      </c>
      <c r="I48" s="2">
        <v>7.5067989849938122E-2</v>
      </c>
      <c r="J48" s="2">
        <v>0.22225017819447679</v>
      </c>
      <c r="K48" s="2">
        <v>1</v>
      </c>
      <c r="L48" s="2">
        <v>-0.35566276439386618</v>
      </c>
      <c r="M48" s="2">
        <v>0.99999999999999545</v>
      </c>
      <c r="N48" s="52"/>
      <c r="O48" s="62"/>
      <c r="Q48" s="46" t="str">
        <f t="shared" si="15"/>
        <v>Aandelen ontwikkeld</v>
      </c>
      <c r="R48" s="67">
        <f t="shared" si="16"/>
        <v>2.0775934428418331E-3</v>
      </c>
      <c r="S48" s="47">
        <f t="shared" si="17"/>
        <v>1.407974385675073E-2</v>
      </c>
      <c r="T48" s="47">
        <f t="shared" si="18"/>
        <v>1.5811978751779188E-2</v>
      </c>
      <c r="U48" s="47"/>
    </row>
    <row r="49" spans="1:27">
      <c r="A49" s="54" t="str">
        <f t="shared" si="14"/>
        <v>Aandelen opkomend</v>
      </c>
      <c r="B49" s="107">
        <v>6.9668708296684076E-2</v>
      </c>
      <c r="C49" s="108">
        <v>5.5940396606249235E-2</v>
      </c>
      <c r="D49" s="109">
        <v>1.645975756546526E-2</v>
      </c>
      <c r="E49" s="107">
        <v>5.3807791859985993E-2</v>
      </c>
      <c r="F49" s="110">
        <v>0.12821205641834982</v>
      </c>
      <c r="G49" s="2">
        <v>-0.23361236655061987</v>
      </c>
      <c r="H49" s="2">
        <v>1</v>
      </c>
      <c r="I49" s="2">
        <v>-0.34996970415038026</v>
      </c>
      <c r="J49" s="2">
        <v>-0.29242460370487133</v>
      </c>
      <c r="K49" s="2">
        <v>-0.1646243405019493</v>
      </c>
      <c r="L49" s="2">
        <v>-0.139398361119036</v>
      </c>
      <c r="M49" s="2">
        <v>1</v>
      </c>
      <c r="N49" s="52"/>
      <c r="O49" s="62"/>
      <c r="Q49" s="46" t="str">
        <f t="shared" si="15"/>
        <v>Aandelen opkomend</v>
      </c>
      <c r="R49" s="67">
        <f t="shared" si="16"/>
        <v>1.645975756546526E-2</v>
      </c>
      <c r="S49" s="47">
        <f t="shared" si="17"/>
        <v>5.3208950731218813E-2</v>
      </c>
      <c r="T49" s="47">
        <f t="shared" si="18"/>
        <v>5.8543348121665742E-2</v>
      </c>
      <c r="U49" s="47"/>
      <c r="X49" s="46"/>
    </row>
    <row r="50" spans="1:27">
      <c r="A50" s="54" t="str">
        <f t="shared" si="14"/>
        <v>Commodities</v>
      </c>
      <c r="B50" s="107">
        <v>0.13044764694681479</v>
      </c>
      <c r="C50" s="108">
        <v>7.3793687848373826E-2</v>
      </c>
      <c r="D50" s="109">
        <v>5.0434992797911832E-2</v>
      </c>
      <c r="E50" s="107">
        <v>0.12539469461109218</v>
      </c>
      <c r="F50" s="110">
        <v>0.20322832499270319</v>
      </c>
      <c r="G50" s="2">
        <v>-0.69268486788002037</v>
      </c>
      <c r="H50" s="2">
        <v>-0.7033005663661841</v>
      </c>
      <c r="I50" s="2">
        <v>-0.40360247533900467</v>
      </c>
      <c r="J50" s="2">
        <v>-0.33071454358361579</v>
      </c>
      <c r="K50" s="2">
        <v>-0.1674429502703445</v>
      </c>
      <c r="L50" s="2">
        <v>-0.14594385768065316</v>
      </c>
      <c r="M50" s="2">
        <v>1</v>
      </c>
      <c r="N50" s="52"/>
      <c r="O50" s="62"/>
      <c r="P50" s="67"/>
      <c r="Q50" s="46" t="str">
        <f t="shared" si="15"/>
        <v>Commodities</v>
      </c>
      <c r="R50" s="67">
        <f t="shared" si="16"/>
        <v>5.0434992797911832E-2</v>
      </c>
      <c r="S50" s="47">
        <f t="shared" si="17"/>
        <v>8.0012654148902962E-2</v>
      </c>
      <c r="T50" s="47">
        <f t="shared" si="18"/>
        <v>7.2780678045888392E-2</v>
      </c>
      <c r="U50" s="47"/>
      <c r="V50" s="47"/>
      <c r="W50" s="47"/>
    </row>
    <row r="51" spans="1:27">
      <c r="A51" s="54" t="str">
        <f t="shared" si="14"/>
        <v>Hedge funds</v>
      </c>
      <c r="B51" s="107">
        <v>3.774289812529516E-2</v>
      </c>
      <c r="C51" s="108">
        <v>2.829314472217391E-2</v>
      </c>
      <c r="D51" s="109">
        <v>9.7234850478918125E-3</v>
      </c>
      <c r="E51" s="107">
        <v>3.0793862548481044E-2</v>
      </c>
      <c r="F51" s="110">
        <v>6.652849886735264E-2</v>
      </c>
      <c r="G51" s="2">
        <v>-2.7341787598130392E-2</v>
      </c>
      <c r="H51" s="2">
        <v>-1.7401914891798931E-2</v>
      </c>
      <c r="I51" s="2">
        <v>1</v>
      </c>
      <c r="J51" s="2">
        <v>-0.3888411580451881</v>
      </c>
      <c r="K51" s="2">
        <v>-0.22629904676189716</v>
      </c>
      <c r="L51" s="2">
        <v>-8.1922567398277718E-2</v>
      </c>
      <c r="M51" s="2">
        <v>0.99999999999999767</v>
      </c>
      <c r="N51" s="52"/>
      <c r="O51" s="62"/>
      <c r="P51" s="67"/>
      <c r="Q51" s="46" t="str">
        <f t="shared" si="15"/>
        <v>Hedge funds</v>
      </c>
      <c r="R51" s="67">
        <f t="shared" si="16"/>
        <v>9.7234850478918125E-3</v>
      </c>
      <c r="S51" s="47">
        <f t="shared" si="17"/>
        <v>2.8019413077403348E-2</v>
      </c>
      <c r="T51" s="47">
        <f t="shared" si="18"/>
        <v>2.8785600742057479E-2</v>
      </c>
      <c r="U51" s="47"/>
      <c r="V51" s="47"/>
      <c r="W51" s="47"/>
    </row>
    <row r="52" spans="1:27">
      <c r="A52" s="54" t="str">
        <f t="shared" si="14"/>
        <v>Onroerend goed</v>
      </c>
      <c r="B52" s="107">
        <v>2.2777327013435635E-2</v>
      </c>
      <c r="C52" s="108">
        <v>2.0608592340988403E-2</v>
      </c>
      <c r="D52" s="109">
        <v>4.2673088400998404E-3</v>
      </c>
      <c r="E52" s="107">
        <v>1.7109716292567332E-2</v>
      </c>
      <c r="F52" s="110">
        <v>4.217125446319693E-2</v>
      </c>
      <c r="G52" s="2">
        <v>-3.3488337192466931E-2</v>
      </c>
      <c r="H52" s="2">
        <v>-1.4738492212134401E-2</v>
      </c>
      <c r="I52" s="2">
        <v>4.8052164799180362E-2</v>
      </c>
      <c r="J52" s="2">
        <v>1</v>
      </c>
      <c r="K52" s="2">
        <v>-0.47242272715345296</v>
      </c>
      <c r="L52" s="2">
        <v>-0.1413832031724028</v>
      </c>
      <c r="M52" s="2">
        <v>0.99999999999999711</v>
      </c>
      <c r="N52" s="52"/>
      <c r="O52" s="62"/>
      <c r="P52" s="67"/>
      <c r="Q52" s="46" t="str">
        <f t="shared" si="15"/>
        <v>Onroerend goed</v>
      </c>
      <c r="R52" s="67">
        <f t="shared" si="16"/>
        <v>4.2673088400998404E-3</v>
      </c>
      <c r="S52" s="47">
        <f t="shared" si="17"/>
        <v>1.8510018173335793E-2</v>
      </c>
      <c r="T52" s="47">
        <f t="shared" si="18"/>
        <v>1.9393927449761296E-2</v>
      </c>
      <c r="U52" s="47"/>
      <c r="V52" s="47"/>
      <c r="W52" s="47"/>
    </row>
    <row r="53" spans="1:27">
      <c r="A53" s="54"/>
      <c r="B53" s="107"/>
      <c r="C53" s="108"/>
      <c r="D53" s="109"/>
      <c r="E53" s="107"/>
      <c r="F53" s="110"/>
      <c r="G53" s="2"/>
      <c r="H53" s="2"/>
      <c r="I53" s="2"/>
      <c r="J53" s="2"/>
      <c r="K53" s="2"/>
      <c r="L53" s="2"/>
      <c r="M53" s="2"/>
      <c r="N53" s="52"/>
      <c r="O53" s="62"/>
      <c r="P53" s="67"/>
      <c r="Q53" s="46"/>
      <c r="R53" s="67"/>
      <c r="S53" s="47"/>
      <c r="T53" s="47"/>
      <c r="U53" s="47"/>
      <c r="V53" s="47"/>
      <c r="W53" s="47"/>
    </row>
    <row r="54" spans="1:27">
      <c r="A54" s="54"/>
      <c r="B54" s="107"/>
      <c r="C54" s="108"/>
      <c r="D54" s="109"/>
      <c r="E54" s="107"/>
      <c r="F54" s="110"/>
      <c r="G54" s="2"/>
      <c r="H54" s="2"/>
      <c r="I54" s="2"/>
      <c r="J54" s="2"/>
      <c r="K54" s="2"/>
      <c r="L54" s="2"/>
      <c r="M54" s="2"/>
      <c r="N54" s="52"/>
      <c r="O54" s="62"/>
      <c r="P54" s="67"/>
      <c r="Q54" s="46"/>
      <c r="R54" s="67"/>
      <c r="S54" s="47"/>
      <c r="T54" s="47"/>
      <c r="U54" s="47"/>
      <c r="V54" s="47"/>
      <c r="W54" s="47"/>
    </row>
    <row r="55" spans="1:27">
      <c r="A55" s="54"/>
      <c r="B55" s="107"/>
      <c r="C55" s="108"/>
      <c r="D55" s="109"/>
      <c r="E55" s="107"/>
      <c r="F55" s="110"/>
      <c r="G55" s="2"/>
      <c r="H55" s="2"/>
      <c r="I55" s="2"/>
      <c r="J55" s="2"/>
      <c r="K55" s="2"/>
      <c r="L55" s="2"/>
      <c r="M55" s="2"/>
      <c r="N55" s="52"/>
      <c r="O55" s="62"/>
      <c r="P55" s="67"/>
      <c r="Q55" s="46"/>
      <c r="R55" s="67"/>
      <c r="S55" s="47"/>
      <c r="T55" s="47"/>
      <c r="U55" s="47"/>
      <c r="V55" s="47"/>
      <c r="W55" s="47"/>
    </row>
    <row r="56" spans="1:27">
      <c r="A56" s="55"/>
      <c r="B56" s="111"/>
      <c r="C56" s="112"/>
      <c r="D56" s="113"/>
      <c r="E56" s="111"/>
      <c r="F56" s="114"/>
      <c r="G56" s="60"/>
      <c r="H56" s="60"/>
      <c r="I56" s="60"/>
      <c r="J56" s="60"/>
      <c r="K56" s="60"/>
      <c r="L56" s="60"/>
      <c r="M56" s="60"/>
      <c r="N56" s="61"/>
      <c r="O56" s="62"/>
      <c r="P56" s="67"/>
      <c r="Q56" s="46"/>
      <c r="R56" s="67"/>
      <c r="S56" s="47"/>
      <c r="T56" s="47"/>
      <c r="U56" s="47"/>
      <c r="V56" s="47"/>
    </row>
    <row r="57" spans="1:27">
      <c r="A57" s="62"/>
      <c r="B57" s="107"/>
      <c r="C57" s="107"/>
      <c r="D57" s="107"/>
      <c r="E57" s="107"/>
      <c r="F57" s="107"/>
      <c r="G57" s="2"/>
      <c r="H57" s="2"/>
      <c r="I57" s="2"/>
      <c r="J57" s="2"/>
      <c r="K57" s="2"/>
      <c r="L57" s="2"/>
      <c r="M57" s="2"/>
      <c r="N57" s="63"/>
      <c r="O57" s="62"/>
      <c r="P57" s="67"/>
      <c r="Q57" s="67"/>
      <c r="R57" s="67"/>
      <c r="T57" s="47"/>
      <c r="U57" s="47"/>
      <c r="V57" s="47"/>
    </row>
    <row r="58" spans="1:27">
      <c r="A58" s="44"/>
      <c r="D58" s="394" t="s">
        <v>64</v>
      </c>
      <c r="E58" s="395"/>
      <c r="F58" s="396"/>
      <c r="G58" s="394" t="s">
        <v>65</v>
      </c>
      <c r="H58" s="395"/>
      <c r="I58" s="395"/>
      <c r="J58" s="395"/>
      <c r="K58" s="395"/>
      <c r="L58" s="395"/>
      <c r="M58" s="395"/>
      <c r="N58" s="396"/>
      <c r="O58" s="62"/>
      <c r="P58" s="67"/>
      <c r="Q58" s="67"/>
      <c r="R58" s="67"/>
      <c r="T58" s="47"/>
      <c r="U58" s="47"/>
      <c r="V58" s="47"/>
    </row>
    <row r="59" spans="1:27">
      <c r="A59" s="237" t="str">
        <f>'Samenvatting mixen'!A63</f>
        <v>Bear case</v>
      </c>
      <c r="B59" s="238" t="s">
        <v>67</v>
      </c>
      <c r="C59" s="239" t="s">
        <v>2</v>
      </c>
      <c r="D59" s="240">
        <v>0.25</v>
      </c>
      <c r="E59" s="241">
        <v>0.5</v>
      </c>
      <c r="F59" s="242">
        <v>0.75</v>
      </c>
      <c r="G59" s="243">
        <v>0.33833423899328452</v>
      </c>
      <c r="H59" s="243">
        <v>0.16247693266523155</v>
      </c>
      <c r="I59" s="243">
        <v>0.14564419486255697</v>
      </c>
      <c r="J59" s="243">
        <v>0.14329383072031165</v>
      </c>
      <c r="K59" s="243">
        <v>0.12506300570125783</v>
      </c>
      <c r="L59" s="243">
        <v>8.5187797057357351E-2</v>
      </c>
      <c r="M59" s="243">
        <v>0</v>
      </c>
      <c r="N59" s="243"/>
      <c r="O59" s="244"/>
      <c r="P59" s="67"/>
      <c r="Q59" s="46" t="str">
        <f>A59</f>
        <v>Bear case</v>
      </c>
      <c r="V59" s="47"/>
    </row>
    <row r="60" spans="1:27">
      <c r="A60" s="48" t="str">
        <f>A4</f>
        <v>High Yield</v>
      </c>
      <c r="B60" s="107">
        <v>0.14008097345741705</v>
      </c>
      <c r="C60" s="108">
        <v>0.19889061404208824</v>
      </c>
      <c r="D60" s="109">
        <v>3.6395984093867494E-4</v>
      </c>
      <c r="E60" s="107">
        <v>4.6826300060116503E-2</v>
      </c>
      <c r="F60" s="110">
        <v>0.31471151596177016</v>
      </c>
      <c r="G60" s="2">
        <v>-0.22358750748056253</v>
      </c>
      <c r="H60" s="2">
        <v>-0.92495277943766641</v>
      </c>
      <c r="I60" s="2">
        <v>-0.75471767151771674</v>
      </c>
      <c r="J60" s="2">
        <v>-0.67113873424234438</v>
      </c>
      <c r="K60" s="2">
        <v>-0.12924420331013109</v>
      </c>
      <c r="L60" s="2">
        <v>-0.1118681108125244</v>
      </c>
      <c r="M60" s="2">
        <v>0.99999999999974154</v>
      </c>
      <c r="N60" s="52"/>
      <c r="O60" s="62"/>
      <c r="Q60" s="46" t="str">
        <f t="shared" ref="Q60:Q66" si="19">A60</f>
        <v>High Yield</v>
      </c>
      <c r="R60" s="67">
        <f>D60</f>
        <v>3.6395984093867494E-4</v>
      </c>
      <c r="S60" s="47">
        <f>B60-D60</f>
        <v>0.13971701361647837</v>
      </c>
      <c r="T60" s="47">
        <f>F60-B60</f>
        <v>0.17463054250435311</v>
      </c>
      <c r="U60" s="47"/>
    </row>
    <row r="61" spans="1:27">
      <c r="A61" s="54" t="str">
        <f t="shared" ref="A61:A66" si="20">A5</f>
        <v>Emerging market debt</v>
      </c>
      <c r="B61" s="107">
        <v>0.14362901399592667</v>
      </c>
      <c r="C61" s="108">
        <v>0.20174979636232082</v>
      </c>
      <c r="D61" s="109">
        <v>5.6322545765322E-4</v>
      </c>
      <c r="E61" s="107">
        <v>4.8217062418334997E-2</v>
      </c>
      <c r="F61" s="110">
        <v>0.32046336445088935</v>
      </c>
      <c r="G61" s="2">
        <v>-0.26420829270363455</v>
      </c>
      <c r="H61" s="2">
        <v>1</v>
      </c>
      <c r="I61" s="2">
        <v>-0.86974804662238858</v>
      </c>
      <c r="J61" s="2">
        <v>0.28202020573366016</v>
      </c>
      <c r="K61" s="2">
        <v>-0.23994960222790646</v>
      </c>
      <c r="L61" s="2">
        <v>-0.11860046554351096</v>
      </c>
      <c r="M61" s="2">
        <v>0.9999999999989192</v>
      </c>
      <c r="N61" s="52"/>
      <c r="O61" s="62"/>
      <c r="Q61" s="46" t="str">
        <f t="shared" si="19"/>
        <v>Emerging market debt</v>
      </c>
      <c r="R61" s="67">
        <f t="shared" ref="R61:R66" si="21">D61</f>
        <v>5.6322545765322E-4</v>
      </c>
      <c r="S61" s="47">
        <f t="shared" ref="S61:S66" si="22">B61-D61</f>
        <v>0.14306578853827345</v>
      </c>
      <c r="T61" s="47">
        <f t="shared" ref="T61:T66" si="23">F61-B61</f>
        <v>0.17683435045496268</v>
      </c>
      <c r="U61" s="47"/>
      <c r="W61" s="47"/>
      <c r="Y61" s="121"/>
      <c r="Z61" s="121"/>
      <c r="AA61" s="121"/>
    </row>
    <row r="62" spans="1:27">
      <c r="A62" s="54" t="str">
        <f t="shared" si="20"/>
        <v>Aandelen ontwikkeld</v>
      </c>
      <c r="B62" s="107">
        <v>8.2907614162785387E-2</v>
      </c>
      <c r="C62" s="108">
        <v>0.14792816028093031</v>
      </c>
      <c r="D62" s="109">
        <v>7.1639402696013698E-5</v>
      </c>
      <c r="E62" s="107">
        <v>1.6743612900003244E-2</v>
      </c>
      <c r="F62" s="110">
        <v>0.16255279051749066</v>
      </c>
      <c r="G62" s="2">
        <v>-7.978810857342819E-2</v>
      </c>
      <c r="H62" s="2">
        <v>2.0416385222967428E-2</v>
      </c>
      <c r="I62" s="2">
        <v>0.11280276983603843</v>
      </c>
      <c r="J62" s="2">
        <v>1.9040864147430697E-2</v>
      </c>
      <c r="K62" s="2">
        <v>0.22625093481184691</v>
      </c>
      <c r="L62" s="2">
        <v>1</v>
      </c>
      <c r="M62" s="2">
        <v>1</v>
      </c>
      <c r="N62" s="52"/>
      <c r="O62" s="62"/>
      <c r="Q62" s="46" t="str">
        <f t="shared" si="19"/>
        <v>Aandelen ontwikkeld</v>
      </c>
      <c r="R62" s="67">
        <f t="shared" si="21"/>
        <v>7.1639402696013698E-5</v>
      </c>
      <c r="S62" s="47">
        <f t="shared" si="22"/>
        <v>8.2835974760089373E-2</v>
      </c>
      <c r="T62" s="47">
        <f t="shared" si="23"/>
        <v>7.9645176354705277E-2</v>
      </c>
      <c r="U62" s="47"/>
      <c r="W62" s="47"/>
    </row>
    <row r="63" spans="1:27">
      <c r="A63" s="54" t="str">
        <f t="shared" si="20"/>
        <v>Aandelen opkomend</v>
      </c>
      <c r="B63" s="107">
        <v>0.12434922155337359</v>
      </c>
      <c r="C63" s="108">
        <v>0.19025286615899256</v>
      </c>
      <c r="D63" s="109">
        <v>2.1951336314716854E-4</v>
      </c>
      <c r="E63" s="107">
        <v>2.6427156326807907E-2</v>
      </c>
      <c r="F63" s="110">
        <v>0.30519722554558204</v>
      </c>
      <c r="G63" s="2">
        <v>-0.15144857785541674</v>
      </c>
      <c r="H63" s="2">
        <v>0.42887306537292719</v>
      </c>
      <c r="I63" s="2">
        <v>1</v>
      </c>
      <c r="J63" s="2">
        <v>-0.73067516759744267</v>
      </c>
      <c r="K63" s="2">
        <v>-0.37312853799648127</v>
      </c>
      <c r="L63" s="2">
        <v>-0.16604048369366495</v>
      </c>
      <c r="M63" s="2">
        <v>0.99999999999903011</v>
      </c>
      <c r="N63" s="52"/>
      <c r="O63" s="62"/>
      <c r="Q63" s="46" t="str">
        <f t="shared" si="19"/>
        <v>Aandelen opkomend</v>
      </c>
      <c r="R63" s="67">
        <f t="shared" si="21"/>
        <v>2.1951336314716854E-4</v>
      </c>
      <c r="S63" s="47">
        <f t="shared" si="22"/>
        <v>0.12412970819022642</v>
      </c>
      <c r="T63" s="47">
        <f t="shared" si="23"/>
        <v>0.18084800399220846</v>
      </c>
      <c r="U63" s="47"/>
      <c r="W63" s="47"/>
    </row>
    <row r="64" spans="1:27">
      <c r="A64" s="54" t="str">
        <f t="shared" si="20"/>
        <v>Commodities</v>
      </c>
      <c r="B64" s="107">
        <v>9.9986004257382299E-2</v>
      </c>
      <c r="C64" s="108">
        <v>0.17399969414439717</v>
      </c>
      <c r="D64" s="109">
        <v>1.6823967215296896E-4</v>
      </c>
      <c r="E64" s="107">
        <v>1.8966998159761921E-2</v>
      </c>
      <c r="F64" s="110">
        <v>0.2240550373593172</v>
      </c>
      <c r="G64" s="2">
        <v>-0.12099388451656257</v>
      </c>
      <c r="H64" s="2">
        <v>3.573333060404231E-2</v>
      </c>
      <c r="I64" s="2">
        <v>0.21141107047353055</v>
      </c>
      <c r="J64" s="2">
        <v>0.11192375354661967</v>
      </c>
      <c r="K64" s="2">
        <v>1</v>
      </c>
      <c r="L64" s="2">
        <v>-0.39322461257704117</v>
      </c>
      <c r="M64" s="2">
        <v>0.9999999999992204</v>
      </c>
      <c r="N64" s="52"/>
      <c r="O64" s="62"/>
      <c r="Q64" s="46" t="str">
        <f t="shared" si="19"/>
        <v>Commodities</v>
      </c>
      <c r="R64" s="67">
        <f t="shared" si="21"/>
        <v>1.6823967215296896E-4</v>
      </c>
      <c r="S64" s="47">
        <f t="shared" si="22"/>
        <v>9.9817764585229327E-2</v>
      </c>
      <c r="T64" s="47">
        <f t="shared" si="23"/>
        <v>0.1240690331019349</v>
      </c>
      <c r="U64" s="47"/>
    </row>
    <row r="65" spans="1:24">
      <c r="A65" s="54" t="str">
        <f t="shared" si="20"/>
        <v>Hedge funds</v>
      </c>
      <c r="B65" s="107">
        <v>0.28743174006114053</v>
      </c>
      <c r="C65" s="108">
        <v>0.28701655932790215</v>
      </c>
      <c r="D65" s="109">
        <v>6.291924264022467E-3</v>
      </c>
      <c r="E65" s="107">
        <v>0.19337184887765896</v>
      </c>
      <c r="F65" s="110">
        <v>0.61571034691581228</v>
      </c>
      <c r="G65" s="2">
        <v>1</v>
      </c>
      <c r="H65" s="2">
        <v>3.3370319560945536E-2</v>
      </c>
      <c r="I65" s="2">
        <v>-0.14179577775958116</v>
      </c>
      <c r="J65" s="2">
        <v>-1.1170921587973451E-2</v>
      </c>
      <c r="K65" s="2">
        <v>-7.5151402129797498E-2</v>
      </c>
      <c r="L65" s="2">
        <v>-7.1485130217832205E-2</v>
      </c>
      <c r="M65" s="2">
        <v>0.99999999999875477</v>
      </c>
      <c r="N65" s="52"/>
      <c r="O65" s="62"/>
      <c r="Q65" s="46" t="str">
        <f t="shared" si="19"/>
        <v>Hedge funds</v>
      </c>
      <c r="R65" s="67">
        <f t="shared" si="21"/>
        <v>6.291924264022467E-3</v>
      </c>
      <c r="S65" s="47">
        <f t="shared" si="22"/>
        <v>0.28113981579711805</v>
      </c>
      <c r="T65" s="47">
        <f t="shared" si="23"/>
        <v>0.32827860685467175</v>
      </c>
      <c r="U65" s="47"/>
    </row>
    <row r="66" spans="1:24">
      <c r="A66" s="54" t="str">
        <f t="shared" si="20"/>
        <v>Onroerend goed</v>
      </c>
      <c r="B66" s="107">
        <v>0.12161543251149302</v>
      </c>
      <c r="C66" s="108">
        <v>0.19107739866351217</v>
      </c>
      <c r="D66" s="109">
        <v>2.1032383615705061E-4</v>
      </c>
      <c r="E66" s="107">
        <v>3.1512197240716563E-2</v>
      </c>
      <c r="F66" s="110">
        <v>0.29196380331787675</v>
      </c>
      <c r="G66" s="2">
        <v>-0.15997362886980762</v>
      </c>
      <c r="H66" s="2">
        <v>-0.59344032132215851</v>
      </c>
      <c r="I66" s="2">
        <v>0.44204765559014086</v>
      </c>
      <c r="J66" s="2">
        <v>1</v>
      </c>
      <c r="K66" s="2">
        <v>-0.40877718914768446</v>
      </c>
      <c r="L66" s="2">
        <v>-0.13878119715620227</v>
      </c>
      <c r="M66" s="2">
        <v>0.99999999999954603</v>
      </c>
      <c r="N66" s="52"/>
      <c r="O66" s="62"/>
      <c r="P66" s="67"/>
      <c r="Q66" s="46" t="str">
        <f t="shared" si="19"/>
        <v>Onroerend goed</v>
      </c>
      <c r="R66" s="67">
        <f t="shared" si="21"/>
        <v>2.1032383615705061E-4</v>
      </c>
      <c r="S66" s="47">
        <f t="shared" si="22"/>
        <v>0.12140510867533598</v>
      </c>
      <c r="T66" s="47">
        <f t="shared" si="23"/>
        <v>0.17034837080638371</v>
      </c>
      <c r="U66" s="47"/>
      <c r="V66" s="47"/>
    </row>
    <row r="67" spans="1:24">
      <c r="A67" s="54"/>
      <c r="B67" s="107"/>
      <c r="C67" s="108"/>
      <c r="D67" s="109"/>
      <c r="E67" s="107"/>
      <c r="F67" s="110"/>
      <c r="G67" s="2"/>
      <c r="H67" s="2"/>
      <c r="I67" s="2"/>
      <c r="J67" s="2"/>
      <c r="K67" s="2"/>
      <c r="L67" s="2"/>
      <c r="M67" s="2"/>
      <c r="N67" s="52"/>
      <c r="O67" s="62"/>
      <c r="P67" s="67"/>
      <c r="Q67" s="46"/>
      <c r="R67" s="67"/>
      <c r="S67" s="47"/>
      <c r="T67" s="47"/>
      <c r="U67" s="47"/>
      <c r="V67" s="47"/>
    </row>
    <row r="68" spans="1:24">
      <c r="A68" s="54"/>
      <c r="B68" s="107"/>
      <c r="C68" s="108"/>
      <c r="D68" s="109"/>
      <c r="E68" s="107"/>
      <c r="F68" s="110"/>
      <c r="G68" s="2"/>
      <c r="H68" s="2"/>
      <c r="I68" s="2"/>
      <c r="J68" s="2"/>
      <c r="K68" s="2"/>
      <c r="L68" s="2"/>
      <c r="M68" s="2"/>
      <c r="N68" s="52"/>
      <c r="O68" s="62"/>
      <c r="P68" s="67"/>
      <c r="Q68" s="46"/>
      <c r="R68" s="67"/>
      <c r="S68" s="47"/>
      <c r="T68" s="47"/>
      <c r="U68" s="47"/>
      <c r="V68" s="47"/>
    </row>
    <row r="69" spans="1:24">
      <c r="A69" s="54"/>
      <c r="B69" s="107"/>
      <c r="C69" s="108"/>
      <c r="D69" s="109"/>
      <c r="E69" s="107"/>
      <c r="F69" s="110"/>
      <c r="G69" s="2"/>
      <c r="H69" s="2"/>
      <c r="I69" s="2"/>
      <c r="J69" s="2"/>
      <c r="K69" s="2"/>
      <c r="L69" s="2"/>
      <c r="M69" s="2"/>
      <c r="N69" s="52"/>
      <c r="O69" s="62"/>
      <c r="P69" s="67"/>
      <c r="Q69" s="46"/>
      <c r="R69" s="67"/>
      <c r="S69" s="47"/>
      <c r="T69" s="47"/>
      <c r="U69" s="47"/>
      <c r="V69" s="47"/>
      <c r="X69" s="46"/>
    </row>
    <row r="70" spans="1:24">
      <c r="A70" s="55"/>
      <c r="B70" s="111"/>
      <c r="C70" s="112"/>
      <c r="D70" s="113"/>
      <c r="E70" s="111"/>
      <c r="F70" s="114"/>
      <c r="G70" s="60"/>
      <c r="H70" s="60"/>
      <c r="I70" s="60"/>
      <c r="J70" s="60"/>
      <c r="K70" s="60"/>
      <c r="L70" s="60"/>
      <c r="M70" s="60"/>
      <c r="N70" s="61"/>
      <c r="O70" s="62"/>
      <c r="P70" s="67"/>
      <c r="Q70" s="46"/>
      <c r="R70" s="67"/>
      <c r="S70" s="47"/>
      <c r="T70" s="47"/>
      <c r="U70" s="47"/>
      <c r="V70" s="47"/>
      <c r="W70" s="47"/>
    </row>
    <row r="71" spans="1:24">
      <c r="A71" s="62"/>
      <c r="B71" s="107"/>
      <c r="C71" s="107"/>
      <c r="D71" s="107"/>
      <c r="E71" s="107"/>
      <c r="F71" s="107"/>
      <c r="G71" s="63"/>
      <c r="H71" s="63"/>
      <c r="I71" s="63"/>
      <c r="J71" s="63"/>
      <c r="K71" s="63"/>
      <c r="L71" s="63"/>
      <c r="M71" s="63"/>
      <c r="N71" s="63"/>
      <c r="O71" s="62"/>
      <c r="P71" s="67"/>
      <c r="Q71" s="67"/>
      <c r="R71" s="67"/>
      <c r="T71" s="47"/>
      <c r="U71" s="47"/>
      <c r="V71" s="47"/>
      <c r="W71" s="47"/>
    </row>
    <row r="72" spans="1:24">
      <c r="A72" s="44"/>
      <c r="D72" s="394" t="s">
        <v>64</v>
      </c>
      <c r="E72" s="395"/>
      <c r="F72" s="396"/>
      <c r="G72" s="394" t="s">
        <v>65</v>
      </c>
      <c r="H72" s="395"/>
      <c r="I72" s="395"/>
      <c r="J72" s="395"/>
      <c r="K72" s="395"/>
      <c r="L72" s="395"/>
      <c r="M72" s="395"/>
      <c r="N72" s="396"/>
      <c r="O72" s="62"/>
      <c r="P72" s="67"/>
      <c r="Q72" s="67"/>
      <c r="R72" s="67"/>
      <c r="T72" s="47"/>
      <c r="U72" s="47"/>
      <c r="V72" s="47"/>
      <c r="W72" s="47"/>
    </row>
    <row r="73" spans="1:24">
      <c r="A73" s="237" t="str">
        <f>'Samenvatting mixen'!A78</f>
        <v>Tail risk</v>
      </c>
      <c r="B73" s="238" t="s">
        <v>67</v>
      </c>
      <c r="C73" s="239" t="s">
        <v>2</v>
      </c>
      <c r="D73" s="240">
        <v>0.25</v>
      </c>
      <c r="E73" s="241">
        <v>0.5</v>
      </c>
      <c r="F73" s="242">
        <v>0.75</v>
      </c>
      <c r="G73" s="243">
        <v>0.774898069587862</v>
      </c>
      <c r="H73" s="243">
        <v>9.3375418960238155E-2</v>
      </c>
      <c r="I73" s="243">
        <v>4.7764661810299591E-2</v>
      </c>
      <c r="J73" s="243">
        <v>3.6574022890180746E-2</v>
      </c>
      <c r="K73" s="243">
        <v>3.0028351662853559E-2</v>
      </c>
      <c r="L73" s="243">
        <v>1.7359475088565612E-2</v>
      </c>
      <c r="M73" s="243">
        <v>0</v>
      </c>
      <c r="N73" s="243"/>
      <c r="O73" s="244"/>
      <c r="P73" s="67"/>
      <c r="Q73" s="46" t="str">
        <f>A73</f>
        <v>Tail risk</v>
      </c>
      <c r="V73" s="47"/>
      <c r="W73" s="47"/>
    </row>
    <row r="74" spans="1:24">
      <c r="A74" s="48" t="str">
        <f t="shared" ref="A74:A79" si="24">A60</f>
        <v>High Yield</v>
      </c>
      <c r="B74" s="107">
        <v>2.6995283983559759E-3</v>
      </c>
      <c r="C74" s="108">
        <v>4.4369482154805453E-3</v>
      </c>
      <c r="D74" s="109">
        <v>9.0091634382478374E-6</v>
      </c>
      <c r="E74" s="107">
        <v>6.8142849730365126E-4</v>
      </c>
      <c r="F74" s="110">
        <v>5.6700035938417742E-3</v>
      </c>
      <c r="G74" s="2">
        <v>-6.2594804003576173E-3</v>
      </c>
      <c r="H74" s="2">
        <v>-0.59966218677516225</v>
      </c>
      <c r="I74" s="2">
        <v>-0.86780507472349278</v>
      </c>
      <c r="J74" s="2">
        <v>-0.69531444911328244</v>
      </c>
      <c r="K74" s="2">
        <v>-0.21550313924113801</v>
      </c>
      <c r="L74" s="2">
        <v>-0.16586047419694211</v>
      </c>
      <c r="M74" s="2">
        <v>0.999999999999998</v>
      </c>
      <c r="N74" s="52"/>
      <c r="O74" s="62"/>
      <c r="P74" s="67"/>
      <c r="Q74" s="46" t="str">
        <f t="shared" ref="Q74:Q80" si="25">A74</f>
        <v>High Yield</v>
      </c>
      <c r="R74" s="67">
        <f>D74</f>
        <v>9.0091634382478374E-6</v>
      </c>
      <c r="S74" s="47">
        <f>B74-D74</f>
        <v>2.6905192349177282E-3</v>
      </c>
      <c r="T74" s="47">
        <f>F74-B74</f>
        <v>2.9704751954857983E-3</v>
      </c>
      <c r="U74" s="47"/>
      <c r="V74" s="47">
        <f>O4</f>
        <v>0</v>
      </c>
      <c r="W74" s="47"/>
    </row>
    <row r="75" spans="1:24">
      <c r="A75" s="54" t="str">
        <f t="shared" si="24"/>
        <v>Emerging market debt</v>
      </c>
      <c r="B75" s="107">
        <v>1.0798494293707502E-2</v>
      </c>
      <c r="C75" s="108">
        <v>1.358270078227408E-2</v>
      </c>
      <c r="D75" s="109">
        <v>1.1077505439822777E-4</v>
      </c>
      <c r="E75" s="107">
        <v>5.6409414452007287E-3</v>
      </c>
      <c r="F75" s="110">
        <v>2.3541835295091226E-2</v>
      </c>
      <c r="G75" s="2">
        <v>-0.94014755416640239</v>
      </c>
      <c r="H75" s="2">
        <v>1</v>
      </c>
      <c r="I75" s="2">
        <v>8.9133751307108641E-2</v>
      </c>
      <c r="J75" s="2">
        <v>-0.18674767702870876</v>
      </c>
      <c r="K75" s="2">
        <v>-8.6161847218881454E-2</v>
      </c>
      <c r="L75" s="2">
        <v>-0.12885759966823807</v>
      </c>
      <c r="M75" s="2">
        <v>1</v>
      </c>
      <c r="N75" s="52"/>
      <c r="O75" s="62"/>
      <c r="P75" s="67"/>
      <c r="Q75" s="46" t="str">
        <f t="shared" si="25"/>
        <v>Emerging market debt</v>
      </c>
      <c r="R75" s="67">
        <f t="shared" ref="R75:R80" si="26">D75</f>
        <v>1.1077505439822777E-4</v>
      </c>
      <c r="S75" s="47">
        <f t="shared" ref="S75:S80" si="27">B75-D75</f>
        <v>1.0687719239309274E-2</v>
      </c>
      <c r="T75" s="47">
        <f t="shared" ref="T75:T80" si="28">F75-B75</f>
        <v>1.2743341001383725E-2</v>
      </c>
      <c r="U75" s="47"/>
      <c r="V75" s="47">
        <f t="shared" ref="V75:V80" si="29">O5</f>
        <v>0</v>
      </c>
      <c r="W75" s="47"/>
    </row>
    <row r="76" spans="1:24">
      <c r="A76" s="54" t="str">
        <f t="shared" si="24"/>
        <v>Aandelen ontwikkeld</v>
      </c>
      <c r="B76" s="107">
        <v>1.9822064696863656E-3</v>
      </c>
      <c r="C76" s="108">
        <v>3.5358469027447484E-3</v>
      </c>
      <c r="D76" s="109">
        <v>1.6321501928185519E-6</v>
      </c>
      <c r="E76" s="107">
        <v>2.9118786865388568E-4</v>
      </c>
      <c r="F76" s="110">
        <v>4.1585183705586289E-3</v>
      </c>
      <c r="G76" s="2">
        <v>-1.0788390510230042E-2</v>
      </c>
      <c r="H76" s="2">
        <v>-0.17943155878544226</v>
      </c>
      <c r="I76" s="2">
        <v>-0.19158486333283606</v>
      </c>
      <c r="J76" s="2">
        <v>0.38786884689094836</v>
      </c>
      <c r="K76" s="2">
        <v>1</v>
      </c>
      <c r="L76" s="2">
        <v>-0.21595666877594119</v>
      </c>
      <c r="M76" s="2">
        <v>0.99999999999999878</v>
      </c>
      <c r="N76" s="52"/>
      <c r="O76" s="62"/>
      <c r="Q76" s="46" t="str">
        <f t="shared" si="25"/>
        <v>Aandelen ontwikkeld</v>
      </c>
      <c r="R76" s="67">
        <f t="shared" si="26"/>
        <v>1.6321501928185519E-6</v>
      </c>
      <c r="S76" s="47">
        <f t="shared" si="27"/>
        <v>1.9805743194935472E-3</v>
      </c>
      <c r="T76" s="47">
        <f t="shared" si="28"/>
        <v>2.1763119008722633E-3</v>
      </c>
      <c r="U76" s="47"/>
      <c r="V76" s="47">
        <f t="shared" si="29"/>
        <v>0</v>
      </c>
    </row>
    <row r="77" spans="1:24">
      <c r="A77" s="54" t="str">
        <f t="shared" si="24"/>
        <v>Aandelen opkomend</v>
      </c>
      <c r="B77" s="107">
        <v>2.8659865792323809E-3</v>
      </c>
      <c r="C77" s="108">
        <v>4.8114003053216468E-3</v>
      </c>
      <c r="D77" s="109">
        <v>2.6944486895544232E-6</v>
      </c>
      <c r="E77" s="107">
        <v>5.6646977642831877E-4</v>
      </c>
      <c r="F77" s="110">
        <v>6.3558774547274009E-3</v>
      </c>
      <c r="G77" s="2">
        <v>-4.4051147584664066E-2</v>
      </c>
      <c r="H77" s="2">
        <v>-0.79173108346596066</v>
      </c>
      <c r="I77" s="2">
        <v>1</v>
      </c>
      <c r="J77" s="2">
        <v>-0.3199131792429647</v>
      </c>
      <c r="K77" s="2">
        <v>-8.0848396127779706E-2</v>
      </c>
      <c r="L77" s="2">
        <v>-0.20324266577287894</v>
      </c>
      <c r="M77" s="2">
        <v>0.999999999999999</v>
      </c>
      <c r="N77" s="52"/>
      <c r="O77" s="62"/>
      <c r="Q77" s="46" t="str">
        <f t="shared" si="25"/>
        <v>Aandelen opkomend</v>
      </c>
      <c r="R77" s="67">
        <f t="shared" si="26"/>
        <v>2.6944486895544232E-6</v>
      </c>
      <c r="S77" s="47">
        <f t="shared" si="27"/>
        <v>2.8632921305428265E-3</v>
      </c>
      <c r="T77" s="47">
        <f t="shared" si="28"/>
        <v>3.4898908754950201E-3</v>
      </c>
      <c r="U77" s="47"/>
      <c r="V77" s="47">
        <f t="shared" si="29"/>
        <v>0</v>
      </c>
    </row>
    <row r="78" spans="1:24">
      <c r="A78" s="54" t="str">
        <f t="shared" si="24"/>
        <v>Commodities</v>
      </c>
      <c r="B78" s="107">
        <v>1.4771024259273814E-3</v>
      </c>
      <c r="C78" s="108">
        <v>2.6498290764599016E-3</v>
      </c>
      <c r="D78" s="109">
        <v>5.6631026702354599E-7</v>
      </c>
      <c r="E78" s="107">
        <v>2.7253003984780859E-4</v>
      </c>
      <c r="F78" s="110">
        <v>3.090897838414223E-3</v>
      </c>
      <c r="G78" s="2">
        <v>6.7869014313594834E-3</v>
      </c>
      <c r="H78" s="2">
        <v>-7.9516633025963901E-2</v>
      </c>
      <c r="I78" s="2">
        <v>2.1512728768105855E-2</v>
      </c>
      <c r="J78" s="2">
        <v>-1.6140838464599714E-3</v>
      </c>
      <c r="K78" s="2">
        <v>5.5404807822978949E-2</v>
      </c>
      <c r="L78" s="2">
        <v>1</v>
      </c>
      <c r="M78" s="2">
        <v>0.999999999999998</v>
      </c>
      <c r="N78" s="52"/>
      <c r="O78" s="62"/>
      <c r="Q78" s="46" t="str">
        <f t="shared" si="25"/>
        <v>Commodities</v>
      </c>
      <c r="R78" s="67">
        <f t="shared" si="26"/>
        <v>5.6631026702354599E-7</v>
      </c>
      <c r="S78" s="47">
        <f t="shared" si="27"/>
        <v>1.4765361156603579E-3</v>
      </c>
      <c r="T78" s="47">
        <f t="shared" si="28"/>
        <v>1.6137954124868417E-3</v>
      </c>
      <c r="U78" s="47"/>
      <c r="V78" s="47">
        <f t="shared" si="29"/>
        <v>0</v>
      </c>
    </row>
    <row r="79" spans="1:24">
      <c r="A79" s="54" t="str">
        <f t="shared" si="24"/>
        <v>Hedge funds</v>
      </c>
      <c r="B79" s="107">
        <v>0.97790353409338471</v>
      </c>
      <c r="C79" s="108">
        <v>1.4278303709786614E-2</v>
      </c>
      <c r="D79" s="109">
        <v>0.96405006368400703</v>
      </c>
      <c r="E79" s="107">
        <v>0.97951160838196549</v>
      </c>
      <c r="F79" s="110">
        <v>0.99241043095092851</v>
      </c>
      <c r="G79" s="2">
        <v>1</v>
      </c>
      <c r="H79" s="2">
        <v>0.89874497435508049</v>
      </c>
      <c r="I79" s="2">
        <v>0.11926040000240094</v>
      </c>
      <c r="J79" s="2">
        <v>-0.18427945765953341</v>
      </c>
      <c r="K79" s="2">
        <v>-7.879438163334633E-2</v>
      </c>
      <c r="L79" s="2">
        <v>-0.1410566479321208</v>
      </c>
      <c r="M79" s="2">
        <v>0.99999999999999978</v>
      </c>
      <c r="N79" s="52"/>
      <c r="O79" s="62"/>
      <c r="Q79" s="46" t="str">
        <f t="shared" si="25"/>
        <v>Hedge funds</v>
      </c>
      <c r="R79" s="67">
        <f t="shared" si="26"/>
        <v>0.96405006368400703</v>
      </c>
      <c r="S79" s="47">
        <f t="shared" si="27"/>
        <v>1.3853470409377677E-2</v>
      </c>
      <c r="T79" s="47">
        <f t="shared" si="28"/>
        <v>1.4506896857543805E-2</v>
      </c>
      <c r="U79" s="47"/>
      <c r="V79" s="47">
        <f t="shared" si="29"/>
        <v>0</v>
      </c>
    </row>
    <row r="80" spans="1:24">
      <c r="A80" s="54" t="str">
        <f t="shared" ref="A80" si="30">A10</f>
        <v>Onroerend goed</v>
      </c>
      <c r="B80" s="107">
        <v>2.2731477397045759E-3</v>
      </c>
      <c r="C80" s="108">
        <v>3.7833674268584446E-3</v>
      </c>
      <c r="D80" s="109">
        <v>4.0112150440200787E-6</v>
      </c>
      <c r="E80" s="107">
        <v>5.6958771120678615E-4</v>
      </c>
      <c r="F80" s="110">
        <v>4.8131206969539621E-3</v>
      </c>
      <c r="G80" s="2">
        <v>0.37181286205533393</v>
      </c>
      <c r="H80" s="2">
        <v>0.2473486801974456</v>
      </c>
      <c r="I80" s="2">
        <v>0.1457517073758916</v>
      </c>
      <c r="J80" s="2">
        <v>0.10471853322154423</v>
      </c>
      <c r="K80" s="2">
        <v>6.6501076110085378E-2</v>
      </c>
      <c r="L80" s="2">
        <v>4.5565176115597184E-2</v>
      </c>
      <c r="M80" s="2">
        <v>1.8301964924101077E-2</v>
      </c>
      <c r="N80" s="52">
        <v>2.2204460492503131E-16</v>
      </c>
      <c r="O80" s="62"/>
      <c r="Q80" s="46" t="str">
        <f t="shared" si="25"/>
        <v>Onroerend goed</v>
      </c>
      <c r="R80" s="67">
        <f t="shared" si="26"/>
        <v>4.0112150440200787E-6</v>
      </c>
      <c r="S80" s="47">
        <f t="shared" si="27"/>
        <v>2.269136524660556E-3</v>
      </c>
      <c r="T80" s="47">
        <f t="shared" si="28"/>
        <v>2.5399729572493862E-3</v>
      </c>
      <c r="U80" s="47"/>
      <c r="V80" s="47">
        <f t="shared" si="29"/>
        <v>0</v>
      </c>
    </row>
    <row r="81" spans="1:27">
      <c r="A81" s="54"/>
      <c r="B81" s="107"/>
      <c r="C81" s="108"/>
      <c r="D81" s="109"/>
      <c r="E81" s="107"/>
      <c r="F81" s="110"/>
      <c r="G81" s="2"/>
      <c r="H81" s="2"/>
      <c r="I81" s="2"/>
      <c r="J81" s="2"/>
      <c r="K81" s="2"/>
      <c r="L81" s="2"/>
      <c r="M81" s="2"/>
      <c r="N81" s="52"/>
      <c r="O81" s="62"/>
      <c r="Q81" s="46"/>
      <c r="R81" s="67"/>
      <c r="S81" s="47"/>
      <c r="T81" s="47"/>
      <c r="U81" s="47"/>
      <c r="V81" s="47"/>
    </row>
    <row r="82" spans="1:27">
      <c r="A82" s="54"/>
      <c r="B82" s="107"/>
      <c r="C82" s="108"/>
      <c r="D82" s="109"/>
      <c r="E82" s="107"/>
      <c r="F82" s="110"/>
      <c r="G82" s="2"/>
      <c r="H82" s="2"/>
      <c r="I82" s="2"/>
      <c r="J82" s="2"/>
      <c r="K82" s="2"/>
      <c r="L82" s="2"/>
      <c r="M82" s="2"/>
      <c r="N82" s="52"/>
      <c r="O82" s="62"/>
      <c r="Q82" s="46"/>
      <c r="R82" s="67"/>
      <c r="S82" s="47"/>
      <c r="T82" s="47"/>
      <c r="U82" s="47"/>
      <c r="V82" s="47"/>
    </row>
    <row r="83" spans="1:27">
      <c r="A83" s="54"/>
      <c r="B83" s="107"/>
      <c r="C83" s="108"/>
      <c r="D83" s="109"/>
      <c r="E83" s="107"/>
      <c r="F83" s="110"/>
      <c r="G83" s="2"/>
      <c r="H83" s="2"/>
      <c r="I83" s="2"/>
      <c r="J83" s="2"/>
      <c r="K83" s="2"/>
      <c r="L83" s="2"/>
      <c r="M83" s="2"/>
      <c r="N83" s="52"/>
      <c r="O83" s="62"/>
      <c r="Q83" s="46"/>
      <c r="R83" s="67"/>
      <c r="S83" s="47"/>
      <c r="T83" s="47"/>
      <c r="U83" s="47"/>
      <c r="V83" s="47"/>
    </row>
    <row r="84" spans="1:27">
      <c r="A84" s="55"/>
      <c r="B84" s="111"/>
      <c r="C84" s="112"/>
      <c r="D84" s="113"/>
      <c r="E84" s="111"/>
      <c r="F84" s="114"/>
      <c r="G84" s="60"/>
      <c r="H84" s="60"/>
      <c r="I84" s="60"/>
      <c r="J84" s="60"/>
      <c r="K84" s="60"/>
      <c r="L84" s="60"/>
      <c r="M84" s="60"/>
      <c r="N84" s="61"/>
      <c r="O84" s="62"/>
      <c r="Q84" s="46"/>
      <c r="R84" s="67"/>
      <c r="S84" s="47"/>
      <c r="T84" s="47"/>
      <c r="U84" s="47"/>
      <c r="V84" s="47"/>
    </row>
    <row r="85" spans="1:27">
      <c r="A85" s="62"/>
      <c r="B85" s="107"/>
      <c r="C85" s="107"/>
      <c r="D85" s="107"/>
      <c r="E85" s="107"/>
      <c r="F85" s="107"/>
      <c r="G85" s="63"/>
      <c r="H85" s="63"/>
      <c r="I85" s="63"/>
      <c r="J85" s="63"/>
      <c r="K85" s="63"/>
      <c r="L85" s="63"/>
      <c r="M85" s="63"/>
      <c r="N85" s="63"/>
      <c r="O85" s="62"/>
      <c r="P85" s="67"/>
      <c r="Q85" s="67"/>
      <c r="R85" s="67"/>
      <c r="T85" s="47"/>
      <c r="U85" s="47"/>
      <c r="V85" s="47"/>
      <c r="W85" s="47"/>
      <c r="Y85" s="121"/>
      <c r="Z85" s="121"/>
      <c r="AA85" s="121"/>
    </row>
    <row r="86" spans="1:27">
      <c r="A86" s="44"/>
      <c r="D86" s="394" t="s">
        <v>64</v>
      </c>
      <c r="E86" s="395"/>
      <c r="F86" s="396"/>
      <c r="G86" s="394" t="s">
        <v>65</v>
      </c>
      <c r="H86" s="395"/>
      <c r="I86" s="395"/>
      <c r="J86" s="395"/>
      <c r="K86" s="395"/>
      <c r="L86" s="395"/>
      <c r="M86" s="395"/>
      <c r="N86" s="396"/>
      <c r="O86" s="62"/>
      <c r="P86" s="67"/>
      <c r="Q86" s="67"/>
      <c r="R86" s="67"/>
      <c r="T86" s="47"/>
      <c r="U86" s="47"/>
      <c r="V86" s="47"/>
      <c r="W86" s="47"/>
      <c r="Y86" s="121"/>
      <c r="Z86" s="121"/>
      <c r="AA86" s="121"/>
    </row>
    <row r="87" spans="1:27">
      <c r="A87" s="237" t="str">
        <f>'Samenvatting mixen'!A93</f>
        <v>Bull case</v>
      </c>
      <c r="B87" s="238" t="s">
        <v>67</v>
      </c>
      <c r="C87" s="239" t="s">
        <v>2</v>
      </c>
      <c r="D87" s="240">
        <v>0.25</v>
      </c>
      <c r="E87" s="241">
        <v>0.5</v>
      </c>
      <c r="F87" s="242">
        <v>0.75</v>
      </c>
      <c r="G87" s="243">
        <v>0.59278251009823768</v>
      </c>
      <c r="H87" s="243">
        <v>0.24383112443964661</v>
      </c>
      <c r="I87" s="243">
        <v>0.11563329119334065</v>
      </c>
      <c r="J87" s="243">
        <v>3.8236490060534645E-2</v>
      </c>
      <c r="K87" s="243">
        <v>6.5365261892761373E-3</v>
      </c>
      <c r="L87" s="243">
        <v>2.980058018963283E-3</v>
      </c>
      <c r="M87" s="243">
        <v>-2.2204460492503131E-16</v>
      </c>
      <c r="N87" s="243"/>
      <c r="O87" s="244"/>
      <c r="P87" s="67"/>
      <c r="Q87" s="46" t="str">
        <f>A87</f>
        <v>Bull case</v>
      </c>
      <c r="V87" s="47"/>
      <c r="W87" s="47"/>
      <c r="Y87" s="121"/>
      <c r="Z87" s="121"/>
      <c r="AA87" s="121"/>
    </row>
    <row r="88" spans="1:27">
      <c r="A88" s="48" t="str">
        <f t="shared" ref="A88:A94" si="31">A74</f>
        <v>High Yield</v>
      </c>
      <c r="B88" s="107">
        <v>7.1955839170805364E-2</v>
      </c>
      <c r="C88" s="108">
        <v>6.5548615287200601E-2</v>
      </c>
      <c r="D88" s="109">
        <v>8.4753556683931988E-3</v>
      </c>
      <c r="E88" s="107">
        <v>5.5083789895810129E-2</v>
      </c>
      <c r="F88" s="110">
        <v>0.13307721014733195</v>
      </c>
      <c r="G88" s="2">
        <v>-9.7006558748822441E-2</v>
      </c>
      <c r="H88" s="2">
        <v>-0.45226786493948634</v>
      </c>
      <c r="I88" s="2">
        <v>1</v>
      </c>
      <c r="J88" s="2">
        <v>-0.20613403399779873</v>
      </c>
      <c r="K88" s="2">
        <v>-0.19557502063363855</v>
      </c>
      <c r="L88" s="2">
        <v>-0.12827019813074081</v>
      </c>
      <c r="M88" s="2">
        <v>0.99999999999998845</v>
      </c>
      <c r="N88" s="52"/>
      <c r="O88" s="62"/>
      <c r="Q88" s="46" t="str">
        <f t="shared" ref="Q88:Q94" si="32">A88</f>
        <v>High Yield</v>
      </c>
      <c r="R88" s="67">
        <f>D88</f>
        <v>8.4753556683931988E-3</v>
      </c>
      <c r="S88" s="47">
        <f>B88-D88</f>
        <v>6.3480483502412172E-2</v>
      </c>
      <c r="T88" s="47">
        <f>F88-B88</f>
        <v>6.112137097652659E-2</v>
      </c>
      <c r="U88" s="47"/>
      <c r="W88" s="47"/>
      <c r="Y88" s="121"/>
      <c r="Z88" s="121"/>
      <c r="AA88" s="121"/>
    </row>
    <row r="89" spans="1:27">
      <c r="A89" s="54" t="str">
        <f t="shared" si="31"/>
        <v>Emerging market debt</v>
      </c>
      <c r="B89" s="107">
        <v>3.4701827524090685E-2</v>
      </c>
      <c r="C89" s="108">
        <v>3.5879972033659904E-2</v>
      </c>
      <c r="D89" s="109">
        <v>3.2089670703715025E-3</v>
      </c>
      <c r="E89" s="107">
        <v>2.1384046280172098E-2</v>
      </c>
      <c r="F89" s="110">
        <v>7.1084029503028251E-2</v>
      </c>
      <c r="G89" s="2">
        <v>-1.0137626560866999E-2</v>
      </c>
      <c r="H89" s="2">
        <v>-0.11534518546934154</v>
      </c>
      <c r="I89" s="2">
        <v>-0.1015025891585942</v>
      </c>
      <c r="J89" s="2">
        <v>1</v>
      </c>
      <c r="K89" s="2">
        <v>-0.23784672087063402</v>
      </c>
      <c r="L89" s="2">
        <v>-0.16920700081063769</v>
      </c>
      <c r="M89" s="2">
        <v>0.99999999999999045</v>
      </c>
      <c r="N89" s="52"/>
      <c r="O89" s="62"/>
      <c r="Q89" s="46" t="str">
        <f t="shared" si="32"/>
        <v>Emerging market debt</v>
      </c>
      <c r="R89" s="67">
        <f t="shared" ref="R89:R94" si="33">D89</f>
        <v>3.2089670703715025E-3</v>
      </c>
      <c r="S89" s="47">
        <f t="shared" ref="S89:S94" si="34">B89-D89</f>
        <v>3.1492860453719185E-2</v>
      </c>
      <c r="T89" s="47">
        <f t="shared" ref="T89:T94" si="35">F89-B89</f>
        <v>3.6382201978937566E-2</v>
      </c>
      <c r="U89" s="47"/>
    </row>
    <row r="90" spans="1:27">
      <c r="A90" s="54" t="str">
        <f t="shared" si="31"/>
        <v>Aandelen ontwikkeld</v>
      </c>
      <c r="B90" s="107">
        <v>1.1374890378775865E-2</v>
      </c>
      <c r="C90" s="108">
        <v>1.4879528922179057E-2</v>
      </c>
      <c r="D90" s="109">
        <v>1.5806726159073439E-4</v>
      </c>
      <c r="E90" s="107">
        <v>5.9835733673497728E-3</v>
      </c>
      <c r="F90" s="110">
        <v>2.2368674397356344E-2</v>
      </c>
      <c r="G90" s="2">
        <v>-8.9997978536424052E-4</v>
      </c>
      <c r="H90" s="2">
        <v>-2.8320320218265409E-2</v>
      </c>
      <c r="I90" s="2">
        <v>-1.8670158280214691E-2</v>
      </c>
      <c r="J90" s="2">
        <v>1.9033628794656046E-2</v>
      </c>
      <c r="K90" s="2">
        <v>1</v>
      </c>
      <c r="L90" s="2">
        <v>-0.22656714812426257</v>
      </c>
      <c r="M90" s="2">
        <v>0.99999999999999645</v>
      </c>
      <c r="N90" s="52"/>
      <c r="O90" s="62"/>
      <c r="Q90" s="46" t="str">
        <f t="shared" si="32"/>
        <v>Aandelen ontwikkeld</v>
      </c>
      <c r="R90" s="67">
        <f t="shared" si="33"/>
        <v>1.5806726159073439E-4</v>
      </c>
      <c r="S90" s="47">
        <f t="shared" si="34"/>
        <v>1.121682311718513E-2</v>
      </c>
      <c r="T90" s="47">
        <f t="shared" si="35"/>
        <v>1.0993784018580479E-2</v>
      </c>
      <c r="U90" s="47"/>
    </row>
    <row r="91" spans="1:27">
      <c r="A91" s="54" t="str">
        <f t="shared" si="31"/>
        <v>Aandelen opkomend</v>
      </c>
      <c r="B91" s="107">
        <v>7.7151884442902153E-3</v>
      </c>
      <c r="C91" s="108">
        <v>1.0370239352218993E-2</v>
      </c>
      <c r="D91" s="109">
        <v>1.3347015598507306E-4</v>
      </c>
      <c r="E91" s="107">
        <v>3.352350121289694E-3</v>
      </c>
      <c r="F91" s="110">
        <v>1.7639616498119397E-2</v>
      </c>
      <c r="G91" s="2">
        <v>1.1860617021805882E-3</v>
      </c>
      <c r="H91" s="2">
        <v>-1.5850532092498766E-2</v>
      </c>
      <c r="I91" s="2">
        <v>-3.8152697746968403E-2</v>
      </c>
      <c r="J91" s="2">
        <v>1.2560470182694192E-2</v>
      </c>
      <c r="K91" s="2">
        <v>6.091689511270916E-2</v>
      </c>
      <c r="L91" s="2">
        <v>1</v>
      </c>
      <c r="M91" s="2">
        <v>1</v>
      </c>
      <c r="N91" s="52"/>
      <c r="O91" s="62"/>
      <c r="Q91" s="46" t="str">
        <f t="shared" si="32"/>
        <v>Aandelen opkomend</v>
      </c>
      <c r="R91" s="67">
        <f t="shared" si="33"/>
        <v>1.3347015598507306E-4</v>
      </c>
      <c r="S91" s="47">
        <f t="shared" si="34"/>
        <v>7.5817182883051422E-3</v>
      </c>
      <c r="T91" s="47">
        <f t="shared" si="35"/>
        <v>9.9244280538291815E-3</v>
      </c>
      <c r="U91" s="47"/>
    </row>
    <row r="92" spans="1:27">
      <c r="A92" s="54" t="str">
        <f t="shared" si="31"/>
        <v>Commodities</v>
      </c>
      <c r="B92" s="107">
        <v>0.19700783381867154</v>
      </c>
      <c r="C92" s="108">
        <v>7.5639132473333898E-2</v>
      </c>
      <c r="D92" s="109">
        <v>0.1226275537649839</v>
      </c>
      <c r="E92" s="107">
        <v>0.19516724762562443</v>
      </c>
      <c r="F92" s="110">
        <v>0.2720537384184446</v>
      </c>
      <c r="G92" s="2">
        <v>-0.27450844385148643</v>
      </c>
      <c r="H92" s="2">
        <v>-0.75464434232900779</v>
      </c>
      <c r="I92" s="2">
        <v>-0.68821472778103887</v>
      </c>
      <c r="J92" s="2">
        <v>-0.39789860523570625</v>
      </c>
      <c r="K92" s="2">
        <v>-0.23513240889440087</v>
      </c>
      <c r="L92" s="2">
        <v>-0.17687159648609868</v>
      </c>
      <c r="M92" s="2">
        <v>0.99999999999998668</v>
      </c>
      <c r="N92" s="52"/>
      <c r="O92" s="62"/>
      <c r="Q92" s="46" t="str">
        <f t="shared" si="32"/>
        <v>Commodities</v>
      </c>
      <c r="R92" s="67">
        <f t="shared" si="33"/>
        <v>0.1226275537649839</v>
      </c>
      <c r="S92" s="47">
        <f t="shared" si="34"/>
        <v>7.4380280053687645E-2</v>
      </c>
      <c r="T92" s="47">
        <f t="shared" si="35"/>
        <v>7.5045904599773061E-2</v>
      </c>
      <c r="U92" s="47"/>
    </row>
    <row r="93" spans="1:27">
      <c r="A93" s="54" t="str">
        <f t="shared" si="31"/>
        <v>Hedge funds</v>
      </c>
      <c r="B93" s="107">
        <v>0.12261170182661704</v>
      </c>
      <c r="C93" s="108">
        <v>0.105928292064672</v>
      </c>
      <c r="D93" s="109">
        <v>1.2475079576170467E-2</v>
      </c>
      <c r="E93" s="107">
        <v>9.5996607696946401E-2</v>
      </c>
      <c r="F93" s="110">
        <v>0.23811810749435167</v>
      </c>
      <c r="G93" s="2">
        <v>-0.61863345275564119</v>
      </c>
      <c r="H93" s="2">
        <v>1</v>
      </c>
      <c r="I93" s="2">
        <v>-3.7405062316502063E-2</v>
      </c>
      <c r="J93" s="2">
        <v>-0.19057955212465763</v>
      </c>
      <c r="K93" s="2">
        <v>-0.18982764760702098</v>
      </c>
      <c r="L93" s="2">
        <v>-0.14517365490215309</v>
      </c>
      <c r="M93" s="2">
        <v>0.99999999999998768</v>
      </c>
      <c r="N93" s="52"/>
      <c r="O93" s="62"/>
      <c r="Q93" s="46" t="str">
        <f t="shared" si="32"/>
        <v>Hedge funds</v>
      </c>
      <c r="R93" s="67">
        <f t="shared" si="33"/>
        <v>1.2475079576170467E-2</v>
      </c>
      <c r="S93" s="47">
        <f t="shared" si="34"/>
        <v>0.11013662225044657</v>
      </c>
      <c r="T93" s="47">
        <f t="shared" si="35"/>
        <v>0.11550640566773462</v>
      </c>
      <c r="U93" s="47"/>
    </row>
    <row r="94" spans="1:27">
      <c r="A94" s="54" t="str">
        <f t="shared" si="31"/>
        <v>Onroerend goed</v>
      </c>
      <c r="B94" s="107">
        <v>0.55463271883674892</v>
      </c>
      <c r="C94" s="108">
        <v>0.1296861908410531</v>
      </c>
      <c r="D94" s="109">
        <v>0.43029176546889841</v>
      </c>
      <c r="E94" s="107">
        <v>0.54538002066130242</v>
      </c>
      <c r="F94" s="110">
        <v>0.68510104786833437</v>
      </c>
      <c r="G94" s="2">
        <v>1</v>
      </c>
      <c r="H94" s="2">
        <v>0.36642824504860044</v>
      </c>
      <c r="I94" s="2">
        <v>-0.1160547647166825</v>
      </c>
      <c r="J94" s="2">
        <v>-0.23698190761919108</v>
      </c>
      <c r="K94" s="2">
        <v>-0.20253509710702308</v>
      </c>
      <c r="L94" s="2">
        <v>-0.15391040154611726</v>
      </c>
      <c r="M94" s="2">
        <v>0.99999999999998812</v>
      </c>
      <c r="N94" s="52"/>
      <c r="O94" s="62"/>
      <c r="P94" s="67"/>
      <c r="Q94" s="46" t="str">
        <f t="shared" si="32"/>
        <v>Onroerend goed</v>
      </c>
      <c r="R94" s="67">
        <f t="shared" si="33"/>
        <v>0.43029176546889841</v>
      </c>
      <c r="S94" s="47">
        <f t="shared" si="34"/>
        <v>0.1243409533678505</v>
      </c>
      <c r="T94" s="47">
        <f t="shared" si="35"/>
        <v>0.13046832903158545</v>
      </c>
      <c r="U94" s="47"/>
      <c r="V94" s="47"/>
    </row>
    <row r="95" spans="1:27">
      <c r="A95" s="54"/>
      <c r="B95" s="107"/>
      <c r="C95" s="108"/>
      <c r="D95" s="109"/>
      <c r="E95" s="107"/>
      <c r="F95" s="110"/>
      <c r="G95" s="2"/>
      <c r="H95" s="2"/>
      <c r="I95" s="2"/>
      <c r="J95" s="2"/>
      <c r="K95" s="2"/>
      <c r="L95" s="2"/>
      <c r="M95" s="2"/>
      <c r="N95" s="52"/>
      <c r="O95" s="62"/>
      <c r="P95" s="67"/>
      <c r="Q95" s="46"/>
      <c r="R95" s="67"/>
      <c r="S95" s="47"/>
      <c r="T95" s="47"/>
      <c r="U95" s="47"/>
      <c r="V95" s="47"/>
    </row>
    <row r="96" spans="1:27">
      <c r="A96" s="54"/>
      <c r="B96" s="107"/>
      <c r="C96" s="108"/>
      <c r="D96" s="109"/>
      <c r="E96" s="107"/>
      <c r="F96" s="110"/>
      <c r="G96" s="2"/>
      <c r="H96" s="2"/>
      <c r="I96" s="2"/>
      <c r="J96" s="2"/>
      <c r="K96" s="2"/>
      <c r="L96" s="2"/>
      <c r="M96" s="2"/>
      <c r="N96" s="52"/>
      <c r="O96" s="62"/>
      <c r="P96" s="67"/>
      <c r="Q96" s="46"/>
      <c r="R96" s="67"/>
      <c r="S96" s="47"/>
      <c r="T96" s="47"/>
      <c r="U96" s="47"/>
      <c r="V96" s="47"/>
    </row>
    <row r="97" spans="1:22">
      <c r="A97" s="54"/>
      <c r="B97" s="107"/>
      <c r="C97" s="108"/>
      <c r="D97" s="109"/>
      <c r="E97" s="107"/>
      <c r="F97" s="110"/>
      <c r="G97" s="2"/>
      <c r="H97" s="2"/>
      <c r="I97" s="2"/>
      <c r="J97" s="2"/>
      <c r="K97" s="2"/>
      <c r="L97" s="2"/>
      <c r="M97" s="2"/>
      <c r="N97" s="52"/>
      <c r="O97" s="62"/>
      <c r="P97" s="67"/>
      <c r="Q97" s="46"/>
      <c r="R97" s="67"/>
      <c r="S97" s="47"/>
      <c r="T97" s="47"/>
      <c r="U97" s="47"/>
      <c r="V97" s="47"/>
    </row>
    <row r="98" spans="1:22">
      <c r="A98" s="55"/>
      <c r="B98" s="111"/>
      <c r="C98" s="112"/>
      <c r="D98" s="113"/>
      <c r="E98" s="111"/>
      <c r="F98" s="114"/>
      <c r="G98" s="60"/>
      <c r="H98" s="60"/>
      <c r="I98" s="60"/>
      <c r="J98" s="60"/>
      <c r="K98" s="60"/>
      <c r="L98" s="60"/>
      <c r="M98" s="60"/>
      <c r="N98" s="61"/>
      <c r="O98" s="62"/>
      <c r="P98" s="67"/>
      <c r="Q98" s="46"/>
      <c r="R98" s="67"/>
      <c r="S98" s="47"/>
      <c r="T98" s="47"/>
      <c r="U98" s="47"/>
      <c r="V98" s="47"/>
    </row>
    <row r="99" spans="1:22">
      <c r="A99" s="62"/>
      <c r="B99" s="107"/>
      <c r="C99" s="107"/>
      <c r="D99" s="107"/>
      <c r="E99" s="107"/>
      <c r="F99" s="107"/>
      <c r="G99" s="63"/>
      <c r="H99" s="63"/>
      <c r="I99" s="63"/>
      <c r="J99" s="63"/>
      <c r="K99" s="63"/>
      <c r="L99" s="63"/>
      <c r="M99" s="63"/>
      <c r="N99" s="63"/>
      <c r="O99" s="62"/>
      <c r="P99" s="67"/>
      <c r="Q99" s="67"/>
      <c r="R99" s="67"/>
      <c r="T99" s="47"/>
      <c r="U99" s="47"/>
      <c r="V99" s="47"/>
    </row>
    <row r="100" spans="1:22">
      <c r="A100" s="44"/>
      <c r="D100" s="394" t="s">
        <v>64</v>
      </c>
      <c r="E100" s="395"/>
      <c r="F100" s="396"/>
      <c r="G100" s="394" t="s">
        <v>65</v>
      </c>
      <c r="H100" s="395"/>
      <c r="I100" s="395"/>
      <c r="J100" s="395"/>
      <c r="K100" s="395"/>
      <c r="L100" s="395"/>
      <c r="M100" s="395"/>
      <c r="N100" s="396"/>
      <c r="O100" s="62"/>
      <c r="P100" s="67"/>
      <c r="Q100" s="67"/>
      <c r="R100" s="67"/>
      <c r="T100" s="47"/>
      <c r="U100" s="47"/>
      <c r="V100" s="47"/>
    </row>
    <row r="101" spans="1:22">
      <c r="A101" s="237" t="str">
        <f>'Samenvatting mixen'!A108</f>
        <v>Kansgewogen</v>
      </c>
      <c r="B101" s="238" t="s">
        <v>67</v>
      </c>
      <c r="C101" s="239" t="s">
        <v>2</v>
      </c>
      <c r="D101" s="240">
        <v>0.25</v>
      </c>
      <c r="E101" s="241">
        <v>0.5</v>
      </c>
      <c r="F101" s="242">
        <v>0.75</v>
      </c>
      <c r="G101" s="243">
        <v>0.69973791978973732</v>
      </c>
      <c r="H101" s="243">
        <v>0.19019953865622541</v>
      </c>
      <c r="I101" s="243">
        <v>6.8714677430621429E-2</v>
      </c>
      <c r="J101" s="243">
        <v>2.6734596860368498E-2</v>
      </c>
      <c r="K101" s="243">
        <v>1.2080190679128799E-2</v>
      </c>
      <c r="L101" s="243">
        <v>1.8762325937712321E-3</v>
      </c>
      <c r="M101" s="243">
        <v>6.5684399014276362E-4</v>
      </c>
      <c r="N101" s="243">
        <v>0</v>
      </c>
      <c r="O101" s="244"/>
      <c r="P101" s="67"/>
      <c r="Q101" s="46" t="str">
        <f>A101</f>
        <v>Kansgewogen</v>
      </c>
      <c r="V101" s="47"/>
    </row>
    <row r="102" spans="1:22">
      <c r="A102" s="48" t="str">
        <f t="shared" ref="A102:A108" si="36">A88</f>
        <v>High Yield</v>
      </c>
      <c r="B102" s="107">
        <v>0.39643238006622439</v>
      </c>
      <c r="C102" s="108">
        <v>0.15810930934933845</v>
      </c>
      <c r="D102" s="109">
        <v>0.2286675572336673</v>
      </c>
      <c r="E102" s="107">
        <v>0.40299657600918282</v>
      </c>
      <c r="F102" s="110">
        <v>0.5530693705934977</v>
      </c>
      <c r="G102" s="2">
        <v>1</v>
      </c>
      <c r="H102" s="2">
        <v>-0.19447554478353934</v>
      </c>
      <c r="I102" s="2">
        <v>-0.1974106148513354</v>
      </c>
      <c r="J102" s="2">
        <v>-0.21850960619243276</v>
      </c>
      <c r="K102" s="2">
        <v>-0.20700939007519154</v>
      </c>
      <c r="L102" s="2">
        <v>-0.17104759106094822</v>
      </c>
      <c r="M102" s="2">
        <v>-0.15930921125495268</v>
      </c>
      <c r="N102" s="52">
        <v>0.99999999999994571</v>
      </c>
      <c r="O102" s="62"/>
      <c r="P102" s="67"/>
      <c r="Q102" s="46" t="str">
        <f t="shared" ref="Q102:Q108" si="37">A102</f>
        <v>High Yield</v>
      </c>
      <c r="R102" s="67">
        <f>D102</f>
        <v>0.2286675572336673</v>
      </c>
      <c r="S102" s="47">
        <f>B102-D102</f>
        <v>0.16776482283255709</v>
      </c>
      <c r="T102" s="47">
        <f>F102-B102</f>
        <v>0.15663699052727331</v>
      </c>
      <c r="U102" s="47"/>
      <c r="V102" s="47">
        <f t="shared" ref="V102:V107" si="38">O33</f>
        <v>0</v>
      </c>
    </row>
    <row r="103" spans="1:22">
      <c r="A103" s="54" t="str">
        <f t="shared" si="36"/>
        <v>Emerging market debt</v>
      </c>
      <c r="B103" s="107">
        <v>4.0425624806310949E-2</v>
      </c>
      <c r="C103" s="108">
        <v>3.3981473259705103E-2</v>
      </c>
      <c r="D103" s="109">
        <v>8.7576945245457592E-3</v>
      </c>
      <c r="E103" s="107">
        <v>3.0318302982853866E-2</v>
      </c>
      <c r="F103" s="110">
        <v>7.4705787120594974E-2</v>
      </c>
      <c r="G103" s="2">
        <v>-3.3770285982787744E-2</v>
      </c>
      <c r="H103" s="2">
        <v>-2.232461664559348E-2</v>
      </c>
      <c r="I103" s="2">
        <v>-5.148902060226019E-2</v>
      </c>
      <c r="J103" s="2">
        <v>1</v>
      </c>
      <c r="K103" s="2">
        <v>-0.15755947108802845</v>
      </c>
      <c r="L103" s="2">
        <v>-0.13467281986949867</v>
      </c>
      <c r="M103" s="2">
        <v>-0.13973895498575817</v>
      </c>
      <c r="N103" s="52">
        <v>0.9999999999999506</v>
      </c>
      <c r="O103" s="62"/>
      <c r="P103" s="67"/>
      <c r="Q103" s="46" t="str">
        <f t="shared" si="37"/>
        <v>Emerging market debt</v>
      </c>
      <c r="R103" s="67">
        <f t="shared" ref="R103:R108" si="39">D103</f>
        <v>8.7576945245457592E-3</v>
      </c>
      <c r="S103" s="47">
        <f t="shared" ref="S103:S108" si="40">B103-D103</f>
        <v>3.1667930281765191E-2</v>
      </c>
      <c r="T103" s="47">
        <f t="shared" ref="T103:T108" si="41">F103-B103</f>
        <v>3.4280162314284025E-2</v>
      </c>
      <c r="U103" s="47"/>
      <c r="V103" s="47">
        <f t="shared" si="38"/>
        <v>0</v>
      </c>
    </row>
    <row r="104" spans="1:22">
      <c r="A104" s="54" t="str">
        <f t="shared" si="36"/>
        <v>Aandelen ontwikkeld</v>
      </c>
      <c r="B104" s="107">
        <v>4.260448200565232E-3</v>
      </c>
      <c r="C104" s="108">
        <v>5.4326255643878463E-3</v>
      </c>
      <c r="D104" s="109">
        <v>1.5133968967211036E-4</v>
      </c>
      <c r="E104" s="107">
        <v>2.1254797260514486E-3</v>
      </c>
      <c r="F104" s="110">
        <v>8.5510876930521978E-3</v>
      </c>
      <c r="G104" s="2">
        <v>7.5127361862979648E-4</v>
      </c>
      <c r="H104" s="2">
        <v>-1.9076370571259422E-3</v>
      </c>
      <c r="I104" s="2">
        <v>-6.8744321325129483E-3</v>
      </c>
      <c r="J104" s="2">
        <v>-1.3438537012693649E-2</v>
      </c>
      <c r="K104" s="2">
        <v>-1.2181455526319896E-2</v>
      </c>
      <c r="L104" s="2">
        <v>-5.156496184917745E-2</v>
      </c>
      <c r="M104" s="2">
        <v>1</v>
      </c>
      <c r="N104" s="52">
        <v>1</v>
      </c>
      <c r="O104" s="62"/>
      <c r="Q104" s="46" t="str">
        <f t="shared" si="37"/>
        <v>Aandelen ontwikkeld</v>
      </c>
      <c r="R104" s="67">
        <f t="shared" si="39"/>
        <v>1.5133968967211036E-4</v>
      </c>
      <c r="S104" s="47">
        <f t="shared" si="40"/>
        <v>4.1091085108931214E-3</v>
      </c>
      <c r="T104" s="47">
        <f t="shared" si="41"/>
        <v>4.2906394924869659E-3</v>
      </c>
      <c r="U104" s="47"/>
      <c r="V104" s="47">
        <f t="shared" si="38"/>
        <v>0</v>
      </c>
    </row>
    <row r="105" spans="1:22">
      <c r="A105" s="54" t="str">
        <f t="shared" si="36"/>
        <v>Aandelen opkomend</v>
      </c>
      <c r="B105" s="107">
        <v>0.12798321011413949</v>
      </c>
      <c r="C105" s="108">
        <v>8.8793596653454959E-2</v>
      </c>
      <c r="D105" s="109">
        <v>3.4419623327164528E-2</v>
      </c>
      <c r="E105" s="107">
        <v>0.11624943381858291</v>
      </c>
      <c r="F105" s="110">
        <v>0.21729748433030929</v>
      </c>
      <c r="G105" s="2">
        <v>-0.24278331399341097</v>
      </c>
      <c r="H105" s="2">
        <v>1</v>
      </c>
      <c r="I105" s="2">
        <v>-0.24832262567101876</v>
      </c>
      <c r="J105" s="2">
        <v>-0.24024772477343745</v>
      </c>
      <c r="K105" s="2">
        <v>-0.23795342225268432</v>
      </c>
      <c r="L105" s="2">
        <v>-0.16894737088173034</v>
      </c>
      <c r="M105" s="2">
        <v>-0.15772301048177528</v>
      </c>
      <c r="N105" s="52">
        <v>0.99999999999994604</v>
      </c>
      <c r="O105" s="62"/>
      <c r="Q105" s="46" t="str">
        <f t="shared" si="37"/>
        <v>Aandelen opkomend</v>
      </c>
      <c r="R105" s="67">
        <f t="shared" si="39"/>
        <v>3.4419623327164528E-2</v>
      </c>
      <c r="S105" s="47">
        <f t="shared" si="40"/>
        <v>9.3563586786974962E-2</v>
      </c>
      <c r="T105" s="47">
        <f t="shared" si="41"/>
        <v>8.9314274216169803E-2</v>
      </c>
      <c r="U105" s="47"/>
      <c r="V105" s="47">
        <f t="shared" si="38"/>
        <v>0</v>
      </c>
    </row>
    <row r="106" spans="1:22">
      <c r="A106" s="54" t="str">
        <f t="shared" si="36"/>
        <v>Commodities</v>
      </c>
      <c r="B106" s="107">
        <v>0.32479918858176166</v>
      </c>
      <c r="C106" s="108">
        <v>0.11224151392365211</v>
      </c>
      <c r="D106" s="109">
        <v>0.21988943858648224</v>
      </c>
      <c r="E106" s="107">
        <v>0.31376561125965852</v>
      </c>
      <c r="F106" s="110">
        <v>0.43470732425750919</v>
      </c>
      <c r="G106" s="2">
        <v>-0.60195016747960473</v>
      </c>
      <c r="H106" s="2">
        <v>-0.7128641872547542</v>
      </c>
      <c r="I106" s="2">
        <v>-0.39575463553283996</v>
      </c>
      <c r="J106" s="2">
        <v>-0.29165980190308743</v>
      </c>
      <c r="K106" s="2">
        <v>-0.24254974809756671</v>
      </c>
      <c r="L106" s="2">
        <v>-0.18448723551493612</v>
      </c>
      <c r="M106" s="2">
        <v>-0.16233531454264913</v>
      </c>
      <c r="N106" s="52">
        <v>0.99999999999994582</v>
      </c>
      <c r="O106" s="62"/>
      <c r="Q106" s="46" t="str">
        <f t="shared" si="37"/>
        <v>Commodities</v>
      </c>
      <c r="R106" s="67">
        <f t="shared" si="39"/>
        <v>0.21988943858648224</v>
      </c>
      <c r="S106" s="47">
        <f t="shared" si="40"/>
        <v>0.10490974999527941</v>
      </c>
      <c r="T106" s="47">
        <f t="shared" si="41"/>
        <v>0.10990813567574753</v>
      </c>
      <c r="U106" s="47"/>
      <c r="V106" s="47">
        <f t="shared" si="38"/>
        <v>0</v>
      </c>
    </row>
    <row r="107" spans="1:22">
      <c r="A107" s="54" t="str">
        <f t="shared" si="36"/>
        <v>Hedge funds</v>
      </c>
      <c r="B107" s="107">
        <v>7.103756005773916E-2</v>
      </c>
      <c r="C107" s="108">
        <v>5.5445458803101443E-2</v>
      </c>
      <c r="D107" s="109">
        <v>1.892195968710126E-2</v>
      </c>
      <c r="E107" s="107">
        <v>5.5985426174773367E-2</v>
      </c>
      <c r="F107" s="110">
        <v>0.12646591093886947</v>
      </c>
      <c r="G107" s="2">
        <v>-0.10407521983336275</v>
      </c>
      <c r="H107" s="2">
        <v>-7.2644951689773585E-2</v>
      </c>
      <c r="I107" s="2">
        <v>1</v>
      </c>
      <c r="J107" s="2">
        <v>-0.1703831855238809</v>
      </c>
      <c r="K107" s="2">
        <v>-0.12884473738091295</v>
      </c>
      <c r="L107" s="2">
        <v>-0.14260356755158027</v>
      </c>
      <c r="M107" s="2">
        <v>-0.14805032791248671</v>
      </c>
      <c r="N107" s="52">
        <v>0.99999999999994782</v>
      </c>
      <c r="O107" s="62"/>
      <c r="Q107" s="46" t="str">
        <f t="shared" si="37"/>
        <v>Hedge funds</v>
      </c>
      <c r="R107" s="67">
        <f t="shared" si="39"/>
        <v>1.892195968710126E-2</v>
      </c>
      <c r="S107" s="47">
        <f t="shared" si="40"/>
        <v>5.21156003706379E-2</v>
      </c>
      <c r="T107" s="47">
        <f t="shared" si="41"/>
        <v>5.5428350881130309E-2</v>
      </c>
      <c r="U107" s="47"/>
      <c r="V107" s="47">
        <f t="shared" si="38"/>
        <v>0</v>
      </c>
    </row>
    <row r="108" spans="1:22">
      <c r="A108" s="54" t="str">
        <f t="shared" si="36"/>
        <v>Onroerend goed</v>
      </c>
      <c r="B108" s="107">
        <v>8.8859084896854689E-3</v>
      </c>
      <c r="C108" s="108">
        <v>9.2302899699062343E-3</v>
      </c>
      <c r="D108" s="109">
        <v>7.1854890351226539E-4</v>
      </c>
      <c r="E108" s="107">
        <v>5.8910163105782443E-3</v>
      </c>
      <c r="F108" s="110">
        <v>1.8525286562665579E-2</v>
      </c>
      <c r="G108" s="2">
        <v>-2.6496386437601339E-3</v>
      </c>
      <c r="H108" s="2">
        <v>-7.567379543746088E-3</v>
      </c>
      <c r="I108" s="2">
        <v>-2.4511080870386316E-2</v>
      </c>
      <c r="J108" s="2">
        <v>-2.7675874074738406E-2</v>
      </c>
      <c r="K108" s="2">
        <v>-1.3901775579299072E-2</v>
      </c>
      <c r="L108" s="2">
        <v>1</v>
      </c>
      <c r="M108" s="2">
        <v>-9.2758800447884857E-2</v>
      </c>
      <c r="N108" s="52">
        <v>0.99999999999996358</v>
      </c>
      <c r="O108" s="62"/>
      <c r="Q108" s="46" t="str">
        <f t="shared" si="37"/>
        <v>Onroerend goed</v>
      </c>
      <c r="R108" s="67">
        <f t="shared" si="39"/>
        <v>7.1854890351226539E-4</v>
      </c>
      <c r="S108" s="47">
        <f t="shared" si="40"/>
        <v>8.1673595861732028E-3</v>
      </c>
      <c r="T108" s="47">
        <f t="shared" si="41"/>
        <v>9.6393780729801103E-3</v>
      </c>
      <c r="U108" s="47"/>
      <c r="V108" s="47">
        <f t="shared" ref="V108" si="42">O43</f>
        <v>0</v>
      </c>
    </row>
    <row r="109" spans="1:22">
      <c r="A109" s="54"/>
      <c r="B109" s="107">
        <v>2.6175679683573018E-2</v>
      </c>
      <c r="C109" s="108">
        <v>2.3092259282280998E-2</v>
      </c>
      <c r="D109" s="109">
        <v>4.9448405771219464E-3</v>
      </c>
      <c r="E109" s="107">
        <v>2.0216890821586987E-2</v>
      </c>
      <c r="F109" s="110">
        <v>4.7814611630344409E-2</v>
      </c>
      <c r="G109" s="2">
        <v>-1.5522647685703085E-2</v>
      </c>
      <c r="H109" s="2">
        <v>1.178431697453316E-2</v>
      </c>
      <c r="I109" s="2">
        <v>-7.5637590339646552E-2</v>
      </c>
      <c r="J109" s="2">
        <v>-3.8085270519731949E-2</v>
      </c>
      <c r="K109" s="2">
        <v>1</v>
      </c>
      <c r="L109" s="2">
        <v>-0.14667645327214218</v>
      </c>
      <c r="M109" s="2">
        <v>-0.14008438037454435</v>
      </c>
      <c r="N109" s="52">
        <v>0.99999999999995082</v>
      </c>
      <c r="O109" s="62"/>
      <c r="P109" s="67"/>
      <c r="Q109" s="67"/>
      <c r="R109" s="67"/>
      <c r="T109" s="47"/>
      <c r="U109" s="47"/>
      <c r="V109" s="47"/>
    </row>
    <row r="110" spans="1:22">
      <c r="A110" s="54"/>
      <c r="B110" s="107"/>
      <c r="C110" s="108"/>
      <c r="D110" s="109"/>
      <c r="E110" s="107"/>
      <c r="F110" s="110"/>
      <c r="G110" s="2"/>
      <c r="H110" s="2"/>
      <c r="I110" s="2"/>
      <c r="J110" s="2"/>
      <c r="K110" s="2"/>
      <c r="L110" s="2"/>
      <c r="M110" s="2"/>
      <c r="N110" s="52"/>
      <c r="O110" s="62"/>
      <c r="P110" s="67"/>
      <c r="Q110" s="67"/>
      <c r="R110" s="67"/>
      <c r="T110" s="47"/>
      <c r="U110" s="47"/>
      <c r="V110" s="47"/>
    </row>
    <row r="111" spans="1:22">
      <c r="A111" s="54"/>
      <c r="B111" s="107"/>
      <c r="C111" s="108"/>
      <c r="D111" s="109"/>
      <c r="E111" s="107"/>
      <c r="F111" s="110"/>
      <c r="G111" s="2"/>
      <c r="H111" s="2"/>
      <c r="I111" s="2"/>
      <c r="J111" s="2"/>
      <c r="K111" s="2"/>
      <c r="L111" s="2"/>
      <c r="M111" s="2"/>
      <c r="N111" s="52"/>
      <c r="O111" s="62"/>
      <c r="P111" s="67"/>
      <c r="Q111" s="67"/>
      <c r="R111" s="67"/>
      <c r="T111" s="47"/>
      <c r="U111" s="47"/>
      <c r="V111" s="47"/>
    </row>
    <row r="112" spans="1:22">
      <c r="A112" s="55"/>
      <c r="B112" s="111"/>
      <c r="C112" s="112"/>
      <c r="D112" s="113"/>
      <c r="E112" s="111"/>
      <c r="F112" s="114"/>
      <c r="G112" s="60"/>
      <c r="H112" s="60"/>
      <c r="I112" s="60"/>
      <c r="J112" s="60"/>
      <c r="K112" s="60"/>
      <c r="L112" s="60"/>
      <c r="M112" s="60"/>
      <c r="N112" s="61"/>
      <c r="O112" s="62"/>
      <c r="P112" s="67"/>
      <c r="Q112" s="67"/>
      <c r="R112" s="67"/>
      <c r="T112" s="47"/>
      <c r="U112" s="47"/>
      <c r="V112" s="47"/>
    </row>
    <row r="113" spans="1:22">
      <c r="A113" s="62"/>
      <c r="B113" s="107"/>
      <c r="C113" s="107"/>
      <c r="D113" s="107"/>
      <c r="E113" s="107"/>
      <c r="F113" s="107"/>
      <c r="G113" s="63"/>
      <c r="H113" s="63"/>
      <c r="I113" s="63"/>
      <c r="J113" s="63"/>
      <c r="K113" s="63"/>
      <c r="L113" s="63"/>
      <c r="M113" s="63"/>
      <c r="N113" s="63"/>
      <c r="O113" s="62"/>
      <c r="P113" s="67"/>
      <c r="Q113" s="67"/>
      <c r="R113" s="67"/>
      <c r="T113" s="47"/>
      <c r="U113" s="47"/>
      <c r="V113" s="47"/>
    </row>
    <row r="114" spans="1:22">
      <c r="A114" s="62"/>
      <c r="B114" s="107"/>
      <c r="C114" s="107"/>
      <c r="D114" s="107"/>
      <c r="E114" s="107"/>
      <c r="F114" s="107"/>
      <c r="G114" s="63"/>
      <c r="H114" s="63"/>
      <c r="I114" s="63"/>
      <c r="J114" s="63"/>
      <c r="K114" s="63"/>
      <c r="L114" s="63"/>
      <c r="M114" s="63"/>
      <c r="N114" s="63"/>
      <c r="O114" s="62"/>
      <c r="P114" s="67"/>
      <c r="Q114" s="67"/>
      <c r="R114" s="67"/>
      <c r="T114" s="47"/>
      <c r="U114" s="47"/>
      <c r="V114" s="47"/>
    </row>
    <row r="115" spans="1:22">
      <c r="A115" s="62"/>
      <c r="B115" s="107"/>
      <c r="C115" s="107"/>
      <c r="D115" s="107"/>
      <c r="E115" s="107"/>
      <c r="F115" s="107"/>
      <c r="G115" s="63"/>
      <c r="H115" s="63"/>
      <c r="I115" s="63"/>
      <c r="J115" s="63"/>
      <c r="K115" s="63"/>
      <c r="L115" s="63"/>
      <c r="M115" s="63"/>
      <c r="N115" s="63"/>
      <c r="O115" s="62"/>
      <c r="P115" s="67"/>
      <c r="Q115" s="67"/>
      <c r="R115" s="67"/>
      <c r="T115" s="47"/>
      <c r="U115" s="47"/>
      <c r="V115" s="47"/>
    </row>
    <row r="116" spans="1:22">
      <c r="A116" s="62"/>
      <c r="B116" s="107"/>
      <c r="C116" s="107"/>
      <c r="D116" s="107"/>
      <c r="E116" s="107"/>
      <c r="F116" s="107"/>
      <c r="G116" s="63"/>
      <c r="H116" s="63"/>
      <c r="I116" s="63"/>
      <c r="J116" s="63"/>
      <c r="K116" s="63"/>
      <c r="L116" s="63"/>
      <c r="M116" s="63"/>
      <c r="N116" s="63"/>
      <c r="O116" s="62"/>
      <c r="P116" s="67"/>
      <c r="Q116" s="67"/>
      <c r="R116" s="67"/>
      <c r="T116" s="47"/>
      <c r="U116" s="47"/>
      <c r="V116" s="47"/>
    </row>
    <row r="117" spans="1:22">
      <c r="A117" s="62"/>
      <c r="B117" s="107"/>
      <c r="C117" s="107"/>
      <c r="D117" s="107"/>
      <c r="E117" s="107"/>
      <c r="F117" s="107"/>
      <c r="G117" s="63"/>
      <c r="H117" s="63"/>
      <c r="I117" s="63"/>
      <c r="J117" s="63"/>
      <c r="K117" s="63"/>
      <c r="L117" s="63"/>
      <c r="M117" s="63"/>
      <c r="N117" s="63"/>
      <c r="O117" s="62"/>
    </row>
    <row r="118" spans="1:22">
      <c r="A118" s="62"/>
      <c r="B118" s="107"/>
      <c r="C118" s="107"/>
      <c r="D118" s="107"/>
      <c r="E118" s="107"/>
      <c r="F118" s="107"/>
      <c r="G118" s="63"/>
      <c r="H118" s="63"/>
      <c r="I118" s="63"/>
      <c r="J118" s="63"/>
      <c r="K118" s="63"/>
      <c r="L118" s="63"/>
      <c r="M118" s="63"/>
      <c r="N118" s="63"/>
      <c r="O118" s="62"/>
    </row>
    <row r="119" spans="1:22">
      <c r="A119" s="62"/>
      <c r="B119" s="62"/>
      <c r="C119" s="62"/>
      <c r="D119" s="62"/>
      <c r="E119" s="62"/>
      <c r="F119" s="62"/>
      <c r="G119" s="62"/>
      <c r="H119" s="62"/>
      <c r="I119" s="62"/>
      <c r="J119" s="62"/>
      <c r="K119" s="62"/>
      <c r="L119" s="62"/>
      <c r="M119" s="62"/>
      <c r="N119" s="62"/>
      <c r="O119" s="62"/>
    </row>
    <row r="120" spans="1:22">
      <c r="A120" s="62"/>
      <c r="B120" s="62"/>
      <c r="C120" s="62"/>
      <c r="D120" s="62"/>
      <c r="E120" s="62"/>
      <c r="F120" s="62"/>
      <c r="G120" s="62"/>
      <c r="H120" s="62"/>
      <c r="I120" s="62"/>
      <c r="J120" s="62"/>
      <c r="K120" s="62"/>
      <c r="L120" s="62"/>
      <c r="M120" s="62"/>
      <c r="N120" s="62"/>
      <c r="O120" s="62"/>
    </row>
    <row r="121" spans="1:22">
      <c r="A121" s="62"/>
      <c r="B121" s="62"/>
      <c r="C121" s="62"/>
      <c r="D121" s="62"/>
      <c r="E121" s="62"/>
      <c r="F121" s="62"/>
      <c r="G121" s="62"/>
      <c r="H121" s="62"/>
      <c r="I121" s="62"/>
      <c r="J121" s="62"/>
      <c r="K121" s="62"/>
      <c r="L121" s="62"/>
      <c r="M121" s="62"/>
      <c r="N121" s="62"/>
      <c r="O121" s="62"/>
    </row>
    <row r="122" spans="1:22">
      <c r="A122" s="62"/>
      <c r="B122" s="62"/>
      <c r="C122" s="62"/>
      <c r="D122" s="62"/>
      <c r="E122" s="62"/>
      <c r="F122" s="62"/>
      <c r="G122" s="62"/>
      <c r="H122" s="62"/>
      <c r="I122" s="62"/>
      <c r="J122" s="62"/>
      <c r="K122" s="62"/>
      <c r="L122" s="62"/>
      <c r="M122" s="62"/>
      <c r="N122" s="62"/>
      <c r="O122" s="62"/>
    </row>
    <row r="123" spans="1:22">
      <c r="A123" s="62"/>
      <c r="B123" s="62"/>
      <c r="C123" s="62"/>
      <c r="D123" s="62"/>
      <c r="E123" s="62"/>
      <c r="F123" s="62"/>
      <c r="G123" s="62"/>
      <c r="H123" s="62"/>
      <c r="I123" s="62"/>
      <c r="J123" s="62"/>
      <c r="K123" s="62"/>
      <c r="L123" s="62"/>
      <c r="M123" s="62"/>
      <c r="N123" s="62"/>
      <c r="O123" s="62"/>
    </row>
    <row r="124" spans="1:22">
      <c r="A124" s="62"/>
      <c r="B124" s="62"/>
      <c r="C124" s="62"/>
      <c r="D124" s="62"/>
      <c r="E124" s="62"/>
      <c r="F124" s="62"/>
      <c r="G124" s="62"/>
      <c r="H124" s="62"/>
      <c r="I124" s="62"/>
      <c r="J124" s="62"/>
      <c r="K124" s="62"/>
      <c r="L124" s="62"/>
      <c r="M124" s="62"/>
      <c r="N124" s="62"/>
      <c r="O124" s="62"/>
    </row>
    <row r="125" spans="1:22">
      <c r="A125" s="62"/>
      <c r="B125" s="62"/>
      <c r="C125" s="62"/>
      <c r="D125" s="62"/>
      <c r="E125" s="62"/>
      <c r="F125" s="62"/>
      <c r="G125" s="62"/>
      <c r="H125" s="62"/>
      <c r="I125" s="62"/>
      <c r="J125" s="62"/>
      <c r="K125" s="62"/>
      <c r="L125" s="62"/>
      <c r="M125" s="62"/>
      <c r="N125" s="62"/>
      <c r="O125" s="62"/>
    </row>
    <row r="135" spans="1:2">
      <c r="A135" s="54" t="s">
        <v>5</v>
      </c>
      <c r="B135" s="122">
        <f>A147/SUM($A$147:$A$153)</f>
        <v>0.16317857772190714</v>
      </c>
    </row>
    <row r="136" spans="1:2">
      <c r="A136" s="54" t="s">
        <v>6</v>
      </c>
      <c r="B136" s="122">
        <f t="shared" ref="B136:B141" si="43">A148/SUM($A$147:$A$153)</f>
        <v>0.19290379455136406</v>
      </c>
    </row>
    <row r="137" spans="1:2">
      <c r="A137" s="54" t="s">
        <v>7</v>
      </c>
      <c r="B137" s="122">
        <f t="shared" si="43"/>
        <v>0.25645812312142269</v>
      </c>
    </row>
    <row r="138" spans="1:2">
      <c r="A138" s="54" t="s">
        <v>8</v>
      </c>
      <c r="B138" s="122">
        <f t="shared" si="43"/>
        <v>9.7041462553314958E-2</v>
      </c>
    </row>
    <row r="139" spans="1:2">
      <c r="A139" s="54" t="s">
        <v>9</v>
      </c>
      <c r="B139" s="122">
        <f t="shared" si="43"/>
        <v>5.6755052286840531E-2</v>
      </c>
    </row>
    <row r="140" spans="1:2">
      <c r="A140" s="54" t="s">
        <v>10</v>
      </c>
      <c r="B140" s="122">
        <f t="shared" si="43"/>
        <v>7.9154326422916976E-2</v>
      </c>
    </row>
    <row r="141" spans="1:2">
      <c r="A141" s="55" t="s">
        <v>11</v>
      </c>
      <c r="B141" s="122">
        <f t="shared" si="43"/>
        <v>0.15450866334223365</v>
      </c>
    </row>
    <row r="147" spans="1:1">
      <c r="A147">
        <v>8.1589288860953568E-2</v>
      </c>
    </row>
    <row r="148" spans="1:1">
      <c r="A148">
        <v>9.6451897275682028E-2</v>
      </c>
    </row>
    <row r="149" spans="1:1">
      <c r="A149">
        <v>0.12822906156071134</v>
      </c>
    </row>
    <row r="150" spans="1:1">
      <c r="A150">
        <v>4.8520731276657479E-2</v>
      </c>
    </row>
    <row r="151" spans="1:1">
      <c r="A151">
        <v>2.8377526143420265E-2</v>
      </c>
    </row>
    <row r="152" spans="1:1">
      <c r="A152">
        <v>3.9577163211458488E-2</v>
      </c>
    </row>
    <row r="153" spans="1:1">
      <c r="A153">
        <v>7.7254331671116824E-2</v>
      </c>
    </row>
  </sheetData>
  <mergeCells count="16">
    <mergeCell ref="D2:F2"/>
    <mergeCell ref="G2:N2"/>
    <mergeCell ref="D16:F16"/>
    <mergeCell ref="G16:N16"/>
    <mergeCell ref="D30:F30"/>
    <mergeCell ref="G30:N30"/>
    <mergeCell ref="D86:F86"/>
    <mergeCell ref="G86:N86"/>
    <mergeCell ref="D100:F100"/>
    <mergeCell ref="G100:N100"/>
    <mergeCell ref="D44:F44"/>
    <mergeCell ref="G44:N44"/>
    <mergeCell ref="D58:F58"/>
    <mergeCell ref="G58:N58"/>
    <mergeCell ref="D72:F72"/>
    <mergeCell ref="G72:N72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AK79"/>
  <sheetViews>
    <sheetView zoomScale="70" zoomScaleNormal="70" workbookViewId="0">
      <selection activeCell="M57" sqref="M57"/>
    </sheetView>
  </sheetViews>
  <sheetFormatPr defaultRowHeight="15" outlineLevelCol="1"/>
  <cols>
    <col min="1" max="1" width="9.140625" style="300"/>
    <col min="2" max="2" width="22.28515625" style="300" bestFit="1" customWidth="1"/>
    <col min="3" max="4" width="12.7109375" style="300" customWidth="1"/>
    <col min="5" max="6" width="12.7109375" style="300" customWidth="1" outlineLevel="1"/>
    <col min="7" max="10" width="12.7109375" style="300" customWidth="1"/>
    <col min="11" max="11" width="21" style="199" customWidth="1"/>
    <col min="12" max="12" width="18.140625" style="300" bestFit="1" customWidth="1"/>
    <col min="13" max="13" width="26.85546875" style="300" customWidth="1"/>
    <col min="14" max="17" width="9.140625" style="300"/>
    <col min="18" max="18" width="10.85546875" style="300" customWidth="1"/>
    <col min="19" max="37" width="9.140625" style="199"/>
    <col min="38" max="16384" width="9.140625" style="300"/>
  </cols>
  <sheetData>
    <row r="1" spans="1:18">
      <c r="A1" s="199"/>
      <c r="B1" s="199"/>
      <c r="C1" s="199"/>
      <c r="D1" s="199"/>
      <c r="E1" s="199"/>
      <c r="F1" s="199"/>
      <c r="G1" s="199"/>
      <c r="H1" s="199"/>
      <c r="I1" s="199"/>
      <c r="J1" s="199"/>
      <c r="L1" s="199"/>
      <c r="M1" s="199"/>
      <c r="N1" s="199"/>
      <c r="O1" s="199"/>
      <c r="P1" s="199"/>
      <c r="Q1" s="199"/>
      <c r="R1" s="199"/>
    </row>
    <row r="2" spans="1:18">
      <c r="A2" s="199"/>
      <c r="B2" s="323" t="s">
        <v>115</v>
      </c>
      <c r="C2" s="285" t="s">
        <v>70</v>
      </c>
      <c r="D2" s="274" t="s">
        <v>112</v>
      </c>
      <c r="E2" s="274" t="s">
        <v>146</v>
      </c>
      <c r="F2" s="274" t="s">
        <v>147</v>
      </c>
      <c r="G2" s="274" t="s">
        <v>113</v>
      </c>
      <c r="H2" s="274" t="s">
        <v>114</v>
      </c>
      <c r="I2" s="274" t="s">
        <v>127</v>
      </c>
      <c r="J2" s="285" t="s">
        <v>129</v>
      </c>
      <c r="L2" s="199"/>
      <c r="M2" s="199"/>
      <c r="N2" s="199"/>
      <c r="O2" s="199"/>
      <c r="P2" s="199"/>
      <c r="Q2" s="199"/>
      <c r="R2" s="199"/>
    </row>
    <row r="3" spans="1:18">
      <c r="A3" s="199"/>
      <c r="B3" s="324" t="s">
        <v>4</v>
      </c>
      <c r="C3" s="286">
        <f>+Scenarios!B28</f>
        <v>0</v>
      </c>
      <c r="D3" s="80">
        <f>+Scenarios!C28</f>
        <v>-3.2445168309994665E-3</v>
      </c>
      <c r="E3" s="80">
        <f>+Scenarios!D28</f>
        <v>-1.0761362748873404E-3</v>
      </c>
      <c r="F3" s="80">
        <f>+Scenarios!E28</f>
        <v>-3.4179872754884488E-3</v>
      </c>
      <c r="G3" s="80">
        <f>+Scenarios!F28</f>
        <v>-2.5720358328627513E-2</v>
      </c>
      <c r="H3" s="80">
        <f>+Scenarios!G28</f>
        <v>-0.26287574291051119</v>
      </c>
      <c r="I3" s="80">
        <f>+Scenarios!H28</f>
        <v>-3.2441343963196256E-3</v>
      </c>
      <c r="J3" s="286">
        <f>Scenarios!D4</f>
        <v>4.3450149472468363E-2</v>
      </c>
      <c r="L3" s="199"/>
      <c r="M3" s="199"/>
      <c r="N3" s="199"/>
      <c r="O3" s="199"/>
      <c r="P3" s="199"/>
      <c r="Q3" s="199"/>
      <c r="R3" s="199"/>
    </row>
    <row r="4" spans="1:18" ht="15.75">
      <c r="A4" s="199"/>
      <c r="B4" s="324" t="s">
        <v>5</v>
      </c>
      <c r="C4" s="286">
        <f>+Scenarios!B29</f>
        <v>0.03</v>
      </c>
      <c r="D4" s="80">
        <f>+Scenarios!C29</f>
        <v>3.2492969125133414E-2</v>
      </c>
      <c r="E4" s="80">
        <f>+Scenarios!D29</f>
        <v>-8.65324500372157E-2</v>
      </c>
      <c r="F4" s="80">
        <f>+Scenarios!E29</f>
        <v>5.1526244290784291E-2</v>
      </c>
      <c r="G4" s="80">
        <f>+Scenarios!F29</f>
        <v>-0.43934344866388231</v>
      </c>
      <c r="H4" s="80">
        <f>+Scenarios!G29</f>
        <v>-0.41627425662388229</v>
      </c>
      <c r="I4" s="80">
        <f>+Scenarios!H29</f>
        <v>0.27529934429078429</v>
      </c>
      <c r="J4" s="286">
        <f>Scenarios!D5</f>
        <v>0.15853561014014847</v>
      </c>
      <c r="L4" s="199"/>
      <c r="M4" s="313" t="s">
        <v>130</v>
      </c>
      <c r="N4" s="314" t="s">
        <v>131</v>
      </c>
      <c r="O4" s="314" t="s">
        <v>91</v>
      </c>
      <c r="P4" s="314" t="s">
        <v>92</v>
      </c>
      <c r="Q4" s="314" t="s">
        <v>132</v>
      </c>
      <c r="R4" s="315" t="s">
        <v>144</v>
      </c>
    </row>
    <row r="5" spans="1:18" ht="15.75">
      <c r="A5" s="199"/>
      <c r="B5" s="324" t="s">
        <v>6</v>
      </c>
      <c r="C5" s="286">
        <f>+Scenarios!B30</f>
        <v>3.139819541969964E-2</v>
      </c>
      <c r="D5" s="80">
        <f>+Scenarios!C30</f>
        <v>1.45681608513176E-2</v>
      </c>
      <c r="E5" s="80">
        <f>+Scenarios!D30</f>
        <v>-2.1111513867647543E-2</v>
      </c>
      <c r="F5" s="80">
        <f>+Scenarios!E30</f>
        <v>3.2357333960853253E-3</v>
      </c>
      <c r="G5" s="80">
        <f>+Scenarios!F30</f>
        <v>-0.41802644813429485</v>
      </c>
      <c r="H5" s="80">
        <f>+Scenarios!G30</f>
        <v>-0.17149574156312622</v>
      </c>
      <c r="I5" s="80">
        <f>+Scenarios!H30</f>
        <v>0.25817653707968463</v>
      </c>
      <c r="J5" s="286">
        <f>Scenarios!D6</f>
        <v>0.16217253275473525</v>
      </c>
      <c r="L5" s="199"/>
      <c r="M5" s="316"/>
      <c r="N5" s="317"/>
      <c r="O5" s="317"/>
      <c r="P5" s="317"/>
      <c r="Q5" s="317"/>
      <c r="R5" s="318"/>
    </row>
    <row r="6" spans="1:18" ht="15.75">
      <c r="A6" s="199"/>
      <c r="B6" s="324" t="s">
        <v>7</v>
      </c>
      <c r="C6" s="286">
        <f>+Scenarios!B31</f>
        <v>5.6592124636374697E-2</v>
      </c>
      <c r="D6" s="80">
        <f>+Scenarios!C31</f>
        <v>-1.272492445230269E-2</v>
      </c>
      <c r="E6" s="80">
        <f>+Scenarios!D31</f>
        <v>-0.19311368459773193</v>
      </c>
      <c r="F6" s="80">
        <f>+Scenarios!E31</f>
        <v>4.3944352615336905E-2</v>
      </c>
      <c r="G6" s="80">
        <f>+Scenarios!F31</f>
        <v>-0.5992014650452413</v>
      </c>
      <c r="H6" s="80">
        <f>+Scenarios!G31</f>
        <v>-0.47126055414190038</v>
      </c>
      <c r="I6" s="80">
        <f>+Scenarios!H31</f>
        <v>0.40935864013329615</v>
      </c>
      <c r="J6" s="286">
        <f>Scenarios!D7</f>
        <v>0.28718972670468956</v>
      </c>
      <c r="L6" s="199"/>
      <c r="M6" s="311" t="s">
        <v>4</v>
      </c>
      <c r="N6" s="306">
        <f>+'Control panel'!$B3</f>
        <v>0.55552002657163746</v>
      </c>
      <c r="O6" s="306">
        <f>+'Control panel'!$C3</f>
        <v>0</v>
      </c>
      <c r="P6" s="306">
        <f>+'Control panel'!$D3</f>
        <v>1</v>
      </c>
      <c r="Q6" s="306">
        <f>+'Control panel'!$F3</f>
        <v>0.57446773586607058</v>
      </c>
      <c r="R6" s="308">
        <f t="shared" ref="R6:R13" si="0">+Q6-N6</f>
        <v>1.8947709294433124E-2</v>
      </c>
    </row>
    <row r="7" spans="1:18" ht="15.75">
      <c r="A7" s="199"/>
      <c r="B7" s="324" t="s">
        <v>8</v>
      </c>
      <c r="C7" s="286">
        <f>+Scenarios!B32</f>
        <v>5.6149706786613261E-2</v>
      </c>
      <c r="D7" s="80">
        <f>+Scenarios!C32</f>
        <v>5.7893485302571407E-2</v>
      </c>
      <c r="E7" s="80">
        <f>+Scenarios!D32</f>
        <v>-6.9261756645690273E-2</v>
      </c>
      <c r="F7" s="80">
        <f>+Scenarios!E32</f>
        <v>7.474963400472559E-2</v>
      </c>
      <c r="G7" s="80">
        <f>+Scenarios!F32</f>
        <v>-0.42661422498990775</v>
      </c>
      <c r="H7" s="80">
        <f>+Scenarios!G32</f>
        <v>-0.26558788944909251</v>
      </c>
      <c r="I7" s="80">
        <f>+Scenarios!H32</f>
        <v>0.37672139820686834</v>
      </c>
      <c r="J7" s="286">
        <f>Scenarios!D8</f>
        <v>0.29616397669669142</v>
      </c>
      <c r="L7" s="199"/>
      <c r="M7" s="311" t="s">
        <v>5</v>
      </c>
      <c r="N7" s="306">
        <f>+'Control panel'!$B4</f>
        <v>9.7772401711769694E-2</v>
      </c>
      <c r="O7" s="306">
        <f>+'Control panel'!$C4</f>
        <v>0</v>
      </c>
      <c r="P7" s="306">
        <f>+'Control panel'!$D4</f>
        <v>1</v>
      </c>
      <c r="Q7" s="306">
        <f>+'Control panel'!$F4</f>
        <v>0.17463533069014747</v>
      </c>
      <c r="R7" s="308">
        <f t="shared" si="0"/>
        <v>7.6862928978377779E-2</v>
      </c>
    </row>
    <row r="8" spans="1:18" ht="15.75">
      <c r="A8" s="199"/>
      <c r="B8" s="324" t="s">
        <v>9</v>
      </c>
      <c r="C8" s="286">
        <f>+Scenarios!B33</f>
        <v>5.1695827746959064E-2</v>
      </c>
      <c r="D8" s="80">
        <f>+Scenarios!C33</f>
        <v>7.1858480605475325E-2</v>
      </c>
      <c r="E8" s="80">
        <f>+Scenarios!D33</f>
        <v>1.202667991596415E-2</v>
      </c>
      <c r="F8" s="80">
        <f>+Scenarios!E33</f>
        <v>8.5249207175964209E-2</v>
      </c>
      <c r="G8" s="80">
        <f>+Scenarios!F33</f>
        <v>-0.52128297967070236</v>
      </c>
      <c r="H8" s="80">
        <f>+Scenarios!G33</f>
        <v>-0.54077311463070243</v>
      </c>
      <c r="I8" s="80">
        <f>+Scenarios!H33</f>
        <v>0.621322616702631</v>
      </c>
      <c r="J8" s="286">
        <f>Scenarios!D9</f>
        <v>0.32648216646211403</v>
      </c>
      <c r="L8" s="199"/>
      <c r="M8" s="311" t="s">
        <v>6</v>
      </c>
      <c r="N8" s="306">
        <f>+'Control panel'!$B5</f>
        <v>9.4763191533410202E-2</v>
      </c>
      <c r="O8" s="306">
        <f>+'Control panel'!$C5</f>
        <v>0</v>
      </c>
      <c r="P8" s="306">
        <f>+'Control panel'!$D5</f>
        <v>1</v>
      </c>
      <c r="Q8" s="306">
        <f>+'Control panel'!$F5</f>
        <v>1.7111598310957168E-2</v>
      </c>
      <c r="R8" s="309">
        <f t="shared" si="0"/>
        <v>-7.7651593222453033E-2</v>
      </c>
    </row>
    <row r="9" spans="1:18" ht="15.75">
      <c r="A9" s="199"/>
      <c r="B9" s="324" t="s">
        <v>10</v>
      </c>
      <c r="C9" s="286">
        <f>+Scenarios!B34</f>
        <v>2.8296106892401265E-2</v>
      </c>
      <c r="D9" s="80">
        <f>+Scenarios!C34</f>
        <v>1.8730269708989476E-2</v>
      </c>
      <c r="E9" s="80">
        <f>+Scenarios!D34</f>
        <v>-4.6790508294452839E-2</v>
      </c>
      <c r="F9" s="80">
        <f>+Scenarios!E34</f>
        <v>1.8215216611987023E-2</v>
      </c>
      <c r="G9" s="80">
        <f>+Scenarios!F34</f>
        <v>-0.25630468560846492</v>
      </c>
      <c r="H9" s="80">
        <f>+Scenarios!G34</f>
        <v>-6.931471876793301E-3</v>
      </c>
      <c r="I9" s="80">
        <f>+Scenarios!H34</f>
        <v>0.28021842301080391</v>
      </c>
      <c r="J9" s="286">
        <f>Scenarios!D10</f>
        <v>0.16076897495152093</v>
      </c>
      <c r="L9" s="199"/>
      <c r="M9" s="311" t="s">
        <v>7</v>
      </c>
      <c r="N9" s="306">
        <f>+'Control panel'!$B6</f>
        <v>0.10281340879516217</v>
      </c>
      <c r="O9" s="306">
        <f>+'Control panel'!$C6</f>
        <v>0</v>
      </c>
      <c r="P9" s="306">
        <f>+'Control panel'!$D6</f>
        <v>1</v>
      </c>
      <c r="Q9" s="306">
        <f>+'Control panel'!$F6</f>
        <v>1.8072320878297075E-3</v>
      </c>
      <c r="R9" s="309">
        <f t="shared" si="0"/>
        <v>-0.10100617670733246</v>
      </c>
    </row>
    <row r="10" spans="1:18" ht="15.75">
      <c r="A10" s="199"/>
      <c r="B10" s="325" t="s">
        <v>11</v>
      </c>
      <c r="C10" s="287">
        <f>+Scenarios!B35</f>
        <v>3.9623116882628269E-2</v>
      </c>
      <c r="D10" s="277">
        <f>+Scenarios!C35</f>
        <v>-5.9825766089863959E-3</v>
      </c>
      <c r="E10" s="277">
        <f>+Scenarios!D35</f>
        <v>-0.13956067047136589</v>
      </c>
      <c r="F10" s="277">
        <f>+Scenarios!E35</f>
        <v>2.7964399001126676E-2</v>
      </c>
      <c r="G10" s="277">
        <f>+Scenarios!F35</f>
        <v>-0.45200242221105646</v>
      </c>
      <c r="H10" s="277">
        <f>+Scenarios!G35</f>
        <v>-0.48031312669988807</v>
      </c>
      <c r="I10" s="277">
        <f>+Scenarios!H35</f>
        <v>0.41038049782760322</v>
      </c>
      <c r="J10" s="287">
        <f>Scenarios!D11</f>
        <v>0.20064050365322861</v>
      </c>
      <c r="L10" s="199"/>
      <c r="M10" s="311" t="s">
        <v>8</v>
      </c>
      <c r="N10" s="306">
        <f>+'Control panel'!$B7</f>
        <v>5.1014363077869621E-2</v>
      </c>
      <c r="O10" s="306">
        <f>+'Control panel'!$C7</f>
        <v>0</v>
      </c>
      <c r="P10" s="306">
        <f>+'Control panel'!$D7</f>
        <v>1</v>
      </c>
      <c r="Q10" s="306">
        <f>+'Control panel'!$F7</f>
        <v>5.2738284925458699E-2</v>
      </c>
      <c r="R10" s="308">
        <f t="shared" si="0"/>
        <v>1.7239218475890786E-3</v>
      </c>
    </row>
    <row r="11" spans="1:18" ht="15.75">
      <c r="A11" s="199"/>
      <c r="B11" s="79"/>
      <c r="C11" s="79"/>
      <c r="D11" s="79"/>
      <c r="E11" s="79"/>
      <c r="F11" s="79"/>
      <c r="G11" s="79"/>
      <c r="H11" s="79"/>
      <c r="I11" s="79"/>
      <c r="J11" s="79"/>
      <c r="L11" s="199"/>
      <c r="M11" s="311" t="s">
        <v>9</v>
      </c>
      <c r="N11" s="306">
        <f>+'Control panel'!$B8</f>
        <v>2.0731266317763185E-2</v>
      </c>
      <c r="O11" s="306">
        <f>+'Control panel'!$C8</f>
        <v>0</v>
      </c>
      <c r="P11" s="306">
        <f>+'Control panel'!$D8</f>
        <v>1</v>
      </c>
      <c r="Q11" s="306">
        <f>+'Control panel'!$F8</f>
        <v>0.13426825055505817</v>
      </c>
      <c r="R11" s="309">
        <f t="shared" si="0"/>
        <v>0.11353698423729498</v>
      </c>
    </row>
    <row r="12" spans="1:18" ht="15.75">
      <c r="A12" s="199"/>
      <c r="B12" s="288" t="s">
        <v>122</v>
      </c>
      <c r="C12" s="293">
        <f>+Scenarios!B41</f>
        <v>0</v>
      </c>
      <c r="D12" s="279">
        <f>+Scenarios!C41</f>
        <v>1</v>
      </c>
      <c r="E12" s="279">
        <f>+Scenarios!D41</f>
        <v>0</v>
      </c>
      <c r="F12" s="279">
        <f>+Scenarios!E41</f>
        <v>0</v>
      </c>
      <c r="G12" s="279">
        <f>+Scenarios!F41</f>
        <v>0</v>
      </c>
      <c r="H12" s="279">
        <f>+Scenarios!G41</f>
        <v>0</v>
      </c>
      <c r="I12" s="294">
        <f>+Scenarios!H41</f>
        <v>0</v>
      </c>
      <c r="J12" s="295">
        <f>+Scenarios!I41</f>
        <v>1</v>
      </c>
      <c r="L12" s="199"/>
      <c r="M12" s="311" t="s">
        <v>10</v>
      </c>
      <c r="N12" s="306">
        <f>+'Control panel'!$B9</f>
        <v>3.0634868515694261E-2</v>
      </c>
      <c r="O12" s="306">
        <f>+'Control panel'!$C9</f>
        <v>0</v>
      </c>
      <c r="P12" s="306">
        <f>+'Control panel'!$D9</f>
        <v>1</v>
      </c>
      <c r="Q12" s="306">
        <f>+'Control panel'!$F9</f>
        <v>3.0129418415718142E-2</v>
      </c>
      <c r="R12" s="308">
        <f t="shared" si="0"/>
        <v>-5.054500999761187E-4</v>
      </c>
    </row>
    <row r="13" spans="1:18" ht="15.75">
      <c r="A13" s="199"/>
      <c r="B13" s="79"/>
      <c r="C13" s="79"/>
      <c r="D13" s="79"/>
      <c r="E13" s="79"/>
      <c r="F13" s="79"/>
      <c r="G13" s="79"/>
      <c r="H13" s="79"/>
      <c r="I13" s="79"/>
      <c r="J13" s="79"/>
      <c r="L13" s="199"/>
      <c r="M13" s="311" t="s">
        <v>11</v>
      </c>
      <c r="N13" s="306">
        <f>+'Control panel'!$B10</f>
        <v>4.6750473476693498E-2</v>
      </c>
      <c r="O13" s="306">
        <f>+'Control panel'!$C10</f>
        <v>0</v>
      </c>
      <c r="P13" s="306">
        <f>+'Control panel'!$D10</f>
        <v>1</v>
      </c>
      <c r="Q13" s="306">
        <f>+'Control panel'!$F10</f>
        <v>3.7487700182925196E-3</v>
      </c>
      <c r="R13" s="308">
        <f t="shared" si="0"/>
        <v>-4.3001703458400979E-2</v>
      </c>
    </row>
    <row r="14" spans="1:18" ht="15.75">
      <c r="A14" s="199"/>
      <c r="B14" s="288" t="s">
        <v>128</v>
      </c>
      <c r="C14" s="293">
        <f>+Scenarios!B43</f>
        <v>1.7066660696180604E-2</v>
      </c>
      <c r="D14" s="280">
        <f>+Scenarios!C43</f>
        <v>1.7322861875768026E-2</v>
      </c>
      <c r="E14" s="280">
        <f>+Scenarios!D43</f>
        <v>-2.2038662357749515E-2</v>
      </c>
      <c r="F14" s="280">
        <f>+Scenarios!E43</f>
        <v>2.3457328236569687E-2</v>
      </c>
      <c r="G14" s="280">
        <f>+Scenarios!F43</f>
        <v>-0.20546096634208744</v>
      </c>
      <c r="H14" s="280">
        <f>+Scenarios!G43</f>
        <v>-0.32396127569674815</v>
      </c>
      <c r="I14" s="281">
        <f>+Scenarios!H43</f>
        <v>0.16643662951919916</v>
      </c>
      <c r="J14" s="289">
        <f>+Scenarios!I43</f>
        <v>1.7322861875768026E-2</v>
      </c>
      <c r="L14" s="199"/>
      <c r="M14" s="312"/>
      <c r="N14" s="307"/>
      <c r="O14" s="307"/>
      <c r="P14" s="307"/>
      <c r="Q14" s="307"/>
      <c r="R14" s="310"/>
    </row>
    <row r="15" spans="1:18">
      <c r="A15" s="199"/>
      <c r="B15" s="199"/>
      <c r="C15" s="199"/>
      <c r="D15" s="199"/>
      <c r="E15" s="199"/>
      <c r="F15" s="199"/>
      <c r="G15" s="199"/>
      <c r="H15" s="199"/>
      <c r="I15" s="199"/>
      <c r="J15" s="199"/>
      <c r="L15" s="199"/>
      <c r="M15" s="199"/>
      <c r="N15" s="199"/>
      <c r="O15" s="199"/>
      <c r="P15" s="199"/>
      <c r="Q15" s="199"/>
      <c r="R15" s="199"/>
    </row>
    <row r="16" spans="1:18" ht="6.75" customHeight="1">
      <c r="A16" s="199"/>
      <c r="B16" s="199"/>
      <c r="C16" s="199"/>
      <c r="D16" s="199"/>
      <c r="E16" s="199"/>
      <c r="F16" s="199"/>
      <c r="G16" s="199"/>
      <c r="H16" s="199"/>
      <c r="I16" s="199"/>
      <c r="J16" s="199"/>
      <c r="L16" s="199"/>
      <c r="M16" s="199"/>
      <c r="N16" s="199"/>
      <c r="O16" s="199"/>
      <c r="P16" s="199"/>
      <c r="Q16" s="199"/>
      <c r="R16" s="199"/>
    </row>
    <row r="17" spans="1:18">
      <c r="A17" s="199"/>
      <c r="B17" s="199"/>
      <c r="C17" s="199"/>
      <c r="D17" s="199"/>
      <c r="E17" s="199"/>
      <c r="F17" s="199"/>
      <c r="G17" s="199"/>
      <c r="H17" s="199"/>
      <c r="I17" s="199"/>
      <c r="J17" s="199"/>
      <c r="L17" s="199"/>
      <c r="M17" s="199"/>
      <c r="N17" s="199"/>
      <c r="O17" s="199"/>
      <c r="P17" s="199"/>
      <c r="Q17" s="199"/>
      <c r="R17" s="199"/>
    </row>
    <row r="18" spans="1:18" ht="4.5" customHeight="1">
      <c r="A18" s="199"/>
      <c r="B18" s="199"/>
      <c r="C18" s="199"/>
      <c r="D18" s="199"/>
      <c r="E18" s="199"/>
      <c r="F18" s="199"/>
      <c r="G18" s="199"/>
      <c r="H18" s="199"/>
      <c r="I18" s="199"/>
      <c r="J18" s="199"/>
      <c r="L18" s="199"/>
      <c r="M18" s="199"/>
      <c r="N18" s="199"/>
      <c r="O18" s="199"/>
      <c r="P18" s="199"/>
      <c r="Q18" s="199"/>
      <c r="R18" s="199"/>
    </row>
    <row r="19" spans="1:18">
      <c r="A19" s="199"/>
      <c r="B19" s="323" t="s">
        <v>101</v>
      </c>
      <c r="C19" s="285" t="s">
        <v>70</v>
      </c>
      <c r="D19" s="290" t="s">
        <v>112</v>
      </c>
      <c r="E19" s="274" t="s">
        <v>146</v>
      </c>
      <c r="F19" s="274" t="s">
        <v>147</v>
      </c>
      <c r="G19" s="274" t="s">
        <v>113</v>
      </c>
      <c r="H19" s="274" t="s">
        <v>114</v>
      </c>
      <c r="I19" s="274" t="s">
        <v>127</v>
      </c>
      <c r="J19" s="275" t="s">
        <v>145</v>
      </c>
      <c r="L19" s="199"/>
      <c r="M19" s="199"/>
      <c r="N19" s="199"/>
      <c r="O19" s="199"/>
      <c r="P19" s="199"/>
      <c r="Q19" s="199"/>
      <c r="R19" s="199"/>
    </row>
    <row r="20" spans="1:18">
      <c r="A20" s="199"/>
      <c r="B20" s="324" t="s">
        <v>4</v>
      </c>
      <c r="C20" s="286">
        <f>'Samenvatting mixen'!B4</f>
        <v>0.55136924712091062</v>
      </c>
      <c r="D20" s="291">
        <f>'Samenvatting mixen'!B19</f>
        <v>0.63884131311996284</v>
      </c>
      <c r="E20" s="80">
        <f>'Samenvatting mixen'!B34</f>
        <v>0.78328071561288071</v>
      </c>
      <c r="F20" s="80">
        <f>'Samenvatting mixen'!B49</f>
        <v>0.50224217822971995</v>
      </c>
      <c r="G20" s="80">
        <f>'Samenvatting mixen'!B64</f>
        <v>0.99951772230649738</v>
      </c>
      <c r="H20" s="80">
        <f>'Samenvatting mixen'!B79</f>
        <v>0.91040031831552837</v>
      </c>
      <c r="I20" s="80">
        <f>'Samenvatting mixen'!B94</f>
        <v>0.74210401897635492</v>
      </c>
      <c r="J20" s="276">
        <v>0.99933044801477622</v>
      </c>
      <c r="L20" s="199"/>
      <c r="M20" s="199"/>
      <c r="N20" s="199"/>
      <c r="O20" s="199"/>
      <c r="P20" s="199"/>
      <c r="Q20" s="199"/>
      <c r="R20" s="199"/>
    </row>
    <row r="21" spans="1:18">
      <c r="A21" s="199"/>
      <c r="B21" s="324" t="s">
        <v>5</v>
      </c>
      <c r="C21" s="286">
        <f>'Samenvatting mixen'!B5</f>
        <v>8.5390213827363406E-2</v>
      </c>
      <c r="D21" s="291">
        <f>'Samenvatting mixen'!B20</f>
        <v>8.9152415993890524E-2</v>
      </c>
      <c r="E21" s="80">
        <f>'Samenvatting mixen'!B35</f>
        <v>1.9077726566221387E-3</v>
      </c>
      <c r="F21" s="80">
        <f>'Samenvatting mixen'!B50</f>
        <v>0.35478962257899305</v>
      </c>
      <c r="G21" s="80">
        <f>'Samenvatting mixen'!B65</f>
        <v>6.5857399035425149E-5</v>
      </c>
      <c r="H21" s="80">
        <f>'Samenvatting mixen'!B80</f>
        <v>2.4245520146417212E-4</v>
      </c>
      <c r="I21" s="80">
        <f>'Samenvatting mixen'!B95</f>
        <v>1.8694595409361223E-2</v>
      </c>
      <c r="J21" s="276">
        <v>5.9498856944343162E-5</v>
      </c>
      <c r="L21" s="199"/>
      <c r="M21" s="199"/>
      <c r="N21" s="199"/>
      <c r="O21" s="199"/>
      <c r="P21" s="199"/>
      <c r="Q21" s="199"/>
      <c r="R21" s="199"/>
    </row>
    <row r="22" spans="1:18">
      <c r="A22" s="199"/>
      <c r="B22" s="324" t="s">
        <v>6</v>
      </c>
      <c r="C22" s="286">
        <f>'Samenvatting mixen'!B6</f>
        <v>8.1005418334623963E-2</v>
      </c>
      <c r="D22" s="291">
        <f>'Samenvatting mixen'!B21</f>
        <v>1.6180596839274166E-2</v>
      </c>
      <c r="E22" s="80">
        <f>'Samenvatting mixen'!B36</f>
        <v>1.3595195293279591E-2</v>
      </c>
      <c r="F22" s="80">
        <f>'Samenvatting mixen'!B51</f>
        <v>7.5078569998237024E-3</v>
      </c>
      <c r="G22" s="80">
        <f>'Samenvatting mixen'!B66</f>
        <v>6.6007038093652913E-5</v>
      </c>
      <c r="H22" s="80">
        <f>'Samenvatting mixen'!B81</f>
        <v>9.6966778017564003E-4</v>
      </c>
      <c r="I22" s="80">
        <f>'Samenvatting mixen'!B96</f>
        <v>8.9274739671457801E-3</v>
      </c>
      <c r="J22" s="276">
        <v>8.6775571303158883E-5</v>
      </c>
      <c r="L22" s="199"/>
      <c r="M22" s="199"/>
      <c r="N22" s="199"/>
      <c r="O22" s="199"/>
      <c r="P22" s="199"/>
      <c r="Q22" s="199"/>
      <c r="R22" s="199"/>
    </row>
    <row r="23" spans="1:18">
      <c r="A23" s="199"/>
      <c r="B23" s="324" t="s">
        <v>7</v>
      </c>
      <c r="C23" s="286">
        <f>'Samenvatting mixen'!B7</f>
        <v>8.7140469492885175E-2</v>
      </c>
      <c r="D23" s="291">
        <f>'Samenvatting mixen'!B22</f>
        <v>1.6946947243372027E-3</v>
      </c>
      <c r="E23" s="80">
        <f>'Samenvatting mixen'!B37</f>
        <v>3.2570713579514895E-4</v>
      </c>
      <c r="F23" s="80">
        <f>'Samenvatting mixen'!B52</f>
        <v>8.011986515903775E-3</v>
      </c>
      <c r="G23" s="80">
        <f>'Samenvatting mixen'!B67</f>
        <v>3.2821235226595556E-5</v>
      </c>
      <c r="H23" s="80">
        <f>'Samenvatting mixen'!B82</f>
        <v>1.7808289296488317E-4</v>
      </c>
      <c r="I23" s="80">
        <f>'Samenvatting mixen'!B97</f>
        <v>2.8936030398781527E-3</v>
      </c>
      <c r="J23" s="276">
        <v>3.3196657987390124E-5</v>
      </c>
      <c r="L23" s="199"/>
      <c r="M23" s="199"/>
      <c r="N23" s="199"/>
      <c r="O23" s="199"/>
      <c r="P23" s="199"/>
      <c r="Q23" s="199"/>
      <c r="R23" s="199"/>
    </row>
    <row r="24" spans="1:18">
      <c r="A24" s="199"/>
      <c r="B24" s="324" t="s">
        <v>8</v>
      </c>
      <c r="C24" s="286">
        <f>'Samenvatting mixen'!B8</f>
        <v>5.4937266403263518E-2</v>
      </c>
      <c r="D24" s="291">
        <f>'Samenvatting mixen'!B23</f>
        <v>2.5254391686127226E-2</v>
      </c>
      <c r="E24" s="80">
        <f>'Samenvatting mixen'!B38</f>
        <v>1.677817707621187E-3</v>
      </c>
      <c r="F24" s="80">
        <f>'Samenvatting mixen'!B53</f>
        <v>3.3884336998753976E-2</v>
      </c>
      <c r="G24" s="80">
        <f>'Samenvatting mixen'!B68</f>
        <v>5.6499982623495601E-5</v>
      </c>
      <c r="H24" s="80">
        <f>'Samenvatting mixen'!B83</f>
        <v>2.564489860338996E-4</v>
      </c>
      <c r="I24" s="80">
        <f>'Samenvatting mixen'!B98</f>
        <v>1.9587393313640106E-3</v>
      </c>
      <c r="J24" s="276">
        <v>4.8644439396432552E-5</v>
      </c>
      <c r="L24" s="199"/>
      <c r="M24" s="199"/>
      <c r="N24" s="199"/>
      <c r="O24" s="199"/>
      <c r="P24" s="199"/>
      <c r="Q24" s="199"/>
      <c r="R24" s="199"/>
    </row>
    <row r="25" spans="1:18">
      <c r="A25" s="199"/>
      <c r="B25" s="324" t="s">
        <v>9</v>
      </c>
      <c r="C25" s="286">
        <f>'Samenvatting mixen'!B9</f>
        <v>2.2503673046712587E-2</v>
      </c>
      <c r="D25" s="291">
        <f>'Samenvatting mixen'!B24</f>
        <v>0.19937901187906307</v>
      </c>
      <c r="E25" s="80">
        <f>'Samenvatting mixen'!B39</f>
        <v>0.19346840744270685</v>
      </c>
      <c r="F25" s="80">
        <f>'Samenvatting mixen'!B54</f>
        <v>6.3345782262113653E-2</v>
      </c>
      <c r="G25" s="80">
        <f>'Samenvatting mixen'!B69</f>
        <v>4.1755075717608028E-5</v>
      </c>
      <c r="H25" s="80">
        <f>'Samenvatting mixen'!B84</f>
        <v>1.3266771859855406E-4</v>
      </c>
      <c r="I25" s="80">
        <f>'Samenvatting mixen'!B99</f>
        <v>5.0076100481880492E-2</v>
      </c>
      <c r="J25" s="276">
        <v>2.3467442398853234E-4</v>
      </c>
      <c r="L25" s="199"/>
      <c r="M25" s="199"/>
      <c r="N25" s="199"/>
      <c r="O25" s="199"/>
      <c r="P25" s="199"/>
      <c r="Q25" s="199"/>
      <c r="R25" s="199"/>
    </row>
    <row r="26" spans="1:18">
      <c r="A26" s="199"/>
      <c r="B26" s="324" t="s">
        <v>10</v>
      </c>
      <c r="C26" s="286">
        <f>'Samenvatting mixen'!B10</f>
        <v>5.6767380601991033E-2</v>
      </c>
      <c r="D26" s="291">
        <f>'Samenvatting mixen'!B25</f>
        <v>2.549361968294718E-2</v>
      </c>
      <c r="E26" s="80">
        <f>'Samenvatting mixen'!B40</f>
        <v>5.0365343344510854E-3</v>
      </c>
      <c r="F26" s="80">
        <f>'Samenvatting mixen'!B55</f>
        <v>1.8918343350395002E-2</v>
      </c>
      <c r="G26" s="80">
        <f>'Samenvatting mixen'!B70</f>
        <v>1.6800676560255187E-4</v>
      </c>
      <c r="H26" s="80">
        <f>'Samenvatting mixen'!B85</f>
        <v>8.7616171604620083E-2</v>
      </c>
      <c r="I26" s="80">
        <f>'Samenvatting mixen'!B100</f>
        <v>3.237305465508386E-2</v>
      </c>
      <c r="J26" s="276">
        <v>1.5994064696340217E-4</v>
      </c>
      <c r="L26" s="199"/>
      <c r="M26" s="199"/>
      <c r="N26" s="199"/>
      <c r="O26" s="199"/>
      <c r="P26" s="199"/>
      <c r="Q26" s="199"/>
      <c r="R26" s="199"/>
    </row>
    <row r="27" spans="1:18">
      <c r="A27" s="199"/>
      <c r="B27" s="325" t="s">
        <v>11</v>
      </c>
      <c r="C27" s="287">
        <f>'Samenvatting mixen'!B11</f>
        <v>6.0886331172249931E-2</v>
      </c>
      <c r="D27" s="292">
        <f>'Samenvatting mixen'!B26</f>
        <v>4.0039560743981373E-3</v>
      </c>
      <c r="E27" s="277">
        <f>'Samenvatting mixen'!B41</f>
        <v>7.0784981664355267E-4</v>
      </c>
      <c r="F27" s="277">
        <f>'Samenvatting mixen'!B56</f>
        <v>1.1299893064296632E-2</v>
      </c>
      <c r="G27" s="277">
        <f>'Samenvatting mixen'!B71</f>
        <v>5.1330197202964345E-5</v>
      </c>
      <c r="H27" s="277">
        <f>'Samenvatting mixen'!B86</f>
        <v>2.041875006144596E-4</v>
      </c>
      <c r="I27" s="277">
        <f>'Samenvatting mixen'!B101</f>
        <v>0.142972414138931</v>
      </c>
      <c r="J27" s="278">
        <v>4.6821388640572115E-5</v>
      </c>
      <c r="L27" s="199"/>
      <c r="M27" s="199"/>
      <c r="N27" s="199"/>
      <c r="O27" s="199"/>
      <c r="P27" s="199"/>
      <c r="Q27" s="199"/>
      <c r="R27" s="199"/>
    </row>
    <row r="28" spans="1:18">
      <c r="A28" s="199"/>
      <c r="B28" s="199"/>
      <c r="C28" s="199"/>
      <c r="D28" s="199"/>
      <c r="E28" s="199"/>
      <c r="F28" s="199"/>
      <c r="G28" s="199"/>
      <c r="H28" s="199"/>
      <c r="I28" s="199"/>
      <c r="J28" s="199"/>
      <c r="L28" s="199"/>
      <c r="M28" s="199"/>
      <c r="N28" s="199"/>
      <c r="O28" s="199"/>
      <c r="P28" s="199"/>
      <c r="Q28" s="199"/>
      <c r="R28" s="199"/>
    </row>
    <row r="29" spans="1:18">
      <c r="A29" s="199"/>
      <c r="B29" s="199"/>
      <c r="C29" s="199"/>
      <c r="D29" s="199"/>
      <c r="E29" s="199"/>
      <c r="F29" s="199"/>
      <c r="G29" s="199"/>
      <c r="H29" s="199"/>
      <c r="I29" s="199"/>
      <c r="J29" s="199"/>
      <c r="L29" s="199"/>
      <c r="M29" s="199"/>
      <c r="N29" s="199"/>
      <c r="O29" s="199"/>
      <c r="P29" s="199"/>
      <c r="Q29" s="199"/>
      <c r="R29" s="199"/>
    </row>
    <row r="30" spans="1:18">
      <c r="A30" s="199"/>
      <c r="B30" s="199"/>
      <c r="C30" s="199"/>
      <c r="D30" s="199"/>
      <c r="E30" s="199"/>
      <c r="F30" s="199"/>
      <c r="G30" s="199"/>
      <c r="H30" s="199"/>
      <c r="I30" s="199"/>
      <c r="J30" s="199"/>
      <c r="L30" s="199"/>
      <c r="M30" s="199"/>
      <c r="N30" s="199"/>
      <c r="O30" s="199"/>
      <c r="P30" s="199"/>
      <c r="Q30" s="199"/>
      <c r="R30" s="199"/>
    </row>
    <row r="31" spans="1:18">
      <c r="A31" s="199"/>
      <c r="B31" s="199"/>
      <c r="C31" s="199"/>
      <c r="D31" s="199"/>
      <c r="E31" s="199"/>
      <c r="F31" s="199"/>
      <c r="G31" s="199"/>
      <c r="H31" s="199"/>
      <c r="I31" s="199"/>
      <c r="J31" s="199"/>
      <c r="L31" s="199"/>
      <c r="M31" s="199"/>
      <c r="N31" s="199"/>
      <c r="O31" s="199"/>
      <c r="P31" s="199"/>
      <c r="Q31" s="199"/>
      <c r="R31" s="199"/>
    </row>
    <row r="32" spans="1:18">
      <c r="A32" s="199"/>
      <c r="B32" s="199"/>
      <c r="C32" s="199"/>
      <c r="D32" s="199"/>
      <c r="E32" s="199"/>
      <c r="F32" s="199"/>
      <c r="G32" s="199"/>
      <c r="H32" s="199"/>
      <c r="I32" s="199"/>
      <c r="J32" s="199"/>
      <c r="L32" s="199"/>
      <c r="M32" s="199"/>
      <c r="N32" s="199"/>
      <c r="O32" s="199"/>
      <c r="P32" s="199"/>
      <c r="Q32" s="199"/>
      <c r="R32" s="199"/>
    </row>
    <row r="33" spans="1:18">
      <c r="A33" s="199"/>
      <c r="B33" s="199"/>
      <c r="C33" s="199"/>
      <c r="D33" s="199"/>
      <c r="E33" s="199"/>
      <c r="F33" s="199"/>
      <c r="G33" s="199"/>
      <c r="H33" s="199"/>
      <c r="I33" s="199"/>
      <c r="J33" s="199"/>
      <c r="L33" s="199"/>
      <c r="M33" s="199"/>
      <c r="N33" s="199"/>
      <c r="O33" s="199"/>
      <c r="P33" s="199"/>
      <c r="Q33" s="199"/>
      <c r="R33" s="199"/>
    </row>
    <row r="34" spans="1:18">
      <c r="A34" s="199"/>
      <c r="B34" s="199"/>
      <c r="C34" s="199"/>
      <c r="D34" s="199"/>
      <c r="E34" s="199"/>
      <c r="F34" s="199"/>
      <c r="G34" s="199"/>
      <c r="H34" s="199"/>
      <c r="I34" s="199"/>
      <c r="J34" s="199"/>
      <c r="L34" s="199"/>
      <c r="M34" s="199"/>
      <c r="N34" s="199"/>
      <c r="O34" s="199"/>
      <c r="P34" s="199"/>
      <c r="Q34" s="199"/>
      <c r="R34" s="199"/>
    </row>
    <row r="35" spans="1:18">
      <c r="A35" s="199"/>
      <c r="B35" s="199"/>
      <c r="C35" s="199"/>
      <c r="D35" s="199"/>
      <c r="E35" s="199"/>
      <c r="F35" s="199"/>
      <c r="G35" s="199"/>
      <c r="H35" s="199"/>
      <c r="I35" s="199"/>
      <c r="J35" s="199"/>
      <c r="L35" s="199"/>
      <c r="M35" s="199"/>
      <c r="N35" s="199"/>
      <c r="O35" s="199"/>
      <c r="P35" s="199"/>
      <c r="Q35" s="199"/>
      <c r="R35" s="199"/>
    </row>
    <row r="36" spans="1:18">
      <c r="A36" s="199"/>
      <c r="B36" s="199"/>
      <c r="C36" s="199"/>
      <c r="D36" s="199"/>
      <c r="E36" s="199"/>
      <c r="F36" s="199"/>
      <c r="G36" s="199"/>
      <c r="H36" s="199"/>
      <c r="I36" s="199"/>
      <c r="J36" s="199"/>
      <c r="L36" s="199"/>
      <c r="M36" s="199"/>
      <c r="N36" s="199"/>
      <c r="O36" s="199"/>
      <c r="P36" s="199"/>
      <c r="Q36" s="199"/>
      <c r="R36" s="199"/>
    </row>
    <row r="37" spans="1:18">
      <c r="A37" s="199"/>
      <c r="B37" s="199"/>
      <c r="C37" s="199"/>
      <c r="D37" s="199"/>
      <c r="E37" s="199"/>
      <c r="F37" s="199"/>
      <c r="G37" s="199"/>
      <c r="H37" s="199"/>
      <c r="I37" s="199"/>
      <c r="J37" s="199"/>
      <c r="L37" s="199"/>
      <c r="M37" s="199"/>
      <c r="N37" s="199"/>
      <c r="O37" s="199"/>
      <c r="P37" s="199"/>
      <c r="Q37" s="199"/>
      <c r="R37" s="199"/>
    </row>
    <row r="38" spans="1:18">
      <c r="A38" s="199"/>
      <c r="B38" s="199"/>
      <c r="C38" s="199"/>
      <c r="D38" s="199"/>
      <c r="E38" s="199"/>
      <c r="F38" s="199"/>
      <c r="G38" s="199"/>
      <c r="H38" s="199"/>
      <c r="I38" s="199"/>
      <c r="J38" s="199"/>
      <c r="L38" s="199"/>
      <c r="M38" s="199"/>
      <c r="N38" s="199"/>
      <c r="O38" s="199"/>
      <c r="P38" s="199"/>
      <c r="Q38" s="199"/>
      <c r="R38" s="199"/>
    </row>
    <row r="39" spans="1:18">
      <c r="A39" s="199"/>
      <c r="B39" s="199"/>
      <c r="C39" s="199"/>
      <c r="D39" s="199"/>
      <c r="E39" s="199"/>
      <c r="F39" s="199"/>
      <c r="G39" s="199"/>
      <c r="H39" s="199"/>
      <c r="I39" s="199"/>
      <c r="J39" s="199"/>
      <c r="L39" s="199"/>
      <c r="M39" s="199"/>
      <c r="N39" s="199"/>
      <c r="O39" s="199"/>
      <c r="P39" s="199"/>
      <c r="Q39" s="199"/>
      <c r="R39" s="199"/>
    </row>
    <row r="40" spans="1:18">
      <c r="A40" s="199"/>
      <c r="B40" s="199"/>
      <c r="C40" s="199"/>
      <c r="D40" s="199"/>
      <c r="E40" s="199"/>
      <c r="F40" s="199"/>
      <c r="G40" s="199"/>
      <c r="H40" s="199"/>
      <c r="I40" s="199"/>
      <c r="J40" s="199"/>
      <c r="L40" s="199"/>
      <c r="M40" s="199"/>
      <c r="N40" s="199"/>
      <c r="O40" s="199"/>
      <c r="P40" s="199"/>
      <c r="Q40" s="199"/>
      <c r="R40" s="199"/>
    </row>
    <row r="41" spans="1:18">
      <c r="A41" s="199"/>
      <c r="B41" s="199"/>
      <c r="C41" s="199"/>
      <c r="D41" s="199"/>
      <c r="E41" s="199"/>
      <c r="F41" s="199"/>
      <c r="G41" s="199"/>
      <c r="H41" s="199"/>
      <c r="I41" s="199"/>
      <c r="J41" s="199"/>
      <c r="L41" s="199"/>
      <c r="M41" s="199"/>
      <c r="N41" s="199"/>
      <c r="O41" s="199"/>
      <c r="P41" s="199"/>
      <c r="Q41" s="199"/>
      <c r="R41" s="199"/>
    </row>
    <row r="42" spans="1:18">
      <c r="A42" s="199"/>
      <c r="B42" s="199"/>
      <c r="C42" s="199"/>
      <c r="D42" s="199"/>
      <c r="E42" s="199"/>
      <c r="F42" s="199"/>
      <c r="G42" s="199"/>
      <c r="H42" s="199"/>
      <c r="I42" s="199"/>
      <c r="J42" s="199"/>
      <c r="L42" s="199"/>
      <c r="M42" s="199"/>
      <c r="N42" s="199"/>
      <c r="O42" s="199"/>
      <c r="P42" s="199"/>
      <c r="Q42" s="199"/>
      <c r="R42" s="199"/>
    </row>
    <row r="43" spans="1:18">
      <c r="A43" s="199"/>
      <c r="B43" s="199"/>
      <c r="C43" s="199"/>
      <c r="D43" s="199"/>
      <c r="E43" s="199"/>
      <c r="F43" s="199"/>
      <c r="G43" s="199"/>
      <c r="H43" s="199"/>
      <c r="I43" s="199"/>
      <c r="J43" s="199"/>
      <c r="L43" s="199"/>
      <c r="M43" s="199"/>
      <c r="N43" s="199"/>
      <c r="O43" s="199"/>
      <c r="P43" s="199"/>
      <c r="Q43" s="199"/>
      <c r="R43" s="199"/>
    </row>
    <row r="44" spans="1:18">
      <c r="A44" s="199"/>
      <c r="B44" s="199"/>
      <c r="C44" s="199"/>
      <c r="D44" s="199"/>
      <c r="E44" s="199"/>
      <c r="F44" s="199"/>
      <c r="G44" s="199"/>
      <c r="H44" s="199"/>
      <c r="I44" s="199"/>
      <c r="J44" s="199"/>
      <c r="L44" s="199"/>
      <c r="M44" s="199"/>
      <c r="N44" s="199"/>
      <c r="O44" s="199"/>
      <c r="P44" s="199"/>
      <c r="Q44" s="199"/>
      <c r="R44" s="199"/>
    </row>
    <row r="45" spans="1:18">
      <c r="A45" s="199"/>
      <c r="B45" s="199"/>
      <c r="C45" s="199"/>
      <c r="D45" s="199"/>
      <c r="E45" s="199"/>
      <c r="F45" s="199"/>
      <c r="G45" s="199"/>
      <c r="H45" s="199"/>
      <c r="I45" s="199"/>
      <c r="J45" s="199"/>
      <c r="L45" s="199"/>
      <c r="M45" s="199"/>
      <c r="N45" s="199"/>
      <c r="O45" s="199"/>
      <c r="P45" s="199"/>
      <c r="Q45" s="199"/>
      <c r="R45" s="199"/>
    </row>
    <row r="46" spans="1:18">
      <c r="A46" s="199"/>
      <c r="B46" s="199"/>
      <c r="C46" s="199"/>
      <c r="D46" s="199"/>
      <c r="E46" s="199"/>
      <c r="F46" s="199"/>
      <c r="G46" s="199"/>
      <c r="H46" s="199"/>
      <c r="I46" s="199"/>
      <c r="J46" s="199"/>
      <c r="L46" s="199"/>
      <c r="M46" s="199"/>
      <c r="N46" s="199"/>
      <c r="O46" s="199"/>
      <c r="P46" s="199"/>
      <c r="Q46" s="199"/>
      <c r="R46" s="199"/>
    </row>
    <row r="47" spans="1:18">
      <c r="A47" s="199"/>
      <c r="B47" s="199"/>
      <c r="C47" s="199"/>
      <c r="D47" s="199"/>
      <c r="E47" s="199"/>
      <c r="F47" s="199"/>
      <c r="G47" s="199"/>
      <c r="H47" s="199"/>
      <c r="I47" s="199"/>
      <c r="J47" s="199"/>
      <c r="L47" s="199"/>
      <c r="M47" s="199"/>
      <c r="N47" s="199"/>
      <c r="O47" s="199"/>
      <c r="P47" s="199"/>
      <c r="Q47" s="199"/>
      <c r="R47" s="199"/>
    </row>
    <row r="48" spans="1:18">
      <c r="A48" s="199"/>
      <c r="B48" s="199"/>
      <c r="C48" s="397" t="s">
        <v>134</v>
      </c>
      <c r="D48" s="398"/>
      <c r="E48" s="397" t="s">
        <v>133</v>
      </c>
      <c r="F48" s="398"/>
      <c r="G48" s="398"/>
      <c r="H48" s="399"/>
      <c r="I48" s="199"/>
      <c r="J48" s="199"/>
      <c r="L48" s="199"/>
      <c r="M48" s="199"/>
      <c r="N48" s="199"/>
      <c r="O48" s="199"/>
      <c r="P48" s="199"/>
      <c r="Q48" s="199"/>
      <c r="R48" s="199"/>
    </row>
    <row r="49" spans="1:18" ht="51.75">
      <c r="A49" s="199"/>
      <c r="B49" s="282"/>
      <c r="C49" s="296" t="s">
        <v>135</v>
      </c>
      <c r="D49" s="297" t="s">
        <v>136</v>
      </c>
      <c r="E49" s="297"/>
      <c r="F49" s="297"/>
      <c r="G49" s="296" t="s">
        <v>138</v>
      </c>
      <c r="H49" s="297" t="s">
        <v>137</v>
      </c>
      <c r="I49" s="275" t="s">
        <v>139</v>
      </c>
      <c r="J49" s="304" t="s">
        <v>140</v>
      </c>
      <c r="K49" s="304" t="s">
        <v>141</v>
      </c>
      <c r="L49" s="199"/>
      <c r="M49" s="199"/>
      <c r="N49" s="199"/>
      <c r="O49" s="199"/>
      <c r="P49" s="199"/>
      <c r="Q49" s="199"/>
      <c r="R49" s="199"/>
    </row>
    <row r="50" spans="1:18">
      <c r="A50" s="199"/>
      <c r="B50" s="283" t="s">
        <v>4</v>
      </c>
      <c r="C50" s="305">
        <v>4.4499999999999998E-2</v>
      </c>
      <c r="D50" s="305">
        <v>9.3000000000000096E-3</v>
      </c>
      <c r="E50" s="80"/>
      <c r="F50" s="80"/>
      <c r="G50" s="305">
        <v>-8.7300000000000003E-2</v>
      </c>
      <c r="H50" s="305">
        <f>+Scenarios!C28</f>
        <v>-3.2445168309994665E-3</v>
      </c>
      <c r="I50" s="319">
        <v>0.1023</v>
      </c>
      <c r="J50" s="320">
        <f t="shared" ref="J50:J57" si="1">+G50/I50</f>
        <v>-0.85337243401759533</v>
      </c>
      <c r="K50" s="299">
        <f t="shared" ref="K50:K57" si="2">+H50/I50</f>
        <v>-3.1715707047893123E-2</v>
      </c>
      <c r="L50" s="199"/>
      <c r="M50" s="199"/>
      <c r="N50" s="199"/>
      <c r="O50" s="199"/>
      <c r="P50" s="199"/>
      <c r="Q50" s="199"/>
      <c r="R50" s="199"/>
    </row>
    <row r="51" spans="1:18">
      <c r="A51" s="199"/>
      <c r="B51" s="283" t="s">
        <v>5</v>
      </c>
      <c r="C51" s="286">
        <v>8.5371817899603325E-2</v>
      </c>
      <c r="D51" s="286">
        <v>5.6265360838678849E-2</v>
      </c>
      <c r="E51" s="80"/>
      <c r="F51" s="80"/>
      <c r="G51" s="286">
        <v>-4.6468851830414513E-2</v>
      </c>
      <c r="H51" s="286">
        <f>+Scenarios!C29</f>
        <v>3.2492969125133414E-2</v>
      </c>
      <c r="I51" s="286">
        <f t="shared" ref="I51:I57" si="3">+J4</f>
        <v>0.15853561014014847</v>
      </c>
      <c r="J51" s="321">
        <f t="shared" si="1"/>
        <v>-0.29311302230038522</v>
      </c>
      <c r="K51" s="299">
        <f t="shared" si="2"/>
        <v>0.20495691218149042</v>
      </c>
      <c r="L51" s="199"/>
      <c r="M51" s="199"/>
      <c r="N51" s="199"/>
      <c r="O51" s="199"/>
      <c r="P51" s="199"/>
      <c r="Q51" s="199"/>
      <c r="R51" s="199"/>
    </row>
    <row r="52" spans="1:18">
      <c r="A52" s="199"/>
      <c r="B52" s="283" t="s">
        <v>6</v>
      </c>
      <c r="C52" s="286">
        <v>0.14294511515742836</v>
      </c>
      <c r="D52" s="286">
        <v>4.8236186870114238E-2</v>
      </c>
      <c r="E52" s="80"/>
      <c r="F52" s="80"/>
      <c r="G52" s="286">
        <v>1.1104445427410514E-2</v>
      </c>
      <c r="H52" s="286">
        <f>+Scenarios!C30</f>
        <v>1.45681608513176E-2</v>
      </c>
      <c r="I52" s="286">
        <f t="shared" si="3"/>
        <v>0.16217253275473525</v>
      </c>
      <c r="J52" s="321">
        <f t="shared" si="1"/>
        <v>6.8473034482383871E-2</v>
      </c>
      <c r="K52" s="299">
        <f>+H52/I52</f>
        <v>8.9831247029668326E-2</v>
      </c>
      <c r="L52" s="199"/>
      <c r="M52" s="199"/>
      <c r="N52" s="199"/>
      <c r="O52" s="199"/>
      <c r="P52" s="199"/>
      <c r="Q52" s="199"/>
      <c r="R52" s="199"/>
    </row>
    <row r="53" spans="1:18">
      <c r="A53" s="199"/>
      <c r="B53" s="283" t="s">
        <v>7</v>
      </c>
      <c r="C53" s="286">
        <v>7.3688794074914882E-2</v>
      </c>
      <c r="D53" s="286">
        <v>4.4755655663184818E-2</v>
      </c>
      <c r="E53" s="80"/>
      <c r="F53" s="80"/>
      <c r="G53" s="286">
        <v>-5.8151875655102964E-2</v>
      </c>
      <c r="H53" s="286">
        <f>+Scenarios!C31</f>
        <v>-1.272492445230269E-2</v>
      </c>
      <c r="I53" s="286">
        <f t="shared" si="3"/>
        <v>0.28718972670468956</v>
      </c>
      <c r="J53" s="321">
        <f t="shared" si="1"/>
        <v>-0.20248591870731911</v>
      </c>
      <c r="K53" s="299">
        <f>+H53/I53</f>
        <v>-4.4308424950685758E-2</v>
      </c>
      <c r="L53" s="199"/>
      <c r="M53" s="199"/>
      <c r="N53" s="199"/>
      <c r="O53" s="199"/>
      <c r="P53" s="199"/>
      <c r="Q53" s="199"/>
      <c r="R53" s="199"/>
    </row>
    <row r="54" spans="1:18">
      <c r="A54" s="199"/>
      <c r="B54" s="283" t="s">
        <v>8</v>
      </c>
      <c r="C54" s="286">
        <v>8.8200075364801303E-2</v>
      </c>
      <c r="D54" s="286">
        <v>0.11547766137672615</v>
      </c>
      <c r="E54" s="80"/>
      <c r="F54" s="80"/>
      <c r="G54" s="286">
        <v>-4.3640594365216501E-2</v>
      </c>
      <c r="H54" s="286">
        <f>+Scenarios!C32</f>
        <v>5.7893485302571407E-2</v>
      </c>
      <c r="I54" s="286">
        <f t="shared" si="3"/>
        <v>0.29616397669669142</v>
      </c>
      <c r="J54" s="321">
        <f t="shared" si="1"/>
        <v>-0.14735281060164138</v>
      </c>
      <c r="K54" s="299">
        <f t="shared" si="2"/>
        <v>0.19547780911201601</v>
      </c>
      <c r="L54" s="199"/>
      <c r="M54" s="199"/>
      <c r="N54" s="199"/>
      <c r="O54" s="199"/>
      <c r="P54" s="199"/>
      <c r="Q54" s="199"/>
      <c r="R54" s="199"/>
    </row>
    <row r="55" spans="1:18">
      <c r="B55" s="283" t="s">
        <v>9</v>
      </c>
      <c r="C55" s="286">
        <v>9.6125190679341666E-2</v>
      </c>
      <c r="D55" s="286">
        <v>8.8245130245983364E-2</v>
      </c>
      <c r="E55" s="80"/>
      <c r="F55" s="80"/>
      <c r="G55" s="286">
        <v>-3.571547905067618E-2</v>
      </c>
      <c r="H55" s="286">
        <f>+Scenarios!C33</f>
        <v>7.1858480605475325E-2</v>
      </c>
      <c r="I55" s="286">
        <f t="shared" si="3"/>
        <v>0.32648216646211403</v>
      </c>
      <c r="J55" s="321">
        <f t="shared" si="1"/>
        <v>-0.1093948849877554</v>
      </c>
      <c r="K55" s="299">
        <f t="shared" si="2"/>
        <v>0.22009925192595167</v>
      </c>
      <c r="L55" s="199"/>
      <c r="M55" s="199"/>
      <c r="N55" s="199"/>
      <c r="O55" s="199"/>
      <c r="P55" s="199"/>
      <c r="Q55" s="199"/>
      <c r="R55" s="199"/>
    </row>
    <row r="56" spans="1:18">
      <c r="B56" s="283" t="s">
        <v>10</v>
      </c>
      <c r="C56" s="286">
        <v>6.2658557549145399E-2</v>
      </c>
      <c r="D56" s="286">
        <v>3.2952299000522406E-2</v>
      </c>
      <c r="E56" s="80"/>
      <c r="F56" s="80"/>
      <c r="G56" s="286">
        <v>-6.9182112180872446E-2</v>
      </c>
      <c r="H56" s="286">
        <f>+Scenarios!C34</f>
        <v>1.8730269708989476E-2</v>
      </c>
      <c r="I56" s="286">
        <f t="shared" si="3"/>
        <v>0.16076897495152093</v>
      </c>
      <c r="J56" s="321">
        <f t="shared" si="1"/>
        <v>-0.43032004279267166</v>
      </c>
      <c r="K56" s="299">
        <f t="shared" si="2"/>
        <v>0.11650425534303178</v>
      </c>
      <c r="L56" s="199"/>
      <c r="M56" s="199"/>
      <c r="N56" s="199"/>
      <c r="O56" s="199"/>
      <c r="P56" s="199"/>
      <c r="Q56" s="199"/>
      <c r="R56" s="199"/>
    </row>
    <row r="57" spans="1:18">
      <c r="B57" s="284" t="s">
        <v>11</v>
      </c>
      <c r="C57" s="287">
        <v>7.3464510927495008E-2</v>
      </c>
      <c r="D57" s="287">
        <v>3.9406691481015818E-2</v>
      </c>
      <c r="E57" s="277"/>
      <c r="F57" s="277"/>
      <c r="G57" s="287">
        <v>-5.8376158802522837E-2</v>
      </c>
      <c r="H57" s="287">
        <f>+Scenarios!C35</f>
        <v>-5.9825766089863959E-3</v>
      </c>
      <c r="I57" s="287">
        <f t="shared" si="3"/>
        <v>0.20064050365322861</v>
      </c>
      <c r="J57" s="322">
        <f t="shared" si="1"/>
        <v>-0.29094902444730519</v>
      </c>
      <c r="K57" s="302">
        <f t="shared" si="2"/>
        <v>-2.9817392301437873E-2</v>
      </c>
      <c r="L57" s="199"/>
      <c r="M57" s="199"/>
      <c r="N57" s="199"/>
      <c r="O57" s="199"/>
      <c r="P57" s="199"/>
      <c r="Q57" s="199"/>
      <c r="R57" s="199"/>
    </row>
    <row r="58" spans="1:18">
      <c r="B58" s="79"/>
      <c r="C58" s="79"/>
      <c r="D58" s="79"/>
      <c r="E58" s="93"/>
      <c r="F58" s="93"/>
      <c r="G58" s="79"/>
      <c r="H58" s="79"/>
      <c r="I58" s="79"/>
      <c r="J58" s="79"/>
      <c r="L58" s="199"/>
      <c r="M58" s="199"/>
      <c r="N58" s="199"/>
      <c r="O58" s="199"/>
      <c r="P58" s="199"/>
      <c r="Q58" s="199"/>
      <c r="R58" s="199"/>
    </row>
    <row r="59" spans="1:18">
      <c r="B59" s="199"/>
      <c r="C59" s="199"/>
      <c r="D59" s="199"/>
      <c r="E59" s="199"/>
      <c r="F59" s="199"/>
      <c r="G59" s="199"/>
      <c r="H59" s="199"/>
      <c r="I59" s="199"/>
      <c r="J59" s="199"/>
      <c r="L59" s="199"/>
      <c r="M59" s="199"/>
      <c r="N59" s="199"/>
      <c r="O59" s="199"/>
      <c r="P59" s="199"/>
      <c r="Q59" s="199"/>
      <c r="R59" s="199"/>
    </row>
    <row r="60" spans="1:18">
      <c r="B60" s="199"/>
      <c r="C60" s="199"/>
      <c r="D60" s="199"/>
      <c r="E60" s="199"/>
      <c r="F60" s="199"/>
      <c r="G60" s="199"/>
      <c r="H60" s="199"/>
      <c r="I60" s="199"/>
      <c r="J60" s="199"/>
      <c r="L60" s="199"/>
      <c r="M60" s="199"/>
      <c r="N60" s="199"/>
      <c r="O60" s="199"/>
      <c r="P60" s="199"/>
      <c r="Q60" s="199"/>
      <c r="R60" s="199"/>
    </row>
    <row r="61" spans="1:18">
      <c r="B61" s="199"/>
      <c r="C61" s="199"/>
      <c r="D61" s="199"/>
      <c r="E61" s="199"/>
      <c r="F61" s="199"/>
      <c r="G61" s="199"/>
      <c r="H61" s="199"/>
      <c r="I61" s="199"/>
      <c r="J61" s="199"/>
      <c r="L61" s="199"/>
      <c r="M61" s="199"/>
      <c r="N61" s="199"/>
      <c r="O61" s="199"/>
      <c r="P61" s="199"/>
      <c r="Q61" s="199"/>
      <c r="R61" s="199"/>
    </row>
    <row r="62" spans="1:18">
      <c r="B62" s="199"/>
      <c r="C62" s="199"/>
      <c r="D62" s="199"/>
      <c r="E62" s="199"/>
      <c r="F62" s="199"/>
      <c r="G62" s="199"/>
      <c r="H62" s="199"/>
      <c r="I62" s="199"/>
      <c r="J62" s="199"/>
      <c r="L62" s="199"/>
      <c r="M62" s="199"/>
      <c r="N62" s="199"/>
      <c r="O62" s="199"/>
      <c r="P62" s="199"/>
      <c r="Q62" s="199"/>
      <c r="R62" s="199"/>
    </row>
    <row r="63" spans="1:18">
      <c r="B63" s="199"/>
      <c r="C63" s="199"/>
      <c r="D63" s="199"/>
      <c r="E63" s="199"/>
      <c r="F63" s="199"/>
      <c r="G63" s="199"/>
      <c r="H63" s="199"/>
      <c r="I63" s="199"/>
      <c r="J63" s="199"/>
      <c r="L63" s="199"/>
      <c r="M63" s="199"/>
      <c r="N63" s="199"/>
      <c r="O63" s="199"/>
      <c r="P63" s="199"/>
      <c r="Q63" s="199"/>
      <c r="R63" s="199"/>
    </row>
    <row r="64" spans="1:18">
      <c r="B64" s="199"/>
      <c r="C64" s="199"/>
      <c r="D64" s="199"/>
      <c r="E64" s="199"/>
      <c r="F64" s="199"/>
      <c r="G64" s="199"/>
      <c r="H64" s="199"/>
      <c r="I64" s="199"/>
      <c r="J64" s="199"/>
      <c r="L64" s="199"/>
      <c r="M64" s="199"/>
      <c r="N64" s="199"/>
      <c r="O64" s="199"/>
      <c r="P64" s="199"/>
      <c r="Q64" s="199"/>
      <c r="R64" s="199"/>
    </row>
    <row r="65" spans="2:13">
      <c r="B65" s="199"/>
      <c r="C65" s="199"/>
      <c r="D65" s="199"/>
      <c r="E65" s="199"/>
      <c r="F65" s="199"/>
      <c r="G65" s="199"/>
      <c r="H65" s="199"/>
      <c r="I65" s="199"/>
      <c r="J65" s="199"/>
      <c r="L65" s="199"/>
      <c r="M65" s="199"/>
    </row>
    <row r="66" spans="2:13">
      <c r="B66" s="199"/>
      <c r="C66" s="199"/>
      <c r="D66" s="199"/>
      <c r="E66" s="199"/>
      <c r="F66" s="199"/>
      <c r="G66" s="199"/>
      <c r="H66" s="199"/>
      <c r="I66" s="199"/>
      <c r="J66" s="199"/>
      <c r="L66" s="199"/>
      <c r="M66" s="199"/>
    </row>
    <row r="67" spans="2:13">
      <c r="B67" s="199"/>
      <c r="C67" s="199"/>
      <c r="D67" s="199"/>
      <c r="E67" s="199"/>
      <c r="F67" s="199"/>
      <c r="G67" s="199"/>
      <c r="H67" s="199"/>
      <c r="I67" s="199"/>
      <c r="J67" s="199"/>
      <c r="L67" s="199"/>
      <c r="M67" s="199"/>
    </row>
    <row r="68" spans="2:13">
      <c r="B68" s="199"/>
      <c r="C68" s="199"/>
      <c r="D68" s="199"/>
      <c r="E68" s="199"/>
      <c r="F68" s="199"/>
      <c r="G68" s="199"/>
      <c r="H68" s="199"/>
      <c r="I68" s="199"/>
      <c r="J68" s="199"/>
      <c r="L68" s="199"/>
      <c r="M68" s="199"/>
    </row>
    <row r="69" spans="2:13">
      <c r="B69" s="199"/>
      <c r="C69" s="199"/>
      <c r="D69" s="199"/>
      <c r="E69" s="199"/>
      <c r="F69" s="199"/>
      <c r="G69" s="199"/>
      <c r="H69" s="199"/>
      <c r="I69" s="199"/>
      <c r="J69" s="199"/>
      <c r="L69" s="199"/>
      <c r="M69" s="199"/>
    </row>
    <row r="70" spans="2:13">
      <c r="B70" s="199"/>
      <c r="C70" s="199"/>
      <c r="D70" s="199"/>
      <c r="E70" s="199"/>
      <c r="F70" s="199"/>
      <c r="G70" s="199"/>
      <c r="H70" s="199"/>
      <c r="I70" s="199"/>
      <c r="J70" s="199"/>
      <c r="L70" s="199"/>
      <c r="M70" s="199"/>
    </row>
    <row r="71" spans="2:13">
      <c r="B71" s="199"/>
      <c r="C71" s="199"/>
      <c r="D71" s="199"/>
      <c r="E71" s="199"/>
      <c r="F71" s="199"/>
      <c r="G71" s="199"/>
      <c r="H71" s="199"/>
      <c r="I71" s="199"/>
      <c r="J71" s="199"/>
      <c r="L71" s="199"/>
      <c r="M71" s="199"/>
    </row>
    <row r="72" spans="2:13">
      <c r="B72" s="199"/>
      <c r="C72" s="199"/>
      <c r="D72" s="199"/>
      <c r="E72" s="199"/>
      <c r="F72" s="199"/>
      <c r="G72" s="199"/>
      <c r="H72" s="199"/>
      <c r="I72" s="199"/>
      <c r="J72" s="199"/>
      <c r="L72" s="199"/>
      <c r="M72" s="199"/>
    </row>
    <row r="73" spans="2:13">
      <c r="B73" s="199"/>
      <c r="C73" s="199"/>
      <c r="D73" s="199"/>
      <c r="E73" s="199"/>
      <c r="F73" s="199"/>
      <c r="G73" s="199"/>
      <c r="H73" s="199"/>
      <c r="I73" s="199"/>
      <c r="J73" s="199"/>
      <c r="L73" s="199"/>
      <c r="M73" s="199"/>
    </row>
    <row r="74" spans="2:13">
      <c r="B74" s="199"/>
      <c r="C74" s="199"/>
      <c r="D74" s="199"/>
      <c r="E74" s="199"/>
      <c r="F74" s="199"/>
      <c r="G74" s="199"/>
      <c r="H74" s="199"/>
      <c r="I74" s="199"/>
      <c r="J74" s="199"/>
      <c r="L74" s="199"/>
      <c r="M74" s="199"/>
    </row>
    <row r="75" spans="2:13">
      <c r="B75" s="199"/>
      <c r="C75" s="199"/>
      <c r="D75" s="199"/>
      <c r="E75" s="199"/>
      <c r="F75" s="199"/>
      <c r="G75" s="199"/>
      <c r="H75" s="199"/>
      <c r="I75" s="199"/>
      <c r="J75" s="199"/>
      <c r="L75" s="199"/>
      <c r="M75" s="199"/>
    </row>
    <row r="76" spans="2:13">
      <c r="B76" s="199"/>
      <c r="C76" s="199"/>
      <c r="D76" s="199"/>
      <c r="E76" s="199"/>
      <c r="F76" s="199"/>
      <c r="G76" s="199"/>
      <c r="H76" s="199"/>
      <c r="I76" s="199"/>
      <c r="J76" s="199"/>
      <c r="L76" s="199"/>
      <c r="M76" s="199"/>
    </row>
    <row r="77" spans="2:13">
      <c r="B77" s="199"/>
      <c r="C77" s="199"/>
      <c r="D77" s="199"/>
      <c r="E77" s="199"/>
      <c r="F77" s="199"/>
      <c r="G77" s="199"/>
      <c r="H77" s="199"/>
      <c r="I77" s="199"/>
      <c r="J77" s="199"/>
      <c r="L77" s="199"/>
      <c r="M77" s="199"/>
    </row>
    <row r="78" spans="2:13">
      <c r="B78" s="199"/>
      <c r="C78" s="199"/>
      <c r="D78" s="199"/>
      <c r="E78" s="199"/>
      <c r="F78" s="199"/>
      <c r="G78" s="199"/>
      <c r="H78" s="199"/>
      <c r="I78" s="199"/>
      <c r="J78" s="199"/>
      <c r="L78" s="199"/>
      <c r="M78" s="199"/>
    </row>
    <row r="79" spans="2:13">
      <c r="M79" s="199"/>
    </row>
  </sheetData>
  <mergeCells count="2">
    <mergeCell ref="C48:D48"/>
    <mergeCell ref="E48:H48"/>
  </mergeCells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8"/>
  <dimension ref="A3:N121"/>
  <sheetViews>
    <sheetView workbookViewId="0">
      <selection activeCell="R41" sqref="R41"/>
    </sheetView>
  </sheetViews>
  <sheetFormatPr defaultRowHeight="15"/>
  <sheetData>
    <row r="3" spans="2:14">
      <c r="G3">
        <v>0.7877107209047528</v>
      </c>
      <c r="H3">
        <v>6.7799787902673603E-2</v>
      </c>
      <c r="I3">
        <v>6.3348223150627492E-2</v>
      </c>
      <c r="J3">
        <v>5.2932169911349636E-2</v>
      </c>
      <c r="K3">
        <v>2.0045755144450506E-2</v>
      </c>
      <c r="L3">
        <v>7.0185233693301763E-3</v>
      </c>
      <c r="M3">
        <v>1.1448196168121205E-3</v>
      </c>
      <c r="N3">
        <v>-2.2204460492503131E-16</v>
      </c>
    </row>
    <row r="4" spans="2:14">
      <c r="B4" s="53">
        <v>0.64830585599218105</v>
      </c>
      <c r="C4">
        <v>1.360490754530419E-2</v>
      </c>
      <c r="D4">
        <v>0.63861267467332028</v>
      </c>
      <c r="E4">
        <v>0.64764311377106099</v>
      </c>
      <c r="F4">
        <v>0.65709973218522455</v>
      </c>
      <c r="G4">
        <v>-3.8522924145805316E-3</v>
      </c>
      <c r="H4">
        <v>1</v>
      </c>
      <c r="I4">
        <v>0.10454744392235046</v>
      </c>
      <c r="J4">
        <v>-4.5721933766748699E-2</v>
      </c>
      <c r="K4">
        <v>-0.16627997091470303</v>
      </c>
      <c r="L4">
        <v>3.1601804489572345E-2</v>
      </c>
      <c r="M4">
        <v>1</v>
      </c>
      <c r="N4">
        <v>0.99999999999996192</v>
      </c>
    </row>
    <row r="5" spans="2:14">
      <c r="B5" s="53">
        <v>2.2417195533197348E-2</v>
      </c>
      <c r="C5">
        <v>1.77113055589979E-2</v>
      </c>
      <c r="D5">
        <v>8.0187941057121084E-3</v>
      </c>
      <c r="E5">
        <v>1.9584464475750261E-2</v>
      </c>
      <c r="F5">
        <v>3.2375907786967945E-2</v>
      </c>
      <c r="G5">
        <v>-5.884768141834652E-3</v>
      </c>
      <c r="H5">
        <v>-0.57570396978123561</v>
      </c>
      <c r="I5">
        <v>-0.77391881299216458</v>
      </c>
      <c r="J5">
        <v>-0.75606140571319091</v>
      </c>
      <c r="K5">
        <v>-0.12611146739191367</v>
      </c>
      <c r="L5">
        <v>-9.4375140998661664E-2</v>
      </c>
      <c r="M5">
        <v>0.26978977278393979</v>
      </c>
      <c r="N5">
        <v>0.99999999999997613</v>
      </c>
    </row>
    <row r="6" spans="2:14">
      <c r="B6" s="53">
        <v>2.0773596052931689E-2</v>
      </c>
      <c r="C6">
        <v>1.7342841820967694E-2</v>
      </c>
      <c r="D6">
        <v>7.5955263126885773E-3</v>
      </c>
      <c r="E6">
        <v>1.6395000296380743E-2</v>
      </c>
      <c r="F6">
        <v>3.123186967192813E-2</v>
      </c>
      <c r="G6">
        <v>3.1225495793607356E-2</v>
      </c>
      <c r="H6">
        <v>-0.46829264653214131</v>
      </c>
      <c r="I6">
        <v>-0.45742685854765708</v>
      </c>
      <c r="J6">
        <v>1</v>
      </c>
      <c r="K6">
        <v>-0.12802514542987137</v>
      </c>
      <c r="L6">
        <v>-5.8183889508243269E-2</v>
      </c>
      <c r="M6">
        <v>0.240737762452995</v>
      </c>
      <c r="N6">
        <v>0.99999999999997924</v>
      </c>
    </row>
    <row r="7" spans="2:14">
      <c r="B7" s="53">
        <v>0.16317941014349474</v>
      </c>
      <c r="C7">
        <v>5.0555407782441733E-2</v>
      </c>
      <c r="D7">
        <v>0.12715719757084959</v>
      </c>
      <c r="E7">
        <v>0.16035964831162344</v>
      </c>
      <c r="F7">
        <v>0.20181256143741055</v>
      </c>
      <c r="G7">
        <v>1</v>
      </c>
      <c r="H7">
        <v>0.34641599748100432</v>
      </c>
      <c r="I7">
        <v>6.7333404369003938E-2</v>
      </c>
      <c r="J7">
        <v>-4.1286547185083004E-2</v>
      </c>
      <c r="K7">
        <v>-0.2293336806569394</v>
      </c>
      <c r="L7">
        <v>-0.30658455271413443</v>
      </c>
      <c r="M7">
        <v>-0.67574986101002432</v>
      </c>
      <c r="N7">
        <v>0.99999999999999989</v>
      </c>
    </row>
    <row r="8" spans="2:14">
      <c r="B8" s="53">
        <v>0.10352241326570276</v>
      </c>
      <c r="C8">
        <v>5.0134368215631789E-2</v>
      </c>
      <c r="D8">
        <v>6.3494817638747952E-2</v>
      </c>
      <c r="E8">
        <v>0.10411917322898155</v>
      </c>
      <c r="F8">
        <v>0.14094926371527347</v>
      </c>
      <c r="G8">
        <v>-0.99166001412694049</v>
      </c>
      <c r="H8">
        <v>0.34363490169549304</v>
      </c>
      <c r="I8">
        <v>4.4136813700257294E-2</v>
      </c>
      <c r="J8">
        <v>-3.5512530145600718E-3</v>
      </c>
      <c r="K8">
        <v>-0.23947072209921827</v>
      </c>
      <c r="L8">
        <v>-0.31784609191416358</v>
      </c>
      <c r="M8">
        <v>-0.67909478265896217</v>
      </c>
      <c r="N8">
        <v>1</v>
      </c>
    </row>
    <row r="9" spans="2:14">
      <c r="B9" s="53">
        <v>6.2584709688595528E-3</v>
      </c>
      <c r="C9">
        <v>6.1167303718432696E-3</v>
      </c>
      <c r="D9">
        <v>1.4149053832732861E-3</v>
      </c>
      <c r="E9">
        <v>4.6908149306738823E-3</v>
      </c>
      <c r="F9">
        <v>9.2471789971679957E-3</v>
      </c>
      <c r="G9">
        <v>-9.5077535199256189E-3</v>
      </c>
      <c r="H9">
        <v>5.6966034745882972E-2</v>
      </c>
      <c r="I9">
        <v>1.09224991741115E-2</v>
      </c>
      <c r="J9">
        <v>-3.4723988558328693E-2</v>
      </c>
      <c r="K9">
        <v>6.4638373246455726E-3</v>
      </c>
      <c r="L9">
        <v>1</v>
      </c>
      <c r="M9">
        <v>-0.40075861038530408</v>
      </c>
      <c r="N9">
        <v>0.99999999999999578</v>
      </c>
    </row>
    <row r="10" spans="2:14">
      <c r="B10" s="53">
        <v>2.4135614482784295E-2</v>
      </c>
      <c r="C10">
        <v>1.8432420122271295E-2</v>
      </c>
      <c r="D10">
        <v>9.8579375497153954E-3</v>
      </c>
      <c r="E10">
        <v>2.0261407060404312E-2</v>
      </c>
      <c r="F10">
        <v>3.4790222041096358E-2</v>
      </c>
      <c r="G10">
        <v>-1.3298109692261161E-2</v>
      </c>
      <c r="H10">
        <v>-0.80386400850367101</v>
      </c>
      <c r="I10">
        <v>1</v>
      </c>
      <c r="J10">
        <v>-0.11961141234839016</v>
      </c>
      <c r="K10">
        <v>-0.11724285083200002</v>
      </c>
      <c r="L10">
        <v>-7.8431697826150143E-2</v>
      </c>
      <c r="M10">
        <v>0.29443621753151661</v>
      </c>
      <c r="N10">
        <v>0.9999999999999768</v>
      </c>
    </row>
    <row r="11" spans="2:14">
      <c r="B11" s="53">
        <v>1.140744356084882E-2</v>
      </c>
      <c r="C11">
        <v>1.0520985101666857E-2</v>
      </c>
      <c r="D11">
        <v>3.3276518063644856E-3</v>
      </c>
      <c r="E11">
        <v>8.3602146677647839E-3</v>
      </c>
      <c r="F11">
        <v>1.631561007812149E-2</v>
      </c>
      <c r="G11">
        <v>-7.0225578980646483E-3</v>
      </c>
      <c r="H11">
        <v>0.10084369089466523</v>
      </c>
      <c r="I11">
        <v>4.4055103740975104E-3</v>
      </c>
      <c r="J11">
        <v>9.5654058630079912E-4</v>
      </c>
      <c r="K11">
        <v>1</v>
      </c>
      <c r="L11">
        <v>-0.17618043152822088</v>
      </c>
      <c r="M11">
        <v>-4.936049871410704E-2</v>
      </c>
      <c r="N11">
        <v>0.99999999999998546</v>
      </c>
    </row>
    <row r="14" spans="2:14">
      <c r="G14">
        <v>0.82244866789598503</v>
      </c>
      <c r="H14">
        <v>6.2419396101027202E-2</v>
      </c>
      <c r="I14">
        <v>4.9340071002834551E-2</v>
      </c>
      <c r="J14">
        <v>3.9998649704603984E-2</v>
      </c>
      <c r="K14">
        <v>1.8407138877181262E-2</v>
      </c>
      <c r="L14">
        <v>5.9919322830085386E-3</v>
      </c>
      <c r="M14">
        <v>1.3941441353531037E-3</v>
      </c>
      <c r="N14">
        <v>0</v>
      </c>
    </row>
    <row r="15" spans="2:14">
      <c r="B15" s="53">
        <v>0.65273119272685742</v>
      </c>
      <c r="C15">
        <v>1.3389391768000847E-2</v>
      </c>
      <c r="D15">
        <v>0.64267954610645939</v>
      </c>
      <c r="E15">
        <v>0.65290982026421385</v>
      </c>
      <c r="F15">
        <v>0.66180942316192171</v>
      </c>
      <c r="G15">
        <v>-7.5182879767127196E-3</v>
      </c>
      <c r="H15">
        <v>1</v>
      </c>
      <c r="I15">
        <v>-7.9956400723973781E-2</v>
      </c>
      <c r="J15">
        <v>-0.22971072023375624</v>
      </c>
      <c r="K15">
        <v>-0.1760229165029919</v>
      </c>
      <c r="L15">
        <v>4.2695302700224411E-2</v>
      </c>
      <c r="M15">
        <v>1</v>
      </c>
      <c r="N15">
        <v>0.99999999999991174</v>
      </c>
    </row>
    <row r="16" spans="2:14">
      <c r="B16" s="53">
        <v>2.1877387556514548E-2</v>
      </c>
      <c r="C16">
        <v>1.7367173993037645E-2</v>
      </c>
      <c r="D16">
        <v>7.6515630612504337E-3</v>
      </c>
      <c r="E16">
        <v>1.7711765582685952E-2</v>
      </c>
      <c r="F16">
        <v>3.1541012302390425E-2</v>
      </c>
      <c r="G16">
        <v>3.0972331322999598E-2</v>
      </c>
      <c r="H16">
        <v>-0.91302735816825109</v>
      </c>
      <c r="I16">
        <v>-0.92555268644693167</v>
      </c>
      <c r="J16">
        <v>-0.2352493816055031</v>
      </c>
      <c r="K16">
        <v>-0.12963146469553671</v>
      </c>
      <c r="L16">
        <v>-9.2434386878677346E-2</v>
      </c>
      <c r="M16">
        <v>0.28944211428906558</v>
      </c>
      <c r="N16">
        <v>0.99999999999994804</v>
      </c>
    </row>
    <row r="17" spans="1:14">
      <c r="B17" s="53">
        <v>1.7160310851450492E-2</v>
      </c>
      <c r="C17">
        <v>1.5031543661550871E-2</v>
      </c>
      <c r="D17">
        <v>5.4949113083258621E-3</v>
      </c>
      <c r="E17">
        <v>1.3170462120722311E-2</v>
      </c>
      <c r="F17">
        <v>2.3542151831425592E-2</v>
      </c>
      <c r="G17">
        <v>1.1910050260090744E-2</v>
      </c>
      <c r="H17">
        <v>-0.1470593300985914</v>
      </c>
      <c r="I17">
        <v>8.4111663187115521E-2</v>
      </c>
      <c r="J17">
        <v>1</v>
      </c>
      <c r="K17">
        <v>-0.19028816030660051</v>
      </c>
      <c r="L17">
        <v>-8.9491539443667667E-2</v>
      </c>
      <c r="M17">
        <v>0.22234168398190954</v>
      </c>
      <c r="N17">
        <v>0.99999999999995182</v>
      </c>
    </row>
    <row r="18" spans="1:14">
      <c r="B18" s="53">
        <v>0.16883653460470924</v>
      </c>
      <c r="C18">
        <v>5.3192056714400887E-2</v>
      </c>
      <c r="D18">
        <v>0.13275659313233923</v>
      </c>
      <c r="E18">
        <v>0.16832497909373184</v>
      </c>
      <c r="F18">
        <v>0.21178881158037571</v>
      </c>
      <c r="G18">
        <v>1</v>
      </c>
      <c r="H18">
        <v>0.34279717075101657</v>
      </c>
      <c r="I18">
        <v>1.1237615616288292E-2</v>
      </c>
      <c r="J18">
        <v>-0.12551073377567437</v>
      </c>
      <c r="K18">
        <v>-0.19197441629663367</v>
      </c>
      <c r="L18">
        <v>-0.31315379980858077</v>
      </c>
      <c r="M18">
        <v>-0.69206028563403532</v>
      </c>
      <c r="N18">
        <v>0.99999999999999922</v>
      </c>
    </row>
    <row r="19" spans="1:14">
      <c r="B19" s="53">
        <v>0.10181431096499875</v>
      </c>
      <c r="C19">
        <v>5.2526831496662138E-2</v>
      </c>
      <c r="D19">
        <v>6.2851888984642751E-2</v>
      </c>
      <c r="E19">
        <v>9.9760193505225803E-2</v>
      </c>
      <c r="F19">
        <v>0.13876090092571736</v>
      </c>
      <c r="G19">
        <v>-0.98751706434181385</v>
      </c>
      <c r="H19">
        <v>0.32797293175480902</v>
      </c>
      <c r="I19">
        <v>-4.3068467233262221E-2</v>
      </c>
      <c r="J19">
        <v>-0.11219285952448367</v>
      </c>
      <c r="K19">
        <v>-0.20997553192944518</v>
      </c>
      <c r="L19">
        <v>-0.32508387405990041</v>
      </c>
      <c r="M19">
        <v>-0.70173322047363396</v>
      </c>
      <c r="N19">
        <v>1</v>
      </c>
    </row>
    <row r="20" spans="1:14">
      <c r="B20" s="53">
        <v>5.6303328056901804E-3</v>
      </c>
      <c r="C20">
        <v>5.7793459283510158E-3</v>
      </c>
      <c r="D20">
        <v>1.324599911265786E-3</v>
      </c>
      <c r="E20">
        <v>3.7761861858210287E-3</v>
      </c>
      <c r="F20">
        <v>8.1183210744799877E-3</v>
      </c>
      <c r="G20">
        <v>-7.558462630628056E-3</v>
      </c>
      <c r="H20">
        <v>3.4142440381811412E-2</v>
      </c>
      <c r="I20">
        <v>-1.6912591746062387E-2</v>
      </c>
      <c r="J20">
        <v>-1.5539712821251066E-2</v>
      </c>
      <c r="K20">
        <v>-6.9142596556769206E-3</v>
      </c>
      <c r="L20">
        <v>1</v>
      </c>
      <c r="M20">
        <v>-0.41892342084532563</v>
      </c>
      <c r="N20">
        <v>0.99999999999997802</v>
      </c>
    </row>
    <row r="21" spans="1:14">
      <c r="B21" s="53">
        <v>2.0492784918044883E-2</v>
      </c>
      <c r="C21">
        <v>1.7038224147611854E-2</v>
      </c>
      <c r="D21">
        <v>6.8645177154195098E-3</v>
      </c>
      <c r="E21">
        <v>1.650888789624648E-2</v>
      </c>
      <c r="F21">
        <v>3.0176207980271597E-2</v>
      </c>
      <c r="G21">
        <v>-2.7222812153831558E-2</v>
      </c>
      <c r="H21">
        <v>-0.7390647219644999</v>
      </c>
      <c r="I21">
        <v>1</v>
      </c>
      <c r="J21">
        <v>-0.32267787305299633</v>
      </c>
      <c r="K21">
        <v>-9.519325061311365E-2</v>
      </c>
      <c r="L21">
        <v>-7.2656173833246782E-2</v>
      </c>
      <c r="M21">
        <v>0.29965637360979958</v>
      </c>
      <c r="N21">
        <v>0.99999999999994571</v>
      </c>
    </row>
    <row r="22" spans="1:14">
      <c r="B22" s="53">
        <v>1.1457145571733341E-2</v>
      </c>
      <c r="C22">
        <v>1.0421820522272035E-2</v>
      </c>
      <c r="D22">
        <v>3.3671210616202959E-3</v>
      </c>
      <c r="E22">
        <v>8.2835982195805478E-3</v>
      </c>
      <c r="F22">
        <v>1.7019503836998816E-2</v>
      </c>
      <c r="G22">
        <v>-1.306575448010467E-2</v>
      </c>
      <c r="H22">
        <v>9.4238867343703167E-2</v>
      </c>
      <c r="I22">
        <v>-2.9859132653172367E-2</v>
      </c>
      <c r="J22">
        <v>4.0881281013663895E-2</v>
      </c>
      <c r="K22">
        <v>1</v>
      </c>
      <c r="L22">
        <v>-0.14987552867614509</v>
      </c>
      <c r="M22">
        <v>1.276755072341288E-3</v>
      </c>
      <c r="N22">
        <v>0.99999999999996192</v>
      </c>
    </row>
    <row r="25" spans="1:14">
      <c r="G25">
        <v>0.86197901576218627</v>
      </c>
      <c r="H25">
        <v>5.0333239694085319E-2</v>
      </c>
      <c r="I25">
        <v>3.8503928448484603E-2</v>
      </c>
      <c r="J25">
        <v>3.1207594213329526E-2</v>
      </c>
      <c r="K25">
        <v>1.2225105162805061E-2</v>
      </c>
      <c r="L25">
        <v>4.4329694649490881E-3</v>
      </c>
      <c r="M25">
        <v>1.3181472541626826E-3</v>
      </c>
      <c r="N25">
        <v>0</v>
      </c>
    </row>
    <row r="26" spans="1:14">
      <c r="A26" s="47">
        <f>B26-B15</f>
        <v>3.293559995685591E-3</v>
      </c>
      <c r="B26">
        <v>0.65602475272254301</v>
      </c>
      <c r="C26">
        <v>1.2487779215260298E-2</v>
      </c>
      <c r="D26">
        <v>0.64742314472469775</v>
      </c>
      <c r="E26">
        <v>0.65636877802777405</v>
      </c>
      <c r="F26">
        <v>0.66421163187733312</v>
      </c>
      <c r="G26">
        <v>-1.321396378381545E-2</v>
      </c>
      <c r="H26">
        <v>-0.99528336032501041</v>
      </c>
      <c r="I26">
        <v>-0.24093951848521125</v>
      </c>
      <c r="J26">
        <v>-0.13909697388994791</v>
      </c>
      <c r="K26">
        <v>-0.16624469622152313</v>
      </c>
      <c r="L26">
        <v>4.1281397199638109E-2</v>
      </c>
      <c r="M26">
        <v>1</v>
      </c>
      <c r="N26">
        <v>1</v>
      </c>
    </row>
    <row r="27" spans="1:14">
      <c r="A27" s="47">
        <f t="shared" ref="A27:A33" si="0">B27-B16</f>
        <v>-2.2257151488166461E-3</v>
      </c>
      <c r="B27">
        <v>1.9651672407697902E-2</v>
      </c>
      <c r="C27">
        <v>1.5843881137802673E-2</v>
      </c>
      <c r="D27">
        <v>7.4121678270651324E-3</v>
      </c>
      <c r="E27">
        <v>1.6079951669322828E-2</v>
      </c>
      <c r="F27">
        <v>2.8265546967711004E-2</v>
      </c>
      <c r="G27">
        <v>1.8965332228861022E-2</v>
      </c>
      <c r="H27">
        <v>1</v>
      </c>
      <c r="I27">
        <v>-0.83234113368966534</v>
      </c>
      <c r="J27">
        <v>-0.19123835473661333</v>
      </c>
      <c r="K27">
        <v>-0.18331635637704272</v>
      </c>
      <c r="L27">
        <v>-7.0169757094212984E-2</v>
      </c>
      <c r="M27">
        <v>0.28967546294282892</v>
      </c>
      <c r="N27">
        <v>0.99999999999997014</v>
      </c>
    </row>
    <row r="28" spans="1:14">
      <c r="A28" s="47">
        <f t="shared" si="0"/>
        <v>-5.890168757220586E-4</v>
      </c>
      <c r="B28">
        <v>1.6571293975728433E-2</v>
      </c>
      <c r="C28">
        <v>1.3676330383303391E-2</v>
      </c>
      <c r="D28">
        <v>5.8015285195662462E-3</v>
      </c>
      <c r="E28">
        <v>1.326902133478355E-2</v>
      </c>
      <c r="F28">
        <v>2.4400800658367264E-2</v>
      </c>
      <c r="G28">
        <v>4.3099218535472238E-3</v>
      </c>
      <c r="H28">
        <v>0.22263526617571752</v>
      </c>
      <c r="I28">
        <v>0.24164286365145901</v>
      </c>
      <c r="J28">
        <v>1</v>
      </c>
      <c r="K28">
        <v>-0.10713675608173297</v>
      </c>
      <c r="L28">
        <v>-7.7890887879625961E-2</v>
      </c>
      <c r="M28">
        <v>0.22771548237783407</v>
      </c>
      <c r="N28">
        <v>0.99999999999996736</v>
      </c>
    </row>
    <row r="29" spans="1:14">
      <c r="A29" s="47">
        <f t="shared" si="0"/>
        <v>-1.6902926980761623E-3</v>
      </c>
      <c r="B29">
        <v>0.16714624190663308</v>
      </c>
      <c r="C29">
        <v>5.5052182111719937E-2</v>
      </c>
      <c r="D29">
        <v>0.1266312292112054</v>
      </c>
      <c r="E29">
        <v>0.16495396141337743</v>
      </c>
      <c r="F29">
        <v>0.21077251811958175</v>
      </c>
      <c r="G29">
        <v>1</v>
      </c>
      <c r="H29">
        <v>-0.33703509953630184</v>
      </c>
      <c r="I29">
        <v>-4.204390191237712E-2</v>
      </c>
      <c r="J29">
        <v>-8.2257701681923256E-2</v>
      </c>
      <c r="K29">
        <v>-0.2384369277064016</v>
      </c>
      <c r="L29">
        <v>-0.29232273074357007</v>
      </c>
      <c r="M29">
        <v>-0.70932412871949235</v>
      </c>
      <c r="N29">
        <v>0.99999999999992595</v>
      </c>
    </row>
    <row r="30" spans="1:14">
      <c r="A30" s="47">
        <f t="shared" si="0"/>
        <v>5.3267898554474613E-3</v>
      </c>
      <c r="B30">
        <v>0.10714110082044621</v>
      </c>
      <c r="C30">
        <v>5.4681087913492681E-2</v>
      </c>
      <c r="D30">
        <v>6.2092752495215071E-2</v>
      </c>
      <c r="E30">
        <v>0.10975551328514072</v>
      </c>
      <c r="F30">
        <v>0.14658766592399716</v>
      </c>
      <c r="G30">
        <v>-0.99350134713559213</v>
      </c>
      <c r="H30">
        <v>-0.31267584898980244</v>
      </c>
      <c r="I30">
        <v>-6.7578898145361582E-2</v>
      </c>
      <c r="J30">
        <v>-7.4114179976642491E-2</v>
      </c>
      <c r="K30">
        <v>-0.24016624477385909</v>
      </c>
      <c r="L30">
        <v>-0.29839796189409906</v>
      </c>
      <c r="M30">
        <v>-0.72427516549727333</v>
      </c>
      <c r="N30">
        <v>0.99999999999992484</v>
      </c>
    </row>
    <row r="31" spans="1:14">
      <c r="A31" s="47">
        <f t="shared" si="0"/>
        <v>-4.949934105404237E-4</v>
      </c>
      <c r="B31">
        <v>5.1353393951497567E-3</v>
      </c>
      <c r="C31">
        <v>5.1103529349589881E-3</v>
      </c>
      <c r="D31">
        <v>1.3027031969232653E-3</v>
      </c>
      <c r="E31">
        <v>3.6294423283246258E-3</v>
      </c>
      <c r="F31">
        <v>7.3329342344572637E-3</v>
      </c>
      <c r="G31">
        <v>-2.6738637825180823E-3</v>
      </c>
      <c r="H31">
        <v>-4.6425882170699415E-2</v>
      </c>
      <c r="I31">
        <v>-2.1601497786982147E-2</v>
      </c>
      <c r="J31">
        <v>-1.2266503547515703E-2</v>
      </c>
      <c r="K31">
        <v>8.9238206020279751E-2</v>
      </c>
      <c r="L31">
        <v>1</v>
      </c>
      <c r="M31">
        <v>-0.41240161265172509</v>
      </c>
      <c r="N31">
        <v>0.99999999999995048</v>
      </c>
    </row>
    <row r="32" spans="1:14">
      <c r="A32" s="47">
        <f t="shared" si="0"/>
        <v>-2.0832875884633922E-3</v>
      </c>
      <c r="B32">
        <v>1.8409497329581491E-2</v>
      </c>
      <c r="C32">
        <v>1.4773998470893951E-2</v>
      </c>
      <c r="D32">
        <v>7.1235268590799563E-3</v>
      </c>
      <c r="E32">
        <v>1.4830564057203312E-2</v>
      </c>
      <c r="F32">
        <v>2.6381773969673165E-2</v>
      </c>
      <c r="G32">
        <v>-1.3603673656917517E-2</v>
      </c>
      <c r="H32">
        <v>0.50123139404889838</v>
      </c>
      <c r="I32">
        <v>1</v>
      </c>
      <c r="J32">
        <v>-0.44513984074308688</v>
      </c>
      <c r="K32">
        <v>-0.15393722485972283</v>
      </c>
      <c r="L32">
        <v>-4.9873400941951827E-2</v>
      </c>
      <c r="M32">
        <v>0.33896111592302763</v>
      </c>
      <c r="N32">
        <v>0.99999999999997158</v>
      </c>
    </row>
    <row r="33" spans="1:14">
      <c r="A33" s="47">
        <f t="shared" si="0"/>
        <v>-1.5370441295130249E-3</v>
      </c>
      <c r="B33">
        <v>9.9201014422203165E-3</v>
      </c>
      <c r="C33">
        <v>8.4830461660258486E-3</v>
      </c>
      <c r="D33">
        <v>3.4207796391167574E-3</v>
      </c>
      <c r="E33">
        <v>7.6349139228330497E-3</v>
      </c>
      <c r="F33">
        <v>1.4458227200734287E-2</v>
      </c>
      <c r="G33">
        <v>-2.8240572356530425E-4</v>
      </c>
      <c r="H33">
        <v>-3.2446469202802315E-2</v>
      </c>
      <c r="I33">
        <v>-3.713791363186203E-2</v>
      </c>
      <c r="J33">
        <v>-5.5886445424270688E-2</v>
      </c>
      <c r="K33">
        <v>1</v>
      </c>
      <c r="L33">
        <v>-0.25262665864619005</v>
      </c>
      <c r="M33">
        <v>-1.0351154375301656E-2</v>
      </c>
      <c r="N33">
        <v>0.99999999999995792</v>
      </c>
    </row>
    <row r="36" spans="1:14">
      <c r="G36">
        <v>0.8646336220251013</v>
      </c>
      <c r="H36">
        <v>4.6689233098820115E-2</v>
      </c>
      <c r="I36">
        <v>3.88540962807985E-2</v>
      </c>
      <c r="J36">
        <v>2.9801169603174582E-2</v>
      </c>
      <c r="K36">
        <v>1.4295219495895073E-2</v>
      </c>
      <c r="L36">
        <v>4.2845363084567101E-3</v>
      </c>
      <c r="M36">
        <v>1.4421231877599361E-3</v>
      </c>
      <c r="N36">
        <v>0</v>
      </c>
    </row>
    <row r="37" spans="1:14">
      <c r="A37" s="47">
        <f>B37-B26</f>
        <v>2.6738948000757379E-3</v>
      </c>
      <c r="B37">
        <v>0.65869864752261875</v>
      </c>
      <c r="C37">
        <v>1.1926529881086435E-2</v>
      </c>
      <c r="D37">
        <v>0.65000107952083397</v>
      </c>
      <c r="E37">
        <v>0.6587164055747835</v>
      </c>
      <c r="F37">
        <v>0.66745152270407271</v>
      </c>
      <c r="G37">
        <v>-2.1826522168964857E-2</v>
      </c>
      <c r="H37">
        <v>1</v>
      </c>
      <c r="I37">
        <v>0.16173261313238788</v>
      </c>
      <c r="J37">
        <v>-0.17359302145789626</v>
      </c>
      <c r="K37">
        <v>-0.19507345085529101</v>
      </c>
      <c r="L37">
        <v>0.14821323900736638</v>
      </c>
      <c r="M37">
        <v>1</v>
      </c>
      <c r="N37">
        <v>0.99999999999987055</v>
      </c>
    </row>
    <row r="38" spans="1:14">
      <c r="A38" s="47">
        <f t="shared" ref="A38:A44" si="1">B38-B27</f>
        <v>-2.4398453692516808E-3</v>
      </c>
      <c r="B38">
        <v>1.7211827038446221E-2</v>
      </c>
      <c r="C38">
        <v>1.4631636279186984E-2</v>
      </c>
      <c r="D38">
        <v>5.8054374677814838E-3</v>
      </c>
      <c r="E38">
        <v>1.4242759793355713E-2</v>
      </c>
      <c r="F38">
        <v>2.39187196529702E-2</v>
      </c>
      <c r="G38">
        <v>1.5602908299951068E-2</v>
      </c>
      <c r="H38">
        <v>-0.65142514859987144</v>
      </c>
      <c r="I38">
        <v>-0.96668732479183472</v>
      </c>
      <c r="J38">
        <v>-0.51032905645764337</v>
      </c>
      <c r="K38">
        <v>-0.14840075531952882</v>
      </c>
      <c r="L38">
        <v>-5.5088006527994123E-2</v>
      </c>
      <c r="M38">
        <v>0.31403616096446596</v>
      </c>
      <c r="N38">
        <v>0.99999999999992151</v>
      </c>
    </row>
    <row r="39" spans="1:14">
      <c r="A39" s="47">
        <f t="shared" si="1"/>
        <v>-1.0101681772333188E-3</v>
      </c>
      <c r="B39">
        <v>1.5561125798495114E-2</v>
      </c>
      <c r="C39">
        <v>1.3223091357146688E-2</v>
      </c>
      <c r="D39">
        <v>4.9021920033559749E-3</v>
      </c>
      <c r="E39">
        <v>1.2014292659383967E-2</v>
      </c>
      <c r="F39">
        <v>2.2907641670440272E-2</v>
      </c>
      <c r="G39">
        <v>1.7263733383166512E-2</v>
      </c>
      <c r="H39">
        <v>-0.2258449508126146</v>
      </c>
      <c r="I39">
        <v>-0.31996059394415366</v>
      </c>
      <c r="J39">
        <v>1</v>
      </c>
      <c r="K39">
        <v>-0.14761944796240556</v>
      </c>
      <c r="L39">
        <v>-6.524551560385107E-2</v>
      </c>
      <c r="M39">
        <v>0.26347903109329779</v>
      </c>
      <c r="N39">
        <v>0.99999999999992439</v>
      </c>
    </row>
    <row r="40" spans="1:14">
      <c r="A40" s="47">
        <f t="shared" si="1"/>
        <v>-3.4373043052393637E-4</v>
      </c>
      <c r="B40">
        <v>0.16680251147610914</v>
      </c>
      <c r="C40">
        <v>5.4340718454367984E-2</v>
      </c>
      <c r="D40">
        <v>0.12966190593041721</v>
      </c>
      <c r="E40">
        <v>0.1669746735873274</v>
      </c>
      <c r="F40">
        <v>0.20365921899809175</v>
      </c>
      <c r="G40">
        <v>1</v>
      </c>
      <c r="H40">
        <v>0.33028483686538218</v>
      </c>
      <c r="I40">
        <v>9.3616000192147136E-2</v>
      </c>
      <c r="J40">
        <v>-8.8893474474375955E-2</v>
      </c>
      <c r="K40">
        <v>-0.20840213344233852</v>
      </c>
      <c r="L40">
        <v>-0.40653120236868284</v>
      </c>
      <c r="M40">
        <v>-0.64839211399241592</v>
      </c>
      <c r="N40">
        <v>0.99999999999999822</v>
      </c>
    </row>
    <row r="41" spans="1:14">
      <c r="A41" s="47">
        <f t="shared" si="1"/>
        <v>2.6187553899305605E-3</v>
      </c>
      <c r="B41">
        <v>0.10975985621037677</v>
      </c>
      <c r="C41">
        <v>5.4199192269435606E-2</v>
      </c>
      <c r="D41">
        <v>6.9160693208342935E-2</v>
      </c>
      <c r="E41">
        <v>0.10828001073522397</v>
      </c>
      <c r="F41">
        <v>0.14853719649709157</v>
      </c>
      <c r="G41">
        <v>-0.99790896030037812</v>
      </c>
      <c r="H41">
        <v>0.28914512036355228</v>
      </c>
      <c r="I41">
        <v>7.4365804401990365E-2</v>
      </c>
      <c r="J41">
        <v>-7.6344148437409332E-2</v>
      </c>
      <c r="K41">
        <v>-0.22789325238380723</v>
      </c>
      <c r="L41">
        <v>-0.40856007412400408</v>
      </c>
      <c r="M41">
        <v>-0.66191748665869887</v>
      </c>
      <c r="N41">
        <v>1</v>
      </c>
    </row>
    <row r="42" spans="1:14">
      <c r="A42" s="47">
        <f t="shared" si="1"/>
        <v>-6.0815180329880023E-4</v>
      </c>
      <c r="B42">
        <v>4.5271875918509565E-3</v>
      </c>
      <c r="C42">
        <v>4.7559402877411141E-3</v>
      </c>
      <c r="D42">
        <v>7.9051687514220556E-4</v>
      </c>
      <c r="E42">
        <v>2.8904248607639765E-3</v>
      </c>
      <c r="F42">
        <v>7.0811297985326829E-3</v>
      </c>
      <c r="G42">
        <v>8.8650146616593933E-4</v>
      </c>
      <c r="H42">
        <v>4.7438450171422973E-2</v>
      </c>
      <c r="I42">
        <v>-5.4847985939958915E-3</v>
      </c>
      <c r="J42">
        <v>-1.0181901761818908E-2</v>
      </c>
      <c r="K42">
        <v>1.2421765931932395E-2</v>
      </c>
      <c r="L42">
        <v>1</v>
      </c>
      <c r="M42">
        <v>-0.63179501167076135</v>
      </c>
      <c r="N42">
        <v>0.99999999999995781</v>
      </c>
    </row>
    <row r="43" spans="1:14">
      <c r="A43" s="47">
        <f t="shared" si="1"/>
        <v>-7.6432626824558814E-4</v>
      </c>
      <c r="B43">
        <v>1.7645171061335903E-2</v>
      </c>
      <c r="C43">
        <v>1.5310616308034165E-2</v>
      </c>
      <c r="D43">
        <v>5.8118223806887838E-3</v>
      </c>
      <c r="E43">
        <v>1.3915734525449379E-2</v>
      </c>
      <c r="F43">
        <v>2.4361848026589625E-2</v>
      </c>
      <c r="G43">
        <v>4.056804060248091E-3</v>
      </c>
      <c r="H43">
        <v>-0.91130678489246308</v>
      </c>
      <c r="I43">
        <v>1</v>
      </c>
      <c r="J43">
        <v>-0.13168617494804413</v>
      </c>
      <c r="K43">
        <v>-8.5032725968555073E-2</v>
      </c>
      <c r="L43">
        <v>-3.1005958527538364E-2</v>
      </c>
      <c r="M43">
        <v>0.3337622424585695</v>
      </c>
      <c r="N43">
        <v>0.99999999999991906</v>
      </c>
    </row>
    <row r="44" spans="1:14">
      <c r="A44" s="47">
        <f t="shared" si="1"/>
        <v>-1.2642814145243271E-4</v>
      </c>
      <c r="B44">
        <v>9.7936733007678838E-3</v>
      </c>
      <c r="C44">
        <v>9.236911599299057E-3</v>
      </c>
      <c r="D44">
        <v>2.6055804060062691E-3</v>
      </c>
      <c r="E44">
        <v>6.8470132549091726E-3</v>
      </c>
      <c r="F44">
        <v>1.4609687805324574E-2</v>
      </c>
      <c r="G44">
        <v>-1.8074464740188267E-2</v>
      </c>
      <c r="H44">
        <v>0.12170847690458819</v>
      </c>
      <c r="I44">
        <v>-3.7581700396540837E-2</v>
      </c>
      <c r="J44">
        <v>-8.9722224628118654E-3</v>
      </c>
      <c r="K44">
        <v>1</v>
      </c>
      <c r="L44">
        <v>-0.18178248185525578</v>
      </c>
      <c r="M44">
        <v>3.0827177805717903E-2</v>
      </c>
      <c r="N44">
        <v>0.9999999999999396</v>
      </c>
    </row>
    <row r="47" spans="1:14">
      <c r="G47">
        <v>0.88029647938835709</v>
      </c>
      <c r="H47">
        <v>4.5826753298129574E-2</v>
      </c>
      <c r="I47">
        <v>3.2700364599971277E-2</v>
      </c>
      <c r="J47">
        <v>2.5065396630431502E-2</v>
      </c>
      <c r="K47">
        <v>1.0764035305834807E-2</v>
      </c>
      <c r="L47">
        <v>3.8980914696261637E-3</v>
      </c>
      <c r="M47">
        <v>1.4488793076482542E-3</v>
      </c>
      <c r="N47">
        <v>0</v>
      </c>
    </row>
    <row r="48" spans="1:14">
      <c r="A48" s="47">
        <f>B48-B37</f>
        <v>1.1108440518456941E-3</v>
      </c>
      <c r="B48">
        <v>0.65980949157446445</v>
      </c>
      <c r="C48">
        <v>1.2095272898543657E-2</v>
      </c>
      <c r="D48">
        <v>0.65100761372716409</v>
      </c>
      <c r="E48">
        <v>0.66036767674991714</v>
      </c>
      <c r="F48">
        <v>0.66788556895445039</v>
      </c>
      <c r="G48">
        <v>1.2906201146687668E-2</v>
      </c>
      <c r="H48">
        <v>1</v>
      </c>
      <c r="I48">
        <v>7.3654407029557264E-2</v>
      </c>
      <c r="J48">
        <v>-0.25047920736031037</v>
      </c>
      <c r="K48">
        <v>-0.14601722325564029</v>
      </c>
      <c r="L48">
        <v>0.11411850187495721</v>
      </c>
      <c r="M48">
        <v>1</v>
      </c>
      <c r="N48">
        <v>0.99999999999990885</v>
      </c>
    </row>
    <row r="49" spans="1:14">
      <c r="A49" s="47">
        <f t="shared" ref="A49:A55" si="2">B49-B38</f>
        <v>-8.3397492369172155E-5</v>
      </c>
      <c r="B49">
        <v>1.7128429546077049E-2</v>
      </c>
      <c r="C49">
        <v>1.4299746117152417E-2</v>
      </c>
      <c r="D49">
        <v>5.7724889391251224E-3</v>
      </c>
      <c r="E49">
        <v>1.3509367199834449E-2</v>
      </c>
      <c r="F49">
        <v>2.4659089105404156E-2</v>
      </c>
      <c r="G49">
        <v>4.8782254050686764E-3</v>
      </c>
      <c r="H49">
        <v>-0.78636463138825796</v>
      </c>
      <c r="I49">
        <v>-0.86707682636678962</v>
      </c>
      <c r="J49">
        <v>-0.45986825623130834</v>
      </c>
      <c r="K49">
        <v>-0.11931596045226811</v>
      </c>
      <c r="L49">
        <v>-4.8468528374705798E-2</v>
      </c>
      <c r="M49">
        <v>0.33216149943772916</v>
      </c>
      <c r="N49">
        <v>0.99999999999994338</v>
      </c>
    </row>
    <row r="50" spans="1:14">
      <c r="A50" s="47">
        <f t="shared" si="2"/>
        <v>-1.1472226912650849E-3</v>
      </c>
      <c r="B50">
        <v>1.4413903107230029E-2</v>
      </c>
      <c r="C50">
        <v>1.2322143588385558E-2</v>
      </c>
      <c r="D50">
        <v>5.0811888759535462E-3</v>
      </c>
      <c r="E50">
        <v>1.170964821881456E-2</v>
      </c>
      <c r="F50">
        <v>2.0192641371189465E-2</v>
      </c>
      <c r="G50">
        <v>-2.1442739559195591E-2</v>
      </c>
      <c r="H50">
        <v>-0.10106805527084173</v>
      </c>
      <c r="I50">
        <v>-0.30306523927050927</v>
      </c>
      <c r="J50">
        <v>1</v>
      </c>
      <c r="K50">
        <v>-0.18611087667369283</v>
      </c>
      <c r="L50">
        <v>-3.699841074869701E-2</v>
      </c>
      <c r="M50">
        <v>0.25673146365168653</v>
      </c>
      <c r="N50">
        <v>0.9999999999999476</v>
      </c>
    </row>
    <row r="51" spans="1:14">
      <c r="A51" s="47">
        <f t="shared" si="2"/>
        <v>4.5324958420450145E-3</v>
      </c>
      <c r="B51">
        <v>0.17133500731815415</v>
      </c>
      <c r="C51">
        <v>5.5855055008541682E-2</v>
      </c>
      <c r="D51">
        <v>0.12948355854981775</v>
      </c>
      <c r="E51">
        <v>0.17312131729118246</v>
      </c>
      <c r="F51">
        <v>0.21135446698414195</v>
      </c>
      <c r="G51">
        <v>-0.99939215576830887</v>
      </c>
      <c r="H51">
        <v>0.29293521596914418</v>
      </c>
      <c r="I51">
        <v>5.033957102146603E-2</v>
      </c>
      <c r="J51">
        <v>-0.12425502212280577</v>
      </c>
      <c r="K51">
        <v>-0.22866758206557272</v>
      </c>
      <c r="L51">
        <v>-0.39582938304762488</v>
      </c>
      <c r="M51">
        <v>-0.66094399982337171</v>
      </c>
      <c r="N51">
        <v>0.99999999999999878</v>
      </c>
    </row>
    <row r="52" spans="1:14">
      <c r="A52" s="47">
        <f t="shared" si="2"/>
        <v>-2.6517052431598853E-3</v>
      </c>
      <c r="B52">
        <v>0.10710815096721689</v>
      </c>
      <c r="C52">
        <v>5.5876615517951651E-2</v>
      </c>
      <c r="D52">
        <v>6.5370888428298912E-2</v>
      </c>
      <c r="E52">
        <v>0.10536635022056337</v>
      </c>
      <c r="F52">
        <v>0.14896855722640462</v>
      </c>
      <c r="G52">
        <v>1</v>
      </c>
      <c r="H52">
        <v>0.28543360863837108</v>
      </c>
      <c r="I52">
        <v>4.2415132511168692E-2</v>
      </c>
      <c r="J52">
        <v>-9.7181938422213315E-2</v>
      </c>
      <c r="K52">
        <v>-0.23163269270254433</v>
      </c>
      <c r="L52">
        <v>-0.39302322699766312</v>
      </c>
      <c r="M52">
        <v>-0.67359645570402782</v>
      </c>
      <c r="N52">
        <v>1</v>
      </c>
    </row>
    <row r="53" spans="1:14">
      <c r="A53" s="47">
        <f t="shared" si="2"/>
        <v>-2.9252299450229727E-4</v>
      </c>
      <c r="B53">
        <v>4.2346645973486592E-3</v>
      </c>
      <c r="C53">
        <v>4.76091879554205E-3</v>
      </c>
      <c r="D53">
        <v>7.8713467400892386E-4</v>
      </c>
      <c r="E53">
        <v>2.5205684954338493E-3</v>
      </c>
      <c r="F53">
        <v>6.1452437550818615E-3</v>
      </c>
      <c r="G53">
        <v>-3.9932193795552502E-3</v>
      </c>
      <c r="H53">
        <v>8.0534551816470401E-2</v>
      </c>
      <c r="I53">
        <v>-1.8145134557110764E-2</v>
      </c>
      <c r="J53">
        <v>-3.5687858720787717E-2</v>
      </c>
      <c r="K53">
        <v>6.0297587303078215E-2</v>
      </c>
      <c r="L53">
        <v>1</v>
      </c>
      <c r="M53">
        <v>-0.61096624786290532</v>
      </c>
      <c r="N53">
        <v>0.99999999999997358</v>
      </c>
    </row>
    <row r="54" spans="1:14">
      <c r="A54" s="47">
        <f t="shared" si="2"/>
        <v>-3.1015446848263808E-4</v>
      </c>
      <c r="B54">
        <v>1.7335016592853265E-2</v>
      </c>
      <c r="C54">
        <v>1.4604182256696375E-2</v>
      </c>
      <c r="D54">
        <v>6.0045357441901818E-3</v>
      </c>
      <c r="E54">
        <v>1.295381520047497E-2</v>
      </c>
      <c r="F54">
        <v>2.6446720126806163E-2</v>
      </c>
      <c r="G54">
        <v>4.5474173683876752E-3</v>
      </c>
      <c r="H54">
        <v>-0.81241048194007226</v>
      </c>
      <c r="I54">
        <v>1</v>
      </c>
      <c r="J54">
        <v>-6.8279790147493954E-2</v>
      </c>
      <c r="K54">
        <v>-0.14855325215335699</v>
      </c>
      <c r="L54">
        <v>-1.6937657827925435E-3</v>
      </c>
      <c r="M54">
        <v>0.34261142588488908</v>
      </c>
      <c r="N54">
        <v>0.99999999999994127</v>
      </c>
    </row>
    <row r="55" spans="1:14">
      <c r="A55" s="47">
        <f t="shared" si="2"/>
        <v>-1.1583370041121401E-3</v>
      </c>
      <c r="B55">
        <v>8.6353362966557438E-3</v>
      </c>
      <c r="C55">
        <v>8.0433647842754804E-3</v>
      </c>
      <c r="D55">
        <v>2.3352374116954577E-3</v>
      </c>
      <c r="E55">
        <v>6.2423071067024202E-3</v>
      </c>
      <c r="F55">
        <v>1.2852590429537892E-2</v>
      </c>
      <c r="G55">
        <v>2.4962707869155133E-3</v>
      </c>
      <c r="H55">
        <v>4.0939792175183752E-2</v>
      </c>
      <c r="I55">
        <v>2.1878089632216824E-2</v>
      </c>
      <c r="J55">
        <v>3.5752073004919518E-2</v>
      </c>
      <c r="K55">
        <v>1</v>
      </c>
      <c r="L55">
        <v>-0.2381051869234527</v>
      </c>
      <c r="M55">
        <v>1.4002314416128233E-2</v>
      </c>
      <c r="N55">
        <v>0.99999999999995892</v>
      </c>
    </row>
    <row r="58" spans="1:14">
      <c r="G58">
        <v>0.89220054043362729</v>
      </c>
      <c r="H58">
        <v>3.8512771688488989E-2</v>
      </c>
      <c r="I58">
        <v>2.9155089592195815E-2</v>
      </c>
      <c r="J58">
        <v>2.407858170688415E-2</v>
      </c>
      <c r="K58">
        <v>1.1019461398293906E-2</v>
      </c>
      <c r="L58">
        <v>3.6957945888794752E-3</v>
      </c>
      <c r="M58">
        <v>1.3377605916234936E-3</v>
      </c>
      <c r="N58">
        <v>0</v>
      </c>
    </row>
    <row r="59" spans="1:14">
      <c r="A59" s="47">
        <f>B59-B48</f>
        <v>2.9619601425902031E-3</v>
      </c>
      <c r="B59">
        <v>0.66277145171705465</v>
      </c>
      <c r="C59">
        <v>1.0893113029663998E-2</v>
      </c>
      <c r="D59">
        <v>0.65452958967861441</v>
      </c>
      <c r="E59">
        <v>0.66277784767108616</v>
      </c>
      <c r="F59">
        <v>0.67095396537224428</v>
      </c>
      <c r="G59">
        <v>2.9346396664293012E-3</v>
      </c>
      <c r="H59">
        <v>1</v>
      </c>
      <c r="I59">
        <v>-8.0878574033497394E-2</v>
      </c>
      <c r="J59">
        <v>-0.12175042686757416</v>
      </c>
      <c r="K59">
        <v>-0.12110237679513787</v>
      </c>
      <c r="L59">
        <v>9.7170381183651636E-2</v>
      </c>
      <c r="M59">
        <v>1</v>
      </c>
      <c r="N59">
        <v>0.99999999999998557</v>
      </c>
    </row>
    <row r="60" spans="1:14">
      <c r="A60" s="47">
        <f t="shared" ref="A60:A66" si="3">B60-B49</f>
        <v>-2.1643080718104692E-3</v>
      </c>
      <c r="B60">
        <v>1.496412147426658E-2</v>
      </c>
      <c r="C60">
        <v>1.2669853605963094E-2</v>
      </c>
      <c r="D60">
        <v>5.5243420343624597E-3</v>
      </c>
      <c r="E60">
        <v>1.1898299441537216E-2</v>
      </c>
      <c r="F60">
        <v>2.1168177922060941E-2</v>
      </c>
      <c r="G60">
        <v>-5.2932637535405228E-3</v>
      </c>
      <c r="H60">
        <v>-0.54373195130599583</v>
      </c>
      <c r="I60">
        <v>1</v>
      </c>
      <c r="J60">
        <v>-0.2944813841498275</v>
      </c>
      <c r="K60">
        <v>-0.20665029024610335</v>
      </c>
      <c r="L60">
        <v>-7.2236140941206839E-2</v>
      </c>
      <c r="M60">
        <v>0.30723715536643809</v>
      </c>
      <c r="N60">
        <v>0.9999999999999819</v>
      </c>
    </row>
    <row r="61" spans="1:14">
      <c r="A61" s="47">
        <f t="shared" si="3"/>
        <v>-1.1000058625099292E-3</v>
      </c>
      <c r="B61">
        <v>1.33138972447201E-2</v>
      </c>
      <c r="C61">
        <v>1.1718545208646952E-2</v>
      </c>
      <c r="D61">
        <v>4.4862526902848168E-3</v>
      </c>
      <c r="E61">
        <v>9.8778698285787482E-3</v>
      </c>
      <c r="F61">
        <v>1.869017831942562E-2</v>
      </c>
      <c r="G61">
        <v>1.6969104190066059E-2</v>
      </c>
      <c r="H61">
        <v>-0.35400103700169228</v>
      </c>
      <c r="I61">
        <v>-7.3031593045177562E-2</v>
      </c>
      <c r="J61">
        <v>1</v>
      </c>
      <c r="K61">
        <v>-0.12214789586207372</v>
      </c>
      <c r="L61">
        <v>-5.5830232954968965E-2</v>
      </c>
      <c r="M61">
        <v>0.28756640576471115</v>
      </c>
      <c r="N61">
        <v>0.99999999999998779</v>
      </c>
    </row>
    <row r="62" spans="1:14">
      <c r="A62" s="47">
        <f t="shared" si="3"/>
        <v>2.61996362356956E-3</v>
      </c>
      <c r="B62">
        <v>0.17395497094172371</v>
      </c>
      <c r="C62">
        <v>5.4472519146250072E-2</v>
      </c>
      <c r="D62">
        <v>0.13393023096110662</v>
      </c>
      <c r="E62">
        <v>0.17402733749204216</v>
      </c>
      <c r="F62">
        <v>0.21433529566097131</v>
      </c>
      <c r="G62">
        <v>1</v>
      </c>
      <c r="H62">
        <v>0.32623005341902794</v>
      </c>
      <c r="I62">
        <v>-4.4811475887200795E-2</v>
      </c>
      <c r="J62">
        <v>-5.4196696785244143E-2</v>
      </c>
      <c r="K62">
        <v>-0.20490421554859806</v>
      </c>
      <c r="L62">
        <v>-0.34681034428604046</v>
      </c>
      <c r="M62">
        <v>-0.69212894460263297</v>
      </c>
      <c r="N62">
        <v>0.99999999999999012</v>
      </c>
    </row>
    <row r="63" spans="1:14">
      <c r="A63" s="47">
        <f t="shared" si="3"/>
        <v>-4.2600491616945346E-5</v>
      </c>
      <c r="B63">
        <v>0.10706555047559994</v>
      </c>
      <c r="C63">
        <v>5.3742310882153976E-2</v>
      </c>
      <c r="D63">
        <v>6.5506166533946059E-2</v>
      </c>
      <c r="E63">
        <v>0.10635323302649513</v>
      </c>
      <c r="F63">
        <v>0.14422879188751198</v>
      </c>
      <c r="G63">
        <v>-0.98627018679338152</v>
      </c>
      <c r="H63">
        <v>0.34652266522216818</v>
      </c>
      <c r="I63">
        <v>-3.5564707239639538E-2</v>
      </c>
      <c r="J63">
        <v>-2.7201418287524072E-2</v>
      </c>
      <c r="K63">
        <v>-0.20642799001206991</v>
      </c>
      <c r="L63">
        <v>-0.35789219220114521</v>
      </c>
      <c r="M63">
        <v>-0.69824133509682274</v>
      </c>
      <c r="N63">
        <v>0.99999999999999034</v>
      </c>
    </row>
    <row r="64" spans="1:14">
      <c r="A64" s="47">
        <f t="shared" si="3"/>
        <v>-1.5742818974421192E-4</v>
      </c>
      <c r="B64">
        <v>4.0772364076044473E-3</v>
      </c>
      <c r="C64">
        <v>4.446101445878493E-3</v>
      </c>
      <c r="D64">
        <v>7.2483330164676749E-4</v>
      </c>
      <c r="E64">
        <v>2.5369110656921299E-3</v>
      </c>
      <c r="F64">
        <v>5.7398777138017278E-3</v>
      </c>
      <c r="G64">
        <v>-7.8904905109211266E-3</v>
      </c>
      <c r="H64">
        <v>4.8011145219475117E-3</v>
      </c>
      <c r="I64">
        <v>-2.0593203956779119E-2</v>
      </c>
      <c r="J64">
        <v>-3.0267208276106187E-2</v>
      </c>
      <c r="K64">
        <v>-1.291452529806066E-3</v>
      </c>
      <c r="L64">
        <v>1</v>
      </c>
      <c r="M64">
        <v>-0.51960542641732477</v>
      </c>
      <c r="N64">
        <v>1</v>
      </c>
    </row>
    <row r="65" spans="1:14">
      <c r="A65" s="47">
        <f t="shared" si="3"/>
        <v>-1.9758675110649031E-3</v>
      </c>
      <c r="B65">
        <v>1.5359149081788362E-2</v>
      </c>
      <c r="C65">
        <v>1.2951826876624177E-2</v>
      </c>
      <c r="D65">
        <v>5.0526120668521208E-3</v>
      </c>
      <c r="E65">
        <v>1.2270549320150655E-2</v>
      </c>
      <c r="F65">
        <v>2.3004141859613837E-2</v>
      </c>
      <c r="G65">
        <v>-2.029435178303737E-2</v>
      </c>
      <c r="H65">
        <v>-0.77689958896319411</v>
      </c>
      <c r="I65">
        <v>-0.80573608998067048</v>
      </c>
      <c r="J65">
        <v>-0.4412335513225541</v>
      </c>
      <c r="K65">
        <v>-0.13747577900621571</v>
      </c>
      <c r="L65">
        <v>-9.73835725561122E-2</v>
      </c>
      <c r="M65">
        <v>0.33590273838691592</v>
      </c>
      <c r="N65">
        <v>0.99999999999998845</v>
      </c>
    </row>
    <row r="66" spans="1:14">
      <c r="A66" s="47">
        <f t="shared" si="3"/>
        <v>-1.4171363941333642E-4</v>
      </c>
      <c r="B66">
        <v>8.4936226572424074E-3</v>
      </c>
      <c r="C66">
        <v>7.884988646555454E-3</v>
      </c>
      <c r="D66">
        <v>2.1846912125513818E-3</v>
      </c>
      <c r="E66">
        <v>6.5645918498636966E-3</v>
      </c>
      <c r="F66">
        <v>1.2384235430753933E-2</v>
      </c>
      <c r="G66">
        <v>-1.5545101561492586E-4</v>
      </c>
      <c r="H66">
        <v>-2.9212558922629968E-3</v>
      </c>
      <c r="I66">
        <v>6.0615644142971659E-2</v>
      </c>
      <c r="J66">
        <v>-3.0869314311170348E-2</v>
      </c>
      <c r="K66">
        <v>1</v>
      </c>
      <c r="L66">
        <v>-0.16701789824418775</v>
      </c>
      <c r="M66">
        <v>-2.0730593401270141E-2</v>
      </c>
      <c r="N66">
        <v>0.99999999999999289</v>
      </c>
    </row>
    <row r="69" spans="1:14">
      <c r="G69">
        <v>0.90037962872511845</v>
      </c>
      <c r="H69">
        <v>4.0781262325809808E-2</v>
      </c>
      <c r="I69">
        <v>2.8082689681361406E-2</v>
      </c>
      <c r="J69">
        <v>1.7416384280047659E-2</v>
      </c>
      <c r="K69">
        <v>9.586588345295799E-3</v>
      </c>
      <c r="L69">
        <v>2.4029051398192225E-3</v>
      </c>
      <c r="M69">
        <v>1.3505415025480971E-3</v>
      </c>
      <c r="N69">
        <v>0</v>
      </c>
    </row>
    <row r="70" spans="1:14">
      <c r="A70" s="47">
        <f>B70-B59</f>
        <v>1.0268516850366893E-3</v>
      </c>
      <c r="B70">
        <v>0.66379830340209134</v>
      </c>
      <c r="C70">
        <v>1.1278131075058912E-2</v>
      </c>
      <c r="D70">
        <v>0.65566250518507085</v>
      </c>
      <c r="E70">
        <v>0.6638878692594431</v>
      </c>
      <c r="F70">
        <v>0.67225544264049963</v>
      </c>
      <c r="G70">
        <v>-2.4815369224963489E-2</v>
      </c>
      <c r="H70">
        <v>-0.75658122932546523</v>
      </c>
      <c r="I70">
        <v>-0.41004767452951707</v>
      </c>
      <c r="J70">
        <v>-0.20872163893287407</v>
      </c>
      <c r="K70">
        <v>-0.13359472651262747</v>
      </c>
      <c r="L70">
        <v>7.353089207545789E-2</v>
      </c>
      <c r="M70">
        <v>1</v>
      </c>
      <c r="N70">
        <v>1</v>
      </c>
    </row>
    <row r="71" spans="1:14">
      <c r="A71" s="47">
        <f t="shared" ref="A71:A77" si="4">B71-B60</f>
        <v>-5.301730646054912E-4</v>
      </c>
      <c r="B71">
        <v>1.4433948409661088E-2</v>
      </c>
      <c r="C71">
        <v>1.2334245587209726E-2</v>
      </c>
      <c r="D71">
        <v>5.0679088714952469E-3</v>
      </c>
      <c r="E71">
        <v>1.1256039633605455E-2</v>
      </c>
      <c r="F71">
        <v>2.0797402354917668E-2</v>
      </c>
      <c r="G71">
        <v>1.7179146003296404E-2</v>
      </c>
      <c r="H71">
        <v>0.18068472018054677</v>
      </c>
      <c r="I71">
        <v>1</v>
      </c>
      <c r="J71">
        <v>-0.50765724109228316</v>
      </c>
      <c r="K71">
        <v>-0.11560241361707507</v>
      </c>
      <c r="L71">
        <v>-9.5046838950557003E-2</v>
      </c>
      <c r="M71">
        <v>0.31337997852178195</v>
      </c>
      <c r="N71">
        <v>0.99999999999999889</v>
      </c>
    </row>
    <row r="72" spans="1:14">
      <c r="A72" s="47">
        <f t="shared" si="4"/>
        <v>-1.9995389588409185E-3</v>
      </c>
      <c r="B72">
        <v>1.1314358285879181E-2</v>
      </c>
      <c r="C72">
        <v>1.0237211422558474E-2</v>
      </c>
      <c r="D72">
        <v>3.1326547233925528E-3</v>
      </c>
      <c r="E72">
        <v>8.2910049512792683E-3</v>
      </c>
      <c r="F72">
        <v>1.6643667970519353E-2</v>
      </c>
      <c r="G72">
        <v>1.1955118456016434E-2</v>
      </c>
      <c r="H72">
        <v>8.3150225413734749E-2</v>
      </c>
      <c r="I72">
        <v>0.27565190033600573</v>
      </c>
      <c r="J72">
        <v>1</v>
      </c>
      <c r="K72">
        <v>-0.26780400844748814</v>
      </c>
      <c r="L72">
        <v>-9.1996766415414752E-2</v>
      </c>
      <c r="M72">
        <v>0.27920830467099261</v>
      </c>
      <c r="N72">
        <v>0.99999999999999289</v>
      </c>
    </row>
    <row r="73" spans="1:14">
      <c r="A73" s="47">
        <f t="shared" si="4"/>
        <v>-4.5390129162536375E-3</v>
      </c>
      <c r="B73">
        <v>0.16941595802547008</v>
      </c>
      <c r="C73">
        <v>5.6700778775676072E-2</v>
      </c>
      <c r="D73">
        <v>0.13023972858595081</v>
      </c>
      <c r="E73">
        <v>0.17183113209904055</v>
      </c>
      <c r="F73">
        <v>0.2100657645243249</v>
      </c>
      <c r="G73">
        <v>1</v>
      </c>
      <c r="H73">
        <v>-0.23084913784635552</v>
      </c>
      <c r="I73">
        <v>-0.173392912129614</v>
      </c>
      <c r="J73">
        <v>-0.11018910312772678</v>
      </c>
      <c r="K73">
        <v>-0.19380746866095747</v>
      </c>
      <c r="L73">
        <v>-0.32723220358865557</v>
      </c>
      <c r="M73">
        <v>-0.71694870308614111</v>
      </c>
      <c r="N73">
        <v>0.99999999999998579</v>
      </c>
    </row>
    <row r="74" spans="1:14">
      <c r="A74" s="47">
        <f t="shared" si="4"/>
        <v>6.1016042488165334E-3</v>
      </c>
      <c r="B74">
        <v>0.11316715472441648</v>
      </c>
      <c r="C74">
        <v>5.6361239440599301E-2</v>
      </c>
      <c r="D74">
        <v>7.23513510318817E-2</v>
      </c>
      <c r="E74">
        <v>0.10992910230667681</v>
      </c>
      <c r="F74">
        <v>0.15277829355105133</v>
      </c>
      <c r="G74">
        <v>-0.99433717669939758</v>
      </c>
      <c r="H74">
        <v>-0.21923744511924848</v>
      </c>
      <c r="I74">
        <v>-0.13777138183409512</v>
      </c>
      <c r="J74">
        <v>-9.960166205559913E-2</v>
      </c>
      <c r="K74">
        <v>-0.18888938543327602</v>
      </c>
      <c r="L74">
        <v>-0.34119722603791575</v>
      </c>
      <c r="M74">
        <v>-0.73721717168510392</v>
      </c>
      <c r="N74">
        <v>0.99999999999998634</v>
      </c>
    </row>
    <row r="75" spans="1:14">
      <c r="A75" s="47">
        <f t="shared" si="4"/>
        <v>-5.4083635628068838E-4</v>
      </c>
      <c r="B75">
        <v>3.5364000513237589E-3</v>
      </c>
      <c r="C75">
        <v>3.8196359378838756E-3</v>
      </c>
      <c r="D75">
        <v>7.1953306051924571E-4</v>
      </c>
      <c r="E75">
        <v>2.1031042281085847E-3</v>
      </c>
      <c r="F75">
        <v>4.9898166228379455E-3</v>
      </c>
      <c r="G75">
        <v>-6.6509308094418679E-3</v>
      </c>
      <c r="H75">
        <v>-3.5175787234360982E-2</v>
      </c>
      <c r="I75">
        <v>2.4937752613793E-2</v>
      </c>
      <c r="J75">
        <v>2.6296615175975878E-3</v>
      </c>
      <c r="K75">
        <v>2.1038242183461012E-2</v>
      </c>
      <c r="L75">
        <v>1</v>
      </c>
      <c r="M75">
        <v>-0.48827956493645014</v>
      </c>
      <c r="N75">
        <v>0.9999999999999849</v>
      </c>
    </row>
    <row r="76" spans="1:14">
      <c r="A76" s="47">
        <f t="shared" si="4"/>
        <v>1.1979581674028562E-3</v>
      </c>
      <c r="B76">
        <v>1.6557107249191218E-2</v>
      </c>
      <c r="C76">
        <v>1.4635211334701118E-2</v>
      </c>
      <c r="D76">
        <v>5.0397979293565608E-3</v>
      </c>
      <c r="E76">
        <v>1.2850948916700838E-2</v>
      </c>
      <c r="F76">
        <v>2.4922878267976716E-2</v>
      </c>
      <c r="G76">
        <v>-1.0104710935222135E-2</v>
      </c>
      <c r="H76">
        <v>1</v>
      </c>
      <c r="I76">
        <v>-0.58311252235173616</v>
      </c>
      <c r="J76">
        <v>-0.19393669568068514</v>
      </c>
      <c r="K76">
        <v>-0.12134023951203711</v>
      </c>
      <c r="L76">
        <v>-3.8658764405036287E-2</v>
      </c>
      <c r="M76">
        <v>0.33280872283735652</v>
      </c>
      <c r="N76">
        <v>0.99999999999999412</v>
      </c>
    </row>
    <row r="77" spans="1:14">
      <c r="A77" s="47">
        <f t="shared" si="4"/>
        <v>-7.1685280527500946E-4</v>
      </c>
      <c r="B77">
        <v>7.7767698519673979E-3</v>
      </c>
      <c r="C77">
        <v>7.6635037128138976E-3</v>
      </c>
      <c r="D77">
        <v>2.149342131321006E-3</v>
      </c>
      <c r="E77">
        <v>5.5026354931756727E-3</v>
      </c>
      <c r="F77">
        <v>1.1231869165494649E-2</v>
      </c>
      <c r="G77">
        <v>6.7739232097123398E-3</v>
      </c>
      <c r="H77">
        <v>-2.1991346068851149E-2</v>
      </c>
      <c r="I77">
        <v>3.7348378951596217E-3</v>
      </c>
      <c r="J77">
        <v>0.11747667937157409</v>
      </c>
      <c r="K77">
        <v>1</v>
      </c>
      <c r="L77">
        <v>-0.1793990926778754</v>
      </c>
      <c r="M77">
        <v>1.7048433677541219E-2</v>
      </c>
      <c r="N77">
        <v>0.99999999999999245</v>
      </c>
    </row>
    <row r="80" spans="1:14">
      <c r="G80">
        <v>0.90652576318536027</v>
      </c>
      <c r="H80">
        <v>3.1782495682611711E-2</v>
      </c>
      <c r="I80">
        <v>2.7480049279176133E-2</v>
      </c>
      <c r="J80">
        <v>2.069562442765005E-2</v>
      </c>
      <c r="K80">
        <v>9.0119062562338259E-3</v>
      </c>
      <c r="L80">
        <v>2.9799817458542321E-3</v>
      </c>
      <c r="M80">
        <v>1.5241794231102279E-3</v>
      </c>
      <c r="N80">
        <v>0</v>
      </c>
    </row>
    <row r="81" spans="1:14">
      <c r="A81" s="47">
        <f>B81-B70</f>
        <v>6.6691662891815717E-4</v>
      </c>
      <c r="B81">
        <v>0.6644652200310095</v>
      </c>
      <c r="C81">
        <v>1.0523457158363189E-2</v>
      </c>
      <c r="D81">
        <v>0.65667994024930576</v>
      </c>
      <c r="E81">
        <v>0.66428607685433716</v>
      </c>
      <c r="F81">
        <v>0.67156274586994602</v>
      </c>
      <c r="G81">
        <v>2.3239061859177929E-2</v>
      </c>
      <c r="H81">
        <v>1</v>
      </c>
      <c r="I81">
        <v>-0.33327068770071711</v>
      </c>
      <c r="J81">
        <v>4.4489675666876741E-2</v>
      </c>
      <c r="K81">
        <v>-0.13461146308290112</v>
      </c>
      <c r="L81">
        <v>0.2671009088203275</v>
      </c>
      <c r="M81">
        <v>1</v>
      </c>
      <c r="N81">
        <v>1</v>
      </c>
    </row>
    <row r="82" spans="1:14">
      <c r="A82" s="47">
        <f t="shared" ref="A82:A88" si="5">B82-B71</f>
        <v>-2.5855417145364927E-4</v>
      </c>
      <c r="B82">
        <v>1.4175394238207439E-2</v>
      </c>
      <c r="C82">
        <v>1.1620492561965205E-2</v>
      </c>
      <c r="D82">
        <v>4.9835644583133545E-3</v>
      </c>
      <c r="E82">
        <v>1.121773165735784E-2</v>
      </c>
      <c r="F82">
        <v>2.0295812290431051E-2</v>
      </c>
      <c r="G82">
        <v>-1.6043221864853636E-2</v>
      </c>
      <c r="H82">
        <v>-0.505613505422152</v>
      </c>
      <c r="I82">
        <v>0.46112763445257221</v>
      </c>
      <c r="J82">
        <v>1</v>
      </c>
      <c r="K82">
        <v>-0.13854608366881327</v>
      </c>
      <c r="L82">
        <v>-2.4951338981613128E-2</v>
      </c>
      <c r="M82">
        <v>0.34333496883207998</v>
      </c>
      <c r="N82">
        <v>0.99999999999998634</v>
      </c>
    </row>
    <row r="83" spans="1:14">
      <c r="A83" s="47">
        <f t="shared" si="5"/>
        <v>1.4774511001103812E-3</v>
      </c>
      <c r="B83">
        <v>1.2791809385989563E-2</v>
      </c>
      <c r="C83">
        <v>1.2028160679395109E-2</v>
      </c>
      <c r="D83">
        <v>3.5529645982723974E-3</v>
      </c>
      <c r="E83">
        <v>9.2061210722992597E-3</v>
      </c>
      <c r="F83">
        <v>1.8374281476759298E-2</v>
      </c>
      <c r="G83">
        <v>-7.2778206666685762E-3</v>
      </c>
      <c r="H83">
        <v>-0.16283103826008993</v>
      </c>
      <c r="I83">
        <v>1</v>
      </c>
      <c r="J83">
        <v>-0.72201579242731628</v>
      </c>
      <c r="K83">
        <v>-0.19780353137849535</v>
      </c>
      <c r="L83">
        <v>-4.4763801008192855E-2</v>
      </c>
      <c r="M83">
        <v>0.30770766289004664</v>
      </c>
      <c r="N83">
        <v>0.99999999999998457</v>
      </c>
    </row>
    <row r="84" spans="1:14">
      <c r="A84" s="47">
        <f t="shared" si="5"/>
        <v>6.1220812794517132E-3</v>
      </c>
      <c r="B84">
        <v>0.17553803930492179</v>
      </c>
      <c r="C84">
        <v>5.6699431715519957E-2</v>
      </c>
      <c r="D84">
        <v>0.13563635118322814</v>
      </c>
      <c r="E84">
        <v>0.18107484532360185</v>
      </c>
      <c r="F84">
        <v>0.21890690321997019</v>
      </c>
      <c r="G84">
        <v>-0.99796572896587155</v>
      </c>
      <c r="H84">
        <v>0.33150062145246739</v>
      </c>
      <c r="I84">
        <v>-0.15728139143183725</v>
      </c>
      <c r="J84">
        <v>2.4476317784102787E-2</v>
      </c>
      <c r="K84">
        <v>-0.201325879255768</v>
      </c>
      <c r="L84">
        <v>-0.48844131200876251</v>
      </c>
      <c r="M84">
        <v>-0.62673464154089775</v>
      </c>
      <c r="N84">
        <v>0.99999999999996003</v>
      </c>
    </row>
    <row r="85" spans="1:14">
      <c r="A85" s="47">
        <f t="shared" si="5"/>
        <v>-5.8439817885032885E-3</v>
      </c>
      <c r="B85">
        <v>0.10732317293591319</v>
      </c>
      <c r="C85">
        <v>5.6793331073690806E-2</v>
      </c>
      <c r="D85">
        <v>6.5974287057055631E-2</v>
      </c>
      <c r="E85">
        <v>0.10371894299077951</v>
      </c>
      <c r="F85">
        <v>0.14866431831591387</v>
      </c>
      <c r="G85">
        <v>1</v>
      </c>
      <c r="H85">
        <v>0.29701999129024498</v>
      </c>
      <c r="I85">
        <v>-0.13573687545775417</v>
      </c>
      <c r="J85">
        <v>3.3824176987370856E-2</v>
      </c>
      <c r="K85">
        <v>-0.20408845094929517</v>
      </c>
      <c r="L85">
        <v>-0.49072093098964004</v>
      </c>
      <c r="M85">
        <v>-0.64326531244233931</v>
      </c>
      <c r="N85">
        <v>0.9999999999999597</v>
      </c>
    </row>
    <row r="86" spans="1:14">
      <c r="A86" s="47">
        <f t="shared" si="5"/>
        <v>1.4436978452643176E-4</v>
      </c>
      <c r="B86">
        <v>3.6807698358501907E-3</v>
      </c>
      <c r="C86">
        <v>4.0174828848270191E-3</v>
      </c>
      <c r="D86">
        <v>6.8609562078284837E-4</v>
      </c>
      <c r="E86">
        <v>2.4706668839542707E-3</v>
      </c>
      <c r="F86">
        <v>5.3053868711733449E-3</v>
      </c>
      <c r="G86">
        <v>-3.0335503058033226E-3</v>
      </c>
      <c r="H86">
        <v>3.1654143951923758E-2</v>
      </c>
      <c r="I86">
        <v>1.5785492703602379E-2</v>
      </c>
      <c r="J86">
        <v>3.4050367217892041E-3</v>
      </c>
      <c r="K86">
        <v>6.3675316559714729E-2</v>
      </c>
      <c r="L86">
        <v>1</v>
      </c>
      <c r="M86">
        <v>-0.84753748334077639</v>
      </c>
      <c r="N86">
        <v>0.99999999999997558</v>
      </c>
    </row>
    <row r="87" spans="1:14">
      <c r="A87" s="47">
        <f t="shared" si="5"/>
        <v>-2.1562305781302731E-3</v>
      </c>
      <c r="B87">
        <v>1.4400876671060945E-2</v>
      </c>
      <c r="C87">
        <v>1.2897745711236632E-2</v>
      </c>
      <c r="D87">
        <v>4.3613327505395826E-3</v>
      </c>
      <c r="E87">
        <v>1.1101519432553381E-2</v>
      </c>
      <c r="F87">
        <v>2.08815188348426E-2</v>
      </c>
      <c r="G87">
        <v>-1.4739033904778221E-3</v>
      </c>
      <c r="H87">
        <v>-0.96809976914478202</v>
      </c>
      <c r="I87">
        <v>-0.84821095378237432</v>
      </c>
      <c r="J87">
        <v>-0.33480257668864039</v>
      </c>
      <c r="K87">
        <v>-0.18729990822444573</v>
      </c>
      <c r="L87">
        <v>1.709310843413234E-2</v>
      </c>
      <c r="M87">
        <v>0.35959210329038716</v>
      </c>
      <c r="N87">
        <v>0.9999999999999839</v>
      </c>
    </row>
    <row r="88" spans="1:14">
      <c r="A88" s="47">
        <f t="shared" si="5"/>
        <v>-1.5205225492060694E-4</v>
      </c>
      <c r="B88">
        <v>7.624717597046791E-3</v>
      </c>
      <c r="C88">
        <v>7.3643675938998426E-3</v>
      </c>
      <c r="D88">
        <v>1.9140814209826556E-3</v>
      </c>
      <c r="E88">
        <v>5.407222112334787E-3</v>
      </c>
      <c r="F88">
        <v>1.1465567357489114E-2</v>
      </c>
      <c r="G88">
        <v>2.5551633344974415E-3</v>
      </c>
      <c r="H88">
        <v>-2.3630443867610738E-2</v>
      </c>
      <c r="I88">
        <v>-2.4132187834926323E-3</v>
      </c>
      <c r="J88">
        <v>-4.9376838044183358E-2</v>
      </c>
      <c r="K88">
        <v>1</v>
      </c>
      <c r="L88">
        <v>-0.23531663426627086</v>
      </c>
      <c r="M88">
        <v>0.1069027023114464</v>
      </c>
      <c r="N88">
        <v>0.99999999999998035</v>
      </c>
    </row>
    <row r="91" spans="1:14">
      <c r="G91">
        <v>0.9196004939738871</v>
      </c>
      <c r="H91">
        <v>3.1091708153727193E-2</v>
      </c>
      <c r="I91">
        <v>2.2345981085626132E-2</v>
      </c>
      <c r="J91">
        <v>1.658986305302923E-2</v>
      </c>
      <c r="K91">
        <v>6.5423842486427297E-3</v>
      </c>
      <c r="L91">
        <v>2.4484015277256299E-3</v>
      </c>
      <c r="M91">
        <v>1.3811679573590974E-3</v>
      </c>
      <c r="N91">
        <v>0</v>
      </c>
    </row>
    <row r="92" spans="1:14">
      <c r="A92" s="47">
        <f>B92-B81</f>
        <v>2.3322437786981176E-3</v>
      </c>
      <c r="B92">
        <v>0.66679746380970761</v>
      </c>
      <c r="C92">
        <v>1.0634071714350605E-2</v>
      </c>
      <c r="D92">
        <v>0.65893635136578665</v>
      </c>
      <c r="E92">
        <v>0.66665470711273023</v>
      </c>
      <c r="F92">
        <v>0.67481013500973885</v>
      </c>
      <c r="G92">
        <v>-4.4978542247846916E-3</v>
      </c>
      <c r="H92">
        <v>1</v>
      </c>
      <c r="I92">
        <v>-0.12959736433602995</v>
      </c>
      <c r="J92">
        <v>-0.19049911789223489</v>
      </c>
      <c r="K92">
        <v>-0.13958900691768686</v>
      </c>
      <c r="L92">
        <v>0.30763564103254709</v>
      </c>
      <c r="M92">
        <v>1</v>
      </c>
      <c r="N92">
        <v>1</v>
      </c>
    </row>
    <row r="93" spans="1:14">
      <c r="A93" s="47">
        <f t="shared" ref="A93:A99" si="6">B93-B82</f>
        <v>-1.324658007042857E-3</v>
      </c>
      <c r="B93">
        <v>1.2850736231164582E-2</v>
      </c>
      <c r="C93">
        <v>1.1939297315078812E-2</v>
      </c>
      <c r="D93">
        <v>3.8919307315978865E-3</v>
      </c>
      <c r="E93">
        <v>9.6892543866120319E-3</v>
      </c>
      <c r="F93">
        <v>1.7882409222482028E-2</v>
      </c>
      <c r="G93">
        <v>7.9548536154738243E-3</v>
      </c>
      <c r="H93">
        <v>-0.54606259832863224</v>
      </c>
      <c r="I93">
        <v>1</v>
      </c>
      <c r="J93">
        <v>-0.34479531524866203</v>
      </c>
      <c r="K93">
        <v>-0.17800491489645831</v>
      </c>
      <c r="L93">
        <v>2.0559700855723881E-2</v>
      </c>
      <c r="M93">
        <v>0.35013019648855109</v>
      </c>
      <c r="N93">
        <v>0.99999999999997413</v>
      </c>
    </row>
    <row r="94" spans="1:14">
      <c r="A94" s="47">
        <f t="shared" si="6"/>
        <v>-1.4455668161976829E-3</v>
      </c>
      <c r="B94">
        <v>1.134624256979188E-2</v>
      </c>
      <c r="C94">
        <v>1.0216464211627436E-2</v>
      </c>
      <c r="D94">
        <v>3.3047353980753167E-3</v>
      </c>
      <c r="E94">
        <v>8.8409294070516987E-3</v>
      </c>
      <c r="F94">
        <v>1.6364054759037037E-2</v>
      </c>
      <c r="G94">
        <v>8.2737087078601033E-3</v>
      </c>
      <c r="H94">
        <v>-0.2137814829728818</v>
      </c>
      <c r="I94">
        <v>3.3903083745464968E-2</v>
      </c>
      <c r="J94">
        <v>1</v>
      </c>
      <c r="K94">
        <v>-0.23744399191587895</v>
      </c>
      <c r="L94">
        <v>-5.9405803918114217E-2</v>
      </c>
      <c r="M94">
        <v>0.30895276548295619</v>
      </c>
      <c r="N94">
        <v>0.99999999999997191</v>
      </c>
    </row>
    <row r="95" spans="1:14">
      <c r="A95" s="47">
        <f t="shared" si="6"/>
        <v>2.3133591749518734E-3</v>
      </c>
      <c r="B95">
        <v>0.17785139847987366</v>
      </c>
      <c r="C95">
        <v>5.9324796587890125E-2</v>
      </c>
      <c r="D95">
        <v>0.13632614267401344</v>
      </c>
      <c r="E95">
        <v>0.17883434470327655</v>
      </c>
      <c r="F95">
        <v>0.22611425011737352</v>
      </c>
      <c r="G95">
        <v>1</v>
      </c>
      <c r="H95">
        <v>0.31190716116536316</v>
      </c>
      <c r="I95">
        <v>-5.3524920565719961E-2</v>
      </c>
      <c r="J95">
        <v>-0.11282769274807448</v>
      </c>
      <c r="K95">
        <v>-0.16152009481758137</v>
      </c>
      <c r="L95">
        <v>-0.53469796595857566</v>
      </c>
      <c r="M95">
        <v>-0.62100503903470694</v>
      </c>
      <c r="N95">
        <v>0.99999999999992784</v>
      </c>
    </row>
    <row r="96" spans="1:14">
      <c r="A96" s="47">
        <f t="shared" si="6"/>
        <v>3.3679965184219007E-5</v>
      </c>
      <c r="B96">
        <v>0.10735685290109741</v>
      </c>
      <c r="C96">
        <v>5.8651759068872697E-2</v>
      </c>
      <c r="D96">
        <v>6.1553398445117175E-2</v>
      </c>
      <c r="E96">
        <v>0.10632352379282725</v>
      </c>
      <c r="F96">
        <v>0.14836964677726922</v>
      </c>
      <c r="G96">
        <v>-0.98856031299562375</v>
      </c>
      <c r="H96">
        <v>0.31884410198595836</v>
      </c>
      <c r="I96">
        <v>-3.1330247489240008E-2</v>
      </c>
      <c r="J96">
        <v>-0.1022750405464528</v>
      </c>
      <c r="K96">
        <v>-0.16365493974353007</v>
      </c>
      <c r="L96">
        <v>-0.54971391354664456</v>
      </c>
      <c r="M96">
        <v>-0.62675350246412032</v>
      </c>
      <c r="N96">
        <v>0.99999999999992673</v>
      </c>
    </row>
    <row r="97" spans="1:14">
      <c r="A97" s="47">
        <f t="shared" si="6"/>
        <v>-3.0710093967411525E-4</v>
      </c>
      <c r="B97">
        <v>3.3736688961760754E-3</v>
      </c>
      <c r="C97">
        <v>3.7602925497537661E-3</v>
      </c>
      <c r="D97">
        <v>5.2560666571426352E-4</v>
      </c>
      <c r="E97">
        <v>2.2560194725537988E-3</v>
      </c>
      <c r="F97">
        <v>4.9589627888797817E-3</v>
      </c>
      <c r="G97">
        <v>-7.3422883555342216E-3</v>
      </c>
      <c r="H97">
        <v>8.8394098921637399E-3</v>
      </c>
      <c r="I97">
        <v>-3.742537100120219E-2</v>
      </c>
      <c r="J97">
        <v>1.1747312397020733E-2</v>
      </c>
      <c r="K97">
        <v>1.3027491308825639E-2</v>
      </c>
      <c r="L97">
        <v>1</v>
      </c>
      <c r="M97">
        <v>-0.94159325927340465</v>
      </c>
      <c r="N97">
        <v>0.99999999999995992</v>
      </c>
    </row>
    <row r="98" spans="1:14">
      <c r="A98" s="47">
        <f t="shared" si="6"/>
        <v>-5.6136767690989804E-4</v>
      </c>
      <c r="B98">
        <v>1.3839508994151047E-2</v>
      </c>
      <c r="C98">
        <v>1.2489941235186933E-2</v>
      </c>
      <c r="D98">
        <v>3.9963175579522305E-3</v>
      </c>
      <c r="E98">
        <v>1.027911130398625E-2</v>
      </c>
      <c r="F98">
        <v>2.1134875798120303E-2</v>
      </c>
      <c r="G98">
        <v>-1.6254884155526894E-2</v>
      </c>
      <c r="H98">
        <v>-0.85964395567818619</v>
      </c>
      <c r="I98">
        <v>-0.8268826312875398</v>
      </c>
      <c r="J98">
        <v>-0.33166285118925443</v>
      </c>
      <c r="K98">
        <v>-0.1328145430176966</v>
      </c>
      <c r="L98">
        <v>-2.4292620506835599E-2</v>
      </c>
      <c r="M98">
        <v>0.39336135143781786</v>
      </c>
      <c r="N98">
        <v>0.9999999999999738</v>
      </c>
    </row>
    <row r="99" spans="1:14">
      <c r="A99" s="47">
        <f t="shared" si="6"/>
        <v>-1.0405894790094568E-3</v>
      </c>
      <c r="B99">
        <v>6.5841281180373341E-3</v>
      </c>
      <c r="C99">
        <v>6.5485434254020335E-3</v>
      </c>
      <c r="D99">
        <v>1.4243753929466039E-3</v>
      </c>
      <c r="E99">
        <v>4.821312907730713E-3</v>
      </c>
      <c r="F99">
        <v>9.2501788579011229E-3</v>
      </c>
      <c r="G99">
        <v>4.2677740813544448E-4</v>
      </c>
      <c r="H99">
        <v>-2.0102636063782341E-2</v>
      </c>
      <c r="I99">
        <v>4.485745093426622E-2</v>
      </c>
      <c r="J99">
        <v>7.0312705227654926E-2</v>
      </c>
      <c r="K99">
        <v>1</v>
      </c>
      <c r="L99">
        <v>-0.1600850379581466</v>
      </c>
      <c r="M99">
        <v>0.13690748736281186</v>
      </c>
      <c r="N99">
        <v>0.99999999999996847</v>
      </c>
    </row>
    <row r="102" spans="1:14">
      <c r="G102">
        <v>0.92760144726432603</v>
      </c>
      <c r="H102">
        <v>2.8035165451980038E-2</v>
      </c>
      <c r="I102">
        <v>1.9105604003524457E-2</v>
      </c>
      <c r="J102">
        <v>1.5760183647361092E-2</v>
      </c>
      <c r="K102">
        <v>5.6965069918489819E-3</v>
      </c>
      <c r="L102">
        <v>2.4915953578547034E-3</v>
      </c>
      <c r="M102">
        <v>1.3094972831024787E-3</v>
      </c>
      <c r="N102">
        <v>0</v>
      </c>
    </row>
    <row r="103" spans="1:14">
      <c r="A103" s="47">
        <f>B103-B92</f>
        <v>8.5371666540157154E-4</v>
      </c>
      <c r="B103">
        <v>0.66765118047510918</v>
      </c>
      <c r="C103">
        <v>1.0013780214724361E-2</v>
      </c>
      <c r="D103">
        <v>0.66036117098084324</v>
      </c>
      <c r="E103">
        <v>0.66715444995450324</v>
      </c>
      <c r="F103">
        <v>0.67483041200259652</v>
      </c>
      <c r="G103">
        <v>-1.0247992866858522E-2</v>
      </c>
      <c r="H103">
        <v>1</v>
      </c>
      <c r="I103">
        <v>-3.4736003440213256E-2</v>
      </c>
      <c r="J103">
        <v>-0.25124560192715883</v>
      </c>
      <c r="K103">
        <v>-0.21536028313788405</v>
      </c>
      <c r="L103">
        <v>0.15896772899236256</v>
      </c>
      <c r="M103">
        <v>1</v>
      </c>
      <c r="N103">
        <v>0.99999999999997025</v>
      </c>
    </row>
    <row r="104" spans="1:14">
      <c r="A104" s="47">
        <f t="shared" ref="A104:A110" si="7">B104-B93</f>
        <v>-5.3433570885740023E-4</v>
      </c>
      <c r="B104">
        <v>1.2316400522307182E-2</v>
      </c>
      <c r="C104">
        <v>1.1218724702692343E-2</v>
      </c>
      <c r="D104">
        <v>3.8774712899412823E-3</v>
      </c>
      <c r="E104">
        <v>9.282810493202176E-3</v>
      </c>
      <c r="F104">
        <v>1.6943977272672467E-2</v>
      </c>
      <c r="G104">
        <v>1.3079747496511883E-2</v>
      </c>
      <c r="H104">
        <v>-0.67069127844039256</v>
      </c>
      <c r="I104">
        <v>1</v>
      </c>
      <c r="J104">
        <v>-0.1682648915129592</v>
      </c>
      <c r="K104">
        <v>-0.18039265649263966</v>
      </c>
      <c r="L104">
        <v>-3.9940839150652468E-2</v>
      </c>
      <c r="M104">
        <v>0.37374194838777292</v>
      </c>
      <c r="N104">
        <v>0.99999999999997402</v>
      </c>
    </row>
    <row r="105" spans="1:14">
      <c r="A105" s="47">
        <f t="shared" si="7"/>
        <v>-6.9604621957038322E-4</v>
      </c>
      <c r="B105">
        <v>1.0650196350221497E-2</v>
      </c>
      <c r="C105">
        <v>9.8230753512392379E-3</v>
      </c>
      <c r="D105">
        <v>2.9008035786027716E-3</v>
      </c>
      <c r="E105">
        <v>8.0702640224263565E-3</v>
      </c>
      <c r="F105">
        <v>1.568057500199864E-2</v>
      </c>
      <c r="G105">
        <v>-1.5347559841836945E-3</v>
      </c>
      <c r="H105">
        <v>-8.4544843729982888E-2</v>
      </c>
      <c r="I105">
        <v>-0.12472082475463517</v>
      </c>
      <c r="J105">
        <v>1</v>
      </c>
      <c r="K105">
        <v>-0.14182591441265052</v>
      </c>
      <c r="L105">
        <v>-7.6665591398233895E-2</v>
      </c>
      <c r="M105">
        <v>0.2913853216321266</v>
      </c>
      <c r="N105">
        <v>0.99999999999998257</v>
      </c>
    </row>
    <row r="106" spans="1:14">
      <c r="A106" s="47">
        <f t="shared" si="7"/>
        <v>-6.2942058067663731E-4</v>
      </c>
      <c r="B106">
        <v>0.17722197789919703</v>
      </c>
      <c r="C106">
        <v>5.8429188210684213E-2</v>
      </c>
      <c r="D106">
        <v>0.13420664999852475</v>
      </c>
      <c r="E106">
        <v>0.17801299974576593</v>
      </c>
      <c r="F106">
        <v>0.22639655046144852</v>
      </c>
      <c r="G106">
        <v>1</v>
      </c>
      <c r="H106">
        <v>0.27701856312441986</v>
      </c>
      <c r="I106">
        <v>-1.9161765302780583E-2</v>
      </c>
      <c r="J106">
        <v>-0.1061599909777648</v>
      </c>
      <c r="K106">
        <v>-0.18059229423332265</v>
      </c>
      <c r="L106">
        <v>-0.40004275820283197</v>
      </c>
      <c r="M106">
        <v>-0.75190506533754653</v>
      </c>
      <c r="N106">
        <v>0.99999999999999944</v>
      </c>
    </row>
    <row r="107" spans="1:14">
      <c r="A107" s="47">
        <f t="shared" si="7"/>
        <v>1.9443484586095655E-3</v>
      </c>
      <c r="B107">
        <v>0.10930120135970697</v>
      </c>
      <c r="C107">
        <v>5.8116230540794622E-2</v>
      </c>
      <c r="D107">
        <v>6.3810486937088795E-2</v>
      </c>
      <c r="E107">
        <v>0.10870632637070671</v>
      </c>
      <c r="F107">
        <v>0.15097822955775222</v>
      </c>
      <c r="G107">
        <v>-0.99470056695549269</v>
      </c>
      <c r="H107">
        <v>0.26497561552546189</v>
      </c>
      <c r="I107">
        <v>-1.071515909744949E-4</v>
      </c>
      <c r="J107">
        <v>-0.10575515055016628</v>
      </c>
      <c r="K107">
        <v>-0.17922934136001334</v>
      </c>
      <c r="L107">
        <v>-0.40567485517588925</v>
      </c>
      <c r="M107">
        <v>-0.7630272255459557</v>
      </c>
      <c r="N107">
        <v>1</v>
      </c>
    </row>
    <row r="108" spans="1:14">
      <c r="A108" s="47">
        <f t="shared" si="7"/>
        <v>-1.0692012506950069E-4</v>
      </c>
      <c r="B108">
        <v>3.2667487711065747E-3</v>
      </c>
      <c r="C108">
        <v>3.8247401017633036E-3</v>
      </c>
      <c r="D108">
        <v>4.499519831690822E-4</v>
      </c>
      <c r="E108">
        <v>1.9695109793797334E-3</v>
      </c>
      <c r="F108">
        <v>4.794627688078334E-3</v>
      </c>
      <c r="G108">
        <v>-1.5412606240581997E-3</v>
      </c>
      <c r="H108">
        <v>-8.222476314859754E-3</v>
      </c>
      <c r="I108">
        <v>-1.1468245676046184E-2</v>
      </c>
      <c r="J108">
        <v>7.4711151182479322E-4</v>
      </c>
      <c r="K108">
        <v>4.6513051478622655E-2</v>
      </c>
      <c r="L108">
        <v>1</v>
      </c>
      <c r="M108">
        <v>-0.68504316050070724</v>
      </c>
      <c r="N108">
        <v>0.99999999999999944</v>
      </c>
    </row>
    <row r="109" spans="1:14">
      <c r="A109" s="47">
        <f t="shared" si="7"/>
        <v>-2.5620885171662687E-4</v>
      </c>
      <c r="B109">
        <v>1.358330014243442E-2</v>
      </c>
      <c r="C109">
        <v>1.1436668053797117E-2</v>
      </c>
      <c r="D109">
        <v>4.1915487852009457E-3</v>
      </c>
      <c r="E109">
        <v>1.1041702499966739E-2</v>
      </c>
      <c r="F109">
        <v>2.0026291141060699E-2</v>
      </c>
      <c r="G109">
        <v>-6.4175072085134602E-3</v>
      </c>
      <c r="H109">
        <v>-0.83439929153794357</v>
      </c>
      <c r="I109">
        <v>-0.83724001316932239</v>
      </c>
      <c r="J109">
        <v>-0.33810827274373867</v>
      </c>
      <c r="K109">
        <v>-0.14911256184211552</v>
      </c>
      <c r="L109">
        <v>-5.3375354575925876E-2</v>
      </c>
      <c r="M109">
        <v>0.39284514041286156</v>
      </c>
      <c r="N109">
        <v>0.99999999999998201</v>
      </c>
    </row>
    <row r="110" spans="1:14">
      <c r="A110" s="47">
        <f t="shared" si="7"/>
        <v>-5.751336381205549E-4</v>
      </c>
      <c r="B110">
        <v>6.0089944799167792E-3</v>
      </c>
      <c r="C110">
        <v>5.9928590787308765E-3</v>
      </c>
      <c r="D110">
        <v>1.2577103454656819E-3</v>
      </c>
      <c r="E110">
        <v>4.3809826288199322E-3</v>
      </c>
      <c r="F110">
        <v>8.7261766717904535E-3</v>
      </c>
      <c r="G110">
        <v>1.3623361425950165E-3</v>
      </c>
      <c r="H110">
        <v>5.5863711373293636E-2</v>
      </c>
      <c r="I110">
        <v>2.7434003933980225E-2</v>
      </c>
      <c r="J110">
        <v>-3.1213203800038326E-2</v>
      </c>
      <c r="K110">
        <v>1</v>
      </c>
      <c r="L110">
        <v>-0.18326833048883026</v>
      </c>
      <c r="M110">
        <v>0.14200304095150132</v>
      </c>
      <c r="N110">
        <v>0.99999999999998801</v>
      </c>
    </row>
    <row r="113" spans="1:14">
      <c r="G113">
        <v>0.92968285760062186</v>
      </c>
      <c r="H113">
        <v>2.6605227257478936E-2</v>
      </c>
      <c r="I113">
        <v>1.9592574668521157E-2</v>
      </c>
      <c r="J113">
        <v>1.4230269334552847E-2</v>
      </c>
      <c r="K113">
        <v>6.1931881743767514E-3</v>
      </c>
      <c r="L113">
        <v>2.3194161852316819E-3</v>
      </c>
      <c r="M113">
        <v>1.3764667792169893E-3</v>
      </c>
      <c r="N113">
        <v>-2.2204460492503131E-16</v>
      </c>
    </row>
    <row r="114" spans="1:14">
      <c r="A114" s="47">
        <f>B114-B103</f>
        <v>3.8630070910528058E-4</v>
      </c>
      <c r="B114">
        <v>0.66803748118421447</v>
      </c>
      <c r="C114">
        <v>1.0319426627623902E-2</v>
      </c>
      <c r="D114">
        <v>0.66095507708912715</v>
      </c>
      <c r="E114">
        <v>0.66849830167497504</v>
      </c>
      <c r="F114">
        <v>0.67506969978441744</v>
      </c>
      <c r="G114">
        <v>-1.7076714847202138E-2</v>
      </c>
      <c r="H114">
        <v>1</v>
      </c>
      <c r="I114">
        <v>3.7026139954617183E-2</v>
      </c>
      <c r="J114">
        <v>-0.17886888506638496</v>
      </c>
      <c r="K114">
        <v>-0.12654007177161258</v>
      </c>
      <c r="L114">
        <v>0.23254722197310185</v>
      </c>
      <c r="M114">
        <v>1</v>
      </c>
      <c r="N114">
        <v>1</v>
      </c>
    </row>
    <row r="115" spans="1:14">
      <c r="A115" s="47">
        <f t="shared" ref="A115:A121" si="8">B115-B104</f>
        <v>1.1275259599131133E-3</v>
      </c>
      <c r="B115">
        <v>1.3443926482220295E-2</v>
      </c>
      <c r="C115">
        <v>1.1289670295024404E-2</v>
      </c>
      <c r="D115">
        <v>4.5510917065237771E-3</v>
      </c>
      <c r="E115">
        <v>1.0906657860328696E-2</v>
      </c>
      <c r="F115">
        <v>1.9490968632776821E-2</v>
      </c>
      <c r="G115">
        <v>9.4354660138544957E-3</v>
      </c>
      <c r="H115">
        <v>-0.63700641278255843</v>
      </c>
      <c r="I115">
        <v>-0.91690821782652077</v>
      </c>
      <c r="J115">
        <v>-0.48113778260099305</v>
      </c>
      <c r="K115">
        <v>-0.12835795002867295</v>
      </c>
      <c r="L115">
        <v>-2.9923492207702698E-2</v>
      </c>
      <c r="M115">
        <v>0.38316364696371524</v>
      </c>
      <c r="N115">
        <v>0.99999999999997313</v>
      </c>
    </row>
    <row r="116" spans="1:14">
      <c r="A116" s="47">
        <f t="shared" si="8"/>
        <v>-3.6438459456722069E-4</v>
      </c>
      <c r="B116">
        <v>1.0285811755654276E-2</v>
      </c>
      <c r="C116">
        <v>9.6849958400965427E-3</v>
      </c>
      <c r="D116">
        <v>3.0537083215634309E-3</v>
      </c>
      <c r="E116">
        <v>7.561130180149562E-3</v>
      </c>
      <c r="F116">
        <v>1.4856564826631058E-2</v>
      </c>
      <c r="G116">
        <v>9.2739934304338009E-3</v>
      </c>
      <c r="H116">
        <v>-0.23785765762112343</v>
      </c>
      <c r="I116">
        <v>-0.20763589662895238</v>
      </c>
      <c r="J116">
        <v>1</v>
      </c>
      <c r="K116">
        <v>-0.1929171447071765</v>
      </c>
      <c r="L116">
        <v>-3.7532220402420068E-2</v>
      </c>
      <c r="M116">
        <v>0.35013088695502687</v>
      </c>
      <c r="N116">
        <v>0.99999999999997335</v>
      </c>
    </row>
    <row r="117" spans="1:14">
      <c r="A117" s="47">
        <f t="shared" si="8"/>
        <v>-4.3228740560918855E-3</v>
      </c>
      <c r="B117">
        <v>0.17289910384310514</v>
      </c>
      <c r="C117">
        <v>6.0245361848338307E-2</v>
      </c>
      <c r="D117">
        <v>0.12906847358021128</v>
      </c>
      <c r="E117">
        <v>0.17428080411152941</v>
      </c>
      <c r="F117">
        <v>0.21690194035904364</v>
      </c>
      <c r="G117">
        <v>1</v>
      </c>
      <c r="H117">
        <v>0.28344103714298291</v>
      </c>
      <c r="I117">
        <v>4.5568275213019836E-2</v>
      </c>
      <c r="J117">
        <v>-8.3189023933174192E-2</v>
      </c>
      <c r="K117">
        <v>-0.23094058085023078</v>
      </c>
      <c r="L117">
        <v>-0.45148246364203459</v>
      </c>
      <c r="M117">
        <v>-0.68155682000108297</v>
      </c>
      <c r="N117">
        <v>0.99999999999992806</v>
      </c>
    </row>
    <row r="118" spans="1:14">
      <c r="A118" s="47">
        <f t="shared" si="8"/>
        <v>3.7538313433752024E-3</v>
      </c>
      <c r="B118">
        <v>0.11305503270308218</v>
      </c>
      <c r="C118">
        <v>5.9627655435256617E-2</v>
      </c>
      <c r="D118">
        <v>6.820496090310374E-2</v>
      </c>
      <c r="E118">
        <v>0.11189052636733027</v>
      </c>
      <c r="F118">
        <v>0.15516442465232297</v>
      </c>
      <c r="G118">
        <v>-0.98983015160060006</v>
      </c>
      <c r="H118">
        <v>0.26606269110508951</v>
      </c>
      <c r="I118">
        <v>2.7164916801770439E-2</v>
      </c>
      <c r="J118">
        <v>-7.4481300618182783E-2</v>
      </c>
      <c r="K118">
        <v>-0.23263778418854353</v>
      </c>
      <c r="L118">
        <v>-0.46596024476042119</v>
      </c>
      <c r="M118">
        <v>-0.69799955750899423</v>
      </c>
      <c r="N118">
        <v>0.99999999999992728</v>
      </c>
    </row>
    <row r="119" spans="1:14">
      <c r="A119" s="47">
        <f t="shared" si="8"/>
        <v>1.5989441453500165E-5</v>
      </c>
      <c r="B119">
        <v>3.2827382125600749E-3</v>
      </c>
      <c r="C119">
        <v>3.7869149094216241E-3</v>
      </c>
      <c r="D119">
        <v>5.3467134293218354E-4</v>
      </c>
      <c r="E119">
        <v>1.9270697725850493E-3</v>
      </c>
      <c r="F119">
        <v>4.5613049828956698E-3</v>
      </c>
      <c r="G119">
        <v>-4.7511004039363239E-3</v>
      </c>
      <c r="H119">
        <v>1.2711960235356664E-2</v>
      </c>
      <c r="I119">
        <v>-2.8295654655071157E-2</v>
      </c>
      <c r="J119">
        <v>7.9233512364712249E-3</v>
      </c>
      <c r="K119">
        <v>8.8198867117708468E-2</v>
      </c>
      <c r="L119">
        <v>1</v>
      </c>
      <c r="M119">
        <v>-0.83375698632037198</v>
      </c>
      <c r="N119">
        <v>0.99999999999996381</v>
      </c>
    </row>
    <row r="120" spans="1:14">
      <c r="A120" s="47">
        <f t="shared" si="8"/>
        <v>-1.0615582293996683E-3</v>
      </c>
      <c r="B120">
        <v>1.2521741913034751E-2</v>
      </c>
      <c r="C120">
        <v>1.1515737204339759E-2</v>
      </c>
      <c r="D120">
        <v>3.9139395025542161E-3</v>
      </c>
      <c r="E120">
        <v>9.309886595459109E-3</v>
      </c>
      <c r="F120">
        <v>1.822813260257488E-2</v>
      </c>
      <c r="G120">
        <v>-7.6296073263333129E-3</v>
      </c>
      <c r="H120">
        <v>-0.69040571113558902</v>
      </c>
      <c r="I120">
        <v>1</v>
      </c>
      <c r="J120">
        <v>-0.22224053372283165</v>
      </c>
      <c r="K120">
        <v>-0.17680533557148095</v>
      </c>
      <c r="L120">
        <v>2.9631606107292405E-2</v>
      </c>
      <c r="M120">
        <v>0.41042827473462179</v>
      </c>
      <c r="N120">
        <v>0.99999999999997669</v>
      </c>
    </row>
    <row r="121" spans="1:14">
      <c r="A121" s="47">
        <f t="shared" si="8"/>
        <v>4.6516942621195427E-4</v>
      </c>
      <c r="B121">
        <v>6.4741639061287335E-3</v>
      </c>
      <c r="C121">
        <v>6.3517501389802559E-3</v>
      </c>
      <c r="D121">
        <v>1.6126126293806438E-3</v>
      </c>
      <c r="E121">
        <v>4.7055130601016074E-3</v>
      </c>
      <c r="F121">
        <v>9.788475902052729E-3</v>
      </c>
      <c r="G121">
        <v>5.7811473378342314E-4</v>
      </c>
      <c r="H121">
        <v>3.0540930558429517E-3</v>
      </c>
      <c r="I121">
        <v>4.3080437141135332E-2</v>
      </c>
      <c r="J121">
        <v>3.1994174705094428E-2</v>
      </c>
      <c r="K121">
        <v>1</v>
      </c>
      <c r="L121">
        <v>-0.27728040706785712</v>
      </c>
      <c r="M121">
        <v>6.959055517698802E-2</v>
      </c>
      <c r="N121">
        <v>0.99999999999996603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Y20"/>
  <sheetViews>
    <sheetView workbookViewId="0">
      <selection activeCell="S28" sqref="S28"/>
    </sheetView>
  </sheetViews>
  <sheetFormatPr defaultRowHeight="15"/>
  <cols>
    <col min="1" max="1" width="18.140625" bestFit="1" customWidth="1"/>
  </cols>
  <sheetData>
    <row r="1" spans="1:25" ht="15.75" thickBot="1">
      <c r="B1" s="336" t="s">
        <v>152</v>
      </c>
      <c r="C1" s="336" t="s">
        <v>153</v>
      </c>
      <c r="D1" s="336" t="s">
        <v>154</v>
      </c>
      <c r="E1" s="336" t="s">
        <v>155</v>
      </c>
      <c r="F1" s="336" t="s">
        <v>156</v>
      </c>
      <c r="G1" s="336" t="s">
        <v>157</v>
      </c>
      <c r="H1" s="336" t="s">
        <v>158</v>
      </c>
      <c r="I1" s="336" t="s">
        <v>159</v>
      </c>
      <c r="J1" s="336" t="s">
        <v>160</v>
      </c>
      <c r="K1" s="336" t="s">
        <v>161</v>
      </c>
      <c r="L1" s="336" t="s">
        <v>162</v>
      </c>
      <c r="O1" s="336" t="s">
        <v>152</v>
      </c>
      <c r="P1" s="336" t="s">
        <v>153</v>
      </c>
      <c r="Q1" s="336" t="s">
        <v>154</v>
      </c>
      <c r="R1" s="336" t="s">
        <v>155</v>
      </c>
      <c r="S1" s="336" t="s">
        <v>156</v>
      </c>
      <c r="T1" s="336" t="s">
        <v>157</v>
      </c>
      <c r="U1" s="336" t="s">
        <v>158</v>
      </c>
      <c r="V1" s="336" t="s">
        <v>159</v>
      </c>
      <c r="W1" s="336" t="s">
        <v>160</v>
      </c>
      <c r="X1" s="336" t="s">
        <v>161</v>
      </c>
      <c r="Y1" s="336" t="s">
        <v>162</v>
      </c>
    </row>
    <row r="2" spans="1:25">
      <c r="A2" s="339" t="s">
        <v>4</v>
      </c>
      <c r="B2" s="339">
        <v>-3.4179872754884488E-3</v>
      </c>
      <c r="C2" s="339">
        <v>-3.4179872754884488E-3</v>
      </c>
      <c r="D2" s="339">
        <v>-3.4179872754884488E-3</v>
      </c>
      <c r="E2" s="339">
        <v>-3.4179872754884488E-3</v>
      </c>
      <c r="F2" s="339">
        <v>-3.4179872754884488E-3</v>
      </c>
      <c r="G2" s="339">
        <v>-3.4179872754884488E-3</v>
      </c>
      <c r="H2" s="339">
        <v>-3.4179872754884488E-3</v>
      </c>
      <c r="I2" s="339">
        <v>-3.4179872754884488E-3</v>
      </c>
      <c r="J2" s="339">
        <v>-3.4179872754884488E-3</v>
      </c>
      <c r="K2" s="339">
        <v>-3.4179872754884488E-3</v>
      </c>
      <c r="L2" s="339">
        <v>-3.4179872754884488E-3</v>
      </c>
      <c r="N2" s="339" t="s">
        <v>4</v>
      </c>
      <c r="O2" s="339">
        <v>-3.4179872754884488E-3</v>
      </c>
      <c r="P2" s="339">
        <v>-3.4179872754884488E-3</v>
      </c>
      <c r="Q2" s="339">
        <v>-3.4179872754884488E-3</v>
      </c>
      <c r="R2" s="339">
        <v>-3.4179872754884488E-3</v>
      </c>
      <c r="S2" s="339">
        <v>-3.4179872754884488E-3</v>
      </c>
      <c r="T2" s="339">
        <v>-3.4179872754884488E-3</v>
      </c>
      <c r="U2" s="339">
        <v>-3.4179872754884488E-3</v>
      </c>
      <c r="V2" s="339">
        <v>-3.4179872754884488E-3</v>
      </c>
      <c r="W2" s="339">
        <v>-3.4179872754884488E-3</v>
      </c>
      <c r="X2" s="339">
        <v>-3.4179872754884488E-3</v>
      </c>
      <c r="Y2" s="339">
        <v>-3.4179872754884488E-3</v>
      </c>
    </row>
    <row r="3" spans="1:25">
      <c r="A3" s="340" t="s">
        <v>5</v>
      </c>
      <c r="B3" s="340">
        <v>5.1526244290784291E-2</v>
      </c>
      <c r="C3" s="340">
        <v>5.1526244290784291E-2</v>
      </c>
      <c r="D3" s="340">
        <v>5.1526244290784291E-2</v>
      </c>
      <c r="E3" s="340">
        <v>5.1526244290784291E-2</v>
      </c>
      <c r="F3" s="340">
        <v>5.1526244290784291E-2</v>
      </c>
      <c r="G3" s="340">
        <v>5.1526244290784291E-2</v>
      </c>
      <c r="H3" s="340">
        <v>5.1526244290784291E-2</v>
      </c>
      <c r="I3" s="340">
        <v>5.1526244290784291E-2</v>
      </c>
      <c r="J3" s="340">
        <v>5.1526244290784291E-2</v>
      </c>
      <c r="K3" s="340">
        <v>5.1526244290784291E-2</v>
      </c>
      <c r="L3" s="340">
        <v>5.1526244290784291E-2</v>
      </c>
      <c r="N3" s="340" t="s">
        <v>5</v>
      </c>
      <c r="O3" s="340">
        <v>5.1526244290784291E-2</v>
      </c>
      <c r="P3" s="340">
        <v>5.1526244290784291E-2</v>
      </c>
      <c r="Q3" s="340">
        <v>5.1526244290784291E-2</v>
      </c>
      <c r="R3" s="340">
        <v>5.1526244290784291E-2</v>
      </c>
      <c r="S3" s="340">
        <v>5.1526244290784291E-2</v>
      </c>
      <c r="T3" s="340">
        <v>5.1526244290784291E-2</v>
      </c>
      <c r="U3" s="340">
        <v>5.1526244290784291E-2</v>
      </c>
      <c r="V3" s="340">
        <v>5.1526244290784291E-2</v>
      </c>
      <c r="W3" s="340">
        <v>5.1526244290784291E-2</v>
      </c>
      <c r="X3" s="340">
        <v>5.1526244290784291E-2</v>
      </c>
      <c r="Y3" s="340">
        <v>5.1526244290784291E-2</v>
      </c>
    </row>
    <row r="4" spans="1:25">
      <c r="A4" s="340" t="s">
        <v>6</v>
      </c>
      <c r="B4" s="340">
        <v>3.2357333960853253E-3</v>
      </c>
      <c r="C4" s="340">
        <v>3.2357333960853253E-3</v>
      </c>
      <c r="D4" s="340">
        <v>3.2357333960853253E-3</v>
      </c>
      <c r="E4" s="340">
        <v>3.2357333960853253E-3</v>
      </c>
      <c r="F4" s="340">
        <v>3.2357333960853253E-3</v>
      </c>
      <c r="G4" s="340">
        <v>3.2357333960853253E-3</v>
      </c>
      <c r="H4" s="340">
        <v>3.2357333960853253E-3</v>
      </c>
      <c r="I4" s="340">
        <v>3.2357333960853253E-3</v>
      </c>
      <c r="J4" s="340">
        <v>3.2357333960853253E-3</v>
      </c>
      <c r="K4" s="340">
        <v>3.2357333960853253E-3</v>
      </c>
      <c r="L4" s="340">
        <v>3.2357333960853253E-3</v>
      </c>
      <c r="N4" s="340" t="s">
        <v>6</v>
      </c>
      <c r="O4" s="340">
        <v>3.2357333960853253E-3</v>
      </c>
      <c r="P4" s="340">
        <v>3.2357333960853253E-3</v>
      </c>
      <c r="Q4" s="340">
        <v>3.2357333960853253E-3</v>
      </c>
      <c r="R4" s="340">
        <v>3.2357333960853253E-3</v>
      </c>
      <c r="S4" s="340">
        <v>3.2357333960853253E-3</v>
      </c>
      <c r="T4" s="340">
        <v>3.2357333960853253E-3</v>
      </c>
      <c r="U4" s="340">
        <v>3.2357333960853253E-3</v>
      </c>
      <c r="V4" s="340">
        <v>3.2357333960853253E-3</v>
      </c>
      <c r="W4" s="340">
        <v>3.2357333960853253E-3</v>
      </c>
      <c r="X4" s="340">
        <v>3.2357333960853253E-3</v>
      </c>
      <c r="Y4" s="340">
        <v>3.2357333960853253E-3</v>
      </c>
    </row>
    <row r="5" spans="1:25">
      <c r="A5" s="340" t="s">
        <v>7</v>
      </c>
      <c r="B5" s="340">
        <v>0</v>
      </c>
      <c r="C5" s="340">
        <v>0.01</v>
      </c>
      <c r="D5" s="340">
        <v>0.02</v>
      </c>
      <c r="E5" s="340">
        <v>0.03</v>
      </c>
      <c r="F5" s="340">
        <v>0.04</v>
      </c>
      <c r="G5" s="340">
        <v>0.05</v>
      </c>
      <c r="H5" s="340">
        <v>0.06</v>
      </c>
      <c r="I5" s="340">
        <v>7.0000000000000007E-2</v>
      </c>
      <c r="J5" s="340">
        <v>0.08</v>
      </c>
      <c r="K5" s="340">
        <v>0.09</v>
      </c>
      <c r="L5" s="340">
        <v>0.1</v>
      </c>
      <c r="N5" s="340" t="s">
        <v>7</v>
      </c>
      <c r="O5" s="340">
        <v>0.1</v>
      </c>
      <c r="P5" s="340">
        <v>0.11</v>
      </c>
      <c r="Q5" s="340">
        <v>0.12000000000000001</v>
      </c>
      <c r="R5" s="340">
        <v>0.13</v>
      </c>
      <c r="S5" s="340">
        <v>0.14000000000000001</v>
      </c>
      <c r="T5" s="340">
        <v>0.15</v>
      </c>
      <c r="U5" s="340">
        <v>0.16</v>
      </c>
      <c r="V5" s="340">
        <v>0.17</v>
      </c>
      <c r="W5" s="340">
        <v>0.18</v>
      </c>
      <c r="X5" s="340">
        <v>0.19</v>
      </c>
      <c r="Y5" s="340">
        <v>0.2</v>
      </c>
    </row>
    <row r="6" spans="1:25">
      <c r="A6" s="340" t="s">
        <v>8</v>
      </c>
      <c r="B6" s="340">
        <v>0</v>
      </c>
      <c r="C6" s="340">
        <v>0.01</v>
      </c>
      <c r="D6" s="340">
        <v>0.02</v>
      </c>
      <c r="E6" s="340">
        <v>0.03</v>
      </c>
      <c r="F6" s="340">
        <v>0.04</v>
      </c>
      <c r="G6" s="340">
        <v>0.05</v>
      </c>
      <c r="H6" s="340">
        <v>0.06</v>
      </c>
      <c r="I6" s="340">
        <v>7.0000000000000007E-2</v>
      </c>
      <c r="J6" s="340">
        <v>0.08</v>
      </c>
      <c r="K6" s="340">
        <v>0.09</v>
      </c>
      <c r="L6" s="340">
        <v>0.1</v>
      </c>
      <c r="N6" s="340" t="s">
        <v>8</v>
      </c>
      <c r="O6" s="340">
        <v>0.1</v>
      </c>
      <c r="P6" s="340">
        <v>0.11</v>
      </c>
      <c r="Q6" s="340">
        <v>0.12000000000000001</v>
      </c>
      <c r="R6" s="340">
        <v>0.13</v>
      </c>
      <c r="S6" s="340">
        <v>0.14000000000000001</v>
      </c>
      <c r="T6" s="340">
        <v>0.15</v>
      </c>
      <c r="U6" s="340">
        <v>0.16</v>
      </c>
      <c r="V6" s="340">
        <v>0.17</v>
      </c>
      <c r="W6" s="340">
        <v>0.18</v>
      </c>
      <c r="X6" s="340">
        <v>0.19</v>
      </c>
      <c r="Y6" s="340">
        <v>0.2</v>
      </c>
    </row>
    <row r="7" spans="1:25">
      <c r="A7" s="340" t="s">
        <v>9</v>
      </c>
      <c r="B7" s="340">
        <v>8.5249207175964209E-2</v>
      </c>
      <c r="C7" s="340">
        <v>8.5249207175964209E-2</v>
      </c>
      <c r="D7" s="340">
        <v>8.5249207175964209E-2</v>
      </c>
      <c r="E7" s="340">
        <v>8.5249207175964209E-2</v>
      </c>
      <c r="F7" s="340">
        <v>8.5249207175964209E-2</v>
      </c>
      <c r="G7" s="340">
        <v>8.5249207175964209E-2</v>
      </c>
      <c r="H7" s="340">
        <v>8.5249207175964209E-2</v>
      </c>
      <c r="I7" s="340">
        <v>8.5249207175964209E-2</v>
      </c>
      <c r="J7" s="340">
        <v>8.5249207175964209E-2</v>
      </c>
      <c r="K7" s="340">
        <v>8.5249207175964209E-2</v>
      </c>
      <c r="L7" s="340">
        <v>8.5249207175964209E-2</v>
      </c>
      <c r="N7" s="340" t="s">
        <v>9</v>
      </c>
      <c r="O7" s="340">
        <v>8.5249207175964209E-2</v>
      </c>
      <c r="P7" s="340">
        <v>8.5249207175964209E-2</v>
      </c>
      <c r="Q7" s="340">
        <v>8.5249207175964209E-2</v>
      </c>
      <c r="R7" s="340">
        <v>8.5249207175964209E-2</v>
      </c>
      <c r="S7" s="340">
        <v>8.5249207175964209E-2</v>
      </c>
      <c r="T7" s="340">
        <v>8.5249207175964209E-2</v>
      </c>
      <c r="U7" s="340">
        <v>8.5249207175964209E-2</v>
      </c>
      <c r="V7" s="340">
        <v>8.5249207175964209E-2</v>
      </c>
      <c r="W7" s="340">
        <v>8.5249207175964209E-2</v>
      </c>
      <c r="X7" s="340">
        <v>8.5249207175964209E-2</v>
      </c>
      <c r="Y7" s="340">
        <v>8.5249207175964209E-2</v>
      </c>
    </row>
    <row r="8" spans="1:25">
      <c r="A8" s="340" t="s">
        <v>10</v>
      </c>
      <c r="B8" s="340">
        <v>1.8099625028703631E-2</v>
      </c>
      <c r="C8" s="340">
        <v>1.8099625028703631E-2</v>
      </c>
      <c r="D8" s="340">
        <v>1.8099625028703631E-2</v>
      </c>
      <c r="E8" s="340">
        <v>1.8099625028703631E-2</v>
      </c>
      <c r="F8" s="340">
        <v>1.8099625028703631E-2</v>
      </c>
      <c r="G8" s="340">
        <v>1.8099625028703631E-2</v>
      </c>
      <c r="H8" s="340">
        <v>1.8099625028703631E-2</v>
      </c>
      <c r="I8" s="340">
        <v>1.8099625028703631E-2</v>
      </c>
      <c r="J8" s="340">
        <v>1.8099625028703631E-2</v>
      </c>
      <c r="K8" s="340">
        <v>1.8099625028703631E-2</v>
      </c>
      <c r="L8" s="340">
        <v>1.8099625028703631E-2</v>
      </c>
      <c r="N8" s="340" t="s">
        <v>10</v>
      </c>
      <c r="O8" s="340">
        <v>1.8099625028703631E-2</v>
      </c>
      <c r="P8" s="340">
        <v>1.8099625028703631E-2</v>
      </c>
      <c r="Q8" s="340">
        <v>1.8099625028703631E-2</v>
      </c>
      <c r="R8" s="340">
        <v>1.8099625028703631E-2</v>
      </c>
      <c r="S8" s="340">
        <v>1.8099625028703631E-2</v>
      </c>
      <c r="T8" s="340">
        <v>1.8099625028703631E-2</v>
      </c>
      <c r="U8" s="340">
        <v>1.8099625028703631E-2</v>
      </c>
      <c r="V8" s="340">
        <v>1.8099625028703631E-2</v>
      </c>
      <c r="W8" s="340">
        <v>1.8099625028703631E-2</v>
      </c>
      <c r="X8" s="340">
        <v>1.8099625028703631E-2</v>
      </c>
      <c r="Y8" s="340">
        <v>1.8099625028703631E-2</v>
      </c>
    </row>
    <row r="9" spans="1:25" ht="15.75" thickBot="1">
      <c r="A9" s="342" t="s">
        <v>11</v>
      </c>
      <c r="B9" s="342">
        <v>2.7964399001126676E-2</v>
      </c>
      <c r="C9" s="342">
        <v>2.7964399001126676E-2</v>
      </c>
      <c r="D9" s="342">
        <v>2.7964399001126676E-2</v>
      </c>
      <c r="E9" s="342">
        <v>2.7964399001126676E-2</v>
      </c>
      <c r="F9" s="342">
        <v>2.7964399001126676E-2</v>
      </c>
      <c r="G9" s="342">
        <v>2.7964399001126676E-2</v>
      </c>
      <c r="H9" s="342">
        <v>2.7964399001126676E-2</v>
      </c>
      <c r="I9" s="342">
        <v>2.7964399001126676E-2</v>
      </c>
      <c r="J9" s="342">
        <v>2.7964399001126676E-2</v>
      </c>
      <c r="K9" s="342">
        <v>2.7964399001126676E-2</v>
      </c>
      <c r="L9" s="342">
        <v>2.7964399001126676E-2</v>
      </c>
      <c r="N9" s="342" t="s">
        <v>11</v>
      </c>
      <c r="O9" s="342">
        <v>2.7964399001126676E-2</v>
      </c>
      <c r="P9" s="342">
        <v>2.7964399001126676E-2</v>
      </c>
      <c r="Q9" s="342">
        <v>2.7964399001126676E-2</v>
      </c>
      <c r="R9" s="342">
        <v>2.7964399001126676E-2</v>
      </c>
      <c r="S9" s="342">
        <v>2.7964399001126676E-2</v>
      </c>
      <c r="T9" s="342">
        <v>2.7964399001126676E-2</v>
      </c>
      <c r="U9" s="342">
        <v>2.7964399001126676E-2</v>
      </c>
      <c r="V9" s="342">
        <v>2.7964399001126676E-2</v>
      </c>
      <c r="W9" s="342">
        <v>2.7964399001126676E-2</v>
      </c>
      <c r="X9" s="342">
        <v>2.7964399001126676E-2</v>
      </c>
      <c r="Y9" s="342">
        <v>2.7964399001126676E-2</v>
      </c>
    </row>
    <row r="12" spans="1:25" ht="15.75" thickBot="1"/>
    <row r="13" spans="1:25">
      <c r="A13" s="339" t="s">
        <v>4</v>
      </c>
      <c r="B13" s="67">
        <v>0.4920545709197896</v>
      </c>
      <c r="C13" s="67">
        <v>0.49500337132913025</v>
      </c>
      <c r="D13" s="67">
        <v>0.49166536002042543</v>
      </c>
      <c r="E13" s="67">
        <v>0.49145615756598027</v>
      </c>
      <c r="F13" s="67">
        <v>0.49456118935392468</v>
      </c>
      <c r="G13" s="67">
        <v>0.49604857349113263</v>
      </c>
      <c r="H13" s="67">
        <v>0.50127558511108627</v>
      </c>
      <c r="I13" s="67">
        <v>0.5057513524114825</v>
      </c>
      <c r="J13" s="67">
        <v>0.5177817718725054</v>
      </c>
      <c r="K13" s="67">
        <v>0.54578627902404009</v>
      </c>
      <c r="L13" s="67">
        <v>0.58378522097951235</v>
      </c>
      <c r="N13" s="339"/>
      <c r="O13" s="67">
        <v>0.58378522097951235</v>
      </c>
      <c r="P13" s="67">
        <v>0.61641426984110081</v>
      </c>
      <c r="Q13" s="67">
        <v>0.63575081737044981</v>
      </c>
      <c r="R13" s="67">
        <v>0.64372903514023627</v>
      </c>
      <c r="S13" s="67">
        <v>0.65069017884781299</v>
      </c>
      <c r="T13" s="67">
        <v>0.65700012890510384</v>
      </c>
      <c r="U13" s="67">
        <v>0.65888858324478516</v>
      </c>
      <c r="V13" s="67">
        <v>0.66154614983866089</v>
      </c>
      <c r="W13" s="67">
        <v>0.66406891743254015</v>
      </c>
      <c r="X13" s="67">
        <v>0.66523455580911373</v>
      </c>
      <c r="Y13" s="67">
        <v>0.66686451386689483</v>
      </c>
    </row>
    <row r="14" spans="1:25">
      <c r="A14" s="340" t="s">
        <v>5</v>
      </c>
      <c r="B14" s="67">
        <v>0.37845175472013853</v>
      </c>
      <c r="C14" s="67">
        <v>0.37014778319601893</v>
      </c>
      <c r="D14" s="67">
        <v>0.38037152990652817</v>
      </c>
      <c r="E14" s="67">
        <v>0.37988614023606659</v>
      </c>
      <c r="F14" s="67">
        <v>0.37673379976006943</v>
      </c>
      <c r="G14" s="67">
        <v>0.37167309400605136</v>
      </c>
      <c r="H14" s="67">
        <v>0.35841109535906429</v>
      </c>
      <c r="I14" s="67">
        <v>0.34747799278111702</v>
      </c>
      <c r="J14" s="67">
        <v>0.32088128097051333</v>
      </c>
      <c r="K14" s="67">
        <v>0.2603179437309221</v>
      </c>
      <c r="L14" s="67">
        <v>0.18076531585488717</v>
      </c>
      <c r="N14" s="340"/>
      <c r="O14" s="67">
        <v>0.18076531585488717</v>
      </c>
      <c r="P14" s="67">
        <v>0.11306520173361555</v>
      </c>
      <c r="Q14" s="67">
        <v>7.5713210376084278E-2</v>
      </c>
      <c r="R14" s="67">
        <v>6.0001727002444286E-2</v>
      </c>
      <c r="S14" s="67">
        <v>4.7735789342585287E-2</v>
      </c>
      <c r="T14" s="67">
        <v>3.8026420608856554E-2</v>
      </c>
      <c r="U14" s="67">
        <v>3.3806640016541899E-2</v>
      </c>
      <c r="V14" s="67">
        <v>2.9066376019777102E-2</v>
      </c>
      <c r="W14" s="67">
        <v>2.5914976687679569E-2</v>
      </c>
      <c r="X14" s="67">
        <v>2.3530131104425644E-2</v>
      </c>
      <c r="Y14" s="67">
        <v>2.1590823046951028E-2</v>
      </c>
    </row>
    <row r="15" spans="1:25">
      <c r="A15" s="340" t="s">
        <v>6</v>
      </c>
      <c r="B15" s="67">
        <v>1.0004194336778035E-2</v>
      </c>
      <c r="C15" s="67">
        <v>9.8395566312894905E-3</v>
      </c>
      <c r="D15" s="67">
        <v>1.0189964467853854E-2</v>
      </c>
      <c r="E15" s="67">
        <v>8.8076746675202749E-3</v>
      </c>
      <c r="F15" s="67">
        <v>8.1811947373132861E-3</v>
      </c>
      <c r="G15" s="67">
        <v>8.1723674744332824E-3</v>
      </c>
      <c r="H15" s="67">
        <v>7.5246883298358972E-3</v>
      </c>
      <c r="I15" s="67">
        <v>6.8383315165853834E-3</v>
      </c>
      <c r="J15" s="67">
        <v>5.8993899336424712E-3</v>
      </c>
      <c r="K15" s="67">
        <v>4.9073365945980904E-3</v>
      </c>
      <c r="L15" s="67">
        <v>4.7898992068885196E-3</v>
      </c>
      <c r="N15" s="340"/>
      <c r="O15" s="67">
        <v>4.7898992068885196E-3</v>
      </c>
      <c r="P15" s="67">
        <v>5.350791045775378E-3</v>
      </c>
      <c r="Q15" s="67">
        <v>5.1860924309269528E-3</v>
      </c>
      <c r="R15" s="67">
        <v>6.1413320746168927E-3</v>
      </c>
      <c r="S15" s="67">
        <v>5.8754536346263394E-3</v>
      </c>
      <c r="T15" s="67">
        <v>6.0283630634842761E-3</v>
      </c>
      <c r="U15" s="67">
        <v>6.4059855370222603E-3</v>
      </c>
      <c r="V15" s="67">
        <v>6.2409395038284087E-3</v>
      </c>
      <c r="W15" s="67">
        <v>6.2572961590401108E-3</v>
      </c>
      <c r="X15" s="67">
        <v>6.213491086847091E-3</v>
      </c>
      <c r="Y15" s="67">
        <v>5.7829492115746527E-3</v>
      </c>
    </row>
    <row r="16" spans="1:25">
      <c r="A16" s="340" t="s">
        <v>7</v>
      </c>
      <c r="B16" s="67">
        <v>2.9753369280379753E-3</v>
      </c>
      <c r="C16" s="67">
        <v>3.865459766834015E-3</v>
      </c>
      <c r="D16" s="67">
        <v>4.6086829362406998E-3</v>
      </c>
      <c r="E16" s="67">
        <v>5.9450079675425031E-3</v>
      </c>
      <c r="F16" s="67">
        <v>8.1986703840235872E-3</v>
      </c>
      <c r="G16" s="67">
        <v>1.1183031524162832E-2</v>
      </c>
      <c r="H16" s="67">
        <v>1.796529284736955E-2</v>
      </c>
      <c r="I16" s="67">
        <v>2.7809695359935362E-2</v>
      </c>
      <c r="J16" s="67">
        <v>4.4481005098092857E-2</v>
      </c>
      <c r="K16" s="67">
        <v>7.8668656165586714E-2</v>
      </c>
      <c r="L16" s="67">
        <v>0.11072531541459527</v>
      </c>
      <c r="N16" s="340"/>
      <c r="O16" s="67">
        <v>0.11072531541459527</v>
      </c>
      <c r="P16" s="67">
        <v>0.13878625544734549</v>
      </c>
      <c r="Q16" s="67">
        <v>0.15567798521547394</v>
      </c>
      <c r="R16" s="67">
        <v>0.16226943100194025</v>
      </c>
      <c r="S16" s="67">
        <v>0.16772331640554392</v>
      </c>
      <c r="T16" s="67">
        <v>0.16389804451316786</v>
      </c>
      <c r="U16" s="67">
        <v>0.17393780687581281</v>
      </c>
      <c r="V16" s="67">
        <v>0.17340616746257231</v>
      </c>
      <c r="W16" s="67">
        <v>0.17306609819650834</v>
      </c>
      <c r="X16" s="67">
        <v>0.17012041515033896</v>
      </c>
      <c r="Y16" s="67">
        <v>0.17142247396114857</v>
      </c>
    </row>
    <row r="17" spans="1:25">
      <c r="A17" s="340" t="s">
        <v>8</v>
      </c>
      <c r="B17" s="67">
        <v>2.9319551440876528E-3</v>
      </c>
      <c r="C17" s="67">
        <v>3.6725260880894148E-3</v>
      </c>
      <c r="D17" s="67">
        <v>3.9793672503097392E-3</v>
      </c>
      <c r="E17" s="67">
        <v>5.7094171933167234E-3</v>
      </c>
      <c r="F17" s="67">
        <v>7.2108475836604458E-3</v>
      </c>
      <c r="G17" s="67">
        <v>1.0535919550306784E-2</v>
      </c>
      <c r="H17" s="67">
        <v>1.4946728626615559E-2</v>
      </c>
      <c r="I17" s="67">
        <v>2.287425160648672E-2</v>
      </c>
      <c r="J17" s="67">
        <v>3.5715293721876623E-2</v>
      </c>
      <c r="K17" s="67">
        <v>5.2799811712686245E-2</v>
      </c>
      <c r="L17" s="67">
        <v>7.6831082134674364E-2</v>
      </c>
      <c r="N17" s="340"/>
      <c r="O17" s="67">
        <v>7.6831082134674364E-2</v>
      </c>
      <c r="P17" s="67">
        <v>8.9943450789722032E-2</v>
      </c>
      <c r="Q17" s="67">
        <v>9.4403390454633987E-2</v>
      </c>
      <c r="R17" s="67">
        <v>9.7461036355754649E-2</v>
      </c>
      <c r="S17" s="67">
        <v>0.10037654350764456</v>
      </c>
      <c r="T17" s="67">
        <v>0.1102509188529603</v>
      </c>
      <c r="U17" s="67">
        <v>0.10254273694135256</v>
      </c>
      <c r="V17" s="67">
        <v>0.10615322570774142</v>
      </c>
      <c r="W17" s="67">
        <v>0.10882161639742303</v>
      </c>
      <c r="X17" s="67">
        <v>0.11250916938626331</v>
      </c>
      <c r="Y17" s="67">
        <v>0.11377505469544968</v>
      </c>
    </row>
    <row r="18" spans="1:25">
      <c r="A18" s="340" t="s">
        <v>9</v>
      </c>
      <c r="B18" s="67">
        <v>7.6584287478046492E-2</v>
      </c>
      <c r="C18" s="67">
        <v>8.0841133474605587E-2</v>
      </c>
      <c r="D18" s="67">
        <v>7.4501036877808624E-2</v>
      </c>
      <c r="E18" s="67">
        <v>7.2330940686563039E-2</v>
      </c>
      <c r="F18" s="67">
        <v>7.4036855260022946E-2</v>
      </c>
      <c r="G18" s="67">
        <v>7.2239471623417276E-2</v>
      </c>
      <c r="H18" s="67">
        <v>7.078473513389566E-2</v>
      </c>
      <c r="I18" s="67">
        <v>6.1904313868271083E-2</v>
      </c>
      <c r="J18" s="67">
        <v>5.2380109297068843E-2</v>
      </c>
      <c r="K18" s="67">
        <v>3.9264075177625465E-2</v>
      </c>
      <c r="L18" s="67">
        <v>2.6592277012623691E-2</v>
      </c>
      <c r="N18" s="340"/>
      <c r="O18" s="67">
        <v>2.6592277012623691E-2</v>
      </c>
      <c r="P18" s="67">
        <v>1.8418515058777618E-2</v>
      </c>
      <c r="Q18" s="67">
        <v>1.5032698240190235E-2</v>
      </c>
      <c r="R18" s="67">
        <v>1.2428885774735433E-2</v>
      </c>
      <c r="S18" s="67">
        <v>9.1413270301578912E-3</v>
      </c>
      <c r="T18" s="67">
        <v>8.4618506478791808E-3</v>
      </c>
      <c r="U18" s="67">
        <v>7.4100035230315105E-3</v>
      </c>
      <c r="V18" s="67">
        <v>6.5148595357943885E-3</v>
      </c>
      <c r="W18" s="67">
        <v>5.7888096963330457E-3</v>
      </c>
      <c r="X18" s="67">
        <v>6.1103844695002537E-3</v>
      </c>
      <c r="Y18" s="67">
        <v>5.3251773452373148E-3</v>
      </c>
    </row>
    <row r="19" spans="1:25">
      <c r="A19" s="340" t="s">
        <v>10</v>
      </c>
      <c r="B19" s="67">
        <v>2.2155828739262858E-2</v>
      </c>
      <c r="C19" s="67">
        <v>2.2631556027355074E-2</v>
      </c>
      <c r="D19" s="67">
        <v>1.9908622484619463E-2</v>
      </c>
      <c r="E19" s="67">
        <v>2.0478438504839939E-2</v>
      </c>
      <c r="F19" s="67">
        <v>1.88451881948726E-2</v>
      </c>
      <c r="G19" s="67">
        <v>1.7649352275182658E-2</v>
      </c>
      <c r="H19" s="67">
        <v>1.7703060187313418E-2</v>
      </c>
      <c r="I19" s="67">
        <v>1.6261607157109677E-2</v>
      </c>
      <c r="J19" s="67">
        <v>1.4097583190190013E-2</v>
      </c>
      <c r="K19" s="67">
        <v>1.1996747659074441E-2</v>
      </c>
      <c r="L19" s="67">
        <v>1.0502959352614154E-2</v>
      </c>
      <c r="N19" s="340"/>
      <c r="O19" s="67">
        <v>1.0502959352614154E-2</v>
      </c>
      <c r="P19" s="67">
        <v>1.1466837990967874E-2</v>
      </c>
      <c r="Q19" s="67">
        <v>1.1954982030846368E-2</v>
      </c>
      <c r="R19" s="67">
        <v>1.210789133506561E-2</v>
      </c>
      <c r="S19" s="67">
        <v>1.219109807412869E-2</v>
      </c>
      <c r="T19" s="67">
        <v>1.0480664159353009E-2</v>
      </c>
      <c r="U19" s="67">
        <v>1.1184688046975498E-2</v>
      </c>
      <c r="V19" s="67">
        <v>1.1344491438317485E-2</v>
      </c>
      <c r="W19" s="67">
        <v>1.0691819526604179E-2</v>
      </c>
      <c r="X19" s="67">
        <v>1.1373912751318039E-2</v>
      </c>
      <c r="Y19" s="67">
        <v>9.9510293729510538E-3</v>
      </c>
    </row>
    <row r="20" spans="1:25" ht="15.75" thickBot="1">
      <c r="A20" s="342" t="s">
        <v>11</v>
      </c>
      <c r="B20" s="67">
        <v>1.4842071733858679E-2</v>
      </c>
      <c r="C20" s="67">
        <v>1.3998613486676973E-2</v>
      </c>
      <c r="D20" s="67">
        <v>1.4775436056214791E-2</v>
      </c>
      <c r="E20" s="67">
        <v>1.5386223178171817E-2</v>
      </c>
      <c r="F20" s="67">
        <v>1.2232254726113442E-2</v>
      </c>
      <c r="G20" s="67">
        <v>1.2498190055313026E-2</v>
      </c>
      <c r="H20" s="67">
        <v>1.1388814404819451E-2</v>
      </c>
      <c r="I20" s="67">
        <v>1.1082455299013047E-2</v>
      </c>
      <c r="J20" s="67">
        <v>8.763565916110324E-3</v>
      </c>
      <c r="K20" s="67">
        <v>6.259149935466086E-3</v>
      </c>
      <c r="L20" s="67">
        <v>6.0079300442047864E-3</v>
      </c>
      <c r="N20" s="342"/>
      <c r="O20" s="67">
        <v>6.0079300442047864E-3</v>
      </c>
      <c r="P20" s="67">
        <v>6.5546780926957968E-3</v>
      </c>
      <c r="Q20" s="67">
        <v>6.2808238813944432E-3</v>
      </c>
      <c r="R20" s="67">
        <v>5.8606613152066582E-3</v>
      </c>
      <c r="S20" s="67">
        <v>6.2662931575000929E-3</v>
      </c>
      <c r="T20" s="67">
        <v>5.8536092491949165E-3</v>
      </c>
      <c r="U20" s="67">
        <v>5.8235558144779801E-3</v>
      </c>
      <c r="V20" s="67">
        <v>5.7277904933072232E-3</v>
      </c>
      <c r="W20" s="67">
        <v>5.3904659038713724E-3</v>
      </c>
      <c r="X20" s="67">
        <v>4.9079402421925477E-3</v>
      </c>
      <c r="Y20" s="67">
        <v>5.2879784997929714E-3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Y20"/>
  <sheetViews>
    <sheetView workbookViewId="0">
      <selection activeCell="Q19" sqref="Q19"/>
    </sheetView>
  </sheetViews>
  <sheetFormatPr defaultRowHeight="15"/>
  <sheetData>
    <row r="1" spans="1:25" ht="15.75" thickBot="1">
      <c r="B1" s="336" t="s">
        <v>152</v>
      </c>
      <c r="C1" s="336" t="s">
        <v>153</v>
      </c>
      <c r="D1" s="336" t="s">
        <v>154</v>
      </c>
      <c r="E1" s="336" t="s">
        <v>155</v>
      </c>
      <c r="F1" s="336" t="s">
        <v>156</v>
      </c>
      <c r="G1" s="336" t="s">
        <v>157</v>
      </c>
      <c r="H1" s="336" t="s">
        <v>158</v>
      </c>
      <c r="I1" s="336" t="s">
        <v>159</v>
      </c>
      <c r="J1" s="336" t="s">
        <v>160</v>
      </c>
      <c r="K1" s="336" t="s">
        <v>161</v>
      </c>
      <c r="L1" s="336" t="s">
        <v>162</v>
      </c>
      <c r="O1" s="336" t="s">
        <v>152</v>
      </c>
      <c r="P1" s="336" t="s">
        <v>153</v>
      </c>
      <c r="Q1" s="336" t="s">
        <v>154</v>
      </c>
      <c r="R1" s="336" t="s">
        <v>155</v>
      </c>
      <c r="S1" s="336" t="s">
        <v>156</v>
      </c>
      <c r="T1" s="336" t="s">
        <v>157</v>
      </c>
      <c r="U1" s="336" t="s">
        <v>158</v>
      </c>
      <c r="V1" s="336" t="s">
        <v>159</v>
      </c>
      <c r="W1" s="336" t="s">
        <v>160</v>
      </c>
      <c r="X1" s="336" t="s">
        <v>161</v>
      </c>
      <c r="Y1" s="336" t="s">
        <v>162</v>
      </c>
    </row>
    <row r="2" spans="1:25">
      <c r="A2" s="339" t="s">
        <v>4</v>
      </c>
      <c r="B2" s="339">
        <v>0</v>
      </c>
      <c r="C2" s="339">
        <v>0</v>
      </c>
      <c r="D2" s="339">
        <v>0</v>
      </c>
      <c r="E2" s="339">
        <v>0</v>
      </c>
      <c r="F2" s="339">
        <v>0</v>
      </c>
      <c r="G2" s="339">
        <v>0</v>
      </c>
      <c r="H2" s="339">
        <v>0</v>
      </c>
      <c r="I2" s="339">
        <v>0</v>
      </c>
      <c r="J2" s="339">
        <v>0</v>
      </c>
      <c r="K2" s="339">
        <v>0</v>
      </c>
      <c r="L2" s="339">
        <v>0</v>
      </c>
      <c r="N2" s="339" t="s">
        <v>4</v>
      </c>
      <c r="O2" s="339">
        <v>0</v>
      </c>
      <c r="P2" s="339">
        <v>0</v>
      </c>
      <c r="Q2" s="339">
        <v>0</v>
      </c>
      <c r="R2" s="339">
        <v>0</v>
      </c>
      <c r="S2" s="339">
        <v>0</v>
      </c>
      <c r="T2" s="339">
        <v>0</v>
      </c>
      <c r="U2" s="339">
        <v>0</v>
      </c>
      <c r="V2" s="339">
        <v>0</v>
      </c>
      <c r="W2" s="339">
        <v>0</v>
      </c>
      <c r="X2" s="339">
        <v>0</v>
      </c>
      <c r="Y2" s="339">
        <v>0</v>
      </c>
    </row>
    <row r="3" spans="1:25">
      <c r="A3" s="340" t="s">
        <v>5</v>
      </c>
      <c r="B3" s="340">
        <v>0.03</v>
      </c>
      <c r="C3" s="340">
        <v>0.03</v>
      </c>
      <c r="D3" s="340">
        <v>0.03</v>
      </c>
      <c r="E3" s="340">
        <v>0.03</v>
      </c>
      <c r="F3" s="340">
        <v>0.03</v>
      </c>
      <c r="G3" s="340">
        <v>0.03</v>
      </c>
      <c r="H3" s="340">
        <v>0.03</v>
      </c>
      <c r="I3" s="340">
        <v>0.03</v>
      </c>
      <c r="J3" s="340">
        <v>0.03</v>
      </c>
      <c r="K3" s="340">
        <v>0.03</v>
      </c>
      <c r="L3" s="340">
        <v>0.03</v>
      </c>
      <c r="N3" s="340" t="s">
        <v>5</v>
      </c>
      <c r="O3" s="340">
        <v>0.03</v>
      </c>
      <c r="P3" s="340">
        <v>0.03</v>
      </c>
      <c r="Q3" s="340">
        <v>0.03</v>
      </c>
      <c r="R3" s="340">
        <v>0.03</v>
      </c>
      <c r="S3" s="340">
        <v>0.03</v>
      </c>
      <c r="T3" s="340">
        <v>0.03</v>
      </c>
      <c r="U3" s="340">
        <v>0.03</v>
      </c>
      <c r="V3" s="340">
        <v>0.03</v>
      </c>
      <c r="W3" s="340">
        <v>0.03</v>
      </c>
      <c r="X3" s="340">
        <v>0.03</v>
      </c>
      <c r="Y3" s="340">
        <v>0.03</v>
      </c>
    </row>
    <row r="4" spans="1:25">
      <c r="A4" s="340" t="s">
        <v>6</v>
      </c>
      <c r="B4" s="340">
        <v>3.1398195419985959E-2</v>
      </c>
      <c r="C4" s="340">
        <v>3.1398195419985959E-2</v>
      </c>
      <c r="D4" s="340">
        <v>3.1398195419985959E-2</v>
      </c>
      <c r="E4" s="340">
        <v>3.1398195419985959E-2</v>
      </c>
      <c r="F4" s="340">
        <v>3.1398195419985959E-2</v>
      </c>
      <c r="G4" s="340">
        <v>3.1398195419985959E-2</v>
      </c>
      <c r="H4" s="340">
        <v>3.1398195419985959E-2</v>
      </c>
      <c r="I4" s="340">
        <v>3.1398195419985959E-2</v>
      </c>
      <c r="J4" s="340">
        <v>3.1398195419985959E-2</v>
      </c>
      <c r="K4" s="340">
        <v>3.1398195419985959E-2</v>
      </c>
      <c r="L4" s="340">
        <v>3.1398195419985959E-2</v>
      </c>
      <c r="N4" s="340" t="s">
        <v>6</v>
      </c>
      <c r="O4" s="340">
        <v>3.1398195419985959E-2</v>
      </c>
      <c r="P4" s="340">
        <v>3.1398195419985959E-2</v>
      </c>
      <c r="Q4" s="340">
        <v>3.1398195419985959E-2</v>
      </c>
      <c r="R4" s="340">
        <v>3.1398195419985959E-2</v>
      </c>
      <c r="S4" s="340">
        <v>3.1398195419985959E-2</v>
      </c>
      <c r="T4" s="340">
        <v>3.1398195419985959E-2</v>
      </c>
      <c r="U4" s="340">
        <v>3.1398195419985959E-2</v>
      </c>
      <c r="V4" s="340">
        <v>3.1398195419985959E-2</v>
      </c>
      <c r="W4" s="340">
        <v>3.1398195419985959E-2</v>
      </c>
      <c r="X4" s="340">
        <v>3.1398195419985959E-2</v>
      </c>
      <c r="Y4" s="340">
        <v>3.1398195419985959E-2</v>
      </c>
    </row>
    <row r="5" spans="1:25">
      <c r="A5" s="340" t="s">
        <v>7</v>
      </c>
      <c r="B5" s="340">
        <v>0</v>
      </c>
      <c r="C5" s="340">
        <v>0.01</v>
      </c>
      <c r="D5" s="340">
        <v>0.02</v>
      </c>
      <c r="E5" s="340">
        <v>0.03</v>
      </c>
      <c r="F5" s="340">
        <v>0.04</v>
      </c>
      <c r="G5" s="340">
        <v>0.05</v>
      </c>
      <c r="H5" s="340">
        <v>0.06</v>
      </c>
      <c r="I5" s="340">
        <v>7.0000000000000007E-2</v>
      </c>
      <c r="J5" s="340">
        <v>0.08</v>
      </c>
      <c r="K5" s="340">
        <v>0.09</v>
      </c>
      <c r="L5" s="340">
        <v>0.1</v>
      </c>
      <c r="N5" s="340" t="s">
        <v>7</v>
      </c>
      <c r="O5" s="340">
        <v>0.1</v>
      </c>
      <c r="P5" s="340">
        <v>0.11</v>
      </c>
      <c r="Q5" s="340">
        <v>0.12000000000000001</v>
      </c>
      <c r="R5" s="340">
        <v>0.13</v>
      </c>
      <c r="S5" s="340">
        <v>0.14000000000000001</v>
      </c>
      <c r="T5" s="340">
        <v>0.15</v>
      </c>
      <c r="U5" s="340">
        <v>0.16</v>
      </c>
      <c r="V5" s="340">
        <v>0.17</v>
      </c>
      <c r="W5" s="340">
        <v>0.18</v>
      </c>
      <c r="X5" s="340">
        <v>0.19</v>
      </c>
      <c r="Y5" s="340">
        <v>0.2</v>
      </c>
    </row>
    <row r="6" spans="1:25">
      <c r="A6" s="340" t="s">
        <v>8</v>
      </c>
      <c r="B6" s="340">
        <v>0</v>
      </c>
      <c r="C6" s="340">
        <v>0.01</v>
      </c>
      <c r="D6" s="340">
        <v>0.02</v>
      </c>
      <c r="E6" s="340">
        <v>0.03</v>
      </c>
      <c r="F6" s="340">
        <v>0.04</v>
      </c>
      <c r="G6" s="340">
        <v>0.05</v>
      </c>
      <c r="H6" s="340">
        <v>0.06</v>
      </c>
      <c r="I6" s="340">
        <v>7.0000000000000007E-2</v>
      </c>
      <c r="J6" s="340">
        <v>0.08</v>
      </c>
      <c r="K6" s="340">
        <v>0.09</v>
      </c>
      <c r="L6" s="340">
        <v>0.1</v>
      </c>
      <c r="N6" s="340" t="s">
        <v>8</v>
      </c>
      <c r="O6" s="340">
        <v>0.1</v>
      </c>
      <c r="P6" s="340">
        <v>0.11</v>
      </c>
      <c r="Q6" s="340">
        <v>0.12000000000000001</v>
      </c>
      <c r="R6" s="340">
        <v>0.13</v>
      </c>
      <c r="S6" s="340">
        <v>0.14000000000000001</v>
      </c>
      <c r="T6" s="340">
        <v>0.15</v>
      </c>
      <c r="U6" s="340">
        <v>0.16</v>
      </c>
      <c r="V6" s="340">
        <v>0.17</v>
      </c>
      <c r="W6" s="340">
        <v>0.18</v>
      </c>
      <c r="X6" s="340">
        <v>0.19</v>
      </c>
      <c r="Y6" s="340">
        <v>0.2</v>
      </c>
    </row>
    <row r="7" spans="1:25">
      <c r="A7" s="340" t="s">
        <v>9</v>
      </c>
      <c r="B7" s="340">
        <v>5.16958277280853E-2</v>
      </c>
      <c r="C7" s="340">
        <v>5.16958277280853E-2</v>
      </c>
      <c r="D7" s="340">
        <v>5.16958277280853E-2</v>
      </c>
      <c r="E7" s="340">
        <v>5.16958277280853E-2</v>
      </c>
      <c r="F7" s="340">
        <v>5.16958277280853E-2</v>
      </c>
      <c r="G7" s="340">
        <v>5.16958277280853E-2</v>
      </c>
      <c r="H7" s="340">
        <v>5.16958277280853E-2</v>
      </c>
      <c r="I7" s="340">
        <v>5.16958277280853E-2</v>
      </c>
      <c r="J7" s="340">
        <v>5.16958277280853E-2</v>
      </c>
      <c r="K7" s="340">
        <v>5.16958277280853E-2</v>
      </c>
      <c r="L7" s="340">
        <v>5.16958277280853E-2</v>
      </c>
      <c r="N7" s="340" t="s">
        <v>9</v>
      </c>
      <c r="O7" s="340">
        <v>5.16958277280853E-2</v>
      </c>
      <c r="P7" s="340">
        <v>5.16958277280853E-2</v>
      </c>
      <c r="Q7" s="340">
        <v>5.16958277280853E-2</v>
      </c>
      <c r="R7" s="340">
        <v>5.16958277280853E-2</v>
      </c>
      <c r="S7" s="340">
        <v>5.16958277280853E-2</v>
      </c>
      <c r="T7" s="340">
        <v>5.16958277280853E-2</v>
      </c>
      <c r="U7" s="340">
        <v>5.16958277280853E-2</v>
      </c>
      <c r="V7" s="340">
        <v>5.16958277280853E-2</v>
      </c>
      <c r="W7" s="340">
        <v>5.16958277280853E-2</v>
      </c>
      <c r="X7" s="340">
        <v>5.16958277280853E-2</v>
      </c>
      <c r="Y7" s="340">
        <v>5.16958277280853E-2</v>
      </c>
    </row>
    <row r="8" spans="1:25">
      <c r="A8" s="340" t="s">
        <v>10</v>
      </c>
      <c r="B8" s="340">
        <v>2.8296106893951258E-2</v>
      </c>
      <c r="C8" s="340">
        <v>2.8296106893951258E-2</v>
      </c>
      <c r="D8" s="340">
        <v>2.8296106893951258E-2</v>
      </c>
      <c r="E8" s="340">
        <v>2.8296106893951258E-2</v>
      </c>
      <c r="F8" s="340">
        <v>2.8296106893951258E-2</v>
      </c>
      <c r="G8" s="340">
        <v>2.8296106893951258E-2</v>
      </c>
      <c r="H8" s="340">
        <v>2.8296106893951258E-2</v>
      </c>
      <c r="I8" s="340">
        <v>2.8296106893951258E-2</v>
      </c>
      <c r="J8" s="340">
        <v>2.8296106893951258E-2</v>
      </c>
      <c r="K8" s="340">
        <v>2.8296106893951258E-2</v>
      </c>
      <c r="L8" s="340">
        <v>2.8296106893951258E-2</v>
      </c>
      <c r="N8" s="340" t="s">
        <v>10</v>
      </c>
      <c r="O8" s="340">
        <v>2.8296106893951258E-2</v>
      </c>
      <c r="P8" s="340">
        <v>2.8296106893951258E-2</v>
      </c>
      <c r="Q8" s="340">
        <v>2.8296106893951258E-2</v>
      </c>
      <c r="R8" s="340">
        <v>2.8296106893951258E-2</v>
      </c>
      <c r="S8" s="340">
        <v>2.8296106893951258E-2</v>
      </c>
      <c r="T8" s="340">
        <v>2.8296106893951258E-2</v>
      </c>
      <c r="U8" s="340">
        <v>2.8296106893951258E-2</v>
      </c>
      <c r="V8" s="340">
        <v>2.8296106893951258E-2</v>
      </c>
      <c r="W8" s="340">
        <v>2.8296106893951258E-2</v>
      </c>
      <c r="X8" s="340">
        <v>2.8296106893951258E-2</v>
      </c>
      <c r="Y8" s="340">
        <v>2.8296106893951258E-2</v>
      </c>
    </row>
    <row r="9" spans="1:25" ht="15.75" thickBot="1">
      <c r="A9" s="342" t="s">
        <v>11</v>
      </c>
      <c r="B9" s="342">
        <v>3.9623116873055711E-2</v>
      </c>
      <c r="C9" s="342">
        <v>3.9623116873055711E-2</v>
      </c>
      <c r="D9" s="342">
        <v>3.9623116873055711E-2</v>
      </c>
      <c r="E9" s="342">
        <v>3.9623116873055711E-2</v>
      </c>
      <c r="F9" s="342">
        <v>3.9623116873055711E-2</v>
      </c>
      <c r="G9" s="342">
        <v>3.9623116873055711E-2</v>
      </c>
      <c r="H9" s="342">
        <v>3.9623116873055711E-2</v>
      </c>
      <c r="I9" s="342">
        <v>3.9623116873055711E-2</v>
      </c>
      <c r="J9" s="342">
        <v>3.9623116873055711E-2</v>
      </c>
      <c r="K9" s="342">
        <v>3.9623116873055711E-2</v>
      </c>
      <c r="L9" s="342">
        <v>3.9623116873055711E-2</v>
      </c>
      <c r="N9" s="342" t="s">
        <v>11</v>
      </c>
      <c r="O9" s="342">
        <v>3.9623116873055711E-2</v>
      </c>
      <c r="P9" s="342">
        <v>3.9623116873055711E-2</v>
      </c>
      <c r="Q9" s="342">
        <v>3.9623116873055711E-2</v>
      </c>
      <c r="R9" s="342">
        <v>3.9623116873055711E-2</v>
      </c>
      <c r="S9" s="342">
        <v>3.9623116873055711E-2</v>
      </c>
      <c r="T9" s="342">
        <v>3.9623116873055711E-2</v>
      </c>
      <c r="U9" s="342">
        <v>3.9623116873055711E-2</v>
      </c>
      <c r="V9" s="342">
        <v>3.9623116873055711E-2</v>
      </c>
      <c r="W9" s="342">
        <v>3.9623116873055711E-2</v>
      </c>
      <c r="X9" s="342">
        <v>3.9623116873055711E-2</v>
      </c>
      <c r="Y9" s="342">
        <v>3.9623116873055711E-2</v>
      </c>
    </row>
    <row r="12" spans="1:25" ht="15.75" thickBot="1"/>
    <row r="13" spans="1:25">
      <c r="A13" s="339"/>
      <c r="B13" s="67">
        <v>0.49080392592865624</v>
      </c>
      <c r="C13" s="67">
        <v>0.49110413926127783</v>
      </c>
      <c r="D13" s="67">
        <v>0.49075419548687377</v>
      </c>
      <c r="E13" s="67">
        <v>0.49231929289351539</v>
      </c>
      <c r="F13" s="67">
        <v>0.49531858684326868</v>
      </c>
      <c r="G13" s="67">
        <v>0.50578772422605434</v>
      </c>
      <c r="H13" s="67">
        <v>0.58194946990132024</v>
      </c>
      <c r="I13" s="67">
        <v>0.61611305850809139</v>
      </c>
      <c r="J13" s="67">
        <v>0.63334948652864465</v>
      </c>
      <c r="K13" s="67">
        <v>0.64165886379923576</v>
      </c>
      <c r="L13" s="67">
        <v>0.64830585599218105</v>
      </c>
      <c r="N13" s="339"/>
      <c r="O13" s="67">
        <v>0.64830585599218105</v>
      </c>
      <c r="P13" s="67">
        <v>0.65273119272685742</v>
      </c>
      <c r="Q13" s="67">
        <v>0.65602475272254301</v>
      </c>
      <c r="R13" s="67">
        <v>0.65869864752261875</v>
      </c>
      <c r="S13" s="67">
        <v>0.65980949157446445</v>
      </c>
      <c r="T13" s="67">
        <v>0.66277145171705465</v>
      </c>
      <c r="U13" s="67">
        <v>0.66379830340209134</v>
      </c>
      <c r="V13" s="67">
        <v>0.6644652200310095</v>
      </c>
      <c r="W13" s="67">
        <v>0.66679746380970761</v>
      </c>
      <c r="X13" s="67">
        <v>0.66765118047510918</v>
      </c>
      <c r="Y13" s="67">
        <v>0.66803748118421447</v>
      </c>
    </row>
    <row r="14" spans="1:25">
      <c r="A14" s="340"/>
      <c r="B14" s="67">
        <v>0.10677905558591659</v>
      </c>
      <c r="C14" s="67">
        <v>0.10245545347840722</v>
      </c>
      <c r="D14" s="67">
        <v>0.10521134301338447</v>
      </c>
      <c r="E14" s="67">
        <v>0.10338435609876431</v>
      </c>
      <c r="F14" s="67">
        <v>9.7474266828351253E-2</v>
      </c>
      <c r="G14" s="67">
        <v>9.0982513803118781E-2</v>
      </c>
      <c r="H14" s="67">
        <v>6.4666674868537666E-2</v>
      </c>
      <c r="I14" s="67">
        <v>4.1692394375041623E-2</v>
      </c>
      <c r="J14" s="67">
        <v>3.228662218193315E-2</v>
      </c>
      <c r="K14" s="67">
        <v>2.7279250694941741E-2</v>
      </c>
      <c r="L14" s="67">
        <v>2.2417195533197348E-2</v>
      </c>
      <c r="N14" s="340"/>
      <c r="O14" s="67">
        <v>2.2417195533197348E-2</v>
      </c>
      <c r="P14" s="67">
        <v>2.1877387556514548E-2</v>
      </c>
      <c r="Q14" s="67">
        <v>1.9651672407697902E-2</v>
      </c>
      <c r="R14" s="67">
        <v>1.7211827038446221E-2</v>
      </c>
      <c r="S14" s="67">
        <v>1.7128429546077049E-2</v>
      </c>
      <c r="T14" s="67">
        <v>1.496412147426658E-2</v>
      </c>
      <c r="U14" s="67">
        <v>1.4433948409661088E-2</v>
      </c>
      <c r="V14" s="67">
        <v>1.4175394238207439E-2</v>
      </c>
      <c r="W14" s="67">
        <v>1.2850736231164582E-2</v>
      </c>
      <c r="X14" s="67">
        <v>1.2316400522307182E-2</v>
      </c>
      <c r="Y14" s="67">
        <v>1.3443926482220295E-2</v>
      </c>
    </row>
    <row r="15" spans="1:25">
      <c r="A15" s="340"/>
      <c r="B15" s="67">
        <v>0.12211515452336864</v>
      </c>
      <c r="C15" s="67">
        <v>0.12627157413093548</v>
      </c>
      <c r="D15" s="67">
        <v>0.12283063885170273</v>
      </c>
      <c r="E15" s="67">
        <v>0.12210746754957816</v>
      </c>
      <c r="F15" s="67">
        <v>0.11922346051076678</v>
      </c>
      <c r="G15" s="67">
        <v>0.108809925362434</v>
      </c>
      <c r="H15" s="67">
        <v>5.6782271788066115E-2</v>
      </c>
      <c r="I15" s="67">
        <v>3.6384540283484333E-2</v>
      </c>
      <c r="J15" s="67">
        <v>2.7868135052324931E-2</v>
      </c>
      <c r="K15" s="67">
        <v>2.3832587870030539E-2</v>
      </c>
      <c r="L15" s="67">
        <v>2.0773596052931689E-2</v>
      </c>
      <c r="N15" s="340"/>
      <c r="O15" s="67">
        <v>2.0773596052931689E-2</v>
      </c>
      <c r="P15" s="67">
        <v>1.7160310851450492E-2</v>
      </c>
      <c r="Q15" s="67">
        <v>1.6571293975728433E-2</v>
      </c>
      <c r="R15" s="67">
        <v>1.5561125798495114E-2</v>
      </c>
      <c r="S15" s="67">
        <v>1.4413903107230029E-2</v>
      </c>
      <c r="T15" s="67">
        <v>1.33138972447201E-2</v>
      </c>
      <c r="U15" s="67">
        <v>1.1314358285879181E-2</v>
      </c>
      <c r="V15" s="67">
        <v>1.2791809385989563E-2</v>
      </c>
      <c r="W15" s="67">
        <v>1.134624256979188E-2</v>
      </c>
      <c r="X15" s="67">
        <v>1.0650196350221497E-2</v>
      </c>
      <c r="Y15" s="67">
        <v>1.0285811755654276E-2</v>
      </c>
    </row>
    <row r="16" spans="1:25">
      <c r="A16" s="340"/>
      <c r="B16" s="67">
        <v>8.5616967796811117E-4</v>
      </c>
      <c r="C16" s="67">
        <v>1.0441602134805435E-3</v>
      </c>
      <c r="D16" s="67">
        <v>1.4666748578803181E-3</v>
      </c>
      <c r="E16" s="67">
        <v>2.5432881730147526E-3</v>
      </c>
      <c r="F16" s="67">
        <v>4.6052567760722805E-3</v>
      </c>
      <c r="G16" s="67">
        <v>1.6787699960368743E-2</v>
      </c>
      <c r="H16" s="67">
        <v>0.11383502834422249</v>
      </c>
      <c r="I16" s="67">
        <v>0.13762942234718642</v>
      </c>
      <c r="J16" s="67">
        <v>0.14761417357602019</v>
      </c>
      <c r="K16" s="67">
        <v>0.15844258859508764</v>
      </c>
      <c r="L16" s="67">
        <v>0.16317941014349474</v>
      </c>
      <c r="N16" s="340"/>
      <c r="O16" s="67">
        <v>0.16317941014349474</v>
      </c>
      <c r="P16" s="67">
        <v>0.16883653460470924</v>
      </c>
      <c r="Q16" s="67">
        <v>0.16714624190663308</v>
      </c>
      <c r="R16" s="67">
        <v>0.16680251147610914</v>
      </c>
      <c r="S16" s="67">
        <v>0.17133500731815415</v>
      </c>
      <c r="T16" s="67">
        <v>0.17395497094172371</v>
      </c>
      <c r="U16" s="67">
        <v>0.16941595802547008</v>
      </c>
      <c r="V16" s="67">
        <v>0.17553803930492179</v>
      </c>
      <c r="W16" s="67">
        <v>0.17785139847987366</v>
      </c>
      <c r="X16" s="67">
        <v>0.17722197789919703</v>
      </c>
      <c r="Y16" s="67">
        <v>0.17289910384310514</v>
      </c>
    </row>
    <row r="17" spans="1:25">
      <c r="A17" s="340"/>
      <c r="B17" s="67">
        <v>7.7776910709594831E-4</v>
      </c>
      <c r="C17" s="67">
        <v>1.0720336360171305E-3</v>
      </c>
      <c r="D17" s="67">
        <v>1.45573357405755E-3</v>
      </c>
      <c r="E17" s="67">
        <v>2.4334138729272437E-3</v>
      </c>
      <c r="F17" s="67">
        <v>5.5805481788744529E-3</v>
      </c>
      <c r="G17" s="67">
        <v>1.897735689025928E-2</v>
      </c>
      <c r="H17" s="67">
        <v>7.5665713198373341E-2</v>
      </c>
      <c r="I17" s="67">
        <v>9.4034227682427571E-2</v>
      </c>
      <c r="J17" s="67">
        <v>0.10357560369371079</v>
      </c>
      <c r="K17" s="67">
        <v>0.10151433726786441</v>
      </c>
      <c r="L17" s="67">
        <v>0.10352241326570276</v>
      </c>
      <c r="N17" s="340"/>
      <c r="O17" s="67">
        <v>0.10352241326570276</v>
      </c>
      <c r="P17" s="67">
        <v>0.10181431096499875</v>
      </c>
      <c r="Q17" s="67">
        <v>0.10714110082044621</v>
      </c>
      <c r="R17" s="67">
        <v>0.10975985621037677</v>
      </c>
      <c r="S17" s="67">
        <v>0.10710815096721689</v>
      </c>
      <c r="T17" s="67">
        <v>0.10706555047559994</v>
      </c>
      <c r="U17" s="67">
        <v>0.11316715472441648</v>
      </c>
      <c r="V17" s="67">
        <v>0.10732317293591319</v>
      </c>
      <c r="W17" s="67">
        <v>0.10735685290109741</v>
      </c>
      <c r="X17" s="67">
        <v>0.10930120135970697</v>
      </c>
      <c r="Y17" s="67">
        <v>0.11305503270308218</v>
      </c>
    </row>
    <row r="18" spans="1:25">
      <c r="A18" s="340"/>
      <c r="B18" s="67">
        <v>4.755851292844545E-2</v>
      </c>
      <c r="C18" s="67">
        <v>4.6821224899580231E-2</v>
      </c>
      <c r="D18" s="67">
        <v>4.5526370337743725E-2</v>
      </c>
      <c r="E18" s="67">
        <v>4.6720667650334703E-2</v>
      </c>
      <c r="F18" s="67">
        <v>4.5208995857670749E-2</v>
      </c>
      <c r="G18" s="67">
        <v>3.9833759469811367E-2</v>
      </c>
      <c r="H18" s="67">
        <v>1.6824513745659488E-2</v>
      </c>
      <c r="I18" s="67">
        <v>1.1474772216994082E-2</v>
      </c>
      <c r="J18" s="67">
        <v>8.0200433727753775E-3</v>
      </c>
      <c r="K18" s="67">
        <v>6.7493190266049389E-3</v>
      </c>
      <c r="L18" s="67">
        <v>6.2584709688595528E-3</v>
      </c>
      <c r="N18" s="340"/>
      <c r="O18" s="67">
        <v>6.2584709688595528E-3</v>
      </c>
      <c r="P18" s="67">
        <v>5.6303328056901804E-3</v>
      </c>
      <c r="Q18" s="67">
        <v>5.1353393951497567E-3</v>
      </c>
      <c r="R18" s="67">
        <v>4.5271875918509565E-3</v>
      </c>
      <c r="S18" s="67">
        <v>4.2346645973486592E-3</v>
      </c>
      <c r="T18" s="67">
        <v>4.0772364076044473E-3</v>
      </c>
      <c r="U18" s="67">
        <v>3.5364000513237589E-3</v>
      </c>
      <c r="V18" s="67">
        <v>3.6807698358501907E-3</v>
      </c>
      <c r="W18" s="67">
        <v>3.3736688961760754E-3</v>
      </c>
      <c r="X18" s="67">
        <v>3.2667487711065747E-3</v>
      </c>
      <c r="Y18" s="67">
        <v>3.2827382125600749E-3</v>
      </c>
    </row>
    <row r="19" spans="1:25">
      <c r="A19" s="340"/>
      <c r="B19" s="67">
        <v>8.2343813048458822E-2</v>
      </c>
      <c r="C19" s="67">
        <v>8.0749566371168424E-2</v>
      </c>
      <c r="D19" s="67">
        <v>8.1644623710284317E-2</v>
      </c>
      <c r="E19" s="67">
        <v>8.1176191881632304E-2</v>
      </c>
      <c r="F19" s="67">
        <v>7.9260692366643029E-2</v>
      </c>
      <c r="G19" s="67">
        <v>7.3497852451970228E-2</v>
      </c>
      <c r="H19" s="67">
        <v>5.3699976125867951E-2</v>
      </c>
      <c r="I19" s="67">
        <v>4.0449216521950854E-2</v>
      </c>
      <c r="J19" s="67">
        <v>3.0810655656396867E-2</v>
      </c>
      <c r="K19" s="67">
        <v>2.6274676691977944E-2</v>
      </c>
      <c r="L19" s="67">
        <v>2.4135614482784295E-2</v>
      </c>
      <c r="N19" s="340"/>
      <c r="O19" s="67">
        <v>2.4135614482784295E-2</v>
      </c>
      <c r="P19" s="67">
        <v>2.0492784918044883E-2</v>
      </c>
      <c r="Q19" s="67">
        <v>1.8409497329581491E-2</v>
      </c>
      <c r="R19" s="67">
        <v>1.7645171061335903E-2</v>
      </c>
      <c r="S19" s="67">
        <v>1.7335016592853265E-2</v>
      </c>
      <c r="T19" s="67">
        <v>1.5359149081788362E-2</v>
      </c>
      <c r="U19" s="67">
        <v>1.6557107249191218E-2</v>
      </c>
      <c r="V19" s="67">
        <v>1.4400876671060945E-2</v>
      </c>
      <c r="W19" s="67">
        <v>1.3839508994151047E-2</v>
      </c>
      <c r="X19" s="67">
        <v>1.358330014243442E-2</v>
      </c>
      <c r="Y19" s="67">
        <v>1.2521741913034751E-2</v>
      </c>
    </row>
    <row r="20" spans="1:25" ht="15.75" thickBot="1">
      <c r="A20" s="342"/>
      <c r="B20" s="67">
        <v>0.14876559920009083</v>
      </c>
      <c r="C20" s="67">
        <v>0.1504818480091325</v>
      </c>
      <c r="D20" s="67">
        <v>0.15111042016807311</v>
      </c>
      <c r="E20" s="67">
        <v>0.14931532188023339</v>
      </c>
      <c r="F20" s="67">
        <v>0.15332819263835304</v>
      </c>
      <c r="G20" s="67">
        <v>0.1453231678359837</v>
      </c>
      <c r="H20" s="67">
        <v>3.657635202795325E-2</v>
      </c>
      <c r="I20" s="67">
        <v>2.222236806482264E-2</v>
      </c>
      <c r="J20" s="67">
        <v>1.6475279938193348E-2</v>
      </c>
      <c r="K20" s="67">
        <v>1.4248376054256643E-2</v>
      </c>
      <c r="L20" s="67">
        <v>1.140744356084882E-2</v>
      </c>
      <c r="N20" s="342"/>
      <c r="O20" s="67">
        <v>1.140744356084882E-2</v>
      </c>
      <c r="P20" s="67">
        <v>1.1457145571733341E-2</v>
      </c>
      <c r="Q20" s="67">
        <v>9.9201014422203165E-3</v>
      </c>
      <c r="R20" s="67">
        <v>9.7936733007678838E-3</v>
      </c>
      <c r="S20" s="67">
        <v>8.6353362966557438E-3</v>
      </c>
      <c r="T20" s="67">
        <v>8.4936226572424074E-3</v>
      </c>
      <c r="U20" s="67">
        <v>7.7767698519673979E-3</v>
      </c>
      <c r="V20" s="67">
        <v>7.624717597046791E-3</v>
      </c>
      <c r="W20" s="67">
        <v>6.5841281180373341E-3</v>
      </c>
      <c r="X20" s="67">
        <v>6.0089944799167792E-3</v>
      </c>
      <c r="Y20" s="67">
        <v>6.4741639061287335E-3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18</vt:i4>
      </vt:variant>
    </vt:vector>
  </HeadingPairs>
  <TitlesOfParts>
    <vt:vector size="30" baseType="lpstr">
      <vt:lpstr>Control panel</vt:lpstr>
      <vt:lpstr>Scenarios</vt:lpstr>
      <vt:lpstr>Absolute visies</vt:lpstr>
      <vt:lpstr>Restricties</vt:lpstr>
      <vt:lpstr>Optimalisatie</vt:lpstr>
      <vt:lpstr>schaduw rendementen</vt:lpstr>
      <vt:lpstr>Samenvatting mixen</vt:lpstr>
      <vt:lpstr>Samenvatting mixen - return</vt:lpstr>
      <vt:lpstr>output IC</vt:lpstr>
      <vt:lpstr>Sheet1</vt:lpstr>
      <vt:lpstr>base_up_PE_neutral</vt:lpstr>
      <vt:lpstr>equilibrium</vt:lpstr>
      <vt:lpstr>aan_uit</vt:lpstr>
      <vt:lpstr>aantalAssets</vt:lpstr>
      <vt:lpstr>aantalScenarios</vt:lpstr>
      <vt:lpstr>assetsSpecified</vt:lpstr>
      <vt:lpstr>bmNummer</vt:lpstr>
      <vt:lpstr>doelstelling</vt:lpstr>
      <vt:lpstr>evenwichtRend</vt:lpstr>
      <vt:lpstr>k</vt:lpstr>
      <vt:lpstr>parametersAssets</vt:lpstr>
      <vt:lpstr>rendSpecified</vt:lpstr>
      <vt:lpstr>scenariosSchadusRendementen</vt:lpstr>
      <vt:lpstr>schaduwRendAssets</vt:lpstr>
      <vt:lpstr>schaduwRendMax</vt:lpstr>
      <vt:lpstr>schaduwRendMin</vt:lpstr>
      <vt:lpstr>schaduwRendnoAssets</vt:lpstr>
      <vt:lpstr>schaduwRendNoSteps</vt:lpstr>
      <vt:lpstr>showPlotJN</vt:lpstr>
      <vt:lpstr>trackingErrorHuidig</vt:lpstr>
    </vt:vector>
  </TitlesOfParts>
  <Company>Mn Services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hhk</dc:creator>
  <cp:lastModifiedBy>bgt</cp:lastModifiedBy>
  <cp:lastPrinted>2012-10-17T06:43:27Z</cp:lastPrinted>
  <dcterms:created xsi:type="dcterms:W3CDTF">2012-01-02T14:02:34Z</dcterms:created>
  <dcterms:modified xsi:type="dcterms:W3CDTF">2013-02-18T14:18:07Z</dcterms:modified>
</cp:coreProperties>
</file>