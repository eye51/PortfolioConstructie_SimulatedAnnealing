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3820" windowHeight="10365" activeTab="2"/>
  </bookViews>
  <sheets>
    <sheet name="main" sheetId="1" r:id="rId1"/>
    <sheet name="evenwicht" sheetId="3" r:id="rId2"/>
    <sheet name="scenarios" sheetId="2" r:id="rId3"/>
    <sheet name="covar_scenarios" sheetId="4" r:id="rId4"/>
    <sheet name="restricties" sheetId="5" r:id="rId5"/>
  </sheets>
  <externalReferences>
    <externalReference r:id="rId6"/>
    <externalReference r:id="rId7"/>
  </externalReferences>
  <definedNames>
    <definedName name="aan_uit">[2]Optimalisatie!$B$101:$B$102</definedName>
    <definedName name="assets">main!$A$2</definedName>
    <definedName name="assetSpecified">evenwicht!$B$115:$B$116</definedName>
    <definedName name="bmNummer">evenwicht!$B$114</definedName>
    <definedName name="evenwicht">evenwicht!$A$3</definedName>
    <definedName name="evenwichtRend">evenwicht!$C$4</definedName>
    <definedName name="k">'[1]Absolute visies'!$R$4:$Y$11</definedName>
    <definedName name="rendSpecified">evenwicht!$C$19:$C$20</definedName>
    <definedName name="trackingErrorHuidig">evenwicht!$C$16</definedName>
  </definedNames>
  <calcPr calcId="125725" calcOnSave="0"/>
</workbook>
</file>

<file path=xl/calcChain.xml><?xml version="1.0" encoding="utf-8"?>
<calcChain xmlns="http://schemas.openxmlformats.org/spreadsheetml/2006/main">
  <c r="H38" i="2"/>
  <c r="G38"/>
  <c r="E38"/>
  <c r="D38"/>
  <c r="C38"/>
  <c r="B38"/>
  <c r="A38"/>
  <c r="D37"/>
  <c r="A37"/>
  <c r="D36"/>
  <c r="A36"/>
  <c r="D35"/>
  <c r="A35"/>
  <c r="D34"/>
  <c r="A34"/>
  <c r="D33"/>
  <c r="A33"/>
  <c r="D32"/>
  <c r="A32"/>
  <c r="H31"/>
  <c r="D31"/>
  <c r="A31"/>
  <c r="H16"/>
  <c r="B14" i="1"/>
  <c r="G15" i="5" s="1"/>
  <c r="B13" i="1"/>
  <c r="B12"/>
  <c r="B11"/>
  <c r="G12" i="5" s="1"/>
  <c r="B10" i="1"/>
  <c r="B9"/>
  <c r="B8"/>
  <c r="B7"/>
  <c r="G8" i="5" s="1"/>
  <c r="B6" i="1"/>
  <c r="B5"/>
  <c r="B4"/>
  <c r="B3"/>
  <c r="G4" i="5" s="1"/>
  <c r="A14" i="1"/>
  <c r="A13"/>
  <c r="A12"/>
  <c r="A11"/>
  <c r="A10"/>
  <c r="A9"/>
  <c r="A8"/>
  <c r="A7"/>
  <c r="A6"/>
  <c r="A5"/>
  <c r="A4"/>
  <c r="A3"/>
  <c r="H16" i="5"/>
  <c r="D15"/>
  <c r="C15"/>
  <c r="G14"/>
  <c r="D14"/>
  <c r="C14"/>
  <c r="G13"/>
  <c r="D13"/>
  <c r="C13"/>
  <c r="G11"/>
  <c r="G10"/>
  <c r="G9"/>
  <c r="G7"/>
  <c r="G6"/>
  <c r="G5"/>
  <c r="A128"/>
  <c r="B127"/>
  <c r="A127"/>
  <c r="A126"/>
  <c r="B126" s="1"/>
  <c r="A124"/>
  <c r="B124" s="1"/>
  <c r="A120"/>
  <c r="B120" s="1"/>
  <c r="A116"/>
  <c r="B116" s="1"/>
  <c r="A30"/>
  <c r="A29"/>
  <c r="A28"/>
  <c r="A27"/>
  <c r="A26"/>
  <c r="A25"/>
  <c r="A24"/>
  <c r="A23"/>
  <c r="A22"/>
  <c r="A21"/>
  <c r="A20"/>
  <c r="A19"/>
  <c r="A15"/>
  <c r="A14"/>
  <c r="A125" s="1"/>
  <c r="B125" s="1"/>
  <c r="A13"/>
  <c r="A12"/>
  <c r="A123" s="1"/>
  <c r="B123" s="1"/>
  <c r="A11"/>
  <c r="A122" s="1"/>
  <c r="B122" s="1"/>
  <c r="A10"/>
  <c r="A121" s="1"/>
  <c r="B121" s="1"/>
  <c r="A9"/>
  <c r="A8"/>
  <c r="A119" s="1"/>
  <c r="B119" s="1"/>
  <c r="A7"/>
  <c r="A118" s="1"/>
  <c r="B118" s="1"/>
  <c r="A6"/>
  <c r="A117" s="1"/>
  <c r="B117" s="1"/>
  <c r="A5"/>
  <c r="A4"/>
  <c r="A115" s="1"/>
  <c r="B115" s="1"/>
  <c r="H3" i="1" l="1"/>
  <c r="A93" i="4"/>
  <c r="A78"/>
  <c r="A63"/>
  <c r="A48"/>
  <c r="A33"/>
  <c r="A18"/>
  <c r="O105"/>
  <c r="N105"/>
  <c r="M105"/>
  <c r="L105"/>
  <c r="K105"/>
  <c r="J105"/>
  <c r="I105"/>
  <c r="H105"/>
  <c r="G105"/>
  <c r="F105"/>
  <c r="E105"/>
  <c r="D105"/>
  <c r="C105"/>
  <c r="A105"/>
  <c r="B105" s="1"/>
  <c r="O104"/>
  <c r="N104"/>
  <c r="M104"/>
  <c r="L104"/>
  <c r="K104"/>
  <c r="J104"/>
  <c r="I104"/>
  <c r="H104"/>
  <c r="G104"/>
  <c r="F104"/>
  <c r="E104"/>
  <c r="D104"/>
  <c r="C104"/>
  <c r="A104"/>
  <c r="B104" s="1"/>
  <c r="O103"/>
  <c r="N103"/>
  <c r="M103"/>
  <c r="L103"/>
  <c r="K103"/>
  <c r="J103"/>
  <c r="I103"/>
  <c r="H103"/>
  <c r="G103"/>
  <c r="F103"/>
  <c r="E103"/>
  <c r="D103"/>
  <c r="C103"/>
  <c r="A103"/>
  <c r="B103" s="1"/>
  <c r="O102"/>
  <c r="N102"/>
  <c r="M102"/>
  <c r="L102"/>
  <c r="K102"/>
  <c r="J102"/>
  <c r="I102"/>
  <c r="H102"/>
  <c r="G102"/>
  <c r="F102"/>
  <c r="E102"/>
  <c r="D102"/>
  <c r="C102"/>
  <c r="A102"/>
  <c r="B102" s="1"/>
  <c r="O101"/>
  <c r="N101"/>
  <c r="M101"/>
  <c r="L101"/>
  <c r="K101"/>
  <c r="J101"/>
  <c r="I101"/>
  <c r="H101"/>
  <c r="G101"/>
  <c r="F101"/>
  <c r="E101"/>
  <c r="D101"/>
  <c r="C101"/>
  <c r="A101"/>
  <c r="B101" s="1"/>
  <c r="O100"/>
  <c r="N100"/>
  <c r="M100"/>
  <c r="L100"/>
  <c r="K100"/>
  <c r="J100"/>
  <c r="I100"/>
  <c r="H100"/>
  <c r="G100"/>
  <c r="F100"/>
  <c r="E100"/>
  <c r="D100"/>
  <c r="C100"/>
  <c r="A100"/>
  <c r="B100" s="1"/>
  <c r="O99"/>
  <c r="N99"/>
  <c r="M99"/>
  <c r="L99"/>
  <c r="K99"/>
  <c r="J99"/>
  <c r="I99"/>
  <c r="H99"/>
  <c r="G99"/>
  <c r="F99"/>
  <c r="E99"/>
  <c r="D99"/>
  <c r="C99"/>
  <c r="A99"/>
  <c r="B99" s="1"/>
  <c r="O98"/>
  <c r="N98"/>
  <c r="M98"/>
  <c r="L98"/>
  <c r="K98"/>
  <c r="J98"/>
  <c r="I98"/>
  <c r="H98"/>
  <c r="G98"/>
  <c r="F98"/>
  <c r="E98"/>
  <c r="D98"/>
  <c r="C98"/>
  <c r="A98"/>
  <c r="B98" s="1"/>
  <c r="O97"/>
  <c r="N97"/>
  <c r="M97"/>
  <c r="L97"/>
  <c r="K97"/>
  <c r="J97"/>
  <c r="I97"/>
  <c r="H97"/>
  <c r="G97"/>
  <c r="F97"/>
  <c r="E97"/>
  <c r="D97"/>
  <c r="C97"/>
  <c r="A97"/>
  <c r="B97" s="1"/>
  <c r="O96"/>
  <c r="N96"/>
  <c r="M96"/>
  <c r="L96"/>
  <c r="K96"/>
  <c r="J96"/>
  <c r="I96"/>
  <c r="H96"/>
  <c r="G96"/>
  <c r="F96"/>
  <c r="E96"/>
  <c r="D96"/>
  <c r="C96"/>
  <c r="A96"/>
  <c r="B96" s="1"/>
  <c r="O95"/>
  <c r="N95"/>
  <c r="M95"/>
  <c r="L95"/>
  <c r="K95"/>
  <c r="J95"/>
  <c r="I95"/>
  <c r="H95"/>
  <c r="G95"/>
  <c r="F95"/>
  <c r="E95"/>
  <c r="D95"/>
  <c r="C95"/>
  <c r="A95"/>
  <c r="B95" s="1"/>
  <c r="O94"/>
  <c r="N94"/>
  <c r="M94"/>
  <c r="L94"/>
  <c r="K94"/>
  <c r="J94"/>
  <c r="I94"/>
  <c r="H94"/>
  <c r="G94"/>
  <c r="F94"/>
  <c r="E94"/>
  <c r="D94"/>
  <c r="C94"/>
  <c r="A94"/>
  <c r="B94" s="1"/>
  <c r="A90"/>
  <c r="B90" s="1"/>
  <c r="A89"/>
  <c r="B89" s="1"/>
  <c r="A88"/>
  <c r="B88" s="1"/>
  <c r="A87"/>
  <c r="B87" s="1"/>
  <c r="A86"/>
  <c r="B86" s="1"/>
  <c r="A85"/>
  <c r="B85" s="1"/>
  <c r="A84"/>
  <c r="B84" s="1"/>
  <c r="A83"/>
  <c r="B83" s="1"/>
  <c r="A82"/>
  <c r="B82" s="1"/>
  <c r="A81"/>
  <c r="B81" s="1"/>
  <c r="A80"/>
  <c r="B80" s="1"/>
  <c r="A79"/>
  <c r="B79" s="1"/>
  <c r="A75"/>
  <c r="B75" s="1"/>
  <c r="A74"/>
  <c r="B74" s="1"/>
  <c r="A73"/>
  <c r="B73" s="1"/>
  <c r="A72"/>
  <c r="B72" s="1"/>
  <c r="A71"/>
  <c r="B71" s="1"/>
  <c r="A70"/>
  <c r="B70" s="1"/>
  <c r="A69"/>
  <c r="B69" s="1"/>
  <c r="A68"/>
  <c r="B68" s="1"/>
  <c r="A67"/>
  <c r="B67" s="1"/>
  <c r="A66"/>
  <c r="B66" s="1"/>
  <c r="A65"/>
  <c r="B65" s="1"/>
  <c r="A64"/>
  <c r="B64" s="1"/>
  <c r="O60"/>
  <c r="N60"/>
  <c r="M60"/>
  <c r="L60"/>
  <c r="K60"/>
  <c r="J60"/>
  <c r="I60"/>
  <c r="H60"/>
  <c r="G60"/>
  <c r="F60"/>
  <c r="E60"/>
  <c r="D60"/>
  <c r="C60"/>
  <c r="A60"/>
  <c r="B60" s="1"/>
  <c r="O59"/>
  <c r="N59"/>
  <c r="M59"/>
  <c r="L59"/>
  <c r="K59"/>
  <c r="J59"/>
  <c r="I59"/>
  <c r="H59"/>
  <c r="G59"/>
  <c r="F59"/>
  <c r="E59"/>
  <c r="D59"/>
  <c r="C59"/>
  <c r="A59"/>
  <c r="B59" s="1"/>
  <c r="O58"/>
  <c r="N58"/>
  <c r="M58"/>
  <c r="L58"/>
  <c r="K58"/>
  <c r="J58"/>
  <c r="I58"/>
  <c r="H58"/>
  <c r="G58"/>
  <c r="F58"/>
  <c r="E58"/>
  <c r="D58"/>
  <c r="C58"/>
  <c r="A58"/>
  <c r="B58" s="1"/>
  <c r="O57"/>
  <c r="N57"/>
  <c r="M57"/>
  <c r="L57"/>
  <c r="K57"/>
  <c r="J57"/>
  <c r="I57"/>
  <c r="H57"/>
  <c r="G57"/>
  <c r="F57"/>
  <c r="E57"/>
  <c r="D57"/>
  <c r="C57"/>
  <c r="A57"/>
  <c r="B57" s="1"/>
  <c r="O56"/>
  <c r="N56"/>
  <c r="M56"/>
  <c r="L56"/>
  <c r="K56"/>
  <c r="J56"/>
  <c r="I56"/>
  <c r="H56"/>
  <c r="G56"/>
  <c r="F56"/>
  <c r="E56"/>
  <c r="D56"/>
  <c r="C56"/>
  <c r="A56"/>
  <c r="B56" s="1"/>
  <c r="O55"/>
  <c r="N55"/>
  <c r="M55"/>
  <c r="L55"/>
  <c r="K55"/>
  <c r="J55"/>
  <c r="I55"/>
  <c r="H55"/>
  <c r="G55"/>
  <c r="F55"/>
  <c r="E55"/>
  <c r="D55"/>
  <c r="C55"/>
  <c r="A55"/>
  <c r="B55" s="1"/>
  <c r="O54"/>
  <c r="N54"/>
  <c r="M54"/>
  <c r="L54"/>
  <c r="K54"/>
  <c r="J54"/>
  <c r="I54"/>
  <c r="H54"/>
  <c r="G54"/>
  <c r="F54"/>
  <c r="E54"/>
  <c r="D54"/>
  <c r="C54"/>
  <c r="A54"/>
  <c r="B54" s="1"/>
  <c r="O53"/>
  <c r="N53"/>
  <c r="M53"/>
  <c r="L53"/>
  <c r="K53"/>
  <c r="J53"/>
  <c r="I53"/>
  <c r="H53"/>
  <c r="G53"/>
  <c r="F53"/>
  <c r="E53"/>
  <c r="D53"/>
  <c r="C53"/>
  <c r="A53"/>
  <c r="B53" s="1"/>
  <c r="O52"/>
  <c r="N52"/>
  <c r="M52"/>
  <c r="L52"/>
  <c r="K52"/>
  <c r="J52"/>
  <c r="I52"/>
  <c r="H52"/>
  <c r="G52"/>
  <c r="F52"/>
  <c r="E52"/>
  <c r="D52"/>
  <c r="C52"/>
  <c r="A52"/>
  <c r="B52" s="1"/>
  <c r="O51"/>
  <c r="N51"/>
  <c r="M51"/>
  <c r="L51"/>
  <c r="K51"/>
  <c r="J51"/>
  <c r="I51"/>
  <c r="H51"/>
  <c r="G51"/>
  <c r="F51"/>
  <c r="E51"/>
  <c r="D51"/>
  <c r="C51"/>
  <c r="A51"/>
  <c r="B51" s="1"/>
  <c r="O50"/>
  <c r="N50"/>
  <c r="M50"/>
  <c r="L50"/>
  <c r="K50"/>
  <c r="J50"/>
  <c r="I50"/>
  <c r="H50"/>
  <c r="G50"/>
  <c r="F50"/>
  <c r="E50"/>
  <c r="D50"/>
  <c r="C50"/>
  <c r="A50"/>
  <c r="B50" s="1"/>
  <c r="O49"/>
  <c r="N49"/>
  <c r="M49"/>
  <c r="L49"/>
  <c r="K49"/>
  <c r="J49"/>
  <c r="I49"/>
  <c r="H49"/>
  <c r="G49"/>
  <c r="F49"/>
  <c r="E49"/>
  <c r="D49"/>
  <c r="C49"/>
  <c r="A49"/>
  <c r="B49" s="1"/>
  <c r="O45"/>
  <c r="N45"/>
  <c r="M45"/>
  <c r="L45"/>
  <c r="K45"/>
  <c r="J45"/>
  <c r="I45"/>
  <c r="H45"/>
  <c r="G45"/>
  <c r="F45"/>
  <c r="E45"/>
  <c r="D45"/>
  <c r="C45"/>
  <c r="A45"/>
  <c r="B45" s="1"/>
  <c r="O44"/>
  <c r="N44"/>
  <c r="M44"/>
  <c r="L44"/>
  <c r="K44"/>
  <c r="J44"/>
  <c r="I44"/>
  <c r="H44"/>
  <c r="G44"/>
  <c r="F44"/>
  <c r="E44"/>
  <c r="D44"/>
  <c r="C44"/>
  <c r="A44"/>
  <c r="B44" s="1"/>
  <c r="O43"/>
  <c r="N43"/>
  <c r="M43"/>
  <c r="L43"/>
  <c r="K43"/>
  <c r="J43"/>
  <c r="I43"/>
  <c r="H43"/>
  <c r="G43"/>
  <c r="F43"/>
  <c r="E43"/>
  <c r="D43"/>
  <c r="C43"/>
  <c r="A43"/>
  <c r="B43" s="1"/>
  <c r="O42"/>
  <c r="N42"/>
  <c r="M42"/>
  <c r="L42"/>
  <c r="K42"/>
  <c r="J42"/>
  <c r="I42"/>
  <c r="H42"/>
  <c r="G42"/>
  <c r="F42"/>
  <c r="E42"/>
  <c r="D42"/>
  <c r="C42"/>
  <c r="A42"/>
  <c r="B42" s="1"/>
  <c r="O41"/>
  <c r="N41"/>
  <c r="M41"/>
  <c r="L41"/>
  <c r="K41"/>
  <c r="J41"/>
  <c r="I41"/>
  <c r="H41"/>
  <c r="G41"/>
  <c r="F41"/>
  <c r="E41"/>
  <c r="D41"/>
  <c r="C41"/>
  <c r="A41"/>
  <c r="B41" s="1"/>
  <c r="O40"/>
  <c r="N40"/>
  <c r="M40"/>
  <c r="L40"/>
  <c r="K40"/>
  <c r="J40"/>
  <c r="I40"/>
  <c r="H40"/>
  <c r="G40"/>
  <c r="F40"/>
  <c r="E40"/>
  <c r="D40"/>
  <c r="C40"/>
  <c r="A40"/>
  <c r="B40" s="1"/>
  <c r="O39"/>
  <c r="N39"/>
  <c r="M39"/>
  <c r="L39"/>
  <c r="K39"/>
  <c r="J39"/>
  <c r="I39"/>
  <c r="H39"/>
  <c r="G39"/>
  <c r="F39"/>
  <c r="E39"/>
  <c r="D39"/>
  <c r="C39"/>
  <c r="A39"/>
  <c r="B39" s="1"/>
  <c r="O38"/>
  <c r="N38"/>
  <c r="M38"/>
  <c r="L38"/>
  <c r="K38"/>
  <c r="J38"/>
  <c r="I38"/>
  <c r="H38"/>
  <c r="G38"/>
  <c r="F38"/>
  <c r="E38"/>
  <c r="D38"/>
  <c r="C38"/>
  <c r="A38"/>
  <c r="B38" s="1"/>
  <c r="O37"/>
  <c r="N37"/>
  <c r="M37"/>
  <c r="L37"/>
  <c r="K37"/>
  <c r="J37"/>
  <c r="I37"/>
  <c r="H37"/>
  <c r="G37"/>
  <c r="F37"/>
  <c r="E37"/>
  <c r="D37"/>
  <c r="C37"/>
  <c r="A37"/>
  <c r="B37" s="1"/>
  <c r="O36"/>
  <c r="N36"/>
  <c r="M36"/>
  <c r="L36"/>
  <c r="K36"/>
  <c r="J36"/>
  <c r="I36"/>
  <c r="H36"/>
  <c r="G36"/>
  <c r="F36"/>
  <c r="E36"/>
  <c r="D36"/>
  <c r="C36"/>
  <c r="A36"/>
  <c r="B36" s="1"/>
  <c r="O35"/>
  <c r="N35"/>
  <c r="M35"/>
  <c r="L35"/>
  <c r="K35"/>
  <c r="J35"/>
  <c r="I35"/>
  <c r="H35"/>
  <c r="G35"/>
  <c r="F35"/>
  <c r="E35"/>
  <c r="D35"/>
  <c r="C35"/>
  <c r="A35"/>
  <c r="B35" s="1"/>
  <c r="O34"/>
  <c r="N34"/>
  <c r="M34"/>
  <c r="L34"/>
  <c r="K34"/>
  <c r="J34"/>
  <c r="I34"/>
  <c r="H34"/>
  <c r="G34"/>
  <c r="F34"/>
  <c r="E34"/>
  <c r="D34"/>
  <c r="C34"/>
  <c r="A34"/>
  <c r="B34" s="1"/>
  <c r="O30"/>
  <c r="N30"/>
  <c r="M30"/>
  <c r="L30"/>
  <c r="K30"/>
  <c r="J30"/>
  <c r="I30"/>
  <c r="H30"/>
  <c r="G30"/>
  <c r="F30"/>
  <c r="E30"/>
  <c r="D30"/>
  <c r="C30"/>
  <c r="A30"/>
  <c r="B30" s="1"/>
  <c r="O29"/>
  <c r="N29"/>
  <c r="M29"/>
  <c r="L29"/>
  <c r="K29"/>
  <c r="J29"/>
  <c r="I29"/>
  <c r="H29"/>
  <c r="G29"/>
  <c r="F29"/>
  <c r="E29"/>
  <c r="D29"/>
  <c r="C29"/>
  <c r="A29"/>
  <c r="B29" s="1"/>
  <c r="O28"/>
  <c r="N28"/>
  <c r="M28"/>
  <c r="L28"/>
  <c r="K28"/>
  <c r="J28"/>
  <c r="I28"/>
  <c r="H28"/>
  <c r="G28"/>
  <c r="F28"/>
  <c r="E28"/>
  <c r="D28"/>
  <c r="C28"/>
  <c r="A28"/>
  <c r="B28" s="1"/>
  <c r="O27"/>
  <c r="N27"/>
  <c r="M27"/>
  <c r="L27"/>
  <c r="K27"/>
  <c r="J27"/>
  <c r="I27"/>
  <c r="H27"/>
  <c r="G27"/>
  <c r="F27"/>
  <c r="E27"/>
  <c r="D27"/>
  <c r="C27"/>
  <c r="A27"/>
  <c r="B27" s="1"/>
  <c r="O26"/>
  <c r="N26"/>
  <c r="M26"/>
  <c r="L26"/>
  <c r="K26"/>
  <c r="J26"/>
  <c r="I26"/>
  <c r="H26"/>
  <c r="G26"/>
  <c r="F26"/>
  <c r="E26"/>
  <c r="D26"/>
  <c r="C26"/>
  <c r="A26"/>
  <c r="B26" s="1"/>
  <c r="O25"/>
  <c r="N25"/>
  <c r="M25"/>
  <c r="L25"/>
  <c r="K25"/>
  <c r="J25"/>
  <c r="I25"/>
  <c r="H25"/>
  <c r="G25"/>
  <c r="F25"/>
  <c r="E25"/>
  <c r="D25"/>
  <c r="C25"/>
  <c r="A25"/>
  <c r="B25" s="1"/>
  <c r="O24"/>
  <c r="N24"/>
  <c r="M24"/>
  <c r="L24"/>
  <c r="K24"/>
  <c r="J24"/>
  <c r="I24"/>
  <c r="H24"/>
  <c r="G24"/>
  <c r="F24"/>
  <c r="E24"/>
  <c r="D24"/>
  <c r="C24"/>
  <c r="A24"/>
  <c r="B24" s="1"/>
  <c r="O23"/>
  <c r="N23"/>
  <c r="M23"/>
  <c r="L23"/>
  <c r="K23"/>
  <c r="J23"/>
  <c r="I23"/>
  <c r="H23"/>
  <c r="G23"/>
  <c r="F23"/>
  <c r="E23"/>
  <c r="D23"/>
  <c r="C23"/>
  <c r="A23"/>
  <c r="B23" s="1"/>
  <c r="O22"/>
  <c r="N22"/>
  <c r="M22"/>
  <c r="L22"/>
  <c r="K22"/>
  <c r="J22"/>
  <c r="I22"/>
  <c r="H22"/>
  <c r="G22"/>
  <c r="F22"/>
  <c r="E22"/>
  <c r="D22"/>
  <c r="C22"/>
  <c r="A22"/>
  <c r="B22" s="1"/>
  <c r="O21"/>
  <c r="N21"/>
  <c r="M21"/>
  <c r="L21"/>
  <c r="K21"/>
  <c r="J21"/>
  <c r="I21"/>
  <c r="H21"/>
  <c r="G21"/>
  <c r="F21"/>
  <c r="E21"/>
  <c r="D21"/>
  <c r="C21"/>
  <c r="A21"/>
  <c r="B21" s="1"/>
  <c r="O20"/>
  <c r="N20"/>
  <c r="M20"/>
  <c r="L20"/>
  <c r="K20"/>
  <c r="J20"/>
  <c r="I20"/>
  <c r="H20"/>
  <c r="G20"/>
  <c r="F20"/>
  <c r="E20"/>
  <c r="D20"/>
  <c r="C20"/>
  <c r="A20"/>
  <c r="B20" s="1"/>
  <c r="O19"/>
  <c r="N19"/>
  <c r="M19"/>
  <c r="L19"/>
  <c r="K19"/>
  <c r="J19"/>
  <c r="I19"/>
  <c r="H19"/>
  <c r="G19"/>
  <c r="F19"/>
  <c r="E19"/>
  <c r="D19"/>
  <c r="C19"/>
  <c r="A19"/>
  <c r="B19" s="1"/>
  <c r="O15"/>
  <c r="N15"/>
  <c r="M15"/>
  <c r="L15"/>
  <c r="K15"/>
  <c r="J15"/>
  <c r="I15"/>
  <c r="H15"/>
  <c r="G15"/>
  <c r="F15"/>
  <c r="E15"/>
  <c r="D15"/>
  <c r="C15"/>
  <c r="A15"/>
  <c r="O14"/>
  <c r="N14"/>
  <c r="M14"/>
  <c r="L14"/>
  <c r="K14"/>
  <c r="J14"/>
  <c r="I14"/>
  <c r="H14"/>
  <c r="G14"/>
  <c r="F14"/>
  <c r="E14"/>
  <c r="D14"/>
  <c r="C14"/>
  <c r="A14"/>
  <c r="O13"/>
  <c r="N13"/>
  <c r="M13"/>
  <c r="L13"/>
  <c r="K13"/>
  <c r="J13"/>
  <c r="I13"/>
  <c r="H13"/>
  <c r="G13"/>
  <c r="F13"/>
  <c r="E13"/>
  <c r="D13"/>
  <c r="C13"/>
  <c r="A13"/>
  <c r="O12"/>
  <c r="N12"/>
  <c r="M12"/>
  <c r="L12"/>
  <c r="K12"/>
  <c r="J12"/>
  <c r="I12"/>
  <c r="H12"/>
  <c r="G12"/>
  <c r="F12"/>
  <c r="E12"/>
  <c r="D12"/>
  <c r="C12"/>
  <c r="A12"/>
  <c r="O11"/>
  <c r="N11"/>
  <c r="M11"/>
  <c r="L11"/>
  <c r="K11"/>
  <c r="J11"/>
  <c r="I11"/>
  <c r="H11"/>
  <c r="G11"/>
  <c r="F11"/>
  <c r="E11"/>
  <c r="D11"/>
  <c r="C11"/>
  <c r="A11"/>
  <c r="O10"/>
  <c r="N10"/>
  <c r="M10"/>
  <c r="L10"/>
  <c r="K10"/>
  <c r="J10"/>
  <c r="I10"/>
  <c r="H10"/>
  <c r="G10"/>
  <c r="F10"/>
  <c r="E10"/>
  <c r="D10"/>
  <c r="C10"/>
  <c r="A10"/>
  <c r="O9"/>
  <c r="N9"/>
  <c r="M9"/>
  <c r="L9"/>
  <c r="K9"/>
  <c r="J9"/>
  <c r="I9"/>
  <c r="H9"/>
  <c r="G9"/>
  <c r="F9"/>
  <c r="E9"/>
  <c r="D9"/>
  <c r="C9"/>
  <c r="A9"/>
  <c r="O8"/>
  <c r="N8"/>
  <c r="M8"/>
  <c r="L8"/>
  <c r="K8"/>
  <c r="J8"/>
  <c r="I8"/>
  <c r="H8"/>
  <c r="G8"/>
  <c r="F8"/>
  <c r="E8"/>
  <c r="D8"/>
  <c r="C8"/>
  <c r="A8"/>
  <c r="O7"/>
  <c r="N7"/>
  <c r="M7"/>
  <c r="L7"/>
  <c r="K7"/>
  <c r="J7"/>
  <c r="I7"/>
  <c r="H7"/>
  <c r="G7"/>
  <c r="F7"/>
  <c r="E7"/>
  <c r="D7"/>
  <c r="C7"/>
  <c r="A7"/>
  <c r="O6"/>
  <c r="N6"/>
  <c r="M6"/>
  <c r="L6"/>
  <c r="K6"/>
  <c r="J6"/>
  <c r="I6"/>
  <c r="H6"/>
  <c r="G6"/>
  <c r="F6"/>
  <c r="E6"/>
  <c r="D6"/>
  <c r="C6"/>
  <c r="A6"/>
  <c r="O5"/>
  <c r="N5"/>
  <c r="M5"/>
  <c r="L5"/>
  <c r="K5"/>
  <c r="J5"/>
  <c r="I5"/>
  <c r="H5"/>
  <c r="G5"/>
  <c r="F5"/>
  <c r="E5"/>
  <c r="D5"/>
  <c r="C5"/>
  <c r="A5"/>
  <c r="O4"/>
  <c r="N4"/>
  <c r="M4"/>
  <c r="L4"/>
  <c r="K4"/>
  <c r="J4"/>
  <c r="I4"/>
  <c r="H4"/>
  <c r="G4"/>
  <c r="F4"/>
  <c r="C4"/>
  <c r="A4"/>
  <c r="E4"/>
  <c r="D4"/>
  <c r="K87"/>
  <c r="J87"/>
  <c r="I87"/>
  <c r="H87"/>
  <c r="G87"/>
  <c r="F87"/>
  <c r="E87"/>
  <c r="D87"/>
  <c r="C87"/>
  <c r="K72"/>
  <c r="J72"/>
  <c r="I72"/>
  <c r="H72"/>
  <c r="G72"/>
  <c r="F72"/>
  <c r="E72"/>
  <c r="D72"/>
  <c r="C72"/>
  <c r="H20" i="2"/>
  <c r="I16"/>
  <c r="B14"/>
  <c r="B13"/>
  <c r="B12"/>
  <c r="B11"/>
  <c r="B10"/>
  <c r="B9"/>
  <c r="B8"/>
  <c r="B7"/>
  <c r="B6"/>
  <c r="B5"/>
  <c r="B4"/>
  <c r="B3"/>
  <c r="A14"/>
  <c r="B15" i="4" s="1"/>
  <c r="A13" i="2"/>
  <c r="I13" s="1"/>
  <c r="A12"/>
  <c r="B13" i="4" s="1"/>
  <c r="A11" i="2"/>
  <c r="I11" s="1"/>
  <c r="A10"/>
  <c r="B11" i="4" s="1"/>
  <c r="A9" i="2"/>
  <c r="B10" i="4" s="1"/>
  <c r="A8" i="2"/>
  <c r="B9" i="4" s="1"/>
  <c r="A7" i="2"/>
  <c r="I7" s="1"/>
  <c r="A6"/>
  <c r="B7" i="4" s="1"/>
  <c r="A5" i="2"/>
  <c r="I5" s="1"/>
  <c r="A4"/>
  <c r="B5" i="4" s="1"/>
  <c r="A3" i="2"/>
  <c r="I3" s="1"/>
  <c r="I14"/>
  <c r="I12"/>
  <c r="I8"/>
  <c r="I4"/>
  <c r="B15" i="1"/>
  <c r="A112" i="3"/>
  <c r="B4" i="4" l="1"/>
  <c r="B8"/>
  <c r="B12"/>
  <c r="B6"/>
  <c r="B14"/>
  <c r="I6" i="2"/>
  <c r="I10"/>
  <c r="R4" i="4" a="1"/>
  <c r="W10" s="1"/>
  <c r="I9" i="2"/>
  <c r="V5" i="4" l="1"/>
  <c r="V7"/>
  <c r="V9"/>
  <c r="V11"/>
  <c r="Y5"/>
  <c r="Y7"/>
  <c r="Y9"/>
  <c r="Y11"/>
  <c r="X5"/>
  <c r="X7"/>
  <c r="T10"/>
  <c r="T8"/>
  <c r="W5"/>
  <c r="W7"/>
  <c r="W9"/>
  <c r="W11"/>
  <c r="R5"/>
  <c r="R7"/>
  <c r="R9"/>
  <c r="R11"/>
  <c r="U5"/>
  <c r="U7"/>
  <c r="U9"/>
  <c r="U11"/>
  <c r="T5"/>
  <c r="T7"/>
  <c r="X9"/>
  <c r="X11"/>
  <c r="S5"/>
  <c r="S7"/>
  <c r="S9"/>
  <c r="S11"/>
  <c r="R4"/>
  <c r="R6"/>
  <c r="R8"/>
  <c r="R10"/>
  <c r="U4"/>
  <c r="U6"/>
  <c r="U8"/>
  <c r="U10"/>
  <c r="T4"/>
  <c r="T6"/>
  <c r="X8"/>
  <c r="X10"/>
  <c r="S4"/>
  <c r="S6"/>
  <c r="S8"/>
  <c r="S10"/>
  <c r="V4"/>
  <c r="V6"/>
  <c r="V8"/>
  <c r="V10"/>
  <c r="Y4"/>
  <c r="Y6"/>
  <c r="Y8"/>
  <c r="Y10"/>
  <c r="X4"/>
  <c r="X6"/>
  <c r="T9"/>
  <c r="T11"/>
  <c r="W4"/>
  <c r="W6"/>
  <c r="W8"/>
  <c r="B116" i="3" l="1"/>
  <c r="B114"/>
  <c r="A111"/>
  <c r="A110"/>
  <c r="A109"/>
  <c r="A108"/>
  <c r="A107"/>
  <c r="A106"/>
  <c r="A105"/>
  <c r="A104"/>
  <c r="B115" s="1"/>
  <c r="B31" i="1"/>
  <c r="H14"/>
  <c r="K13"/>
  <c r="K12"/>
  <c r="K6"/>
  <c r="H7" l="1"/>
  <c r="E14"/>
  <c r="H15" i="5" s="1"/>
  <c r="E6" i="1"/>
  <c r="K10"/>
  <c r="K7"/>
  <c r="E10"/>
  <c r="K3"/>
  <c r="H11"/>
  <c r="K11"/>
  <c r="K14"/>
  <c r="E3"/>
  <c r="K4"/>
  <c r="K5"/>
  <c r="H6"/>
  <c r="E7"/>
  <c r="K8"/>
  <c r="K9"/>
  <c r="H10"/>
  <c r="E11"/>
  <c r="H4"/>
  <c r="H8"/>
  <c r="H12"/>
  <c r="H5"/>
  <c r="H9"/>
  <c r="H13"/>
  <c r="E4"/>
  <c r="E8"/>
  <c r="E12"/>
  <c r="H13" i="5" s="1"/>
  <c r="E5" i="1"/>
  <c r="E9"/>
  <c r="E13"/>
  <c r="H14" i="5" s="1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comments2.xml><?xml version="1.0" encoding="utf-8"?>
<comments xmlns="http://schemas.openxmlformats.org/spreadsheetml/2006/main">
  <authors>
    <author>SGP</author>
  </authors>
  <commentList>
    <comment ref="B22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<sst xmlns="http://schemas.openxmlformats.org/spreadsheetml/2006/main" count="214" uniqueCount="118">
  <si>
    <t>Strategische</t>
  </si>
  <si>
    <t>Restricties</t>
  </si>
  <si>
    <t>Optimale</t>
  </si>
  <si>
    <t>Verandering in</t>
  </si>
  <si>
    <t>Allocatie</t>
  </si>
  <si>
    <t>Allocatie (BL)</t>
  </si>
  <si>
    <t>Tracking error</t>
  </si>
  <si>
    <t>Aandelenrisicopremie</t>
  </si>
  <si>
    <t>Doelstelling</t>
  </si>
  <si>
    <t>Max rendement</t>
  </si>
  <si>
    <t>Actief (1/0)</t>
  </si>
  <si>
    <t>Minimale rendement</t>
  </si>
  <si>
    <t>Maximale TE</t>
  </si>
  <si>
    <t>Maximale LPM</t>
  </si>
  <si>
    <t>Lower partial moments (LPM)</t>
  </si>
  <si>
    <t>Doelrendement</t>
  </si>
  <si>
    <t>Orde</t>
  </si>
  <si>
    <t>Stochastische optimalisatie</t>
  </si>
  <si>
    <t>Aantal iteraties</t>
  </si>
  <si>
    <t>Laat plaatje zien</t>
  </si>
  <si>
    <t>Ja</t>
  </si>
  <si>
    <t>Geen</t>
  </si>
  <si>
    <t>Min TE</t>
  </si>
  <si>
    <t>Min LPM</t>
  </si>
  <si>
    <t>Nee</t>
  </si>
  <si>
    <t>Lange rente</t>
  </si>
  <si>
    <t>Inflatie</t>
  </si>
  <si>
    <t>HY spread</t>
  </si>
  <si>
    <t>EMD spread</t>
  </si>
  <si>
    <t>Groei recessie</t>
  </si>
  <si>
    <t>Euro-crisis</t>
  </si>
  <si>
    <t>Druk creeert diamanten</t>
  </si>
  <si>
    <t>Inflatie is fiscaal</t>
  </si>
  <si>
    <t>Evenwicht</t>
  </si>
  <si>
    <t>Evenwichts</t>
  </si>
  <si>
    <t xml:space="preserve">Relatieve </t>
  </si>
  <si>
    <t>Evenwichts correlaties (relatief)</t>
  </si>
  <si>
    <t>Portefeuille</t>
  </si>
  <si>
    <t>rendement</t>
  </si>
  <si>
    <t>Stdev</t>
  </si>
  <si>
    <t>Nom</t>
  </si>
  <si>
    <t>HY</t>
  </si>
  <si>
    <t>EMD</t>
  </si>
  <si>
    <t>Aand ontw</t>
  </si>
  <si>
    <t>Aand opk</t>
  </si>
  <si>
    <t>Commodities</t>
  </si>
  <si>
    <t>HF</t>
  </si>
  <si>
    <t>OG</t>
  </si>
  <si>
    <t>tstSec</t>
  </si>
  <si>
    <t>Nominale matching</t>
  </si>
  <si>
    <t>High Yield</t>
  </si>
  <si>
    <t>Emerging market debt</t>
  </si>
  <si>
    <t>Aandelen ontwikkeld</t>
  </si>
  <si>
    <t>Aandelen opkomend</t>
  </si>
  <si>
    <t>Hedge funds</t>
  </si>
  <si>
    <t>Onroerend goed</t>
  </si>
  <si>
    <t>Periferie bonds</t>
  </si>
  <si>
    <t>Bepaal evenwichtsrendement obv reverse engineering</t>
  </si>
  <si>
    <t>Benchmark</t>
  </si>
  <si>
    <t>Vast rendement</t>
  </si>
  <si>
    <t>Vast rendement (1)</t>
  </si>
  <si>
    <t>Vast rendement (2)</t>
  </si>
  <si>
    <t>Reeksen</t>
  </si>
  <si>
    <t>Naar Matlab</t>
  </si>
  <si>
    <t>Vast 1</t>
  </si>
  <si>
    <t>Vast 2</t>
  </si>
  <si>
    <t/>
  </si>
  <si>
    <t>Overrendementen</t>
  </si>
  <si>
    <t>Base Case</t>
  </si>
  <si>
    <t>Base - muddle down</t>
  </si>
  <si>
    <t>Base - muddle up</t>
  </si>
  <si>
    <t>Bear case</t>
  </si>
  <si>
    <t>Tail risk</t>
  </si>
  <si>
    <t>Bull case</t>
  </si>
  <si>
    <t>Kansgewogen</t>
  </si>
  <si>
    <t>Scenario Kans</t>
  </si>
  <si>
    <t>Verwacht Overrendement</t>
  </si>
  <si>
    <t>Scenario Kans (BL)</t>
  </si>
  <si>
    <t>Rendement/risico per scenario</t>
  </si>
  <si>
    <t>Gemiddelde</t>
  </si>
  <si>
    <t>Correlaties</t>
  </si>
  <si>
    <t>=huidige VCM</t>
  </si>
  <si>
    <t xml:space="preserve">30% tails </t>
  </si>
  <si>
    <t>10% tails</t>
  </si>
  <si>
    <t>= bear case</t>
  </si>
  <si>
    <t>Restricties voor optimalisatie</t>
  </si>
  <si>
    <t>Totaal portefeuille</t>
  </si>
  <si>
    <t>Binnen matching/return portefeuille</t>
  </si>
  <si>
    <t>Afwijking tov huidige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</si>
  <si>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</si>
  <si>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</si>
  <si>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</si>
  <si>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</si>
  <si>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</si>
  <si>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</si>
  <si>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</si>
  <si>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</si>
  <si>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</si>
  <si>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Extra restricties: aan (1) / uit (0)</t>
  </si>
  <si>
    <t>Gelijkheidsrestrictie</t>
  </si>
  <si>
    <t>Dropdown lijsten</t>
  </si>
  <si>
    <t>Extra restricties</t>
  </si>
  <si>
    <t>Aan</t>
  </si>
  <si>
    <t>Uit</t>
  </si>
  <si>
    <t>Naar matlab</t>
  </si>
  <si>
    <t xml:space="preserve">Minimaal </t>
  </si>
  <si>
    <t>Doorrekenen</t>
  </si>
  <si>
    <t>overrendement</t>
  </si>
  <si>
    <t>Aan (=1)/uit (=0)</t>
  </si>
  <si>
    <t>Max TE tov benchmark</t>
  </si>
  <si>
    <t>Max LPM</t>
  </si>
  <si>
    <t>Ja/Nee</t>
  </si>
  <si>
    <t>Doelstelling/restrictie per scenario</t>
  </si>
  <si>
    <t>Parameters voor Lower Partial Moments (LPM)</t>
  </si>
  <si>
    <t>Parameters voor Simulated Annealing</t>
  </si>
  <si>
    <t>Aantal iteraties in optimalisatie</t>
  </si>
  <si>
    <t>Aantal portefeuilles</t>
  </si>
  <si>
    <t>orde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</si>
</sst>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0000"/>
    <numFmt numFmtId="166" formatCode="0.0"/>
    <numFmt numFmtId="167" formatCode="0.0000%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230">
    <xf numFmtId="0" fontId="0" fillId="0" borderId="0" xfId="0"/>
    <xf numFmtId="0" fontId="0" fillId="3" borderId="2" xfId="0" applyFont="1" applyFill="1" applyBorder="1"/>
    <xf numFmtId="0" fontId="0" fillId="3" borderId="3" xfId="0" applyFill="1" applyBorder="1" applyAlignment="1">
      <alignment horizontal="center"/>
    </xf>
    <xf numFmtId="0" fontId="0" fillId="3" borderId="0" xfId="0" applyFill="1"/>
    <xf numFmtId="0" fontId="0" fillId="3" borderId="6" xfId="0" applyFont="1" applyFill="1" applyBorder="1"/>
    <xf numFmtId="0" fontId="0" fillId="3" borderId="7" xfId="0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164" fontId="0" fillId="4" borderId="12" xfId="0" applyNumberFormat="1" applyFont="1" applyFill="1" applyBorder="1" applyAlignment="1">
      <alignment horizontal="center"/>
    </xf>
    <xf numFmtId="164" fontId="0" fillId="3" borderId="12" xfId="0" applyNumberFormat="1" applyFont="1" applyFill="1" applyBorder="1" applyAlignment="1">
      <alignment horizontal="center"/>
    </xf>
    <xf numFmtId="164" fontId="0" fillId="3" borderId="7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right"/>
    </xf>
    <xf numFmtId="164" fontId="4" fillId="3" borderId="0" xfId="1" applyNumberFormat="1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right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0" fontId="0" fillId="3" borderId="0" xfId="0" applyFont="1" applyFill="1" applyBorder="1" applyAlignment="1">
      <alignment horizontal="center"/>
    </xf>
    <xf numFmtId="0" fontId="0" fillId="3" borderId="0" xfId="0" applyFont="1" applyFill="1" applyBorder="1"/>
    <xf numFmtId="164" fontId="0" fillId="3" borderId="0" xfId="1" applyNumberFormat="1" applyFont="1" applyFill="1" applyBorder="1" applyAlignment="1">
      <alignment horizontal="center"/>
    </xf>
    <xf numFmtId="0" fontId="2" fillId="2" borderId="1" xfId="2" applyFont="1" applyAlignment="1">
      <alignment horizontal="center"/>
    </xf>
    <xf numFmtId="0" fontId="0" fillId="3" borderId="8" xfId="0" applyFont="1" applyFill="1" applyBorder="1"/>
    <xf numFmtId="0" fontId="0" fillId="3" borderId="9" xfId="0" applyFont="1" applyFill="1" applyBorder="1"/>
    <xf numFmtId="0" fontId="0" fillId="3" borderId="11" xfId="0" applyFont="1" applyFill="1" applyBorder="1" applyAlignment="1">
      <alignment horizontal="right"/>
    </xf>
    <xf numFmtId="0" fontId="0" fillId="3" borderId="13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right"/>
    </xf>
    <xf numFmtId="0" fontId="0" fillId="3" borderId="14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3" fillId="3" borderId="0" xfId="0" applyFont="1" applyFill="1"/>
    <xf numFmtId="0" fontId="0" fillId="3" borderId="3" xfId="0" applyFont="1" applyFill="1" applyBorder="1"/>
    <xf numFmtId="0" fontId="0" fillId="3" borderId="7" xfId="0" applyFont="1" applyFill="1" applyBorder="1"/>
    <xf numFmtId="0" fontId="0" fillId="3" borderId="6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12" xfId="0" applyFont="1" applyFill="1" applyBorder="1"/>
    <xf numFmtId="164" fontId="0" fillId="3" borderId="11" xfId="1" applyNumberFormat="1" applyFont="1" applyFill="1" applyBorder="1" applyAlignment="1">
      <alignment horizontal="center"/>
    </xf>
    <xf numFmtId="164" fontId="0" fillId="3" borderId="13" xfId="1" applyNumberFormat="1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0" xfId="0" applyFont="1" applyFill="1" applyBorder="1"/>
    <xf numFmtId="0" fontId="3" fillId="3" borderId="0" xfId="0" applyFont="1" applyFill="1" applyBorder="1"/>
    <xf numFmtId="10" fontId="3" fillId="3" borderId="0" xfId="1" applyNumberFormat="1" applyFont="1" applyFill="1" applyBorder="1" applyAlignment="1"/>
    <xf numFmtId="0" fontId="6" fillId="3" borderId="0" xfId="0" applyFont="1" applyFill="1"/>
    <xf numFmtId="0" fontId="7" fillId="0" borderId="0" xfId="0" applyFont="1" applyFill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right"/>
    </xf>
    <xf numFmtId="2" fontId="8" fillId="0" borderId="2" xfId="2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7" fillId="3" borderId="6" xfId="0" applyFont="1" applyFill="1" applyBorder="1"/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7" fillId="3" borderId="0" xfId="0" applyFont="1" applyFill="1" applyBorder="1"/>
    <xf numFmtId="0" fontId="7" fillId="3" borderId="0" xfId="0" applyFont="1" applyFill="1" applyBorder="1" applyAlignment="1">
      <alignment horizontal="center"/>
    </xf>
    <xf numFmtId="164" fontId="6" fillId="4" borderId="0" xfId="1" applyNumberFormat="1" applyFont="1" applyFill="1" applyBorder="1" applyAlignment="1">
      <alignment horizontal="left"/>
    </xf>
    <xf numFmtId="164" fontId="6" fillId="3" borderId="12" xfId="1" applyNumberFormat="1" applyFont="1" applyFill="1" applyBorder="1" applyAlignment="1">
      <alignment horizontal="center"/>
    </xf>
    <xf numFmtId="164" fontId="9" fillId="4" borderId="11" xfId="1" applyNumberFormat="1" applyFont="1" applyFill="1" applyBorder="1" applyAlignment="1">
      <alignment horizontal="center"/>
    </xf>
    <xf numFmtId="164" fontId="9" fillId="4" borderId="2" xfId="1" applyNumberFormat="1" applyFont="1" applyFill="1" applyBorder="1" applyAlignment="1">
      <alignment horizontal="center"/>
    </xf>
    <xf numFmtId="164" fontId="9" fillId="4" borderId="4" xfId="1" applyNumberFormat="1" applyFont="1" applyFill="1" applyBorder="1" applyAlignment="1">
      <alignment horizontal="center"/>
    </xf>
    <xf numFmtId="164" fontId="6" fillId="4" borderId="4" xfId="1" applyNumberFormat="1" applyFont="1" applyFill="1" applyBorder="1" applyAlignment="1">
      <alignment horizontal="center"/>
    </xf>
    <xf numFmtId="164" fontId="6" fillId="4" borderId="5" xfId="1" applyNumberFormat="1" applyFont="1" applyFill="1" applyBorder="1" applyAlignment="1">
      <alignment horizontal="center"/>
    </xf>
    <xf numFmtId="0" fontId="6" fillId="3" borderId="0" xfId="0" applyFont="1" applyFill="1" applyBorder="1"/>
    <xf numFmtId="164" fontId="6" fillId="3" borderId="0" xfId="0" applyNumberFormat="1" applyFont="1" applyFill="1" applyBorder="1" applyAlignment="1">
      <alignment horizontal="center"/>
    </xf>
    <xf numFmtId="164" fontId="6" fillId="3" borderId="0" xfId="1" applyNumberFormat="1" applyFont="1" applyFill="1" applyBorder="1" applyAlignment="1">
      <alignment horizontal="center"/>
    </xf>
    <xf numFmtId="164" fontId="6" fillId="3" borderId="11" xfId="0" applyNumberFormat="1" applyFont="1" applyFill="1" applyBorder="1" applyAlignment="1">
      <alignment horizontal="center"/>
    </xf>
    <xf numFmtId="164" fontId="9" fillId="4" borderId="0" xfId="1" applyNumberFormat="1" applyFont="1" applyFill="1" applyBorder="1" applyAlignment="1">
      <alignment horizontal="center"/>
    </xf>
    <xf numFmtId="164" fontId="6" fillId="4" borderId="0" xfId="1" applyNumberFormat="1" applyFont="1" applyFill="1" applyBorder="1" applyAlignment="1">
      <alignment horizontal="center"/>
    </xf>
    <xf numFmtId="164" fontId="6" fillId="4" borderId="13" xfId="1" applyNumberFormat="1" applyFont="1" applyFill="1" applyBorder="1" applyAlignment="1">
      <alignment horizontal="center"/>
    </xf>
    <xf numFmtId="164" fontId="9" fillId="4" borderId="0" xfId="1" applyNumberFormat="1" applyFont="1" applyFill="1" applyBorder="1" applyAlignment="1">
      <alignment horizontal="left"/>
    </xf>
    <xf numFmtId="164" fontId="9" fillId="3" borderId="12" xfId="1" applyNumberFormat="1" applyFont="1" applyFill="1" applyBorder="1" applyAlignment="1">
      <alignment horizontal="center"/>
    </xf>
    <xf numFmtId="164" fontId="6" fillId="4" borderId="11" xfId="1" applyNumberFormat="1" applyFont="1" applyFill="1" applyBorder="1" applyAlignment="1">
      <alignment horizontal="center"/>
    </xf>
    <xf numFmtId="164" fontId="6" fillId="4" borderId="14" xfId="1" applyNumberFormat="1" applyFont="1" applyFill="1" applyBorder="1" applyAlignment="1">
      <alignment horizontal="left"/>
    </xf>
    <xf numFmtId="164" fontId="6" fillId="3" borderId="6" xfId="0" applyNumberFormat="1" applyFont="1" applyFill="1" applyBorder="1" applyAlignment="1">
      <alignment horizontal="center"/>
    </xf>
    <xf numFmtId="164" fontId="6" fillId="3" borderId="7" xfId="1" applyNumberFormat="1" applyFont="1" applyFill="1" applyBorder="1" applyAlignment="1">
      <alignment horizontal="center"/>
    </xf>
    <xf numFmtId="164" fontId="6" fillId="4" borderId="6" xfId="1" applyNumberFormat="1" applyFont="1" applyFill="1" applyBorder="1" applyAlignment="1">
      <alignment horizontal="center"/>
    </xf>
    <xf numFmtId="164" fontId="6" fillId="4" borderId="15" xfId="1" applyNumberFormat="1" applyFont="1" applyFill="1" applyBorder="1" applyAlignment="1">
      <alignment horizontal="center"/>
    </xf>
    <xf numFmtId="164" fontId="6" fillId="4" borderId="14" xfId="1" applyNumberFormat="1" applyFont="1" applyFill="1" applyBorder="1" applyAlignment="1">
      <alignment horizontal="center"/>
    </xf>
    <xf numFmtId="164" fontId="10" fillId="3" borderId="0" xfId="0" applyNumberFormat="1" applyFont="1" applyFill="1" applyBorder="1" applyAlignment="1">
      <alignment horizontal="center"/>
    </xf>
    <xf numFmtId="165" fontId="6" fillId="3" borderId="0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0" fontId="6" fillId="3" borderId="0" xfId="0" applyFont="1" applyFill="1" applyBorder="1" applyAlignment="1">
      <alignment horizontal="right"/>
    </xf>
    <xf numFmtId="166" fontId="11" fillId="2" borderId="1" xfId="2" applyNumberFormat="1" applyFont="1" applyAlignment="1">
      <alignment horizontal="center"/>
    </xf>
    <xf numFmtId="0" fontId="6" fillId="3" borderId="0" xfId="0" applyFont="1" applyFill="1" applyAlignment="1">
      <alignment horizontal="center"/>
    </xf>
    <xf numFmtId="164" fontId="11" fillId="2" borderId="1" xfId="2" applyNumberFormat="1" applyFont="1" applyAlignment="1">
      <alignment horizontal="center"/>
    </xf>
    <xf numFmtId="9" fontId="11" fillId="2" borderId="1" xfId="2" applyNumberFormat="1" applyFont="1" applyAlignment="1">
      <alignment horizontal="center"/>
    </xf>
    <xf numFmtId="9" fontId="6" fillId="3" borderId="0" xfId="1" applyFont="1" applyFill="1" applyBorder="1" applyAlignment="1">
      <alignment horizontal="center"/>
    </xf>
    <xf numFmtId="9" fontId="7" fillId="3" borderId="0" xfId="0" applyNumberFormat="1" applyFont="1" applyFill="1" applyBorder="1"/>
    <xf numFmtId="0" fontId="11" fillId="3" borderId="0" xfId="2" applyFont="1" applyFill="1" applyBorder="1" applyAlignment="1">
      <alignment horizontal="center"/>
    </xf>
    <xf numFmtId="167" fontId="6" fillId="3" borderId="0" xfId="0" applyNumberFormat="1" applyFont="1" applyFill="1"/>
    <xf numFmtId="164" fontId="11" fillId="3" borderId="0" xfId="2" applyNumberFormat="1" applyFont="1" applyFill="1" applyBorder="1" applyAlignment="1">
      <alignment horizontal="center"/>
    </xf>
    <xf numFmtId="0" fontId="12" fillId="3" borderId="0" xfId="0" applyFont="1" applyFill="1"/>
    <xf numFmtId="0" fontId="7" fillId="3" borderId="0" xfId="0" applyFont="1" applyFill="1"/>
    <xf numFmtId="9" fontId="7" fillId="3" borderId="0" xfId="0" applyNumberFormat="1" applyFont="1" applyFill="1" applyBorder="1" applyAlignment="1">
      <alignment horizontal="left"/>
    </xf>
    <xf numFmtId="9" fontId="7" fillId="3" borderId="0" xfId="0" applyNumberFormat="1" applyFont="1" applyFill="1" applyBorder="1" applyAlignment="1">
      <alignment horizontal="center"/>
    </xf>
    <xf numFmtId="10" fontId="7" fillId="3" borderId="0" xfId="1" applyNumberFormat="1" applyFont="1" applyFill="1" applyBorder="1" applyAlignment="1">
      <alignment horizontal="center"/>
    </xf>
    <xf numFmtId="10" fontId="7" fillId="3" borderId="0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0" xfId="0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>
      <alignment horizontal="center"/>
    </xf>
    <xf numFmtId="0" fontId="0" fillId="3" borderId="0" xfId="0" applyFill="1" applyBorder="1"/>
    <xf numFmtId="9" fontId="7" fillId="3" borderId="2" xfId="0" applyNumberFormat="1" applyFont="1" applyFill="1" applyBorder="1" applyAlignment="1">
      <alignment horizontal="left"/>
    </xf>
    <xf numFmtId="0" fontId="6" fillId="3" borderId="8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" xfId="0" applyFont="1" applyFill="1" applyBorder="1"/>
    <xf numFmtId="164" fontId="6" fillId="3" borderId="11" xfId="1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center"/>
    </xf>
    <xf numFmtId="0" fontId="6" fillId="3" borderId="12" xfId="0" applyFont="1" applyFill="1" applyBorder="1"/>
    <xf numFmtId="0" fontId="6" fillId="3" borderId="7" xfId="0" applyFont="1" applyFill="1" applyBorder="1"/>
    <xf numFmtId="164" fontId="6" fillId="3" borderId="6" xfId="1" applyNumberFormat="1" applyFont="1" applyFill="1" applyBorder="1" applyAlignment="1">
      <alignment horizontal="center"/>
    </xf>
    <xf numFmtId="0" fontId="7" fillId="3" borderId="9" xfId="0" applyFont="1" applyFill="1" applyBorder="1"/>
    <xf numFmtId="9" fontId="7" fillId="3" borderId="16" xfId="0" applyNumberFormat="1" applyFont="1" applyFill="1" applyBorder="1" applyAlignment="1">
      <alignment horizontal="center"/>
    </xf>
    <xf numFmtId="10" fontId="7" fillId="3" borderId="10" xfId="1" applyNumberFormat="1" applyFont="1" applyFill="1" applyBorder="1" applyAlignment="1">
      <alignment horizontal="center"/>
    </xf>
    <xf numFmtId="9" fontId="7" fillId="3" borderId="8" xfId="0" applyNumberFormat="1" applyFont="1" applyFill="1" applyBorder="1" applyAlignment="1">
      <alignment horizontal="center"/>
    </xf>
    <xf numFmtId="10" fontId="7" fillId="3" borderId="16" xfId="0" applyNumberFormat="1" applyFont="1" applyFill="1" applyBorder="1" applyAlignment="1">
      <alignment horizontal="center"/>
    </xf>
    <xf numFmtId="10" fontId="7" fillId="3" borderId="10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right"/>
    </xf>
    <xf numFmtId="9" fontId="7" fillId="3" borderId="10" xfId="0" applyNumberFormat="1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9" fontId="7" fillId="4" borderId="16" xfId="0" applyNumberFormat="1" applyFont="1" applyFill="1" applyBorder="1" applyAlignment="1">
      <alignment horizontal="center"/>
    </xf>
    <xf numFmtId="9" fontId="7" fillId="4" borderId="8" xfId="0" applyNumberFormat="1" applyFont="1" applyFill="1" applyBorder="1" applyAlignment="1">
      <alignment horizontal="center"/>
    </xf>
    <xf numFmtId="9" fontId="7" fillId="4" borderId="10" xfId="0" applyNumberFormat="1" applyFont="1" applyFill="1" applyBorder="1" applyAlignment="1">
      <alignment horizontal="center"/>
    </xf>
    <xf numFmtId="0" fontId="6" fillId="3" borderId="8" xfId="0" applyFont="1" applyFill="1" applyBorder="1"/>
    <xf numFmtId="0" fontId="6" fillId="3" borderId="11" xfId="0" applyFont="1" applyFill="1" applyBorder="1"/>
    <xf numFmtId="2" fontId="6" fillId="3" borderId="2" xfId="0" applyNumberFormat="1" applyFont="1" applyFill="1" applyBorder="1" applyAlignment="1">
      <alignment horizontal="center"/>
    </xf>
    <xf numFmtId="2" fontId="6" fillId="3" borderId="4" xfId="0" applyNumberFormat="1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0" fontId="6" fillId="3" borderId="0" xfId="0" quotePrefix="1" applyFont="1" applyFill="1"/>
    <xf numFmtId="2" fontId="6" fillId="3" borderId="11" xfId="0" applyNumberFormat="1" applyFont="1" applyFill="1" applyBorder="1" applyAlignment="1">
      <alignment horizontal="center"/>
    </xf>
    <xf numFmtId="2" fontId="6" fillId="3" borderId="0" xfId="0" applyNumberFormat="1" applyFont="1" applyFill="1" applyBorder="1" applyAlignment="1">
      <alignment horizontal="center"/>
    </xf>
    <xf numFmtId="2" fontId="6" fillId="3" borderId="13" xfId="0" applyNumberFormat="1" applyFont="1" applyFill="1" applyBorder="1" applyAlignment="1">
      <alignment horizontal="center"/>
    </xf>
    <xf numFmtId="0" fontId="6" fillId="3" borderId="6" xfId="0" applyFont="1" applyFill="1" applyBorder="1"/>
    <xf numFmtId="2" fontId="6" fillId="3" borderId="6" xfId="0" applyNumberFormat="1" applyFont="1" applyFill="1" applyBorder="1" applyAlignment="1">
      <alignment horizontal="center"/>
    </xf>
    <xf numFmtId="2" fontId="6" fillId="3" borderId="15" xfId="0" applyNumberFormat="1" applyFont="1" applyFill="1" applyBorder="1" applyAlignment="1">
      <alignment horizontal="center"/>
    </xf>
    <xf numFmtId="2" fontId="6" fillId="3" borderId="14" xfId="0" applyNumberFormat="1" applyFont="1" applyFill="1" applyBorder="1" applyAlignment="1">
      <alignment horizontal="center"/>
    </xf>
    <xf numFmtId="9" fontId="6" fillId="3" borderId="8" xfId="0" applyNumberFormat="1" applyFont="1" applyFill="1" applyBorder="1"/>
    <xf numFmtId="164" fontId="6" fillId="3" borderId="12" xfId="0" applyNumberFormat="1" applyFont="1" applyFill="1" applyBorder="1" applyAlignment="1">
      <alignment horizontal="center"/>
    </xf>
    <xf numFmtId="164" fontId="6" fillId="3" borderId="7" xfId="0" applyNumberFormat="1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2" fontId="6" fillId="3" borderId="11" xfId="1" applyNumberFormat="1" applyFont="1" applyFill="1" applyBorder="1" applyAlignment="1">
      <alignment horizontal="center"/>
    </xf>
    <xf numFmtId="2" fontId="6" fillId="3" borderId="0" xfId="1" applyNumberFormat="1" applyFont="1" applyFill="1" applyBorder="1" applyAlignment="1">
      <alignment horizontal="center"/>
    </xf>
    <xf numFmtId="2" fontId="6" fillId="3" borderId="13" xfId="1" applyNumberFormat="1" applyFont="1" applyFill="1" applyBorder="1" applyAlignment="1">
      <alignment horizontal="center"/>
    </xf>
    <xf numFmtId="2" fontId="6" fillId="3" borderId="6" xfId="1" applyNumberFormat="1" applyFont="1" applyFill="1" applyBorder="1" applyAlignment="1">
      <alignment horizontal="center"/>
    </xf>
    <xf numFmtId="2" fontId="6" fillId="3" borderId="15" xfId="1" applyNumberFormat="1" applyFont="1" applyFill="1" applyBorder="1" applyAlignment="1">
      <alignment horizontal="center"/>
    </xf>
    <xf numFmtId="2" fontId="6" fillId="3" borderId="14" xfId="1" applyNumberFormat="1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2" fontId="8" fillId="0" borderId="2" xfId="2" applyNumberFormat="1" applyFont="1" applyFill="1" applyBorder="1" applyAlignment="1">
      <alignment horizontal="center"/>
    </xf>
    <xf numFmtId="2" fontId="8" fillId="0" borderId="4" xfId="2" applyNumberFormat="1" applyFont="1" applyFill="1" applyBorder="1" applyAlignment="1">
      <alignment horizontal="center"/>
    </xf>
    <xf numFmtId="0" fontId="0" fillId="0" borderId="4" xfId="0" applyBorder="1" applyAlignment="1"/>
    <xf numFmtId="0" fontId="0" fillId="0" borderId="5" xfId="0" applyBorder="1" applyAlignment="1"/>
    <xf numFmtId="0" fontId="7" fillId="3" borderId="0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3" borderId="0" xfId="0" applyFont="1" applyFill="1"/>
    <xf numFmtId="164" fontId="6" fillId="3" borderId="0" xfId="0" applyNumberFormat="1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19" xfId="0" applyFont="1" applyFill="1" applyBorder="1"/>
    <xf numFmtId="0" fontId="8" fillId="3" borderId="20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164" fontId="6" fillId="3" borderId="2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right"/>
    </xf>
    <xf numFmtId="0" fontId="8" fillId="3" borderId="0" xfId="0" applyFont="1" applyFill="1" applyBorder="1" applyAlignment="1">
      <alignment horizontal="right"/>
    </xf>
    <xf numFmtId="9" fontId="7" fillId="3" borderId="3" xfId="0" applyNumberFormat="1" applyFont="1" applyFill="1" applyBorder="1"/>
    <xf numFmtId="1" fontId="6" fillId="3" borderId="4" xfId="0" applyNumberFormat="1" applyFont="1" applyFill="1" applyBorder="1" applyAlignment="1">
      <alignment horizontal="center"/>
    </xf>
    <xf numFmtId="1" fontId="6" fillId="3" borderId="5" xfId="0" applyNumberFormat="1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7" fillId="3" borderId="7" xfId="0" applyFont="1" applyFill="1" applyBorder="1"/>
    <xf numFmtId="0" fontId="6" fillId="3" borderId="15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22" xfId="0" applyFont="1" applyFill="1" applyBorder="1"/>
    <xf numFmtId="0" fontId="6" fillId="3" borderId="22" xfId="0" applyFont="1" applyFill="1" applyBorder="1" applyAlignment="1">
      <alignment horizontal="center"/>
    </xf>
    <xf numFmtId="164" fontId="6" fillId="4" borderId="3" xfId="0" applyNumberFormat="1" applyFont="1" applyFill="1" applyBorder="1" applyAlignment="1">
      <alignment horizontal="center"/>
    </xf>
    <xf numFmtId="164" fontId="6" fillId="4" borderId="12" xfId="0" applyNumberFormat="1" applyFont="1" applyFill="1" applyBorder="1" applyAlignment="1">
      <alignment horizontal="center"/>
    </xf>
    <xf numFmtId="164" fontId="6" fillId="4" borderId="7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9" fillId="4" borderId="11" xfId="0" applyNumberFormat="1" applyFont="1" applyFill="1" applyBorder="1" applyAlignment="1">
      <alignment horizontal="center"/>
    </xf>
    <xf numFmtId="164" fontId="6" fillId="4" borderId="6" xfId="0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left"/>
    </xf>
    <xf numFmtId="164" fontId="6" fillId="3" borderId="12" xfId="1" applyNumberFormat="1" applyFont="1" applyFill="1" applyBorder="1" applyAlignment="1">
      <alignment horizontal="left"/>
    </xf>
    <xf numFmtId="164" fontId="6" fillId="3" borderId="7" xfId="1" applyNumberFormat="1" applyFont="1" applyFill="1" applyBorder="1" applyAlignment="1">
      <alignment horizontal="left"/>
    </xf>
    <xf numFmtId="0" fontId="7" fillId="3" borderId="2" xfId="0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0" fillId="3" borderId="5" xfId="0" applyFill="1" applyBorder="1"/>
    <xf numFmtId="0" fontId="7" fillId="3" borderId="5" xfId="0" applyFont="1" applyFill="1" applyBorder="1"/>
    <xf numFmtId="0" fontId="7" fillId="3" borderId="5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9" fontId="6" fillId="3" borderId="11" xfId="0" applyNumberFormat="1" applyFont="1" applyFill="1" applyBorder="1" applyAlignment="1">
      <alignment horizontal="center"/>
    </xf>
    <xf numFmtId="9" fontId="0" fillId="3" borderId="13" xfId="0" applyNumberFormat="1" applyFill="1" applyBorder="1" applyAlignment="1">
      <alignment horizontal="center"/>
    </xf>
    <xf numFmtId="9" fontId="6" fillId="3" borderId="6" xfId="0" applyNumberFormat="1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9" fontId="0" fillId="3" borderId="14" xfId="0" applyNumberFormat="1" applyFill="1" applyBorder="1" applyAlignment="1">
      <alignment horizontal="center"/>
    </xf>
    <xf numFmtId="9" fontId="6" fillId="3" borderId="0" xfId="0" applyNumberFormat="1" applyFont="1" applyFill="1" applyBorder="1"/>
    <xf numFmtId="0" fontId="2" fillId="2" borderId="1" xfId="2" applyAlignment="1">
      <alignment horizontal="center"/>
    </xf>
    <xf numFmtId="9" fontId="6" fillId="3" borderId="2" xfId="0" applyNumberFormat="1" applyFont="1" applyFill="1" applyBorder="1"/>
    <xf numFmtId="0" fontId="0" fillId="3" borderId="6" xfId="0" applyFill="1" applyBorder="1"/>
    <xf numFmtId="9" fontId="6" fillId="3" borderId="11" xfId="0" applyNumberFormat="1" applyFont="1" applyFill="1" applyBorder="1"/>
    <xf numFmtId="9" fontId="6" fillId="3" borderId="6" xfId="0" applyNumberFormat="1" applyFont="1" applyFill="1" applyBorder="1"/>
    <xf numFmtId="9" fontId="2" fillId="2" borderId="1" xfId="2" applyNumberFormat="1" applyAlignment="1">
      <alignment horizontal="center"/>
    </xf>
    <xf numFmtId="0" fontId="9" fillId="3" borderId="0" xfId="0" applyFont="1" applyFill="1"/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timalisatie_BL_unconstrained_v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gt/Documents/offline/Portfolio%20Constructie/Model%20Portefeuille/added%20scenarios%20and%20assets/Optimalisatie_2013_MP_BaseCase_100_unconstrained_februari_v0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chaduw rendementen"/>
      <sheetName val="Samenvatting mixen"/>
      <sheetName val="Samenvatting mixen - return"/>
      <sheetName val="output IC"/>
      <sheetName val="samenvatting_BL"/>
      <sheetName val="samenvatting_BL_entropy"/>
    </sheetNames>
    <sheetDataSet>
      <sheetData sheetId="0">
        <row r="3">
          <cell r="F3">
            <v>0.57446773586607058</v>
          </cell>
        </row>
      </sheetData>
      <sheetData sheetId="1"/>
      <sheetData sheetId="2">
        <row r="4">
          <cell r="R4">
            <v>1.8879154891798429E-3</v>
          </cell>
          <cell r="S4">
            <v>3.6117928682326554E-3</v>
          </cell>
          <cell r="T4">
            <v>3.5574712270892636E-3</v>
          </cell>
          <cell r="U4">
            <v>3.1804465765196827E-3</v>
          </cell>
          <cell r="V4">
            <v>3.8194368502445994E-3</v>
          </cell>
          <cell r="W4">
            <v>3.5683361505022097E-3</v>
          </cell>
          <cell r="X4">
            <v>3.4103820061645372E-3</v>
          </cell>
          <cell r="Y4">
            <v>3.4472855653615016E-3</v>
          </cell>
        </row>
        <row r="5">
          <cell r="R5">
            <v>3.6117928682326524E-3</v>
          </cell>
          <cell r="S5">
            <v>2.5133539682509146E-2</v>
          </cell>
          <cell r="T5">
            <v>2.42544973313066E-2</v>
          </cell>
          <cell r="U5">
            <v>3.3723927940032879E-2</v>
          </cell>
          <cell r="V5">
            <v>3.4832996012383759E-2</v>
          </cell>
          <cell r="W5">
            <v>3.149377892134287E-2</v>
          </cell>
          <cell r="X5">
            <v>2.2089748417517992E-2</v>
          </cell>
          <cell r="Y5">
            <v>2.7437906502276666E-2</v>
          </cell>
        </row>
        <row r="6">
          <cell r="R6">
            <v>3.5574712270892645E-3</v>
          </cell>
          <cell r="S6">
            <v>2.42544973313066E-2</v>
          </cell>
          <cell r="T6">
            <v>2.6299930380085677E-2</v>
          </cell>
          <cell r="U6">
            <v>3.5966362616362865E-2</v>
          </cell>
          <cell r="V6">
            <v>3.7954838153009651E-2</v>
          </cell>
          <cell r="W6">
            <v>3.3414859318395565E-2</v>
          </cell>
          <cell r="X6">
            <v>2.271443305379434E-2</v>
          </cell>
          <cell r="Y6">
            <v>2.8157686969952241E-2</v>
          </cell>
        </row>
        <row r="7">
          <cell r="R7">
            <v>3.1804465765196909E-3</v>
          </cell>
          <cell r="S7">
            <v>3.3723927940032886E-2</v>
          </cell>
          <cell r="T7">
            <v>3.5966362616362865E-2</v>
          </cell>
          <cell r="U7">
            <v>8.2477939124714281E-2</v>
          </cell>
          <cell r="V7">
            <v>6.8985335649692545E-2</v>
          </cell>
          <cell r="W7">
            <v>6.5548336970937676E-2</v>
          </cell>
          <cell r="X7">
            <v>3.4430574368130892E-2</v>
          </cell>
          <cell r="Y7">
            <v>5.1054917016870496E-2</v>
          </cell>
        </row>
        <row r="8">
          <cell r="R8">
            <v>3.8194368502446055E-3</v>
          </cell>
          <cell r="S8">
            <v>3.4832996012383766E-2</v>
          </cell>
          <cell r="T8">
            <v>3.7954838153009651E-2</v>
          </cell>
          <cell r="U8">
            <v>6.8985335649692545E-2</v>
          </cell>
          <cell r="V8">
            <v>8.7713101092798368E-2</v>
          </cell>
          <cell r="W8">
            <v>6.1828964000340367E-2</v>
          </cell>
          <cell r="X8">
            <v>3.0754488693050051E-2</v>
          </cell>
          <cell r="Y8">
            <v>4.6616009330699086E-2</v>
          </cell>
        </row>
        <row r="9">
          <cell r="R9">
            <v>3.5683361505022149E-3</v>
          </cell>
          <cell r="S9">
            <v>3.1493778921342877E-2</v>
          </cell>
          <cell r="T9">
            <v>3.3414859318395572E-2</v>
          </cell>
          <cell r="U9">
            <v>6.5548336970937676E-2</v>
          </cell>
          <cell r="V9">
            <v>6.182896400034036E-2</v>
          </cell>
          <cell r="W9">
            <v>0.10659060501779552</v>
          </cell>
          <cell r="X9">
            <v>3.0209920570797095E-2</v>
          </cell>
          <cell r="Y9">
            <v>4.3930910080429195E-2</v>
          </cell>
        </row>
        <row r="10">
          <cell r="R10">
            <v>3.4103820061645385E-3</v>
          </cell>
          <cell r="S10">
            <v>2.2089748417517995E-2</v>
          </cell>
          <cell r="T10">
            <v>2.2714433053794343E-2</v>
          </cell>
          <cell r="U10">
            <v>3.4430574368130892E-2</v>
          </cell>
          <cell r="V10">
            <v>3.0754488693050048E-2</v>
          </cell>
          <cell r="W10">
            <v>3.0209920570797091E-2</v>
          </cell>
          <cell r="X10">
            <v>2.5846663306962767E-2</v>
          </cell>
          <cell r="Y10">
            <v>2.5721587353605819E-2</v>
          </cell>
        </row>
        <row r="11">
          <cell r="R11">
            <v>3.4472855653615029E-3</v>
          </cell>
          <cell r="S11">
            <v>2.7437906502276666E-2</v>
          </cell>
          <cell r="T11">
            <v>2.8157686969952238E-2</v>
          </cell>
          <cell r="U11">
            <v>5.1054917016870503E-2</v>
          </cell>
          <cell r="V11">
            <v>4.6616009330699093E-2</v>
          </cell>
          <cell r="W11">
            <v>4.3930910080429195E-2</v>
          </cell>
          <cell r="X11">
            <v>2.5721587353605819E-2</v>
          </cell>
          <cell r="Y11">
            <v>4.0256611706221253E-2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chaduw rendementen"/>
      <sheetName val="Samenvatting mixen"/>
      <sheetName val="Samenvatting mixen - return"/>
      <sheetName val="output IC"/>
      <sheetName val="Sheet1"/>
      <sheetName val="base_up_PE_neutral"/>
      <sheetName val="equilibrium"/>
    </sheetNames>
    <definedNames>
      <definedName name="matchingPortefeuilleMaxOpEen"/>
      <definedName name="matchingPortefeuilleMinOpNul"/>
      <definedName name="Optimalisatie.Optimalisatie"/>
      <definedName name="totaalPortefeuilleMaxOpEen"/>
      <definedName name="totaalPortefeuilleMinOpNul"/>
    </definedNames>
    <sheetDataSet>
      <sheetData sheetId="0"/>
      <sheetData sheetId="1"/>
      <sheetData sheetId="2">
        <row r="4">
          <cell r="A4" t="str">
            <v>Nominale matching</v>
          </cell>
        </row>
        <row r="5">
          <cell r="A5" t="str">
            <v>High Yield</v>
          </cell>
        </row>
        <row r="6">
          <cell r="A6" t="str">
            <v>Emerging market debt</v>
          </cell>
        </row>
        <row r="7">
          <cell r="A7" t="str">
            <v>Aandelen ontwikkeld</v>
          </cell>
        </row>
        <row r="8">
          <cell r="A8" t="str">
            <v>Aandelen opkomend</v>
          </cell>
        </row>
        <row r="9">
          <cell r="A9" t="str">
            <v>Commodities</v>
          </cell>
        </row>
        <row r="10">
          <cell r="A10" t="str">
            <v>Hedge funds</v>
          </cell>
        </row>
        <row r="11">
          <cell r="A11" t="str">
            <v>Onroerend goed</v>
          </cell>
        </row>
        <row r="12">
          <cell r="A12" t="str">
            <v>Periferie bonds</v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</sheetData>
      <sheetData sheetId="3"/>
      <sheetData sheetId="4">
        <row r="101">
          <cell r="B101">
            <v>1</v>
          </cell>
        </row>
        <row r="102">
          <cell r="B10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10"/>
  <sheetViews>
    <sheetView workbookViewId="0">
      <selection activeCell="A2" sqref="A2"/>
    </sheetView>
  </sheetViews>
  <sheetFormatPr defaultRowHeight="15"/>
  <cols>
    <col min="1" max="1" width="32.7109375" style="3" customWidth="1"/>
    <col min="2" max="5" width="15.7109375" style="3" customWidth="1"/>
    <col min="6" max="6" width="17.28515625" style="3" customWidth="1"/>
    <col min="7" max="8" width="14.28515625" style="3" bestFit="1" customWidth="1"/>
    <col min="9" max="9" width="13.85546875" style="3" customWidth="1"/>
    <col min="10" max="10" width="14.85546875" style="3" customWidth="1"/>
    <col min="11" max="11" width="9.140625" style="3"/>
    <col min="12" max="12" width="12.7109375" style="3" bestFit="1" customWidth="1"/>
    <col min="13" max="13" width="14.28515625" style="3" bestFit="1" customWidth="1"/>
    <col min="14" max="16384" width="9.140625" style="3"/>
  </cols>
  <sheetData>
    <row r="1" spans="1:11">
      <c r="A1" s="1"/>
      <c r="B1" s="2" t="s">
        <v>0</v>
      </c>
      <c r="C1" s="102"/>
      <c r="D1" s="2" t="s">
        <v>2</v>
      </c>
      <c r="E1" s="2" t="s">
        <v>3</v>
      </c>
      <c r="G1" s="2" t="s">
        <v>2</v>
      </c>
      <c r="H1" s="2" t="s">
        <v>3</v>
      </c>
      <c r="J1" s="2" t="s">
        <v>2</v>
      </c>
      <c r="K1" s="2" t="s">
        <v>3</v>
      </c>
    </row>
    <row r="2" spans="1:11" ht="15.75" thickBot="1">
      <c r="A2" s="4"/>
      <c r="B2" s="5" t="s">
        <v>4</v>
      </c>
      <c r="C2" s="102"/>
      <c r="D2" s="5" t="s">
        <v>4</v>
      </c>
      <c r="E2" s="5" t="s">
        <v>4</v>
      </c>
      <c r="G2" s="5" t="s">
        <v>5</v>
      </c>
      <c r="H2" s="5" t="s">
        <v>4</v>
      </c>
      <c r="J2" s="5" t="s">
        <v>5</v>
      </c>
      <c r="K2" s="5" t="s">
        <v>4</v>
      </c>
    </row>
    <row r="3" spans="1:11">
      <c r="A3" s="207" t="str">
        <f>IF(evenwicht!A4&lt;&gt;"",evenwicht!A4,"")</f>
        <v>Nominale matching</v>
      </c>
      <c r="B3" s="8">
        <f>IF(evenwicht!B4&lt;&gt;"",evenwicht!B4,"")</f>
        <v>0.55552002657163746</v>
      </c>
      <c r="C3" s="103"/>
      <c r="D3" s="8">
        <v>0.57446773586607058</v>
      </c>
      <c r="E3" s="8">
        <f t="shared" ref="E3:E14" si="0">IF(A3&lt;&gt;"",+D3-B3,"")</f>
        <v>1.8947709294433124E-2</v>
      </c>
      <c r="G3" s="8">
        <v>0.57446773586607058</v>
      </c>
      <c r="H3" s="8">
        <f>IF(A3&lt;&gt;"",+G3-B3,"")</f>
        <v>1.8947709294433124E-2</v>
      </c>
      <c r="J3" s="8">
        <v>0.57446773586607058</v>
      </c>
      <c r="K3" s="8">
        <f t="shared" ref="K3:K14" si="1">IF(A3&lt;&gt;"",+J3-B3,"")</f>
        <v>1.8947709294433124E-2</v>
      </c>
    </row>
    <row r="4" spans="1:11">
      <c r="A4" s="208" t="str">
        <f>IF(evenwicht!A5&lt;&gt;"",evenwicht!A5,"")</f>
        <v>High Yield</v>
      </c>
      <c r="B4" s="8">
        <f>IF(evenwicht!B5&lt;&gt;"",evenwicht!B5,"")</f>
        <v>9.7772401711769694E-2</v>
      </c>
      <c r="C4" s="103"/>
      <c r="D4" s="8">
        <v>0.17463533069014747</v>
      </c>
      <c r="E4" s="8">
        <f t="shared" si="0"/>
        <v>7.6862928978377779E-2</v>
      </c>
      <c r="G4" s="8">
        <v>0.17463533069014747</v>
      </c>
      <c r="H4" s="8">
        <f t="shared" ref="H3:H14" si="2">IF(A4&lt;&gt;"",+G4-B4,"")</f>
        <v>7.6862928978377779E-2</v>
      </c>
      <c r="J4" s="8">
        <v>0.17463533069014747</v>
      </c>
      <c r="K4" s="8">
        <f t="shared" si="1"/>
        <v>7.6862928978377779E-2</v>
      </c>
    </row>
    <row r="5" spans="1:11">
      <c r="A5" s="208" t="str">
        <f>IF(evenwicht!A6&lt;&gt;"",evenwicht!A6,"")</f>
        <v>Emerging market debt</v>
      </c>
      <c r="B5" s="8">
        <f>IF(evenwicht!B6&lt;&gt;"",evenwicht!B6,"")</f>
        <v>9.4763191533410202E-2</v>
      </c>
      <c r="C5" s="103"/>
      <c r="D5" s="8">
        <v>1.7111598310957168E-2</v>
      </c>
      <c r="E5" s="8">
        <f t="shared" si="0"/>
        <v>-7.7651593222453033E-2</v>
      </c>
      <c r="G5" s="8">
        <v>1.7111598310957168E-2</v>
      </c>
      <c r="H5" s="8">
        <f t="shared" si="2"/>
        <v>-7.7651593222453033E-2</v>
      </c>
      <c r="J5" s="8">
        <v>1.7111598310957168E-2</v>
      </c>
      <c r="K5" s="8">
        <f t="shared" si="1"/>
        <v>-7.7651593222453033E-2</v>
      </c>
    </row>
    <row r="6" spans="1:11">
      <c r="A6" s="208" t="str">
        <f>IF(evenwicht!A7&lt;&gt;"",evenwicht!A7,"")</f>
        <v>Aandelen ontwikkeld</v>
      </c>
      <c r="B6" s="8">
        <f>IF(evenwicht!B7&lt;&gt;"",evenwicht!B7,"")</f>
        <v>0.10281340879516217</v>
      </c>
      <c r="C6" s="103"/>
      <c r="D6" s="8">
        <v>1.8072320878297075E-3</v>
      </c>
      <c r="E6" s="8">
        <f t="shared" si="0"/>
        <v>-0.10100617670733246</v>
      </c>
      <c r="G6" s="8">
        <v>1.8072320878297075E-3</v>
      </c>
      <c r="H6" s="8">
        <f t="shared" si="2"/>
        <v>-0.10100617670733246</v>
      </c>
      <c r="J6" s="8">
        <v>1.8072320878297075E-3</v>
      </c>
      <c r="K6" s="8">
        <f t="shared" si="1"/>
        <v>-0.10100617670733246</v>
      </c>
    </row>
    <row r="7" spans="1:11">
      <c r="A7" s="208" t="str">
        <f>IF(evenwicht!A8&lt;&gt;"",evenwicht!A8,"")</f>
        <v>Aandelen opkomend</v>
      </c>
      <c r="B7" s="8">
        <f>IF(evenwicht!B8&lt;&gt;"",evenwicht!B8,"")</f>
        <v>5.1014363077869621E-2</v>
      </c>
      <c r="C7" s="103"/>
      <c r="D7" s="8">
        <v>5.2738284925458699E-2</v>
      </c>
      <c r="E7" s="8">
        <f t="shared" si="0"/>
        <v>1.7239218475890786E-3</v>
      </c>
      <c r="G7" s="8">
        <v>5.2738284925458699E-2</v>
      </c>
      <c r="H7" s="8">
        <f t="shared" si="2"/>
        <v>1.7239218475890786E-3</v>
      </c>
      <c r="J7" s="8">
        <v>5.2738284925458699E-2</v>
      </c>
      <c r="K7" s="8">
        <f t="shared" si="1"/>
        <v>1.7239218475890786E-3</v>
      </c>
    </row>
    <row r="8" spans="1:11">
      <c r="A8" s="208" t="str">
        <f>IF(evenwicht!A9&lt;&gt;"",evenwicht!A9,"")</f>
        <v>Commodities</v>
      </c>
      <c r="B8" s="8">
        <f>IF(evenwicht!B9&lt;&gt;"",evenwicht!B9,"")</f>
        <v>2.0731266317763185E-2</v>
      </c>
      <c r="C8" s="103"/>
      <c r="D8" s="8">
        <v>0.13426825055505817</v>
      </c>
      <c r="E8" s="8">
        <f t="shared" si="0"/>
        <v>0.11353698423729498</v>
      </c>
      <c r="G8" s="8">
        <v>0.13426825055505817</v>
      </c>
      <c r="H8" s="8">
        <f t="shared" si="2"/>
        <v>0.11353698423729498</v>
      </c>
      <c r="J8" s="8">
        <v>0.13426825055505817</v>
      </c>
      <c r="K8" s="8">
        <f t="shared" si="1"/>
        <v>0.11353698423729498</v>
      </c>
    </row>
    <row r="9" spans="1:11">
      <c r="A9" s="208" t="str">
        <f>IF(evenwicht!A10&lt;&gt;"",evenwicht!A10,"")</f>
        <v>Hedge funds</v>
      </c>
      <c r="B9" s="8">
        <f>IF(evenwicht!B10&lt;&gt;"",evenwicht!B10,"")</f>
        <v>3.0634868515694261E-2</v>
      </c>
      <c r="C9" s="103"/>
      <c r="D9" s="8">
        <v>3.0129418415718142E-2</v>
      </c>
      <c r="E9" s="8">
        <f t="shared" si="0"/>
        <v>-5.054500999761187E-4</v>
      </c>
      <c r="G9" s="8">
        <v>3.0129418415718142E-2</v>
      </c>
      <c r="H9" s="8">
        <f t="shared" si="2"/>
        <v>-5.054500999761187E-4</v>
      </c>
      <c r="J9" s="8">
        <v>3.0129418415718142E-2</v>
      </c>
      <c r="K9" s="8">
        <f t="shared" si="1"/>
        <v>-5.054500999761187E-4</v>
      </c>
    </row>
    <row r="10" spans="1:11">
      <c r="A10" s="208" t="str">
        <f>IF(evenwicht!A11&lt;&gt;"",evenwicht!A11,"")</f>
        <v>Onroerend goed</v>
      </c>
      <c r="B10" s="8">
        <f>IF(evenwicht!B11&lt;&gt;"",evenwicht!B11,"")</f>
        <v>4.6750473476693498E-2</v>
      </c>
      <c r="C10" s="103"/>
      <c r="D10" s="8">
        <v>3.7487700182925196E-3</v>
      </c>
      <c r="E10" s="8">
        <f t="shared" si="0"/>
        <v>-4.3001703458400979E-2</v>
      </c>
      <c r="G10" s="8">
        <v>3.7487700182925196E-3</v>
      </c>
      <c r="H10" s="8">
        <f t="shared" si="2"/>
        <v>-4.3001703458400979E-2</v>
      </c>
      <c r="J10" s="8">
        <v>3.7487700182925196E-3</v>
      </c>
      <c r="K10" s="8">
        <f t="shared" si="1"/>
        <v>-4.3001703458400979E-2</v>
      </c>
    </row>
    <row r="11" spans="1:11">
      <c r="A11" s="208" t="str">
        <f>IF(evenwicht!A12&lt;&gt;"",evenwicht!A12,"")</f>
        <v>Periferie bonds</v>
      </c>
      <c r="B11" s="8">
        <f>IF(evenwicht!B12&lt;&gt;"",evenwicht!B12,"")</f>
        <v>0</v>
      </c>
      <c r="C11" s="103"/>
      <c r="D11" s="8">
        <v>1.1093379130467653E-2</v>
      </c>
      <c r="E11" s="8">
        <f t="shared" si="0"/>
        <v>1.1093379130467653E-2</v>
      </c>
      <c r="G11" s="8">
        <v>1.1093379130467653E-2</v>
      </c>
      <c r="H11" s="8">
        <f t="shared" si="2"/>
        <v>1.1093379130467653E-2</v>
      </c>
      <c r="J11" s="8">
        <v>1.1093379130467653E-2</v>
      </c>
      <c r="K11" s="8">
        <f t="shared" si="1"/>
        <v>1.1093379130467653E-2</v>
      </c>
    </row>
    <row r="12" spans="1:11">
      <c r="A12" s="208" t="str">
        <f>IF(evenwicht!A13&lt;&gt;"",evenwicht!A13,"")</f>
        <v/>
      </c>
      <c r="B12" s="8" t="str">
        <f>IF(evenwicht!B13&lt;&gt;"",evenwicht!B13,"")</f>
        <v/>
      </c>
      <c r="C12" s="103"/>
      <c r="D12" s="8" t="s">
        <v>66</v>
      </c>
      <c r="E12" s="8" t="str">
        <f t="shared" si="0"/>
        <v/>
      </c>
      <c r="G12" s="8" t="s">
        <v>66</v>
      </c>
      <c r="H12" s="8" t="str">
        <f t="shared" si="2"/>
        <v/>
      </c>
      <c r="J12" s="8" t="s">
        <v>66</v>
      </c>
      <c r="K12" s="8" t="str">
        <f t="shared" si="1"/>
        <v/>
      </c>
    </row>
    <row r="13" spans="1:11">
      <c r="A13" s="208" t="str">
        <f>IF(evenwicht!A14&lt;&gt;"",evenwicht!A14,"")</f>
        <v/>
      </c>
      <c r="B13" s="8" t="str">
        <f>IF(evenwicht!B14&lt;&gt;"",evenwicht!B14,"")</f>
        <v/>
      </c>
      <c r="C13" s="103"/>
      <c r="D13" s="8" t="s">
        <v>66</v>
      </c>
      <c r="E13" s="8" t="str">
        <f t="shared" si="0"/>
        <v/>
      </c>
      <c r="G13" s="8" t="s">
        <v>66</v>
      </c>
      <c r="H13" s="8" t="str">
        <f t="shared" si="2"/>
        <v/>
      </c>
      <c r="J13" s="8" t="s">
        <v>66</v>
      </c>
      <c r="K13" s="8" t="str">
        <f t="shared" si="1"/>
        <v/>
      </c>
    </row>
    <row r="14" spans="1:11" ht="15.75" thickBot="1">
      <c r="A14" s="209" t="str">
        <f>IF(evenwicht!A15&lt;&gt;"",evenwicht!A15,"")</f>
        <v/>
      </c>
      <c r="B14" s="9" t="str">
        <f>IF(evenwicht!B15&lt;&gt;"",evenwicht!B15,"")</f>
        <v/>
      </c>
      <c r="C14" s="103"/>
      <c r="D14" s="9" t="s">
        <v>66</v>
      </c>
      <c r="E14" s="9" t="str">
        <f t="shared" si="0"/>
        <v/>
      </c>
      <c r="G14" s="9" t="s">
        <v>66</v>
      </c>
      <c r="H14" s="9" t="str">
        <f t="shared" si="2"/>
        <v/>
      </c>
      <c r="J14" s="9" t="s">
        <v>66</v>
      </c>
      <c r="K14" s="9" t="str">
        <f t="shared" si="1"/>
        <v/>
      </c>
    </row>
    <row r="15" spans="1:11">
      <c r="A15" s="10" t="s">
        <v>6</v>
      </c>
      <c r="B15" s="11">
        <f>trackingErrorHuidig</f>
        <v>9.982328696892509E-2</v>
      </c>
      <c r="C15" s="104"/>
      <c r="D15" s="11">
        <v>0.1</v>
      </c>
      <c r="G15" s="11">
        <v>0.1</v>
      </c>
      <c r="J15" s="11">
        <v>0.1</v>
      </c>
    </row>
    <row r="16" spans="1:11">
      <c r="C16" s="105"/>
      <c r="D16" s="12"/>
      <c r="E16" s="15"/>
      <c r="F16" s="16"/>
    </row>
    <row r="17" spans="1:6">
      <c r="A17" s="12"/>
      <c r="B17" s="12"/>
      <c r="C17" s="12"/>
      <c r="D17" s="12"/>
      <c r="E17" s="15"/>
      <c r="F17" s="16"/>
    </row>
    <row r="18" spans="1:6">
      <c r="A18" s="19"/>
      <c r="B18" s="19"/>
      <c r="C18" s="19"/>
      <c r="D18" s="12"/>
      <c r="E18" s="12"/>
    </row>
    <row r="19" spans="1:6">
      <c r="A19" s="43"/>
      <c r="B19" s="44"/>
      <c r="C19" s="17"/>
      <c r="D19" s="17"/>
      <c r="E19" s="17"/>
    </row>
    <row r="20" spans="1:6">
      <c r="A20" s="19"/>
      <c r="B20" s="18"/>
      <c r="C20" s="18"/>
      <c r="D20" s="18"/>
      <c r="E20" s="18"/>
    </row>
    <row r="21" spans="1:6">
      <c r="A21" s="19"/>
      <c r="B21" s="20"/>
      <c r="C21" s="20"/>
      <c r="D21" s="20"/>
      <c r="E21" s="20"/>
    </row>
    <row r="22" spans="1:6">
      <c r="A22" s="19"/>
      <c r="B22" s="20"/>
      <c r="C22" s="20"/>
      <c r="D22" s="20"/>
      <c r="E22" s="20"/>
    </row>
    <row r="23" spans="1:6">
      <c r="A23" s="19"/>
      <c r="B23" s="20"/>
      <c r="C23" s="20"/>
      <c r="D23" s="20"/>
      <c r="E23" s="20"/>
    </row>
    <row r="24" spans="1:6">
      <c r="A24" s="19"/>
      <c r="B24" s="20"/>
      <c r="C24" s="20"/>
      <c r="D24" s="20"/>
      <c r="E24" s="20"/>
    </row>
    <row r="25" spans="1:6">
      <c r="A25" s="28" t="s">
        <v>7</v>
      </c>
      <c r="B25" s="14">
        <v>0.03</v>
      </c>
      <c r="C25" s="19"/>
      <c r="D25" s="19"/>
      <c r="E25" s="19"/>
    </row>
    <row r="26" spans="1:6">
      <c r="A26" s="12"/>
      <c r="B26" s="12"/>
      <c r="C26" s="12"/>
      <c r="D26" s="12"/>
      <c r="E26" s="12"/>
    </row>
    <row r="27" spans="1:6">
      <c r="A27" s="19" t="s">
        <v>8</v>
      </c>
      <c r="B27" s="21" t="s">
        <v>9</v>
      </c>
      <c r="C27" s="12"/>
      <c r="D27" s="12"/>
      <c r="E27" s="12"/>
    </row>
    <row r="28" spans="1:6" ht="15.75" thickBot="1">
      <c r="A28" s="12"/>
      <c r="B28" s="12"/>
      <c r="C28" s="12"/>
      <c r="D28" s="12"/>
      <c r="E28" s="12"/>
    </row>
    <row r="29" spans="1:6" ht="15.75" thickBot="1">
      <c r="A29" s="22" t="s">
        <v>1</v>
      </c>
      <c r="B29" s="23"/>
      <c r="C29" s="6" t="s">
        <v>10</v>
      </c>
      <c r="D29" s="12"/>
      <c r="E29" s="12"/>
    </row>
    <row r="30" spans="1:6">
      <c r="A30" s="24" t="s">
        <v>11</v>
      </c>
      <c r="B30" s="8">
        <v>0</v>
      </c>
      <c r="C30" s="25">
        <v>0</v>
      </c>
      <c r="D30" s="12"/>
      <c r="E30" s="12"/>
    </row>
    <row r="31" spans="1:6">
      <c r="A31" s="24" t="s">
        <v>12</v>
      </c>
      <c r="B31" s="7">
        <f>B15</f>
        <v>9.982328696892509E-2</v>
      </c>
      <c r="C31" s="25">
        <v>1</v>
      </c>
      <c r="D31" s="12"/>
      <c r="E31" s="12"/>
    </row>
    <row r="32" spans="1:6" ht="15.75" thickBot="1">
      <c r="A32" s="26" t="s">
        <v>13</v>
      </c>
      <c r="B32" s="9">
        <v>0.02</v>
      </c>
      <c r="C32" s="27">
        <v>0</v>
      </c>
      <c r="D32" s="12"/>
      <c r="E32" s="12"/>
    </row>
    <row r="33" spans="1:5">
      <c r="A33" s="12"/>
      <c r="B33" s="12"/>
      <c r="C33" s="12"/>
      <c r="D33" s="12"/>
      <c r="E33" s="12"/>
    </row>
    <row r="34" spans="1:5">
      <c r="A34" s="28" t="s">
        <v>14</v>
      </c>
      <c r="B34" s="12"/>
      <c r="C34" s="12"/>
      <c r="D34" s="12"/>
      <c r="E34" s="12"/>
    </row>
    <row r="35" spans="1:5">
      <c r="A35" s="13" t="s">
        <v>15</v>
      </c>
      <c r="B35" s="29">
        <v>0</v>
      </c>
      <c r="C35" s="12"/>
      <c r="D35" s="12"/>
      <c r="E35" s="12"/>
    </row>
    <row r="36" spans="1:5">
      <c r="A36" s="13" t="s">
        <v>16</v>
      </c>
      <c r="B36" s="30">
        <v>2</v>
      </c>
      <c r="C36" s="12"/>
      <c r="D36" s="12"/>
      <c r="E36" s="12"/>
    </row>
    <row r="37" spans="1:5">
      <c r="A37" s="12"/>
      <c r="B37" s="12"/>
      <c r="C37" s="12"/>
      <c r="D37" s="12"/>
      <c r="E37" s="12"/>
    </row>
    <row r="38" spans="1:5">
      <c r="A38" s="3" t="s">
        <v>17</v>
      </c>
    </row>
    <row r="39" spans="1:5">
      <c r="A39" s="31" t="s">
        <v>18</v>
      </c>
      <c r="B39" s="32">
        <v>500</v>
      </c>
    </row>
    <row r="40" spans="1:5">
      <c r="A40" s="31" t="s">
        <v>19</v>
      </c>
      <c r="B40" s="32" t="s">
        <v>20</v>
      </c>
    </row>
    <row r="104" spans="1:1">
      <c r="A104" s="33" t="s">
        <v>8</v>
      </c>
    </row>
    <row r="105" spans="1:1">
      <c r="A105" s="3" t="s">
        <v>21</v>
      </c>
    </row>
    <row r="106" spans="1:1">
      <c r="A106" s="3" t="s">
        <v>9</v>
      </c>
    </row>
    <row r="107" spans="1:1">
      <c r="A107" s="3" t="s">
        <v>22</v>
      </c>
    </row>
    <row r="108" spans="1:1">
      <c r="A108" s="3" t="s">
        <v>23</v>
      </c>
    </row>
    <row r="110" spans="1:1">
      <c r="A110" s="32">
        <v>0</v>
      </c>
    </row>
    <row r="111" spans="1:1">
      <c r="A111" s="32">
        <v>1</v>
      </c>
    </row>
    <row r="112" spans="1:1">
      <c r="A112" s="32">
        <v>2</v>
      </c>
    </row>
    <row r="114" spans="1:1">
      <c r="A114" s="32" t="s">
        <v>20</v>
      </c>
    </row>
    <row r="115" spans="1:1">
      <c r="A115" s="32" t="s">
        <v>24</v>
      </c>
    </row>
    <row r="203" spans="1:5" ht="15.75" thickBot="1"/>
    <row r="204" spans="1:5">
      <c r="A204" s="34"/>
      <c r="B204" s="152" t="s">
        <v>3</v>
      </c>
      <c r="C204" s="153"/>
      <c r="D204" s="153"/>
      <c r="E204" s="154"/>
    </row>
    <row r="205" spans="1:5" ht="15.75" thickBot="1">
      <c r="A205" s="35"/>
      <c r="B205" s="36" t="s">
        <v>25</v>
      </c>
      <c r="C205" s="37" t="s">
        <v>26</v>
      </c>
      <c r="D205" s="37" t="s">
        <v>27</v>
      </c>
      <c r="E205" s="27" t="s">
        <v>28</v>
      </c>
    </row>
    <row r="206" spans="1:5">
      <c r="A206" s="38" t="s">
        <v>29</v>
      </c>
      <c r="B206" s="39">
        <v>-1E-3</v>
      </c>
      <c r="C206" s="20">
        <v>9.5665806092079075E-4</v>
      </c>
      <c r="D206" s="20">
        <v>-4.2098094805683751E-3</v>
      </c>
      <c r="E206" s="40">
        <v>-2.1826028553036574E-3</v>
      </c>
    </row>
    <row r="207" spans="1:5">
      <c r="A207" s="38" t="s">
        <v>30</v>
      </c>
      <c r="B207" s="39">
        <v>-0.01</v>
      </c>
      <c r="C207" s="20">
        <v>-1.5821642227643869E-2</v>
      </c>
      <c r="D207" s="20">
        <v>2.4975428417868189E-2</v>
      </c>
      <c r="E207" s="40">
        <v>7.9322737499224957E-3</v>
      </c>
    </row>
    <row r="208" spans="1:5">
      <c r="A208" s="38" t="s">
        <v>31</v>
      </c>
      <c r="B208" s="39">
        <v>9.9999999999999985E-3</v>
      </c>
      <c r="C208" s="20">
        <v>7.8062556418956319E-18</v>
      </c>
      <c r="D208" s="20">
        <v>-3.0000000000000002E-2</v>
      </c>
      <c r="E208" s="40">
        <v>-2.0000000000000004E-2</v>
      </c>
    </row>
    <row r="209" spans="1:5" ht="15.75" thickBot="1">
      <c r="A209" s="38" t="s">
        <v>32</v>
      </c>
      <c r="B209" s="39">
        <v>1.0378578383895283E-2</v>
      </c>
      <c r="C209" s="20">
        <v>1.3858854184576361E-2</v>
      </c>
      <c r="D209" s="20">
        <v>1.3462277224022302E-3</v>
      </c>
      <c r="E209" s="40">
        <v>7.8027138965618484E-4</v>
      </c>
    </row>
    <row r="210" spans="1:5" ht="15.75" thickBot="1">
      <c r="A210" s="23" t="s">
        <v>33</v>
      </c>
      <c r="B210" s="22"/>
      <c r="C210" s="41"/>
      <c r="D210" s="41"/>
      <c r="E210" s="42"/>
    </row>
  </sheetData>
  <mergeCells count="1">
    <mergeCell ref="B204:E204"/>
  </mergeCells>
  <dataValidations count="4">
    <dataValidation type="list" allowBlank="1" showInputMessage="1" showErrorMessage="1" sqref="B40">
      <formula1>$A$114:$A$115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27">
      <formula1>$A$105:$A$108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116"/>
  <sheetViews>
    <sheetView workbookViewId="0">
      <selection activeCell="A3" sqref="A3"/>
    </sheetView>
  </sheetViews>
  <sheetFormatPr defaultRowHeight="12.75"/>
  <cols>
    <col min="1" max="1" width="24.5703125" style="45" customWidth="1"/>
    <col min="2" max="8" width="18.7109375" style="45" customWidth="1"/>
    <col min="9" max="9" width="21" style="45" customWidth="1"/>
    <col min="10" max="12" width="18.7109375" style="45" customWidth="1"/>
    <col min="13" max="13" width="18.140625" style="45" customWidth="1"/>
    <col min="14" max="14" width="15" style="45" customWidth="1"/>
    <col min="15" max="15" width="12.85546875" style="45" customWidth="1"/>
    <col min="16" max="18" width="9.140625" style="45"/>
    <col min="19" max="19" width="22" style="45" customWidth="1"/>
    <col min="20" max="24" width="15.7109375" style="45" customWidth="1"/>
    <col min="25" max="16384" width="9.140625" style="45"/>
  </cols>
  <sheetData>
    <row r="1" spans="1:21" ht="13.5" thickBot="1">
      <c r="B1" s="46"/>
      <c r="C1" s="46"/>
      <c r="D1" s="47"/>
    </row>
    <row r="2" spans="1:21" ht="15">
      <c r="A2" s="48"/>
      <c r="B2" s="49" t="s">
        <v>34</v>
      </c>
      <c r="C2" s="50" t="s">
        <v>34</v>
      </c>
      <c r="D2" s="51" t="s">
        <v>35</v>
      </c>
      <c r="E2" s="155" t="s">
        <v>36</v>
      </c>
      <c r="F2" s="156"/>
      <c r="G2" s="156"/>
      <c r="H2" s="156"/>
      <c r="I2" s="156"/>
      <c r="J2" s="156"/>
      <c r="K2" s="156"/>
      <c r="L2" s="156"/>
      <c r="M2" s="157"/>
      <c r="N2" s="157"/>
      <c r="O2" s="157"/>
      <c r="P2" s="158"/>
    </row>
    <row r="3" spans="1:21" ht="13.5" thickBot="1">
      <c r="A3" s="52"/>
      <c r="B3" s="53" t="s">
        <v>37</v>
      </c>
      <c r="C3" s="54" t="s">
        <v>38</v>
      </c>
      <c r="D3" s="54" t="s">
        <v>39</v>
      </c>
      <c r="E3" s="55" t="s">
        <v>40</v>
      </c>
      <c r="F3" s="56" t="s">
        <v>41</v>
      </c>
      <c r="G3" s="56" t="s">
        <v>42</v>
      </c>
      <c r="H3" s="56" t="s">
        <v>43</v>
      </c>
      <c r="I3" s="56" t="s">
        <v>44</v>
      </c>
      <c r="J3" s="56" t="s">
        <v>45</v>
      </c>
      <c r="K3" s="56" t="s">
        <v>46</v>
      </c>
      <c r="L3" s="56" t="s">
        <v>47</v>
      </c>
      <c r="M3" s="56" t="s">
        <v>48</v>
      </c>
      <c r="N3" s="56"/>
      <c r="O3" s="56"/>
      <c r="P3" s="57"/>
      <c r="S3" s="58"/>
      <c r="T3" s="59"/>
      <c r="U3" s="59"/>
    </row>
    <row r="4" spans="1:21">
      <c r="A4" s="60" t="s">
        <v>49</v>
      </c>
      <c r="B4" s="203">
        <v>0.55552002657163746</v>
      </c>
      <c r="C4" s="61">
        <v>0</v>
      </c>
      <c r="D4" s="62">
        <v>4.3450149472468363E-2</v>
      </c>
      <c r="E4" s="63">
        <v>1</v>
      </c>
      <c r="F4" s="64">
        <v>0.5243300313487167</v>
      </c>
      <c r="G4" s="64">
        <v>0.5048621610682209</v>
      </c>
      <c r="H4" s="64">
        <v>0.25487540552021803</v>
      </c>
      <c r="I4" s="64">
        <v>0.29680815289592971</v>
      </c>
      <c r="J4" s="64">
        <v>0.25154461316198484</v>
      </c>
      <c r="K4" s="64">
        <v>0.48821319241673689</v>
      </c>
      <c r="L4" s="64">
        <v>0.39542796227510119</v>
      </c>
      <c r="M4" s="64">
        <v>0.47422188785278757</v>
      </c>
      <c r="N4" s="65"/>
      <c r="O4" s="65"/>
      <c r="P4" s="66"/>
      <c r="S4" s="67"/>
      <c r="T4" s="68"/>
      <c r="U4" s="69"/>
    </row>
    <row r="5" spans="1:21">
      <c r="A5" s="60" t="s">
        <v>50</v>
      </c>
      <c r="B5" s="204">
        <v>9.7772401711769694E-2</v>
      </c>
      <c r="C5" s="61">
        <v>0.03</v>
      </c>
      <c r="D5" s="62">
        <v>0.15853561014014847</v>
      </c>
      <c r="E5" s="62">
        <v>0.52433003134871636</v>
      </c>
      <c r="F5" s="71">
        <v>1</v>
      </c>
      <c r="G5" s="71">
        <v>0.94338322745767289</v>
      </c>
      <c r="H5" s="71">
        <v>0.74070013517974964</v>
      </c>
      <c r="I5" s="71">
        <v>0.74187676376193956</v>
      </c>
      <c r="J5" s="71">
        <v>0.60846903584875156</v>
      </c>
      <c r="K5" s="71">
        <v>0.86668583493806206</v>
      </c>
      <c r="L5" s="71">
        <v>0.86259221475724557</v>
      </c>
      <c r="M5" s="71">
        <v>0.75906077754107681</v>
      </c>
      <c r="N5" s="72"/>
      <c r="O5" s="72"/>
      <c r="P5" s="73"/>
      <c r="S5" s="67"/>
      <c r="T5" s="68"/>
      <c r="U5" s="69"/>
    </row>
    <row r="6" spans="1:21">
      <c r="A6" s="60" t="s">
        <v>51</v>
      </c>
      <c r="B6" s="204">
        <v>9.4763191533410202E-2</v>
      </c>
      <c r="C6" s="61">
        <v>3.139819541969964E-2</v>
      </c>
      <c r="D6" s="62">
        <v>0.16217253275473525</v>
      </c>
      <c r="E6" s="62">
        <v>0.50486216106822102</v>
      </c>
      <c r="F6" s="71">
        <v>0.943383227457673</v>
      </c>
      <c r="G6" s="71">
        <v>1</v>
      </c>
      <c r="H6" s="71">
        <v>0.77223648924957744</v>
      </c>
      <c r="I6" s="71">
        <v>0.79023745754825636</v>
      </c>
      <c r="J6" s="71">
        <v>0.63110682083437419</v>
      </c>
      <c r="K6" s="71">
        <v>0.87120901203593171</v>
      </c>
      <c r="L6" s="71">
        <v>0.86536847063850975</v>
      </c>
      <c r="M6" s="71">
        <v>0.72481655312346349</v>
      </c>
      <c r="N6" s="72"/>
      <c r="O6" s="72"/>
      <c r="P6" s="73"/>
      <c r="S6" s="67"/>
      <c r="T6" s="68"/>
      <c r="U6" s="69"/>
    </row>
    <row r="7" spans="1:21">
      <c r="A7" s="60" t="s">
        <v>52</v>
      </c>
      <c r="B7" s="204">
        <v>0.10281340879516217</v>
      </c>
      <c r="C7" s="61">
        <v>5.6592124636374697E-2</v>
      </c>
      <c r="D7" s="62">
        <v>0.28718972670468956</v>
      </c>
      <c r="E7" s="62">
        <v>0.2548754055202187</v>
      </c>
      <c r="F7" s="71">
        <v>0.74070013517974975</v>
      </c>
      <c r="G7" s="71">
        <v>0.77223648924957744</v>
      </c>
      <c r="H7" s="71">
        <v>1</v>
      </c>
      <c r="I7" s="71">
        <v>0.81106497730540505</v>
      </c>
      <c r="J7" s="71">
        <v>0.69909036020626758</v>
      </c>
      <c r="K7" s="71">
        <v>0.74571542163255744</v>
      </c>
      <c r="L7" s="71">
        <v>0.88603334197313832</v>
      </c>
      <c r="M7" s="71">
        <v>0.62515021546234684</v>
      </c>
      <c r="N7" s="72"/>
      <c r="O7" s="72"/>
      <c r="P7" s="73"/>
      <c r="S7" s="67"/>
      <c r="T7" s="68"/>
      <c r="U7" s="69"/>
    </row>
    <row r="8" spans="1:21">
      <c r="A8" s="60" t="s">
        <v>53</v>
      </c>
      <c r="B8" s="204">
        <v>5.1014363077869621E-2</v>
      </c>
      <c r="C8" s="61">
        <v>5.6149706786613261E-2</v>
      </c>
      <c r="D8" s="62">
        <v>0.29616397669669142</v>
      </c>
      <c r="E8" s="62">
        <v>0.29680815289593021</v>
      </c>
      <c r="F8" s="71">
        <v>0.74187676376193967</v>
      </c>
      <c r="G8" s="71">
        <v>0.79023745754825636</v>
      </c>
      <c r="H8" s="71">
        <v>0.81106497730540505</v>
      </c>
      <c r="I8" s="71">
        <v>0.99999999999999978</v>
      </c>
      <c r="J8" s="71">
        <v>0.63944069654526292</v>
      </c>
      <c r="K8" s="71">
        <v>0.64591301484464436</v>
      </c>
      <c r="L8" s="71">
        <v>0.78448428807756676</v>
      </c>
      <c r="M8" s="71">
        <v>0.51393319492259693</v>
      </c>
      <c r="N8" s="72"/>
      <c r="O8" s="72"/>
      <c r="P8" s="73"/>
      <c r="S8" s="67"/>
      <c r="T8" s="68"/>
      <c r="U8" s="69"/>
    </row>
    <row r="9" spans="1:21">
      <c r="A9" s="60" t="s">
        <v>45</v>
      </c>
      <c r="B9" s="204">
        <v>2.0731266317763185E-2</v>
      </c>
      <c r="C9" s="61">
        <v>5.1695827746959064E-2</v>
      </c>
      <c r="D9" s="62">
        <v>0.32648216646211403</v>
      </c>
      <c r="E9" s="62">
        <v>0.25154461316198523</v>
      </c>
      <c r="F9" s="71">
        <v>0.60846903584875167</v>
      </c>
      <c r="G9" s="71">
        <v>0.6311068208343743</v>
      </c>
      <c r="H9" s="71">
        <v>0.69909036020626758</v>
      </c>
      <c r="I9" s="71">
        <v>0.63944069654526281</v>
      </c>
      <c r="J9" s="71">
        <v>0.99999999999999978</v>
      </c>
      <c r="K9" s="71">
        <v>0.57555638609831095</v>
      </c>
      <c r="L9" s="71">
        <v>0.6706441294402975</v>
      </c>
      <c r="M9" s="71">
        <v>0.49865020725851583</v>
      </c>
      <c r="N9" s="72"/>
      <c r="O9" s="72"/>
      <c r="P9" s="73"/>
      <c r="S9" s="67"/>
      <c r="T9" s="68"/>
      <c r="U9" s="69"/>
    </row>
    <row r="10" spans="1:21">
      <c r="A10" s="60" t="s">
        <v>54</v>
      </c>
      <c r="B10" s="204">
        <v>3.0634868515694261E-2</v>
      </c>
      <c r="C10" s="61">
        <v>2.8296106892401265E-2</v>
      </c>
      <c r="D10" s="62">
        <v>0.16076897495152093</v>
      </c>
      <c r="E10" s="62">
        <v>0.488213192416737</v>
      </c>
      <c r="F10" s="71">
        <v>0.86668583493806206</v>
      </c>
      <c r="G10" s="71">
        <v>0.87120901203593182</v>
      </c>
      <c r="H10" s="71">
        <v>0.74571542163255744</v>
      </c>
      <c r="I10" s="71">
        <v>0.64591301484464425</v>
      </c>
      <c r="J10" s="71">
        <v>0.57555638609831083</v>
      </c>
      <c r="K10" s="71">
        <v>1.0000000000000002</v>
      </c>
      <c r="L10" s="71">
        <v>0.79740125449060317</v>
      </c>
      <c r="M10" s="71">
        <v>0.6990511874231996</v>
      </c>
      <c r="N10" s="72"/>
      <c r="O10" s="72"/>
      <c r="P10" s="73"/>
      <c r="S10" s="67"/>
      <c r="T10" s="68"/>
      <c r="U10" s="69"/>
    </row>
    <row r="11" spans="1:21">
      <c r="A11" s="60" t="s">
        <v>55</v>
      </c>
      <c r="B11" s="204">
        <v>4.6750473476693498E-2</v>
      </c>
      <c r="C11" s="61">
        <v>3.9623116882628269E-2</v>
      </c>
      <c r="D11" s="62">
        <v>0.20064050365322861</v>
      </c>
      <c r="E11" s="62">
        <v>0.39542796227510135</v>
      </c>
      <c r="F11" s="71">
        <v>0.86259221475724557</v>
      </c>
      <c r="G11" s="71">
        <v>0.86536847063850963</v>
      </c>
      <c r="H11" s="71">
        <v>0.88603334197313832</v>
      </c>
      <c r="I11" s="71">
        <v>0.78448428807756676</v>
      </c>
      <c r="J11" s="71">
        <v>0.67064412944029761</v>
      </c>
      <c r="K11" s="71">
        <v>0.79740125449060328</v>
      </c>
      <c r="L11" s="71">
        <v>1.0000000000000002</v>
      </c>
      <c r="M11" s="71">
        <v>0.74626676152997484</v>
      </c>
      <c r="N11" s="72"/>
      <c r="O11" s="72"/>
      <c r="P11" s="73"/>
    </row>
    <row r="12" spans="1:21">
      <c r="A12" s="74" t="s">
        <v>56</v>
      </c>
      <c r="B12" s="205">
        <v>0</v>
      </c>
      <c r="C12" s="75">
        <v>2.5656887462827429E-2</v>
      </c>
      <c r="D12" s="62">
        <v>0.17312066928436093</v>
      </c>
      <c r="E12" s="62">
        <v>0.47422188785278774</v>
      </c>
      <c r="F12" s="71">
        <v>0.75906077754107693</v>
      </c>
      <c r="G12" s="71">
        <v>0.72481655312346349</v>
      </c>
      <c r="H12" s="71">
        <v>0.62515021546234673</v>
      </c>
      <c r="I12" s="71">
        <v>0.51393319492259693</v>
      </c>
      <c r="J12" s="71">
        <v>0.49865020725851572</v>
      </c>
      <c r="K12" s="71">
        <v>0.69905118742319949</v>
      </c>
      <c r="L12" s="71">
        <v>0.74626676152997495</v>
      </c>
      <c r="M12" s="71">
        <v>0.99999999999999989</v>
      </c>
      <c r="N12" s="72"/>
      <c r="O12" s="72"/>
      <c r="P12" s="73"/>
    </row>
    <row r="13" spans="1:21">
      <c r="A13" s="60"/>
      <c r="B13" s="204" t="s">
        <v>66</v>
      </c>
      <c r="C13" s="61"/>
      <c r="D13" s="76"/>
      <c r="E13" s="76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3"/>
    </row>
    <row r="14" spans="1:21">
      <c r="A14" s="60"/>
      <c r="B14" s="204" t="s">
        <v>66</v>
      </c>
      <c r="C14" s="61"/>
      <c r="D14" s="76"/>
      <c r="E14" s="76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3"/>
    </row>
    <row r="15" spans="1:21" ht="13.5" thickBot="1">
      <c r="A15" s="77"/>
      <c r="B15" s="206" t="s">
        <v>66</v>
      </c>
      <c r="C15" s="79"/>
      <c r="D15" s="80"/>
      <c r="E15" s="80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2"/>
    </row>
    <row r="16" spans="1:21">
      <c r="A16" s="67"/>
      <c r="B16" s="83" t="s">
        <v>6</v>
      </c>
      <c r="C16" s="69">
        <v>9.982328696892509E-2</v>
      </c>
      <c r="D16" s="84"/>
      <c r="E16" s="84"/>
      <c r="F16" s="84"/>
      <c r="G16" s="84"/>
      <c r="H16" s="84"/>
      <c r="I16" s="84"/>
      <c r="J16" s="84"/>
      <c r="K16" s="84"/>
      <c r="L16" s="85"/>
    </row>
    <row r="17" spans="1:24">
      <c r="A17" s="67" t="s">
        <v>57</v>
      </c>
    </row>
    <row r="18" spans="1:24">
      <c r="A18" s="86" t="s">
        <v>58</v>
      </c>
      <c r="B18" s="87" t="s">
        <v>21</v>
      </c>
      <c r="C18" s="88" t="s">
        <v>59</v>
      </c>
    </row>
    <row r="19" spans="1:24">
      <c r="A19" s="86" t="s">
        <v>60</v>
      </c>
      <c r="B19" s="89" t="s">
        <v>49</v>
      </c>
      <c r="C19" s="90">
        <v>0</v>
      </c>
    </row>
    <row r="20" spans="1:24">
      <c r="A20" s="86" t="s">
        <v>61</v>
      </c>
      <c r="B20" s="89" t="s">
        <v>50</v>
      </c>
      <c r="C20" s="90">
        <v>0.03</v>
      </c>
    </row>
    <row r="21" spans="1:24">
      <c r="D21" s="91"/>
      <c r="E21" s="91"/>
      <c r="G21" s="159"/>
      <c r="H21" s="159"/>
      <c r="I21" s="159"/>
      <c r="J21" s="159"/>
    </row>
    <row r="22" spans="1:24">
      <c r="D22" s="91"/>
      <c r="E22" s="91"/>
      <c r="S22" s="67"/>
      <c r="T22" s="159"/>
      <c r="U22" s="159"/>
      <c r="V22" s="159"/>
      <c r="W22" s="159"/>
      <c r="X22" s="159"/>
    </row>
    <row r="23" spans="1:24">
      <c r="D23" s="91"/>
      <c r="E23" s="91"/>
      <c r="S23" s="67"/>
      <c r="T23" s="59"/>
      <c r="U23" s="59"/>
      <c r="V23" s="59"/>
      <c r="W23" s="59"/>
      <c r="X23" s="59"/>
    </row>
    <row r="24" spans="1:24">
      <c r="D24" s="91"/>
      <c r="E24" s="91"/>
      <c r="S24" s="67"/>
      <c r="T24" s="59"/>
      <c r="U24" s="59"/>
      <c r="V24" s="59"/>
      <c r="W24" s="59"/>
      <c r="X24" s="59"/>
    </row>
    <row r="25" spans="1:24">
      <c r="A25" s="67"/>
      <c r="B25" s="67"/>
      <c r="C25" s="67"/>
      <c r="D25" s="69"/>
      <c r="E25" s="91"/>
      <c r="F25" s="92"/>
      <c r="G25" s="67"/>
      <c r="H25" s="67"/>
      <c r="I25" s="67"/>
      <c r="J25" s="67"/>
      <c r="S25" s="58"/>
      <c r="T25" s="69"/>
      <c r="U25" s="69"/>
      <c r="V25" s="69"/>
      <c r="W25" s="69"/>
      <c r="X25" s="69"/>
    </row>
    <row r="26" spans="1:24">
      <c r="A26" s="67"/>
      <c r="B26" s="67"/>
      <c r="C26" s="67"/>
      <c r="D26" s="91"/>
      <c r="E26" s="91"/>
      <c r="F26" s="58"/>
      <c r="G26" s="67"/>
      <c r="H26" s="67"/>
      <c r="I26" s="67"/>
      <c r="J26" s="67"/>
      <c r="S26" s="58"/>
      <c r="T26" s="69"/>
      <c r="U26" s="69"/>
      <c r="V26" s="69"/>
      <c r="W26" s="69"/>
      <c r="X26" s="69"/>
    </row>
    <row r="27" spans="1:24">
      <c r="A27" s="98"/>
      <c r="B27" s="56"/>
      <c r="C27" s="56"/>
      <c r="D27" s="91"/>
      <c r="E27" s="56"/>
      <c r="F27" s="56"/>
      <c r="G27" s="56"/>
      <c r="H27" s="56"/>
      <c r="I27" s="56"/>
      <c r="J27" s="67"/>
      <c r="S27" s="58"/>
      <c r="T27" s="69"/>
      <c r="U27" s="69"/>
      <c r="V27" s="69"/>
      <c r="W27" s="69"/>
      <c r="X27" s="69"/>
    </row>
    <row r="28" spans="1:24">
      <c r="A28" s="67"/>
      <c r="B28" s="69"/>
      <c r="C28" s="69"/>
      <c r="D28" s="91"/>
      <c r="E28" s="69"/>
      <c r="F28" s="69"/>
      <c r="G28" s="69"/>
      <c r="H28" s="69"/>
      <c r="I28" s="69"/>
      <c r="J28" s="67"/>
      <c r="S28" s="58"/>
      <c r="T28" s="69"/>
      <c r="U28" s="69"/>
      <c r="V28" s="69"/>
      <c r="W28" s="69"/>
      <c r="X28" s="69"/>
    </row>
    <row r="29" spans="1:24">
      <c r="A29" s="67"/>
      <c r="B29" s="69"/>
      <c r="C29" s="69"/>
      <c r="D29" s="91"/>
      <c r="E29" s="69"/>
      <c r="F29" s="69"/>
      <c r="G29" s="69"/>
      <c r="H29" s="69"/>
      <c r="I29" s="69"/>
      <c r="J29" s="67"/>
      <c r="S29" s="58"/>
      <c r="T29" s="69"/>
      <c r="U29" s="69"/>
      <c r="V29" s="69"/>
      <c r="W29" s="69"/>
      <c r="X29" s="69"/>
    </row>
    <row r="30" spans="1:24">
      <c r="A30" s="67"/>
      <c r="B30" s="69"/>
      <c r="C30" s="69"/>
      <c r="D30" s="91"/>
      <c r="E30" s="69"/>
      <c r="F30" s="69"/>
      <c r="G30" s="69"/>
      <c r="H30" s="69"/>
      <c r="I30" s="69"/>
      <c r="J30" s="67"/>
      <c r="S30" s="58"/>
      <c r="T30" s="69"/>
      <c r="U30" s="69"/>
      <c r="V30" s="69"/>
      <c r="W30" s="69"/>
      <c r="X30" s="69"/>
    </row>
    <row r="31" spans="1:24">
      <c r="A31" s="67"/>
      <c r="B31" s="69"/>
      <c r="C31" s="69"/>
      <c r="D31" s="91"/>
      <c r="E31" s="69"/>
      <c r="F31" s="69"/>
      <c r="G31" s="69"/>
      <c r="H31" s="69"/>
      <c r="I31" s="69"/>
      <c r="J31" s="59"/>
    </row>
    <row r="32" spans="1:24">
      <c r="A32" s="67"/>
      <c r="B32" s="69"/>
      <c r="C32" s="69"/>
      <c r="D32" s="91"/>
      <c r="E32" s="69"/>
      <c r="F32" s="69"/>
      <c r="G32" s="69"/>
      <c r="H32" s="69"/>
      <c r="I32" s="69"/>
      <c r="J32" s="93"/>
      <c r="U32" s="94"/>
    </row>
    <row r="33" spans="1:21">
      <c r="A33" s="67"/>
      <c r="B33" s="69"/>
      <c r="C33" s="69"/>
      <c r="D33" s="91"/>
      <c r="E33" s="69"/>
      <c r="F33" s="69"/>
      <c r="G33" s="69"/>
      <c r="H33" s="69"/>
      <c r="I33" s="69"/>
      <c r="J33" s="95"/>
      <c r="U33" s="94"/>
    </row>
    <row r="34" spans="1:21">
      <c r="A34" s="67"/>
      <c r="B34" s="69"/>
      <c r="C34" s="69"/>
      <c r="D34" s="91"/>
      <c r="E34" s="69"/>
      <c r="F34" s="69"/>
      <c r="G34" s="69"/>
      <c r="H34" s="69"/>
      <c r="I34" s="69"/>
      <c r="J34" s="95"/>
      <c r="U34" s="94"/>
    </row>
    <row r="35" spans="1:21">
      <c r="A35" s="67"/>
      <c r="B35" s="69"/>
      <c r="C35" s="69"/>
      <c r="D35" s="69"/>
      <c r="E35" s="69"/>
      <c r="F35" s="69"/>
      <c r="G35" s="69"/>
      <c r="H35" s="69"/>
      <c r="I35" s="69"/>
      <c r="J35" s="95"/>
      <c r="U35" s="94"/>
    </row>
    <row r="36" spans="1:21">
      <c r="A36" s="67"/>
      <c r="B36" s="69"/>
      <c r="C36" s="69"/>
      <c r="D36" s="69"/>
      <c r="E36" s="69"/>
      <c r="F36" s="69"/>
      <c r="G36" s="69"/>
      <c r="H36" s="69"/>
      <c r="I36" s="69"/>
      <c r="J36" s="95"/>
      <c r="U36" s="94"/>
    </row>
    <row r="37" spans="1:21">
      <c r="A37" s="67"/>
      <c r="B37" s="69"/>
      <c r="C37" s="69"/>
      <c r="D37" s="69"/>
      <c r="E37" s="69"/>
      <c r="F37" s="69"/>
      <c r="G37" s="69"/>
      <c r="H37" s="69"/>
      <c r="I37" s="69"/>
      <c r="J37" s="95"/>
      <c r="U37" s="94"/>
    </row>
    <row r="38" spans="1:21">
      <c r="A38" s="67"/>
      <c r="B38" s="69"/>
      <c r="C38" s="69"/>
      <c r="D38" s="69"/>
      <c r="E38" s="69"/>
      <c r="F38" s="69"/>
      <c r="G38" s="69"/>
      <c r="H38" s="69"/>
      <c r="I38" s="69"/>
      <c r="J38" s="95"/>
      <c r="U38" s="94"/>
    </row>
    <row r="39" spans="1:21">
      <c r="A39" s="67"/>
      <c r="B39" s="69"/>
      <c r="C39" s="69"/>
      <c r="D39" s="69"/>
      <c r="E39" s="69"/>
      <c r="F39" s="69"/>
      <c r="G39" s="69"/>
      <c r="H39" s="69"/>
      <c r="I39" s="69"/>
      <c r="J39" s="95"/>
    </row>
    <row r="40" spans="1:21">
      <c r="A40" s="67"/>
      <c r="B40" s="67"/>
      <c r="C40" s="67"/>
      <c r="D40" s="91"/>
      <c r="E40" s="91"/>
      <c r="F40" s="67"/>
      <c r="G40" s="67"/>
      <c r="H40" s="67"/>
      <c r="I40" s="67"/>
      <c r="J40" s="67"/>
    </row>
    <row r="41" spans="1:21">
      <c r="A41" s="58"/>
      <c r="B41" s="99"/>
      <c r="C41" s="99"/>
      <c r="D41" s="99"/>
      <c r="E41" s="99"/>
      <c r="F41" s="99"/>
      <c r="G41" s="99"/>
      <c r="H41" s="99"/>
      <c r="I41" s="100"/>
      <c r="J41" s="67"/>
    </row>
    <row r="42" spans="1:21">
      <c r="A42" s="67"/>
      <c r="B42" s="67"/>
      <c r="C42" s="67"/>
      <c r="D42" s="67"/>
      <c r="E42" s="67"/>
      <c r="F42" s="67"/>
      <c r="G42" s="67"/>
      <c r="H42" s="67"/>
      <c r="I42" s="67"/>
      <c r="J42" s="67"/>
    </row>
    <row r="43" spans="1:21">
      <c r="A43" s="58"/>
      <c r="B43" s="99"/>
      <c r="C43" s="101"/>
      <c r="D43" s="101"/>
      <c r="E43" s="101"/>
      <c r="F43" s="101"/>
      <c r="G43" s="101"/>
      <c r="H43" s="101"/>
      <c r="I43" s="101"/>
      <c r="J43" s="67"/>
    </row>
    <row r="44" spans="1:21">
      <c r="A44" s="67"/>
      <c r="B44" s="67"/>
      <c r="C44" s="67"/>
      <c r="D44" s="67"/>
      <c r="E44" s="67"/>
      <c r="F44" s="67"/>
      <c r="G44" s="67"/>
      <c r="H44" s="67"/>
      <c r="I44" s="67"/>
      <c r="J44" s="67"/>
    </row>
    <row r="45" spans="1:21">
      <c r="A45" s="58"/>
      <c r="B45" s="99"/>
      <c r="C45" s="99"/>
      <c r="D45" s="99"/>
      <c r="E45" s="99"/>
      <c r="F45" s="99"/>
      <c r="G45" s="99"/>
      <c r="H45" s="99"/>
      <c r="I45" s="100"/>
      <c r="J45" s="67"/>
    </row>
    <row r="46" spans="1:21">
      <c r="A46" s="67"/>
      <c r="B46" s="67"/>
      <c r="C46" s="67"/>
      <c r="D46" s="67"/>
      <c r="E46" s="67"/>
      <c r="F46" s="67"/>
      <c r="G46" s="67"/>
      <c r="H46" s="67"/>
      <c r="I46" s="67"/>
      <c r="J46" s="67"/>
    </row>
    <row r="47" spans="1:21">
      <c r="A47" s="86"/>
      <c r="B47" s="56"/>
      <c r="C47" s="67"/>
      <c r="D47" s="67"/>
      <c r="E47" s="67"/>
      <c r="F47" s="67"/>
      <c r="G47" s="67"/>
      <c r="H47" s="67"/>
      <c r="I47" s="67"/>
      <c r="J47" s="67"/>
    </row>
    <row r="48" spans="1:21">
      <c r="A48" s="86"/>
      <c r="B48" s="56"/>
      <c r="C48" s="67"/>
      <c r="D48" s="67"/>
      <c r="E48" s="67"/>
      <c r="F48" s="67"/>
      <c r="G48" s="67"/>
      <c r="H48" s="67"/>
      <c r="I48" s="67"/>
      <c r="J48" s="67"/>
    </row>
    <row r="49" spans="1:10">
      <c r="A49" s="67"/>
      <c r="B49" s="67"/>
      <c r="C49" s="67"/>
      <c r="D49" s="67"/>
      <c r="E49" s="67"/>
      <c r="F49" s="67"/>
      <c r="G49" s="67"/>
      <c r="H49" s="67"/>
      <c r="I49" s="67"/>
      <c r="J49" s="67"/>
    </row>
    <row r="50" spans="1:10">
      <c r="A50" s="67"/>
      <c r="B50" s="67"/>
      <c r="C50" s="67"/>
      <c r="D50" s="67"/>
      <c r="E50" s="67"/>
      <c r="F50" s="67"/>
      <c r="G50" s="67"/>
      <c r="H50" s="67"/>
      <c r="I50" s="67"/>
      <c r="J50" s="67"/>
    </row>
    <row r="51" spans="1:10">
      <c r="A51" s="67"/>
      <c r="B51" s="67"/>
      <c r="C51" s="67"/>
      <c r="D51" s="67"/>
      <c r="E51" s="67"/>
      <c r="F51" s="67"/>
      <c r="G51" s="67"/>
      <c r="H51" s="67"/>
      <c r="I51" s="67"/>
      <c r="J51" s="67"/>
    </row>
    <row r="52" spans="1:10">
      <c r="A52" s="67"/>
      <c r="B52" s="67"/>
      <c r="C52" s="67"/>
      <c r="D52" s="67"/>
      <c r="E52" s="67"/>
      <c r="F52" s="67"/>
      <c r="G52" s="67"/>
      <c r="H52" s="67"/>
      <c r="I52" s="67"/>
      <c r="J52" s="67"/>
    </row>
    <row r="53" spans="1:10">
      <c r="A53" s="67"/>
      <c r="B53" s="67"/>
      <c r="C53" s="67"/>
      <c r="D53" s="67"/>
      <c r="E53" s="67"/>
      <c r="F53" s="67"/>
      <c r="G53" s="67"/>
      <c r="H53" s="67"/>
      <c r="I53" s="67"/>
      <c r="J53" s="67"/>
    </row>
    <row r="54" spans="1:10">
      <c r="A54" s="67"/>
      <c r="B54" s="67"/>
      <c r="C54" s="67"/>
      <c r="D54" s="67"/>
      <c r="E54" s="67"/>
      <c r="F54" s="67"/>
      <c r="G54" s="67"/>
      <c r="H54" s="67"/>
      <c r="I54" s="67"/>
      <c r="J54" s="67"/>
    </row>
    <row r="55" spans="1:10">
      <c r="A55" s="67"/>
      <c r="B55" s="67"/>
      <c r="C55" s="67"/>
      <c r="D55" s="67"/>
      <c r="E55" s="67"/>
      <c r="F55" s="67"/>
      <c r="G55" s="67"/>
      <c r="H55" s="67"/>
      <c r="I55" s="67"/>
      <c r="J55" s="67"/>
    </row>
    <row r="56" spans="1:10">
      <c r="A56" s="67"/>
      <c r="B56" s="67"/>
      <c r="C56" s="67"/>
      <c r="D56" s="67"/>
      <c r="E56" s="67"/>
      <c r="F56" s="67"/>
      <c r="G56" s="67"/>
      <c r="H56" s="67"/>
      <c r="I56" s="67"/>
      <c r="J56" s="67"/>
    </row>
    <row r="57" spans="1:10">
      <c r="A57" s="67"/>
      <c r="B57" s="67"/>
      <c r="C57" s="67"/>
      <c r="D57" s="67"/>
      <c r="E57" s="67"/>
      <c r="F57" s="67"/>
      <c r="G57" s="67"/>
      <c r="H57" s="67"/>
      <c r="I57" s="67"/>
      <c r="J57" s="67"/>
    </row>
    <row r="58" spans="1:10">
      <c r="A58" s="67"/>
      <c r="B58" s="67"/>
      <c r="C58" s="67"/>
      <c r="D58" s="67"/>
      <c r="E58" s="67"/>
      <c r="F58" s="67"/>
      <c r="G58" s="67"/>
      <c r="H58" s="67"/>
      <c r="I58" s="67"/>
      <c r="J58" s="67"/>
    </row>
    <row r="59" spans="1:10">
      <c r="A59" s="67"/>
      <c r="B59" s="67"/>
      <c r="C59" s="67"/>
      <c r="D59" s="67"/>
      <c r="E59" s="67"/>
      <c r="F59" s="67"/>
      <c r="G59" s="67"/>
      <c r="H59" s="67"/>
      <c r="I59" s="67"/>
      <c r="J59" s="67"/>
    </row>
    <row r="60" spans="1:10">
      <c r="A60" s="67"/>
      <c r="B60" s="67"/>
      <c r="C60" s="67"/>
      <c r="D60" s="67"/>
      <c r="E60" s="67"/>
      <c r="F60" s="67"/>
      <c r="G60" s="67"/>
      <c r="H60" s="67"/>
      <c r="I60" s="67"/>
      <c r="J60" s="67"/>
    </row>
    <row r="61" spans="1:10">
      <c r="A61" s="67"/>
      <c r="B61" s="67"/>
      <c r="C61" s="67"/>
      <c r="D61" s="67"/>
      <c r="E61" s="67"/>
      <c r="F61" s="67"/>
      <c r="G61" s="67"/>
      <c r="H61" s="67"/>
      <c r="I61" s="67"/>
      <c r="J61" s="67"/>
    </row>
    <row r="62" spans="1:10">
      <c r="A62" s="67"/>
      <c r="B62" s="67"/>
      <c r="C62" s="67"/>
      <c r="D62" s="67"/>
      <c r="E62" s="67"/>
      <c r="F62" s="67"/>
      <c r="G62" s="67"/>
      <c r="H62" s="67"/>
      <c r="I62" s="67"/>
      <c r="J62" s="67"/>
    </row>
    <row r="63" spans="1:10">
      <c r="A63" s="67"/>
      <c r="B63" s="67"/>
      <c r="C63" s="67"/>
      <c r="D63" s="67"/>
      <c r="E63" s="67"/>
      <c r="F63" s="67"/>
      <c r="G63" s="67"/>
      <c r="H63" s="67"/>
      <c r="I63" s="67"/>
      <c r="J63" s="67"/>
    </row>
    <row r="64" spans="1:10">
      <c r="A64" s="67"/>
      <c r="B64" s="67"/>
      <c r="C64" s="67"/>
      <c r="D64" s="67"/>
      <c r="E64" s="67"/>
      <c r="F64" s="67"/>
      <c r="G64" s="67"/>
      <c r="H64" s="67"/>
      <c r="I64" s="67"/>
      <c r="J64" s="67"/>
    </row>
    <row r="65" spans="1:10">
      <c r="A65" s="67"/>
      <c r="B65" s="67"/>
      <c r="C65" s="67"/>
      <c r="D65" s="67"/>
      <c r="E65" s="67"/>
      <c r="F65" s="67"/>
      <c r="G65" s="67"/>
      <c r="H65" s="67"/>
      <c r="I65" s="67"/>
      <c r="J65" s="67"/>
    </row>
    <row r="66" spans="1:10">
      <c r="A66" s="67"/>
      <c r="B66" s="67"/>
      <c r="C66" s="67"/>
      <c r="D66" s="67"/>
      <c r="E66" s="67"/>
      <c r="F66" s="67"/>
      <c r="G66" s="67"/>
      <c r="H66" s="67"/>
      <c r="I66" s="67"/>
      <c r="J66" s="67"/>
    </row>
    <row r="67" spans="1:10">
      <c r="A67" s="67"/>
      <c r="B67" s="67"/>
      <c r="C67" s="67"/>
      <c r="D67" s="67"/>
      <c r="E67" s="67"/>
      <c r="F67" s="67"/>
      <c r="G67" s="67"/>
      <c r="H67" s="67"/>
      <c r="I67" s="67"/>
      <c r="J67" s="67"/>
    </row>
    <row r="68" spans="1:10">
      <c r="A68" s="67"/>
      <c r="B68" s="67"/>
      <c r="C68" s="67"/>
      <c r="D68" s="67"/>
      <c r="E68" s="67"/>
      <c r="F68" s="67"/>
      <c r="G68" s="67"/>
      <c r="H68" s="67"/>
      <c r="I68" s="67"/>
      <c r="J68" s="67"/>
    </row>
    <row r="69" spans="1:10">
      <c r="A69" s="67"/>
      <c r="B69" s="67"/>
      <c r="C69" s="67"/>
      <c r="D69" s="67"/>
      <c r="E69" s="67"/>
      <c r="F69" s="67"/>
      <c r="G69" s="67"/>
      <c r="H69" s="67"/>
      <c r="I69" s="67"/>
      <c r="J69" s="67"/>
    </row>
    <row r="70" spans="1:10">
      <c r="A70" s="67"/>
      <c r="B70" s="67"/>
      <c r="C70" s="67"/>
      <c r="D70" s="67"/>
      <c r="E70" s="67"/>
      <c r="F70" s="67"/>
      <c r="G70" s="67"/>
      <c r="H70" s="67"/>
      <c r="I70" s="67"/>
      <c r="J70" s="67"/>
    </row>
    <row r="71" spans="1:10">
      <c r="A71" s="67"/>
      <c r="B71" s="67"/>
      <c r="C71" s="67"/>
      <c r="D71" s="67"/>
      <c r="E71" s="67"/>
      <c r="F71" s="67"/>
      <c r="G71" s="67"/>
      <c r="H71" s="67"/>
      <c r="I71" s="67"/>
      <c r="J71" s="67"/>
    </row>
    <row r="72" spans="1:10">
      <c r="A72" s="67"/>
      <c r="B72" s="67"/>
      <c r="C72" s="67"/>
      <c r="D72" s="67"/>
      <c r="E72" s="67"/>
      <c r="F72" s="67"/>
      <c r="G72" s="67"/>
      <c r="H72" s="67"/>
      <c r="I72" s="67"/>
      <c r="J72" s="67"/>
    </row>
    <row r="73" spans="1:10">
      <c r="A73" s="67"/>
      <c r="B73" s="67"/>
      <c r="C73" s="67"/>
      <c r="D73" s="67"/>
      <c r="E73" s="67"/>
      <c r="F73" s="67"/>
      <c r="G73" s="67"/>
      <c r="H73" s="67"/>
      <c r="I73" s="67"/>
      <c r="J73" s="67"/>
    </row>
    <row r="74" spans="1:10">
      <c r="A74" s="67"/>
      <c r="B74" s="67"/>
      <c r="C74" s="67"/>
      <c r="D74" s="67"/>
      <c r="E74" s="67"/>
      <c r="F74" s="67"/>
      <c r="G74" s="67"/>
      <c r="H74" s="67"/>
      <c r="I74" s="67"/>
      <c r="J74" s="67"/>
    </row>
    <row r="75" spans="1:10">
      <c r="A75" s="67"/>
      <c r="B75" s="67"/>
      <c r="C75" s="67"/>
      <c r="D75" s="67"/>
      <c r="E75" s="67"/>
      <c r="F75" s="67"/>
      <c r="G75" s="67"/>
      <c r="H75" s="67"/>
      <c r="I75" s="67"/>
      <c r="J75" s="67"/>
    </row>
    <row r="76" spans="1:10">
      <c r="A76" s="67"/>
      <c r="B76" s="67"/>
      <c r="C76" s="67"/>
      <c r="D76" s="67"/>
      <c r="E76" s="67"/>
      <c r="F76" s="67"/>
      <c r="G76" s="67"/>
      <c r="H76" s="67"/>
      <c r="I76" s="67"/>
      <c r="J76" s="67"/>
    </row>
    <row r="77" spans="1:10">
      <c r="A77" s="67"/>
      <c r="B77" s="67"/>
      <c r="C77" s="67"/>
      <c r="D77" s="67"/>
      <c r="E77" s="67"/>
      <c r="F77" s="67"/>
      <c r="G77" s="67"/>
      <c r="H77" s="67"/>
      <c r="I77" s="67"/>
      <c r="J77" s="67"/>
    </row>
    <row r="78" spans="1:10">
      <c r="A78" s="67"/>
      <c r="B78" s="67"/>
      <c r="C78" s="67"/>
      <c r="D78" s="67"/>
      <c r="E78" s="67"/>
      <c r="F78" s="67"/>
      <c r="G78" s="67"/>
      <c r="H78" s="67"/>
      <c r="I78" s="67"/>
      <c r="J78" s="67"/>
    </row>
    <row r="79" spans="1:10">
      <c r="A79" s="67"/>
      <c r="B79" s="67"/>
      <c r="C79" s="67"/>
      <c r="D79" s="67"/>
      <c r="E79" s="67"/>
      <c r="F79" s="67"/>
      <c r="G79" s="67"/>
      <c r="H79" s="67"/>
      <c r="I79" s="67"/>
      <c r="J79" s="67"/>
    </row>
    <row r="80" spans="1:10">
      <c r="A80" s="67"/>
      <c r="B80" s="67"/>
      <c r="C80" s="67"/>
      <c r="D80" s="67"/>
      <c r="E80" s="67"/>
      <c r="F80" s="67"/>
      <c r="G80" s="67"/>
      <c r="H80" s="67"/>
      <c r="I80" s="67"/>
      <c r="J80" s="67"/>
    </row>
    <row r="81" spans="1:10">
      <c r="A81" s="67"/>
      <c r="B81" s="67"/>
      <c r="C81" s="67"/>
      <c r="D81" s="67"/>
      <c r="E81" s="67"/>
      <c r="F81" s="67"/>
      <c r="G81" s="67"/>
      <c r="H81" s="67"/>
      <c r="I81" s="67"/>
      <c r="J81" s="67"/>
    </row>
    <row r="82" spans="1:10">
      <c r="A82" s="67"/>
      <c r="B82" s="67"/>
      <c r="C82" s="67"/>
      <c r="D82" s="67"/>
      <c r="E82" s="67"/>
      <c r="F82" s="67"/>
      <c r="G82" s="67"/>
      <c r="H82" s="67"/>
      <c r="I82" s="67"/>
      <c r="J82" s="67"/>
    </row>
    <row r="83" spans="1:10">
      <c r="A83" s="67"/>
      <c r="B83" s="67"/>
      <c r="C83" s="67"/>
      <c r="D83" s="67"/>
      <c r="E83" s="67"/>
      <c r="F83" s="67"/>
      <c r="G83" s="67"/>
      <c r="H83" s="67"/>
      <c r="I83" s="67"/>
      <c r="J83" s="67"/>
    </row>
    <row r="84" spans="1:10">
      <c r="A84" s="67"/>
      <c r="B84" s="67"/>
      <c r="C84" s="67"/>
      <c r="D84" s="67"/>
      <c r="E84" s="67"/>
      <c r="F84" s="67"/>
      <c r="G84" s="67"/>
      <c r="H84" s="67"/>
      <c r="I84" s="67"/>
      <c r="J84" s="67"/>
    </row>
    <row r="85" spans="1:10">
      <c r="A85" s="67"/>
      <c r="B85" s="67"/>
      <c r="C85" s="67"/>
      <c r="D85" s="67"/>
      <c r="E85" s="67"/>
      <c r="F85" s="67"/>
      <c r="G85" s="67"/>
      <c r="H85" s="67"/>
      <c r="I85" s="67"/>
      <c r="J85" s="67"/>
    </row>
    <row r="86" spans="1:10">
      <c r="A86" s="67"/>
      <c r="B86" s="67"/>
      <c r="C86" s="67"/>
      <c r="D86" s="67"/>
      <c r="E86" s="67"/>
      <c r="F86" s="67"/>
      <c r="G86" s="67"/>
      <c r="H86" s="67"/>
      <c r="I86" s="67"/>
      <c r="J86" s="67"/>
    </row>
    <row r="87" spans="1:10">
      <c r="A87" s="67"/>
      <c r="B87" s="67"/>
      <c r="C87" s="67"/>
      <c r="D87" s="67"/>
      <c r="E87" s="67"/>
      <c r="F87" s="67"/>
      <c r="G87" s="67"/>
      <c r="H87" s="67"/>
      <c r="I87" s="67"/>
      <c r="J87" s="67"/>
    </row>
    <row r="88" spans="1:10">
      <c r="A88" s="67"/>
      <c r="B88" s="67"/>
      <c r="C88" s="67"/>
      <c r="D88" s="67"/>
      <c r="E88" s="67"/>
      <c r="F88" s="67"/>
      <c r="G88" s="67"/>
      <c r="H88" s="67"/>
      <c r="I88" s="67"/>
      <c r="J88" s="67"/>
    </row>
    <row r="97" spans="1:2">
      <c r="B97" s="88"/>
    </row>
    <row r="98" spans="1:2">
      <c r="B98" s="88"/>
    </row>
    <row r="100" spans="1:2">
      <c r="B100" s="88"/>
    </row>
    <row r="102" spans="1:2">
      <c r="A102" s="96" t="s">
        <v>62</v>
      </c>
    </row>
    <row r="103" spans="1:2">
      <c r="A103" s="45" t="s">
        <v>21</v>
      </c>
      <c r="B103" s="88">
        <v>0</v>
      </c>
    </row>
    <row r="104" spans="1:2">
      <c r="A104" s="45" t="str">
        <f>A4</f>
        <v>Nominale matching</v>
      </c>
      <c r="B104" s="88">
        <v>1</v>
      </c>
    </row>
    <row r="105" spans="1:2">
      <c r="A105" s="45" t="str">
        <f t="shared" ref="A105:A112" si="0">A5</f>
        <v>High Yield</v>
      </c>
      <c r="B105" s="88">
        <v>2</v>
      </c>
    </row>
    <row r="106" spans="1:2">
      <c r="A106" s="45" t="str">
        <f t="shared" si="0"/>
        <v>Emerging market debt</v>
      </c>
      <c r="B106" s="88">
        <v>3</v>
      </c>
    </row>
    <row r="107" spans="1:2">
      <c r="A107" s="45" t="str">
        <f t="shared" si="0"/>
        <v>Aandelen ontwikkeld</v>
      </c>
      <c r="B107" s="88">
        <v>4</v>
      </c>
    </row>
    <row r="108" spans="1:2">
      <c r="A108" s="45" t="str">
        <f t="shared" si="0"/>
        <v>Aandelen opkomend</v>
      </c>
      <c r="B108" s="88">
        <v>5</v>
      </c>
    </row>
    <row r="109" spans="1:2">
      <c r="A109" s="45" t="str">
        <f t="shared" si="0"/>
        <v>Commodities</v>
      </c>
      <c r="B109" s="88">
        <v>6</v>
      </c>
    </row>
    <row r="110" spans="1:2">
      <c r="A110" s="45" t="str">
        <f t="shared" si="0"/>
        <v>Hedge funds</v>
      </c>
      <c r="B110" s="88">
        <v>7</v>
      </c>
    </row>
    <row r="111" spans="1:2">
      <c r="A111" s="45" t="str">
        <f t="shared" si="0"/>
        <v>Onroerend goed</v>
      </c>
      <c r="B111" s="88">
        <v>8</v>
      </c>
    </row>
    <row r="112" spans="1:2">
      <c r="A112" s="45" t="str">
        <f t="shared" si="0"/>
        <v>Periferie bonds</v>
      </c>
      <c r="B112" s="88">
        <v>9</v>
      </c>
    </row>
    <row r="113" spans="1:2">
      <c r="A113" s="97" t="s">
        <v>63</v>
      </c>
    </row>
    <row r="114" spans="1:2">
      <c r="A114" s="45" t="s">
        <v>58</v>
      </c>
      <c r="B114" s="88">
        <f>VLOOKUP(B18,$A$103:$B$111,2,0)</f>
        <v>0</v>
      </c>
    </row>
    <row r="115" spans="1:2">
      <c r="A115" s="45" t="s">
        <v>64</v>
      </c>
      <c r="B115" s="88">
        <f t="shared" ref="B115:B116" si="1">VLOOKUP(B19,$A$103:$B$111,2,0)</f>
        <v>1</v>
      </c>
    </row>
    <row r="116" spans="1:2">
      <c r="A116" s="45" t="s">
        <v>65</v>
      </c>
      <c r="B116" s="88">
        <f t="shared" si="1"/>
        <v>2</v>
      </c>
    </row>
  </sheetData>
  <mergeCells count="3">
    <mergeCell ref="E2:P2"/>
    <mergeCell ref="G21:J21"/>
    <mergeCell ref="T22:X22"/>
  </mergeCells>
  <dataValidations count="3">
    <dataValidation type="list" allowBlank="1" showInputMessage="1" showErrorMessage="1" sqref="A1">
      <formula1>Klanten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B18">
      <formula1>$A$103:$A$111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46"/>
  <sheetViews>
    <sheetView tabSelected="1" workbookViewId="0">
      <selection activeCell="B43" sqref="B43"/>
    </sheetView>
  </sheetViews>
  <sheetFormatPr defaultRowHeight="15"/>
  <cols>
    <col min="1" max="1" width="39" style="3" bestFit="1" customWidth="1"/>
    <col min="2" max="9" width="14.85546875" style="3" customWidth="1"/>
    <col min="10" max="16384" width="9.140625" style="3"/>
  </cols>
  <sheetData>
    <row r="1" spans="1:9" ht="15.75" thickBot="1"/>
    <row r="2" spans="1:9" ht="15.75" thickBot="1">
      <c r="A2" s="106" t="s">
        <v>67</v>
      </c>
      <c r="B2" s="107" t="s">
        <v>33</v>
      </c>
      <c r="C2" s="124" t="s">
        <v>68</v>
      </c>
      <c r="D2" s="124" t="s">
        <v>69</v>
      </c>
      <c r="E2" s="124" t="s">
        <v>70</v>
      </c>
      <c r="F2" s="124" t="s">
        <v>71</v>
      </c>
      <c r="G2" s="124" t="s">
        <v>72</v>
      </c>
      <c r="H2" s="125" t="s">
        <v>73</v>
      </c>
      <c r="I2" s="109" t="s">
        <v>74</v>
      </c>
    </row>
    <row r="3" spans="1:9">
      <c r="A3" s="110" t="str">
        <f>IF(evenwicht!A4&lt;&gt;"",evenwicht!A4,"")</f>
        <v>Nominale matching</v>
      </c>
      <c r="B3" s="111">
        <f>IF(evenwicht!A4&lt;&gt;"",evenwicht!C4,"")</f>
        <v>0</v>
      </c>
      <c r="C3" s="72">
        <v>-3.2445168309994665E-3</v>
      </c>
      <c r="D3" s="72">
        <v>-1.0761362748873404E-3</v>
      </c>
      <c r="E3" s="72">
        <v>-3.4179872754884488E-3</v>
      </c>
      <c r="F3" s="72">
        <v>-2.5720358328627513E-2</v>
      </c>
      <c r="G3" s="72">
        <v>-0.26287574291051119</v>
      </c>
      <c r="H3" s="73">
        <v>-3.2441343963196256E-3</v>
      </c>
      <c r="I3" s="112">
        <f>IF(A3&lt;&gt;"",+SUMPRODUCT(B3:H3,$B$41:$H$41),"")</f>
        <v>0</v>
      </c>
    </row>
    <row r="4" spans="1:9">
      <c r="A4" s="113" t="str">
        <f>IF(evenwicht!A5&lt;&gt;"",evenwicht!A5,"")</f>
        <v>High Yield</v>
      </c>
      <c r="B4" s="111">
        <f>IF(evenwicht!A5&lt;&gt;"",evenwicht!C5,"")</f>
        <v>0.03</v>
      </c>
      <c r="C4" s="72">
        <v>3.2492969125133414E-2</v>
      </c>
      <c r="D4" s="72">
        <v>-8.65324500372157E-2</v>
      </c>
      <c r="E4" s="72">
        <v>5.1526244290784291E-2</v>
      </c>
      <c r="F4" s="72">
        <v>-0.43934344866388231</v>
      </c>
      <c r="G4" s="72">
        <v>-0.41627425662388229</v>
      </c>
      <c r="H4" s="73">
        <v>0.27529934429078429</v>
      </c>
      <c r="I4" s="61">
        <f t="shared" ref="I4:I14" si="0">IF(A4&lt;&gt;"",+SUMPRODUCT(B4:H4,$B$41:$H$41),"")</f>
        <v>0</v>
      </c>
    </row>
    <row r="5" spans="1:9">
      <c r="A5" s="113" t="str">
        <f>IF(evenwicht!A6&lt;&gt;"",evenwicht!A6,"")</f>
        <v>Emerging market debt</v>
      </c>
      <c r="B5" s="111">
        <f>IF(evenwicht!A6&lt;&gt;"",evenwicht!C6,"")</f>
        <v>3.139819541969964E-2</v>
      </c>
      <c r="C5" s="72">
        <v>1.45681608513176E-2</v>
      </c>
      <c r="D5" s="72">
        <v>-2.1111513867647543E-2</v>
      </c>
      <c r="E5" s="72">
        <v>3.2357333960853253E-3</v>
      </c>
      <c r="F5" s="72">
        <v>-0.41802644813429485</v>
      </c>
      <c r="G5" s="72">
        <v>-0.17149574156312622</v>
      </c>
      <c r="H5" s="73">
        <v>0.25817653707968463</v>
      </c>
      <c r="I5" s="61">
        <f t="shared" si="0"/>
        <v>0</v>
      </c>
    </row>
    <row r="6" spans="1:9">
      <c r="A6" s="113" t="str">
        <f>IF(evenwicht!A7&lt;&gt;"",evenwicht!A7,"")</f>
        <v>Aandelen ontwikkeld</v>
      </c>
      <c r="B6" s="111">
        <f>IF(evenwicht!A7&lt;&gt;"",evenwicht!C7,"")</f>
        <v>5.6592124636374697E-2</v>
      </c>
      <c r="C6" s="72">
        <v>-1.272492445230269E-2</v>
      </c>
      <c r="D6" s="72">
        <v>-0.19311368459773193</v>
      </c>
      <c r="E6" s="72">
        <v>4.3944352615336905E-2</v>
      </c>
      <c r="F6" s="72">
        <v>-0.5992014650452413</v>
      </c>
      <c r="G6" s="72">
        <v>-0.47126055414190038</v>
      </c>
      <c r="H6" s="73">
        <v>0.40935864013329615</v>
      </c>
      <c r="I6" s="61">
        <f t="shared" si="0"/>
        <v>0</v>
      </c>
    </row>
    <row r="7" spans="1:9">
      <c r="A7" s="113" t="str">
        <f>IF(evenwicht!A8&lt;&gt;"",evenwicht!A8,"")</f>
        <v>Aandelen opkomend</v>
      </c>
      <c r="B7" s="111">
        <f>IF(evenwicht!A8&lt;&gt;"",evenwicht!C8,"")</f>
        <v>5.6149706786613261E-2</v>
      </c>
      <c r="C7" s="72">
        <v>5.7893485302571407E-2</v>
      </c>
      <c r="D7" s="72">
        <v>-6.9261756645690273E-2</v>
      </c>
      <c r="E7" s="72">
        <v>7.474963400472559E-2</v>
      </c>
      <c r="F7" s="72">
        <v>-0.42661422498990775</v>
      </c>
      <c r="G7" s="72">
        <v>-0.26558788944909251</v>
      </c>
      <c r="H7" s="73">
        <v>0.37672139820686834</v>
      </c>
      <c r="I7" s="61">
        <f t="shared" si="0"/>
        <v>0</v>
      </c>
    </row>
    <row r="8" spans="1:9">
      <c r="A8" s="113" t="str">
        <f>IF(evenwicht!A9&lt;&gt;"",evenwicht!A9,"")</f>
        <v>Commodities</v>
      </c>
      <c r="B8" s="111">
        <f>IF(evenwicht!A9&lt;&gt;"",evenwicht!C9,"")</f>
        <v>5.1695827746959064E-2</v>
      </c>
      <c r="C8" s="72">
        <v>7.1858480605475325E-2</v>
      </c>
      <c r="D8" s="72">
        <v>1.202667991596415E-2</v>
      </c>
      <c r="E8" s="72">
        <v>8.5249207175964209E-2</v>
      </c>
      <c r="F8" s="72">
        <v>-0.52128297967070236</v>
      </c>
      <c r="G8" s="72">
        <v>-0.54077311463070243</v>
      </c>
      <c r="H8" s="73">
        <v>0.621322616702631</v>
      </c>
      <c r="I8" s="61">
        <f t="shared" si="0"/>
        <v>0</v>
      </c>
    </row>
    <row r="9" spans="1:9">
      <c r="A9" s="113" t="str">
        <f>IF(evenwicht!A10&lt;&gt;"",evenwicht!A10,"")</f>
        <v>Hedge funds</v>
      </c>
      <c r="B9" s="111">
        <f>IF(evenwicht!A10&lt;&gt;"",evenwicht!C10,"")</f>
        <v>2.8296106892401265E-2</v>
      </c>
      <c r="C9" s="72">
        <v>1.8730269708989476E-2</v>
      </c>
      <c r="D9" s="72">
        <v>-4.6790508294452839E-2</v>
      </c>
      <c r="E9" s="72">
        <v>1.8215216611987023E-2</v>
      </c>
      <c r="F9" s="72">
        <v>-0.25630468560846492</v>
      </c>
      <c r="G9" s="72">
        <v>-6.931471876793301E-3</v>
      </c>
      <c r="H9" s="73">
        <v>0.28021842301080391</v>
      </c>
      <c r="I9" s="61">
        <f t="shared" si="0"/>
        <v>0</v>
      </c>
    </row>
    <row r="10" spans="1:9">
      <c r="A10" s="113" t="str">
        <f>IF(evenwicht!A11&lt;&gt;"",evenwicht!A11,"")</f>
        <v>Onroerend goed</v>
      </c>
      <c r="B10" s="111">
        <f>IF(evenwicht!A11&lt;&gt;"",evenwicht!C11,"")</f>
        <v>3.9623116882628269E-2</v>
      </c>
      <c r="C10" s="72">
        <v>-5.9825766089863959E-3</v>
      </c>
      <c r="D10" s="72">
        <v>-0.13956067047136589</v>
      </c>
      <c r="E10" s="72">
        <v>2.7964399001126676E-2</v>
      </c>
      <c r="F10" s="72">
        <v>-0.45200242221105646</v>
      </c>
      <c r="G10" s="72">
        <v>-0.48031312669988807</v>
      </c>
      <c r="H10" s="73">
        <v>0.41038049782760322</v>
      </c>
      <c r="I10" s="61">
        <f t="shared" si="0"/>
        <v>0</v>
      </c>
    </row>
    <row r="11" spans="1:9">
      <c r="A11" s="113" t="str">
        <f>IF(evenwicht!A12&lt;&gt;"",evenwicht!A12,"")</f>
        <v>Periferie bonds</v>
      </c>
      <c r="B11" s="111">
        <f>IF(evenwicht!A12&lt;&gt;"",evenwicht!C12,"")</f>
        <v>2.5656887462827429E-2</v>
      </c>
      <c r="C11" s="72">
        <v>3.8404573676165434E-3</v>
      </c>
      <c r="D11" s="72">
        <v>-0.14672572762255914</v>
      </c>
      <c r="E11" s="72">
        <v>2.2147204340377598E-2</v>
      </c>
      <c r="F11" s="72">
        <v>-0.34409214194437909</v>
      </c>
      <c r="G11" s="72">
        <v>-0.70677044028756997</v>
      </c>
      <c r="H11" s="73">
        <v>0.16161778235216684</v>
      </c>
      <c r="I11" s="61">
        <f t="shared" si="0"/>
        <v>0</v>
      </c>
    </row>
    <row r="12" spans="1:9">
      <c r="A12" s="113" t="str">
        <f>IF(evenwicht!A13&lt;&gt;"",evenwicht!A13,"")</f>
        <v/>
      </c>
      <c r="B12" s="111" t="str">
        <f>IF(evenwicht!A13&lt;&gt;"",evenwicht!C13,"")</f>
        <v/>
      </c>
      <c r="C12" s="72"/>
      <c r="D12" s="72"/>
      <c r="E12" s="72"/>
      <c r="F12" s="72"/>
      <c r="G12" s="72"/>
      <c r="H12" s="73"/>
      <c r="I12" s="61" t="str">
        <f t="shared" si="0"/>
        <v/>
      </c>
    </row>
    <row r="13" spans="1:9">
      <c r="A13" s="113" t="str">
        <f>IF(evenwicht!A14&lt;&gt;"",evenwicht!A14,"")</f>
        <v/>
      </c>
      <c r="B13" s="111" t="str">
        <f>IF(evenwicht!A14&lt;&gt;"",evenwicht!C14,"")</f>
        <v/>
      </c>
      <c r="C13" s="72"/>
      <c r="D13" s="72"/>
      <c r="E13" s="72"/>
      <c r="F13" s="72"/>
      <c r="G13" s="72"/>
      <c r="H13" s="73"/>
      <c r="I13" s="61" t="str">
        <f t="shared" si="0"/>
        <v/>
      </c>
    </row>
    <row r="14" spans="1:9" ht="15.75" thickBot="1">
      <c r="A14" s="114" t="str">
        <f>IF(evenwicht!A15&lt;&gt;"",evenwicht!A15,"")</f>
        <v/>
      </c>
      <c r="B14" s="115" t="str">
        <f>IF(evenwicht!A15&lt;&gt;"",evenwicht!C15,"")</f>
        <v/>
      </c>
      <c r="C14" s="81"/>
      <c r="D14" s="81"/>
      <c r="E14" s="81"/>
      <c r="F14" s="81"/>
      <c r="G14" s="81"/>
      <c r="H14" s="82"/>
      <c r="I14" s="79" t="str">
        <f t="shared" si="0"/>
        <v/>
      </c>
    </row>
    <row r="15" spans="1:9" ht="15.75" thickBot="1">
      <c r="A15" s="45"/>
      <c r="B15" s="45"/>
      <c r="C15" s="45"/>
      <c r="D15" s="91"/>
      <c r="E15" s="91"/>
      <c r="F15" s="45"/>
      <c r="G15" s="45"/>
      <c r="H15" s="67"/>
      <c r="I15" s="67"/>
    </row>
    <row r="16" spans="1:9" ht="15.75" thickBot="1">
      <c r="A16" s="116" t="s">
        <v>75</v>
      </c>
      <c r="B16" s="126">
        <v>0</v>
      </c>
      <c r="C16" s="126">
        <v>1</v>
      </c>
      <c r="D16" s="126">
        <v>0</v>
      </c>
      <c r="E16" s="126">
        <v>0</v>
      </c>
      <c r="F16" s="126">
        <v>0</v>
      </c>
      <c r="G16" s="126">
        <v>0</v>
      </c>
      <c r="H16" s="117">
        <f>1-SUM(B16:G16)</f>
        <v>0</v>
      </c>
      <c r="I16" s="118">
        <f>+$B$41+((100%-$B$41)*(D16+E16+F16+G16+H16+C16))</f>
        <v>1</v>
      </c>
    </row>
    <row r="17" spans="1:10" ht="15.75" thickBot="1">
      <c r="A17" s="45"/>
      <c r="B17" s="45"/>
      <c r="C17" s="45"/>
      <c r="D17" s="45"/>
      <c r="E17" s="45"/>
      <c r="F17" s="45"/>
      <c r="G17" s="45"/>
      <c r="H17" s="45"/>
      <c r="I17" s="45"/>
    </row>
    <row r="18" spans="1:10" ht="15.75" thickBot="1">
      <c r="A18" s="116" t="s">
        <v>76</v>
      </c>
      <c r="B18" s="119">
        <v>1.7066660696180604E-2</v>
      </c>
      <c r="C18" s="120">
        <v>1.7322861875768026E-2</v>
      </c>
      <c r="D18" s="120">
        <v>-2.2038662357749515E-2</v>
      </c>
      <c r="E18" s="120">
        <v>2.3457328236569687E-2</v>
      </c>
      <c r="F18" s="120">
        <v>-0.20546096634208744</v>
      </c>
      <c r="G18" s="120">
        <v>-0.32396127569674815</v>
      </c>
      <c r="H18" s="120">
        <v>0.16643662951919916</v>
      </c>
      <c r="I18" s="121">
        <v>0</v>
      </c>
    </row>
    <row r="19" spans="1:10" ht="15.75" thickBot="1">
      <c r="A19" s="45"/>
      <c r="B19" s="45"/>
      <c r="C19" s="45"/>
      <c r="D19" s="45"/>
      <c r="E19" s="45"/>
      <c r="F19" s="45"/>
      <c r="G19" s="45"/>
      <c r="H19" s="45"/>
      <c r="I19" s="45"/>
      <c r="J19" s="45"/>
    </row>
    <row r="20" spans="1:10" ht="15.75" thickBot="1">
      <c r="A20" s="116" t="s">
        <v>77</v>
      </c>
      <c r="B20" s="99"/>
      <c r="C20" s="127">
        <v>0.75</v>
      </c>
      <c r="D20" s="126">
        <v>0.05</v>
      </c>
      <c r="E20" s="126">
        <v>0.05</v>
      </c>
      <c r="F20" s="126">
        <v>0.05</v>
      </c>
      <c r="G20" s="128">
        <v>0.05</v>
      </c>
      <c r="H20" s="123">
        <f>1-SUM(C20:G20)</f>
        <v>4.9999999999999822E-2</v>
      </c>
      <c r="I20" s="45"/>
      <c r="J20" s="45"/>
    </row>
    <row r="21" spans="1:10">
      <c r="A21" s="45"/>
      <c r="B21" s="45"/>
      <c r="C21" s="45"/>
      <c r="D21" s="45"/>
      <c r="E21" s="45"/>
      <c r="F21" s="45"/>
      <c r="G21" s="45"/>
      <c r="H21" s="45"/>
      <c r="I21" s="45"/>
      <c r="J21" s="45"/>
    </row>
    <row r="22" spans="1:10">
      <c r="A22" s="86"/>
      <c r="B22" s="56"/>
      <c r="C22" s="67"/>
      <c r="D22" s="45"/>
      <c r="E22" s="45"/>
      <c r="F22" s="45"/>
      <c r="G22" s="45"/>
      <c r="H22" s="45"/>
      <c r="I22" s="45"/>
    </row>
    <row r="23" spans="1:10">
      <c r="A23" s="86"/>
      <c r="B23" s="56"/>
      <c r="C23" s="67"/>
      <c r="D23" s="45"/>
      <c r="E23" s="45"/>
      <c r="F23" s="45"/>
      <c r="G23" s="45"/>
      <c r="H23" s="45"/>
      <c r="I23" s="45"/>
    </row>
    <row r="24" spans="1:10">
      <c r="A24" s="105"/>
      <c r="B24" s="105"/>
      <c r="C24" s="105"/>
    </row>
    <row r="26" spans="1:10">
      <c r="A26" s="92" t="s">
        <v>112</v>
      </c>
    </row>
    <row r="27" spans="1:10">
      <c r="A27" s="222" t="s">
        <v>58</v>
      </c>
      <c r="B27" s="223" t="s">
        <v>21</v>
      </c>
    </row>
    <row r="28" spans="1:10" ht="15.75" thickBot="1">
      <c r="A28" s="222"/>
    </row>
    <row r="29" spans="1:10">
      <c r="A29" s="224"/>
      <c r="B29" s="210" t="s">
        <v>105</v>
      </c>
      <c r="C29" s="211"/>
      <c r="D29" s="211"/>
      <c r="E29" s="212"/>
      <c r="F29" s="213"/>
      <c r="G29" s="213"/>
      <c r="H29" s="214"/>
      <c r="I29" s="215" t="s">
        <v>106</v>
      </c>
    </row>
    <row r="30" spans="1:10" ht="15.75" thickBot="1">
      <c r="A30" s="225"/>
      <c r="B30" s="53" t="s">
        <v>107</v>
      </c>
      <c r="C30" s="53" t="s">
        <v>108</v>
      </c>
      <c r="D30" s="53" t="s">
        <v>109</v>
      </c>
      <c r="E30" s="54" t="s">
        <v>108</v>
      </c>
      <c r="F30" s="216" t="s">
        <v>110</v>
      </c>
      <c r="G30" s="216" t="s">
        <v>108</v>
      </c>
      <c r="H30" s="216" t="s">
        <v>8</v>
      </c>
      <c r="I30" s="216" t="s">
        <v>111</v>
      </c>
    </row>
    <row r="31" spans="1:10">
      <c r="A31" s="226">
        <f>A17</f>
        <v>0</v>
      </c>
      <c r="B31" s="217">
        <v>0</v>
      </c>
      <c r="C31" s="55">
        <v>0</v>
      </c>
      <c r="D31" s="70">
        <f>D38</f>
        <v>0</v>
      </c>
      <c r="E31" s="179">
        <v>1</v>
      </c>
      <c r="F31" s="218">
        <v>0.02</v>
      </c>
      <c r="G31" s="57">
        <v>0</v>
      </c>
      <c r="H31" s="57">
        <f>'[2]Control panel'!B38:B38</f>
        <v>0</v>
      </c>
      <c r="I31" s="57" t="s">
        <v>24</v>
      </c>
    </row>
    <row r="32" spans="1:10">
      <c r="A32" s="226" t="str">
        <f t="shared" ref="A32:A37" si="1">A18</f>
        <v>Verwacht Overrendement</v>
      </c>
      <c r="B32" s="217">
        <v>0</v>
      </c>
      <c r="C32" s="55">
        <v>0</v>
      </c>
      <c r="D32" s="70">
        <f t="shared" ref="D32:D37" si="2">$D$27</f>
        <v>0</v>
      </c>
      <c r="E32" s="179">
        <v>1</v>
      </c>
      <c r="F32" s="218">
        <v>0.02</v>
      </c>
      <c r="G32" s="57">
        <v>0</v>
      </c>
      <c r="H32" s="57" t="s">
        <v>9</v>
      </c>
      <c r="I32" s="57" t="s">
        <v>24</v>
      </c>
    </row>
    <row r="33" spans="1:9">
      <c r="A33" s="226">
        <f t="shared" si="1"/>
        <v>0</v>
      </c>
      <c r="B33" s="217">
        <v>0</v>
      </c>
      <c r="C33" s="55">
        <v>0</v>
      </c>
      <c r="D33" s="70">
        <f t="shared" si="2"/>
        <v>0</v>
      </c>
      <c r="E33" s="179">
        <v>1</v>
      </c>
      <c r="F33" s="218">
        <v>0.02</v>
      </c>
      <c r="G33" s="57">
        <v>0</v>
      </c>
      <c r="H33" s="57" t="s">
        <v>9</v>
      </c>
      <c r="I33" s="57" t="s">
        <v>24</v>
      </c>
    </row>
    <row r="34" spans="1:9">
      <c r="A34" s="226" t="str">
        <f t="shared" si="1"/>
        <v>Scenario Kans (BL)</v>
      </c>
      <c r="B34" s="217">
        <v>0</v>
      </c>
      <c r="C34" s="55">
        <v>0</v>
      </c>
      <c r="D34" s="70">
        <f t="shared" si="2"/>
        <v>0</v>
      </c>
      <c r="E34" s="179">
        <v>1</v>
      </c>
      <c r="F34" s="218">
        <v>0.02</v>
      </c>
      <c r="G34" s="57">
        <v>0</v>
      </c>
      <c r="H34" s="57" t="s">
        <v>9</v>
      </c>
      <c r="I34" s="57" t="s">
        <v>24</v>
      </c>
    </row>
    <row r="35" spans="1:9">
      <c r="A35" s="226">
        <f t="shared" si="1"/>
        <v>0</v>
      </c>
      <c r="B35" s="217">
        <v>0</v>
      </c>
      <c r="C35" s="55">
        <v>0</v>
      </c>
      <c r="D35" s="70">
        <f t="shared" si="2"/>
        <v>0</v>
      </c>
      <c r="E35" s="179">
        <v>1</v>
      </c>
      <c r="F35" s="218">
        <v>0.02</v>
      </c>
      <c r="G35" s="57">
        <v>0</v>
      </c>
      <c r="H35" s="57" t="s">
        <v>9</v>
      </c>
      <c r="I35" s="57" t="s">
        <v>24</v>
      </c>
    </row>
    <row r="36" spans="1:9">
      <c r="A36" s="226">
        <f t="shared" si="1"/>
        <v>0</v>
      </c>
      <c r="B36" s="217">
        <v>0</v>
      </c>
      <c r="C36" s="55">
        <v>0</v>
      </c>
      <c r="D36" s="70">
        <f t="shared" si="2"/>
        <v>0</v>
      </c>
      <c r="E36" s="179">
        <v>1</v>
      </c>
      <c r="F36" s="218">
        <v>0.02</v>
      </c>
      <c r="G36" s="57">
        <v>0</v>
      </c>
      <c r="H36" s="57" t="s">
        <v>9</v>
      </c>
      <c r="I36" s="57" t="s">
        <v>24</v>
      </c>
    </row>
    <row r="37" spans="1:9">
      <c r="A37" s="226">
        <f t="shared" si="1"/>
        <v>0</v>
      </c>
      <c r="B37" s="217">
        <v>0</v>
      </c>
      <c r="C37" s="55">
        <v>0</v>
      </c>
      <c r="D37" s="70">
        <f t="shared" si="2"/>
        <v>0</v>
      </c>
      <c r="E37" s="179">
        <v>1</v>
      </c>
      <c r="F37" s="218">
        <v>0.02</v>
      </c>
      <c r="G37" s="57">
        <v>0</v>
      </c>
      <c r="H37" s="57" t="s">
        <v>9</v>
      </c>
      <c r="I37" s="57" t="s">
        <v>24</v>
      </c>
    </row>
    <row r="38" spans="1:9" ht="15.75" thickBot="1">
      <c r="A38" s="227">
        <f>A24</f>
        <v>0</v>
      </c>
      <c r="B38" s="219">
        <f>'[2]Control panel'!B41</f>
        <v>0</v>
      </c>
      <c r="C38" s="220">
        <f>'[2]Control panel'!C41</f>
        <v>0</v>
      </c>
      <c r="D38" s="78">
        <f>'[2]Control panel'!B42</f>
        <v>0</v>
      </c>
      <c r="E38" s="180">
        <f>'[2]Control panel'!C42</f>
        <v>0</v>
      </c>
      <c r="F38" s="221">
        <v>0.02</v>
      </c>
      <c r="G38" s="194">
        <f>'[2]Control panel'!C43</f>
        <v>0</v>
      </c>
      <c r="H38" s="194">
        <f>'[2]Control panel'!B38</f>
        <v>0</v>
      </c>
      <c r="I38" s="191" t="s">
        <v>20</v>
      </c>
    </row>
    <row r="40" spans="1:9">
      <c r="A40" s="97" t="s">
        <v>113</v>
      </c>
    </row>
    <row r="41" spans="1:9">
      <c r="A41" s="122" t="s">
        <v>15</v>
      </c>
      <c r="B41" s="228">
        <v>0</v>
      </c>
    </row>
    <row r="42" spans="1:9">
      <c r="A42" s="122" t="s">
        <v>117</v>
      </c>
      <c r="B42" s="228">
        <v>0.02</v>
      </c>
    </row>
    <row r="44" spans="1:9">
      <c r="A44" s="97" t="s">
        <v>114</v>
      </c>
    </row>
    <row r="45" spans="1:9">
      <c r="A45" s="229" t="s">
        <v>115</v>
      </c>
      <c r="B45" s="223">
        <v>500</v>
      </c>
    </row>
    <row r="46" spans="1:9">
      <c r="A46" s="229" t="s">
        <v>116</v>
      </c>
      <c r="B46" s="223">
        <v>500</v>
      </c>
    </row>
  </sheetData>
  <conditionalFormatting sqref="C31:C38">
    <cfRule type="iconSet" priority="3">
      <iconSet>
        <cfvo type="percent" val="0"/>
        <cfvo type="percent" val="33"/>
        <cfvo type="percent" val="67"/>
      </iconSet>
    </cfRule>
  </conditionalFormatting>
  <conditionalFormatting sqref="E31:E38">
    <cfRule type="iconSet" priority="2">
      <iconSet>
        <cfvo type="percent" val="0"/>
        <cfvo type="percent" val="33"/>
        <cfvo type="percent" val="67"/>
      </iconSet>
    </cfRule>
  </conditionalFormatting>
  <conditionalFormatting sqref="G31:G38">
    <cfRule type="iconSet" priority="1">
      <iconSet>
        <cfvo type="percent" val="0"/>
        <cfvo type="percent" val="33"/>
        <cfvo type="percent" val="67"/>
      </iconSet>
    </cfRule>
  </conditionalFormatting>
  <dataValidations count="4">
    <dataValidation type="list" allowBlank="1" showInputMessage="1" showErrorMessage="1" sqref="B27">
      <formula1>$A$116:$A$124</formula1>
    </dataValidation>
    <dataValidation type="list" allowBlank="1" showInputMessage="1" showErrorMessage="1" sqref="G31:G38 C31:C38 E31:E38">
      <formula1>aan_uit</formula1>
    </dataValidation>
    <dataValidation type="list" allowBlank="1" showInputMessage="1" showErrorMessage="1" sqref="H31:H38">
      <formula1>$A$105:$A$108</formula1>
    </dataValidation>
    <dataValidation type="list" allowBlank="1" showInputMessage="1" showErrorMessage="1" sqref="I31:I38">
      <formula1>$B$128:$B$129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110"/>
  <sheetViews>
    <sheetView workbookViewId="0">
      <selection activeCell="R27" sqref="R27"/>
    </sheetView>
  </sheetViews>
  <sheetFormatPr defaultRowHeight="12.75"/>
  <cols>
    <col min="1" max="1" width="23.85546875" style="45" customWidth="1"/>
    <col min="2" max="2" width="13.140625" style="45" customWidth="1"/>
    <col min="3" max="3" width="12" style="45" customWidth="1"/>
    <col min="4" max="16384" width="9.140625" style="45"/>
  </cols>
  <sheetData>
    <row r="1" spans="1:25">
      <c r="A1" s="96" t="s">
        <v>78</v>
      </c>
    </row>
    <row r="2" spans="1:25" ht="13.5" thickBot="1"/>
    <row r="3" spans="1:25" ht="15.75" thickBot="1">
      <c r="A3" s="129" t="s">
        <v>33</v>
      </c>
      <c r="B3" s="109" t="s">
        <v>79</v>
      </c>
      <c r="C3" s="109" t="s">
        <v>39</v>
      </c>
      <c r="D3" s="160" t="s">
        <v>80</v>
      </c>
      <c r="E3" s="161"/>
      <c r="F3" s="161"/>
      <c r="G3" s="161"/>
      <c r="H3" s="161"/>
      <c r="I3" s="161"/>
      <c r="J3" s="161"/>
      <c r="K3" s="161"/>
      <c r="L3" s="162"/>
      <c r="M3" s="162"/>
      <c r="N3" s="162"/>
      <c r="O3" s="163"/>
      <c r="R3" s="45" t="s">
        <v>49</v>
      </c>
      <c r="S3" s="45" t="s">
        <v>50</v>
      </c>
      <c r="T3" s="45" t="s">
        <v>51</v>
      </c>
      <c r="U3" s="45" t="s">
        <v>52</v>
      </c>
      <c r="V3" s="45" t="s">
        <v>53</v>
      </c>
      <c r="W3" s="45" t="s">
        <v>45</v>
      </c>
      <c r="X3" s="45" t="s">
        <v>54</v>
      </c>
      <c r="Y3" s="45" t="s">
        <v>55</v>
      </c>
    </row>
    <row r="4" spans="1:25">
      <c r="A4" s="130" t="str">
        <f>IF(evenwicht!A4&lt;&gt;"",evenwicht!A4,"")</f>
        <v>Nominale matching</v>
      </c>
      <c r="B4" s="61">
        <f>IF(scenarios!A3&lt;&gt;"",scenarios!B3,"")</f>
        <v>0</v>
      </c>
      <c r="C4" s="61">
        <f>IF(evenwicht!D4&lt;&gt;"",evenwicht!D4,"")</f>
        <v>4.3450149472468363E-2</v>
      </c>
      <c r="D4" s="131">
        <f>IF(evenwicht!E4&lt;&gt;"",evenwicht!E4,"")</f>
        <v>1</v>
      </c>
      <c r="E4" s="132">
        <f>IF(evenwicht!F4&lt;&gt;"",evenwicht!F4,"")</f>
        <v>0.5243300313487167</v>
      </c>
      <c r="F4" s="132">
        <f>IF(evenwicht!G4&lt;&gt;"",evenwicht!G4,"")</f>
        <v>0.5048621610682209</v>
      </c>
      <c r="G4" s="132">
        <f>IF(evenwicht!H4&lt;&gt;"",evenwicht!H4,"")</f>
        <v>0.25487540552021803</v>
      </c>
      <c r="H4" s="132">
        <f>IF(evenwicht!I4&lt;&gt;"",evenwicht!I4,"")</f>
        <v>0.29680815289592971</v>
      </c>
      <c r="I4" s="132">
        <f>IF(evenwicht!J4&lt;&gt;"",evenwicht!J4,"")</f>
        <v>0.25154461316198484</v>
      </c>
      <c r="J4" s="132">
        <f>IF(evenwicht!K4&lt;&gt;"",evenwicht!K4,"")</f>
        <v>0.48821319241673689</v>
      </c>
      <c r="K4" s="132">
        <f>IF(evenwicht!L4&lt;&gt;"",evenwicht!L4,"")</f>
        <v>0.39542796227510119</v>
      </c>
      <c r="L4" s="132">
        <f>IF(evenwicht!M4&lt;&gt;"",evenwicht!M4,"")</f>
        <v>0.47422188785278757</v>
      </c>
      <c r="M4" s="132" t="str">
        <f>IF(evenwicht!N4&lt;&gt;"",evenwicht!N4,"")</f>
        <v/>
      </c>
      <c r="N4" s="132" t="str">
        <f>IF(evenwicht!O4&lt;&gt;"",evenwicht!O4,"")</f>
        <v/>
      </c>
      <c r="O4" s="133" t="str">
        <f>IF(evenwicht!P4&lt;&gt;"",evenwicht!P4,"")</f>
        <v/>
      </c>
      <c r="P4" s="134" t="s">
        <v>81</v>
      </c>
      <c r="R4" s="45">
        <f t="array" ref="R4:Y11">+D4:K11*TRANSPOSE(C4:C11)*C4:C11</f>
        <v>1.8879154891798429E-3</v>
      </c>
      <c r="S4" s="45">
        <v>3.6117928682326554E-3</v>
      </c>
      <c r="T4" s="45">
        <v>3.5574712270892636E-3</v>
      </c>
      <c r="U4" s="45">
        <v>3.1804465765196827E-3</v>
      </c>
      <c r="V4" s="45">
        <v>3.8194368502445994E-3</v>
      </c>
      <c r="W4" s="45">
        <v>3.5683361505022097E-3</v>
      </c>
      <c r="X4" s="45">
        <v>3.4103820061645372E-3</v>
      </c>
      <c r="Y4" s="45">
        <v>3.4472855653615016E-3</v>
      </c>
    </row>
    <row r="5" spans="1:25">
      <c r="A5" s="130" t="str">
        <f>IF(evenwicht!A5&lt;&gt;"",evenwicht!A5,"")</f>
        <v>High Yield</v>
      </c>
      <c r="B5" s="61">
        <f>IF(scenarios!A4&lt;&gt;"",scenarios!B4,"")</f>
        <v>0.03</v>
      </c>
      <c r="C5" s="61">
        <f>IF(evenwicht!D5&lt;&gt;"",evenwicht!D5,"")</f>
        <v>0.15853561014014847</v>
      </c>
      <c r="D5" s="135">
        <f>IF(evenwicht!E5&lt;&gt;"",evenwicht!E5,"")</f>
        <v>0.52433003134871636</v>
      </c>
      <c r="E5" s="136">
        <f>IF(evenwicht!F5&lt;&gt;"",evenwicht!F5,"")</f>
        <v>1</v>
      </c>
      <c r="F5" s="136">
        <f>IF(evenwicht!G5&lt;&gt;"",evenwicht!G5,"")</f>
        <v>0.94338322745767289</v>
      </c>
      <c r="G5" s="136">
        <f>IF(evenwicht!H5&lt;&gt;"",evenwicht!H5,"")</f>
        <v>0.74070013517974964</v>
      </c>
      <c r="H5" s="136">
        <f>IF(evenwicht!I5&lt;&gt;"",evenwicht!I5,"")</f>
        <v>0.74187676376193956</v>
      </c>
      <c r="I5" s="136">
        <f>IF(evenwicht!J5&lt;&gt;"",evenwicht!J5,"")</f>
        <v>0.60846903584875156</v>
      </c>
      <c r="J5" s="136">
        <f>IF(evenwicht!K5&lt;&gt;"",evenwicht!K5,"")</f>
        <v>0.86668583493806206</v>
      </c>
      <c r="K5" s="136">
        <f>IF(evenwicht!L5&lt;&gt;"",evenwicht!L5,"")</f>
        <v>0.86259221475724557</v>
      </c>
      <c r="L5" s="136">
        <f>IF(evenwicht!M5&lt;&gt;"",evenwicht!M5,"")</f>
        <v>0.75906077754107681</v>
      </c>
      <c r="M5" s="136" t="str">
        <f>IF(evenwicht!N5&lt;&gt;"",evenwicht!N5,"")</f>
        <v/>
      </c>
      <c r="N5" s="136" t="str">
        <f>IF(evenwicht!O5&lt;&gt;"",evenwicht!O5,"")</f>
        <v/>
      </c>
      <c r="O5" s="137" t="str">
        <f>IF(evenwicht!P5&lt;&gt;"",evenwicht!P5,"")</f>
        <v/>
      </c>
      <c r="R5" s="45">
        <v>3.6117928682326524E-3</v>
      </c>
      <c r="S5" s="45">
        <v>2.5133539682509146E-2</v>
      </c>
      <c r="T5" s="45">
        <v>2.42544973313066E-2</v>
      </c>
      <c r="U5" s="45">
        <v>3.3723927940032879E-2</v>
      </c>
      <c r="V5" s="45">
        <v>3.4832996012383759E-2</v>
      </c>
      <c r="W5" s="45">
        <v>3.149377892134287E-2</v>
      </c>
      <c r="X5" s="45">
        <v>2.2089748417517992E-2</v>
      </c>
      <c r="Y5" s="45">
        <v>2.7437906502276666E-2</v>
      </c>
    </row>
    <row r="6" spans="1:25">
      <c r="A6" s="130" t="str">
        <f>IF(evenwicht!A6&lt;&gt;"",evenwicht!A6,"")</f>
        <v>Emerging market debt</v>
      </c>
      <c r="B6" s="61">
        <f>IF(scenarios!A5&lt;&gt;"",scenarios!B5,"")</f>
        <v>3.139819541969964E-2</v>
      </c>
      <c r="C6" s="61">
        <f>IF(evenwicht!D6&lt;&gt;"",evenwicht!D6,"")</f>
        <v>0.16217253275473525</v>
      </c>
      <c r="D6" s="135">
        <f>IF(evenwicht!E6&lt;&gt;"",evenwicht!E6,"")</f>
        <v>0.50486216106822102</v>
      </c>
      <c r="E6" s="136">
        <f>IF(evenwicht!F6&lt;&gt;"",evenwicht!F6,"")</f>
        <v>0.943383227457673</v>
      </c>
      <c r="F6" s="136">
        <f>IF(evenwicht!G6&lt;&gt;"",evenwicht!G6,"")</f>
        <v>1</v>
      </c>
      <c r="G6" s="136">
        <f>IF(evenwicht!H6&lt;&gt;"",evenwicht!H6,"")</f>
        <v>0.77223648924957744</v>
      </c>
      <c r="H6" s="136">
        <f>IF(evenwicht!I6&lt;&gt;"",evenwicht!I6,"")</f>
        <v>0.79023745754825636</v>
      </c>
      <c r="I6" s="136">
        <f>IF(evenwicht!J6&lt;&gt;"",evenwicht!J6,"")</f>
        <v>0.63110682083437419</v>
      </c>
      <c r="J6" s="136">
        <f>IF(evenwicht!K6&lt;&gt;"",evenwicht!K6,"")</f>
        <v>0.87120901203593171</v>
      </c>
      <c r="K6" s="136">
        <f>IF(evenwicht!L6&lt;&gt;"",evenwicht!L6,"")</f>
        <v>0.86536847063850975</v>
      </c>
      <c r="L6" s="136">
        <f>IF(evenwicht!M6&lt;&gt;"",evenwicht!M6,"")</f>
        <v>0.72481655312346349</v>
      </c>
      <c r="M6" s="136" t="str">
        <f>IF(evenwicht!N6&lt;&gt;"",evenwicht!N6,"")</f>
        <v/>
      </c>
      <c r="N6" s="136" t="str">
        <f>IF(evenwicht!O6&lt;&gt;"",evenwicht!O6,"")</f>
        <v/>
      </c>
      <c r="O6" s="137" t="str">
        <f>IF(evenwicht!P6&lt;&gt;"",evenwicht!P6,"")</f>
        <v/>
      </c>
      <c r="R6" s="45">
        <v>3.5574712270892645E-3</v>
      </c>
      <c r="S6" s="45">
        <v>2.42544973313066E-2</v>
      </c>
      <c r="T6" s="45">
        <v>2.6299930380085677E-2</v>
      </c>
      <c r="U6" s="45">
        <v>3.5966362616362865E-2</v>
      </c>
      <c r="V6" s="45">
        <v>3.7954838153009651E-2</v>
      </c>
      <c r="W6" s="45">
        <v>3.3414859318395565E-2</v>
      </c>
      <c r="X6" s="45">
        <v>2.271443305379434E-2</v>
      </c>
      <c r="Y6" s="45">
        <v>2.8157686969952241E-2</v>
      </c>
    </row>
    <row r="7" spans="1:25">
      <c r="A7" s="130" t="str">
        <f>IF(evenwicht!A7&lt;&gt;"",evenwicht!A7,"")</f>
        <v>Aandelen ontwikkeld</v>
      </c>
      <c r="B7" s="61">
        <f>IF(scenarios!A6&lt;&gt;"",scenarios!B6,"")</f>
        <v>5.6592124636374697E-2</v>
      </c>
      <c r="C7" s="61">
        <f>IF(evenwicht!D7&lt;&gt;"",evenwicht!D7,"")</f>
        <v>0.28718972670468956</v>
      </c>
      <c r="D7" s="135">
        <f>IF(evenwicht!E7&lt;&gt;"",evenwicht!E7,"")</f>
        <v>0.2548754055202187</v>
      </c>
      <c r="E7" s="136">
        <f>IF(evenwicht!F7&lt;&gt;"",evenwicht!F7,"")</f>
        <v>0.74070013517974975</v>
      </c>
      <c r="F7" s="136">
        <f>IF(evenwicht!G7&lt;&gt;"",evenwicht!G7,"")</f>
        <v>0.77223648924957744</v>
      </c>
      <c r="G7" s="136">
        <f>IF(evenwicht!H7&lt;&gt;"",evenwicht!H7,"")</f>
        <v>1</v>
      </c>
      <c r="H7" s="136">
        <f>IF(evenwicht!I7&lt;&gt;"",evenwicht!I7,"")</f>
        <v>0.81106497730540505</v>
      </c>
      <c r="I7" s="136">
        <f>IF(evenwicht!J7&lt;&gt;"",evenwicht!J7,"")</f>
        <v>0.69909036020626758</v>
      </c>
      <c r="J7" s="136">
        <f>IF(evenwicht!K7&lt;&gt;"",evenwicht!K7,"")</f>
        <v>0.74571542163255744</v>
      </c>
      <c r="K7" s="136">
        <f>IF(evenwicht!L7&lt;&gt;"",evenwicht!L7,"")</f>
        <v>0.88603334197313832</v>
      </c>
      <c r="L7" s="136">
        <f>IF(evenwicht!M7&lt;&gt;"",evenwicht!M7,"")</f>
        <v>0.62515021546234684</v>
      </c>
      <c r="M7" s="136" t="str">
        <f>IF(evenwicht!N7&lt;&gt;"",evenwicht!N7,"")</f>
        <v/>
      </c>
      <c r="N7" s="136" t="str">
        <f>IF(evenwicht!O7&lt;&gt;"",evenwicht!O7,"")</f>
        <v/>
      </c>
      <c r="O7" s="137" t="str">
        <f>IF(evenwicht!P7&lt;&gt;"",evenwicht!P7,"")</f>
        <v/>
      </c>
      <c r="R7" s="45">
        <v>3.1804465765196909E-3</v>
      </c>
      <c r="S7" s="45">
        <v>3.3723927940032886E-2</v>
      </c>
      <c r="T7" s="45">
        <v>3.5966362616362865E-2</v>
      </c>
      <c r="U7" s="45">
        <v>8.2477939124714281E-2</v>
      </c>
      <c r="V7" s="45">
        <v>6.8985335649692545E-2</v>
      </c>
      <c r="W7" s="45">
        <v>6.5548336970937676E-2</v>
      </c>
      <c r="X7" s="45">
        <v>3.4430574368130892E-2</v>
      </c>
      <c r="Y7" s="45">
        <v>5.1054917016870496E-2</v>
      </c>
    </row>
    <row r="8" spans="1:25">
      <c r="A8" s="130" t="str">
        <f>IF(evenwicht!A8&lt;&gt;"",evenwicht!A8,"")</f>
        <v>Aandelen opkomend</v>
      </c>
      <c r="B8" s="61">
        <f>IF(scenarios!A7&lt;&gt;"",scenarios!B7,"")</f>
        <v>5.6149706786613261E-2</v>
      </c>
      <c r="C8" s="61">
        <f>IF(evenwicht!D8&lt;&gt;"",evenwicht!D8,"")</f>
        <v>0.29616397669669142</v>
      </c>
      <c r="D8" s="135">
        <f>IF(evenwicht!E8&lt;&gt;"",evenwicht!E8,"")</f>
        <v>0.29680815289593021</v>
      </c>
      <c r="E8" s="136">
        <f>IF(evenwicht!F8&lt;&gt;"",evenwicht!F8,"")</f>
        <v>0.74187676376193967</v>
      </c>
      <c r="F8" s="136">
        <f>IF(evenwicht!G8&lt;&gt;"",evenwicht!G8,"")</f>
        <v>0.79023745754825636</v>
      </c>
      <c r="G8" s="136">
        <f>IF(evenwicht!H8&lt;&gt;"",evenwicht!H8,"")</f>
        <v>0.81106497730540505</v>
      </c>
      <c r="H8" s="136">
        <f>IF(evenwicht!I8&lt;&gt;"",evenwicht!I8,"")</f>
        <v>0.99999999999999978</v>
      </c>
      <c r="I8" s="136">
        <f>IF(evenwicht!J8&lt;&gt;"",evenwicht!J8,"")</f>
        <v>0.63944069654526292</v>
      </c>
      <c r="J8" s="136">
        <f>IF(evenwicht!K8&lt;&gt;"",evenwicht!K8,"")</f>
        <v>0.64591301484464436</v>
      </c>
      <c r="K8" s="136">
        <f>IF(evenwicht!L8&lt;&gt;"",evenwicht!L8,"")</f>
        <v>0.78448428807756676</v>
      </c>
      <c r="L8" s="136">
        <f>IF(evenwicht!M8&lt;&gt;"",evenwicht!M8,"")</f>
        <v>0.51393319492259693</v>
      </c>
      <c r="M8" s="136" t="str">
        <f>IF(evenwicht!N8&lt;&gt;"",evenwicht!N8,"")</f>
        <v/>
      </c>
      <c r="N8" s="136" t="str">
        <f>IF(evenwicht!O8&lt;&gt;"",evenwicht!O8,"")</f>
        <v/>
      </c>
      <c r="O8" s="137" t="str">
        <f>IF(evenwicht!P8&lt;&gt;"",evenwicht!P8,"")</f>
        <v/>
      </c>
      <c r="R8" s="45">
        <v>3.8194368502446055E-3</v>
      </c>
      <c r="S8" s="45">
        <v>3.4832996012383766E-2</v>
      </c>
      <c r="T8" s="45">
        <v>3.7954838153009651E-2</v>
      </c>
      <c r="U8" s="45">
        <v>6.8985335649692545E-2</v>
      </c>
      <c r="V8" s="45">
        <v>8.7713101092798368E-2</v>
      </c>
      <c r="W8" s="45">
        <v>6.1828964000340367E-2</v>
      </c>
      <c r="X8" s="45">
        <v>3.0754488693050051E-2</v>
      </c>
      <c r="Y8" s="45">
        <v>4.6616009330699086E-2</v>
      </c>
    </row>
    <row r="9" spans="1:25">
      <c r="A9" s="130" t="str">
        <f>IF(evenwicht!A9&lt;&gt;"",evenwicht!A9,"")</f>
        <v>Commodities</v>
      </c>
      <c r="B9" s="61">
        <f>IF(scenarios!A8&lt;&gt;"",scenarios!B8,"")</f>
        <v>5.1695827746959064E-2</v>
      </c>
      <c r="C9" s="61">
        <f>IF(evenwicht!D9&lt;&gt;"",evenwicht!D9,"")</f>
        <v>0.32648216646211403</v>
      </c>
      <c r="D9" s="135">
        <f>IF(evenwicht!E9&lt;&gt;"",evenwicht!E9,"")</f>
        <v>0.25154461316198523</v>
      </c>
      <c r="E9" s="136">
        <f>IF(evenwicht!F9&lt;&gt;"",evenwicht!F9,"")</f>
        <v>0.60846903584875167</v>
      </c>
      <c r="F9" s="136">
        <f>IF(evenwicht!G9&lt;&gt;"",evenwicht!G9,"")</f>
        <v>0.6311068208343743</v>
      </c>
      <c r="G9" s="136">
        <f>IF(evenwicht!H9&lt;&gt;"",evenwicht!H9,"")</f>
        <v>0.69909036020626758</v>
      </c>
      <c r="H9" s="136">
        <f>IF(evenwicht!I9&lt;&gt;"",evenwicht!I9,"")</f>
        <v>0.63944069654526281</v>
      </c>
      <c r="I9" s="136">
        <f>IF(evenwicht!J9&lt;&gt;"",evenwicht!J9,"")</f>
        <v>0.99999999999999978</v>
      </c>
      <c r="J9" s="136">
        <f>IF(evenwicht!K9&lt;&gt;"",evenwicht!K9,"")</f>
        <v>0.57555638609831095</v>
      </c>
      <c r="K9" s="136">
        <f>IF(evenwicht!L9&lt;&gt;"",evenwicht!L9,"")</f>
        <v>0.6706441294402975</v>
      </c>
      <c r="L9" s="136">
        <f>IF(evenwicht!M9&lt;&gt;"",evenwicht!M9,"")</f>
        <v>0.49865020725851583</v>
      </c>
      <c r="M9" s="136" t="str">
        <f>IF(evenwicht!N9&lt;&gt;"",evenwicht!N9,"")</f>
        <v/>
      </c>
      <c r="N9" s="136" t="str">
        <f>IF(evenwicht!O9&lt;&gt;"",evenwicht!O9,"")</f>
        <v/>
      </c>
      <c r="O9" s="137" t="str">
        <f>IF(evenwicht!P9&lt;&gt;"",evenwicht!P9,"")</f>
        <v/>
      </c>
      <c r="R9" s="45">
        <v>3.5683361505022149E-3</v>
      </c>
      <c r="S9" s="45">
        <v>3.1493778921342877E-2</v>
      </c>
      <c r="T9" s="45">
        <v>3.3414859318395572E-2</v>
      </c>
      <c r="U9" s="45">
        <v>6.5548336970937676E-2</v>
      </c>
      <c r="V9" s="45">
        <v>6.182896400034036E-2</v>
      </c>
      <c r="W9" s="45">
        <v>0.10659060501779552</v>
      </c>
      <c r="X9" s="45">
        <v>3.0209920570797095E-2</v>
      </c>
      <c r="Y9" s="45">
        <v>4.3930910080429195E-2</v>
      </c>
    </row>
    <row r="10" spans="1:25">
      <c r="A10" s="130" t="str">
        <f>IF(evenwicht!A10&lt;&gt;"",evenwicht!A10,"")</f>
        <v>Hedge funds</v>
      </c>
      <c r="B10" s="61">
        <f>IF(scenarios!A9&lt;&gt;"",scenarios!B9,"")</f>
        <v>2.8296106892401265E-2</v>
      </c>
      <c r="C10" s="61">
        <f>IF(evenwicht!D10&lt;&gt;"",evenwicht!D10,"")</f>
        <v>0.16076897495152093</v>
      </c>
      <c r="D10" s="135">
        <f>IF(evenwicht!E10&lt;&gt;"",evenwicht!E10,"")</f>
        <v>0.488213192416737</v>
      </c>
      <c r="E10" s="136">
        <f>IF(evenwicht!F10&lt;&gt;"",evenwicht!F10,"")</f>
        <v>0.86668583493806206</v>
      </c>
      <c r="F10" s="136">
        <f>IF(evenwicht!G10&lt;&gt;"",evenwicht!G10,"")</f>
        <v>0.87120901203593182</v>
      </c>
      <c r="G10" s="136">
        <f>IF(evenwicht!H10&lt;&gt;"",evenwicht!H10,"")</f>
        <v>0.74571542163255744</v>
      </c>
      <c r="H10" s="136">
        <f>IF(evenwicht!I10&lt;&gt;"",evenwicht!I10,"")</f>
        <v>0.64591301484464425</v>
      </c>
      <c r="I10" s="136">
        <f>IF(evenwicht!J10&lt;&gt;"",evenwicht!J10,"")</f>
        <v>0.57555638609831083</v>
      </c>
      <c r="J10" s="136">
        <f>IF(evenwicht!K10&lt;&gt;"",evenwicht!K10,"")</f>
        <v>1.0000000000000002</v>
      </c>
      <c r="K10" s="136">
        <f>IF(evenwicht!L10&lt;&gt;"",evenwicht!L10,"")</f>
        <v>0.79740125449060317</v>
      </c>
      <c r="L10" s="136">
        <f>IF(evenwicht!M10&lt;&gt;"",evenwicht!M10,"")</f>
        <v>0.6990511874231996</v>
      </c>
      <c r="M10" s="136" t="str">
        <f>IF(evenwicht!N10&lt;&gt;"",evenwicht!N10,"")</f>
        <v/>
      </c>
      <c r="N10" s="136" t="str">
        <f>IF(evenwicht!O10&lt;&gt;"",evenwicht!O10,"")</f>
        <v/>
      </c>
      <c r="O10" s="137" t="str">
        <f>IF(evenwicht!P10&lt;&gt;"",evenwicht!P10,"")</f>
        <v/>
      </c>
      <c r="R10" s="45">
        <v>3.4103820061645385E-3</v>
      </c>
      <c r="S10" s="45">
        <v>2.2089748417517995E-2</v>
      </c>
      <c r="T10" s="45">
        <v>2.2714433053794343E-2</v>
      </c>
      <c r="U10" s="45">
        <v>3.4430574368130892E-2</v>
      </c>
      <c r="V10" s="45">
        <v>3.0754488693050048E-2</v>
      </c>
      <c r="W10" s="45">
        <v>3.0209920570797091E-2</v>
      </c>
      <c r="X10" s="45">
        <v>2.5846663306962767E-2</v>
      </c>
      <c r="Y10" s="45">
        <v>2.5721587353605819E-2</v>
      </c>
    </row>
    <row r="11" spans="1:25">
      <c r="A11" s="130" t="str">
        <f>IF(evenwicht!A11&lt;&gt;"",evenwicht!A11,"")</f>
        <v>Onroerend goed</v>
      </c>
      <c r="B11" s="61">
        <f>IF(scenarios!A10&lt;&gt;"",scenarios!B10,"")</f>
        <v>3.9623116882628269E-2</v>
      </c>
      <c r="C11" s="61">
        <f>IF(evenwicht!D11&lt;&gt;"",evenwicht!D11,"")</f>
        <v>0.20064050365322861</v>
      </c>
      <c r="D11" s="135">
        <f>IF(evenwicht!E11&lt;&gt;"",evenwicht!E11,"")</f>
        <v>0.39542796227510135</v>
      </c>
      <c r="E11" s="136">
        <f>IF(evenwicht!F11&lt;&gt;"",evenwicht!F11,"")</f>
        <v>0.86259221475724557</v>
      </c>
      <c r="F11" s="136">
        <f>IF(evenwicht!G11&lt;&gt;"",evenwicht!G11,"")</f>
        <v>0.86536847063850963</v>
      </c>
      <c r="G11" s="136">
        <f>IF(evenwicht!H11&lt;&gt;"",evenwicht!H11,"")</f>
        <v>0.88603334197313832</v>
      </c>
      <c r="H11" s="136">
        <f>IF(evenwicht!I11&lt;&gt;"",evenwicht!I11,"")</f>
        <v>0.78448428807756676</v>
      </c>
      <c r="I11" s="136">
        <f>IF(evenwicht!J11&lt;&gt;"",evenwicht!J11,"")</f>
        <v>0.67064412944029761</v>
      </c>
      <c r="J11" s="136">
        <f>IF(evenwicht!K11&lt;&gt;"",evenwicht!K11,"")</f>
        <v>0.79740125449060328</v>
      </c>
      <c r="K11" s="136">
        <f>IF(evenwicht!L11&lt;&gt;"",evenwicht!L11,"")</f>
        <v>1.0000000000000002</v>
      </c>
      <c r="L11" s="136">
        <f>IF(evenwicht!M11&lt;&gt;"",evenwicht!M11,"")</f>
        <v>0.74626676152997484</v>
      </c>
      <c r="M11" s="136" t="str">
        <f>IF(evenwicht!N11&lt;&gt;"",evenwicht!N11,"")</f>
        <v/>
      </c>
      <c r="N11" s="136" t="str">
        <f>IF(evenwicht!O11&lt;&gt;"",evenwicht!O11,"")</f>
        <v/>
      </c>
      <c r="O11" s="137" t="str">
        <f>IF(evenwicht!P11&lt;&gt;"",evenwicht!P11,"")</f>
        <v/>
      </c>
      <c r="R11" s="45">
        <v>3.4472855653615029E-3</v>
      </c>
      <c r="S11" s="45">
        <v>2.7437906502276666E-2</v>
      </c>
      <c r="T11" s="45">
        <v>2.8157686969952238E-2</v>
      </c>
      <c r="U11" s="45">
        <v>5.1054917016870503E-2</v>
      </c>
      <c r="V11" s="45">
        <v>4.6616009330699093E-2</v>
      </c>
      <c r="W11" s="45">
        <v>4.3930910080429195E-2</v>
      </c>
      <c r="X11" s="45">
        <v>2.5721587353605819E-2</v>
      </c>
      <c r="Y11" s="45">
        <v>4.0256611706221253E-2</v>
      </c>
    </row>
    <row r="12" spans="1:25">
      <c r="A12" s="130" t="str">
        <f>IF(evenwicht!A12&lt;&gt;"",evenwicht!A12,"")</f>
        <v>Periferie bonds</v>
      </c>
      <c r="B12" s="61">
        <f>IF(scenarios!A11&lt;&gt;"",scenarios!B11,"")</f>
        <v>2.5656887462827429E-2</v>
      </c>
      <c r="C12" s="61">
        <f>IF(evenwicht!D12&lt;&gt;"",evenwicht!D12,"")</f>
        <v>0.17312066928436093</v>
      </c>
      <c r="D12" s="135">
        <f>IF(evenwicht!E12&lt;&gt;"",evenwicht!E12,"")</f>
        <v>0.47422188785278774</v>
      </c>
      <c r="E12" s="136">
        <f>IF(evenwicht!F12&lt;&gt;"",evenwicht!F12,"")</f>
        <v>0.75906077754107693</v>
      </c>
      <c r="F12" s="136">
        <f>IF(evenwicht!G12&lt;&gt;"",evenwicht!G12,"")</f>
        <v>0.72481655312346349</v>
      </c>
      <c r="G12" s="136">
        <f>IF(evenwicht!H12&lt;&gt;"",evenwicht!H12,"")</f>
        <v>0.62515021546234673</v>
      </c>
      <c r="H12" s="136">
        <f>IF(evenwicht!I12&lt;&gt;"",evenwicht!I12,"")</f>
        <v>0.51393319492259693</v>
      </c>
      <c r="I12" s="136">
        <f>IF(evenwicht!J12&lt;&gt;"",evenwicht!J12,"")</f>
        <v>0.49865020725851572</v>
      </c>
      <c r="J12" s="136">
        <f>IF(evenwicht!K12&lt;&gt;"",evenwicht!K12,"")</f>
        <v>0.69905118742319949</v>
      </c>
      <c r="K12" s="136">
        <f>IF(evenwicht!L12&lt;&gt;"",evenwicht!L12,"")</f>
        <v>0.74626676152997495</v>
      </c>
      <c r="L12" s="136">
        <f>IF(evenwicht!M12&lt;&gt;"",evenwicht!M12,"")</f>
        <v>0.99999999999999989</v>
      </c>
      <c r="M12" s="136" t="str">
        <f>IF(evenwicht!N12&lt;&gt;"",evenwicht!N12,"")</f>
        <v/>
      </c>
      <c r="N12" s="136" t="str">
        <f>IF(evenwicht!O12&lt;&gt;"",evenwicht!O12,"")</f>
        <v/>
      </c>
      <c r="O12" s="137" t="str">
        <f>IF(evenwicht!P12&lt;&gt;"",evenwicht!P12,"")</f>
        <v/>
      </c>
    </row>
    <row r="13" spans="1:25">
      <c r="A13" s="130" t="str">
        <f>IF(evenwicht!A13&lt;&gt;"",evenwicht!A13,"")</f>
        <v/>
      </c>
      <c r="B13" s="61" t="str">
        <f>IF(scenarios!A12&lt;&gt;"",scenarios!B12,"")</f>
        <v/>
      </c>
      <c r="C13" s="61" t="str">
        <f>IF(evenwicht!D13&lt;&gt;"",evenwicht!D13,"")</f>
        <v/>
      </c>
      <c r="D13" s="135" t="str">
        <f>IF(evenwicht!E13&lt;&gt;"",evenwicht!E13,"")</f>
        <v/>
      </c>
      <c r="E13" s="136" t="str">
        <f>IF(evenwicht!F13&lt;&gt;"",evenwicht!F13,"")</f>
        <v/>
      </c>
      <c r="F13" s="136" t="str">
        <f>IF(evenwicht!G13&lt;&gt;"",evenwicht!G13,"")</f>
        <v/>
      </c>
      <c r="G13" s="136" t="str">
        <f>IF(evenwicht!H13&lt;&gt;"",evenwicht!H13,"")</f>
        <v/>
      </c>
      <c r="H13" s="136" t="str">
        <f>IF(evenwicht!I13&lt;&gt;"",evenwicht!I13,"")</f>
        <v/>
      </c>
      <c r="I13" s="136" t="str">
        <f>IF(evenwicht!J13&lt;&gt;"",evenwicht!J13,"")</f>
        <v/>
      </c>
      <c r="J13" s="136" t="str">
        <f>IF(evenwicht!K13&lt;&gt;"",evenwicht!K13,"")</f>
        <v/>
      </c>
      <c r="K13" s="136" t="str">
        <f>IF(evenwicht!L13&lt;&gt;"",evenwicht!L13,"")</f>
        <v/>
      </c>
      <c r="L13" s="136" t="str">
        <f>IF(evenwicht!M13&lt;&gt;"",evenwicht!M13,"")</f>
        <v/>
      </c>
      <c r="M13" s="136" t="str">
        <f>IF(evenwicht!N13&lt;&gt;"",evenwicht!N13,"")</f>
        <v/>
      </c>
      <c r="N13" s="136" t="str">
        <f>IF(evenwicht!O13&lt;&gt;"",evenwicht!O13,"")</f>
        <v/>
      </c>
      <c r="O13" s="137" t="str">
        <f>IF(evenwicht!P13&lt;&gt;"",evenwicht!P13,"")</f>
        <v/>
      </c>
    </row>
    <row r="14" spans="1:25">
      <c r="A14" s="130" t="str">
        <f>IF(evenwicht!A14&lt;&gt;"",evenwicht!A14,"")</f>
        <v/>
      </c>
      <c r="B14" s="61" t="str">
        <f>IF(scenarios!A13&lt;&gt;"",scenarios!B13,"")</f>
        <v/>
      </c>
      <c r="C14" s="61" t="str">
        <f>IF(evenwicht!D14&lt;&gt;"",evenwicht!D14,"")</f>
        <v/>
      </c>
      <c r="D14" s="135" t="str">
        <f>IF(evenwicht!E14&lt;&gt;"",evenwicht!E14,"")</f>
        <v/>
      </c>
      <c r="E14" s="136" t="str">
        <f>IF(evenwicht!F14&lt;&gt;"",evenwicht!F14,"")</f>
        <v/>
      </c>
      <c r="F14" s="136" t="str">
        <f>IF(evenwicht!G14&lt;&gt;"",evenwicht!G14,"")</f>
        <v/>
      </c>
      <c r="G14" s="136" t="str">
        <f>IF(evenwicht!H14&lt;&gt;"",evenwicht!H14,"")</f>
        <v/>
      </c>
      <c r="H14" s="136" t="str">
        <f>IF(evenwicht!I14&lt;&gt;"",evenwicht!I14,"")</f>
        <v/>
      </c>
      <c r="I14" s="136" t="str">
        <f>IF(evenwicht!J14&lt;&gt;"",evenwicht!J14,"")</f>
        <v/>
      </c>
      <c r="J14" s="136" t="str">
        <f>IF(evenwicht!K14&lt;&gt;"",evenwicht!K14,"")</f>
        <v/>
      </c>
      <c r="K14" s="136" t="str">
        <f>IF(evenwicht!L14&lt;&gt;"",evenwicht!L14,"")</f>
        <v/>
      </c>
      <c r="L14" s="136" t="str">
        <f>IF(evenwicht!M14&lt;&gt;"",evenwicht!M14,"")</f>
        <v/>
      </c>
      <c r="M14" s="136" t="str">
        <f>IF(evenwicht!N14&lt;&gt;"",evenwicht!N14,"")</f>
        <v/>
      </c>
      <c r="N14" s="136" t="str">
        <f>IF(evenwicht!O14&lt;&gt;"",evenwicht!O14,"")</f>
        <v/>
      </c>
      <c r="O14" s="137" t="str">
        <f>IF(evenwicht!P14&lt;&gt;"",evenwicht!P14,"")</f>
        <v/>
      </c>
    </row>
    <row r="15" spans="1:25" ht="13.5" thickBot="1">
      <c r="A15" s="138" t="str">
        <f>IF(evenwicht!A15&lt;&gt;"",evenwicht!A15,"")</f>
        <v/>
      </c>
      <c r="B15" s="79" t="str">
        <f>IF(scenarios!A14&lt;&gt;"",scenarios!B14,"")</f>
        <v/>
      </c>
      <c r="C15" s="79" t="str">
        <f>IF(evenwicht!D15&lt;&gt;"",evenwicht!D15,"")</f>
        <v/>
      </c>
      <c r="D15" s="139" t="str">
        <f>IF(evenwicht!E15&lt;&gt;"",evenwicht!E15,"")</f>
        <v/>
      </c>
      <c r="E15" s="140" t="str">
        <f>IF(evenwicht!F15&lt;&gt;"",evenwicht!F15,"")</f>
        <v/>
      </c>
      <c r="F15" s="140" t="str">
        <f>IF(evenwicht!G15&lt;&gt;"",evenwicht!G15,"")</f>
        <v/>
      </c>
      <c r="G15" s="140" t="str">
        <f>IF(evenwicht!H15&lt;&gt;"",evenwicht!H15,"")</f>
        <v/>
      </c>
      <c r="H15" s="140" t="str">
        <f>IF(evenwicht!I15&lt;&gt;"",evenwicht!I15,"")</f>
        <v/>
      </c>
      <c r="I15" s="140" t="str">
        <f>IF(evenwicht!J15&lt;&gt;"",evenwicht!J15,"")</f>
        <v/>
      </c>
      <c r="J15" s="140" t="str">
        <f>IF(evenwicht!K15&lt;&gt;"",evenwicht!K15,"")</f>
        <v/>
      </c>
      <c r="K15" s="140" t="str">
        <f>IF(evenwicht!L15&lt;&gt;"",evenwicht!L15,"")</f>
        <v/>
      </c>
      <c r="L15" s="140" t="str">
        <f>IF(evenwicht!M15&lt;&gt;"",evenwicht!M15,"")</f>
        <v/>
      </c>
      <c r="M15" s="140" t="str">
        <f>IF(evenwicht!N15&lt;&gt;"",evenwicht!N15,"")</f>
        <v/>
      </c>
      <c r="N15" s="140" t="str">
        <f>IF(evenwicht!O15&lt;&gt;"",evenwicht!O15,"")</f>
        <v/>
      </c>
      <c r="O15" s="141" t="str">
        <f>IF(evenwicht!P15&lt;&gt;"",evenwicht!P15,"")</f>
        <v/>
      </c>
    </row>
    <row r="17" spans="1:16" ht="13.5" thickBot="1">
      <c r="A17" s="45">
        <v>1</v>
      </c>
    </row>
    <row r="18" spans="1:16" ht="15.75" thickBot="1">
      <c r="A18" s="142" t="str">
        <f ca="1">OFFSET(scenarios!$B$2,0,covar_scenarios!A17)</f>
        <v>Base Case</v>
      </c>
      <c r="B18" s="109" t="s">
        <v>79</v>
      </c>
      <c r="C18" s="108" t="s">
        <v>39</v>
      </c>
      <c r="D18" s="160" t="s">
        <v>80</v>
      </c>
      <c r="E18" s="161"/>
      <c r="F18" s="161"/>
      <c r="G18" s="161"/>
      <c r="H18" s="161"/>
      <c r="I18" s="161"/>
      <c r="J18" s="161"/>
      <c r="K18" s="161"/>
      <c r="L18" s="162"/>
      <c r="M18" s="162"/>
      <c r="N18" s="162"/>
      <c r="O18" s="163"/>
    </row>
    <row r="19" spans="1:16">
      <c r="A19" s="130" t="str">
        <f>IF(evenwicht!A4&lt;&gt;"",evenwicht!A4,"")</f>
        <v>Nominale matching</v>
      </c>
      <c r="B19" s="61">
        <f ca="1">IF(A19&lt;&gt;"",OFFSET(scenarios!B3,0,covar_scenarios!$A$17),"")</f>
        <v>-3.2445168309994665E-3</v>
      </c>
      <c r="C19" s="61">
        <f>IF(evenwicht!D4&lt;&gt;"",evenwicht!D4,"")</f>
        <v>4.3450149472468363E-2</v>
      </c>
      <c r="D19" s="131">
        <f>IF(evenwicht!E4&lt;&gt;"",evenwicht!E4,"")</f>
        <v>1</v>
      </c>
      <c r="E19" s="132">
        <f>IF(evenwicht!F4&lt;&gt;"",evenwicht!F4,"")</f>
        <v>0.5243300313487167</v>
      </c>
      <c r="F19" s="132">
        <f>IF(evenwicht!G4&lt;&gt;"",evenwicht!G4,"")</f>
        <v>0.5048621610682209</v>
      </c>
      <c r="G19" s="132">
        <f>IF(evenwicht!H4&lt;&gt;"",evenwicht!H4,"")</f>
        <v>0.25487540552021803</v>
      </c>
      <c r="H19" s="132">
        <f>IF(evenwicht!I4&lt;&gt;"",evenwicht!I4,"")</f>
        <v>0.29680815289592971</v>
      </c>
      <c r="I19" s="132">
        <f>IF(evenwicht!J4&lt;&gt;"",evenwicht!J4,"")</f>
        <v>0.25154461316198484</v>
      </c>
      <c r="J19" s="132">
        <f>IF(evenwicht!K4&lt;&gt;"",evenwicht!K4,"")</f>
        <v>0.48821319241673689</v>
      </c>
      <c r="K19" s="132">
        <f>IF(evenwicht!L4&lt;&gt;"",evenwicht!L4,"")</f>
        <v>0.39542796227510119</v>
      </c>
      <c r="L19" s="132">
        <f>IF(evenwicht!M4&lt;&gt;"",evenwicht!M4,"")</f>
        <v>0.47422188785278757</v>
      </c>
      <c r="M19" s="132" t="str">
        <f>IF(evenwicht!N4&lt;&gt;"",evenwicht!N4,"")</f>
        <v/>
      </c>
      <c r="N19" s="132" t="str">
        <f>IF(evenwicht!O4&lt;&gt;"",evenwicht!O4,"")</f>
        <v/>
      </c>
      <c r="O19" s="133" t="str">
        <f>IF(evenwicht!P4&lt;&gt;"",evenwicht!P4,"")</f>
        <v/>
      </c>
      <c r="P19" s="134" t="s">
        <v>81</v>
      </c>
    </row>
    <row r="20" spans="1:16">
      <c r="A20" s="130" t="str">
        <f>IF(evenwicht!A5&lt;&gt;"",evenwicht!A5,"")</f>
        <v>High Yield</v>
      </c>
      <c r="B20" s="143">
        <f ca="1">IF(A20&lt;&gt;"",OFFSET(scenarios!B4,0,covar_scenarios!$A$17),"")</f>
        <v>3.2492969125133414E-2</v>
      </c>
      <c r="C20" s="61">
        <f>IF(evenwicht!D5&lt;&gt;"",evenwicht!D5,"")</f>
        <v>0.15853561014014847</v>
      </c>
      <c r="D20" s="135">
        <f>IF(evenwicht!E5&lt;&gt;"",evenwicht!E5,"")</f>
        <v>0.52433003134871636</v>
      </c>
      <c r="E20" s="136">
        <f>IF(evenwicht!F5&lt;&gt;"",evenwicht!F5,"")</f>
        <v>1</v>
      </c>
      <c r="F20" s="136">
        <f>IF(evenwicht!G5&lt;&gt;"",evenwicht!G5,"")</f>
        <v>0.94338322745767289</v>
      </c>
      <c r="G20" s="136">
        <f>IF(evenwicht!H5&lt;&gt;"",evenwicht!H5,"")</f>
        <v>0.74070013517974964</v>
      </c>
      <c r="H20" s="136">
        <f>IF(evenwicht!I5&lt;&gt;"",evenwicht!I5,"")</f>
        <v>0.74187676376193956</v>
      </c>
      <c r="I20" s="136">
        <f>IF(evenwicht!J5&lt;&gt;"",evenwicht!J5,"")</f>
        <v>0.60846903584875156</v>
      </c>
      <c r="J20" s="136">
        <f>IF(evenwicht!K5&lt;&gt;"",evenwicht!K5,"")</f>
        <v>0.86668583493806206</v>
      </c>
      <c r="K20" s="136">
        <f>IF(evenwicht!L5&lt;&gt;"",evenwicht!L5,"")</f>
        <v>0.86259221475724557</v>
      </c>
      <c r="L20" s="136">
        <f>IF(evenwicht!M5&lt;&gt;"",evenwicht!M5,"")</f>
        <v>0.75906077754107681</v>
      </c>
      <c r="M20" s="136" t="str">
        <f>IF(evenwicht!N5&lt;&gt;"",evenwicht!N5,"")</f>
        <v/>
      </c>
      <c r="N20" s="136" t="str">
        <f>IF(evenwicht!O5&lt;&gt;"",evenwicht!O5,"")</f>
        <v/>
      </c>
      <c r="O20" s="137" t="str">
        <f>IF(evenwicht!P5&lt;&gt;"",evenwicht!P5,"")</f>
        <v/>
      </c>
    </row>
    <row r="21" spans="1:16">
      <c r="A21" s="130" t="str">
        <f>IF(evenwicht!A6&lt;&gt;"",evenwicht!A6,"")</f>
        <v>Emerging market debt</v>
      </c>
      <c r="B21" s="143">
        <f ca="1">IF(A21&lt;&gt;"",OFFSET(scenarios!B5,0,covar_scenarios!$A$17),"")</f>
        <v>1.45681608513176E-2</v>
      </c>
      <c r="C21" s="61">
        <f>IF(evenwicht!D6&lt;&gt;"",evenwicht!D6,"")</f>
        <v>0.16217253275473525</v>
      </c>
      <c r="D21" s="135">
        <f>IF(evenwicht!E6&lt;&gt;"",evenwicht!E6,"")</f>
        <v>0.50486216106822102</v>
      </c>
      <c r="E21" s="136">
        <f>IF(evenwicht!F6&lt;&gt;"",evenwicht!F6,"")</f>
        <v>0.943383227457673</v>
      </c>
      <c r="F21" s="136">
        <f>IF(evenwicht!G6&lt;&gt;"",evenwicht!G6,"")</f>
        <v>1</v>
      </c>
      <c r="G21" s="136">
        <f>IF(evenwicht!H6&lt;&gt;"",evenwicht!H6,"")</f>
        <v>0.77223648924957744</v>
      </c>
      <c r="H21" s="136">
        <f>IF(evenwicht!I6&lt;&gt;"",evenwicht!I6,"")</f>
        <v>0.79023745754825636</v>
      </c>
      <c r="I21" s="136">
        <f>IF(evenwicht!J6&lt;&gt;"",evenwicht!J6,"")</f>
        <v>0.63110682083437419</v>
      </c>
      <c r="J21" s="136">
        <f>IF(evenwicht!K6&lt;&gt;"",evenwicht!K6,"")</f>
        <v>0.87120901203593171</v>
      </c>
      <c r="K21" s="136">
        <f>IF(evenwicht!L6&lt;&gt;"",evenwicht!L6,"")</f>
        <v>0.86536847063850975</v>
      </c>
      <c r="L21" s="136">
        <f>IF(evenwicht!M6&lt;&gt;"",evenwicht!M6,"")</f>
        <v>0.72481655312346349</v>
      </c>
      <c r="M21" s="136" t="str">
        <f>IF(evenwicht!N6&lt;&gt;"",evenwicht!N6,"")</f>
        <v/>
      </c>
      <c r="N21" s="136" t="str">
        <f>IF(evenwicht!O6&lt;&gt;"",evenwicht!O6,"")</f>
        <v/>
      </c>
      <c r="O21" s="137" t="str">
        <f>IF(evenwicht!P6&lt;&gt;"",evenwicht!P6,"")</f>
        <v/>
      </c>
    </row>
    <row r="22" spans="1:16">
      <c r="A22" s="130" t="str">
        <f>IF(evenwicht!A7&lt;&gt;"",evenwicht!A7,"")</f>
        <v>Aandelen ontwikkeld</v>
      </c>
      <c r="B22" s="143">
        <f ca="1">IF(A22&lt;&gt;"",OFFSET(scenarios!B6,0,covar_scenarios!$A$17),"")</f>
        <v>-1.272492445230269E-2</v>
      </c>
      <c r="C22" s="61">
        <f>IF(evenwicht!D7&lt;&gt;"",evenwicht!D7,"")</f>
        <v>0.28718972670468956</v>
      </c>
      <c r="D22" s="135">
        <f>IF(evenwicht!E7&lt;&gt;"",evenwicht!E7,"")</f>
        <v>0.2548754055202187</v>
      </c>
      <c r="E22" s="136">
        <f>IF(evenwicht!F7&lt;&gt;"",evenwicht!F7,"")</f>
        <v>0.74070013517974975</v>
      </c>
      <c r="F22" s="136">
        <f>IF(evenwicht!G7&lt;&gt;"",evenwicht!G7,"")</f>
        <v>0.77223648924957744</v>
      </c>
      <c r="G22" s="136">
        <f>IF(evenwicht!H7&lt;&gt;"",evenwicht!H7,"")</f>
        <v>1</v>
      </c>
      <c r="H22" s="136">
        <f>IF(evenwicht!I7&lt;&gt;"",evenwicht!I7,"")</f>
        <v>0.81106497730540505</v>
      </c>
      <c r="I22" s="136">
        <f>IF(evenwicht!J7&lt;&gt;"",evenwicht!J7,"")</f>
        <v>0.69909036020626758</v>
      </c>
      <c r="J22" s="136">
        <f>IF(evenwicht!K7&lt;&gt;"",evenwicht!K7,"")</f>
        <v>0.74571542163255744</v>
      </c>
      <c r="K22" s="136">
        <f>IF(evenwicht!L7&lt;&gt;"",evenwicht!L7,"")</f>
        <v>0.88603334197313832</v>
      </c>
      <c r="L22" s="136">
        <f>IF(evenwicht!M7&lt;&gt;"",evenwicht!M7,"")</f>
        <v>0.62515021546234684</v>
      </c>
      <c r="M22" s="136" t="str">
        <f>IF(evenwicht!N7&lt;&gt;"",evenwicht!N7,"")</f>
        <v/>
      </c>
      <c r="N22" s="136" t="str">
        <f>IF(evenwicht!O7&lt;&gt;"",evenwicht!O7,"")</f>
        <v/>
      </c>
      <c r="O22" s="137" t="str">
        <f>IF(evenwicht!P7&lt;&gt;"",evenwicht!P7,"")</f>
        <v/>
      </c>
    </row>
    <row r="23" spans="1:16">
      <c r="A23" s="130" t="str">
        <f>IF(evenwicht!A8&lt;&gt;"",evenwicht!A8,"")</f>
        <v>Aandelen opkomend</v>
      </c>
      <c r="B23" s="143">
        <f ca="1">IF(A23&lt;&gt;"",OFFSET(scenarios!B7,0,covar_scenarios!$A$17),"")</f>
        <v>5.7893485302571407E-2</v>
      </c>
      <c r="C23" s="61">
        <f>IF(evenwicht!D8&lt;&gt;"",evenwicht!D8,"")</f>
        <v>0.29616397669669142</v>
      </c>
      <c r="D23" s="135">
        <f>IF(evenwicht!E8&lt;&gt;"",evenwicht!E8,"")</f>
        <v>0.29680815289593021</v>
      </c>
      <c r="E23" s="136">
        <f>IF(evenwicht!F8&lt;&gt;"",evenwicht!F8,"")</f>
        <v>0.74187676376193967</v>
      </c>
      <c r="F23" s="136">
        <f>IF(evenwicht!G8&lt;&gt;"",evenwicht!G8,"")</f>
        <v>0.79023745754825636</v>
      </c>
      <c r="G23" s="136">
        <f>IF(evenwicht!H8&lt;&gt;"",evenwicht!H8,"")</f>
        <v>0.81106497730540505</v>
      </c>
      <c r="H23" s="136">
        <f>IF(evenwicht!I8&lt;&gt;"",evenwicht!I8,"")</f>
        <v>0.99999999999999978</v>
      </c>
      <c r="I23" s="136">
        <f>IF(evenwicht!J8&lt;&gt;"",evenwicht!J8,"")</f>
        <v>0.63944069654526292</v>
      </c>
      <c r="J23" s="136">
        <f>IF(evenwicht!K8&lt;&gt;"",evenwicht!K8,"")</f>
        <v>0.64591301484464436</v>
      </c>
      <c r="K23" s="136">
        <f>IF(evenwicht!L8&lt;&gt;"",evenwicht!L8,"")</f>
        <v>0.78448428807756676</v>
      </c>
      <c r="L23" s="136">
        <f>IF(evenwicht!M8&lt;&gt;"",evenwicht!M8,"")</f>
        <v>0.51393319492259693</v>
      </c>
      <c r="M23" s="136" t="str">
        <f>IF(evenwicht!N8&lt;&gt;"",evenwicht!N8,"")</f>
        <v/>
      </c>
      <c r="N23" s="136" t="str">
        <f>IF(evenwicht!O8&lt;&gt;"",evenwicht!O8,"")</f>
        <v/>
      </c>
      <c r="O23" s="137" t="str">
        <f>IF(evenwicht!P8&lt;&gt;"",evenwicht!P8,"")</f>
        <v/>
      </c>
    </row>
    <row r="24" spans="1:16">
      <c r="A24" s="130" t="str">
        <f>IF(evenwicht!A9&lt;&gt;"",evenwicht!A9,"")</f>
        <v>Commodities</v>
      </c>
      <c r="B24" s="143">
        <f ca="1">IF(A24&lt;&gt;"",OFFSET(scenarios!B8,0,covar_scenarios!$A$17),"")</f>
        <v>7.1858480605475325E-2</v>
      </c>
      <c r="C24" s="61">
        <f>IF(evenwicht!D9&lt;&gt;"",evenwicht!D9,"")</f>
        <v>0.32648216646211403</v>
      </c>
      <c r="D24" s="135">
        <f>IF(evenwicht!E9&lt;&gt;"",evenwicht!E9,"")</f>
        <v>0.25154461316198523</v>
      </c>
      <c r="E24" s="136">
        <f>IF(evenwicht!F9&lt;&gt;"",evenwicht!F9,"")</f>
        <v>0.60846903584875167</v>
      </c>
      <c r="F24" s="136">
        <f>IF(evenwicht!G9&lt;&gt;"",evenwicht!G9,"")</f>
        <v>0.6311068208343743</v>
      </c>
      <c r="G24" s="136">
        <f>IF(evenwicht!H9&lt;&gt;"",evenwicht!H9,"")</f>
        <v>0.69909036020626758</v>
      </c>
      <c r="H24" s="136">
        <f>IF(evenwicht!I9&lt;&gt;"",evenwicht!I9,"")</f>
        <v>0.63944069654526281</v>
      </c>
      <c r="I24" s="136">
        <f>IF(evenwicht!J9&lt;&gt;"",evenwicht!J9,"")</f>
        <v>0.99999999999999978</v>
      </c>
      <c r="J24" s="136">
        <f>IF(evenwicht!K9&lt;&gt;"",evenwicht!K9,"")</f>
        <v>0.57555638609831095</v>
      </c>
      <c r="K24" s="136">
        <f>IF(evenwicht!L9&lt;&gt;"",evenwicht!L9,"")</f>
        <v>0.6706441294402975</v>
      </c>
      <c r="L24" s="136">
        <f>IF(evenwicht!M9&lt;&gt;"",evenwicht!M9,"")</f>
        <v>0.49865020725851583</v>
      </c>
      <c r="M24" s="136" t="str">
        <f>IF(evenwicht!N9&lt;&gt;"",evenwicht!N9,"")</f>
        <v/>
      </c>
      <c r="N24" s="136" t="str">
        <f>IF(evenwicht!O9&lt;&gt;"",evenwicht!O9,"")</f>
        <v/>
      </c>
      <c r="O24" s="137" t="str">
        <f>IF(evenwicht!P9&lt;&gt;"",evenwicht!P9,"")</f>
        <v/>
      </c>
    </row>
    <row r="25" spans="1:16">
      <c r="A25" s="130" t="str">
        <f>IF(evenwicht!A10&lt;&gt;"",evenwicht!A10,"")</f>
        <v>Hedge funds</v>
      </c>
      <c r="B25" s="143">
        <f ca="1">IF(A25&lt;&gt;"",OFFSET(scenarios!B9,0,covar_scenarios!$A$17),"")</f>
        <v>1.8730269708989476E-2</v>
      </c>
      <c r="C25" s="61">
        <f>IF(evenwicht!D10&lt;&gt;"",evenwicht!D10,"")</f>
        <v>0.16076897495152093</v>
      </c>
      <c r="D25" s="135">
        <f>IF(evenwicht!E10&lt;&gt;"",evenwicht!E10,"")</f>
        <v>0.488213192416737</v>
      </c>
      <c r="E25" s="136">
        <f>IF(evenwicht!F10&lt;&gt;"",evenwicht!F10,"")</f>
        <v>0.86668583493806206</v>
      </c>
      <c r="F25" s="136">
        <f>IF(evenwicht!G10&lt;&gt;"",evenwicht!G10,"")</f>
        <v>0.87120901203593182</v>
      </c>
      <c r="G25" s="136">
        <f>IF(evenwicht!H10&lt;&gt;"",evenwicht!H10,"")</f>
        <v>0.74571542163255744</v>
      </c>
      <c r="H25" s="136">
        <f>IF(evenwicht!I10&lt;&gt;"",evenwicht!I10,"")</f>
        <v>0.64591301484464425</v>
      </c>
      <c r="I25" s="136">
        <f>IF(evenwicht!J10&lt;&gt;"",evenwicht!J10,"")</f>
        <v>0.57555638609831083</v>
      </c>
      <c r="J25" s="136">
        <f>IF(evenwicht!K10&lt;&gt;"",evenwicht!K10,"")</f>
        <v>1.0000000000000002</v>
      </c>
      <c r="K25" s="136">
        <f>IF(evenwicht!L10&lt;&gt;"",evenwicht!L10,"")</f>
        <v>0.79740125449060317</v>
      </c>
      <c r="L25" s="136">
        <f>IF(evenwicht!M10&lt;&gt;"",evenwicht!M10,"")</f>
        <v>0.6990511874231996</v>
      </c>
      <c r="M25" s="136" t="str">
        <f>IF(evenwicht!N10&lt;&gt;"",evenwicht!N10,"")</f>
        <v/>
      </c>
      <c r="N25" s="136" t="str">
        <f>IF(evenwicht!O10&lt;&gt;"",evenwicht!O10,"")</f>
        <v/>
      </c>
      <c r="O25" s="137" t="str">
        <f>IF(evenwicht!P10&lt;&gt;"",evenwicht!P10,"")</f>
        <v/>
      </c>
    </row>
    <row r="26" spans="1:16">
      <c r="A26" s="130" t="str">
        <f>IF(evenwicht!A11&lt;&gt;"",evenwicht!A11,"")</f>
        <v>Onroerend goed</v>
      </c>
      <c r="B26" s="143">
        <f ca="1">IF(A26&lt;&gt;"",OFFSET(scenarios!B10,0,covar_scenarios!$A$17),"")</f>
        <v>-5.9825766089863959E-3</v>
      </c>
      <c r="C26" s="61">
        <f>IF(evenwicht!D11&lt;&gt;"",evenwicht!D11,"")</f>
        <v>0.20064050365322861</v>
      </c>
      <c r="D26" s="135">
        <f>IF(evenwicht!E11&lt;&gt;"",evenwicht!E11,"")</f>
        <v>0.39542796227510135</v>
      </c>
      <c r="E26" s="136">
        <f>IF(evenwicht!F11&lt;&gt;"",evenwicht!F11,"")</f>
        <v>0.86259221475724557</v>
      </c>
      <c r="F26" s="136">
        <f>IF(evenwicht!G11&lt;&gt;"",evenwicht!G11,"")</f>
        <v>0.86536847063850963</v>
      </c>
      <c r="G26" s="136">
        <f>IF(evenwicht!H11&lt;&gt;"",evenwicht!H11,"")</f>
        <v>0.88603334197313832</v>
      </c>
      <c r="H26" s="136">
        <f>IF(evenwicht!I11&lt;&gt;"",evenwicht!I11,"")</f>
        <v>0.78448428807756676</v>
      </c>
      <c r="I26" s="136">
        <f>IF(evenwicht!J11&lt;&gt;"",evenwicht!J11,"")</f>
        <v>0.67064412944029761</v>
      </c>
      <c r="J26" s="136">
        <f>IF(evenwicht!K11&lt;&gt;"",evenwicht!K11,"")</f>
        <v>0.79740125449060328</v>
      </c>
      <c r="K26" s="136">
        <f>IF(evenwicht!L11&lt;&gt;"",evenwicht!L11,"")</f>
        <v>1.0000000000000002</v>
      </c>
      <c r="L26" s="136">
        <f>IF(evenwicht!M11&lt;&gt;"",evenwicht!M11,"")</f>
        <v>0.74626676152997484</v>
      </c>
      <c r="M26" s="136" t="str">
        <f>IF(evenwicht!N11&lt;&gt;"",evenwicht!N11,"")</f>
        <v/>
      </c>
      <c r="N26" s="136" t="str">
        <f>IF(evenwicht!O11&lt;&gt;"",evenwicht!O11,"")</f>
        <v/>
      </c>
      <c r="O26" s="137" t="str">
        <f>IF(evenwicht!P11&lt;&gt;"",evenwicht!P11,"")</f>
        <v/>
      </c>
    </row>
    <row r="27" spans="1:16">
      <c r="A27" s="130" t="str">
        <f>IF(evenwicht!A12&lt;&gt;"",evenwicht!A12,"")</f>
        <v>Periferie bonds</v>
      </c>
      <c r="B27" s="143">
        <f ca="1">IF(A27&lt;&gt;"",OFFSET(scenarios!B11,0,covar_scenarios!$A$17),"")</f>
        <v>3.8404573676165434E-3</v>
      </c>
      <c r="C27" s="61">
        <f>IF(evenwicht!D12&lt;&gt;"",evenwicht!D12,"")</f>
        <v>0.17312066928436093</v>
      </c>
      <c r="D27" s="135">
        <f>IF(evenwicht!E12&lt;&gt;"",evenwicht!E12,"")</f>
        <v>0.47422188785278774</v>
      </c>
      <c r="E27" s="136">
        <f>IF(evenwicht!F12&lt;&gt;"",evenwicht!F12,"")</f>
        <v>0.75906077754107693</v>
      </c>
      <c r="F27" s="136">
        <f>IF(evenwicht!G12&lt;&gt;"",evenwicht!G12,"")</f>
        <v>0.72481655312346349</v>
      </c>
      <c r="G27" s="136">
        <f>IF(evenwicht!H12&lt;&gt;"",evenwicht!H12,"")</f>
        <v>0.62515021546234673</v>
      </c>
      <c r="H27" s="136">
        <f>IF(evenwicht!I12&lt;&gt;"",evenwicht!I12,"")</f>
        <v>0.51393319492259693</v>
      </c>
      <c r="I27" s="136">
        <f>IF(evenwicht!J12&lt;&gt;"",evenwicht!J12,"")</f>
        <v>0.49865020725851572</v>
      </c>
      <c r="J27" s="136">
        <f>IF(evenwicht!K12&lt;&gt;"",evenwicht!K12,"")</f>
        <v>0.69905118742319949</v>
      </c>
      <c r="K27" s="136">
        <f>IF(evenwicht!L12&lt;&gt;"",evenwicht!L12,"")</f>
        <v>0.74626676152997495</v>
      </c>
      <c r="L27" s="136">
        <f>IF(evenwicht!M12&lt;&gt;"",evenwicht!M12,"")</f>
        <v>0.99999999999999989</v>
      </c>
      <c r="M27" s="136" t="str">
        <f>IF(evenwicht!N12&lt;&gt;"",evenwicht!N12,"")</f>
        <v/>
      </c>
      <c r="N27" s="136" t="str">
        <f>IF(evenwicht!O12&lt;&gt;"",evenwicht!O12,"")</f>
        <v/>
      </c>
      <c r="O27" s="137" t="str">
        <f>IF(evenwicht!P12&lt;&gt;"",evenwicht!P12,"")</f>
        <v/>
      </c>
    </row>
    <row r="28" spans="1:16">
      <c r="A28" s="130" t="str">
        <f>IF(evenwicht!A13&lt;&gt;"",evenwicht!A13,"")</f>
        <v/>
      </c>
      <c r="B28" s="143" t="str">
        <f ca="1">IF(A28&lt;&gt;"",OFFSET(scenarios!B12,0,covar_scenarios!$A$17),"")</f>
        <v/>
      </c>
      <c r="C28" s="61" t="str">
        <f>IF(evenwicht!D13&lt;&gt;"",evenwicht!D13,"")</f>
        <v/>
      </c>
      <c r="D28" s="135" t="str">
        <f>IF(evenwicht!E13&lt;&gt;"",evenwicht!E13,"")</f>
        <v/>
      </c>
      <c r="E28" s="136" t="str">
        <f>IF(evenwicht!F13&lt;&gt;"",evenwicht!F13,"")</f>
        <v/>
      </c>
      <c r="F28" s="136" t="str">
        <f>IF(evenwicht!G13&lt;&gt;"",evenwicht!G13,"")</f>
        <v/>
      </c>
      <c r="G28" s="136" t="str">
        <f>IF(evenwicht!H13&lt;&gt;"",evenwicht!H13,"")</f>
        <v/>
      </c>
      <c r="H28" s="136" t="str">
        <f>IF(evenwicht!I13&lt;&gt;"",evenwicht!I13,"")</f>
        <v/>
      </c>
      <c r="I28" s="136" t="str">
        <f>IF(evenwicht!J13&lt;&gt;"",evenwicht!J13,"")</f>
        <v/>
      </c>
      <c r="J28" s="136" t="str">
        <f>IF(evenwicht!K13&lt;&gt;"",evenwicht!K13,"")</f>
        <v/>
      </c>
      <c r="K28" s="136" t="str">
        <f>IF(evenwicht!L13&lt;&gt;"",evenwicht!L13,"")</f>
        <v/>
      </c>
      <c r="L28" s="136" t="str">
        <f>IF(evenwicht!M13&lt;&gt;"",evenwicht!M13,"")</f>
        <v/>
      </c>
      <c r="M28" s="136" t="str">
        <f>IF(evenwicht!N13&lt;&gt;"",evenwicht!N13,"")</f>
        <v/>
      </c>
      <c r="N28" s="136" t="str">
        <f>IF(evenwicht!O13&lt;&gt;"",evenwicht!O13,"")</f>
        <v/>
      </c>
      <c r="O28" s="137" t="str">
        <f>IF(evenwicht!P13&lt;&gt;"",evenwicht!P13,"")</f>
        <v/>
      </c>
    </row>
    <row r="29" spans="1:16">
      <c r="A29" s="130" t="str">
        <f>IF(evenwicht!A14&lt;&gt;"",evenwicht!A14,"")</f>
        <v/>
      </c>
      <c r="B29" s="143" t="str">
        <f ca="1">IF(A29&lt;&gt;"",OFFSET(scenarios!B13,0,covar_scenarios!$A$17),"")</f>
        <v/>
      </c>
      <c r="C29" s="61" t="str">
        <f>IF(evenwicht!D14&lt;&gt;"",evenwicht!D14,"")</f>
        <v/>
      </c>
      <c r="D29" s="135" t="str">
        <f>IF(evenwicht!E14&lt;&gt;"",evenwicht!E14,"")</f>
        <v/>
      </c>
      <c r="E29" s="136" t="str">
        <f>IF(evenwicht!F14&lt;&gt;"",evenwicht!F14,"")</f>
        <v/>
      </c>
      <c r="F29" s="136" t="str">
        <f>IF(evenwicht!G14&lt;&gt;"",evenwicht!G14,"")</f>
        <v/>
      </c>
      <c r="G29" s="136" t="str">
        <f>IF(evenwicht!H14&lt;&gt;"",evenwicht!H14,"")</f>
        <v/>
      </c>
      <c r="H29" s="136" t="str">
        <f>IF(evenwicht!I14&lt;&gt;"",evenwicht!I14,"")</f>
        <v/>
      </c>
      <c r="I29" s="136" t="str">
        <f>IF(evenwicht!J14&lt;&gt;"",evenwicht!J14,"")</f>
        <v/>
      </c>
      <c r="J29" s="136" t="str">
        <f>IF(evenwicht!K14&lt;&gt;"",evenwicht!K14,"")</f>
        <v/>
      </c>
      <c r="K29" s="136" t="str">
        <f>IF(evenwicht!L14&lt;&gt;"",evenwicht!L14,"")</f>
        <v/>
      </c>
      <c r="L29" s="136" t="str">
        <f>IF(evenwicht!M14&lt;&gt;"",evenwicht!M14,"")</f>
        <v/>
      </c>
      <c r="M29" s="136" t="str">
        <f>IF(evenwicht!N14&lt;&gt;"",evenwicht!N14,"")</f>
        <v/>
      </c>
      <c r="N29" s="136" t="str">
        <f>IF(evenwicht!O14&lt;&gt;"",evenwicht!O14,"")</f>
        <v/>
      </c>
      <c r="O29" s="137" t="str">
        <f>IF(evenwicht!P14&lt;&gt;"",evenwicht!P14,"")</f>
        <v/>
      </c>
    </row>
    <row r="30" spans="1:16" ht="13.5" thickBot="1">
      <c r="A30" s="138" t="str">
        <f>IF(evenwicht!A15&lt;&gt;"",evenwicht!A15,"")</f>
        <v/>
      </c>
      <c r="B30" s="144" t="str">
        <f ca="1">IF(A30&lt;&gt;"",OFFSET(scenarios!B14,0,covar_scenarios!$A$17),"")</f>
        <v/>
      </c>
      <c r="C30" s="79" t="str">
        <f>IF(evenwicht!D15&lt;&gt;"",evenwicht!D15,"")</f>
        <v/>
      </c>
      <c r="D30" s="139" t="str">
        <f>IF(evenwicht!E15&lt;&gt;"",evenwicht!E15,"")</f>
        <v/>
      </c>
      <c r="E30" s="140" t="str">
        <f>IF(evenwicht!F15&lt;&gt;"",evenwicht!F15,"")</f>
        <v/>
      </c>
      <c r="F30" s="140" t="str">
        <f>IF(evenwicht!G15&lt;&gt;"",evenwicht!G15,"")</f>
        <v/>
      </c>
      <c r="G30" s="140" t="str">
        <f>IF(evenwicht!H15&lt;&gt;"",evenwicht!H15,"")</f>
        <v/>
      </c>
      <c r="H30" s="140" t="str">
        <f>IF(evenwicht!I15&lt;&gt;"",evenwicht!I15,"")</f>
        <v/>
      </c>
      <c r="I30" s="140" t="str">
        <f>IF(evenwicht!J15&lt;&gt;"",evenwicht!J15,"")</f>
        <v/>
      </c>
      <c r="J30" s="140" t="str">
        <f>IF(evenwicht!K15&lt;&gt;"",evenwicht!K15,"")</f>
        <v/>
      </c>
      <c r="K30" s="140" t="str">
        <f>IF(evenwicht!L15&lt;&gt;"",evenwicht!L15,"")</f>
        <v/>
      </c>
      <c r="L30" s="140" t="str">
        <f>IF(evenwicht!M15&lt;&gt;"",evenwicht!M15,"")</f>
        <v/>
      </c>
      <c r="M30" s="140" t="str">
        <f>IF(evenwicht!N15&lt;&gt;"",evenwicht!N15,"")</f>
        <v/>
      </c>
      <c r="N30" s="140" t="str">
        <f>IF(evenwicht!O15&lt;&gt;"",evenwicht!O15,"")</f>
        <v/>
      </c>
      <c r="O30" s="141" t="str">
        <f>IF(evenwicht!P15&lt;&gt;"",evenwicht!P15,"")</f>
        <v/>
      </c>
    </row>
    <row r="32" spans="1:16" ht="13.5" thickBot="1">
      <c r="A32" s="45">
        <v>2</v>
      </c>
    </row>
    <row r="33" spans="1:16" ht="15.75" thickBot="1">
      <c r="A33" s="142" t="str">
        <f ca="1">OFFSET(scenarios!$B$2,0,covar_scenarios!A32)</f>
        <v>Base - muddle down</v>
      </c>
      <c r="B33" s="109" t="s">
        <v>79</v>
      </c>
      <c r="C33" s="108" t="s">
        <v>39</v>
      </c>
      <c r="D33" s="160" t="s">
        <v>80</v>
      </c>
      <c r="E33" s="161"/>
      <c r="F33" s="161"/>
      <c r="G33" s="161"/>
      <c r="H33" s="161"/>
      <c r="I33" s="161"/>
      <c r="J33" s="161"/>
      <c r="K33" s="161"/>
      <c r="L33" s="162"/>
      <c r="M33" s="162"/>
      <c r="N33" s="162"/>
      <c r="O33" s="163"/>
    </row>
    <row r="34" spans="1:16">
      <c r="A34" s="130" t="str">
        <f>IF(evenwicht!A4&lt;&gt;"",evenwicht!A4,"")</f>
        <v>Nominale matching</v>
      </c>
      <c r="B34" s="61">
        <f ca="1">IF(A34&lt;&gt;"",OFFSET(scenarios!B3,0,covar_scenarios!$A$32),"")</f>
        <v>-1.0761362748873404E-3</v>
      </c>
      <c r="C34" s="61">
        <f>IF(evenwicht!D4&lt;&gt;"",evenwicht!D4,"")</f>
        <v>4.3450149472468363E-2</v>
      </c>
      <c r="D34" s="131">
        <f>IF(evenwicht!E4&lt;&gt;"",evenwicht!E4,"")</f>
        <v>1</v>
      </c>
      <c r="E34" s="132">
        <f>IF(evenwicht!F4&lt;&gt;"",evenwicht!F4,"")</f>
        <v>0.5243300313487167</v>
      </c>
      <c r="F34" s="132">
        <f>IF(evenwicht!G4&lt;&gt;"",evenwicht!G4,"")</f>
        <v>0.5048621610682209</v>
      </c>
      <c r="G34" s="132">
        <f>IF(evenwicht!H4&lt;&gt;"",evenwicht!H4,"")</f>
        <v>0.25487540552021803</v>
      </c>
      <c r="H34" s="132">
        <f>IF(evenwicht!I4&lt;&gt;"",evenwicht!I4,"")</f>
        <v>0.29680815289592971</v>
      </c>
      <c r="I34" s="132">
        <f>IF(evenwicht!J4&lt;&gt;"",evenwicht!J4,"")</f>
        <v>0.25154461316198484</v>
      </c>
      <c r="J34" s="132">
        <f>IF(evenwicht!K4&lt;&gt;"",evenwicht!K4,"")</f>
        <v>0.48821319241673689</v>
      </c>
      <c r="K34" s="132">
        <f>IF(evenwicht!L4&lt;&gt;"",evenwicht!L4,"")</f>
        <v>0.39542796227510119</v>
      </c>
      <c r="L34" s="132">
        <f>IF(evenwicht!M4&lt;&gt;"",evenwicht!M4,"")</f>
        <v>0.47422188785278757</v>
      </c>
      <c r="M34" s="132" t="str">
        <f>IF(evenwicht!N4&lt;&gt;"",evenwicht!N4,"")</f>
        <v/>
      </c>
      <c r="N34" s="132" t="str">
        <f>IF(evenwicht!O4&lt;&gt;"",evenwicht!O4,"")</f>
        <v/>
      </c>
      <c r="O34" s="133" t="str">
        <f>IF(evenwicht!P4&lt;&gt;"",evenwicht!P4,"")</f>
        <v/>
      </c>
      <c r="P34" s="134" t="s">
        <v>81</v>
      </c>
    </row>
    <row r="35" spans="1:16">
      <c r="A35" s="130" t="str">
        <f>IF(evenwicht!A5&lt;&gt;"",evenwicht!A5,"")</f>
        <v>High Yield</v>
      </c>
      <c r="B35" s="143">
        <f ca="1">IF(A35&lt;&gt;"",OFFSET(scenarios!B4,0,covar_scenarios!$A$32),"")</f>
        <v>-8.65324500372157E-2</v>
      </c>
      <c r="C35" s="61">
        <f>IF(evenwicht!D5&lt;&gt;"",evenwicht!D5,"")</f>
        <v>0.15853561014014847</v>
      </c>
      <c r="D35" s="135">
        <f>IF(evenwicht!E5&lt;&gt;"",evenwicht!E5,"")</f>
        <v>0.52433003134871636</v>
      </c>
      <c r="E35" s="136">
        <f>IF(evenwicht!F5&lt;&gt;"",evenwicht!F5,"")</f>
        <v>1</v>
      </c>
      <c r="F35" s="136">
        <f>IF(evenwicht!G5&lt;&gt;"",evenwicht!G5,"")</f>
        <v>0.94338322745767289</v>
      </c>
      <c r="G35" s="136">
        <f>IF(evenwicht!H5&lt;&gt;"",evenwicht!H5,"")</f>
        <v>0.74070013517974964</v>
      </c>
      <c r="H35" s="136">
        <f>IF(evenwicht!I5&lt;&gt;"",evenwicht!I5,"")</f>
        <v>0.74187676376193956</v>
      </c>
      <c r="I35" s="136">
        <f>IF(evenwicht!J5&lt;&gt;"",evenwicht!J5,"")</f>
        <v>0.60846903584875156</v>
      </c>
      <c r="J35" s="136">
        <f>IF(evenwicht!K5&lt;&gt;"",evenwicht!K5,"")</f>
        <v>0.86668583493806206</v>
      </c>
      <c r="K35" s="136">
        <f>IF(evenwicht!L5&lt;&gt;"",evenwicht!L5,"")</f>
        <v>0.86259221475724557</v>
      </c>
      <c r="L35" s="136">
        <f>IF(evenwicht!M5&lt;&gt;"",evenwicht!M5,"")</f>
        <v>0.75906077754107681</v>
      </c>
      <c r="M35" s="136" t="str">
        <f>IF(evenwicht!N5&lt;&gt;"",evenwicht!N5,"")</f>
        <v/>
      </c>
      <c r="N35" s="136" t="str">
        <f>IF(evenwicht!O5&lt;&gt;"",evenwicht!O5,"")</f>
        <v/>
      </c>
      <c r="O35" s="137" t="str">
        <f>IF(evenwicht!P5&lt;&gt;"",evenwicht!P5,"")</f>
        <v/>
      </c>
    </row>
    <row r="36" spans="1:16">
      <c r="A36" s="130" t="str">
        <f>IF(evenwicht!A6&lt;&gt;"",evenwicht!A6,"")</f>
        <v>Emerging market debt</v>
      </c>
      <c r="B36" s="143">
        <f ca="1">IF(A36&lt;&gt;"",OFFSET(scenarios!B5,0,covar_scenarios!$A$32),"")</f>
        <v>-2.1111513867647543E-2</v>
      </c>
      <c r="C36" s="61">
        <f>IF(evenwicht!D6&lt;&gt;"",evenwicht!D6,"")</f>
        <v>0.16217253275473525</v>
      </c>
      <c r="D36" s="135">
        <f>IF(evenwicht!E6&lt;&gt;"",evenwicht!E6,"")</f>
        <v>0.50486216106822102</v>
      </c>
      <c r="E36" s="136">
        <f>IF(evenwicht!F6&lt;&gt;"",evenwicht!F6,"")</f>
        <v>0.943383227457673</v>
      </c>
      <c r="F36" s="136">
        <f>IF(evenwicht!G6&lt;&gt;"",evenwicht!G6,"")</f>
        <v>1</v>
      </c>
      <c r="G36" s="136">
        <f>IF(evenwicht!H6&lt;&gt;"",evenwicht!H6,"")</f>
        <v>0.77223648924957744</v>
      </c>
      <c r="H36" s="136">
        <f>IF(evenwicht!I6&lt;&gt;"",evenwicht!I6,"")</f>
        <v>0.79023745754825636</v>
      </c>
      <c r="I36" s="136">
        <f>IF(evenwicht!J6&lt;&gt;"",evenwicht!J6,"")</f>
        <v>0.63110682083437419</v>
      </c>
      <c r="J36" s="136">
        <f>IF(evenwicht!K6&lt;&gt;"",evenwicht!K6,"")</f>
        <v>0.87120901203593171</v>
      </c>
      <c r="K36" s="136">
        <f>IF(evenwicht!L6&lt;&gt;"",evenwicht!L6,"")</f>
        <v>0.86536847063850975</v>
      </c>
      <c r="L36" s="136">
        <f>IF(evenwicht!M6&lt;&gt;"",evenwicht!M6,"")</f>
        <v>0.72481655312346349</v>
      </c>
      <c r="M36" s="136" t="str">
        <f>IF(evenwicht!N6&lt;&gt;"",evenwicht!N6,"")</f>
        <v/>
      </c>
      <c r="N36" s="136" t="str">
        <f>IF(evenwicht!O6&lt;&gt;"",evenwicht!O6,"")</f>
        <v/>
      </c>
      <c r="O36" s="137" t="str">
        <f>IF(evenwicht!P6&lt;&gt;"",evenwicht!P6,"")</f>
        <v/>
      </c>
    </row>
    <row r="37" spans="1:16">
      <c r="A37" s="130" t="str">
        <f>IF(evenwicht!A7&lt;&gt;"",evenwicht!A7,"")</f>
        <v>Aandelen ontwikkeld</v>
      </c>
      <c r="B37" s="143">
        <f ca="1">IF(A37&lt;&gt;"",OFFSET(scenarios!B6,0,covar_scenarios!$A$32),"")</f>
        <v>-0.19311368459773193</v>
      </c>
      <c r="C37" s="61">
        <f>IF(evenwicht!D7&lt;&gt;"",evenwicht!D7,"")</f>
        <v>0.28718972670468956</v>
      </c>
      <c r="D37" s="135">
        <f>IF(evenwicht!E7&lt;&gt;"",evenwicht!E7,"")</f>
        <v>0.2548754055202187</v>
      </c>
      <c r="E37" s="136">
        <f>IF(evenwicht!F7&lt;&gt;"",evenwicht!F7,"")</f>
        <v>0.74070013517974975</v>
      </c>
      <c r="F37" s="136">
        <f>IF(evenwicht!G7&lt;&gt;"",evenwicht!G7,"")</f>
        <v>0.77223648924957744</v>
      </c>
      <c r="G37" s="136">
        <f>IF(evenwicht!H7&lt;&gt;"",evenwicht!H7,"")</f>
        <v>1</v>
      </c>
      <c r="H37" s="136">
        <f>IF(evenwicht!I7&lt;&gt;"",evenwicht!I7,"")</f>
        <v>0.81106497730540505</v>
      </c>
      <c r="I37" s="136">
        <f>IF(evenwicht!J7&lt;&gt;"",evenwicht!J7,"")</f>
        <v>0.69909036020626758</v>
      </c>
      <c r="J37" s="136">
        <f>IF(evenwicht!K7&lt;&gt;"",evenwicht!K7,"")</f>
        <v>0.74571542163255744</v>
      </c>
      <c r="K37" s="136">
        <f>IF(evenwicht!L7&lt;&gt;"",evenwicht!L7,"")</f>
        <v>0.88603334197313832</v>
      </c>
      <c r="L37" s="136">
        <f>IF(evenwicht!M7&lt;&gt;"",evenwicht!M7,"")</f>
        <v>0.62515021546234684</v>
      </c>
      <c r="M37" s="136" t="str">
        <f>IF(evenwicht!N7&lt;&gt;"",evenwicht!N7,"")</f>
        <v/>
      </c>
      <c r="N37" s="136" t="str">
        <f>IF(evenwicht!O7&lt;&gt;"",evenwicht!O7,"")</f>
        <v/>
      </c>
      <c r="O37" s="137" t="str">
        <f>IF(evenwicht!P7&lt;&gt;"",evenwicht!P7,"")</f>
        <v/>
      </c>
    </row>
    <row r="38" spans="1:16">
      <c r="A38" s="130" t="str">
        <f>IF(evenwicht!A8&lt;&gt;"",evenwicht!A8,"")</f>
        <v>Aandelen opkomend</v>
      </c>
      <c r="B38" s="143">
        <f ca="1">IF(A38&lt;&gt;"",OFFSET(scenarios!B7,0,covar_scenarios!$A$32),"")</f>
        <v>-6.9261756645690273E-2</v>
      </c>
      <c r="C38" s="61">
        <f>IF(evenwicht!D8&lt;&gt;"",evenwicht!D8,"")</f>
        <v>0.29616397669669142</v>
      </c>
      <c r="D38" s="135">
        <f>IF(evenwicht!E8&lt;&gt;"",evenwicht!E8,"")</f>
        <v>0.29680815289593021</v>
      </c>
      <c r="E38" s="136">
        <f>IF(evenwicht!F8&lt;&gt;"",evenwicht!F8,"")</f>
        <v>0.74187676376193967</v>
      </c>
      <c r="F38" s="136">
        <f>IF(evenwicht!G8&lt;&gt;"",evenwicht!G8,"")</f>
        <v>0.79023745754825636</v>
      </c>
      <c r="G38" s="136">
        <f>IF(evenwicht!H8&lt;&gt;"",evenwicht!H8,"")</f>
        <v>0.81106497730540505</v>
      </c>
      <c r="H38" s="136">
        <f>IF(evenwicht!I8&lt;&gt;"",evenwicht!I8,"")</f>
        <v>0.99999999999999978</v>
      </c>
      <c r="I38" s="136">
        <f>IF(evenwicht!J8&lt;&gt;"",evenwicht!J8,"")</f>
        <v>0.63944069654526292</v>
      </c>
      <c r="J38" s="136">
        <f>IF(evenwicht!K8&lt;&gt;"",evenwicht!K8,"")</f>
        <v>0.64591301484464436</v>
      </c>
      <c r="K38" s="136">
        <f>IF(evenwicht!L8&lt;&gt;"",evenwicht!L8,"")</f>
        <v>0.78448428807756676</v>
      </c>
      <c r="L38" s="136">
        <f>IF(evenwicht!M8&lt;&gt;"",evenwicht!M8,"")</f>
        <v>0.51393319492259693</v>
      </c>
      <c r="M38" s="136" t="str">
        <f>IF(evenwicht!N8&lt;&gt;"",evenwicht!N8,"")</f>
        <v/>
      </c>
      <c r="N38" s="136" t="str">
        <f>IF(evenwicht!O8&lt;&gt;"",evenwicht!O8,"")</f>
        <v/>
      </c>
      <c r="O38" s="137" t="str">
        <f>IF(evenwicht!P8&lt;&gt;"",evenwicht!P8,"")</f>
        <v/>
      </c>
    </row>
    <row r="39" spans="1:16">
      <c r="A39" s="130" t="str">
        <f>IF(evenwicht!A9&lt;&gt;"",evenwicht!A9,"")</f>
        <v>Commodities</v>
      </c>
      <c r="B39" s="143">
        <f ca="1">IF(A39&lt;&gt;"",OFFSET(scenarios!B8,0,covar_scenarios!$A$32),"")</f>
        <v>1.202667991596415E-2</v>
      </c>
      <c r="C39" s="61">
        <f>IF(evenwicht!D9&lt;&gt;"",evenwicht!D9,"")</f>
        <v>0.32648216646211403</v>
      </c>
      <c r="D39" s="135">
        <f>IF(evenwicht!E9&lt;&gt;"",evenwicht!E9,"")</f>
        <v>0.25154461316198523</v>
      </c>
      <c r="E39" s="136">
        <f>IF(evenwicht!F9&lt;&gt;"",evenwicht!F9,"")</f>
        <v>0.60846903584875167</v>
      </c>
      <c r="F39" s="136">
        <f>IF(evenwicht!G9&lt;&gt;"",evenwicht!G9,"")</f>
        <v>0.6311068208343743</v>
      </c>
      <c r="G39" s="136">
        <f>IF(evenwicht!H9&lt;&gt;"",evenwicht!H9,"")</f>
        <v>0.69909036020626758</v>
      </c>
      <c r="H39" s="136">
        <f>IF(evenwicht!I9&lt;&gt;"",evenwicht!I9,"")</f>
        <v>0.63944069654526281</v>
      </c>
      <c r="I39" s="136">
        <f>IF(evenwicht!J9&lt;&gt;"",evenwicht!J9,"")</f>
        <v>0.99999999999999978</v>
      </c>
      <c r="J39" s="136">
        <f>IF(evenwicht!K9&lt;&gt;"",evenwicht!K9,"")</f>
        <v>0.57555638609831095</v>
      </c>
      <c r="K39" s="136">
        <f>IF(evenwicht!L9&lt;&gt;"",evenwicht!L9,"")</f>
        <v>0.6706441294402975</v>
      </c>
      <c r="L39" s="136">
        <f>IF(evenwicht!M9&lt;&gt;"",evenwicht!M9,"")</f>
        <v>0.49865020725851583</v>
      </c>
      <c r="M39" s="136" t="str">
        <f>IF(evenwicht!N9&lt;&gt;"",evenwicht!N9,"")</f>
        <v/>
      </c>
      <c r="N39" s="136" t="str">
        <f>IF(evenwicht!O9&lt;&gt;"",evenwicht!O9,"")</f>
        <v/>
      </c>
      <c r="O39" s="137" t="str">
        <f>IF(evenwicht!P9&lt;&gt;"",evenwicht!P9,"")</f>
        <v/>
      </c>
    </row>
    <row r="40" spans="1:16">
      <c r="A40" s="130" t="str">
        <f>IF(evenwicht!A10&lt;&gt;"",evenwicht!A10,"")</f>
        <v>Hedge funds</v>
      </c>
      <c r="B40" s="143">
        <f ca="1">IF(A40&lt;&gt;"",OFFSET(scenarios!B9,0,covar_scenarios!$A$32),"")</f>
        <v>-4.6790508294452839E-2</v>
      </c>
      <c r="C40" s="61">
        <f>IF(evenwicht!D10&lt;&gt;"",evenwicht!D10,"")</f>
        <v>0.16076897495152093</v>
      </c>
      <c r="D40" s="135">
        <f>IF(evenwicht!E10&lt;&gt;"",evenwicht!E10,"")</f>
        <v>0.488213192416737</v>
      </c>
      <c r="E40" s="136">
        <f>IF(evenwicht!F10&lt;&gt;"",evenwicht!F10,"")</f>
        <v>0.86668583493806206</v>
      </c>
      <c r="F40" s="136">
        <f>IF(evenwicht!G10&lt;&gt;"",evenwicht!G10,"")</f>
        <v>0.87120901203593182</v>
      </c>
      <c r="G40" s="136">
        <f>IF(evenwicht!H10&lt;&gt;"",evenwicht!H10,"")</f>
        <v>0.74571542163255744</v>
      </c>
      <c r="H40" s="136">
        <f>IF(evenwicht!I10&lt;&gt;"",evenwicht!I10,"")</f>
        <v>0.64591301484464425</v>
      </c>
      <c r="I40" s="136">
        <f>IF(evenwicht!J10&lt;&gt;"",evenwicht!J10,"")</f>
        <v>0.57555638609831083</v>
      </c>
      <c r="J40" s="136">
        <f>IF(evenwicht!K10&lt;&gt;"",evenwicht!K10,"")</f>
        <v>1.0000000000000002</v>
      </c>
      <c r="K40" s="136">
        <f>IF(evenwicht!L10&lt;&gt;"",evenwicht!L10,"")</f>
        <v>0.79740125449060317</v>
      </c>
      <c r="L40" s="136">
        <f>IF(evenwicht!M10&lt;&gt;"",evenwicht!M10,"")</f>
        <v>0.6990511874231996</v>
      </c>
      <c r="M40" s="136" t="str">
        <f>IF(evenwicht!N10&lt;&gt;"",evenwicht!N10,"")</f>
        <v/>
      </c>
      <c r="N40" s="136" t="str">
        <f>IF(evenwicht!O10&lt;&gt;"",evenwicht!O10,"")</f>
        <v/>
      </c>
      <c r="O40" s="137" t="str">
        <f>IF(evenwicht!P10&lt;&gt;"",evenwicht!P10,"")</f>
        <v/>
      </c>
    </row>
    <row r="41" spans="1:16">
      <c r="A41" s="130" t="str">
        <f>IF(evenwicht!A11&lt;&gt;"",evenwicht!A11,"")</f>
        <v>Onroerend goed</v>
      </c>
      <c r="B41" s="143">
        <f ca="1">IF(A41&lt;&gt;"",OFFSET(scenarios!B10,0,covar_scenarios!$A$32),"")</f>
        <v>-0.13956067047136589</v>
      </c>
      <c r="C41" s="61">
        <f>IF(evenwicht!D11&lt;&gt;"",evenwicht!D11,"")</f>
        <v>0.20064050365322861</v>
      </c>
      <c r="D41" s="135">
        <f>IF(evenwicht!E11&lt;&gt;"",evenwicht!E11,"")</f>
        <v>0.39542796227510135</v>
      </c>
      <c r="E41" s="136">
        <f>IF(evenwicht!F11&lt;&gt;"",evenwicht!F11,"")</f>
        <v>0.86259221475724557</v>
      </c>
      <c r="F41" s="136">
        <f>IF(evenwicht!G11&lt;&gt;"",evenwicht!G11,"")</f>
        <v>0.86536847063850963</v>
      </c>
      <c r="G41" s="136">
        <f>IF(evenwicht!H11&lt;&gt;"",evenwicht!H11,"")</f>
        <v>0.88603334197313832</v>
      </c>
      <c r="H41" s="136">
        <f>IF(evenwicht!I11&lt;&gt;"",evenwicht!I11,"")</f>
        <v>0.78448428807756676</v>
      </c>
      <c r="I41" s="136">
        <f>IF(evenwicht!J11&lt;&gt;"",evenwicht!J11,"")</f>
        <v>0.67064412944029761</v>
      </c>
      <c r="J41" s="136">
        <f>IF(evenwicht!K11&lt;&gt;"",evenwicht!K11,"")</f>
        <v>0.79740125449060328</v>
      </c>
      <c r="K41" s="136">
        <f>IF(evenwicht!L11&lt;&gt;"",evenwicht!L11,"")</f>
        <v>1.0000000000000002</v>
      </c>
      <c r="L41" s="136">
        <f>IF(evenwicht!M11&lt;&gt;"",evenwicht!M11,"")</f>
        <v>0.74626676152997484</v>
      </c>
      <c r="M41" s="136" t="str">
        <f>IF(evenwicht!N11&lt;&gt;"",evenwicht!N11,"")</f>
        <v/>
      </c>
      <c r="N41" s="136" t="str">
        <f>IF(evenwicht!O11&lt;&gt;"",evenwicht!O11,"")</f>
        <v/>
      </c>
      <c r="O41" s="137" t="str">
        <f>IF(evenwicht!P11&lt;&gt;"",evenwicht!P11,"")</f>
        <v/>
      </c>
    </row>
    <row r="42" spans="1:16">
      <c r="A42" s="130" t="str">
        <f>IF(evenwicht!A12&lt;&gt;"",evenwicht!A12,"")</f>
        <v>Periferie bonds</v>
      </c>
      <c r="B42" s="143">
        <f ca="1">IF(A42&lt;&gt;"",OFFSET(scenarios!B11,0,covar_scenarios!$A$32),"")</f>
        <v>-0.14672572762255914</v>
      </c>
      <c r="C42" s="61">
        <f>IF(evenwicht!D12&lt;&gt;"",evenwicht!D12,"")</f>
        <v>0.17312066928436093</v>
      </c>
      <c r="D42" s="135">
        <f>IF(evenwicht!E12&lt;&gt;"",evenwicht!E12,"")</f>
        <v>0.47422188785278774</v>
      </c>
      <c r="E42" s="136">
        <f>IF(evenwicht!F12&lt;&gt;"",evenwicht!F12,"")</f>
        <v>0.75906077754107693</v>
      </c>
      <c r="F42" s="136">
        <f>IF(evenwicht!G12&lt;&gt;"",evenwicht!G12,"")</f>
        <v>0.72481655312346349</v>
      </c>
      <c r="G42" s="136">
        <f>IF(evenwicht!H12&lt;&gt;"",evenwicht!H12,"")</f>
        <v>0.62515021546234673</v>
      </c>
      <c r="H42" s="136">
        <f>IF(evenwicht!I12&lt;&gt;"",evenwicht!I12,"")</f>
        <v>0.51393319492259693</v>
      </c>
      <c r="I42" s="136">
        <f>IF(evenwicht!J12&lt;&gt;"",evenwicht!J12,"")</f>
        <v>0.49865020725851572</v>
      </c>
      <c r="J42" s="136">
        <f>IF(evenwicht!K12&lt;&gt;"",evenwicht!K12,"")</f>
        <v>0.69905118742319949</v>
      </c>
      <c r="K42" s="136">
        <f>IF(evenwicht!L12&lt;&gt;"",evenwicht!L12,"")</f>
        <v>0.74626676152997495</v>
      </c>
      <c r="L42" s="136">
        <f>IF(evenwicht!M12&lt;&gt;"",evenwicht!M12,"")</f>
        <v>0.99999999999999989</v>
      </c>
      <c r="M42" s="136" t="str">
        <f>IF(evenwicht!N12&lt;&gt;"",evenwicht!N12,"")</f>
        <v/>
      </c>
      <c r="N42" s="136" t="str">
        <f>IF(evenwicht!O12&lt;&gt;"",evenwicht!O12,"")</f>
        <v/>
      </c>
      <c r="O42" s="137" t="str">
        <f>IF(evenwicht!P12&lt;&gt;"",evenwicht!P12,"")</f>
        <v/>
      </c>
    </row>
    <row r="43" spans="1:16">
      <c r="A43" s="130" t="str">
        <f>IF(evenwicht!A13&lt;&gt;"",evenwicht!A13,"")</f>
        <v/>
      </c>
      <c r="B43" s="143" t="str">
        <f ca="1">IF(A43&lt;&gt;"",OFFSET(scenarios!B12,0,covar_scenarios!$A$32),"")</f>
        <v/>
      </c>
      <c r="C43" s="61" t="str">
        <f>IF(evenwicht!D13&lt;&gt;"",evenwicht!D13,"")</f>
        <v/>
      </c>
      <c r="D43" s="135" t="str">
        <f>IF(evenwicht!E13&lt;&gt;"",evenwicht!E13,"")</f>
        <v/>
      </c>
      <c r="E43" s="136" t="str">
        <f>IF(evenwicht!F13&lt;&gt;"",evenwicht!F13,"")</f>
        <v/>
      </c>
      <c r="F43" s="136" t="str">
        <f>IF(evenwicht!G13&lt;&gt;"",evenwicht!G13,"")</f>
        <v/>
      </c>
      <c r="G43" s="136" t="str">
        <f>IF(evenwicht!H13&lt;&gt;"",evenwicht!H13,"")</f>
        <v/>
      </c>
      <c r="H43" s="136" t="str">
        <f>IF(evenwicht!I13&lt;&gt;"",evenwicht!I13,"")</f>
        <v/>
      </c>
      <c r="I43" s="136" t="str">
        <f>IF(evenwicht!J13&lt;&gt;"",evenwicht!J13,"")</f>
        <v/>
      </c>
      <c r="J43" s="136" t="str">
        <f>IF(evenwicht!K13&lt;&gt;"",evenwicht!K13,"")</f>
        <v/>
      </c>
      <c r="K43" s="136" t="str">
        <f>IF(evenwicht!L13&lt;&gt;"",evenwicht!L13,"")</f>
        <v/>
      </c>
      <c r="L43" s="136" t="str">
        <f>IF(evenwicht!M13&lt;&gt;"",evenwicht!M13,"")</f>
        <v/>
      </c>
      <c r="M43" s="136" t="str">
        <f>IF(evenwicht!N13&lt;&gt;"",evenwicht!N13,"")</f>
        <v/>
      </c>
      <c r="N43" s="136" t="str">
        <f>IF(evenwicht!O13&lt;&gt;"",evenwicht!O13,"")</f>
        <v/>
      </c>
      <c r="O43" s="137" t="str">
        <f>IF(evenwicht!P13&lt;&gt;"",evenwicht!P13,"")</f>
        <v/>
      </c>
    </row>
    <row r="44" spans="1:16">
      <c r="A44" s="130" t="str">
        <f>IF(evenwicht!A14&lt;&gt;"",evenwicht!A14,"")</f>
        <v/>
      </c>
      <c r="B44" s="143" t="str">
        <f ca="1">IF(A44&lt;&gt;"",OFFSET(scenarios!B13,0,covar_scenarios!$A$32),"")</f>
        <v/>
      </c>
      <c r="C44" s="61" t="str">
        <f>IF(evenwicht!D14&lt;&gt;"",evenwicht!D14,"")</f>
        <v/>
      </c>
      <c r="D44" s="135" t="str">
        <f>IF(evenwicht!E14&lt;&gt;"",evenwicht!E14,"")</f>
        <v/>
      </c>
      <c r="E44" s="136" t="str">
        <f>IF(evenwicht!F14&lt;&gt;"",evenwicht!F14,"")</f>
        <v/>
      </c>
      <c r="F44" s="136" t="str">
        <f>IF(evenwicht!G14&lt;&gt;"",evenwicht!G14,"")</f>
        <v/>
      </c>
      <c r="G44" s="136" t="str">
        <f>IF(evenwicht!H14&lt;&gt;"",evenwicht!H14,"")</f>
        <v/>
      </c>
      <c r="H44" s="136" t="str">
        <f>IF(evenwicht!I14&lt;&gt;"",evenwicht!I14,"")</f>
        <v/>
      </c>
      <c r="I44" s="136" t="str">
        <f>IF(evenwicht!J14&lt;&gt;"",evenwicht!J14,"")</f>
        <v/>
      </c>
      <c r="J44" s="136" t="str">
        <f>IF(evenwicht!K14&lt;&gt;"",evenwicht!K14,"")</f>
        <v/>
      </c>
      <c r="K44" s="136" t="str">
        <f>IF(evenwicht!L14&lt;&gt;"",evenwicht!L14,"")</f>
        <v/>
      </c>
      <c r="L44" s="136" t="str">
        <f>IF(evenwicht!M14&lt;&gt;"",evenwicht!M14,"")</f>
        <v/>
      </c>
      <c r="M44" s="136" t="str">
        <f>IF(evenwicht!N14&lt;&gt;"",evenwicht!N14,"")</f>
        <v/>
      </c>
      <c r="N44" s="136" t="str">
        <f>IF(evenwicht!O14&lt;&gt;"",evenwicht!O14,"")</f>
        <v/>
      </c>
      <c r="O44" s="137" t="str">
        <f>IF(evenwicht!P14&lt;&gt;"",evenwicht!P14,"")</f>
        <v/>
      </c>
    </row>
    <row r="45" spans="1:16" ht="13.5" thickBot="1">
      <c r="A45" s="138" t="str">
        <f>IF(evenwicht!A15&lt;&gt;"",evenwicht!A15,"")</f>
        <v/>
      </c>
      <c r="B45" s="144" t="str">
        <f ca="1">IF(A45&lt;&gt;"",OFFSET(scenarios!B14,0,covar_scenarios!$A$32),"")</f>
        <v/>
      </c>
      <c r="C45" s="79" t="str">
        <f>IF(evenwicht!D15&lt;&gt;"",evenwicht!D15,"")</f>
        <v/>
      </c>
      <c r="D45" s="139" t="str">
        <f>IF(evenwicht!E15&lt;&gt;"",evenwicht!E15,"")</f>
        <v/>
      </c>
      <c r="E45" s="140" t="str">
        <f>IF(evenwicht!F15&lt;&gt;"",evenwicht!F15,"")</f>
        <v/>
      </c>
      <c r="F45" s="140" t="str">
        <f>IF(evenwicht!G15&lt;&gt;"",evenwicht!G15,"")</f>
        <v/>
      </c>
      <c r="G45" s="140" t="str">
        <f>IF(evenwicht!H15&lt;&gt;"",evenwicht!H15,"")</f>
        <v/>
      </c>
      <c r="H45" s="140" t="str">
        <f>IF(evenwicht!I15&lt;&gt;"",evenwicht!I15,"")</f>
        <v/>
      </c>
      <c r="I45" s="140" t="str">
        <f>IF(evenwicht!J15&lt;&gt;"",evenwicht!J15,"")</f>
        <v/>
      </c>
      <c r="J45" s="140" t="str">
        <f>IF(evenwicht!K15&lt;&gt;"",evenwicht!K15,"")</f>
        <v/>
      </c>
      <c r="K45" s="140" t="str">
        <f>IF(evenwicht!L15&lt;&gt;"",evenwicht!L15,"")</f>
        <v/>
      </c>
      <c r="L45" s="140" t="str">
        <f>IF(evenwicht!M15&lt;&gt;"",evenwicht!M15,"")</f>
        <v/>
      </c>
      <c r="M45" s="140" t="str">
        <f>IF(evenwicht!N15&lt;&gt;"",evenwicht!N15,"")</f>
        <v/>
      </c>
      <c r="N45" s="140" t="str">
        <f>IF(evenwicht!O15&lt;&gt;"",evenwicht!O15,"")</f>
        <v/>
      </c>
      <c r="O45" s="141" t="str">
        <f>IF(evenwicht!P15&lt;&gt;"",evenwicht!P15,"")</f>
        <v/>
      </c>
    </row>
    <row r="47" spans="1:16" ht="13.5" thickBot="1">
      <c r="A47" s="45">
        <v>3</v>
      </c>
    </row>
    <row r="48" spans="1:16" ht="15.75" thickBot="1">
      <c r="A48" s="142" t="str">
        <f ca="1">OFFSET(scenarios!$B$2,0,covar_scenarios!A47)</f>
        <v>Base - muddle up</v>
      </c>
      <c r="B48" s="109" t="s">
        <v>79</v>
      </c>
      <c r="C48" s="108" t="s">
        <v>39</v>
      </c>
      <c r="D48" s="160" t="s">
        <v>80</v>
      </c>
      <c r="E48" s="161"/>
      <c r="F48" s="161"/>
      <c r="G48" s="161"/>
      <c r="H48" s="161"/>
      <c r="I48" s="161"/>
      <c r="J48" s="161"/>
      <c r="K48" s="161"/>
      <c r="L48" s="162"/>
      <c r="M48" s="162"/>
      <c r="N48" s="162"/>
      <c r="O48" s="163"/>
    </row>
    <row r="49" spans="1:16">
      <c r="A49" s="130" t="str">
        <f>IF(evenwicht!A4&lt;&gt;"",evenwicht!A4,"")</f>
        <v>Nominale matching</v>
      </c>
      <c r="B49" s="61">
        <f ca="1">IF(A49&lt;&gt;"",OFFSET(scenarios!B3,0,covar_scenarios!$A$47),"")</f>
        <v>-3.4179872754884488E-3</v>
      </c>
      <c r="C49" s="61">
        <f>IF(evenwicht!D4&lt;&gt;"",evenwicht!D4,"")</f>
        <v>4.3450149472468363E-2</v>
      </c>
      <c r="D49" s="131">
        <f>IF(evenwicht!E4&lt;&gt;"",evenwicht!E4,"")</f>
        <v>1</v>
      </c>
      <c r="E49" s="132">
        <f>IF(evenwicht!F4&lt;&gt;"",evenwicht!F4,"")</f>
        <v>0.5243300313487167</v>
      </c>
      <c r="F49" s="132">
        <f>IF(evenwicht!G4&lt;&gt;"",evenwicht!G4,"")</f>
        <v>0.5048621610682209</v>
      </c>
      <c r="G49" s="132">
        <f>IF(evenwicht!H4&lt;&gt;"",evenwicht!H4,"")</f>
        <v>0.25487540552021803</v>
      </c>
      <c r="H49" s="132">
        <f>IF(evenwicht!I4&lt;&gt;"",evenwicht!I4,"")</f>
        <v>0.29680815289592971</v>
      </c>
      <c r="I49" s="132">
        <f>IF(evenwicht!J4&lt;&gt;"",evenwicht!J4,"")</f>
        <v>0.25154461316198484</v>
      </c>
      <c r="J49" s="132">
        <f>IF(evenwicht!K4&lt;&gt;"",evenwicht!K4,"")</f>
        <v>0.48821319241673689</v>
      </c>
      <c r="K49" s="132">
        <f>IF(evenwicht!L4&lt;&gt;"",evenwicht!L4,"")</f>
        <v>0.39542796227510119</v>
      </c>
      <c r="L49" s="132">
        <f>IF(evenwicht!M4&lt;&gt;"",evenwicht!M4,"")</f>
        <v>0.47422188785278757</v>
      </c>
      <c r="M49" s="132" t="str">
        <f>IF(evenwicht!N4&lt;&gt;"",evenwicht!N4,"")</f>
        <v/>
      </c>
      <c r="N49" s="132" t="str">
        <f>IF(evenwicht!O4&lt;&gt;"",evenwicht!O4,"")</f>
        <v/>
      </c>
      <c r="O49" s="133" t="str">
        <f>IF(evenwicht!P4&lt;&gt;"",evenwicht!P4,"")</f>
        <v/>
      </c>
      <c r="P49" s="134" t="s">
        <v>81</v>
      </c>
    </row>
    <row r="50" spans="1:16">
      <c r="A50" s="130" t="str">
        <f>IF(evenwicht!A5&lt;&gt;"",evenwicht!A5,"")</f>
        <v>High Yield</v>
      </c>
      <c r="B50" s="143">
        <f ca="1">IF(A50&lt;&gt;"",OFFSET(scenarios!B4,0,covar_scenarios!$A$47),"")</f>
        <v>5.1526244290784291E-2</v>
      </c>
      <c r="C50" s="61">
        <f>IF(evenwicht!D5&lt;&gt;"",evenwicht!D5,"")</f>
        <v>0.15853561014014847</v>
      </c>
      <c r="D50" s="135">
        <f>IF(evenwicht!E5&lt;&gt;"",evenwicht!E5,"")</f>
        <v>0.52433003134871636</v>
      </c>
      <c r="E50" s="136">
        <f>IF(evenwicht!F5&lt;&gt;"",evenwicht!F5,"")</f>
        <v>1</v>
      </c>
      <c r="F50" s="136">
        <f>IF(evenwicht!G5&lt;&gt;"",evenwicht!G5,"")</f>
        <v>0.94338322745767289</v>
      </c>
      <c r="G50" s="136">
        <f>IF(evenwicht!H5&lt;&gt;"",evenwicht!H5,"")</f>
        <v>0.74070013517974964</v>
      </c>
      <c r="H50" s="136">
        <f>IF(evenwicht!I5&lt;&gt;"",evenwicht!I5,"")</f>
        <v>0.74187676376193956</v>
      </c>
      <c r="I50" s="136">
        <f>IF(evenwicht!J5&lt;&gt;"",evenwicht!J5,"")</f>
        <v>0.60846903584875156</v>
      </c>
      <c r="J50" s="136">
        <f>IF(evenwicht!K5&lt;&gt;"",evenwicht!K5,"")</f>
        <v>0.86668583493806206</v>
      </c>
      <c r="K50" s="136">
        <f>IF(evenwicht!L5&lt;&gt;"",evenwicht!L5,"")</f>
        <v>0.86259221475724557</v>
      </c>
      <c r="L50" s="136">
        <f>IF(evenwicht!M5&lt;&gt;"",evenwicht!M5,"")</f>
        <v>0.75906077754107681</v>
      </c>
      <c r="M50" s="136" t="str">
        <f>IF(evenwicht!N5&lt;&gt;"",evenwicht!N5,"")</f>
        <v/>
      </c>
      <c r="N50" s="136" t="str">
        <f>IF(evenwicht!O5&lt;&gt;"",evenwicht!O5,"")</f>
        <v/>
      </c>
      <c r="O50" s="137" t="str">
        <f>IF(evenwicht!P5&lt;&gt;"",evenwicht!P5,"")</f>
        <v/>
      </c>
    </row>
    <row r="51" spans="1:16">
      <c r="A51" s="130" t="str">
        <f>IF(evenwicht!A6&lt;&gt;"",evenwicht!A6,"")</f>
        <v>Emerging market debt</v>
      </c>
      <c r="B51" s="143">
        <f ca="1">IF(A51&lt;&gt;"",OFFSET(scenarios!B5,0,covar_scenarios!$A$47),"")</f>
        <v>3.2357333960853253E-3</v>
      </c>
      <c r="C51" s="61">
        <f>IF(evenwicht!D6&lt;&gt;"",evenwicht!D6,"")</f>
        <v>0.16217253275473525</v>
      </c>
      <c r="D51" s="135">
        <f>IF(evenwicht!E6&lt;&gt;"",evenwicht!E6,"")</f>
        <v>0.50486216106822102</v>
      </c>
      <c r="E51" s="136">
        <f>IF(evenwicht!F6&lt;&gt;"",evenwicht!F6,"")</f>
        <v>0.943383227457673</v>
      </c>
      <c r="F51" s="136">
        <f>IF(evenwicht!G6&lt;&gt;"",evenwicht!G6,"")</f>
        <v>1</v>
      </c>
      <c r="G51" s="136">
        <f>IF(evenwicht!H6&lt;&gt;"",evenwicht!H6,"")</f>
        <v>0.77223648924957744</v>
      </c>
      <c r="H51" s="136">
        <f>IF(evenwicht!I6&lt;&gt;"",evenwicht!I6,"")</f>
        <v>0.79023745754825636</v>
      </c>
      <c r="I51" s="136">
        <f>IF(evenwicht!J6&lt;&gt;"",evenwicht!J6,"")</f>
        <v>0.63110682083437419</v>
      </c>
      <c r="J51" s="136">
        <f>IF(evenwicht!K6&lt;&gt;"",evenwicht!K6,"")</f>
        <v>0.87120901203593171</v>
      </c>
      <c r="K51" s="136">
        <f>IF(evenwicht!L6&lt;&gt;"",evenwicht!L6,"")</f>
        <v>0.86536847063850975</v>
      </c>
      <c r="L51" s="136">
        <f>IF(evenwicht!M6&lt;&gt;"",evenwicht!M6,"")</f>
        <v>0.72481655312346349</v>
      </c>
      <c r="M51" s="136" t="str">
        <f>IF(evenwicht!N6&lt;&gt;"",evenwicht!N6,"")</f>
        <v/>
      </c>
      <c r="N51" s="136" t="str">
        <f>IF(evenwicht!O6&lt;&gt;"",evenwicht!O6,"")</f>
        <v/>
      </c>
      <c r="O51" s="137" t="str">
        <f>IF(evenwicht!P6&lt;&gt;"",evenwicht!P6,"")</f>
        <v/>
      </c>
    </row>
    <row r="52" spans="1:16">
      <c r="A52" s="130" t="str">
        <f>IF(evenwicht!A7&lt;&gt;"",evenwicht!A7,"")</f>
        <v>Aandelen ontwikkeld</v>
      </c>
      <c r="B52" s="143">
        <f ca="1">IF(A52&lt;&gt;"",OFFSET(scenarios!B6,0,covar_scenarios!$A$47),"")</f>
        <v>4.3944352615336905E-2</v>
      </c>
      <c r="C52" s="61">
        <f>IF(evenwicht!D7&lt;&gt;"",evenwicht!D7,"")</f>
        <v>0.28718972670468956</v>
      </c>
      <c r="D52" s="135">
        <f>IF(evenwicht!E7&lt;&gt;"",evenwicht!E7,"")</f>
        <v>0.2548754055202187</v>
      </c>
      <c r="E52" s="136">
        <f>IF(evenwicht!F7&lt;&gt;"",evenwicht!F7,"")</f>
        <v>0.74070013517974975</v>
      </c>
      <c r="F52" s="136">
        <f>IF(evenwicht!G7&lt;&gt;"",evenwicht!G7,"")</f>
        <v>0.77223648924957744</v>
      </c>
      <c r="G52" s="136">
        <f>IF(evenwicht!H7&lt;&gt;"",evenwicht!H7,"")</f>
        <v>1</v>
      </c>
      <c r="H52" s="136">
        <f>IF(evenwicht!I7&lt;&gt;"",evenwicht!I7,"")</f>
        <v>0.81106497730540505</v>
      </c>
      <c r="I52" s="136">
        <f>IF(evenwicht!J7&lt;&gt;"",evenwicht!J7,"")</f>
        <v>0.69909036020626758</v>
      </c>
      <c r="J52" s="136">
        <f>IF(evenwicht!K7&lt;&gt;"",evenwicht!K7,"")</f>
        <v>0.74571542163255744</v>
      </c>
      <c r="K52" s="136">
        <f>IF(evenwicht!L7&lt;&gt;"",evenwicht!L7,"")</f>
        <v>0.88603334197313832</v>
      </c>
      <c r="L52" s="136">
        <f>IF(evenwicht!M7&lt;&gt;"",evenwicht!M7,"")</f>
        <v>0.62515021546234684</v>
      </c>
      <c r="M52" s="136" t="str">
        <f>IF(evenwicht!N7&lt;&gt;"",evenwicht!N7,"")</f>
        <v/>
      </c>
      <c r="N52" s="136" t="str">
        <f>IF(evenwicht!O7&lt;&gt;"",evenwicht!O7,"")</f>
        <v/>
      </c>
      <c r="O52" s="137" t="str">
        <f>IF(evenwicht!P7&lt;&gt;"",evenwicht!P7,"")</f>
        <v/>
      </c>
    </row>
    <row r="53" spans="1:16">
      <c r="A53" s="130" t="str">
        <f>IF(evenwicht!A8&lt;&gt;"",evenwicht!A8,"")</f>
        <v>Aandelen opkomend</v>
      </c>
      <c r="B53" s="143">
        <f ca="1">IF(A53&lt;&gt;"",OFFSET(scenarios!B7,0,covar_scenarios!$A$47),"")</f>
        <v>7.474963400472559E-2</v>
      </c>
      <c r="C53" s="61">
        <f>IF(evenwicht!D8&lt;&gt;"",evenwicht!D8,"")</f>
        <v>0.29616397669669142</v>
      </c>
      <c r="D53" s="135">
        <f>IF(evenwicht!E8&lt;&gt;"",evenwicht!E8,"")</f>
        <v>0.29680815289593021</v>
      </c>
      <c r="E53" s="136">
        <f>IF(evenwicht!F8&lt;&gt;"",evenwicht!F8,"")</f>
        <v>0.74187676376193967</v>
      </c>
      <c r="F53" s="136">
        <f>IF(evenwicht!G8&lt;&gt;"",evenwicht!G8,"")</f>
        <v>0.79023745754825636</v>
      </c>
      <c r="G53" s="136">
        <f>IF(evenwicht!H8&lt;&gt;"",evenwicht!H8,"")</f>
        <v>0.81106497730540505</v>
      </c>
      <c r="H53" s="136">
        <f>IF(evenwicht!I8&lt;&gt;"",evenwicht!I8,"")</f>
        <v>0.99999999999999978</v>
      </c>
      <c r="I53" s="136">
        <f>IF(evenwicht!J8&lt;&gt;"",evenwicht!J8,"")</f>
        <v>0.63944069654526292</v>
      </c>
      <c r="J53" s="136">
        <f>IF(evenwicht!K8&lt;&gt;"",evenwicht!K8,"")</f>
        <v>0.64591301484464436</v>
      </c>
      <c r="K53" s="136">
        <f>IF(evenwicht!L8&lt;&gt;"",evenwicht!L8,"")</f>
        <v>0.78448428807756676</v>
      </c>
      <c r="L53" s="136">
        <f>IF(evenwicht!M8&lt;&gt;"",evenwicht!M8,"")</f>
        <v>0.51393319492259693</v>
      </c>
      <c r="M53" s="136" t="str">
        <f>IF(evenwicht!N8&lt;&gt;"",evenwicht!N8,"")</f>
        <v/>
      </c>
      <c r="N53" s="136" t="str">
        <f>IF(evenwicht!O8&lt;&gt;"",evenwicht!O8,"")</f>
        <v/>
      </c>
      <c r="O53" s="137" t="str">
        <f>IF(evenwicht!P8&lt;&gt;"",evenwicht!P8,"")</f>
        <v/>
      </c>
    </row>
    <row r="54" spans="1:16">
      <c r="A54" s="130" t="str">
        <f>IF(evenwicht!A9&lt;&gt;"",evenwicht!A9,"")</f>
        <v>Commodities</v>
      </c>
      <c r="B54" s="143">
        <f ca="1">IF(A54&lt;&gt;"",OFFSET(scenarios!B8,0,covar_scenarios!$A$47),"")</f>
        <v>8.5249207175964209E-2</v>
      </c>
      <c r="C54" s="61">
        <f>IF(evenwicht!D9&lt;&gt;"",evenwicht!D9,"")</f>
        <v>0.32648216646211403</v>
      </c>
      <c r="D54" s="135">
        <f>IF(evenwicht!E9&lt;&gt;"",evenwicht!E9,"")</f>
        <v>0.25154461316198523</v>
      </c>
      <c r="E54" s="136">
        <f>IF(evenwicht!F9&lt;&gt;"",evenwicht!F9,"")</f>
        <v>0.60846903584875167</v>
      </c>
      <c r="F54" s="136">
        <f>IF(evenwicht!G9&lt;&gt;"",evenwicht!G9,"")</f>
        <v>0.6311068208343743</v>
      </c>
      <c r="G54" s="136">
        <f>IF(evenwicht!H9&lt;&gt;"",evenwicht!H9,"")</f>
        <v>0.69909036020626758</v>
      </c>
      <c r="H54" s="136">
        <f>IF(evenwicht!I9&lt;&gt;"",evenwicht!I9,"")</f>
        <v>0.63944069654526281</v>
      </c>
      <c r="I54" s="136">
        <f>IF(evenwicht!J9&lt;&gt;"",evenwicht!J9,"")</f>
        <v>0.99999999999999978</v>
      </c>
      <c r="J54" s="136">
        <f>IF(evenwicht!K9&lt;&gt;"",evenwicht!K9,"")</f>
        <v>0.57555638609831095</v>
      </c>
      <c r="K54" s="136">
        <f>IF(evenwicht!L9&lt;&gt;"",evenwicht!L9,"")</f>
        <v>0.6706441294402975</v>
      </c>
      <c r="L54" s="136">
        <f>IF(evenwicht!M9&lt;&gt;"",evenwicht!M9,"")</f>
        <v>0.49865020725851583</v>
      </c>
      <c r="M54" s="136" t="str">
        <f>IF(evenwicht!N9&lt;&gt;"",evenwicht!N9,"")</f>
        <v/>
      </c>
      <c r="N54" s="136" t="str">
        <f>IF(evenwicht!O9&lt;&gt;"",evenwicht!O9,"")</f>
        <v/>
      </c>
      <c r="O54" s="137" t="str">
        <f>IF(evenwicht!P9&lt;&gt;"",evenwicht!P9,"")</f>
        <v/>
      </c>
    </row>
    <row r="55" spans="1:16">
      <c r="A55" s="130" t="str">
        <f>IF(evenwicht!A10&lt;&gt;"",evenwicht!A10,"")</f>
        <v>Hedge funds</v>
      </c>
      <c r="B55" s="143">
        <f ca="1">IF(A55&lt;&gt;"",OFFSET(scenarios!B9,0,covar_scenarios!$A$47),"")</f>
        <v>1.8215216611987023E-2</v>
      </c>
      <c r="C55" s="61">
        <f>IF(evenwicht!D10&lt;&gt;"",evenwicht!D10,"")</f>
        <v>0.16076897495152093</v>
      </c>
      <c r="D55" s="135">
        <f>IF(evenwicht!E10&lt;&gt;"",evenwicht!E10,"")</f>
        <v>0.488213192416737</v>
      </c>
      <c r="E55" s="136">
        <f>IF(evenwicht!F10&lt;&gt;"",evenwicht!F10,"")</f>
        <v>0.86668583493806206</v>
      </c>
      <c r="F55" s="136">
        <f>IF(evenwicht!G10&lt;&gt;"",evenwicht!G10,"")</f>
        <v>0.87120901203593182</v>
      </c>
      <c r="G55" s="136">
        <f>IF(evenwicht!H10&lt;&gt;"",evenwicht!H10,"")</f>
        <v>0.74571542163255744</v>
      </c>
      <c r="H55" s="136">
        <f>IF(evenwicht!I10&lt;&gt;"",evenwicht!I10,"")</f>
        <v>0.64591301484464425</v>
      </c>
      <c r="I55" s="136">
        <f>IF(evenwicht!J10&lt;&gt;"",evenwicht!J10,"")</f>
        <v>0.57555638609831083</v>
      </c>
      <c r="J55" s="136">
        <f>IF(evenwicht!K10&lt;&gt;"",evenwicht!K10,"")</f>
        <v>1.0000000000000002</v>
      </c>
      <c r="K55" s="136">
        <f>IF(evenwicht!L10&lt;&gt;"",evenwicht!L10,"")</f>
        <v>0.79740125449060317</v>
      </c>
      <c r="L55" s="136">
        <f>IF(evenwicht!M10&lt;&gt;"",evenwicht!M10,"")</f>
        <v>0.6990511874231996</v>
      </c>
      <c r="M55" s="136" t="str">
        <f>IF(evenwicht!N10&lt;&gt;"",evenwicht!N10,"")</f>
        <v/>
      </c>
      <c r="N55" s="136" t="str">
        <f>IF(evenwicht!O10&lt;&gt;"",evenwicht!O10,"")</f>
        <v/>
      </c>
      <c r="O55" s="137" t="str">
        <f>IF(evenwicht!P10&lt;&gt;"",evenwicht!P10,"")</f>
        <v/>
      </c>
    </row>
    <row r="56" spans="1:16">
      <c r="A56" s="130" t="str">
        <f>IF(evenwicht!A11&lt;&gt;"",evenwicht!A11,"")</f>
        <v>Onroerend goed</v>
      </c>
      <c r="B56" s="143">
        <f ca="1">IF(A56&lt;&gt;"",OFFSET(scenarios!B10,0,covar_scenarios!$A$47),"")</f>
        <v>2.7964399001126676E-2</v>
      </c>
      <c r="C56" s="61">
        <f>IF(evenwicht!D11&lt;&gt;"",evenwicht!D11,"")</f>
        <v>0.20064050365322861</v>
      </c>
      <c r="D56" s="135">
        <f>IF(evenwicht!E11&lt;&gt;"",evenwicht!E11,"")</f>
        <v>0.39542796227510135</v>
      </c>
      <c r="E56" s="136">
        <f>IF(evenwicht!F11&lt;&gt;"",evenwicht!F11,"")</f>
        <v>0.86259221475724557</v>
      </c>
      <c r="F56" s="136">
        <f>IF(evenwicht!G11&lt;&gt;"",evenwicht!G11,"")</f>
        <v>0.86536847063850963</v>
      </c>
      <c r="G56" s="136">
        <f>IF(evenwicht!H11&lt;&gt;"",evenwicht!H11,"")</f>
        <v>0.88603334197313832</v>
      </c>
      <c r="H56" s="136">
        <f>IF(evenwicht!I11&lt;&gt;"",evenwicht!I11,"")</f>
        <v>0.78448428807756676</v>
      </c>
      <c r="I56" s="136">
        <f>IF(evenwicht!J11&lt;&gt;"",evenwicht!J11,"")</f>
        <v>0.67064412944029761</v>
      </c>
      <c r="J56" s="136">
        <f>IF(evenwicht!K11&lt;&gt;"",evenwicht!K11,"")</f>
        <v>0.79740125449060328</v>
      </c>
      <c r="K56" s="136">
        <f>IF(evenwicht!L11&lt;&gt;"",evenwicht!L11,"")</f>
        <v>1.0000000000000002</v>
      </c>
      <c r="L56" s="136">
        <f>IF(evenwicht!M11&lt;&gt;"",evenwicht!M11,"")</f>
        <v>0.74626676152997484</v>
      </c>
      <c r="M56" s="136" t="str">
        <f>IF(evenwicht!N11&lt;&gt;"",evenwicht!N11,"")</f>
        <v/>
      </c>
      <c r="N56" s="136" t="str">
        <f>IF(evenwicht!O11&lt;&gt;"",evenwicht!O11,"")</f>
        <v/>
      </c>
      <c r="O56" s="137" t="str">
        <f>IF(evenwicht!P11&lt;&gt;"",evenwicht!P11,"")</f>
        <v/>
      </c>
    </row>
    <row r="57" spans="1:16">
      <c r="A57" s="130" t="str">
        <f>IF(evenwicht!A12&lt;&gt;"",evenwicht!A12,"")</f>
        <v>Periferie bonds</v>
      </c>
      <c r="B57" s="143">
        <f ca="1">IF(A57&lt;&gt;"",OFFSET(scenarios!B11,0,covar_scenarios!$A$47),"")</f>
        <v>2.2147204340377598E-2</v>
      </c>
      <c r="C57" s="61">
        <f>IF(evenwicht!D12&lt;&gt;"",evenwicht!D12,"")</f>
        <v>0.17312066928436093</v>
      </c>
      <c r="D57" s="135">
        <f>IF(evenwicht!E12&lt;&gt;"",evenwicht!E12,"")</f>
        <v>0.47422188785278774</v>
      </c>
      <c r="E57" s="136">
        <f>IF(evenwicht!F12&lt;&gt;"",evenwicht!F12,"")</f>
        <v>0.75906077754107693</v>
      </c>
      <c r="F57" s="136">
        <f>IF(evenwicht!G12&lt;&gt;"",evenwicht!G12,"")</f>
        <v>0.72481655312346349</v>
      </c>
      <c r="G57" s="136">
        <f>IF(evenwicht!H12&lt;&gt;"",evenwicht!H12,"")</f>
        <v>0.62515021546234673</v>
      </c>
      <c r="H57" s="136">
        <f>IF(evenwicht!I12&lt;&gt;"",evenwicht!I12,"")</f>
        <v>0.51393319492259693</v>
      </c>
      <c r="I57" s="136">
        <f>IF(evenwicht!J12&lt;&gt;"",evenwicht!J12,"")</f>
        <v>0.49865020725851572</v>
      </c>
      <c r="J57" s="136">
        <f>IF(evenwicht!K12&lt;&gt;"",evenwicht!K12,"")</f>
        <v>0.69905118742319949</v>
      </c>
      <c r="K57" s="136">
        <f>IF(evenwicht!L12&lt;&gt;"",evenwicht!L12,"")</f>
        <v>0.74626676152997495</v>
      </c>
      <c r="L57" s="136">
        <f>IF(evenwicht!M12&lt;&gt;"",evenwicht!M12,"")</f>
        <v>0.99999999999999989</v>
      </c>
      <c r="M57" s="136" t="str">
        <f>IF(evenwicht!N12&lt;&gt;"",evenwicht!N12,"")</f>
        <v/>
      </c>
      <c r="N57" s="136" t="str">
        <f>IF(evenwicht!O12&lt;&gt;"",evenwicht!O12,"")</f>
        <v/>
      </c>
      <c r="O57" s="137" t="str">
        <f>IF(evenwicht!P12&lt;&gt;"",evenwicht!P12,"")</f>
        <v/>
      </c>
    </row>
    <row r="58" spans="1:16">
      <c r="A58" s="130" t="str">
        <f>IF(evenwicht!A13&lt;&gt;"",evenwicht!A13,"")</f>
        <v/>
      </c>
      <c r="B58" s="143" t="str">
        <f ca="1">IF(A58&lt;&gt;"",OFFSET(scenarios!B12,0,covar_scenarios!$A$47),"")</f>
        <v/>
      </c>
      <c r="C58" s="61" t="str">
        <f>IF(evenwicht!D13&lt;&gt;"",evenwicht!D13,"")</f>
        <v/>
      </c>
      <c r="D58" s="135" t="str">
        <f>IF(evenwicht!E13&lt;&gt;"",evenwicht!E13,"")</f>
        <v/>
      </c>
      <c r="E58" s="136" t="str">
        <f>IF(evenwicht!F13&lt;&gt;"",evenwicht!F13,"")</f>
        <v/>
      </c>
      <c r="F58" s="136" t="str">
        <f>IF(evenwicht!G13&lt;&gt;"",evenwicht!G13,"")</f>
        <v/>
      </c>
      <c r="G58" s="136" t="str">
        <f>IF(evenwicht!H13&lt;&gt;"",evenwicht!H13,"")</f>
        <v/>
      </c>
      <c r="H58" s="136" t="str">
        <f>IF(evenwicht!I13&lt;&gt;"",evenwicht!I13,"")</f>
        <v/>
      </c>
      <c r="I58" s="136" t="str">
        <f>IF(evenwicht!J13&lt;&gt;"",evenwicht!J13,"")</f>
        <v/>
      </c>
      <c r="J58" s="136" t="str">
        <f>IF(evenwicht!K13&lt;&gt;"",evenwicht!K13,"")</f>
        <v/>
      </c>
      <c r="K58" s="136" t="str">
        <f>IF(evenwicht!L13&lt;&gt;"",evenwicht!L13,"")</f>
        <v/>
      </c>
      <c r="L58" s="136" t="str">
        <f>IF(evenwicht!M13&lt;&gt;"",evenwicht!M13,"")</f>
        <v/>
      </c>
      <c r="M58" s="136" t="str">
        <f>IF(evenwicht!N13&lt;&gt;"",evenwicht!N13,"")</f>
        <v/>
      </c>
      <c r="N58" s="136" t="str">
        <f>IF(evenwicht!O13&lt;&gt;"",evenwicht!O13,"")</f>
        <v/>
      </c>
      <c r="O58" s="137" t="str">
        <f>IF(evenwicht!P13&lt;&gt;"",evenwicht!P13,"")</f>
        <v/>
      </c>
    </row>
    <row r="59" spans="1:16">
      <c r="A59" s="130" t="str">
        <f>IF(evenwicht!A14&lt;&gt;"",evenwicht!A14,"")</f>
        <v/>
      </c>
      <c r="B59" s="143" t="str">
        <f ca="1">IF(A59&lt;&gt;"",OFFSET(scenarios!B13,0,covar_scenarios!$A$47),"")</f>
        <v/>
      </c>
      <c r="C59" s="61" t="str">
        <f>IF(evenwicht!D14&lt;&gt;"",evenwicht!D14,"")</f>
        <v/>
      </c>
      <c r="D59" s="135" t="str">
        <f>IF(evenwicht!E14&lt;&gt;"",evenwicht!E14,"")</f>
        <v/>
      </c>
      <c r="E59" s="136" t="str">
        <f>IF(evenwicht!F14&lt;&gt;"",evenwicht!F14,"")</f>
        <v/>
      </c>
      <c r="F59" s="136" t="str">
        <f>IF(evenwicht!G14&lt;&gt;"",evenwicht!G14,"")</f>
        <v/>
      </c>
      <c r="G59" s="136" t="str">
        <f>IF(evenwicht!H14&lt;&gt;"",evenwicht!H14,"")</f>
        <v/>
      </c>
      <c r="H59" s="136" t="str">
        <f>IF(evenwicht!I14&lt;&gt;"",evenwicht!I14,"")</f>
        <v/>
      </c>
      <c r="I59" s="136" t="str">
        <f>IF(evenwicht!J14&lt;&gt;"",evenwicht!J14,"")</f>
        <v/>
      </c>
      <c r="J59" s="136" t="str">
        <f>IF(evenwicht!K14&lt;&gt;"",evenwicht!K14,"")</f>
        <v/>
      </c>
      <c r="K59" s="136" t="str">
        <f>IF(evenwicht!L14&lt;&gt;"",evenwicht!L14,"")</f>
        <v/>
      </c>
      <c r="L59" s="136" t="str">
        <f>IF(evenwicht!M14&lt;&gt;"",evenwicht!M14,"")</f>
        <v/>
      </c>
      <c r="M59" s="136" t="str">
        <f>IF(evenwicht!N14&lt;&gt;"",evenwicht!N14,"")</f>
        <v/>
      </c>
      <c r="N59" s="136" t="str">
        <f>IF(evenwicht!O14&lt;&gt;"",evenwicht!O14,"")</f>
        <v/>
      </c>
      <c r="O59" s="137" t="str">
        <f>IF(evenwicht!P14&lt;&gt;"",evenwicht!P14,"")</f>
        <v/>
      </c>
    </row>
    <row r="60" spans="1:16" ht="13.5" thickBot="1">
      <c r="A60" s="138" t="str">
        <f>IF(evenwicht!A15&lt;&gt;"",evenwicht!A15,"")</f>
        <v/>
      </c>
      <c r="B60" s="144" t="str">
        <f ca="1">IF(A60&lt;&gt;"",OFFSET(scenarios!B14,0,covar_scenarios!$A$47),"")</f>
        <v/>
      </c>
      <c r="C60" s="79" t="str">
        <f>IF(evenwicht!D15&lt;&gt;"",evenwicht!D15,"")</f>
        <v/>
      </c>
      <c r="D60" s="139" t="str">
        <f>IF(evenwicht!E15&lt;&gt;"",evenwicht!E15,"")</f>
        <v/>
      </c>
      <c r="E60" s="140" t="str">
        <f>IF(evenwicht!F15&lt;&gt;"",evenwicht!F15,"")</f>
        <v/>
      </c>
      <c r="F60" s="140" t="str">
        <f>IF(evenwicht!G15&lt;&gt;"",evenwicht!G15,"")</f>
        <v/>
      </c>
      <c r="G60" s="140" t="str">
        <f>IF(evenwicht!H15&lt;&gt;"",evenwicht!H15,"")</f>
        <v/>
      </c>
      <c r="H60" s="140" t="str">
        <f>IF(evenwicht!I15&lt;&gt;"",evenwicht!I15,"")</f>
        <v/>
      </c>
      <c r="I60" s="140" t="str">
        <f>IF(evenwicht!J15&lt;&gt;"",evenwicht!J15,"")</f>
        <v/>
      </c>
      <c r="J60" s="140" t="str">
        <f>IF(evenwicht!K15&lt;&gt;"",evenwicht!K15,"")</f>
        <v/>
      </c>
      <c r="K60" s="140" t="str">
        <f>IF(evenwicht!L15&lt;&gt;"",evenwicht!L15,"")</f>
        <v/>
      </c>
      <c r="L60" s="140" t="str">
        <f>IF(evenwicht!M15&lt;&gt;"",evenwicht!M15,"")</f>
        <v/>
      </c>
      <c r="M60" s="140" t="str">
        <f>IF(evenwicht!N15&lt;&gt;"",evenwicht!N15,"")</f>
        <v/>
      </c>
      <c r="N60" s="140" t="str">
        <f>IF(evenwicht!O15&lt;&gt;"",evenwicht!O15,"")</f>
        <v/>
      </c>
      <c r="O60" s="141" t="str">
        <f>IF(evenwicht!P15&lt;&gt;"",evenwicht!P15,"")</f>
        <v/>
      </c>
    </row>
    <row r="62" spans="1:16" ht="13.5" thickBot="1">
      <c r="A62" s="45">
        <v>4</v>
      </c>
    </row>
    <row r="63" spans="1:16" ht="15.75" thickBot="1">
      <c r="A63" s="142" t="str">
        <f ca="1">OFFSET(scenarios!$B$2,0,covar_scenarios!A62)</f>
        <v>Bear case</v>
      </c>
      <c r="B63" s="109" t="s">
        <v>79</v>
      </c>
      <c r="C63" s="145" t="s">
        <v>39</v>
      </c>
      <c r="D63" s="160" t="s">
        <v>80</v>
      </c>
      <c r="E63" s="161"/>
      <c r="F63" s="161"/>
      <c r="G63" s="161"/>
      <c r="H63" s="161"/>
      <c r="I63" s="161"/>
      <c r="J63" s="161"/>
      <c r="K63" s="161"/>
      <c r="L63" s="162"/>
      <c r="M63" s="162"/>
      <c r="N63" s="162"/>
      <c r="O63" s="163"/>
    </row>
    <row r="64" spans="1:16">
      <c r="A64" s="130" t="str">
        <f>IF(evenwicht!A4&lt;&gt;"",evenwicht!A4,"")</f>
        <v>Nominale matching</v>
      </c>
      <c r="B64" s="61">
        <f ca="1">IF(A64&lt;&gt;"",OFFSET(scenarios!B3,0,covar_scenarios!$A$62),"")</f>
        <v>-2.5720358328627513E-2</v>
      </c>
      <c r="C64" s="112">
        <v>6.2230972955435157E-2</v>
      </c>
      <c r="D64" s="131">
        <v>1</v>
      </c>
      <c r="E64" s="132">
        <v>0.47102969549764873</v>
      </c>
      <c r="F64" s="132">
        <v>0.44102598120003672</v>
      </c>
      <c r="G64" s="132">
        <v>0.1916139221868596</v>
      </c>
      <c r="H64" s="132">
        <v>0.24756676138433611</v>
      </c>
      <c r="I64" s="132">
        <v>0.1747091736012199</v>
      </c>
      <c r="J64" s="132">
        <v>0.43690863222333309</v>
      </c>
      <c r="K64" s="132">
        <v>0.33880552794512614</v>
      </c>
      <c r="L64" s="132">
        <v>0.27792080346817494</v>
      </c>
      <c r="M64" s="132"/>
      <c r="N64" s="132"/>
      <c r="O64" s="133"/>
      <c r="P64" s="45" t="s">
        <v>82</v>
      </c>
    </row>
    <row r="65" spans="1:17">
      <c r="A65" s="130" t="str">
        <f>IF(evenwicht!A5&lt;&gt;"",evenwicht!A5,"")</f>
        <v>High Yield</v>
      </c>
      <c r="B65" s="70">
        <f ca="1">IF(A65&lt;&gt;"",OFFSET(scenarios!B4,0,covar_scenarios!$A$62),"")</f>
        <v>-0.43934344866388231</v>
      </c>
      <c r="C65" s="61">
        <v>0.22813368702469963</v>
      </c>
      <c r="D65" s="135">
        <v>0.47102969549764873</v>
      </c>
      <c r="E65" s="136">
        <v>1.0000000000000002</v>
      </c>
      <c r="F65" s="136">
        <v>0.93822360415104178</v>
      </c>
      <c r="G65" s="136">
        <v>0.75326025420376108</v>
      </c>
      <c r="H65" s="136">
        <v>0.73352486795767102</v>
      </c>
      <c r="I65" s="136">
        <v>0.63359529390296199</v>
      </c>
      <c r="J65" s="136">
        <v>0.87098619109423425</v>
      </c>
      <c r="K65" s="136">
        <v>0.87135999187444568</v>
      </c>
      <c r="L65" s="136">
        <v>0.77254531980661478</v>
      </c>
      <c r="M65" s="136"/>
      <c r="N65" s="136"/>
      <c r="O65" s="137"/>
    </row>
    <row r="66" spans="1:17">
      <c r="A66" s="130" t="str">
        <f>IF(evenwicht!A6&lt;&gt;"",evenwicht!A6,"")</f>
        <v>Emerging market debt</v>
      </c>
      <c r="B66" s="70">
        <f ca="1">IF(A66&lt;&gt;"",OFFSET(scenarios!B5,0,covar_scenarios!$A$62),"")</f>
        <v>-0.41802644813429485</v>
      </c>
      <c r="C66" s="61">
        <v>0.23612462727275424</v>
      </c>
      <c r="D66" s="135">
        <v>0.44102598120003672</v>
      </c>
      <c r="E66" s="136">
        <v>0.93822360415104189</v>
      </c>
      <c r="F66" s="136">
        <v>1.0000000000000002</v>
      </c>
      <c r="G66" s="136">
        <v>0.79963015318153241</v>
      </c>
      <c r="H66" s="136">
        <v>0.78704984484445428</v>
      </c>
      <c r="I66" s="136">
        <v>0.6705837763066671</v>
      </c>
      <c r="J66" s="136">
        <v>0.87302411710056305</v>
      </c>
      <c r="K66" s="136">
        <v>0.89106747178031864</v>
      </c>
      <c r="L66" s="136">
        <v>0.80427107264270714</v>
      </c>
      <c r="M66" s="136"/>
      <c r="N66" s="136"/>
      <c r="O66" s="137"/>
    </row>
    <row r="67" spans="1:17">
      <c r="A67" s="130" t="str">
        <f>IF(evenwicht!A7&lt;&gt;"",evenwicht!A7,"")</f>
        <v>Aandelen ontwikkeld</v>
      </c>
      <c r="B67" s="70">
        <f ca="1">IF(A67&lt;&gt;"",OFFSET(scenarios!B6,0,covar_scenarios!$A$62),"")</f>
        <v>-0.5992014650452413</v>
      </c>
      <c r="C67" s="61">
        <v>0.41877013863949536</v>
      </c>
      <c r="D67" s="135">
        <v>0.19161392218685974</v>
      </c>
      <c r="E67" s="136">
        <v>0.75326025420376086</v>
      </c>
      <c r="F67" s="136">
        <v>0.79963015318153241</v>
      </c>
      <c r="G67" s="136">
        <v>1</v>
      </c>
      <c r="H67" s="136">
        <v>0.80812183743359234</v>
      </c>
      <c r="I67" s="136">
        <v>0.70238919189824067</v>
      </c>
      <c r="J67" s="136">
        <v>0.80604385760605091</v>
      </c>
      <c r="K67" s="136">
        <v>0.88086813992686197</v>
      </c>
      <c r="L67" s="136">
        <v>0.83948460537294911</v>
      </c>
      <c r="M67" s="136"/>
      <c r="N67" s="136"/>
      <c r="O67" s="137"/>
    </row>
    <row r="68" spans="1:17">
      <c r="A68" s="130" t="str">
        <f>IF(evenwicht!A8&lt;&gt;"",evenwicht!A8,"")</f>
        <v>Aandelen opkomend</v>
      </c>
      <c r="B68" s="70">
        <f ca="1">IF(A68&lt;&gt;"",OFFSET(scenarios!B7,0,covar_scenarios!$A$62),"")</f>
        <v>-0.42661422498990775</v>
      </c>
      <c r="C68" s="61">
        <v>0.43715930361035565</v>
      </c>
      <c r="D68" s="135">
        <v>0.24756676138433592</v>
      </c>
      <c r="E68" s="136">
        <v>0.73352486795767102</v>
      </c>
      <c r="F68" s="136">
        <v>0.78704984484445417</v>
      </c>
      <c r="G68" s="136">
        <v>0.80812183743359234</v>
      </c>
      <c r="H68" s="136">
        <v>1</v>
      </c>
      <c r="I68" s="136">
        <v>0.6227307997578343</v>
      </c>
      <c r="J68" s="136">
        <v>0.64969582874157039</v>
      </c>
      <c r="K68" s="136">
        <v>0.77520880186806285</v>
      </c>
      <c r="L68" s="136">
        <v>0.77115145356021197</v>
      </c>
      <c r="M68" s="136"/>
      <c r="N68" s="136"/>
      <c r="O68" s="137"/>
    </row>
    <row r="69" spans="1:17">
      <c r="A69" s="130" t="str">
        <f>IF(evenwicht!A9&lt;&gt;"",evenwicht!A9,"")</f>
        <v>Commodities</v>
      </c>
      <c r="B69" s="70">
        <f ca="1">IF(A69&lt;&gt;"",OFFSET(scenarios!B8,0,covar_scenarios!$A$62),"")</f>
        <v>-0.52128297967070236</v>
      </c>
      <c r="C69" s="61">
        <v>0.49612218939856001</v>
      </c>
      <c r="D69" s="135">
        <v>0.17470917360121993</v>
      </c>
      <c r="E69" s="136">
        <v>0.63359529390296199</v>
      </c>
      <c r="F69" s="136">
        <v>0.67058377630666699</v>
      </c>
      <c r="G69" s="136">
        <v>0.70238919189824078</v>
      </c>
      <c r="H69" s="136">
        <v>0.6227307997578343</v>
      </c>
      <c r="I69" s="136">
        <v>0.99999999999999989</v>
      </c>
      <c r="J69" s="136">
        <v>0.64379087144854052</v>
      </c>
      <c r="K69" s="136">
        <v>0.65952840986787564</v>
      </c>
      <c r="L69" s="136">
        <v>0.72568785459449825</v>
      </c>
      <c r="M69" s="136"/>
      <c r="N69" s="136"/>
      <c r="O69" s="137"/>
    </row>
    <row r="70" spans="1:17">
      <c r="A70" s="130" t="str">
        <f>IF(evenwicht!A10&lt;&gt;"",evenwicht!A10,"")</f>
        <v>Hedge funds</v>
      </c>
      <c r="B70" s="70">
        <f ca="1">IF(A70&lt;&gt;"",OFFSET(scenarios!B9,0,covar_scenarios!$A$62),"")</f>
        <v>-0.25630468560846492</v>
      </c>
      <c r="C70" s="61">
        <v>0.22513334484340575</v>
      </c>
      <c r="D70" s="135">
        <v>0.43690863222333315</v>
      </c>
      <c r="E70" s="136">
        <v>0.87098619109423403</v>
      </c>
      <c r="F70" s="136">
        <v>0.87302411710056305</v>
      </c>
      <c r="G70" s="136">
        <v>0.80604385760605068</v>
      </c>
      <c r="H70" s="136">
        <v>0.6496958287415705</v>
      </c>
      <c r="I70" s="136">
        <v>0.64379087144854041</v>
      </c>
      <c r="J70" s="136">
        <v>1.0000000000000002</v>
      </c>
      <c r="K70" s="136">
        <v>0.86491136423250092</v>
      </c>
      <c r="L70" s="136">
        <v>0.7928883844057325</v>
      </c>
      <c r="M70" s="136"/>
      <c r="N70" s="136"/>
      <c r="O70" s="137"/>
    </row>
    <row r="71" spans="1:17">
      <c r="A71" s="130" t="str">
        <f>IF(evenwicht!A11&lt;&gt;"",evenwicht!A11,"")</f>
        <v>Onroerend goed</v>
      </c>
      <c r="B71" s="70">
        <f ca="1">IF(A71&lt;&gt;"",OFFSET(scenarios!B10,0,covar_scenarios!$A$62),"")</f>
        <v>-0.45200242221105646</v>
      </c>
      <c r="C71" s="61">
        <v>0.28443486592153544</v>
      </c>
      <c r="D71" s="135">
        <v>0.33880552794512614</v>
      </c>
      <c r="E71" s="136">
        <v>0.87135999187444568</v>
      </c>
      <c r="F71" s="136">
        <v>0.89106747178031853</v>
      </c>
      <c r="G71" s="136">
        <v>0.88086813992686197</v>
      </c>
      <c r="H71" s="136">
        <v>0.77520880186806285</v>
      </c>
      <c r="I71" s="136">
        <v>0.65952840986787553</v>
      </c>
      <c r="J71" s="136">
        <v>0.86491136423250081</v>
      </c>
      <c r="K71" s="136">
        <v>1</v>
      </c>
      <c r="L71" s="136">
        <v>0.83610334317906021</v>
      </c>
      <c r="M71" s="136"/>
      <c r="N71" s="136"/>
      <c r="O71" s="137"/>
    </row>
    <row r="72" spans="1:17">
      <c r="A72" s="130" t="str">
        <f>IF(evenwicht!A12&lt;&gt;"",evenwicht!A12,"")</f>
        <v>Periferie bonds</v>
      </c>
      <c r="B72" s="70">
        <f ca="1">IF(A72&lt;&gt;"",OFFSET(scenarios!B11,0,covar_scenarios!$A$62),"")</f>
        <v>-0.34409214194437909</v>
      </c>
      <c r="C72" s="61">
        <f>AVERAGE(C67:C71)</f>
        <v>0.37232396848267041</v>
      </c>
      <c r="D72" s="135">
        <f t="shared" ref="D72:K72" si="0">AVERAGE(D67:D71)</f>
        <v>0.27792080346817494</v>
      </c>
      <c r="E72" s="136">
        <f t="shared" si="0"/>
        <v>0.77254531980661478</v>
      </c>
      <c r="F72" s="136">
        <f t="shared" si="0"/>
        <v>0.80427107264270714</v>
      </c>
      <c r="G72" s="136">
        <f t="shared" si="0"/>
        <v>0.83948460537294911</v>
      </c>
      <c r="H72" s="136">
        <f t="shared" si="0"/>
        <v>0.77115145356021197</v>
      </c>
      <c r="I72" s="136">
        <f t="shared" si="0"/>
        <v>0.72568785459449825</v>
      </c>
      <c r="J72" s="136">
        <f t="shared" si="0"/>
        <v>0.7928883844057325</v>
      </c>
      <c r="K72" s="136">
        <f t="shared" si="0"/>
        <v>0.83610334317906021</v>
      </c>
      <c r="L72" s="136">
        <v>1</v>
      </c>
      <c r="M72" s="136"/>
      <c r="N72" s="136"/>
      <c r="O72" s="137"/>
    </row>
    <row r="73" spans="1:17">
      <c r="A73" s="130" t="str">
        <f>IF(evenwicht!A13&lt;&gt;"",evenwicht!A13,"")</f>
        <v/>
      </c>
      <c r="B73" s="70" t="str">
        <f ca="1">IF(A73&lt;&gt;"",OFFSET(scenarios!B12,0,covar_scenarios!$A$62),"")</f>
        <v/>
      </c>
      <c r="C73" s="61"/>
      <c r="D73" s="135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7"/>
    </row>
    <row r="74" spans="1:17">
      <c r="A74" s="130" t="str">
        <f>IF(evenwicht!A14&lt;&gt;"",evenwicht!A14,"")</f>
        <v/>
      </c>
      <c r="B74" s="70" t="str">
        <f ca="1">IF(A74&lt;&gt;"",OFFSET(scenarios!B13,0,covar_scenarios!$A$62),"")</f>
        <v/>
      </c>
      <c r="C74" s="61"/>
      <c r="D74" s="135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7"/>
    </row>
    <row r="75" spans="1:17" ht="13.5" thickBot="1">
      <c r="A75" s="138" t="str">
        <f>IF(evenwicht!A15&lt;&gt;"",evenwicht!A15,"")</f>
        <v/>
      </c>
      <c r="B75" s="78" t="str">
        <f ca="1">IF(A75&lt;&gt;"",OFFSET(scenarios!B14,0,covar_scenarios!$A$62),"")</f>
        <v/>
      </c>
      <c r="C75" s="79"/>
      <c r="D75" s="139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1"/>
    </row>
    <row r="76" spans="1:17">
      <c r="A76" s="67"/>
      <c r="B76" s="68"/>
      <c r="C76" s="69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</row>
    <row r="77" spans="1:17" ht="13.5" thickBot="1">
      <c r="A77" s="45">
        <v>5</v>
      </c>
    </row>
    <row r="78" spans="1:17" ht="15.75" thickBot="1">
      <c r="A78" s="142" t="str">
        <f ca="1">OFFSET(scenarios!$B$2,0,covar_scenarios!A77)</f>
        <v>Tail risk</v>
      </c>
      <c r="B78" s="109" t="s">
        <v>79</v>
      </c>
      <c r="C78" s="108" t="s">
        <v>39</v>
      </c>
      <c r="D78" s="160" t="s">
        <v>80</v>
      </c>
      <c r="E78" s="161"/>
      <c r="F78" s="161"/>
      <c r="G78" s="161"/>
      <c r="H78" s="161"/>
      <c r="I78" s="161"/>
      <c r="J78" s="161"/>
      <c r="K78" s="161"/>
      <c r="L78" s="162"/>
      <c r="M78" s="162"/>
      <c r="N78" s="162"/>
      <c r="O78" s="163"/>
      <c r="Q78" s="67"/>
    </row>
    <row r="79" spans="1:17">
      <c r="A79" s="130" t="str">
        <f>IF(evenwicht!A4&lt;&gt;"",evenwicht!A4,"")</f>
        <v>Nominale matching</v>
      </c>
      <c r="B79" s="61">
        <f ca="1">IF(A79&lt;&gt;"",OFFSET(scenarios!B3,0,covar_scenarios!$A$77),"")</f>
        <v>-0.26287574291051119</v>
      </c>
      <c r="C79" s="61">
        <v>9.0618112702252188E-2</v>
      </c>
      <c r="D79" s="131">
        <v>1</v>
      </c>
      <c r="E79" s="132">
        <v>0.57085300818064821</v>
      </c>
      <c r="F79" s="132">
        <v>0.51590317152054344</v>
      </c>
      <c r="G79" s="132">
        <v>0.22543235061374906</v>
      </c>
      <c r="H79" s="132">
        <v>0.30482733339870521</v>
      </c>
      <c r="I79" s="132">
        <v>0.1877131252242237</v>
      </c>
      <c r="J79" s="132">
        <v>0.56475392912687616</v>
      </c>
      <c r="K79" s="132">
        <v>0.42620353457974319</v>
      </c>
      <c r="L79" s="132">
        <v>0.3417860545886594</v>
      </c>
      <c r="M79" s="132"/>
      <c r="N79" s="132"/>
      <c r="O79" s="133"/>
      <c r="P79" s="45" t="s">
        <v>83</v>
      </c>
      <c r="Q79" s="67"/>
    </row>
    <row r="80" spans="1:17">
      <c r="A80" s="130" t="str">
        <f>IF(evenwicht!A5&lt;&gt;"",evenwicht!A5,"")</f>
        <v>High Yield</v>
      </c>
      <c r="B80" s="143">
        <f ca="1">IF(A80&lt;&gt;"",OFFSET(scenarios!B4,0,covar_scenarios!$A$77),"")</f>
        <v>-0.41627425662388229</v>
      </c>
      <c r="C80" s="61">
        <v>0.31486528648887419</v>
      </c>
      <c r="D80" s="135">
        <v>0.57085300818064832</v>
      </c>
      <c r="E80" s="136">
        <v>0.99999999999999978</v>
      </c>
      <c r="F80" s="136">
        <v>0.92670220027648009</v>
      </c>
      <c r="G80" s="136">
        <v>0.70556983049672706</v>
      </c>
      <c r="H80" s="136">
        <v>0.73729250351193587</v>
      </c>
      <c r="I80" s="136">
        <v>0.60792613623167058</v>
      </c>
      <c r="J80" s="136">
        <v>0.86315016289079405</v>
      </c>
      <c r="K80" s="136">
        <v>0.86742743262167787</v>
      </c>
      <c r="L80" s="136">
        <v>0.75627321315056117</v>
      </c>
      <c r="M80" s="136"/>
      <c r="N80" s="136"/>
      <c r="O80" s="137"/>
      <c r="Q80" s="67"/>
    </row>
    <row r="81" spans="1:17">
      <c r="A81" s="130" t="str">
        <f>IF(evenwicht!A6&lt;&gt;"",evenwicht!A6,"")</f>
        <v>Emerging market debt</v>
      </c>
      <c r="B81" s="143">
        <f ca="1">IF(A81&lt;&gt;"",OFFSET(scenarios!B5,0,covar_scenarios!$A$77),"")</f>
        <v>-0.17149574156312622</v>
      </c>
      <c r="C81" s="61">
        <v>0.33563157880530137</v>
      </c>
      <c r="D81" s="135">
        <v>0.51590317152054366</v>
      </c>
      <c r="E81" s="136">
        <v>0.92670220027648009</v>
      </c>
      <c r="F81" s="136">
        <v>0.99999999999999989</v>
      </c>
      <c r="G81" s="136">
        <v>0.77735373318815371</v>
      </c>
      <c r="H81" s="136">
        <v>0.80713427036091268</v>
      </c>
      <c r="I81" s="136">
        <v>0.67030879727576365</v>
      </c>
      <c r="J81" s="136">
        <v>0.8684724670306897</v>
      </c>
      <c r="K81" s="136">
        <v>0.8890877543808684</v>
      </c>
      <c r="L81" s="136">
        <v>0.80247140444727771</v>
      </c>
      <c r="M81" s="136"/>
      <c r="N81" s="136"/>
      <c r="O81" s="137"/>
      <c r="Q81" s="67"/>
    </row>
    <row r="82" spans="1:17">
      <c r="A82" s="130" t="str">
        <f>IF(evenwicht!A7&lt;&gt;"",evenwicht!A7,"")</f>
        <v>Aandelen ontwikkeld</v>
      </c>
      <c r="B82" s="143">
        <f ca="1">IF(A82&lt;&gt;"",OFFSET(scenarios!B6,0,covar_scenarios!$A$77),"")</f>
        <v>-0.47126055414190038</v>
      </c>
      <c r="C82" s="61">
        <v>0.58057822101166678</v>
      </c>
      <c r="D82" s="135">
        <v>0.22543235061374906</v>
      </c>
      <c r="E82" s="136">
        <v>0.70556983049672706</v>
      </c>
      <c r="F82" s="136">
        <v>0.77735373318815371</v>
      </c>
      <c r="G82" s="136">
        <v>1.0000000000000002</v>
      </c>
      <c r="H82" s="136">
        <v>0.82379140885718805</v>
      </c>
      <c r="I82" s="136">
        <v>0.71491859487248288</v>
      </c>
      <c r="J82" s="136">
        <v>0.7945256498620229</v>
      </c>
      <c r="K82" s="136">
        <v>0.86375669090984664</v>
      </c>
      <c r="L82" s="136">
        <v>0.83939846890030823</v>
      </c>
      <c r="M82" s="136"/>
      <c r="N82" s="136"/>
      <c r="O82" s="137"/>
      <c r="Q82" s="67"/>
    </row>
    <row r="83" spans="1:17">
      <c r="A83" s="130" t="str">
        <f>IF(evenwicht!A8&lt;&gt;"",evenwicht!A8,"")</f>
        <v>Aandelen opkomend</v>
      </c>
      <c r="B83" s="143">
        <f ca="1">IF(A83&lt;&gt;"",OFFSET(scenarios!B7,0,covar_scenarios!$A$77),"")</f>
        <v>-0.26558788944909251</v>
      </c>
      <c r="C83" s="61">
        <v>0.63397873832777574</v>
      </c>
      <c r="D83" s="135">
        <v>0.30482733339870499</v>
      </c>
      <c r="E83" s="136">
        <v>0.73729250351193587</v>
      </c>
      <c r="F83" s="136">
        <v>0.80713427036091279</v>
      </c>
      <c r="G83" s="136">
        <v>0.82379140885718805</v>
      </c>
      <c r="H83" s="136">
        <v>1</v>
      </c>
      <c r="I83" s="136">
        <v>0.66043271027173578</v>
      </c>
      <c r="J83" s="136">
        <v>0.67907866736685552</v>
      </c>
      <c r="K83" s="136">
        <v>0.79157487896608858</v>
      </c>
      <c r="L83" s="136">
        <v>0.79097553309237356</v>
      </c>
      <c r="M83" s="136"/>
      <c r="N83" s="136"/>
      <c r="O83" s="137"/>
      <c r="Q83" s="67"/>
    </row>
    <row r="84" spans="1:17">
      <c r="A84" s="130" t="str">
        <f>IF(evenwicht!A9&lt;&gt;"",evenwicht!A9,"")</f>
        <v>Commodities</v>
      </c>
      <c r="B84" s="143">
        <f ca="1">IF(A84&lt;&gt;"",OFFSET(scenarios!B8,0,covar_scenarios!$A$77),"")</f>
        <v>-0.54077311463070243</v>
      </c>
      <c r="C84" s="61">
        <v>0.67038386164030728</v>
      </c>
      <c r="D84" s="135">
        <v>0.18771312522422376</v>
      </c>
      <c r="E84" s="136">
        <v>0.60792613623167069</v>
      </c>
      <c r="F84" s="136">
        <v>0.67030879727576365</v>
      </c>
      <c r="G84" s="136">
        <v>0.71491859487248288</v>
      </c>
      <c r="H84" s="136">
        <v>0.66043271027173578</v>
      </c>
      <c r="I84" s="136">
        <v>1.0000000000000002</v>
      </c>
      <c r="J84" s="136">
        <v>0.64225367758188689</v>
      </c>
      <c r="K84" s="136">
        <v>0.67366535141540462</v>
      </c>
      <c r="L84" s="136">
        <v>0.73825406682830197</v>
      </c>
      <c r="M84" s="136"/>
      <c r="N84" s="136"/>
      <c r="O84" s="137"/>
      <c r="Q84" s="67"/>
    </row>
    <row r="85" spans="1:17">
      <c r="A85" s="130" t="str">
        <f>IF(evenwicht!A10&lt;&gt;"",evenwicht!A10,"")</f>
        <v>Hedge funds</v>
      </c>
      <c r="B85" s="143">
        <f ca="1">IF(A85&lt;&gt;"",OFFSET(scenarios!B9,0,covar_scenarios!$A$77),"")</f>
        <v>-6.931471876793301E-3</v>
      </c>
      <c r="C85" s="61">
        <v>0.29165630729321568</v>
      </c>
      <c r="D85" s="135">
        <v>0.56475392912687616</v>
      </c>
      <c r="E85" s="136">
        <v>0.86315016289079405</v>
      </c>
      <c r="F85" s="136">
        <v>0.86847246703068981</v>
      </c>
      <c r="G85" s="136">
        <v>0.7945256498620229</v>
      </c>
      <c r="H85" s="136">
        <v>0.67907866736685563</v>
      </c>
      <c r="I85" s="136">
        <v>0.64225367758188689</v>
      </c>
      <c r="J85" s="136">
        <v>1</v>
      </c>
      <c r="K85" s="136">
        <v>0.89194847086880591</v>
      </c>
      <c r="L85" s="136">
        <v>0.8015612931359144</v>
      </c>
      <c r="M85" s="136"/>
      <c r="N85" s="136"/>
      <c r="O85" s="137"/>
      <c r="Q85" s="67"/>
    </row>
    <row r="86" spans="1:17">
      <c r="A86" s="130" t="str">
        <f>IF(evenwicht!A11&lt;&gt;"",evenwicht!A11,"")</f>
        <v>Onroerend goed</v>
      </c>
      <c r="B86" s="143">
        <f ca="1">IF(A86&lt;&gt;"",OFFSET(scenarios!B10,0,covar_scenarios!$A$77),"")</f>
        <v>-0.48031312669988807</v>
      </c>
      <c r="C86" s="61">
        <v>0.38188039832723164</v>
      </c>
      <c r="D86" s="135">
        <v>0.4262035345797428</v>
      </c>
      <c r="E86" s="136">
        <v>0.86742743262167776</v>
      </c>
      <c r="F86" s="136">
        <v>0.8890877543808684</v>
      </c>
      <c r="G86" s="136">
        <v>0.86375669090984664</v>
      </c>
      <c r="H86" s="136">
        <v>0.79157487896608847</v>
      </c>
      <c r="I86" s="136">
        <v>0.67366535141540462</v>
      </c>
      <c r="J86" s="136">
        <v>0.89194847086880591</v>
      </c>
      <c r="K86" s="136">
        <v>1</v>
      </c>
      <c r="L86" s="136">
        <v>0.84418907843202917</v>
      </c>
      <c r="M86" s="136"/>
      <c r="N86" s="136"/>
      <c r="O86" s="137"/>
    </row>
    <row r="87" spans="1:17">
      <c r="A87" s="130" t="str">
        <f>IF(evenwicht!A12&lt;&gt;"",evenwicht!A12,"")</f>
        <v>Periferie bonds</v>
      </c>
      <c r="B87" s="143">
        <f ca="1">IF(A87&lt;&gt;"",OFFSET(scenarios!B11,0,covar_scenarios!$A$77),"")</f>
        <v>-0.70677044028756997</v>
      </c>
      <c r="C87" s="61">
        <f>AVERAGE(C82:C86)</f>
        <v>0.51169550532003938</v>
      </c>
      <c r="D87" s="135">
        <f t="shared" ref="D87:K87" si="1">AVERAGE(D82:D86)</f>
        <v>0.3417860545886594</v>
      </c>
      <c r="E87" s="136">
        <f t="shared" si="1"/>
        <v>0.75627321315056117</v>
      </c>
      <c r="F87" s="136">
        <f t="shared" si="1"/>
        <v>0.80247140444727771</v>
      </c>
      <c r="G87" s="136">
        <f t="shared" si="1"/>
        <v>0.83939846890030823</v>
      </c>
      <c r="H87" s="136">
        <f t="shared" si="1"/>
        <v>0.79097553309237356</v>
      </c>
      <c r="I87" s="136">
        <f t="shared" si="1"/>
        <v>0.73825406682830197</v>
      </c>
      <c r="J87" s="136">
        <f t="shared" si="1"/>
        <v>0.8015612931359144</v>
      </c>
      <c r="K87" s="136">
        <f t="shared" si="1"/>
        <v>0.84418907843202917</v>
      </c>
      <c r="L87" s="136">
        <v>1</v>
      </c>
      <c r="M87" s="136"/>
      <c r="N87" s="136"/>
      <c r="O87" s="137"/>
    </row>
    <row r="88" spans="1:17">
      <c r="A88" s="130" t="str">
        <f>IF(evenwicht!A13&lt;&gt;"",evenwicht!A13,"")</f>
        <v/>
      </c>
      <c r="B88" s="143" t="str">
        <f ca="1">IF(A88&lt;&gt;"",OFFSET(scenarios!B12,0,covar_scenarios!$A$77),"")</f>
        <v/>
      </c>
      <c r="C88" s="61"/>
      <c r="D88" s="135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7"/>
    </row>
    <row r="89" spans="1:17">
      <c r="A89" s="130" t="str">
        <f>IF(evenwicht!A14&lt;&gt;"",evenwicht!A14,"")</f>
        <v/>
      </c>
      <c r="B89" s="143" t="str">
        <f ca="1">IF(A89&lt;&gt;"",OFFSET(scenarios!B13,0,covar_scenarios!$A$77),"")</f>
        <v/>
      </c>
      <c r="C89" s="61"/>
      <c r="D89" s="135"/>
      <c r="E89" s="136"/>
      <c r="F89" s="136"/>
      <c r="G89" s="136"/>
      <c r="H89" s="136"/>
      <c r="I89" s="136"/>
      <c r="J89" s="136"/>
      <c r="K89" s="136"/>
      <c r="L89" s="136"/>
      <c r="M89" s="136"/>
      <c r="N89" s="136"/>
      <c r="O89" s="137"/>
    </row>
    <row r="90" spans="1:17" ht="13.5" thickBot="1">
      <c r="A90" s="138" t="str">
        <f>IF(evenwicht!A15&lt;&gt;"",evenwicht!A15,"")</f>
        <v/>
      </c>
      <c r="B90" s="144" t="str">
        <f ca="1">IF(A90&lt;&gt;"",OFFSET(scenarios!B14,0,covar_scenarios!$A$77),"")</f>
        <v/>
      </c>
      <c r="C90" s="79"/>
      <c r="D90" s="139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1"/>
    </row>
    <row r="91" spans="1:17">
      <c r="A91" s="67"/>
      <c r="B91" s="68"/>
      <c r="C91" s="69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36"/>
      <c r="O91" s="136"/>
    </row>
    <row r="92" spans="1:17" ht="13.5" thickBot="1">
      <c r="A92" s="67">
        <v>6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Q92" s="67"/>
    </row>
    <row r="93" spans="1:17" ht="15.75" thickBot="1">
      <c r="A93" s="142" t="str">
        <f ca="1">OFFSET(scenarios!$B$2,0,covar_scenarios!A92)</f>
        <v>Bull case</v>
      </c>
      <c r="B93" s="109" t="s">
        <v>79</v>
      </c>
      <c r="C93" s="108" t="s">
        <v>39</v>
      </c>
      <c r="D93" s="160" t="s">
        <v>80</v>
      </c>
      <c r="E93" s="161"/>
      <c r="F93" s="161"/>
      <c r="G93" s="161"/>
      <c r="H93" s="161"/>
      <c r="I93" s="161"/>
      <c r="J93" s="161"/>
      <c r="K93" s="161"/>
      <c r="L93" s="162"/>
      <c r="M93" s="162"/>
      <c r="N93" s="162"/>
      <c r="O93" s="163"/>
      <c r="Q93" s="67"/>
    </row>
    <row r="94" spans="1:17">
      <c r="A94" s="130" t="str">
        <f>IF(evenwicht!A4&lt;&gt;"",evenwicht!A4,"")</f>
        <v>Nominale matching</v>
      </c>
      <c r="B94" s="61">
        <f ca="1">IF(A94&lt;&gt;"",OFFSET(scenarios!B3,0,covar_scenarios!$A$92),"")</f>
        <v>-3.2441343963196256E-3</v>
      </c>
      <c r="C94" s="61">
        <f>IF(evenwicht!D4&lt;&gt;"",evenwicht!D4,"")</f>
        <v>4.3450149472468363E-2</v>
      </c>
      <c r="D94" s="131">
        <f>IF(evenwicht!E4&lt;&gt;"",evenwicht!E4,"")</f>
        <v>1</v>
      </c>
      <c r="E94" s="132">
        <f>IF(evenwicht!F4&lt;&gt;"",evenwicht!F4,"")</f>
        <v>0.5243300313487167</v>
      </c>
      <c r="F94" s="132">
        <f>IF(evenwicht!G4&lt;&gt;"",evenwicht!G4,"")</f>
        <v>0.5048621610682209</v>
      </c>
      <c r="G94" s="132">
        <f>IF(evenwicht!H4&lt;&gt;"",evenwicht!H4,"")</f>
        <v>0.25487540552021803</v>
      </c>
      <c r="H94" s="132">
        <f>IF(evenwicht!I4&lt;&gt;"",evenwicht!I4,"")</f>
        <v>0.29680815289592971</v>
      </c>
      <c r="I94" s="132">
        <f>IF(evenwicht!J4&lt;&gt;"",evenwicht!J4,"")</f>
        <v>0.25154461316198484</v>
      </c>
      <c r="J94" s="132">
        <f>IF(evenwicht!K4&lt;&gt;"",evenwicht!K4,"")</f>
        <v>0.48821319241673689</v>
      </c>
      <c r="K94" s="132">
        <f>IF(evenwicht!L4&lt;&gt;"",evenwicht!L4,"")</f>
        <v>0.39542796227510119</v>
      </c>
      <c r="L94" s="132">
        <f>IF(evenwicht!M4&lt;&gt;"",evenwicht!M4,"")</f>
        <v>0.47422188785278757</v>
      </c>
      <c r="M94" s="132" t="str">
        <f>IF(evenwicht!N4&lt;&gt;"",evenwicht!N4,"")</f>
        <v/>
      </c>
      <c r="N94" s="132" t="str">
        <f>IF(evenwicht!O4&lt;&gt;"",evenwicht!O4,"")</f>
        <v/>
      </c>
      <c r="O94" s="133" t="str">
        <f>IF(evenwicht!P4&lt;&gt;"",evenwicht!P4,"")</f>
        <v/>
      </c>
      <c r="P94" s="134" t="s">
        <v>84</v>
      </c>
    </row>
    <row r="95" spans="1:17">
      <c r="A95" s="130" t="str">
        <f>IF(evenwicht!A5&lt;&gt;"",evenwicht!A5,"")</f>
        <v>High Yield</v>
      </c>
      <c r="B95" s="143">
        <f ca="1">IF(A95&lt;&gt;"",OFFSET(scenarios!B4,0,covar_scenarios!$A$92),"")</f>
        <v>0.27529934429078429</v>
      </c>
      <c r="C95" s="61">
        <f>IF(evenwicht!D5&lt;&gt;"",evenwicht!D5,"")</f>
        <v>0.15853561014014847</v>
      </c>
      <c r="D95" s="146">
        <f>IF(evenwicht!E5&lt;&gt;"",evenwicht!E5,"")</f>
        <v>0.52433003134871636</v>
      </c>
      <c r="E95" s="147">
        <f>IF(evenwicht!F5&lt;&gt;"",evenwicht!F5,"")</f>
        <v>1</v>
      </c>
      <c r="F95" s="147">
        <f>IF(evenwicht!G5&lt;&gt;"",evenwicht!G5,"")</f>
        <v>0.94338322745767289</v>
      </c>
      <c r="G95" s="147">
        <f>IF(evenwicht!H5&lt;&gt;"",evenwicht!H5,"")</f>
        <v>0.74070013517974964</v>
      </c>
      <c r="H95" s="147">
        <f>IF(evenwicht!I5&lt;&gt;"",evenwicht!I5,"")</f>
        <v>0.74187676376193956</v>
      </c>
      <c r="I95" s="147">
        <f>IF(evenwicht!J5&lt;&gt;"",evenwicht!J5,"")</f>
        <v>0.60846903584875156</v>
      </c>
      <c r="J95" s="147">
        <f>IF(evenwicht!K5&lt;&gt;"",evenwicht!K5,"")</f>
        <v>0.86668583493806206</v>
      </c>
      <c r="K95" s="147">
        <f>IF(evenwicht!L5&lt;&gt;"",evenwicht!L5,"")</f>
        <v>0.86259221475724557</v>
      </c>
      <c r="L95" s="147">
        <f>IF(evenwicht!M5&lt;&gt;"",evenwicht!M5,"")</f>
        <v>0.75906077754107681</v>
      </c>
      <c r="M95" s="147" t="str">
        <f>IF(evenwicht!N5&lt;&gt;"",evenwicht!N5,"")</f>
        <v/>
      </c>
      <c r="N95" s="147" t="str">
        <f>IF(evenwicht!O5&lt;&gt;"",evenwicht!O5,"")</f>
        <v/>
      </c>
      <c r="O95" s="148" t="str">
        <f>IF(evenwicht!P5&lt;&gt;"",evenwicht!P5,"")</f>
        <v/>
      </c>
    </row>
    <row r="96" spans="1:17">
      <c r="A96" s="130" t="str">
        <f>IF(evenwicht!A6&lt;&gt;"",evenwicht!A6,"")</f>
        <v>Emerging market debt</v>
      </c>
      <c r="B96" s="143">
        <f ca="1">IF(A96&lt;&gt;"",OFFSET(scenarios!B5,0,covar_scenarios!$A$92),"")</f>
        <v>0.25817653707968463</v>
      </c>
      <c r="C96" s="61">
        <f>IF(evenwicht!D6&lt;&gt;"",evenwicht!D6,"")</f>
        <v>0.16217253275473525</v>
      </c>
      <c r="D96" s="146">
        <f>IF(evenwicht!E6&lt;&gt;"",evenwicht!E6,"")</f>
        <v>0.50486216106822102</v>
      </c>
      <c r="E96" s="147">
        <f>IF(evenwicht!F6&lt;&gt;"",evenwicht!F6,"")</f>
        <v>0.943383227457673</v>
      </c>
      <c r="F96" s="147">
        <f>IF(evenwicht!G6&lt;&gt;"",evenwicht!G6,"")</f>
        <v>1</v>
      </c>
      <c r="G96" s="147">
        <f>IF(evenwicht!H6&lt;&gt;"",evenwicht!H6,"")</f>
        <v>0.77223648924957744</v>
      </c>
      <c r="H96" s="147">
        <f>IF(evenwicht!I6&lt;&gt;"",evenwicht!I6,"")</f>
        <v>0.79023745754825636</v>
      </c>
      <c r="I96" s="147">
        <f>IF(evenwicht!J6&lt;&gt;"",evenwicht!J6,"")</f>
        <v>0.63110682083437419</v>
      </c>
      <c r="J96" s="147">
        <f>IF(evenwicht!K6&lt;&gt;"",evenwicht!K6,"")</f>
        <v>0.87120901203593171</v>
      </c>
      <c r="K96" s="147">
        <f>IF(evenwicht!L6&lt;&gt;"",evenwicht!L6,"")</f>
        <v>0.86536847063850975</v>
      </c>
      <c r="L96" s="147">
        <f>IF(evenwicht!M6&lt;&gt;"",evenwicht!M6,"")</f>
        <v>0.72481655312346349</v>
      </c>
      <c r="M96" s="147" t="str">
        <f>IF(evenwicht!N6&lt;&gt;"",evenwicht!N6,"")</f>
        <v/>
      </c>
      <c r="N96" s="147" t="str">
        <f>IF(evenwicht!O6&lt;&gt;"",evenwicht!O6,"")</f>
        <v/>
      </c>
      <c r="O96" s="148" t="str">
        <f>IF(evenwicht!P6&lt;&gt;"",evenwicht!P6,"")</f>
        <v/>
      </c>
    </row>
    <row r="97" spans="1:17">
      <c r="A97" s="130" t="str">
        <f>IF(evenwicht!A7&lt;&gt;"",evenwicht!A7,"")</f>
        <v>Aandelen ontwikkeld</v>
      </c>
      <c r="B97" s="143">
        <f ca="1">IF(A97&lt;&gt;"",OFFSET(scenarios!B6,0,covar_scenarios!$A$92),"")</f>
        <v>0.40935864013329615</v>
      </c>
      <c r="C97" s="61">
        <f>IF(evenwicht!D7&lt;&gt;"",evenwicht!D7,"")</f>
        <v>0.28718972670468956</v>
      </c>
      <c r="D97" s="146">
        <f>IF(evenwicht!E7&lt;&gt;"",evenwicht!E7,"")</f>
        <v>0.2548754055202187</v>
      </c>
      <c r="E97" s="147">
        <f>IF(evenwicht!F7&lt;&gt;"",evenwicht!F7,"")</f>
        <v>0.74070013517974975</v>
      </c>
      <c r="F97" s="147">
        <f>IF(evenwicht!G7&lt;&gt;"",evenwicht!G7,"")</f>
        <v>0.77223648924957744</v>
      </c>
      <c r="G97" s="147">
        <f>IF(evenwicht!H7&lt;&gt;"",evenwicht!H7,"")</f>
        <v>1</v>
      </c>
      <c r="H97" s="147">
        <f>IF(evenwicht!I7&lt;&gt;"",evenwicht!I7,"")</f>
        <v>0.81106497730540505</v>
      </c>
      <c r="I97" s="147">
        <f>IF(evenwicht!J7&lt;&gt;"",evenwicht!J7,"")</f>
        <v>0.69909036020626758</v>
      </c>
      <c r="J97" s="147">
        <f>IF(evenwicht!K7&lt;&gt;"",evenwicht!K7,"")</f>
        <v>0.74571542163255744</v>
      </c>
      <c r="K97" s="147">
        <f>IF(evenwicht!L7&lt;&gt;"",evenwicht!L7,"")</f>
        <v>0.88603334197313832</v>
      </c>
      <c r="L97" s="147">
        <f>IF(evenwicht!M7&lt;&gt;"",evenwicht!M7,"")</f>
        <v>0.62515021546234684</v>
      </c>
      <c r="M97" s="147" t="str">
        <f>IF(evenwicht!N7&lt;&gt;"",evenwicht!N7,"")</f>
        <v/>
      </c>
      <c r="N97" s="147" t="str">
        <f>IF(evenwicht!O7&lt;&gt;"",evenwicht!O7,"")</f>
        <v/>
      </c>
      <c r="O97" s="148" t="str">
        <f>IF(evenwicht!P7&lt;&gt;"",evenwicht!P7,"")</f>
        <v/>
      </c>
    </row>
    <row r="98" spans="1:17">
      <c r="A98" s="130" t="str">
        <f>IF(evenwicht!A8&lt;&gt;"",evenwicht!A8,"")</f>
        <v>Aandelen opkomend</v>
      </c>
      <c r="B98" s="143">
        <f ca="1">IF(A98&lt;&gt;"",OFFSET(scenarios!B7,0,covar_scenarios!$A$92),"")</f>
        <v>0.37672139820686834</v>
      </c>
      <c r="C98" s="61">
        <f>IF(evenwicht!D8&lt;&gt;"",evenwicht!D8,"")</f>
        <v>0.29616397669669142</v>
      </c>
      <c r="D98" s="146">
        <f>IF(evenwicht!E8&lt;&gt;"",evenwicht!E8,"")</f>
        <v>0.29680815289593021</v>
      </c>
      <c r="E98" s="147">
        <f>IF(evenwicht!F8&lt;&gt;"",evenwicht!F8,"")</f>
        <v>0.74187676376193967</v>
      </c>
      <c r="F98" s="147">
        <f>IF(evenwicht!G8&lt;&gt;"",evenwicht!G8,"")</f>
        <v>0.79023745754825636</v>
      </c>
      <c r="G98" s="147">
        <f>IF(evenwicht!H8&lt;&gt;"",evenwicht!H8,"")</f>
        <v>0.81106497730540505</v>
      </c>
      <c r="H98" s="147">
        <f>IF(evenwicht!I8&lt;&gt;"",evenwicht!I8,"")</f>
        <v>0.99999999999999978</v>
      </c>
      <c r="I98" s="147">
        <f>IF(evenwicht!J8&lt;&gt;"",evenwicht!J8,"")</f>
        <v>0.63944069654526292</v>
      </c>
      <c r="J98" s="147">
        <f>IF(evenwicht!K8&lt;&gt;"",evenwicht!K8,"")</f>
        <v>0.64591301484464436</v>
      </c>
      <c r="K98" s="147">
        <f>IF(evenwicht!L8&lt;&gt;"",evenwicht!L8,"")</f>
        <v>0.78448428807756676</v>
      </c>
      <c r="L98" s="147">
        <f>IF(evenwicht!M8&lt;&gt;"",evenwicht!M8,"")</f>
        <v>0.51393319492259693</v>
      </c>
      <c r="M98" s="147" t="str">
        <f>IF(evenwicht!N8&lt;&gt;"",evenwicht!N8,"")</f>
        <v/>
      </c>
      <c r="N98" s="147" t="str">
        <f>IF(evenwicht!O8&lt;&gt;"",evenwicht!O8,"")</f>
        <v/>
      </c>
      <c r="O98" s="148" t="str">
        <f>IF(evenwicht!P8&lt;&gt;"",evenwicht!P8,"")</f>
        <v/>
      </c>
    </row>
    <row r="99" spans="1:17">
      <c r="A99" s="130" t="str">
        <f>IF(evenwicht!A9&lt;&gt;"",evenwicht!A9,"")</f>
        <v>Commodities</v>
      </c>
      <c r="B99" s="143">
        <f ca="1">IF(A99&lt;&gt;"",OFFSET(scenarios!B8,0,covar_scenarios!$A$92),"")</f>
        <v>0.621322616702631</v>
      </c>
      <c r="C99" s="61">
        <f>IF(evenwicht!D9&lt;&gt;"",evenwicht!D9,"")</f>
        <v>0.32648216646211403</v>
      </c>
      <c r="D99" s="146">
        <f>IF(evenwicht!E9&lt;&gt;"",evenwicht!E9,"")</f>
        <v>0.25154461316198523</v>
      </c>
      <c r="E99" s="147">
        <f>IF(evenwicht!F9&lt;&gt;"",evenwicht!F9,"")</f>
        <v>0.60846903584875167</v>
      </c>
      <c r="F99" s="147">
        <f>IF(evenwicht!G9&lt;&gt;"",evenwicht!G9,"")</f>
        <v>0.6311068208343743</v>
      </c>
      <c r="G99" s="147">
        <f>IF(evenwicht!H9&lt;&gt;"",evenwicht!H9,"")</f>
        <v>0.69909036020626758</v>
      </c>
      <c r="H99" s="147">
        <f>IF(evenwicht!I9&lt;&gt;"",evenwicht!I9,"")</f>
        <v>0.63944069654526281</v>
      </c>
      <c r="I99" s="147">
        <f>IF(evenwicht!J9&lt;&gt;"",evenwicht!J9,"")</f>
        <v>0.99999999999999978</v>
      </c>
      <c r="J99" s="147">
        <f>IF(evenwicht!K9&lt;&gt;"",evenwicht!K9,"")</f>
        <v>0.57555638609831095</v>
      </c>
      <c r="K99" s="147">
        <f>IF(evenwicht!L9&lt;&gt;"",evenwicht!L9,"")</f>
        <v>0.6706441294402975</v>
      </c>
      <c r="L99" s="147">
        <f>IF(evenwicht!M9&lt;&gt;"",evenwicht!M9,"")</f>
        <v>0.49865020725851583</v>
      </c>
      <c r="M99" s="147" t="str">
        <f>IF(evenwicht!N9&lt;&gt;"",evenwicht!N9,"")</f>
        <v/>
      </c>
      <c r="N99" s="147" t="str">
        <f>IF(evenwicht!O9&lt;&gt;"",evenwicht!O9,"")</f>
        <v/>
      </c>
      <c r="O99" s="148" t="str">
        <f>IF(evenwicht!P9&lt;&gt;"",evenwicht!P9,"")</f>
        <v/>
      </c>
    </row>
    <row r="100" spans="1:17">
      <c r="A100" s="130" t="str">
        <f>IF(evenwicht!A10&lt;&gt;"",evenwicht!A10,"")</f>
        <v>Hedge funds</v>
      </c>
      <c r="B100" s="143">
        <f ca="1">IF(A100&lt;&gt;"",OFFSET(scenarios!B9,0,covar_scenarios!$A$92),"")</f>
        <v>0.28021842301080391</v>
      </c>
      <c r="C100" s="61">
        <f>IF(evenwicht!D10&lt;&gt;"",evenwicht!D10,"")</f>
        <v>0.16076897495152093</v>
      </c>
      <c r="D100" s="146">
        <f>IF(evenwicht!E10&lt;&gt;"",evenwicht!E10,"")</f>
        <v>0.488213192416737</v>
      </c>
      <c r="E100" s="147">
        <f>IF(evenwicht!F10&lt;&gt;"",evenwicht!F10,"")</f>
        <v>0.86668583493806206</v>
      </c>
      <c r="F100" s="147">
        <f>IF(evenwicht!G10&lt;&gt;"",evenwicht!G10,"")</f>
        <v>0.87120901203593182</v>
      </c>
      <c r="G100" s="147">
        <f>IF(evenwicht!H10&lt;&gt;"",evenwicht!H10,"")</f>
        <v>0.74571542163255744</v>
      </c>
      <c r="H100" s="147">
        <f>IF(evenwicht!I10&lt;&gt;"",evenwicht!I10,"")</f>
        <v>0.64591301484464425</v>
      </c>
      <c r="I100" s="147">
        <f>IF(evenwicht!J10&lt;&gt;"",evenwicht!J10,"")</f>
        <v>0.57555638609831083</v>
      </c>
      <c r="J100" s="147">
        <f>IF(evenwicht!K10&lt;&gt;"",evenwicht!K10,"")</f>
        <v>1.0000000000000002</v>
      </c>
      <c r="K100" s="147">
        <f>IF(evenwicht!L10&lt;&gt;"",evenwicht!L10,"")</f>
        <v>0.79740125449060317</v>
      </c>
      <c r="L100" s="147">
        <f>IF(evenwicht!M10&lt;&gt;"",evenwicht!M10,"")</f>
        <v>0.6990511874231996</v>
      </c>
      <c r="M100" s="147" t="str">
        <f>IF(evenwicht!N10&lt;&gt;"",evenwicht!N10,"")</f>
        <v/>
      </c>
      <c r="N100" s="147" t="str">
        <f>IF(evenwicht!O10&lt;&gt;"",evenwicht!O10,"")</f>
        <v/>
      </c>
      <c r="O100" s="148" t="str">
        <f>IF(evenwicht!P10&lt;&gt;"",evenwicht!P10,"")</f>
        <v/>
      </c>
    </row>
    <row r="101" spans="1:17">
      <c r="A101" s="130" t="str">
        <f>IF(evenwicht!A11&lt;&gt;"",evenwicht!A11,"")</f>
        <v>Onroerend goed</v>
      </c>
      <c r="B101" s="143">
        <f ca="1">IF(A101&lt;&gt;"",OFFSET(scenarios!B10,0,covar_scenarios!$A$92),"")</f>
        <v>0.41038049782760322</v>
      </c>
      <c r="C101" s="61">
        <f>IF(evenwicht!D11&lt;&gt;"",evenwicht!D11,"")</f>
        <v>0.20064050365322861</v>
      </c>
      <c r="D101" s="146">
        <f>IF(evenwicht!E11&lt;&gt;"",evenwicht!E11,"")</f>
        <v>0.39542796227510135</v>
      </c>
      <c r="E101" s="147">
        <f>IF(evenwicht!F11&lt;&gt;"",evenwicht!F11,"")</f>
        <v>0.86259221475724557</v>
      </c>
      <c r="F101" s="147">
        <f>IF(evenwicht!G11&lt;&gt;"",evenwicht!G11,"")</f>
        <v>0.86536847063850963</v>
      </c>
      <c r="G101" s="147">
        <f>IF(evenwicht!H11&lt;&gt;"",evenwicht!H11,"")</f>
        <v>0.88603334197313832</v>
      </c>
      <c r="H101" s="147">
        <f>IF(evenwicht!I11&lt;&gt;"",evenwicht!I11,"")</f>
        <v>0.78448428807756676</v>
      </c>
      <c r="I101" s="147">
        <f>IF(evenwicht!J11&lt;&gt;"",evenwicht!J11,"")</f>
        <v>0.67064412944029761</v>
      </c>
      <c r="J101" s="147">
        <f>IF(evenwicht!K11&lt;&gt;"",evenwicht!K11,"")</f>
        <v>0.79740125449060328</v>
      </c>
      <c r="K101" s="147">
        <f>IF(evenwicht!L11&lt;&gt;"",evenwicht!L11,"")</f>
        <v>1.0000000000000002</v>
      </c>
      <c r="L101" s="147">
        <f>IF(evenwicht!M11&lt;&gt;"",evenwicht!M11,"")</f>
        <v>0.74626676152997484</v>
      </c>
      <c r="M101" s="147" t="str">
        <f>IF(evenwicht!N11&lt;&gt;"",evenwicht!N11,"")</f>
        <v/>
      </c>
      <c r="N101" s="147" t="str">
        <f>IF(evenwicht!O11&lt;&gt;"",evenwicht!O11,"")</f>
        <v/>
      </c>
      <c r="O101" s="148" t="str">
        <f>IF(evenwicht!P11&lt;&gt;"",evenwicht!P11,"")</f>
        <v/>
      </c>
    </row>
    <row r="102" spans="1:17">
      <c r="A102" s="130" t="str">
        <f>IF(evenwicht!A12&lt;&gt;"",evenwicht!A12,"")</f>
        <v>Periferie bonds</v>
      </c>
      <c r="B102" s="143">
        <f ca="1">IF(A102&lt;&gt;"",OFFSET(scenarios!B11,0,covar_scenarios!$A$92),"")</f>
        <v>0.16161778235216684</v>
      </c>
      <c r="C102" s="61">
        <f>IF(evenwicht!D12&lt;&gt;"",evenwicht!D12,"")</f>
        <v>0.17312066928436093</v>
      </c>
      <c r="D102" s="146">
        <f>IF(evenwicht!E12&lt;&gt;"",evenwicht!E12,"")</f>
        <v>0.47422188785278774</v>
      </c>
      <c r="E102" s="147">
        <f>IF(evenwicht!F12&lt;&gt;"",evenwicht!F12,"")</f>
        <v>0.75906077754107693</v>
      </c>
      <c r="F102" s="147">
        <f>IF(evenwicht!G12&lt;&gt;"",evenwicht!G12,"")</f>
        <v>0.72481655312346349</v>
      </c>
      <c r="G102" s="147">
        <f>IF(evenwicht!H12&lt;&gt;"",evenwicht!H12,"")</f>
        <v>0.62515021546234673</v>
      </c>
      <c r="H102" s="147">
        <f>IF(evenwicht!I12&lt;&gt;"",evenwicht!I12,"")</f>
        <v>0.51393319492259693</v>
      </c>
      <c r="I102" s="147">
        <f>IF(evenwicht!J12&lt;&gt;"",evenwicht!J12,"")</f>
        <v>0.49865020725851572</v>
      </c>
      <c r="J102" s="147">
        <f>IF(evenwicht!K12&lt;&gt;"",evenwicht!K12,"")</f>
        <v>0.69905118742319949</v>
      </c>
      <c r="K102" s="147">
        <f>IF(evenwicht!L12&lt;&gt;"",evenwicht!L12,"")</f>
        <v>0.74626676152997495</v>
      </c>
      <c r="L102" s="147">
        <f>IF(evenwicht!M12&lt;&gt;"",evenwicht!M12,"")</f>
        <v>0.99999999999999989</v>
      </c>
      <c r="M102" s="147" t="str">
        <f>IF(evenwicht!N12&lt;&gt;"",evenwicht!N12,"")</f>
        <v/>
      </c>
      <c r="N102" s="147" t="str">
        <f>IF(evenwicht!O12&lt;&gt;"",evenwicht!O12,"")</f>
        <v/>
      </c>
      <c r="O102" s="148" t="str">
        <f>IF(evenwicht!P12&lt;&gt;"",evenwicht!P12,"")</f>
        <v/>
      </c>
      <c r="Q102" s="67"/>
    </row>
    <row r="103" spans="1:17">
      <c r="A103" s="130" t="str">
        <f>IF(evenwicht!A13&lt;&gt;"",evenwicht!A13,"")</f>
        <v/>
      </c>
      <c r="B103" s="143" t="str">
        <f ca="1">IF(A103&lt;&gt;"",OFFSET(scenarios!B12,0,covar_scenarios!$A$92),"")</f>
        <v/>
      </c>
      <c r="C103" s="61" t="str">
        <f>IF(evenwicht!D13&lt;&gt;"",evenwicht!D13,"")</f>
        <v/>
      </c>
      <c r="D103" s="146" t="str">
        <f>IF(evenwicht!E13&lt;&gt;"",evenwicht!E13,"")</f>
        <v/>
      </c>
      <c r="E103" s="147" t="str">
        <f>IF(evenwicht!F13&lt;&gt;"",evenwicht!F13,"")</f>
        <v/>
      </c>
      <c r="F103" s="147" t="str">
        <f>IF(evenwicht!G13&lt;&gt;"",evenwicht!G13,"")</f>
        <v/>
      </c>
      <c r="G103" s="147" t="str">
        <f>IF(evenwicht!H13&lt;&gt;"",evenwicht!H13,"")</f>
        <v/>
      </c>
      <c r="H103" s="147" t="str">
        <f>IF(evenwicht!I13&lt;&gt;"",evenwicht!I13,"")</f>
        <v/>
      </c>
      <c r="I103" s="147" t="str">
        <f>IF(evenwicht!J13&lt;&gt;"",evenwicht!J13,"")</f>
        <v/>
      </c>
      <c r="J103" s="147" t="str">
        <f>IF(evenwicht!K13&lt;&gt;"",evenwicht!K13,"")</f>
        <v/>
      </c>
      <c r="K103" s="147" t="str">
        <f>IF(evenwicht!L13&lt;&gt;"",evenwicht!L13,"")</f>
        <v/>
      </c>
      <c r="L103" s="147" t="str">
        <f>IF(evenwicht!M13&lt;&gt;"",evenwicht!M13,"")</f>
        <v/>
      </c>
      <c r="M103" s="147" t="str">
        <f>IF(evenwicht!N13&lt;&gt;"",evenwicht!N13,"")</f>
        <v/>
      </c>
      <c r="N103" s="147" t="str">
        <f>IF(evenwicht!O13&lt;&gt;"",evenwicht!O13,"")</f>
        <v/>
      </c>
      <c r="O103" s="148" t="str">
        <f>IF(evenwicht!P13&lt;&gt;"",evenwicht!P13,"")</f>
        <v/>
      </c>
      <c r="Q103" s="67"/>
    </row>
    <row r="104" spans="1:17">
      <c r="A104" s="130" t="str">
        <f>IF(evenwicht!A14&lt;&gt;"",evenwicht!A14,"")</f>
        <v/>
      </c>
      <c r="B104" s="143" t="str">
        <f ca="1">IF(A104&lt;&gt;"",OFFSET(scenarios!B13,0,covar_scenarios!$A$92),"")</f>
        <v/>
      </c>
      <c r="C104" s="61" t="str">
        <f>IF(evenwicht!D14&lt;&gt;"",evenwicht!D14,"")</f>
        <v/>
      </c>
      <c r="D104" s="146" t="str">
        <f>IF(evenwicht!E14&lt;&gt;"",evenwicht!E14,"")</f>
        <v/>
      </c>
      <c r="E104" s="147" t="str">
        <f>IF(evenwicht!F14&lt;&gt;"",evenwicht!F14,"")</f>
        <v/>
      </c>
      <c r="F104" s="147" t="str">
        <f>IF(evenwicht!G14&lt;&gt;"",evenwicht!G14,"")</f>
        <v/>
      </c>
      <c r="G104" s="147" t="str">
        <f>IF(evenwicht!H14&lt;&gt;"",evenwicht!H14,"")</f>
        <v/>
      </c>
      <c r="H104" s="147" t="str">
        <f>IF(evenwicht!I14&lt;&gt;"",evenwicht!I14,"")</f>
        <v/>
      </c>
      <c r="I104" s="147" t="str">
        <f>IF(evenwicht!J14&lt;&gt;"",evenwicht!J14,"")</f>
        <v/>
      </c>
      <c r="J104" s="147" t="str">
        <f>IF(evenwicht!K14&lt;&gt;"",evenwicht!K14,"")</f>
        <v/>
      </c>
      <c r="K104" s="147" t="str">
        <f>IF(evenwicht!L14&lt;&gt;"",evenwicht!L14,"")</f>
        <v/>
      </c>
      <c r="L104" s="147" t="str">
        <f>IF(evenwicht!M14&lt;&gt;"",evenwicht!M14,"")</f>
        <v/>
      </c>
      <c r="M104" s="147" t="str">
        <f>IF(evenwicht!N14&lt;&gt;"",evenwicht!N14,"")</f>
        <v/>
      </c>
      <c r="N104" s="147" t="str">
        <f>IF(evenwicht!O14&lt;&gt;"",evenwicht!O14,"")</f>
        <v/>
      </c>
      <c r="O104" s="148" t="str">
        <f>IF(evenwicht!P14&lt;&gt;"",evenwicht!P14,"")</f>
        <v/>
      </c>
      <c r="Q104" s="67"/>
    </row>
    <row r="105" spans="1:17" ht="13.5" thickBot="1">
      <c r="A105" s="138" t="str">
        <f>IF(evenwicht!A15&lt;&gt;"",evenwicht!A15,"")</f>
        <v/>
      </c>
      <c r="B105" s="144" t="str">
        <f ca="1">IF(A105&lt;&gt;"",OFFSET(scenarios!B14,0,covar_scenarios!$A$92),"")</f>
        <v/>
      </c>
      <c r="C105" s="79" t="str">
        <f>IF(evenwicht!D15&lt;&gt;"",evenwicht!D15,"")</f>
        <v/>
      </c>
      <c r="D105" s="149" t="str">
        <f>IF(evenwicht!E15&lt;&gt;"",evenwicht!E15,"")</f>
        <v/>
      </c>
      <c r="E105" s="150" t="str">
        <f>IF(evenwicht!F15&lt;&gt;"",evenwicht!F15,"")</f>
        <v/>
      </c>
      <c r="F105" s="150" t="str">
        <f>IF(evenwicht!G15&lt;&gt;"",evenwicht!G15,"")</f>
        <v/>
      </c>
      <c r="G105" s="150" t="str">
        <f>IF(evenwicht!H15&lt;&gt;"",evenwicht!H15,"")</f>
        <v/>
      </c>
      <c r="H105" s="150" t="str">
        <f>IF(evenwicht!I15&lt;&gt;"",evenwicht!I15,"")</f>
        <v/>
      </c>
      <c r="I105" s="150" t="str">
        <f>IF(evenwicht!J15&lt;&gt;"",evenwicht!J15,"")</f>
        <v/>
      </c>
      <c r="J105" s="150" t="str">
        <f>IF(evenwicht!K15&lt;&gt;"",evenwicht!K15,"")</f>
        <v/>
      </c>
      <c r="K105" s="150" t="str">
        <f>IF(evenwicht!L15&lt;&gt;"",evenwicht!L15,"")</f>
        <v/>
      </c>
      <c r="L105" s="150" t="str">
        <f>IF(evenwicht!M15&lt;&gt;"",evenwicht!M15,"")</f>
        <v/>
      </c>
      <c r="M105" s="150" t="str">
        <f>IF(evenwicht!N15&lt;&gt;"",evenwicht!N15,"")</f>
        <v/>
      </c>
      <c r="N105" s="150" t="str">
        <f>IF(evenwicht!O15&lt;&gt;"",evenwicht!O15,"")</f>
        <v/>
      </c>
      <c r="O105" s="151" t="str">
        <f>IF(evenwicht!P15&lt;&gt;"",evenwicht!P15,"")</f>
        <v/>
      </c>
      <c r="Q105" s="67"/>
    </row>
    <row r="106" spans="1:17">
      <c r="Q106" s="67"/>
    </row>
    <row r="107" spans="1:17">
      <c r="Q107" s="67"/>
    </row>
    <row r="108" spans="1:17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Q108" s="67"/>
    </row>
    <row r="109" spans="1:17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Q109" s="67"/>
    </row>
    <row r="110" spans="1:17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Q110" s="67"/>
    </row>
  </sheetData>
  <mergeCells count="7">
    <mergeCell ref="D93:O93"/>
    <mergeCell ref="D3:O3"/>
    <mergeCell ref="D18:O18"/>
    <mergeCell ref="D33:O33"/>
    <mergeCell ref="D48:O48"/>
    <mergeCell ref="D63:O63"/>
    <mergeCell ref="D78:O7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129"/>
  <sheetViews>
    <sheetView workbookViewId="0">
      <selection activeCell="I3" sqref="I3:P12"/>
    </sheetView>
  </sheetViews>
  <sheetFormatPr defaultRowHeight="15"/>
  <cols>
    <col min="1" max="1" width="32.42578125" style="3" customWidth="1"/>
    <col min="2" max="2" width="19.140625" style="3" customWidth="1"/>
    <col min="3" max="8" width="18.7109375" style="3" customWidth="1"/>
    <col min="9" max="16384" width="9.140625" style="3"/>
  </cols>
  <sheetData>
    <row r="1" spans="1:8" ht="15.75" thickBot="1">
      <c r="A1" s="164" t="s">
        <v>85</v>
      </c>
      <c r="B1" s="45"/>
      <c r="C1" s="165"/>
      <c r="D1" s="165"/>
      <c r="E1" s="45"/>
      <c r="F1" s="45"/>
    </row>
    <row r="2" spans="1:8" ht="15.75" thickBot="1">
      <c r="A2" s="45"/>
      <c r="B2" s="45"/>
      <c r="C2" s="166" t="s">
        <v>86</v>
      </c>
      <c r="D2" s="167"/>
      <c r="E2" s="168" t="s">
        <v>87</v>
      </c>
      <c r="F2" s="169"/>
      <c r="G2" s="170" t="s">
        <v>88</v>
      </c>
      <c r="H2" s="171"/>
    </row>
    <row r="3" spans="1:8" ht="15.75" thickBot="1">
      <c r="A3" s="172" t="s">
        <v>89</v>
      </c>
      <c r="B3" s="173" t="s">
        <v>90</v>
      </c>
      <c r="C3" s="174" t="s">
        <v>91</v>
      </c>
      <c r="D3" s="175" t="s">
        <v>92</v>
      </c>
      <c r="E3" s="175" t="s">
        <v>91</v>
      </c>
      <c r="F3" s="176" t="s">
        <v>92</v>
      </c>
      <c r="G3" s="177" t="s">
        <v>93</v>
      </c>
      <c r="H3" s="50" t="s">
        <v>94</v>
      </c>
    </row>
    <row r="4" spans="1:8">
      <c r="A4" s="110" t="str">
        <f>IF('[2]Absolute visies'!A4&lt;&gt;"",'[2]Absolute visies'!A4,"")</f>
        <v>Nominale matching</v>
      </c>
      <c r="B4" s="200" t="s">
        <v>95</v>
      </c>
      <c r="C4" s="197">
        <v>0</v>
      </c>
      <c r="D4" s="197">
        <v>1</v>
      </c>
      <c r="E4" s="197">
        <v>0</v>
      </c>
      <c r="F4" s="197">
        <v>1</v>
      </c>
      <c r="G4" s="178">
        <f>IF(main!B3&lt;&gt;"",main!B3,"")</f>
        <v>0.55552002657163746</v>
      </c>
      <c r="H4" s="197">
        <v>0.99</v>
      </c>
    </row>
    <row r="5" spans="1:8">
      <c r="A5" s="113" t="str">
        <f>IF('[2]Absolute visies'!A5&lt;&gt;"",'[2]Absolute visies'!A5,"")</f>
        <v>High Yield</v>
      </c>
      <c r="B5" s="201" t="s">
        <v>96</v>
      </c>
      <c r="C5" s="198">
        <v>0</v>
      </c>
      <c r="D5" s="198">
        <v>1</v>
      </c>
      <c r="E5" s="198">
        <v>0</v>
      </c>
      <c r="F5" s="198">
        <v>1</v>
      </c>
      <c r="G5" s="111">
        <f>IF(main!B4&lt;&gt;"",main!B4,"")</f>
        <v>9.7772401711769694E-2</v>
      </c>
      <c r="H5" s="198">
        <v>0.99</v>
      </c>
    </row>
    <row r="6" spans="1:8">
      <c r="A6" s="113" t="str">
        <f>IF('[2]Absolute visies'!A6&lt;&gt;"",'[2]Absolute visies'!A6,"")</f>
        <v>Emerging market debt</v>
      </c>
      <c r="B6" s="201" t="s">
        <v>96</v>
      </c>
      <c r="C6" s="198">
        <v>0</v>
      </c>
      <c r="D6" s="198">
        <v>1</v>
      </c>
      <c r="E6" s="198">
        <v>0</v>
      </c>
      <c r="F6" s="198">
        <v>1</v>
      </c>
      <c r="G6" s="111">
        <f>IF(main!B5&lt;&gt;"",main!B5,"")</f>
        <v>9.4763191533410202E-2</v>
      </c>
      <c r="H6" s="198">
        <v>0.99</v>
      </c>
    </row>
    <row r="7" spans="1:8">
      <c r="A7" s="113" t="str">
        <f>IF('[2]Absolute visies'!A7&lt;&gt;"",'[2]Absolute visies'!A7,"")</f>
        <v>Aandelen ontwikkeld</v>
      </c>
      <c r="B7" s="201" t="s">
        <v>96</v>
      </c>
      <c r="C7" s="198">
        <v>0</v>
      </c>
      <c r="D7" s="198">
        <v>1</v>
      </c>
      <c r="E7" s="198">
        <v>0</v>
      </c>
      <c r="F7" s="198">
        <v>1</v>
      </c>
      <c r="G7" s="111">
        <f>IF(main!B6&lt;&gt;"",main!B6,"")</f>
        <v>0.10281340879516217</v>
      </c>
      <c r="H7" s="198">
        <v>0.99</v>
      </c>
    </row>
    <row r="8" spans="1:8">
      <c r="A8" s="113" t="str">
        <f>IF('[2]Absolute visies'!A8&lt;&gt;"",'[2]Absolute visies'!A8,"")</f>
        <v>Aandelen opkomend</v>
      </c>
      <c r="B8" s="201" t="s">
        <v>96</v>
      </c>
      <c r="C8" s="198">
        <v>0</v>
      </c>
      <c r="D8" s="198">
        <v>1</v>
      </c>
      <c r="E8" s="198">
        <v>0</v>
      </c>
      <c r="F8" s="198">
        <v>1</v>
      </c>
      <c r="G8" s="111">
        <f>IF(main!B7&lt;&gt;"",main!B7,"")</f>
        <v>5.1014363077869621E-2</v>
      </c>
      <c r="H8" s="198">
        <v>0.99</v>
      </c>
    </row>
    <row r="9" spans="1:8">
      <c r="A9" s="113" t="str">
        <f>IF('[2]Absolute visies'!A9&lt;&gt;"",'[2]Absolute visies'!A9,"")</f>
        <v>Commodities</v>
      </c>
      <c r="B9" s="201" t="s">
        <v>96</v>
      </c>
      <c r="C9" s="198">
        <v>0</v>
      </c>
      <c r="D9" s="198">
        <v>1</v>
      </c>
      <c r="E9" s="198">
        <v>0</v>
      </c>
      <c r="F9" s="198">
        <v>1</v>
      </c>
      <c r="G9" s="111">
        <f>IF(main!B8&lt;&gt;"",main!B8,"")</f>
        <v>2.0731266317763185E-2</v>
      </c>
      <c r="H9" s="198">
        <v>0.99</v>
      </c>
    </row>
    <row r="10" spans="1:8">
      <c r="A10" s="113" t="str">
        <f>IF('[2]Absolute visies'!A10&lt;&gt;"",'[2]Absolute visies'!A10,"")</f>
        <v>Hedge funds</v>
      </c>
      <c r="B10" s="201" t="s">
        <v>96</v>
      </c>
      <c r="C10" s="198">
        <v>0</v>
      </c>
      <c r="D10" s="198">
        <v>1</v>
      </c>
      <c r="E10" s="198">
        <v>0</v>
      </c>
      <c r="F10" s="198">
        <v>1</v>
      </c>
      <c r="G10" s="111">
        <f>IF(main!B9&lt;&gt;"",main!B9,"")</f>
        <v>3.0634868515694261E-2</v>
      </c>
      <c r="H10" s="198">
        <v>0.99</v>
      </c>
    </row>
    <row r="11" spans="1:8">
      <c r="A11" s="113" t="str">
        <f>IF('[2]Absolute visies'!A11&lt;&gt;"",'[2]Absolute visies'!A11,"")</f>
        <v>Onroerend goed</v>
      </c>
      <c r="B11" s="201" t="s">
        <v>96</v>
      </c>
      <c r="C11" s="198">
        <v>0</v>
      </c>
      <c r="D11" s="198">
        <v>1</v>
      </c>
      <c r="E11" s="198">
        <v>0</v>
      </c>
      <c r="F11" s="198">
        <v>1</v>
      </c>
      <c r="G11" s="111">
        <f>IF(main!B10&lt;&gt;"",main!B10,"")</f>
        <v>4.6750473476693498E-2</v>
      </c>
      <c r="H11" s="198">
        <v>0.99</v>
      </c>
    </row>
    <row r="12" spans="1:8">
      <c r="A12" s="113" t="str">
        <f>IF('[2]Absolute visies'!A12&lt;&gt;"",'[2]Absolute visies'!A12,"")</f>
        <v>Periferie bonds</v>
      </c>
      <c r="B12" s="201" t="s">
        <v>96</v>
      </c>
      <c r="C12" s="198">
        <v>0</v>
      </c>
      <c r="D12" s="198">
        <v>1</v>
      </c>
      <c r="E12" s="198">
        <v>0</v>
      </c>
      <c r="F12" s="198">
        <v>1</v>
      </c>
      <c r="G12" s="111">
        <f>IF(main!B11&lt;&gt;"",main!B11,"")</f>
        <v>0</v>
      </c>
      <c r="H12" s="198">
        <v>0.99</v>
      </c>
    </row>
    <row r="13" spans="1:8">
      <c r="A13" s="113" t="str">
        <f>IF('[2]Absolute visies'!A13&lt;&gt;"",'[2]Absolute visies'!A13,"")</f>
        <v/>
      </c>
      <c r="B13" s="201"/>
      <c r="C13" s="198" t="str">
        <f>IF(main!C12&lt;&gt;"",main!C12,"")</f>
        <v/>
      </c>
      <c r="D13" s="198" t="str">
        <f>IF(main!D12&lt;&gt;"",main!D12,"")</f>
        <v/>
      </c>
      <c r="E13" s="198"/>
      <c r="F13" s="198"/>
      <c r="G13" s="111" t="str">
        <f>IF(main!B12&lt;&gt;"",main!B12,"")</f>
        <v/>
      </c>
      <c r="H13" s="198" t="str">
        <f>IF(main!E12&lt;&gt;"",main!E12,"")</f>
        <v/>
      </c>
    </row>
    <row r="14" spans="1:8">
      <c r="A14" s="113" t="str">
        <f>IF('[2]Absolute visies'!A14&lt;&gt;"",'[2]Absolute visies'!A14,"")</f>
        <v/>
      </c>
      <c r="B14" s="201"/>
      <c r="C14" s="198" t="str">
        <f>IF(main!C13&lt;&gt;"",main!C13,"")</f>
        <v/>
      </c>
      <c r="D14" s="198" t="str">
        <f>IF(main!D13&lt;&gt;"",main!D13,"")</f>
        <v/>
      </c>
      <c r="E14" s="198"/>
      <c r="F14" s="198"/>
      <c r="G14" s="111" t="str">
        <f>IF(main!B13&lt;&gt;"",main!B13,"")</f>
        <v/>
      </c>
      <c r="H14" s="198" t="str">
        <f>IF(main!E13&lt;&gt;"",main!E13,"")</f>
        <v/>
      </c>
    </row>
    <row r="15" spans="1:8" ht="15.75" thickBot="1">
      <c r="A15" s="114" t="str">
        <f>IF('[2]Absolute visies'!A15&lt;&gt;"",'[2]Absolute visies'!A15,"")</f>
        <v/>
      </c>
      <c r="B15" s="202"/>
      <c r="C15" s="199" t="str">
        <f>IF(main!C14&lt;&gt;"",main!C14,"")</f>
        <v/>
      </c>
      <c r="D15" s="199" t="str">
        <f>IF(main!D14&lt;&gt;"",main!D14,"")</f>
        <v/>
      </c>
      <c r="E15" s="199"/>
      <c r="F15" s="199"/>
      <c r="G15" s="115" t="str">
        <f>IF(main!B14&lt;&gt;"",main!B14,"")</f>
        <v/>
      </c>
      <c r="H15" s="199" t="str">
        <f>IF(main!E14&lt;&gt;"",main!E14,"")</f>
        <v/>
      </c>
    </row>
    <row r="16" spans="1:8" ht="15.75" thickBot="1">
      <c r="G16" s="181" t="s">
        <v>97</v>
      </c>
      <c r="H16" s="144">
        <f>main!E15</f>
        <v>0</v>
      </c>
    </row>
    <row r="17" spans="1:8" ht="15.75" thickBot="1">
      <c r="G17" s="182"/>
      <c r="H17" s="68"/>
    </row>
    <row r="18" spans="1:8" ht="15.75" thickBot="1">
      <c r="A18" s="183" t="s">
        <v>98</v>
      </c>
      <c r="B18" s="184">
        <v>0</v>
      </c>
      <c r="C18" s="184">
        <v>0</v>
      </c>
      <c r="D18" s="184">
        <v>0</v>
      </c>
      <c r="E18" s="184">
        <v>0</v>
      </c>
      <c r="F18" s="184">
        <v>0</v>
      </c>
      <c r="G18" s="185">
        <v>0</v>
      </c>
    </row>
    <row r="19" spans="1:8">
      <c r="A19" s="110" t="str">
        <f>IF('[2]Absolute visies'!A4&lt;&gt;"",'[2]Absolute visies'!A4,"")</f>
        <v>Nominale matching</v>
      </c>
      <c r="B19" s="186">
        <v>0</v>
      </c>
      <c r="C19" s="186">
        <v>0</v>
      </c>
      <c r="D19" s="186">
        <v>0</v>
      </c>
      <c r="E19" s="186">
        <v>0</v>
      </c>
      <c r="F19" s="186">
        <v>0</v>
      </c>
      <c r="G19" s="187">
        <v>0</v>
      </c>
    </row>
    <row r="20" spans="1:8">
      <c r="A20" s="113" t="str">
        <f>IF('[2]Absolute visies'!A5&lt;&gt;"",'[2]Absolute visies'!A5,"")</f>
        <v>High Yield</v>
      </c>
      <c r="B20" s="188">
        <v>0</v>
      </c>
      <c r="C20" s="188">
        <v>0</v>
      </c>
      <c r="D20" s="188">
        <v>0</v>
      </c>
      <c r="E20" s="188">
        <v>0</v>
      </c>
      <c r="F20" s="188">
        <v>0</v>
      </c>
      <c r="G20" s="188">
        <v>0</v>
      </c>
    </row>
    <row r="21" spans="1:8">
      <c r="A21" s="113" t="str">
        <f>IF('[2]Absolute visies'!A6&lt;&gt;"",'[2]Absolute visies'!A6,"")</f>
        <v>Emerging market debt</v>
      </c>
      <c r="B21" s="188">
        <v>0</v>
      </c>
      <c r="C21" s="188">
        <v>0</v>
      </c>
      <c r="D21" s="188">
        <v>0</v>
      </c>
      <c r="E21" s="188">
        <v>0</v>
      </c>
      <c r="F21" s="188">
        <v>0</v>
      </c>
      <c r="G21" s="189">
        <v>0</v>
      </c>
    </row>
    <row r="22" spans="1:8">
      <c r="A22" s="113" t="str">
        <f>IF('[2]Absolute visies'!A7&lt;&gt;"",'[2]Absolute visies'!A7,"")</f>
        <v>Aandelen ontwikkeld</v>
      </c>
      <c r="B22" s="188">
        <v>0</v>
      </c>
      <c r="C22" s="188">
        <v>0</v>
      </c>
      <c r="D22" s="188">
        <v>0</v>
      </c>
      <c r="E22" s="188">
        <v>0</v>
      </c>
      <c r="F22" s="188">
        <v>0</v>
      </c>
      <c r="G22" s="189">
        <v>0</v>
      </c>
    </row>
    <row r="23" spans="1:8">
      <c r="A23" s="113" t="str">
        <f>IF('[2]Absolute visies'!A8&lt;&gt;"",'[2]Absolute visies'!A8,"")</f>
        <v>Aandelen opkomend</v>
      </c>
      <c r="B23" s="188">
        <v>0</v>
      </c>
      <c r="C23" s="188">
        <v>0</v>
      </c>
      <c r="D23" s="188">
        <v>0</v>
      </c>
      <c r="E23" s="188">
        <v>0</v>
      </c>
      <c r="F23" s="188">
        <v>0</v>
      </c>
      <c r="G23" s="189">
        <v>0</v>
      </c>
    </row>
    <row r="24" spans="1:8">
      <c r="A24" s="113" t="str">
        <f>IF('[2]Absolute visies'!A9&lt;&gt;"",'[2]Absolute visies'!A9,"")</f>
        <v>Commodities</v>
      </c>
      <c r="B24" s="188">
        <v>0</v>
      </c>
      <c r="C24" s="188">
        <v>0</v>
      </c>
      <c r="D24" s="188">
        <v>0</v>
      </c>
      <c r="E24" s="188">
        <v>0</v>
      </c>
      <c r="F24" s="188">
        <v>0</v>
      </c>
      <c r="G24" s="189">
        <v>0</v>
      </c>
    </row>
    <row r="25" spans="1:8">
      <c r="A25" s="113" t="str">
        <f>IF('[2]Absolute visies'!A10&lt;&gt;"",'[2]Absolute visies'!A10,"")</f>
        <v>Hedge funds</v>
      </c>
      <c r="B25" s="188">
        <v>0</v>
      </c>
      <c r="C25" s="188">
        <v>0</v>
      </c>
      <c r="D25" s="188">
        <v>0</v>
      </c>
      <c r="E25" s="188">
        <v>0</v>
      </c>
      <c r="F25" s="188">
        <v>0</v>
      </c>
      <c r="G25" s="189">
        <v>0</v>
      </c>
    </row>
    <row r="26" spans="1:8">
      <c r="A26" s="113" t="str">
        <f>IF('[2]Absolute visies'!A11&lt;&gt;"",'[2]Absolute visies'!A11,"")</f>
        <v>Onroerend goed</v>
      </c>
      <c r="B26" s="188">
        <v>0</v>
      </c>
      <c r="C26" s="188">
        <v>0</v>
      </c>
      <c r="D26" s="188">
        <v>0</v>
      </c>
      <c r="E26" s="188">
        <v>0</v>
      </c>
      <c r="F26" s="188">
        <v>0</v>
      </c>
      <c r="G26" s="189">
        <v>0</v>
      </c>
    </row>
    <row r="27" spans="1:8">
      <c r="A27" s="113" t="str">
        <f>IF('[2]Absolute visies'!A12&lt;&gt;"",'[2]Absolute visies'!A12,"")</f>
        <v>Periferie bonds</v>
      </c>
      <c r="B27" s="188">
        <v>0</v>
      </c>
      <c r="C27" s="188">
        <v>0</v>
      </c>
      <c r="D27" s="188">
        <v>0</v>
      </c>
      <c r="E27" s="188">
        <v>0</v>
      </c>
      <c r="F27" s="188">
        <v>0</v>
      </c>
      <c r="G27" s="189">
        <v>0</v>
      </c>
    </row>
    <row r="28" spans="1:8">
      <c r="A28" s="113" t="str">
        <f>IF('[2]Absolute visies'!A13&lt;&gt;"",'[2]Absolute visies'!A13,"")</f>
        <v/>
      </c>
      <c r="B28" s="188">
        <v>0</v>
      </c>
      <c r="C28" s="188">
        <v>0</v>
      </c>
      <c r="D28" s="188">
        <v>0</v>
      </c>
      <c r="E28" s="188">
        <v>0</v>
      </c>
      <c r="F28" s="188">
        <v>0</v>
      </c>
      <c r="G28" s="189">
        <v>0</v>
      </c>
    </row>
    <row r="29" spans="1:8">
      <c r="A29" s="113" t="str">
        <f>IF('[2]Absolute visies'!A14&lt;&gt;"",'[2]Absolute visies'!A14,"")</f>
        <v/>
      </c>
      <c r="B29" s="188">
        <v>0</v>
      </c>
      <c r="C29" s="188">
        <v>0</v>
      </c>
      <c r="D29" s="188">
        <v>0</v>
      </c>
      <c r="E29" s="188">
        <v>0</v>
      </c>
      <c r="F29" s="188">
        <v>0</v>
      </c>
      <c r="G29" s="189">
        <v>0</v>
      </c>
    </row>
    <row r="30" spans="1:8" ht="15.75" thickBot="1">
      <c r="A30" s="114" t="str">
        <f>IF('[2]Absolute visies'!A15&lt;&gt;"",'[2]Absolute visies'!A15,"")</f>
        <v/>
      </c>
      <c r="B30" s="190">
        <v>0</v>
      </c>
      <c r="C30" s="190">
        <v>0</v>
      </c>
      <c r="D30" s="190">
        <v>0</v>
      </c>
      <c r="E30" s="190">
        <v>0</v>
      </c>
      <c r="F30" s="190">
        <v>0</v>
      </c>
      <c r="G30" s="191">
        <v>0</v>
      </c>
    </row>
    <row r="31" spans="1:8" ht="15.75" thickBot="1">
      <c r="A31" s="192" t="s">
        <v>99</v>
      </c>
      <c r="B31" s="193">
        <v>0</v>
      </c>
      <c r="C31" s="193">
        <v>0</v>
      </c>
      <c r="D31" s="193">
        <v>0</v>
      </c>
      <c r="E31" s="193">
        <v>0</v>
      </c>
      <c r="F31" s="193">
        <v>0</v>
      </c>
      <c r="G31" s="194">
        <v>0</v>
      </c>
    </row>
    <row r="108" spans="1:5">
      <c r="A108" s="97" t="s">
        <v>100</v>
      </c>
      <c r="B108" s="45"/>
      <c r="D108" s="97" t="s">
        <v>101</v>
      </c>
      <c r="E108" s="45"/>
    </row>
    <row r="109" spans="1:5">
      <c r="A109" s="45"/>
      <c r="B109" s="45"/>
      <c r="D109" s="45"/>
      <c r="E109" s="45"/>
    </row>
    <row r="110" spans="1:5">
      <c r="A110" s="45" t="s">
        <v>90</v>
      </c>
      <c r="B110" s="45" t="s">
        <v>95</v>
      </c>
      <c r="C110" s="88">
        <v>1</v>
      </c>
      <c r="D110" s="45" t="s">
        <v>102</v>
      </c>
      <c r="E110" s="88">
        <v>1</v>
      </c>
    </row>
    <row r="111" spans="1:5">
      <c r="A111" s="45"/>
      <c r="B111" s="45" t="s">
        <v>96</v>
      </c>
      <c r="C111" s="88">
        <v>2</v>
      </c>
      <c r="D111" s="45" t="s">
        <v>103</v>
      </c>
      <c r="E111" s="88">
        <v>0</v>
      </c>
    </row>
    <row r="114" spans="1:2">
      <c r="A114" s="97" t="s">
        <v>104</v>
      </c>
    </row>
    <row r="115" spans="1:2">
      <c r="A115" s="195" t="str">
        <f>IF(A4&lt;&gt;"",A4,"")</f>
        <v>Nominale matching</v>
      </c>
      <c r="B115" s="196">
        <f>IF(A115&lt;&gt;"",VLOOKUP(B4,$B$110:$C$111,2,0),"")</f>
        <v>1</v>
      </c>
    </row>
    <row r="116" spans="1:2">
      <c r="A116" s="195" t="str">
        <f t="shared" ref="A116:A128" si="0">IF(A5&lt;&gt;"",A5,"")</f>
        <v>High Yield</v>
      </c>
      <c r="B116" s="196">
        <f t="shared" ref="B116:B127" si="1">IF(A116&lt;&gt;"",VLOOKUP(B5,$B$110:$C$111,2,0),"")</f>
        <v>2</v>
      </c>
    </row>
    <row r="117" spans="1:2">
      <c r="A117" s="195" t="str">
        <f t="shared" si="0"/>
        <v>Emerging market debt</v>
      </c>
      <c r="B117" s="196">
        <f t="shared" si="1"/>
        <v>2</v>
      </c>
    </row>
    <row r="118" spans="1:2">
      <c r="A118" s="195" t="str">
        <f t="shared" si="0"/>
        <v>Aandelen ontwikkeld</v>
      </c>
      <c r="B118" s="196">
        <f t="shared" si="1"/>
        <v>2</v>
      </c>
    </row>
    <row r="119" spans="1:2">
      <c r="A119" s="195" t="str">
        <f t="shared" si="0"/>
        <v>Aandelen opkomend</v>
      </c>
      <c r="B119" s="196">
        <f t="shared" si="1"/>
        <v>2</v>
      </c>
    </row>
    <row r="120" spans="1:2">
      <c r="A120" s="195" t="str">
        <f t="shared" si="0"/>
        <v>Commodities</v>
      </c>
      <c r="B120" s="196">
        <f t="shared" si="1"/>
        <v>2</v>
      </c>
    </row>
    <row r="121" spans="1:2">
      <c r="A121" s="195" t="str">
        <f t="shared" si="0"/>
        <v>Hedge funds</v>
      </c>
      <c r="B121" s="196">
        <f t="shared" si="1"/>
        <v>2</v>
      </c>
    </row>
    <row r="122" spans="1:2">
      <c r="A122" s="195" t="str">
        <f t="shared" si="0"/>
        <v>Onroerend goed</v>
      </c>
      <c r="B122" s="196">
        <f t="shared" si="1"/>
        <v>2</v>
      </c>
    </row>
    <row r="123" spans="1:2">
      <c r="A123" s="195" t="str">
        <f t="shared" si="0"/>
        <v>Periferie bonds</v>
      </c>
      <c r="B123" s="196">
        <f t="shared" si="1"/>
        <v>2</v>
      </c>
    </row>
    <row r="124" spans="1:2">
      <c r="A124" s="195" t="str">
        <f t="shared" si="0"/>
        <v/>
      </c>
      <c r="B124" s="196" t="str">
        <f t="shared" si="1"/>
        <v/>
      </c>
    </row>
    <row r="125" spans="1:2">
      <c r="A125" s="195" t="str">
        <f t="shared" si="0"/>
        <v/>
      </c>
      <c r="B125" s="196" t="str">
        <f t="shared" si="1"/>
        <v/>
      </c>
    </row>
    <row r="126" spans="1:2">
      <c r="A126" s="195" t="str">
        <f t="shared" si="0"/>
        <v/>
      </c>
      <c r="B126" s="196" t="str">
        <f t="shared" si="1"/>
        <v/>
      </c>
    </row>
    <row r="127" spans="1:2">
      <c r="A127" s="195" t="str">
        <f t="shared" si="0"/>
        <v/>
      </c>
      <c r="B127" s="196" t="str">
        <f t="shared" si="1"/>
        <v/>
      </c>
    </row>
    <row r="128" spans="1:2">
      <c r="A128" s="45" t="str">
        <f t="shared" si="0"/>
        <v/>
      </c>
    </row>
    <row r="129" spans="1:1">
      <c r="A129" s="45"/>
    </row>
  </sheetData>
  <mergeCells count="3">
    <mergeCell ref="C2:D2"/>
    <mergeCell ref="E2:F2"/>
    <mergeCell ref="G2:H2"/>
  </mergeCells>
  <conditionalFormatting sqref="B4:B15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5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5">
    <cfRule type="iconSet" priority="3">
      <iconSet>
        <cfvo type="percent" val="0"/>
        <cfvo type="percent" val="33"/>
        <cfvo type="percent" val="67"/>
      </iconSet>
    </cfRule>
  </conditionalFormatting>
  <conditionalFormatting sqref="E4:E15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5">
    <cfRule type="iconSet" priority="1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4:B15">
      <formula1>$B$110:$B$111</formula1>
    </dataValidation>
    <dataValidation type="list" allowBlank="1" showInputMessage="1" showErrorMessage="1" sqref="B18:G18">
      <formula1>$E$110:$E$111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main</vt:lpstr>
      <vt:lpstr>evenwicht</vt:lpstr>
      <vt:lpstr>scenarios</vt:lpstr>
      <vt:lpstr>covar_scenarios</vt:lpstr>
      <vt:lpstr>restricties</vt:lpstr>
      <vt:lpstr>assets</vt:lpstr>
      <vt:lpstr>assetSpecified</vt:lpstr>
      <vt:lpstr>bmNummer</vt:lpstr>
      <vt:lpstr>evenwicht</vt:lpstr>
      <vt:lpstr>evenwichtRend</vt:lpstr>
      <vt:lpstr>rendSpecified</vt:lpstr>
      <vt:lpstr>trackingErrorHuidig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bgt</dc:creator>
  <cp:lastModifiedBy>bgt</cp:lastModifiedBy>
  <dcterms:created xsi:type="dcterms:W3CDTF">2013-02-25T12:06:08Z</dcterms:created>
  <dcterms:modified xsi:type="dcterms:W3CDTF">2013-02-25T14:00:15Z</dcterms:modified>
</cp:coreProperties>
</file>