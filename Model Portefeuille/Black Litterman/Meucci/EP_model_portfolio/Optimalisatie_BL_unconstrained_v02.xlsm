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90" windowWidth="23820" windowHeight="10365" activeTab="1"/>
  </bookViews>
  <sheets>
    <sheet name="main" sheetId="1" r:id="rId1"/>
    <sheet name="evenwicht" sheetId="3" r:id="rId2"/>
    <sheet name="scenarios" sheetId="2" r:id="rId3"/>
  </sheets>
  <externalReferences>
    <externalReference r:id="rId4"/>
  </externalReferences>
  <definedNames>
    <definedName name="k">'[1]Absolute visies'!$R$4:$Y$11</definedName>
  </definedNames>
  <calcPr calcId="125725" calcOnSave="0"/>
</workbook>
</file>

<file path=xl/calcChain.xml><?xml version="1.0" encoding="utf-8"?>
<calcChain xmlns="http://schemas.openxmlformats.org/spreadsheetml/2006/main">
  <c r="B116" i="3"/>
  <c r="B114"/>
  <c r="A111"/>
  <c r="A110"/>
  <c r="A109"/>
  <c r="A108"/>
  <c r="A107"/>
  <c r="A106"/>
  <c r="A105"/>
  <c r="A104"/>
  <c r="B115" s="1"/>
  <c r="B15"/>
  <c r="B14"/>
  <c r="B13"/>
  <c r="B12"/>
  <c r="B11"/>
  <c r="B10"/>
  <c r="B9"/>
  <c r="B8"/>
  <c r="B7"/>
  <c r="B6"/>
  <c r="B5"/>
  <c r="B4"/>
  <c r="B31" i="1"/>
  <c r="J14"/>
  <c r="G14"/>
  <c r="D14"/>
  <c r="A14"/>
  <c r="H14" s="1"/>
  <c r="J13"/>
  <c r="G13"/>
  <c r="D13"/>
  <c r="A13"/>
  <c r="K13" s="1"/>
  <c r="J12"/>
  <c r="G12"/>
  <c r="D12"/>
  <c r="A12"/>
  <c r="K12" s="1"/>
  <c r="J11"/>
  <c r="G11"/>
  <c r="D11"/>
  <c r="A11"/>
  <c r="J10"/>
  <c r="G10"/>
  <c r="D10"/>
  <c r="A10"/>
  <c r="J9"/>
  <c r="G9"/>
  <c r="D9"/>
  <c r="A9"/>
  <c r="J8"/>
  <c r="G8"/>
  <c r="D8"/>
  <c r="A8"/>
  <c r="J7"/>
  <c r="G7"/>
  <c r="D7"/>
  <c r="A7"/>
  <c r="J6"/>
  <c r="G6"/>
  <c r="D6"/>
  <c r="A6"/>
  <c r="K6" s="1"/>
  <c r="J5"/>
  <c r="G5"/>
  <c r="D5"/>
  <c r="A5"/>
  <c r="J4"/>
  <c r="G4"/>
  <c r="D4"/>
  <c r="A4"/>
  <c r="J3"/>
  <c r="G3"/>
  <c r="D3"/>
  <c r="A3"/>
  <c r="H7" l="1"/>
  <c r="E14"/>
  <c r="E6"/>
  <c r="K10"/>
  <c r="K7"/>
  <c r="E10"/>
  <c r="H3"/>
  <c r="K3"/>
  <c r="H11"/>
  <c r="K11"/>
  <c r="K14"/>
  <c r="E3"/>
  <c r="K4"/>
  <c r="K5"/>
  <c r="H6"/>
  <c r="E7"/>
  <c r="K8"/>
  <c r="K9"/>
  <c r="H10"/>
  <c r="E11"/>
  <c r="H4"/>
  <c r="H8"/>
  <c r="H12"/>
  <c r="H5"/>
  <c r="H9"/>
  <c r="H13"/>
  <c r="E4"/>
  <c r="E8"/>
  <c r="E12"/>
  <c r="E5"/>
  <c r="E9"/>
  <c r="E13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<sst xmlns="http://schemas.openxmlformats.org/spreadsheetml/2006/main" count="87" uniqueCount="66">
  <si>
    <t>Strategische</t>
  </si>
  <si>
    <t>Restricties</t>
  </si>
  <si>
    <t>Optimale</t>
  </si>
  <si>
    <t>Verandering in</t>
  </si>
  <si>
    <t>Allocatie</t>
  </si>
  <si>
    <t>Allocatie (BL)</t>
  </si>
  <si>
    <t>Tracking error</t>
  </si>
  <si>
    <t>Aandelenrisicopremie</t>
  </si>
  <si>
    <t>Doelstelling</t>
  </si>
  <si>
    <t>Max rendement</t>
  </si>
  <si>
    <t>Actief (1/0)</t>
  </si>
  <si>
    <t>Minimale rendement</t>
  </si>
  <si>
    <t>Maximale TE</t>
  </si>
  <si>
    <t>Maximale LPM</t>
  </si>
  <si>
    <t>Lower partial moments (LPM)</t>
  </si>
  <si>
    <t>Doelrendement</t>
  </si>
  <si>
    <t>Orde</t>
  </si>
  <si>
    <t>Stochastische optimalisatie</t>
  </si>
  <si>
    <t>Aantal iteraties</t>
  </si>
  <si>
    <t>Laat plaatje zien</t>
  </si>
  <si>
    <t>Ja</t>
  </si>
  <si>
    <t>Geen</t>
  </si>
  <si>
    <t>Min TE</t>
  </si>
  <si>
    <t>Min LPM</t>
  </si>
  <si>
    <t>Nee</t>
  </si>
  <si>
    <t>Lange rente</t>
  </si>
  <si>
    <t>Inflatie</t>
  </si>
  <si>
    <t>HY spread</t>
  </si>
  <si>
    <t>EMD spread</t>
  </si>
  <si>
    <t>Groei recessie</t>
  </si>
  <si>
    <t>Euro-crisis</t>
  </si>
  <si>
    <t>Druk creeert diamanten</t>
  </si>
  <si>
    <t>Inflatie is fiscaal</t>
  </si>
  <si>
    <t>Evenwicht</t>
  </si>
  <si>
    <t>Evenwichts</t>
  </si>
  <si>
    <t xml:space="preserve">Relatieve </t>
  </si>
  <si>
    <t>Evenwichts correlaties (relatief)</t>
  </si>
  <si>
    <t>Portefeuille</t>
  </si>
  <si>
    <t>rendement</t>
  </si>
  <si>
    <t>Stdev</t>
  </si>
  <si>
    <t>Nom</t>
  </si>
  <si>
    <t>HY</t>
  </si>
  <si>
    <t>EMD</t>
  </si>
  <si>
    <t>Aand ontw</t>
  </si>
  <si>
    <t>Aand opk</t>
  </si>
  <si>
    <t>Commodities</t>
  </si>
  <si>
    <t>HF</t>
  </si>
  <si>
    <t>OG</t>
  </si>
  <si>
    <t>tstSec</t>
  </si>
  <si>
    <t>Nominale matching</t>
  </si>
  <si>
    <t>High Yield</t>
  </si>
  <si>
    <t>Emerging market debt</t>
  </si>
  <si>
    <t>Aandelen ontwikkeld</t>
  </si>
  <si>
    <t>Aandelen opkomend</t>
  </si>
  <si>
    <t>Hedge funds</t>
  </si>
  <si>
    <t>Onroerend goed</t>
  </si>
  <si>
    <t>Periferie bonds</t>
  </si>
  <si>
    <t>Bepaal evenwichtsrendement obv reverse engineering</t>
  </si>
  <si>
    <t>Benchmark</t>
  </si>
  <si>
    <t>Vast rendement</t>
  </si>
  <si>
    <t>Vast rendement (1)</t>
  </si>
  <si>
    <t>Vast rendement (2)</t>
  </si>
  <si>
    <t>Reeksen</t>
  </si>
  <si>
    <t>Naar Matlab</t>
  </si>
  <si>
    <t>Vast 1</t>
  </si>
  <si>
    <t>Vast 2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</si>
</sst>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0000"/>
    <numFmt numFmtId="166" formatCode="0.0"/>
    <numFmt numFmtId="167" formatCode="0.000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120">
    <xf numFmtId="0" fontId="0" fillId="0" borderId="0" xfId="0"/>
    <xf numFmtId="0" fontId="0" fillId="3" borderId="2" xfId="0" applyFont="1" applyFill="1" applyBorder="1"/>
    <xf numFmtId="0" fontId="0" fillId="3" borderId="3" xfId="0" applyFill="1" applyBorder="1" applyAlignment="1">
      <alignment horizontal="center"/>
    </xf>
    <xf numFmtId="0" fontId="0" fillId="3" borderId="0" xfId="0" applyFill="1"/>
    <xf numFmtId="0" fontId="0" fillId="3" borderId="6" xfId="0" applyFont="1" applyFill="1" applyBorder="1"/>
    <xf numFmtId="0" fontId="0" fillId="3" borderId="7" xfId="0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164" fontId="0" fillId="4" borderId="12" xfId="0" applyNumberFormat="1" applyFont="1" applyFill="1" applyBorder="1" applyAlignment="1">
      <alignment horizontal="center"/>
    </xf>
    <xf numFmtId="164" fontId="0" fillId="3" borderId="12" xfId="0" applyNumberFormat="1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3" borderId="7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right"/>
    </xf>
    <xf numFmtId="164" fontId="4" fillId="3" borderId="0" xfId="1" applyNumberFormat="1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right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0" fontId="0" fillId="3" borderId="0" xfId="0" applyFont="1" applyFill="1" applyBorder="1" applyAlignment="1">
      <alignment horizontal="center"/>
    </xf>
    <xf numFmtId="0" fontId="0" fillId="3" borderId="0" xfId="0" applyFont="1" applyFill="1" applyBorder="1"/>
    <xf numFmtId="164" fontId="0" fillId="3" borderId="0" xfId="1" applyNumberFormat="1" applyFont="1" applyFill="1" applyBorder="1" applyAlignment="1">
      <alignment horizontal="center"/>
    </xf>
    <xf numFmtId="0" fontId="2" fillId="2" borderId="1" xfId="2" applyFont="1" applyAlignment="1">
      <alignment horizontal="center"/>
    </xf>
    <xf numFmtId="0" fontId="0" fillId="3" borderId="8" xfId="0" applyFont="1" applyFill="1" applyBorder="1"/>
    <xf numFmtId="0" fontId="0" fillId="3" borderId="9" xfId="0" applyFont="1" applyFill="1" applyBorder="1"/>
    <xf numFmtId="0" fontId="0" fillId="3" borderId="11" xfId="0" applyFont="1" applyFill="1" applyBorder="1" applyAlignment="1">
      <alignment horizontal="right"/>
    </xf>
    <xf numFmtId="0" fontId="0" fillId="3" borderId="13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right"/>
    </xf>
    <xf numFmtId="0" fontId="0" fillId="3" borderId="14" xfId="0" applyFont="1" applyFill="1" applyBorder="1" applyAlignment="1">
      <alignment horizontal="center"/>
    </xf>
    <xf numFmtId="0" fontId="0" fillId="3" borderId="0" xfId="0" applyFill="1" applyAlignment="1">
      <alignment horizontal="lef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center"/>
    </xf>
    <xf numFmtId="0" fontId="3" fillId="3" borderId="0" xfId="0" applyFont="1" applyFill="1"/>
    <xf numFmtId="0" fontId="0" fillId="3" borderId="3" xfId="0" applyFont="1" applyFill="1" applyBorder="1"/>
    <xf numFmtId="0" fontId="0" fillId="3" borderId="7" xfId="0" applyFont="1" applyFill="1" applyBorder="1"/>
    <xf numFmtId="0" fontId="0" fillId="3" borderId="6" xfId="0" applyFont="1" applyFill="1" applyBorder="1" applyAlignment="1">
      <alignment horizontal="center"/>
    </xf>
    <xf numFmtId="0" fontId="0" fillId="3" borderId="15" xfId="0" applyFont="1" applyFill="1" applyBorder="1" applyAlignment="1">
      <alignment horizontal="center"/>
    </xf>
    <xf numFmtId="0" fontId="0" fillId="3" borderId="12" xfId="0" applyFont="1" applyFill="1" applyBorder="1"/>
    <xf numFmtId="164" fontId="0" fillId="3" borderId="11" xfId="1" applyNumberFormat="1" applyFont="1" applyFill="1" applyBorder="1" applyAlignment="1">
      <alignment horizontal="center"/>
    </xf>
    <xf numFmtId="164" fontId="0" fillId="3" borderId="13" xfId="1" applyNumberFormat="1" applyFont="1" applyFill="1" applyBorder="1" applyAlignment="1">
      <alignment horizontal="center"/>
    </xf>
    <xf numFmtId="0" fontId="0" fillId="3" borderId="16" xfId="0" applyFont="1" applyFill="1" applyBorder="1"/>
    <xf numFmtId="0" fontId="0" fillId="3" borderId="10" xfId="0" applyFont="1" applyFill="1" applyBorder="1"/>
    <xf numFmtId="0" fontId="3" fillId="3" borderId="0" xfId="0" applyFont="1" applyFill="1" applyBorder="1"/>
    <xf numFmtId="10" fontId="3" fillId="3" borderId="0" xfId="1" applyNumberFormat="1" applyFont="1" applyFill="1" applyBorder="1" applyAlignment="1"/>
    <xf numFmtId="0" fontId="6" fillId="3" borderId="0" xfId="0" applyFont="1" applyFill="1"/>
    <xf numFmtId="0" fontId="7" fillId="0" borderId="0" xfId="0" applyFont="1" applyFill="1" applyBorder="1"/>
    <xf numFmtId="0" fontId="6" fillId="0" borderId="0" xfId="0" applyFont="1" applyFill="1" applyBorder="1"/>
    <xf numFmtId="0" fontId="6" fillId="0" borderId="0" xfId="0" applyFont="1" applyFill="1" applyBorder="1" applyAlignment="1">
      <alignment horizontal="right"/>
    </xf>
    <xf numFmtId="2" fontId="8" fillId="0" borderId="2" xfId="2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7" fillId="3" borderId="6" xfId="0" applyFont="1" applyFill="1" applyBorder="1"/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7" fillId="3" borderId="0" xfId="0" applyFont="1" applyFill="1" applyBorder="1"/>
    <xf numFmtId="0" fontId="7" fillId="3" borderId="0" xfId="0" applyFont="1" applyFill="1" applyBorder="1" applyAlignment="1">
      <alignment horizontal="center"/>
    </xf>
    <xf numFmtId="164" fontId="6" fillId="4" borderId="0" xfId="1" applyNumberFormat="1" applyFont="1" applyFill="1" applyBorder="1" applyAlignment="1">
      <alignment horizontal="left"/>
    </xf>
    <xf numFmtId="164" fontId="6" fillId="3" borderId="2" xfId="0" applyNumberFormat="1" applyFont="1" applyFill="1" applyBorder="1" applyAlignment="1">
      <alignment horizontal="center"/>
    </xf>
    <xf numFmtId="164" fontId="6" fillId="3" borderId="12" xfId="1" applyNumberFormat="1" applyFont="1" applyFill="1" applyBorder="1" applyAlignment="1">
      <alignment horizontal="center"/>
    </xf>
    <xf numFmtId="164" fontId="9" fillId="4" borderId="11" xfId="1" applyNumberFormat="1" applyFont="1" applyFill="1" applyBorder="1" applyAlignment="1">
      <alignment horizontal="center"/>
    </xf>
    <xf numFmtId="164" fontId="9" fillId="4" borderId="2" xfId="1" applyNumberFormat="1" applyFont="1" applyFill="1" applyBorder="1" applyAlignment="1">
      <alignment horizontal="center"/>
    </xf>
    <xf numFmtId="164" fontId="9" fillId="4" borderId="4" xfId="1" applyNumberFormat="1" applyFont="1" applyFill="1" applyBorder="1" applyAlignment="1">
      <alignment horizontal="center"/>
    </xf>
    <xf numFmtId="164" fontId="6" fillId="4" borderId="4" xfId="1" applyNumberFormat="1" applyFont="1" applyFill="1" applyBorder="1" applyAlignment="1">
      <alignment horizontal="center"/>
    </xf>
    <xf numFmtId="164" fontId="6" fillId="4" borderId="5" xfId="1" applyNumberFormat="1" applyFont="1" applyFill="1" applyBorder="1" applyAlignment="1">
      <alignment horizontal="center"/>
    </xf>
    <xf numFmtId="0" fontId="6" fillId="3" borderId="0" xfId="0" applyFont="1" applyFill="1" applyBorder="1"/>
    <xf numFmtId="164" fontId="6" fillId="3" borderId="0" xfId="0" applyNumberFormat="1" applyFont="1" applyFill="1" applyBorder="1" applyAlignment="1">
      <alignment horizontal="center"/>
    </xf>
    <xf numFmtId="164" fontId="6" fillId="3" borderId="0" xfId="1" applyNumberFormat="1" applyFont="1" applyFill="1" applyBorder="1" applyAlignment="1">
      <alignment horizontal="center"/>
    </xf>
    <xf numFmtId="164" fontId="6" fillId="3" borderId="11" xfId="0" applyNumberFormat="1" applyFont="1" applyFill="1" applyBorder="1" applyAlignment="1">
      <alignment horizontal="center"/>
    </xf>
    <xf numFmtId="164" fontId="9" fillId="4" borderId="0" xfId="1" applyNumberFormat="1" applyFont="1" applyFill="1" applyBorder="1" applyAlignment="1">
      <alignment horizontal="center"/>
    </xf>
    <xf numFmtId="164" fontId="6" fillId="4" borderId="0" xfId="1" applyNumberFormat="1" applyFont="1" applyFill="1" applyBorder="1" applyAlignment="1">
      <alignment horizontal="center"/>
    </xf>
    <xf numFmtId="164" fontId="6" fillId="4" borderId="13" xfId="1" applyNumberFormat="1" applyFont="1" applyFill="1" applyBorder="1" applyAlignment="1">
      <alignment horizontal="center"/>
    </xf>
    <xf numFmtId="164" fontId="9" fillId="4" borderId="0" xfId="1" applyNumberFormat="1" applyFont="1" applyFill="1" applyBorder="1" applyAlignment="1">
      <alignment horizontal="left"/>
    </xf>
    <xf numFmtId="164" fontId="9" fillId="3" borderId="11" xfId="0" applyNumberFormat="1" applyFont="1" applyFill="1" applyBorder="1" applyAlignment="1">
      <alignment horizontal="center"/>
    </xf>
    <xf numFmtId="164" fontId="9" fillId="3" borderId="12" xfId="1" applyNumberFormat="1" applyFont="1" applyFill="1" applyBorder="1" applyAlignment="1">
      <alignment horizontal="center"/>
    </xf>
    <xf numFmtId="164" fontId="6" fillId="4" borderId="11" xfId="1" applyNumberFormat="1" applyFont="1" applyFill="1" applyBorder="1" applyAlignment="1">
      <alignment horizontal="center"/>
    </xf>
    <xf numFmtId="164" fontId="6" fillId="4" borderId="14" xfId="1" applyNumberFormat="1" applyFont="1" applyFill="1" applyBorder="1" applyAlignment="1">
      <alignment horizontal="left"/>
    </xf>
    <xf numFmtId="164" fontId="6" fillId="3" borderId="6" xfId="0" applyNumberFormat="1" applyFont="1" applyFill="1" applyBorder="1" applyAlignment="1">
      <alignment horizontal="center"/>
    </xf>
    <xf numFmtId="164" fontId="6" fillId="3" borderId="7" xfId="1" applyNumberFormat="1" applyFont="1" applyFill="1" applyBorder="1" applyAlignment="1">
      <alignment horizontal="center"/>
    </xf>
    <xf numFmtId="164" fontId="6" fillId="4" borderId="6" xfId="1" applyNumberFormat="1" applyFont="1" applyFill="1" applyBorder="1" applyAlignment="1">
      <alignment horizontal="center"/>
    </xf>
    <xf numFmtId="164" fontId="6" fillId="4" borderId="15" xfId="1" applyNumberFormat="1" applyFont="1" applyFill="1" applyBorder="1" applyAlignment="1">
      <alignment horizontal="center"/>
    </xf>
    <xf numFmtId="164" fontId="6" fillId="4" borderId="14" xfId="1" applyNumberFormat="1" applyFont="1" applyFill="1" applyBorder="1" applyAlignment="1">
      <alignment horizontal="center"/>
    </xf>
    <xf numFmtId="164" fontId="10" fillId="3" borderId="0" xfId="0" applyNumberFormat="1" applyFont="1" applyFill="1" applyBorder="1" applyAlignment="1">
      <alignment horizontal="center"/>
    </xf>
    <xf numFmtId="165" fontId="6" fillId="3" borderId="0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0" fontId="6" fillId="3" borderId="0" xfId="0" applyFont="1" applyFill="1" applyBorder="1" applyAlignment="1">
      <alignment horizontal="right"/>
    </xf>
    <xf numFmtId="166" fontId="11" fillId="2" borderId="1" xfId="2" applyNumberFormat="1" applyFont="1" applyAlignment="1">
      <alignment horizontal="center"/>
    </xf>
    <xf numFmtId="0" fontId="6" fillId="3" borderId="0" xfId="0" applyFont="1" applyFill="1" applyAlignment="1">
      <alignment horizontal="center"/>
    </xf>
    <xf numFmtId="164" fontId="11" fillId="2" borderId="1" xfId="2" applyNumberFormat="1" applyFont="1" applyAlignment="1">
      <alignment horizontal="center"/>
    </xf>
    <xf numFmtId="9" fontId="11" fillId="2" borderId="1" xfId="2" applyNumberFormat="1" applyFont="1" applyAlignment="1">
      <alignment horizontal="center"/>
    </xf>
    <xf numFmtId="9" fontId="6" fillId="3" borderId="0" xfId="1" applyFont="1" applyFill="1" applyBorder="1" applyAlignment="1">
      <alignment horizontal="center"/>
    </xf>
    <xf numFmtId="9" fontId="7" fillId="3" borderId="0" xfId="0" applyNumberFormat="1" applyFont="1" applyFill="1" applyBorder="1"/>
    <xf numFmtId="0" fontId="11" fillId="3" borderId="0" xfId="2" applyFont="1" applyFill="1" applyBorder="1" applyAlignment="1">
      <alignment horizontal="center"/>
    </xf>
    <xf numFmtId="167" fontId="6" fillId="3" borderId="0" xfId="0" applyNumberFormat="1" applyFont="1" applyFill="1"/>
    <xf numFmtId="164" fontId="11" fillId="3" borderId="0" xfId="2" applyNumberFormat="1" applyFont="1" applyFill="1" applyBorder="1" applyAlignment="1">
      <alignment horizontal="center"/>
    </xf>
    <xf numFmtId="0" fontId="12" fillId="3" borderId="0" xfId="0" applyFont="1" applyFill="1"/>
    <xf numFmtId="0" fontId="7" fillId="3" borderId="0" xfId="0" applyFont="1" applyFill="1"/>
    <xf numFmtId="9" fontId="7" fillId="3" borderId="0" xfId="0" applyNumberFormat="1" applyFont="1" applyFill="1" applyBorder="1" applyAlignment="1">
      <alignment horizontal="left"/>
    </xf>
    <xf numFmtId="9" fontId="7" fillId="3" borderId="0" xfId="0" applyNumberFormat="1" applyFont="1" applyFill="1" applyBorder="1" applyAlignment="1">
      <alignment horizontal="center"/>
    </xf>
    <xf numFmtId="10" fontId="7" fillId="3" borderId="0" xfId="1" applyNumberFormat="1" applyFont="1" applyFill="1" applyBorder="1" applyAlignment="1">
      <alignment horizontal="center"/>
    </xf>
    <xf numFmtId="10" fontId="7" fillId="3" borderId="0" xfId="0" applyNumberFormat="1" applyFont="1" applyFill="1" applyBorder="1" applyAlignment="1">
      <alignment horizontal="center"/>
    </xf>
    <xf numFmtId="164" fontId="6" fillId="4" borderId="3" xfId="1" applyNumberFormat="1" applyFont="1" applyFill="1" applyBorder="1" applyAlignment="1">
      <alignment horizontal="left"/>
    </xf>
    <xf numFmtId="164" fontId="6" fillId="4" borderId="12" xfId="1" applyNumberFormat="1" applyFont="1" applyFill="1" applyBorder="1" applyAlignment="1">
      <alignment horizontal="left"/>
    </xf>
    <xf numFmtId="164" fontId="6" fillId="4" borderId="7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164" fontId="0" fillId="3" borderId="0" xfId="0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>
      <alignment horizontal="center"/>
    </xf>
    <xf numFmtId="0" fontId="0" fillId="3" borderId="0" xfId="0" applyFill="1" applyBorder="1"/>
    <xf numFmtId="0" fontId="0" fillId="3" borderId="2" xfId="0" applyFont="1" applyFill="1" applyBorder="1" applyAlignment="1">
      <alignment horizontal="center"/>
    </xf>
    <xf numFmtId="0" fontId="0" fillId="3" borderId="4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2" fontId="8" fillId="0" borderId="2" xfId="2" applyNumberFormat="1" applyFont="1" applyFill="1" applyBorder="1" applyAlignment="1">
      <alignment horizontal="center"/>
    </xf>
    <xf numFmtId="2" fontId="8" fillId="0" borderId="4" xfId="2" applyNumberFormat="1" applyFont="1" applyFill="1" applyBorder="1" applyAlignment="1">
      <alignment horizontal="center"/>
    </xf>
    <xf numFmtId="0" fontId="0" fillId="0" borderId="4" xfId="0" applyBorder="1" applyAlignment="1"/>
    <xf numFmtId="0" fontId="0" fillId="0" borderId="5" xfId="0" applyBorder="1" applyAlignment="1"/>
    <xf numFmtId="0" fontId="7" fillId="3" borderId="0" xfId="0" applyFont="1" applyFill="1" applyBorder="1" applyAlignment="1">
      <alignment horizontal="center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timalisatie_BL_unconstrained_v0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chaduw rendementen"/>
      <sheetName val="Samenvatting mixen"/>
      <sheetName val="Samenvatting mixen - return"/>
      <sheetName val="output IC"/>
      <sheetName val="samenvatting_BL"/>
      <sheetName val="samenvatting_BL_entropy"/>
    </sheetNames>
    <sheetDataSet>
      <sheetData sheetId="0">
        <row r="3">
          <cell r="B3">
            <v>0.55552002657163746</v>
          </cell>
        </row>
        <row r="4">
          <cell r="B4">
            <v>9.7772401711769694E-2</v>
          </cell>
        </row>
        <row r="5">
          <cell r="B5">
            <v>9.4763191533410202E-2</v>
          </cell>
        </row>
        <row r="6">
          <cell r="B6">
            <v>0.10281340879516217</v>
          </cell>
        </row>
        <row r="7">
          <cell r="B7">
            <v>5.1014363077869621E-2</v>
          </cell>
        </row>
        <row r="8">
          <cell r="B8">
            <v>2.0731266317763185E-2</v>
          </cell>
        </row>
        <row r="9">
          <cell r="B9">
            <v>3.0634868515694261E-2</v>
          </cell>
        </row>
        <row r="10">
          <cell r="B10">
            <v>4.6750473476693498E-2</v>
          </cell>
        </row>
        <row r="11">
          <cell r="B11">
            <v>0</v>
          </cell>
        </row>
      </sheetData>
      <sheetData sheetId="1">
        <row r="4">
          <cell r="A4" t="str">
            <v>Nominale matching</v>
          </cell>
        </row>
        <row r="5">
          <cell r="A5" t="str">
            <v>High Yield</v>
          </cell>
        </row>
        <row r="6">
          <cell r="A6" t="str">
            <v>Emerging market debt</v>
          </cell>
        </row>
        <row r="7">
          <cell r="A7" t="str">
            <v>Aandelen ontwikkeld</v>
          </cell>
        </row>
        <row r="8">
          <cell r="A8" t="str">
            <v>Aandelen opkomend</v>
          </cell>
        </row>
        <row r="9">
          <cell r="A9" t="str">
            <v>Commodities</v>
          </cell>
        </row>
        <row r="10">
          <cell r="A10" t="str">
            <v>Hedge funds</v>
          </cell>
        </row>
        <row r="11">
          <cell r="A11" t="str">
            <v>Onroerend goed</v>
          </cell>
        </row>
        <row r="12">
          <cell r="A12" t="str">
            <v>Periferie bonds</v>
          </cell>
        </row>
      </sheetData>
      <sheetData sheetId="2">
        <row r="4">
          <cell r="R4">
            <v>1.8879154891798429E-3</v>
          </cell>
          <cell r="S4">
            <v>3.6117928682326554E-3</v>
          </cell>
          <cell r="T4">
            <v>3.5574712270892636E-3</v>
          </cell>
          <cell r="U4">
            <v>3.1804465765196827E-3</v>
          </cell>
          <cell r="V4">
            <v>3.8194368502445994E-3</v>
          </cell>
          <cell r="W4">
            <v>3.5683361505022097E-3</v>
          </cell>
          <cell r="X4">
            <v>3.4103820061645372E-3</v>
          </cell>
          <cell r="Y4">
            <v>3.4472855653615016E-3</v>
          </cell>
        </row>
        <row r="5">
          <cell r="R5">
            <v>3.6117928682326524E-3</v>
          </cell>
          <cell r="S5">
            <v>2.5133539682509146E-2</v>
          </cell>
          <cell r="T5">
            <v>2.42544973313066E-2</v>
          </cell>
          <cell r="U5">
            <v>3.3723927940032879E-2</v>
          </cell>
          <cell r="V5">
            <v>3.4832996012383759E-2</v>
          </cell>
          <cell r="W5">
            <v>3.149377892134287E-2</v>
          </cell>
          <cell r="X5">
            <v>2.2089748417517992E-2</v>
          </cell>
          <cell r="Y5">
            <v>2.7437906502276666E-2</v>
          </cell>
        </row>
        <row r="6">
          <cell r="R6">
            <v>3.5574712270892645E-3</v>
          </cell>
          <cell r="S6">
            <v>2.42544973313066E-2</v>
          </cell>
          <cell r="T6">
            <v>2.6299930380085677E-2</v>
          </cell>
          <cell r="U6">
            <v>3.5966362616362865E-2</v>
          </cell>
          <cell r="V6">
            <v>3.7954838153009651E-2</v>
          </cell>
          <cell r="W6">
            <v>3.3414859318395565E-2</v>
          </cell>
          <cell r="X6">
            <v>2.271443305379434E-2</v>
          </cell>
          <cell r="Y6">
            <v>2.8157686969952241E-2</v>
          </cell>
        </row>
        <row r="7">
          <cell r="R7">
            <v>3.1804465765196909E-3</v>
          </cell>
          <cell r="S7">
            <v>3.3723927940032886E-2</v>
          </cell>
          <cell r="T7">
            <v>3.5966362616362865E-2</v>
          </cell>
          <cell r="U7">
            <v>8.2477939124714281E-2</v>
          </cell>
          <cell r="V7">
            <v>6.8985335649692545E-2</v>
          </cell>
          <cell r="W7">
            <v>6.5548336970937676E-2</v>
          </cell>
          <cell r="X7">
            <v>3.4430574368130892E-2</v>
          </cell>
          <cell r="Y7">
            <v>5.1054917016870496E-2</v>
          </cell>
        </row>
        <row r="8">
          <cell r="R8">
            <v>3.8194368502446055E-3</v>
          </cell>
          <cell r="S8">
            <v>3.4832996012383766E-2</v>
          </cell>
          <cell r="T8">
            <v>3.7954838153009651E-2</v>
          </cell>
          <cell r="U8">
            <v>6.8985335649692545E-2</v>
          </cell>
          <cell r="V8">
            <v>8.7713101092798368E-2</v>
          </cell>
          <cell r="W8">
            <v>6.1828964000340367E-2</v>
          </cell>
          <cell r="X8">
            <v>3.0754488693050051E-2</v>
          </cell>
          <cell r="Y8">
            <v>4.6616009330699086E-2</v>
          </cell>
        </row>
        <row r="9">
          <cell r="R9">
            <v>3.5683361505022149E-3</v>
          </cell>
          <cell r="S9">
            <v>3.1493778921342877E-2</v>
          </cell>
          <cell r="T9">
            <v>3.3414859318395572E-2</v>
          </cell>
          <cell r="U9">
            <v>6.5548336970937676E-2</v>
          </cell>
          <cell r="V9">
            <v>6.182896400034036E-2</v>
          </cell>
          <cell r="W9">
            <v>0.10659060501779552</v>
          </cell>
          <cell r="X9">
            <v>3.0209920570797095E-2</v>
          </cell>
          <cell r="Y9">
            <v>4.3930910080429195E-2</v>
          </cell>
        </row>
        <row r="10">
          <cell r="R10">
            <v>3.4103820061645385E-3</v>
          </cell>
          <cell r="S10">
            <v>2.2089748417517995E-2</v>
          </cell>
          <cell r="T10">
            <v>2.2714433053794343E-2</v>
          </cell>
          <cell r="U10">
            <v>3.4430574368130892E-2</v>
          </cell>
          <cell r="V10">
            <v>3.0754488693050048E-2</v>
          </cell>
          <cell r="W10">
            <v>3.0209920570797091E-2</v>
          </cell>
          <cell r="X10">
            <v>2.5846663306962767E-2</v>
          </cell>
          <cell r="Y10">
            <v>2.5721587353605819E-2</v>
          </cell>
        </row>
        <row r="11">
          <cell r="R11">
            <v>3.4472855653615029E-3</v>
          </cell>
          <cell r="S11">
            <v>2.7437906502276666E-2</v>
          </cell>
          <cell r="T11">
            <v>2.8157686969952238E-2</v>
          </cell>
          <cell r="U11">
            <v>5.1054917016870503E-2</v>
          </cell>
          <cell r="V11">
            <v>4.6616009330699093E-2</v>
          </cell>
          <cell r="W11">
            <v>4.3930910080429195E-2</v>
          </cell>
          <cell r="X11">
            <v>2.5721587353605819E-2</v>
          </cell>
          <cell r="Y11">
            <v>4.0256611706221253E-2</v>
          </cell>
        </row>
      </sheetData>
      <sheetData sheetId="3"/>
      <sheetData sheetId="4"/>
      <sheetData sheetId="5"/>
      <sheetData sheetId="6">
        <row r="109">
          <cell r="B109">
            <v>0.57446773586607058</v>
          </cell>
        </row>
        <row r="110">
          <cell r="B110">
            <v>0.17463533069014747</v>
          </cell>
        </row>
        <row r="111">
          <cell r="B111">
            <v>1.7111598310957168E-2</v>
          </cell>
        </row>
        <row r="112">
          <cell r="B112">
            <v>1.8072320878297075E-3</v>
          </cell>
        </row>
        <row r="113">
          <cell r="B113">
            <v>5.2738284925458699E-2</v>
          </cell>
        </row>
        <row r="114">
          <cell r="B114">
            <v>0.13426825055505817</v>
          </cell>
        </row>
        <row r="115">
          <cell r="B115">
            <v>3.0129418415718142E-2</v>
          </cell>
        </row>
        <row r="116">
          <cell r="B116">
            <v>3.7487700182925196E-3</v>
          </cell>
        </row>
        <row r="117">
          <cell r="B117">
            <v>1.1093379130467653E-2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210"/>
  <sheetViews>
    <sheetView workbookViewId="0">
      <selection activeCell="H50" sqref="H50"/>
    </sheetView>
  </sheetViews>
  <sheetFormatPr defaultRowHeight="15"/>
  <cols>
    <col min="1" max="1" width="32.7109375" style="3" customWidth="1"/>
    <col min="2" max="5" width="15.7109375" style="3" customWidth="1"/>
    <col min="6" max="6" width="17.28515625" style="3" customWidth="1"/>
    <col min="7" max="8" width="14.28515625" style="3" bestFit="1" customWidth="1"/>
    <col min="9" max="9" width="13.85546875" style="3" customWidth="1"/>
    <col min="10" max="10" width="14.85546875" style="3" customWidth="1"/>
    <col min="11" max="11" width="9.140625" style="3"/>
    <col min="12" max="12" width="12.7109375" style="3" bestFit="1" customWidth="1"/>
    <col min="13" max="13" width="14.28515625" style="3" bestFit="1" customWidth="1"/>
    <col min="14" max="16384" width="9.140625" style="3"/>
  </cols>
  <sheetData>
    <row r="1" spans="1:11">
      <c r="A1" s="1"/>
      <c r="B1" s="2" t="s">
        <v>0</v>
      </c>
      <c r="C1" s="108"/>
      <c r="D1" s="2" t="s">
        <v>2</v>
      </c>
      <c r="E1" s="2" t="s">
        <v>3</v>
      </c>
      <c r="G1" s="2" t="s">
        <v>2</v>
      </c>
      <c r="H1" s="2" t="s">
        <v>3</v>
      </c>
      <c r="J1" s="2" t="s">
        <v>2</v>
      </c>
      <c r="K1" s="2" t="s">
        <v>3</v>
      </c>
    </row>
    <row r="2" spans="1:11" ht="15.75" thickBot="1">
      <c r="A2" s="4"/>
      <c r="B2" s="5" t="s">
        <v>4</v>
      </c>
      <c r="C2" s="108"/>
      <c r="D2" s="5" t="s">
        <v>4</v>
      </c>
      <c r="E2" s="5" t="s">
        <v>4</v>
      </c>
      <c r="G2" s="5" t="s">
        <v>5</v>
      </c>
      <c r="H2" s="5" t="s">
        <v>4</v>
      </c>
      <c r="J2" s="5" t="s">
        <v>5</v>
      </c>
      <c r="K2" s="5" t="s">
        <v>4</v>
      </c>
    </row>
    <row r="3" spans="1:11">
      <c r="A3" s="105" t="str">
        <f>IF([1]Scenarios!A4&lt;&gt;"",[1]Scenarios!A4,"")</f>
        <v>Nominale matching</v>
      </c>
      <c r="B3" s="7">
        <v>0.55552002657163746</v>
      </c>
      <c r="C3" s="109"/>
      <c r="D3" s="8">
        <f>IF('[1]Samenvatting mixen'!B109&lt;&gt;"",'[1]Samenvatting mixen'!B109,"")</f>
        <v>0.57446773586607058</v>
      </c>
      <c r="E3" s="8">
        <f t="shared" ref="E3:E14" si="0">IF(A3&lt;&gt;"",+D3-B3,"")</f>
        <v>1.8947709294433124E-2</v>
      </c>
      <c r="G3" s="8" t="str">
        <f>IF([1]samenvatting_BL!B19&lt;&gt;"",[1]samenvatting_BL!B19,"")</f>
        <v/>
      </c>
      <c r="H3" s="8" t="e">
        <f t="shared" ref="H3:H14" si="1">IF(A3&lt;&gt;"",+G3-B3,"")</f>
        <v>#VALUE!</v>
      </c>
      <c r="J3" s="8" t="str">
        <f>IF([1]samenvatting_BL_entropy!B19&lt;&gt;"",[1]samenvatting_BL_entropy!B19,"")</f>
        <v/>
      </c>
      <c r="K3" s="8" t="e">
        <f t="shared" ref="K3:K14" si="2">IF(A3&lt;&gt;"",+J3-B3,"")</f>
        <v>#VALUE!</v>
      </c>
    </row>
    <row r="4" spans="1:11">
      <c r="A4" s="106" t="str">
        <f>IF([1]Scenarios!A5&lt;&gt;"",[1]Scenarios!A5,"")</f>
        <v>High Yield</v>
      </c>
      <c r="B4" s="7">
        <v>9.7772401711769694E-2</v>
      </c>
      <c r="C4" s="109"/>
      <c r="D4" s="8">
        <f>IF('[1]Samenvatting mixen'!B110&lt;&gt;"",'[1]Samenvatting mixen'!B110,"")</f>
        <v>0.17463533069014747</v>
      </c>
      <c r="E4" s="8">
        <f t="shared" si="0"/>
        <v>7.6862928978377779E-2</v>
      </c>
      <c r="G4" s="8" t="str">
        <f>IF([1]samenvatting_BL!B20&lt;&gt;"",[1]samenvatting_BL!B20,"")</f>
        <v/>
      </c>
      <c r="H4" s="8" t="e">
        <f t="shared" si="1"/>
        <v>#VALUE!</v>
      </c>
      <c r="J4" s="8" t="str">
        <f>IF([1]samenvatting_BL_entropy!B20&lt;&gt;"",[1]samenvatting_BL_entropy!B20,"")</f>
        <v/>
      </c>
      <c r="K4" s="8" t="e">
        <f t="shared" si="2"/>
        <v>#VALUE!</v>
      </c>
    </row>
    <row r="5" spans="1:11">
      <c r="A5" s="106" t="str">
        <f>IF([1]Scenarios!A6&lt;&gt;"",[1]Scenarios!A6,"")</f>
        <v>Emerging market debt</v>
      </c>
      <c r="B5" s="7">
        <v>9.4763191533410202E-2</v>
      </c>
      <c r="C5" s="109"/>
      <c r="D5" s="8">
        <f>IF('[1]Samenvatting mixen'!B111&lt;&gt;"",'[1]Samenvatting mixen'!B111,"")</f>
        <v>1.7111598310957168E-2</v>
      </c>
      <c r="E5" s="8">
        <f t="shared" si="0"/>
        <v>-7.7651593222453033E-2</v>
      </c>
      <c r="G5" s="8" t="str">
        <f>IF([1]samenvatting_BL!B21&lt;&gt;"",[1]samenvatting_BL!B21,"")</f>
        <v/>
      </c>
      <c r="H5" s="8" t="e">
        <f t="shared" si="1"/>
        <v>#VALUE!</v>
      </c>
      <c r="J5" s="8" t="str">
        <f>IF([1]samenvatting_BL_entropy!B21&lt;&gt;"",[1]samenvatting_BL_entropy!B21,"")</f>
        <v/>
      </c>
      <c r="K5" s="8" t="e">
        <f t="shared" si="2"/>
        <v>#VALUE!</v>
      </c>
    </row>
    <row r="6" spans="1:11">
      <c r="A6" s="106" t="str">
        <f>IF([1]Scenarios!A7&lt;&gt;"",[1]Scenarios!A7,"")</f>
        <v>Aandelen ontwikkeld</v>
      </c>
      <c r="B6" s="7">
        <v>0.10281340879516217</v>
      </c>
      <c r="C6" s="109"/>
      <c r="D6" s="8">
        <f>IF('[1]Samenvatting mixen'!B112&lt;&gt;"",'[1]Samenvatting mixen'!B112,"")</f>
        <v>1.8072320878297075E-3</v>
      </c>
      <c r="E6" s="8">
        <f t="shared" si="0"/>
        <v>-0.10100617670733246</v>
      </c>
      <c r="G6" s="8" t="str">
        <f>IF([1]samenvatting_BL!B22&lt;&gt;"",[1]samenvatting_BL!B22,"")</f>
        <v/>
      </c>
      <c r="H6" s="8" t="e">
        <f t="shared" si="1"/>
        <v>#VALUE!</v>
      </c>
      <c r="J6" s="8" t="str">
        <f>IF([1]samenvatting_BL_entropy!B22&lt;&gt;"",[1]samenvatting_BL_entropy!B22,"")</f>
        <v/>
      </c>
      <c r="K6" s="8" t="e">
        <f t="shared" si="2"/>
        <v>#VALUE!</v>
      </c>
    </row>
    <row r="7" spans="1:11">
      <c r="A7" s="106" t="str">
        <f>IF([1]Scenarios!A8&lt;&gt;"",[1]Scenarios!A8,"")</f>
        <v>Aandelen opkomend</v>
      </c>
      <c r="B7" s="7">
        <v>5.1014363077869621E-2</v>
      </c>
      <c r="C7" s="109"/>
      <c r="D7" s="8">
        <f>IF('[1]Samenvatting mixen'!B113&lt;&gt;"",'[1]Samenvatting mixen'!B113,"")</f>
        <v>5.2738284925458699E-2</v>
      </c>
      <c r="E7" s="8">
        <f t="shared" si="0"/>
        <v>1.7239218475890786E-3</v>
      </c>
      <c r="G7" s="8" t="str">
        <f>IF([1]samenvatting_BL!B23&lt;&gt;"",[1]samenvatting_BL!B23,"")</f>
        <v/>
      </c>
      <c r="H7" s="8" t="e">
        <f t="shared" si="1"/>
        <v>#VALUE!</v>
      </c>
      <c r="J7" s="8" t="str">
        <f>IF([1]samenvatting_BL_entropy!B23&lt;&gt;"",[1]samenvatting_BL_entropy!B23,"")</f>
        <v/>
      </c>
      <c r="K7" s="8" t="e">
        <f t="shared" si="2"/>
        <v>#VALUE!</v>
      </c>
    </row>
    <row r="8" spans="1:11">
      <c r="A8" s="106" t="str">
        <f>IF([1]Scenarios!A9&lt;&gt;"",[1]Scenarios!A9,"")</f>
        <v>Commodities</v>
      </c>
      <c r="B8" s="7">
        <v>2.0731266317763185E-2</v>
      </c>
      <c r="C8" s="109"/>
      <c r="D8" s="8">
        <f>IF('[1]Samenvatting mixen'!B114&lt;&gt;"",'[1]Samenvatting mixen'!B114,"")</f>
        <v>0.13426825055505817</v>
      </c>
      <c r="E8" s="8">
        <f t="shared" si="0"/>
        <v>0.11353698423729498</v>
      </c>
      <c r="G8" s="8" t="str">
        <f>IF([1]samenvatting_BL!B24&lt;&gt;"",[1]samenvatting_BL!B24,"")</f>
        <v/>
      </c>
      <c r="H8" s="8" t="e">
        <f t="shared" si="1"/>
        <v>#VALUE!</v>
      </c>
      <c r="J8" s="8" t="str">
        <f>IF([1]samenvatting_BL_entropy!B24&lt;&gt;"",[1]samenvatting_BL_entropy!B24,"")</f>
        <v/>
      </c>
      <c r="K8" s="8" t="e">
        <f t="shared" si="2"/>
        <v>#VALUE!</v>
      </c>
    </row>
    <row r="9" spans="1:11">
      <c r="A9" s="106" t="str">
        <f>IF([1]Scenarios!A10&lt;&gt;"",[1]Scenarios!A10,"")</f>
        <v>Hedge funds</v>
      </c>
      <c r="B9" s="7">
        <v>3.0634868515694261E-2</v>
      </c>
      <c r="C9" s="109"/>
      <c r="D9" s="8">
        <f>IF('[1]Samenvatting mixen'!B115&lt;&gt;"",'[1]Samenvatting mixen'!B115,"")</f>
        <v>3.0129418415718142E-2</v>
      </c>
      <c r="E9" s="8">
        <f t="shared" si="0"/>
        <v>-5.054500999761187E-4</v>
      </c>
      <c r="G9" s="8" t="str">
        <f>IF([1]samenvatting_BL!B25&lt;&gt;"",[1]samenvatting_BL!B25,"")</f>
        <v/>
      </c>
      <c r="H9" s="8" t="e">
        <f t="shared" si="1"/>
        <v>#VALUE!</v>
      </c>
      <c r="J9" s="8" t="str">
        <f>IF([1]samenvatting_BL_entropy!B25&lt;&gt;"",[1]samenvatting_BL_entropy!B25,"")</f>
        <v/>
      </c>
      <c r="K9" s="8" t="e">
        <f t="shared" si="2"/>
        <v>#VALUE!</v>
      </c>
    </row>
    <row r="10" spans="1:11">
      <c r="A10" s="106" t="str">
        <f>IF([1]Scenarios!A11&lt;&gt;"",[1]Scenarios!A11,"")</f>
        <v>Onroerend goed</v>
      </c>
      <c r="B10" s="7">
        <v>4.6750473476693498E-2</v>
      </c>
      <c r="C10" s="109"/>
      <c r="D10" s="8">
        <f>IF('[1]Samenvatting mixen'!B116&lt;&gt;"",'[1]Samenvatting mixen'!B116,"")</f>
        <v>3.7487700182925196E-3</v>
      </c>
      <c r="E10" s="8">
        <f t="shared" si="0"/>
        <v>-4.3001703458400979E-2</v>
      </c>
      <c r="G10" s="8" t="str">
        <f>IF([1]samenvatting_BL!B26&lt;&gt;"",[1]samenvatting_BL!B26,"")</f>
        <v/>
      </c>
      <c r="H10" s="8" t="e">
        <f t="shared" si="1"/>
        <v>#VALUE!</v>
      </c>
      <c r="J10" s="8" t="str">
        <f>IF([1]samenvatting_BL_entropy!B26&lt;&gt;"",[1]samenvatting_BL_entropy!B26,"")</f>
        <v/>
      </c>
      <c r="K10" s="8" t="e">
        <f t="shared" si="2"/>
        <v>#VALUE!</v>
      </c>
    </row>
    <row r="11" spans="1:11">
      <c r="A11" s="106" t="str">
        <f>IF([1]Scenarios!A12&lt;&gt;"",[1]Scenarios!A12,"")</f>
        <v>Periferie bonds</v>
      </c>
      <c r="B11" s="7">
        <v>0</v>
      </c>
      <c r="C11" s="109"/>
      <c r="D11" s="8">
        <f>IF('[1]Samenvatting mixen'!B117&lt;&gt;"",'[1]Samenvatting mixen'!B117,"")</f>
        <v>1.1093379130467653E-2</v>
      </c>
      <c r="E11" s="8">
        <f t="shared" si="0"/>
        <v>1.1093379130467653E-2</v>
      </c>
      <c r="G11" s="8" t="str">
        <f>IF([1]samenvatting_BL!B27&lt;&gt;"",[1]samenvatting_BL!B27,"")</f>
        <v/>
      </c>
      <c r="H11" s="8" t="e">
        <f t="shared" si="1"/>
        <v>#VALUE!</v>
      </c>
      <c r="J11" s="8" t="str">
        <f>IF([1]samenvatting_BL_entropy!B27&lt;&gt;"",[1]samenvatting_BL_entropy!B27,"")</f>
        <v/>
      </c>
      <c r="K11" s="8" t="e">
        <f t="shared" si="2"/>
        <v>#VALUE!</v>
      </c>
    </row>
    <row r="12" spans="1:11">
      <c r="A12" s="106" t="str">
        <f>IF([1]Scenarios!A13&lt;&gt;"",[1]Scenarios!A13,"")</f>
        <v/>
      </c>
      <c r="B12" s="7"/>
      <c r="C12" s="109"/>
      <c r="D12" s="8" t="str">
        <f>IF('[1]Samenvatting mixen'!B118&lt;&gt;"",'[1]Samenvatting mixen'!B118,"")</f>
        <v/>
      </c>
      <c r="E12" s="8" t="str">
        <f t="shared" si="0"/>
        <v/>
      </c>
      <c r="G12" s="8" t="str">
        <f>IF([1]samenvatting_BL!B28&lt;&gt;"",[1]samenvatting_BL!B28,"")</f>
        <v/>
      </c>
      <c r="H12" s="8" t="str">
        <f t="shared" si="1"/>
        <v/>
      </c>
      <c r="J12" s="8" t="str">
        <f>IF([1]samenvatting_BL_entropy!B28&lt;&gt;"",[1]samenvatting_BL_entropy!B28,"")</f>
        <v/>
      </c>
      <c r="K12" s="8" t="str">
        <f t="shared" si="2"/>
        <v/>
      </c>
    </row>
    <row r="13" spans="1:11">
      <c r="A13" s="106" t="str">
        <f>IF([1]Scenarios!A14&lt;&gt;"",[1]Scenarios!A14,"")</f>
        <v/>
      </c>
      <c r="B13" s="7"/>
      <c r="C13" s="109"/>
      <c r="D13" s="8" t="str">
        <f>IF('[1]Samenvatting mixen'!B119&lt;&gt;"",'[1]Samenvatting mixen'!B119,"")</f>
        <v/>
      </c>
      <c r="E13" s="8" t="str">
        <f t="shared" si="0"/>
        <v/>
      </c>
      <c r="G13" s="8" t="str">
        <f>IF([1]samenvatting_BL!B29&lt;&gt;"",[1]samenvatting_BL!B29,"")</f>
        <v/>
      </c>
      <c r="H13" s="8" t="str">
        <f t="shared" si="1"/>
        <v/>
      </c>
      <c r="J13" s="8" t="str">
        <f>IF([1]samenvatting_BL_entropy!B29&lt;&gt;"",[1]samenvatting_BL_entropy!B29,"")</f>
        <v/>
      </c>
      <c r="K13" s="8" t="str">
        <f t="shared" si="2"/>
        <v/>
      </c>
    </row>
    <row r="14" spans="1:11" ht="15.75" thickBot="1">
      <c r="A14" s="107" t="str">
        <f>IF([1]Scenarios!A15&lt;&gt;"",[1]Scenarios!A15,"")</f>
        <v/>
      </c>
      <c r="B14" s="9"/>
      <c r="C14" s="109"/>
      <c r="D14" s="10" t="str">
        <f>IF('[1]Samenvatting mixen'!B120&lt;&gt;"",'[1]Samenvatting mixen'!B120,"")</f>
        <v/>
      </c>
      <c r="E14" s="10" t="str">
        <f t="shared" si="0"/>
        <v/>
      </c>
      <c r="G14" s="10" t="str">
        <f>IF([1]samenvatting_BL!B30&lt;&gt;"",[1]samenvatting_BL!B30,"")</f>
        <v/>
      </c>
      <c r="H14" s="10" t="str">
        <f t="shared" si="1"/>
        <v/>
      </c>
      <c r="J14" s="10" t="str">
        <f>IF([1]samenvatting_BL_entropy!B30&lt;&gt;"",[1]samenvatting_BL_entropy!B30,"")</f>
        <v/>
      </c>
      <c r="K14" s="10" t="str">
        <f t="shared" si="2"/>
        <v/>
      </c>
    </row>
    <row r="15" spans="1:11">
      <c r="A15" s="11" t="s">
        <v>6</v>
      </c>
      <c r="B15" s="12">
        <v>0.1</v>
      </c>
      <c r="C15" s="110"/>
      <c r="D15" s="12">
        <v>0.1</v>
      </c>
      <c r="G15" s="12">
        <v>0.1</v>
      </c>
      <c r="J15" s="12">
        <v>0.1</v>
      </c>
    </row>
    <row r="16" spans="1:11">
      <c r="C16" s="111"/>
      <c r="D16" s="13"/>
      <c r="E16" s="16"/>
      <c r="F16" s="17"/>
    </row>
    <row r="17" spans="1:6">
      <c r="A17" s="13"/>
      <c r="B17" s="13"/>
      <c r="C17" s="13"/>
      <c r="D17" s="13"/>
      <c r="E17" s="16"/>
      <c r="F17" s="17"/>
    </row>
    <row r="18" spans="1:6">
      <c r="A18" s="20"/>
      <c r="B18" s="20"/>
      <c r="C18" s="20"/>
      <c r="D18" s="13"/>
      <c r="E18" s="13"/>
    </row>
    <row r="19" spans="1:6">
      <c r="A19" s="44"/>
      <c r="B19" s="45"/>
      <c r="C19" s="18"/>
      <c r="D19" s="18"/>
      <c r="E19" s="18"/>
    </row>
    <row r="20" spans="1:6">
      <c r="A20" s="20"/>
      <c r="B20" s="19"/>
      <c r="C20" s="19"/>
      <c r="D20" s="19"/>
      <c r="E20" s="19"/>
    </row>
    <row r="21" spans="1:6">
      <c r="A21" s="20"/>
      <c r="B21" s="21"/>
      <c r="C21" s="21"/>
      <c r="D21" s="21"/>
      <c r="E21" s="21"/>
    </row>
    <row r="22" spans="1:6">
      <c r="A22" s="20"/>
      <c r="B22" s="21"/>
      <c r="C22" s="21"/>
      <c r="D22" s="21"/>
      <c r="E22" s="21"/>
    </row>
    <row r="23" spans="1:6">
      <c r="A23" s="20"/>
      <c r="B23" s="21"/>
      <c r="C23" s="21"/>
      <c r="D23" s="21"/>
      <c r="E23" s="21"/>
    </row>
    <row r="24" spans="1:6">
      <c r="A24" s="20"/>
      <c r="B24" s="21"/>
      <c r="C24" s="21"/>
      <c r="D24" s="21"/>
      <c r="E24" s="21"/>
    </row>
    <row r="25" spans="1:6">
      <c r="A25" s="29" t="s">
        <v>7</v>
      </c>
      <c r="B25" s="15">
        <v>0.03</v>
      </c>
      <c r="C25" s="20"/>
      <c r="D25" s="20"/>
      <c r="E25" s="20"/>
    </row>
    <row r="26" spans="1:6">
      <c r="A26" s="13"/>
      <c r="B26" s="13"/>
      <c r="C26" s="13"/>
      <c r="D26" s="13"/>
      <c r="E26" s="13"/>
    </row>
    <row r="27" spans="1:6">
      <c r="A27" s="20" t="s">
        <v>8</v>
      </c>
      <c r="B27" s="22" t="s">
        <v>9</v>
      </c>
      <c r="C27" s="13"/>
      <c r="D27" s="13"/>
      <c r="E27" s="13"/>
    </row>
    <row r="28" spans="1:6" ht="15.75" thickBot="1">
      <c r="A28" s="13"/>
      <c r="B28" s="13"/>
      <c r="C28" s="13"/>
      <c r="D28" s="13"/>
      <c r="E28" s="13"/>
    </row>
    <row r="29" spans="1:6" ht="15.75" thickBot="1">
      <c r="A29" s="23" t="s">
        <v>1</v>
      </c>
      <c r="B29" s="24"/>
      <c r="C29" s="6" t="s">
        <v>10</v>
      </c>
      <c r="D29" s="13"/>
      <c r="E29" s="13"/>
    </row>
    <row r="30" spans="1:6">
      <c r="A30" s="25" t="s">
        <v>11</v>
      </c>
      <c r="B30" s="8">
        <v>0</v>
      </c>
      <c r="C30" s="26">
        <v>0</v>
      </c>
      <c r="D30" s="13"/>
      <c r="E30" s="13"/>
    </row>
    <row r="31" spans="1:6">
      <c r="A31" s="25" t="s">
        <v>12</v>
      </c>
      <c r="B31" s="7">
        <f>B15</f>
        <v>0.1</v>
      </c>
      <c r="C31" s="26">
        <v>1</v>
      </c>
      <c r="D31" s="13"/>
      <c r="E31" s="13"/>
    </row>
    <row r="32" spans="1:6" ht="15.75" thickBot="1">
      <c r="A32" s="27" t="s">
        <v>13</v>
      </c>
      <c r="B32" s="10">
        <v>0.02</v>
      </c>
      <c r="C32" s="28">
        <v>0</v>
      </c>
      <c r="D32" s="13"/>
      <c r="E32" s="13"/>
    </row>
    <row r="33" spans="1:5">
      <c r="A33" s="13"/>
      <c r="B33" s="13"/>
      <c r="C33" s="13"/>
      <c r="D33" s="13"/>
      <c r="E33" s="13"/>
    </row>
    <row r="34" spans="1:5">
      <c r="A34" s="29" t="s">
        <v>14</v>
      </c>
      <c r="B34" s="13"/>
      <c r="C34" s="13"/>
      <c r="D34" s="13"/>
      <c r="E34" s="13"/>
    </row>
    <row r="35" spans="1:5">
      <c r="A35" s="14" t="s">
        <v>15</v>
      </c>
      <c r="B35" s="30">
        <v>0</v>
      </c>
      <c r="C35" s="13"/>
      <c r="D35" s="13"/>
      <c r="E35" s="13"/>
    </row>
    <row r="36" spans="1:5">
      <c r="A36" s="14" t="s">
        <v>16</v>
      </c>
      <c r="B36" s="31">
        <v>2</v>
      </c>
      <c r="C36" s="13"/>
      <c r="D36" s="13"/>
      <c r="E36" s="13"/>
    </row>
    <row r="37" spans="1:5">
      <c r="A37" s="13"/>
      <c r="B37" s="13"/>
      <c r="C37" s="13"/>
      <c r="D37" s="13"/>
      <c r="E37" s="13"/>
    </row>
    <row r="38" spans="1:5">
      <c r="A38" s="3" t="s">
        <v>17</v>
      </c>
    </row>
    <row r="39" spans="1:5">
      <c r="A39" s="32" t="s">
        <v>18</v>
      </c>
      <c r="B39" s="33">
        <v>500</v>
      </c>
    </row>
    <row r="40" spans="1:5">
      <c r="A40" s="32" t="s">
        <v>19</v>
      </c>
      <c r="B40" s="33" t="s">
        <v>20</v>
      </c>
    </row>
    <row r="104" spans="1:1">
      <c r="A104" s="34" t="s">
        <v>8</v>
      </c>
    </row>
    <row r="105" spans="1:1">
      <c r="A105" s="3" t="s">
        <v>21</v>
      </c>
    </row>
    <row r="106" spans="1:1">
      <c r="A106" s="3" t="s">
        <v>9</v>
      </c>
    </row>
    <row r="107" spans="1:1">
      <c r="A107" s="3" t="s">
        <v>22</v>
      </c>
    </row>
    <row r="108" spans="1:1">
      <c r="A108" s="3" t="s">
        <v>23</v>
      </c>
    </row>
    <row r="110" spans="1:1">
      <c r="A110" s="33">
        <v>0</v>
      </c>
    </row>
    <row r="111" spans="1:1">
      <c r="A111" s="33">
        <v>1</v>
      </c>
    </row>
    <row r="112" spans="1:1">
      <c r="A112" s="33">
        <v>2</v>
      </c>
    </row>
    <row r="114" spans="1:1">
      <c r="A114" s="33" t="s">
        <v>20</v>
      </c>
    </row>
    <row r="115" spans="1:1">
      <c r="A115" s="33" t="s">
        <v>24</v>
      </c>
    </row>
    <row r="203" spans="1:5" ht="15.75" thickBot="1"/>
    <row r="204" spans="1:5">
      <c r="A204" s="35"/>
      <c r="B204" s="112" t="s">
        <v>3</v>
      </c>
      <c r="C204" s="113"/>
      <c r="D204" s="113"/>
      <c r="E204" s="114"/>
    </row>
    <row r="205" spans="1:5" ht="15.75" thickBot="1">
      <c r="A205" s="36"/>
      <c r="B205" s="37" t="s">
        <v>25</v>
      </c>
      <c r="C205" s="38" t="s">
        <v>26</v>
      </c>
      <c r="D205" s="38" t="s">
        <v>27</v>
      </c>
      <c r="E205" s="28" t="s">
        <v>28</v>
      </c>
    </row>
    <row r="206" spans="1:5">
      <c r="A206" s="39" t="s">
        <v>29</v>
      </c>
      <c r="B206" s="40">
        <v>-1E-3</v>
      </c>
      <c r="C206" s="21">
        <v>9.5665806092079075E-4</v>
      </c>
      <c r="D206" s="21">
        <v>-4.2098094805683751E-3</v>
      </c>
      <c r="E206" s="41">
        <v>-2.1826028553036574E-3</v>
      </c>
    </row>
    <row r="207" spans="1:5">
      <c r="A207" s="39" t="s">
        <v>30</v>
      </c>
      <c r="B207" s="40">
        <v>-0.01</v>
      </c>
      <c r="C207" s="21">
        <v>-1.5821642227643869E-2</v>
      </c>
      <c r="D207" s="21">
        <v>2.4975428417868189E-2</v>
      </c>
      <c r="E207" s="41">
        <v>7.9322737499224957E-3</v>
      </c>
    </row>
    <row r="208" spans="1:5">
      <c r="A208" s="39" t="s">
        <v>31</v>
      </c>
      <c r="B208" s="40">
        <v>9.9999999999999985E-3</v>
      </c>
      <c r="C208" s="21">
        <v>7.8062556418956319E-18</v>
      </c>
      <c r="D208" s="21">
        <v>-3.0000000000000002E-2</v>
      </c>
      <c r="E208" s="41">
        <v>-2.0000000000000004E-2</v>
      </c>
    </row>
    <row r="209" spans="1:5" ht="15.75" thickBot="1">
      <c r="A209" s="39" t="s">
        <v>32</v>
      </c>
      <c r="B209" s="40">
        <v>1.0378578383895283E-2</v>
      </c>
      <c r="C209" s="21">
        <v>1.3858854184576361E-2</v>
      </c>
      <c r="D209" s="21">
        <v>1.3462277224022302E-3</v>
      </c>
      <c r="E209" s="41">
        <v>7.8027138965618484E-4</v>
      </c>
    </row>
    <row r="210" spans="1:5" ht="15.75" thickBot="1">
      <c r="A210" s="24" t="s">
        <v>33</v>
      </c>
      <c r="B210" s="23"/>
      <c r="C210" s="42"/>
      <c r="D210" s="42"/>
      <c r="E210" s="43"/>
    </row>
  </sheetData>
  <mergeCells count="1">
    <mergeCell ref="B204:E204"/>
  </mergeCells>
  <dataValidations count="4">
    <dataValidation type="list" allowBlank="1" showInputMessage="1" showErrorMessage="1" sqref="B40">
      <formula1>$A$114:$A$115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27">
      <formula1>$A$105:$A$108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116"/>
  <sheetViews>
    <sheetView tabSelected="1" workbookViewId="0">
      <selection activeCell="G35" sqref="G35"/>
    </sheetView>
  </sheetViews>
  <sheetFormatPr defaultRowHeight="12.75"/>
  <cols>
    <col min="1" max="1" width="24.5703125" style="46" customWidth="1"/>
    <col min="2" max="8" width="18.7109375" style="46" customWidth="1"/>
    <col min="9" max="9" width="21" style="46" customWidth="1"/>
    <col min="10" max="12" width="18.7109375" style="46" customWidth="1"/>
    <col min="13" max="13" width="18.140625" style="46" customWidth="1"/>
    <col min="14" max="14" width="15" style="46" customWidth="1"/>
    <col min="15" max="15" width="12.85546875" style="46" customWidth="1"/>
    <col min="16" max="18" width="9.140625" style="46"/>
    <col min="19" max="19" width="22" style="46" customWidth="1"/>
    <col min="20" max="24" width="15.7109375" style="46" customWidth="1"/>
    <col min="25" max="16384" width="9.140625" style="46"/>
  </cols>
  <sheetData>
    <row r="1" spans="1:21" ht="13.5" thickBot="1">
      <c r="B1" s="47"/>
      <c r="C1" s="47"/>
      <c r="D1" s="48"/>
    </row>
    <row r="2" spans="1:21" ht="15">
      <c r="A2" s="49"/>
      <c r="B2" s="50" t="s">
        <v>34</v>
      </c>
      <c r="C2" s="51" t="s">
        <v>34</v>
      </c>
      <c r="D2" s="52" t="s">
        <v>35</v>
      </c>
      <c r="E2" s="115" t="s">
        <v>36</v>
      </c>
      <c r="F2" s="116"/>
      <c r="G2" s="116"/>
      <c r="H2" s="116"/>
      <c r="I2" s="116"/>
      <c r="J2" s="116"/>
      <c r="K2" s="116"/>
      <c r="L2" s="116"/>
      <c r="M2" s="117"/>
      <c r="N2" s="117"/>
      <c r="O2" s="117"/>
      <c r="P2" s="118"/>
    </row>
    <row r="3" spans="1:21" ht="13.5" thickBot="1">
      <c r="A3" s="53"/>
      <c r="B3" s="54" t="s">
        <v>37</v>
      </c>
      <c r="C3" s="55" t="s">
        <v>38</v>
      </c>
      <c r="D3" s="55" t="s">
        <v>39</v>
      </c>
      <c r="E3" s="56" t="s">
        <v>40</v>
      </c>
      <c r="F3" s="57" t="s">
        <v>41</v>
      </c>
      <c r="G3" s="57" t="s">
        <v>42</v>
      </c>
      <c r="H3" s="57" t="s">
        <v>43</v>
      </c>
      <c r="I3" s="57" t="s">
        <v>44</v>
      </c>
      <c r="J3" s="57" t="s">
        <v>45</v>
      </c>
      <c r="K3" s="57" t="s">
        <v>46</v>
      </c>
      <c r="L3" s="57" t="s">
        <v>47</v>
      </c>
      <c r="M3" s="57" t="s">
        <v>48</v>
      </c>
      <c r="N3" s="57"/>
      <c r="O3" s="57"/>
      <c r="P3" s="58"/>
      <c r="S3" s="59"/>
      <c r="T3" s="60"/>
      <c r="U3" s="60"/>
    </row>
    <row r="4" spans="1:21">
      <c r="A4" s="61" t="s">
        <v>49</v>
      </c>
      <c r="B4" s="62">
        <f>IF('[1]Control panel'!B3&lt;&gt;"",'[1]Control panel'!B3,"")</f>
        <v>0.55552002657163746</v>
      </c>
      <c r="C4" s="63">
        <v>0</v>
      </c>
      <c r="D4" s="64">
        <v>4.3450149472468363E-2</v>
      </c>
      <c r="E4" s="65">
        <v>1</v>
      </c>
      <c r="F4" s="66">
        <v>0.5243300313487167</v>
      </c>
      <c r="G4" s="66">
        <v>0.5048621610682209</v>
      </c>
      <c r="H4" s="66">
        <v>0.25487540552021803</v>
      </c>
      <c r="I4" s="66">
        <v>0.29680815289592971</v>
      </c>
      <c r="J4" s="66">
        <v>0.25154461316198484</v>
      </c>
      <c r="K4" s="66">
        <v>0.48821319241673689</v>
      </c>
      <c r="L4" s="66">
        <v>0.39542796227510119</v>
      </c>
      <c r="M4" s="66">
        <v>0.47422188785278757</v>
      </c>
      <c r="N4" s="67"/>
      <c r="O4" s="67"/>
      <c r="P4" s="68"/>
      <c r="S4" s="69"/>
      <c r="T4" s="70"/>
      <c r="U4" s="71"/>
    </row>
    <row r="5" spans="1:21">
      <c r="A5" s="61" t="s">
        <v>50</v>
      </c>
      <c r="B5" s="72">
        <f>IF('[1]Control panel'!B4&lt;&gt;"",'[1]Control panel'!B4,"")</f>
        <v>9.7772401711769694E-2</v>
      </c>
      <c r="C5" s="63">
        <v>0.03</v>
      </c>
      <c r="D5" s="64">
        <v>0.15853561014014847</v>
      </c>
      <c r="E5" s="64">
        <v>0.52433003134871636</v>
      </c>
      <c r="F5" s="73">
        <v>1</v>
      </c>
      <c r="G5" s="73">
        <v>0.94338322745767289</v>
      </c>
      <c r="H5" s="73">
        <v>0.74070013517974964</v>
      </c>
      <c r="I5" s="73">
        <v>0.74187676376193956</v>
      </c>
      <c r="J5" s="73">
        <v>0.60846903584875156</v>
      </c>
      <c r="K5" s="73">
        <v>0.86668583493806206</v>
      </c>
      <c r="L5" s="73">
        <v>0.86259221475724557</v>
      </c>
      <c r="M5" s="73">
        <v>0.75906077754107681</v>
      </c>
      <c r="N5" s="74"/>
      <c r="O5" s="74"/>
      <c r="P5" s="75"/>
      <c r="S5" s="69"/>
      <c r="T5" s="70"/>
      <c r="U5" s="71"/>
    </row>
    <row r="6" spans="1:21">
      <c r="A6" s="61" t="s">
        <v>51</v>
      </c>
      <c r="B6" s="72">
        <f>IF('[1]Control panel'!B5&lt;&gt;"",'[1]Control panel'!B5,"")</f>
        <v>9.4763191533410202E-2</v>
      </c>
      <c r="C6" s="63">
        <v>3.139819541969964E-2</v>
      </c>
      <c r="D6" s="64">
        <v>0.16217253275473525</v>
      </c>
      <c r="E6" s="64">
        <v>0.50486216106822102</v>
      </c>
      <c r="F6" s="73">
        <v>0.943383227457673</v>
      </c>
      <c r="G6" s="73">
        <v>1</v>
      </c>
      <c r="H6" s="73">
        <v>0.77223648924957744</v>
      </c>
      <c r="I6" s="73">
        <v>0.79023745754825636</v>
      </c>
      <c r="J6" s="73">
        <v>0.63110682083437419</v>
      </c>
      <c r="K6" s="73">
        <v>0.87120901203593171</v>
      </c>
      <c r="L6" s="73">
        <v>0.86536847063850975</v>
      </c>
      <c r="M6" s="73">
        <v>0.72481655312346349</v>
      </c>
      <c r="N6" s="74"/>
      <c r="O6" s="74"/>
      <c r="P6" s="75"/>
      <c r="S6" s="69"/>
      <c r="T6" s="70"/>
      <c r="U6" s="71"/>
    </row>
    <row r="7" spans="1:21">
      <c r="A7" s="61" t="s">
        <v>52</v>
      </c>
      <c r="B7" s="72">
        <f>IF('[1]Control panel'!B6&lt;&gt;"",'[1]Control panel'!B6,"")</f>
        <v>0.10281340879516217</v>
      </c>
      <c r="C7" s="63">
        <v>5.6592124636374697E-2</v>
      </c>
      <c r="D7" s="64">
        <v>0.28718972670468956</v>
      </c>
      <c r="E7" s="64">
        <v>0.2548754055202187</v>
      </c>
      <c r="F7" s="73">
        <v>0.74070013517974975</v>
      </c>
      <c r="G7" s="73">
        <v>0.77223648924957744</v>
      </c>
      <c r="H7" s="73">
        <v>1</v>
      </c>
      <c r="I7" s="73">
        <v>0.81106497730540505</v>
      </c>
      <c r="J7" s="73">
        <v>0.69909036020626758</v>
      </c>
      <c r="K7" s="73">
        <v>0.74571542163255744</v>
      </c>
      <c r="L7" s="73">
        <v>0.88603334197313832</v>
      </c>
      <c r="M7" s="73">
        <v>0.62515021546234684</v>
      </c>
      <c r="N7" s="74"/>
      <c r="O7" s="74"/>
      <c r="P7" s="75"/>
      <c r="S7" s="69"/>
      <c r="T7" s="70"/>
      <c r="U7" s="71"/>
    </row>
    <row r="8" spans="1:21">
      <c r="A8" s="61" t="s">
        <v>53</v>
      </c>
      <c r="B8" s="72">
        <f>IF('[1]Control panel'!B7&lt;&gt;"",'[1]Control panel'!B7,"")</f>
        <v>5.1014363077869621E-2</v>
      </c>
      <c r="C8" s="63">
        <v>5.6149706786613261E-2</v>
      </c>
      <c r="D8" s="64">
        <v>0.29616397669669142</v>
      </c>
      <c r="E8" s="64">
        <v>0.29680815289593021</v>
      </c>
      <c r="F8" s="73">
        <v>0.74187676376193967</v>
      </c>
      <c r="G8" s="73">
        <v>0.79023745754825636</v>
      </c>
      <c r="H8" s="73">
        <v>0.81106497730540505</v>
      </c>
      <c r="I8" s="73">
        <v>0.99999999999999978</v>
      </c>
      <c r="J8" s="73">
        <v>0.63944069654526292</v>
      </c>
      <c r="K8" s="73">
        <v>0.64591301484464436</v>
      </c>
      <c r="L8" s="73">
        <v>0.78448428807756676</v>
      </c>
      <c r="M8" s="73">
        <v>0.51393319492259693</v>
      </c>
      <c r="N8" s="74"/>
      <c r="O8" s="74"/>
      <c r="P8" s="75"/>
      <c r="S8" s="69"/>
      <c r="T8" s="70"/>
      <c r="U8" s="71"/>
    </row>
    <row r="9" spans="1:21">
      <c r="A9" s="61" t="s">
        <v>45</v>
      </c>
      <c r="B9" s="72">
        <f>IF('[1]Control panel'!B8&lt;&gt;"",'[1]Control panel'!B8,"")</f>
        <v>2.0731266317763185E-2</v>
      </c>
      <c r="C9" s="63">
        <v>5.1695827746959064E-2</v>
      </c>
      <c r="D9" s="64">
        <v>0.32648216646211403</v>
      </c>
      <c r="E9" s="64">
        <v>0.25154461316198523</v>
      </c>
      <c r="F9" s="73">
        <v>0.60846903584875167</v>
      </c>
      <c r="G9" s="73">
        <v>0.6311068208343743</v>
      </c>
      <c r="H9" s="73">
        <v>0.69909036020626758</v>
      </c>
      <c r="I9" s="73">
        <v>0.63944069654526281</v>
      </c>
      <c r="J9" s="73">
        <v>0.99999999999999978</v>
      </c>
      <c r="K9" s="73">
        <v>0.57555638609831095</v>
      </c>
      <c r="L9" s="73">
        <v>0.6706441294402975</v>
      </c>
      <c r="M9" s="73">
        <v>0.49865020725851583</v>
      </c>
      <c r="N9" s="74"/>
      <c r="O9" s="74"/>
      <c r="P9" s="75"/>
      <c r="S9" s="69"/>
      <c r="T9" s="70"/>
      <c r="U9" s="71"/>
    </row>
    <row r="10" spans="1:21">
      <c r="A10" s="61" t="s">
        <v>54</v>
      </c>
      <c r="B10" s="72">
        <f>IF('[1]Control panel'!B9&lt;&gt;"",'[1]Control panel'!B9,"")</f>
        <v>3.0634868515694261E-2</v>
      </c>
      <c r="C10" s="63">
        <v>2.8296106892401265E-2</v>
      </c>
      <c r="D10" s="64">
        <v>0.16076897495152093</v>
      </c>
      <c r="E10" s="64">
        <v>0.488213192416737</v>
      </c>
      <c r="F10" s="73">
        <v>0.86668583493806206</v>
      </c>
      <c r="G10" s="73">
        <v>0.87120901203593182</v>
      </c>
      <c r="H10" s="73">
        <v>0.74571542163255744</v>
      </c>
      <c r="I10" s="73">
        <v>0.64591301484464425</v>
      </c>
      <c r="J10" s="73">
        <v>0.57555638609831083</v>
      </c>
      <c r="K10" s="73">
        <v>1.0000000000000002</v>
      </c>
      <c r="L10" s="73">
        <v>0.79740125449060317</v>
      </c>
      <c r="M10" s="73">
        <v>0.6990511874231996</v>
      </c>
      <c r="N10" s="74"/>
      <c r="O10" s="74"/>
      <c r="P10" s="75"/>
      <c r="S10" s="69"/>
      <c r="T10" s="70"/>
      <c r="U10" s="71"/>
    </row>
    <row r="11" spans="1:21">
      <c r="A11" s="61" t="s">
        <v>55</v>
      </c>
      <c r="B11" s="72">
        <f>IF('[1]Control panel'!B10&lt;&gt;"",'[1]Control panel'!B10,"")</f>
        <v>4.6750473476693498E-2</v>
      </c>
      <c r="C11" s="63">
        <v>3.9623116882628269E-2</v>
      </c>
      <c r="D11" s="64">
        <v>0.20064050365322861</v>
      </c>
      <c r="E11" s="64">
        <v>0.39542796227510135</v>
      </c>
      <c r="F11" s="73">
        <v>0.86259221475724557</v>
      </c>
      <c r="G11" s="73">
        <v>0.86536847063850963</v>
      </c>
      <c r="H11" s="73">
        <v>0.88603334197313832</v>
      </c>
      <c r="I11" s="73">
        <v>0.78448428807756676</v>
      </c>
      <c r="J11" s="73">
        <v>0.67064412944029761</v>
      </c>
      <c r="K11" s="73">
        <v>0.79740125449060328</v>
      </c>
      <c r="L11" s="73">
        <v>1.0000000000000002</v>
      </c>
      <c r="M11" s="73">
        <v>0.74626676152997484</v>
      </c>
      <c r="N11" s="74"/>
      <c r="O11" s="74"/>
      <c r="P11" s="75"/>
    </row>
    <row r="12" spans="1:21">
      <c r="A12" s="76" t="s">
        <v>56</v>
      </c>
      <c r="B12" s="77">
        <f>IF('[1]Control panel'!B11&lt;&gt;"",'[1]Control panel'!B11,"")</f>
        <v>0</v>
      </c>
      <c r="C12" s="78">
        <v>2.5656887462827429E-2</v>
      </c>
      <c r="D12" s="64">
        <v>0.17312066928436093</v>
      </c>
      <c r="E12" s="64">
        <v>0.47422188785278774</v>
      </c>
      <c r="F12" s="73">
        <v>0.75906077754107693</v>
      </c>
      <c r="G12" s="73">
        <v>0.72481655312346349</v>
      </c>
      <c r="H12" s="73">
        <v>0.62515021546234673</v>
      </c>
      <c r="I12" s="73">
        <v>0.51393319492259693</v>
      </c>
      <c r="J12" s="73">
        <v>0.49865020725851572</v>
      </c>
      <c r="K12" s="73">
        <v>0.69905118742319949</v>
      </c>
      <c r="L12" s="73">
        <v>0.74626676152997495</v>
      </c>
      <c r="M12" s="73">
        <v>0.99999999999999989</v>
      </c>
      <c r="N12" s="74"/>
      <c r="O12" s="74"/>
      <c r="P12" s="75"/>
    </row>
    <row r="13" spans="1:21">
      <c r="A13" s="61"/>
      <c r="B13" s="72" t="str">
        <f>IF('[1]Control panel'!B12&lt;&gt;"",'[1]Control panel'!B12,"")</f>
        <v/>
      </c>
      <c r="C13" s="63"/>
      <c r="D13" s="79"/>
      <c r="E13" s="79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5"/>
    </row>
    <row r="14" spans="1:21">
      <c r="A14" s="61"/>
      <c r="B14" s="72" t="str">
        <f>IF('[1]Control panel'!B13&lt;&gt;"",'[1]Control panel'!B13,"")</f>
        <v/>
      </c>
      <c r="C14" s="63"/>
      <c r="D14" s="79"/>
      <c r="E14" s="79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5"/>
    </row>
    <row r="15" spans="1:21" ht="13.5" thickBot="1">
      <c r="A15" s="80"/>
      <c r="B15" s="81" t="str">
        <f>IF('[1]Control panel'!B14&lt;&gt;"",'[1]Control panel'!B14,"")</f>
        <v/>
      </c>
      <c r="C15" s="82"/>
      <c r="D15" s="83"/>
      <c r="E15" s="83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5"/>
    </row>
    <row r="16" spans="1:21">
      <c r="A16" s="69"/>
      <c r="B16" s="86" t="s">
        <v>6</v>
      </c>
      <c r="C16" s="71">
        <v>9.982328696892509E-2</v>
      </c>
      <c r="D16" s="87"/>
      <c r="E16" s="87"/>
      <c r="F16" s="87"/>
      <c r="G16" s="87"/>
      <c r="H16" s="87"/>
      <c r="I16" s="87"/>
      <c r="J16" s="87"/>
      <c r="K16" s="87"/>
      <c r="L16" s="88"/>
    </row>
    <row r="17" spans="1:24">
      <c r="A17" s="69" t="s">
        <v>57</v>
      </c>
    </row>
    <row r="18" spans="1:24">
      <c r="A18" s="89" t="s">
        <v>58</v>
      </c>
      <c r="B18" s="90" t="s">
        <v>21</v>
      </c>
      <c r="C18" s="91" t="s">
        <v>59</v>
      </c>
    </row>
    <row r="19" spans="1:24">
      <c r="A19" s="89" t="s">
        <v>60</v>
      </c>
      <c r="B19" s="92" t="s">
        <v>49</v>
      </c>
      <c r="C19" s="93">
        <v>0</v>
      </c>
    </row>
    <row r="20" spans="1:24">
      <c r="A20" s="89" t="s">
        <v>61</v>
      </c>
      <c r="B20" s="92" t="s">
        <v>50</v>
      </c>
      <c r="C20" s="93">
        <v>0.03</v>
      </c>
    </row>
    <row r="21" spans="1:24">
      <c r="D21" s="94"/>
      <c r="E21" s="94"/>
      <c r="G21" s="119"/>
      <c r="H21" s="119"/>
      <c r="I21" s="119"/>
      <c r="J21" s="119"/>
    </row>
    <row r="22" spans="1:24">
      <c r="D22" s="94"/>
      <c r="E22" s="94"/>
      <c r="S22" s="69"/>
      <c r="T22" s="119"/>
      <c r="U22" s="119"/>
      <c r="V22" s="119"/>
      <c r="W22" s="119"/>
      <c r="X22" s="119"/>
    </row>
    <row r="23" spans="1:24">
      <c r="D23" s="94"/>
      <c r="E23" s="94"/>
      <c r="S23" s="69"/>
      <c r="T23" s="60"/>
      <c r="U23" s="60"/>
      <c r="V23" s="60"/>
      <c r="W23" s="60"/>
      <c r="X23" s="60"/>
    </row>
    <row r="24" spans="1:24">
      <c r="D24" s="94"/>
      <c r="E24" s="94"/>
      <c r="S24" s="69"/>
      <c r="T24" s="60"/>
      <c r="U24" s="60"/>
      <c r="V24" s="60"/>
      <c r="W24" s="60"/>
      <c r="X24" s="60"/>
    </row>
    <row r="25" spans="1:24">
      <c r="A25" s="69"/>
      <c r="B25" s="69"/>
      <c r="C25" s="69"/>
      <c r="D25" s="71"/>
      <c r="E25" s="94"/>
      <c r="F25" s="95"/>
      <c r="G25" s="69"/>
      <c r="H25" s="69"/>
      <c r="I25" s="69"/>
      <c r="J25" s="69"/>
      <c r="S25" s="59"/>
      <c r="T25" s="71"/>
      <c r="U25" s="71"/>
      <c r="V25" s="71"/>
      <c r="W25" s="71"/>
      <c r="X25" s="71"/>
    </row>
    <row r="26" spans="1:24">
      <c r="A26" s="69"/>
      <c r="B26" s="69"/>
      <c r="C26" s="69"/>
      <c r="D26" s="94"/>
      <c r="E26" s="94"/>
      <c r="F26" s="59"/>
      <c r="G26" s="69"/>
      <c r="H26" s="69"/>
      <c r="I26" s="69"/>
      <c r="J26" s="69"/>
      <c r="S26" s="59"/>
      <c r="T26" s="71"/>
      <c r="U26" s="71"/>
      <c r="V26" s="71"/>
      <c r="W26" s="71"/>
      <c r="X26" s="71"/>
    </row>
    <row r="27" spans="1:24">
      <c r="A27" s="101"/>
      <c r="B27" s="57"/>
      <c r="C27" s="57"/>
      <c r="D27" s="57"/>
      <c r="E27" s="57"/>
      <c r="F27" s="57"/>
      <c r="G27" s="57"/>
      <c r="H27" s="57"/>
      <c r="I27" s="57"/>
      <c r="J27" s="69"/>
      <c r="S27" s="59"/>
      <c r="T27" s="71"/>
      <c r="U27" s="71"/>
      <c r="V27" s="71"/>
      <c r="W27" s="71"/>
      <c r="X27" s="71"/>
    </row>
    <row r="28" spans="1:24">
      <c r="A28" s="69"/>
      <c r="B28" s="71"/>
      <c r="C28" s="71"/>
      <c r="D28" s="71"/>
      <c r="E28" s="71"/>
      <c r="F28" s="71"/>
      <c r="G28" s="71"/>
      <c r="H28" s="71"/>
      <c r="I28" s="71"/>
      <c r="J28" s="69"/>
      <c r="S28" s="59"/>
      <c r="T28" s="71"/>
      <c r="U28" s="71"/>
      <c r="V28" s="71"/>
      <c r="W28" s="71"/>
      <c r="X28" s="71"/>
    </row>
    <row r="29" spans="1:24">
      <c r="A29" s="69"/>
      <c r="B29" s="71"/>
      <c r="C29" s="71"/>
      <c r="D29" s="71"/>
      <c r="E29" s="71"/>
      <c r="F29" s="71"/>
      <c r="G29" s="71"/>
      <c r="H29" s="71"/>
      <c r="I29" s="71"/>
      <c r="J29" s="69"/>
      <c r="S29" s="59"/>
      <c r="T29" s="71"/>
      <c r="U29" s="71"/>
      <c r="V29" s="71"/>
      <c r="W29" s="71"/>
      <c r="X29" s="71"/>
    </row>
    <row r="30" spans="1:24">
      <c r="A30" s="69"/>
      <c r="B30" s="71"/>
      <c r="C30" s="71"/>
      <c r="D30" s="71"/>
      <c r="E30" s="71"/>
      <c r="F30" s="71"/>
      <c r="G30" s="71"/>
      <c r="H30" s="71"/>
      <c r="I30" s="71"/>
      <c r="J30" s="69"/>
      <c r="S30" s="59"/>
      <c r="T30" s="71"/>
      <c r="U30" s="71"/>
      <c r="V30" s="71"/>
      <c r="W30" s="71"/>
      <c r="X30" s="71"/>
    </row>
    <row r="31" spans="1:24">
      <c r="A31" s="69"/>
      <c r="B31" s="71"/>
      <c r="C31" s="71"/>
      <c r="D31" s="71"/>
      <c r="E31" s="71"/>
      <c r="F31" s="71"/>
      <c r="G31" s="71"/>
      <c r="H31" s="71"/>
      <c r="I31" s="71"/>
      <c r="J31" s="60"/>
    </row>
    <row r="32" spans="1:24">
      <c r="A32" s="69"/>
      <c r="B32" s="71"/>
      <c r="C32" s="71"/>
      <c r="D32" s="71"/>
      <c r="E32" s="71"/>
      <c r="F32" s="71"/>
      <c r="G32" s="71"/>
      <c r="H32" s="71"/>
      <c r="I32" s="71"/>
      <c r="J32" s="96"/>
      <c r="U32" s="97"/>
    </row>
    <row r="33" spans="1:21">
      <c r="A33" s="69"/>
      <c r="B33" s="71"/>
      <c r="C33" s="71"/>
      <c r="D33" s="71"/>
      <c r="E33" s="71"/>
      <c r="F33" s="71"/>
      <c r="G33" s="71"/>
      <c r="H33" s="71"/>
      <c r="I33" s="71"/>
      <c r="J33" s="98"/>
      <c r="U33" s="97"/>
    </row>
    <row r="34" spans="1:21">
      <c r="A34" s="69"/>
      <c r="B34" s="71"/>
      <c r="C34" s="71"/>
      <c r="D34" s="71"/>
      <c r="E34" s="71"/>
      <c r="F34" s="71"/>
      <c r="G34" s="71"/>
      <c r="H34" s="71"/>
      <c r="I34" s="71"/>
      <c r="J34" s="98"/>
      <c r="U34" s="97"/>
    </row>
    <row r="35" spans="1:21">
      <c r="A35" s="69"/>
      <c r="B35" s="71"/>
      <c r="C35" s="71"/>
      <c r="D35" s="71"/>
      <c r="E35" s="71"/>
      <c r="F35" s="71"/>
      <c r="G35" s="71"/>
      <c r="H35" s="71"/>
      <c r="I35" s="71"/>
      <c r="J35" s="98"/>
      <c r="U35" s="97"/>
    </row>
    <row r="36" spans="1:21">
      <c r="A36" s="69"/>
      <c r="B36" s="71"/>
      <c r="C36" s="71"/>
      <c r="D36" s="71"/>
      <c r="E36" s="71"/>
      <c r="F36" s="71"/>
      <c r="G36" s="71"/>
      <c r="H36" s="71"/>
      <c r="I36" s="71"/>
      <c r="J36" s="98"/>
      <c r="U36" s="97"/>
    </row>
    <row r="37" spans="1:21">
      <c r="A37" s="69"/>
      <c r="B37" s="71"/>
      <c r="C37" s="71"/>
      <c r="D37" s="71"/>
      <c r="E37" s="71"/>
      <c r="F37" s="71"/>
      <c r="G37" s="71"/>
      <c r="H37" s="71"/>
      <c r="I37" s="71"/>
      <c r="J37" s="98"/>
      <c r="U37" s="97"/>
    </row>
    <row r="38" spans="1:21">
      <c r="A38" s="69"/>
      <c r="B38" s="71"/>
      <c r="C38" s="71"/>
      <c r="D38" s="71"/>
      <c r="E38" s="71"/>
      <c r="F38" s="71"/>
      <c r="G38" s="71"/>
      <c r="H38" s="71"/>
      <c r="I38" s="71"/>
      <c r="J38" s="98"/>
      <c r="U38" s="97"/>
    </row>
    <row r="39" spans="1:21">
      <c r="A39" s="69"/>
      <c r="B39" s="71"/>
      <c r="C39" s="71"/>
      <c r="D39" s="71"/>
      <c r="E39" s="71"/>
      <c r="F39" s="71"/>
      <c r="G39" s="71"/>
      <c r="H39" s="71"/>
      <c r="I39" s="71"/>
      <c r="J39" s="98"/>
    </row>
    <row r="40" spans="1:21">
      <c r="A40" s="69"/>
      <c r="B40" s="69"/>
      <c r="C40" s="69"/>
      <c r="D40" s="94"/>
      <c r="E40" s="94"/>
      <c r="F40" s="69"/>
      <c r="G40" s="69"/>
      <c r="H40" s="69"/>
      <c r="I40" s="69"/>
      <c r="J40" s="69"/>
    </row>
    <row r="41" spans="1:21">
      <c r="A41" s="59"/>
      <c r="B41" s="102"/>
      <c r="C41" s="102"/>
      <c r="D41" s="102"/>
      <c r="E41" s="102"/>
      <c r="F41" s="102"/>
      <c r="G41" s="102"/>
      <c r="H41" s="102"/>
      <c r="I41" s="103"/>
      <c r="J41" s="69"/>
    </row>
    <row r="42" spans="1:21">
      <c r="A42" s="69"/>
      <c r="B42" s="69"/>
      <c r="C42" s="69"/>
      <c r="D42" s="69"/>
      <c r="E42" s="69"/>
      <c r="F42" s="69"/>
      <c r="G42" s="69"/>
      <c r="H42" s="69"/>
      <c r="I42" s="69"/>
      <c r="J42" s="69"/>
    </row>
    <row r="43" spans="1:21">
      <c r="A43" s="59"/>
      <c r="B43" s="102"/>
      <c r="C43" s="104"/>
      <c r="D43" s="104"/>
      <c r="E43" s="104"/>
      <c r="F43" s="104"/>
      <c r="G43" s="104"/>
      <c r="H43" s="104"/>
      <c r="I43" s="104"/>
      <c r="J43" s="69"/>
    </row>
    <row r="44" spans="1:21">
      <c r="A44" s="69"/>
      <c r="B44" s="69"/>
      <c r="C44" s="69"/>
      <c r="D44" s="69"/>
      <c r="E44" s="69"/>
      <c r="F44" s="69"/>
      <c r="G44" s="69"/>
      <c r="H44" s="69"/>
      <c r="I44" s="69"/>
      <c r="J44" s="69"/>
    </row>
    <row r="45" spans="1:21">
      <c r="A45" s="59"/>
      <c r="B45" s="102"/>
      <c r="C45" s="102"/>
      <c r="D45" s="102"/>
      <c r="E45" s="102"/>
      <c r="F45" s="102"/>
      <c r="G45" s="102"/>
      <c r="H45" s="102"/>
      <c r="I45" s="103"/>
      <c r="J45" s="69"/>
    </row>
    <row r="46" spans="1:21">
      <c r="A46" s="69"/>
      <c r="B46" s="69"/>
      <c r="C46" s="69"/>
      <c r="D46" s="69"/>
      <c r="E46" s="69"/>
      <c r="F46" s="69"/>
      <c r="G46" s="69"/>
      <c r="H46" s="69"/>
      <c r="I46" s="69"/>
      <c r="J46" s="69"/>
    </row>
    <row r="47" spans="1:21">
      <c r="A47" s="89"/>
      <c r="B47" s="57"/>
      <c r="C47" s="69"/>
      <c r="D47" s="69"/>
      <c r="E47" s="69"/>
      <c r="F47" s="69"/>
      <c r="G47" s="69"/>
      <c r="H47" s="69"/>
      <c r="I47" s="69"/>
      <c r="J47" s="69"/>
    </row>
    <row r="48" spans="1:21">
      <c r="A48" s="89"/>
      <c r="B48" s="57"/>
      <c r="C48" s="69"/>
      <c r="D48" s="69"/>
      <c r="E48" s="69"/>
      <c r="F48" s="69"/>
      <c r="G48" s="69"/>
      <c r="H48" s="69"/>
      <c r="I48" s="69"/>
      <c r="J48" s="69"/>
    </row>
    <row r="49" spans="1:10">
      <c r="A49" s="69"/>
      <c r="B49" s="69"/>
      <c r="C49" s="69"/>
      <c r="D49" s="69"/>
      <c r="E49" s="69"/>
      <c r="F49" s="69"/>
      <c r="G49" s="69"/>
      <c r="H49" s="69"/>
      <c r="I49" s="69"/>
      <c r="J49" s="69"/>
    </row>
    <row r="50" spans="1:10">
      <c r="A50" s="69"/>
      <c r="B50" s="69"/>
      <c r="C50" s="69"/>
      <c r="D50" s="69"/>
      <c r="E50" s="69"/>
      <c r="F50" s="69"/>
      <c r="G50" s="69"/>
      <c r="H50" s="69"/>
      <c r="I50" s="69"/>
      <c r="J50" s="69"/>
    </row>
    <row r="51" spans="1:10">
      <c r="A51" s="69"/>
      <c r="B51" s="69"/>
      <c r="C51" s="69"/>
      <c r="D51" s="69"/>
      <c r="E51" s="69"/>
      <c r="F51" s="69"/>
      <c r="G51" s="69"/>
      <c r="H51" s="69"/>
      <c r="I51" s="69"/>
      <c r="J51" s="69"/>
    </row>
    <row r="52" spans="1:10">
      <c r="A52" s="69"/>
      <c r="B52" s="69"/>
      <c r="C52" s="69"/>
      <c r="D52" s="69"/>
      <c r="E52" s="69"/>
      <c r="F52" s="69"/>
      <c r="G52" s="69"/>
      <c r="H52" s="69"/>
      <c r="I52" s="69"/>
      <c r="J52" s="69"/>
    </row>
    <row r="53" spans="1:10">
      <c r="A53" s="69"/>
      <c r="B53" s="69"/>
      <c r="C53" s="69"/>
      <c r="D53" s="69"/>
      <c r="E53" s="69"/>
      <c r="F53" s="69"/>
      <c r="G53" s="69"/>
      <c r="H53" s="69"/>
      <c r="I53" s="69"/>
      <c r="J53" s="69"/>
    </row>
    <row r="54" spans="1:10">
      <c r="A54" s="69"/>
      <c r="B54" s="69"/>
      <c r="C54" s="69"/>
      <c r="D54" s="69"/>
      <c r="E54" s="69"/>
      <c r="F54" s="69"/>
      <c r="G54" s="69"/>
      <c r="H54" s="69"/>
      <c r="I54" s="69"/>
      <c r="J54" s="69"/>
    </row>
    <row r="55" spans="1:10">
      <c r="A55" s="69"/>
      <c r="B55" s="69"/>
      <c r="C55" s="69"/>
      <c r="D55" s="69"/>
      <c r="E55" s="69"/>
      <c r="F55" s="69"/>
      <c r="G55" s="69"/>
      <c r="H55" s="69"/>
      <c r="I55" s="69"/>
      <c r="J55" s="69"/>
    </row>
    <row r="56" spans="1:10">
      <c r="A56" s="69"/>
      <c r="B56" s="69"/>
      <c r="C56" s="69"/>
      <c r="D56" s="69"/>
      <c r="E56" s="69"/>
      <c r="F56" s="69"/>
      <c r="G56" s="69"/>
      <c r="H56" s="69"/>
      <c r="I56" s="69"/>
      <c r="J56" s="69"/>
    </row>
    <row r="57" spans="1:10">
      <c r="A57" s="69"/>
      <c r="B57" s="69"/>
      <c r="C57" s="69"/>
      <c r="D57" s="69"/>
      <c r="E57" s="69"/>
      <c r="F57" s="69"/>
      <c r="G57" s="69"/>
      <c r="H57" s="69"/>
      <c r="I57" s="69"/>
      <c r="J57" s="69"/>
    </row>
    <row r="58" spans="1:10">
      <c r="A58" s="69"/>
      <c r="B58" s="69"/>
      <c r="C58" s="69"/>
      <c r="D58" s="69"/>
      <c r="E58" s="69"/>
      <c r="F58" s="69"/>
      <c r="G58" s="69"/>
      <c r="H58" s="69"/>
      <c r="I58" s="69"/>
      <c r="J58" s="69"/>
    </row>
    <row r="59" spans="1:10">
      <c r="A59" s="69"/>
      <c r="B59" s="69"/>
      <c r="C59" s="69"/>
      <c r="D59" s="69"/>
      <c r="E59" s="69"/>
      <c r="F59" s="69"/>
      <c r="G59" s="69"/>
      <c r="H59" s="69"/>
      <c r="I59" s="69"/>
      <c r="J59" s="69"/>
    </row>
    <row r="60" spans="1:10">
      <c r="A60" s="69"/>
      <c r="B60" s="69"/>
      <c r="C60" s="69"/>
      <c r="D60" s="69"/>
      <c r="E60" s="69"/>
      <c r="F60" s="69"/>
      <c r="G60" s="69"/>
      <c r="H60" s="69"/>
      <c r="I60" s="69"/>
      <c r="J60" s="69"/>
    </row>
    <row r="61" spans="1:10">
      <c r="A61" s="69"/>
      <c r="B61" s="69"/>
      <c r="C61" s="69"/>
      <c r="D61" s="69"/>
      <c r="E61" s="69"/>
      <c r="F61" s="69"/>
      <c r="G61" s="69"/>
      <c r="H61" s="69"/>
      <c r="I61" s="69"/>
      <c r="J61" s="69"/>
    </row>
    <row r="62" spans="1:10">
      <c r="A62" s="69"/>
      <c r="B62" s="69"/>
      <c r="C62" s="69"/>
      <c r="D62" s="69"/>
      <c r="E62" s="69"/>
      <c r="F62" s="69"/>
      <c r="G62" s="69"/>
      <c r="H62" s="69"/>
      <c r="I62" s="69"/>
      <c r="J62" s="69"/>
    </row>
    <row r="63" spans="1:10">
      <c r="A63" s="69"/>
      <c r="B63" s="69"/>
      <c r="C63" s="69"/>
      <c r="D63" s="69"/>
      <c r="E63" s="69"/>
      <c r="F63" s="69"/>
      <c r="G63" s="69"/>
      <c r="H63" s="69"/>
      <c r="I63" s="69"/>
      <c r="J63" s="69"/>
    </row>
    <row r="64" spans="1:10">
      <c r="A64" s="69"/>
      <c r="B64" s="69"/>
      <c r="C64" s="69"/>
      <c r="D64" s="69"/>
      <c r="E64" s="69"/>
      <c r="F64" s="69"/>
      <c r="G64" s="69"/>
      <c r="H64" s="69"/>
      <c r="I64" s="69"/>
      <c r="J64" s="69"/>
    </row>
    <row r="65" spans="1:10">
      <c r="A65" s="69"/>
      <c r="B65" s="69"/>
      <c r="C65" s="69"/>
      <c r="D65" s="69"/>
      <c r="E65" s="69"/>
      <c r="F65" s="69"/>
      <c r="G65" s="69"/>
      <c r="H65" s="69"/>
      <c r="I65" s="69"/>
      <c r="J65" s="69"/>
    </row>
    <row r="66" spans="1:10">
      <c r="A66" s="69"/>
      <c r="B66" s="69"/>
      <c r="C66" s="69"/>
      <c r="D66" s="69"/>
      <c r="E66" s="69"/>
      <c r="F66" s="69"/>
      <c r="G66" s="69"/>
      <c r="H66" s="69"/>
      <c r="I66" s="69"/>
      <c r="J66" s="69"/>
    </row>
    <row r="67" spans="1:10">
      <c r="A67" s="69"/>
      <c r="B67" s="69"/>
      <c r="C67" s="69"/>
      <c r="D67" s="69"/>
      <c r="E67" s="69"/>
      <c r="F67" s="69"/>
      <c r="G67" s="69"/>
      <c r="H67" s="69"/>
      <c r="I67" s="69"/>
      <c r="J67" s="69"/>
    </row>
    <row r="68" spans="1:10">
      <c r="A68" s="69"/>
      <c r="B68" s="69"/>
      <c r="C68" s="69"/>
      <c r="D68" s="69"/>
      <c r="E68" s="69"/>
      <c r="F68" s="69"/>
      <c r="G68" s="69"/>
      <c r="H68" s="69"/>
      <c r="I68" s="69"/>
      <c r="J68" s="69"/>
    </row>
    <row r="69" spans="1:10">
      <c r="A69" s="69"/>
      <c r="B69" s="69"/>
      <c r="C69" s="69"/>
      <c r="D69" s="69"/>
      <c r="E69" s="69"/>
      <c r="F69" s="69"/>
      <c r="G69" s="69"/>
      <c r="H69" s="69"/>
      <c r="I69" s="69"/>
      <c r="J69" s="69"/>
    </row>
    <row r="70" spans="1:10">
      <c r="A70" s="69"/>
      <c r="B70" s="69"/>
      <c r="C70" s="69"/>
      <c r="D70" s="69"/>
      <c r="E70" s="69"/>
      <c r="F70" s="69"/>
      <c r="G70" s="69"/>
      <c r="H70" s="69"/>
      <c r="I70" s="69"/>
      <c r="J70" s="69"/>
    </row>
    <row r="71" spans="1:10">
      <c r="A71" s="69"/>
      <c r="B71" s="69"/>
      <c r="C71" s="69"/>
      <c r="D71" s="69"/>
      <c r="E71" s="69"/>
      <c r="F71" s="69"/>
      <c r="G71" s="69"/>
      <c r="H71" s="69"/>
      <c r="I71" s="69"/>
      <c r="J71" s="69"/>
    </row>
    <row r="72" spans="1:10">
      <c r="A72" s="69"/>
      <c r="B72" s="69"/>
      <c r="C72" s="69"/>
      <c r="D72" s="69"/>
      <c r="E72" s="69"/>
      <c r="F72" s="69"/>
      <c r="G72" s="69"/>
      <c r="H72" s="69"/>
      <c r="I72" s="69"/>
      <c r="J72" s="69"/>
    </row>
    <row r="73" spans="1:10">
      <c r="A73" s="69"/>
      <c r="B73" s="69"/>
      <c r="C73" s="69"/>
      <c r="D73" s="69"/>
      <c r="E73" s="69"/>
      <c r="F73" s="69"/>
      <c r="G73" s="69"/>
      <c r="H73" s="69"/>
      <c r="I73" s="69"/>
      <c r="J73" s="69"/>
    </row>
    <row r="74" spans="1:10">
      <c r="A74" s="69"/>
      <c r="B74" s="69"/>
      <c r="C74" s="69"/>
      <c r="D74" s="69"/>
      <c r="E74" s="69"/>
      <c r="F74" s="69"/>
      <c r="G74" s="69"/>
      <c r="H74" s="69"/>
      <c r="I74" s="69"/>
      <c r="J74" s="69"/>
    </row>
    <row r="75" spans="1:10">
      <c r="A75" s="69"/>
      <c r="B75" s="69"/>
      <c r="C75" s="69"/>
      <c r="D75" s="69"/>
      <c r="E75" s="69"/>
      <c r="F75" s="69"/>
      <c r="G75" s="69"/>
      <c r="H75" s="69"/>
      <c r="I75" s="69"/>
      <c r="J75" s="69"/>
    </row>
    <row r="76" spans="1:10">
      <c r="A76" s="69"/>
      <c r="B76" s="69"/>
      <c r="C76" s="69"/>
      <c r="D76" s="69"/>
      <c r="E76" s="69"/>
      <c r="F76" s="69"/>
      <c r="G76" s="69"/>
      <c r="H76" s="69"/>
      <c r="I76" s="69"/>
      <c r="J76" s="69"/>
    </row>
    <row r="77" spans="1:10">
      <c r="A77" s="69"/>
      <c r="B77" s="69"/>
      <c r="C77" s="69"/>
      <c r="D77" s="69"/>
      <c r="E77" s="69"/>
      <c r="F77" s="69"/>
      <c r="G77" s="69"/>
      <c r="H77" s="69"/>
      <c r="I77" s="69"/>
      <c r="J77" s="69"/>
    </row>
    <row r="78" spans="1:10">
      <c r="A78" s="69"/>
      <c r="B78" s="69"/>
      <c r="C78" s="69"/>
      <c r="D78" s="69"/>
      <c r="E78" s="69"/>
      <c r="F78" s="69"/>
      <c r="G78" s="69"/>
      <c r="H78" s="69"/>
      <c r="I78" s="69"/>
      <c r="J78" s="69"/>
    </row>
    <row r="79" spans="1:10">
      <c r="A79" s="69"/>
      <c r="B79" s="69"/>
      <c r="C79" s="69"/>
      <c r="D79" s="69"/>
      <c r="E79" s="69"/>
      <c r="F79" s="69"/>
      <c r="G79" s="69"/>
      <c r="H79" s="69"/>
      <c r="I79" s="69"/>
      <c r="J79" s="69"/>
    </row>
    <row r="80" spans="1:10">
      <c r="A80" s="69"/>
      <c r="B80" s="69"/>
      <c r="C80" s="69"/>
      <c r="D80" s="69"/>
      <c r="E80" s="69"/>
      <c r="F80" s="69"/>
      <c r="G80" s="69"/>
      <c r="H80" s="69"/>
      <c r="I80" s="69"/>
      <c r="J80" s="69"/>
    </row>
    <row r="81" spans="1:10">
      <c r="A81" s="69"/>
      <c r="B81" s="69"/>
      <c r="C81" s="69"/>
      <c r="D81" s="69"/>
      <c r="E81" s="69"/>
      <c r="F81" s="69"/>
      <c r="G81" s="69"/>
      <c r="H81" s="69"/>
      <c r="I81" s="69"/>
      <c r="J81" s="69"/>
    </row>
    <row r="82" spans="1:10">
      <c r="A82" s="69"/>
      <c r="B82" s="69"/>
      <c r="C82" s="69"/>
      <c r="D82" s="69"/>
      <c r="E82" s="69"/>
      <c r="F82" s="69"/>
      <c r="G82" s="69"/>
      <c r="H82" s="69"/>
      <c r="I82" s="69"/>
      <c r="J82" s="69"/>
    </row>
    <row r="83" spans="1:10">
      <c r="A83" s="69"/>
      <c r="B83" s="69"/>
      <c r="C83" s="69"/>
      <c r="D83" s="69"/>
      <c r="E83" s="69"/>
      <c r="F83" s="69"/>
      <c r="G83" s="69"/>
      <c r="H83" s="69"/>
      <c r="I83" s="69"/>
      <c r="J83" s="69"/>
    </row>
    <row r="84" spans="1:10">
      <c r="A84" s="69"/>
      <c r="B84" s="69"/>
      <c r="C84" s="69"/>
      <c r="D84" s="69"/>
      <c r="E84" s="69"/>
      <c r="F84" s="69"/>
      <c r="G84" s="69"/>
      <c r="H84" s="69"/>
      <c r="I84" s="69"/>
      <c r="J84" s="69"/>
    </row>
    <row r="85" spans="1:10">
      <c r="A85" s="69"/>
      <c r="B85" s="69"/>
      <c r="C85" s="69"/>
      <c r="D85" s="69"/>
      <c r="E85" s="69"/>
      <c r="F85" s="69"/>
      <c r="G85" s="69"/>
      <c r="H85" s="69"/>
      <c r="I85" s="69"/>
      <c r="J85" s="69"/>
    </row>
    <row r="86" spans="1:10">
      <c r="A86" s="69"/>
      <c r="B86" s="69"/>
      <c r="C86" s="69"/>
      <c r="D86" s="69"/>
      <c r="E86" s="69"/>
      <c r="F86" s="69"/>
      <c r="G86" s="69"/>
      <c r="H86" s="69"/>
      <c r="I86" s="69"/>
      <c r="J86" s="69"/>
    </row>
    <row r="87" spans="1:10">
      <c r="A87" s="69"/>
      <c r="B87" s="69"/>
      <c r="C87" s="69"/>
      <c r="D87" s="69"/>
      <c r="E87" s="69"/>
      <c r="F87" s="69"/>
      <c r="G87" s="69"/>
      <c r="H87" s="69"/>
      <c r="I87" s="69"/>
      <c r="J87" s="69"/>
    </row>
    <row r="88" spans="1:10">
      <c r="A88" s="69"/>
      <c r="B88" s="69"/>
      <c r="C88" s="69"/>
      <c r="D88" s="69"/>
      <c r="E88" s="69"/>
      <c r="F88" s="69"/>
      <c r="G88" s="69"/>
      <c r="H88" s="69"/>
      <c r="I88" s="69"/>
      <c r="J88" s="69"/>
    </row>
    <row r="97" spans="1:2">
      <c r="B97" s="91"/>
    </row>
    <row r="98" spans="1:2">
      <c r="B98" s="91"/>
    </row>
    <row r="100" spans="1:2">
      <c r="B100" s="91"/>
    </row>
    <row r="102" spans="1:2">
      <c r="A102" s="99" t="s">
        <v>62</v>
      </c>
    </row>
    <row r="103" spans="1:2">
      <c r="A103" s="46" t="s">
        <v>21</v>
      </c>
      <c r="B103" s="91">
        <v>0</v>
      </c>
    </row>
    <row r="104" spans="1:2">
      <c r="A104" s="46" t="str">
        <f>A4</f>
        <v>Nominale matching</v>
      </c>
      <c r="B104" s="91">
        <v>1</v>
      </c>
    </row>
    <row r="105" spans="1:2">
      <c r="A105" s="46" t="str">
        <f t="shared" ref="A105:A111" si="0">A5</f>
        <v>High Yield</v>
      </c>
      <c r="B105" s="91">
        <v>2</v>
      </c>
    </row>
    <row r="106" spans="1:2">
      <c r="A106" s="46" t="str">
        <f t="shared" si="0"/>
        <v>Emerging market debt</v>
      </c>
      <c r="B106" s="91">
        <v>3</v>
      </c>
    </row>
    <row r="107" spans="1:2">
      <c r="A107" s="46" t="str">
        <f t="shared" si="0"/>
        <v>Aandelen ontwikkeld</v>
      </c>
      <c r="B107" s="91">
        <v>4</v>
      </c>
    </row>
    <row r="108" spans="1:2">
      <c r="A108" s="46" t="str">
        <f t="shared" si="0"/>
        <v>Aandelen opkomend</v>
      </c>
      <c r="B108" s="91">
        <v>5</v>
      </c>
    </row>
    <row r="109" spans="1:2">
      <c r="A109" s="46" t="str">
        <f t="shared" si="0"/>
        <v>Commodities</v>
      </c>
      <c r="B109" s="91">
        <v>6</v>
      </c>
    </row>
    <row r="110" spans="1:2">
      <c r="A110" s="46" t="str">
        <f t="shared" si="0"/>
        <v>Hedge funds</v>
      </c>
      <c r="B110" s="91">
        <v>7</v>
      </c>
    </row>
    <row r="111" spans="1:2">
      <c r="A111" s="46" t="str">
        <f t="shared" si="0"/>
        <v>Onroerend goed</v>
      </c>
      <c r="B111" s="91">
        <v>8</v>
      </c>
    </row>
    <row r="113" spans="1:2">
      <c r="A113" s="100" t="s">
        <v>63</v>
      </c>
    </row>
    <row r="114" spans="1:2">
      <c r="A114" s="46" t="s">
        <v>58</v>
      </c>
      <c r="B114" s="91">
        <f>VLOOKUP(B18,$A$103:$B$111,2,0)</f>
        <v>0</v>
      </c>
    </row>
    <row r="115" spans="1:2">
      <c r="A115" s="46" t="s">
        <v>64</v>
      </c>
      <c r="B115" s="91">
        <f t="shared" ref="B115:B116" si="1">VLOOKUP(B19,$A$103:$B$111,2,0)</f>
        <v>1</v>
      </c>
    </row>
    <row r="116" spans="1:2">
      <c r="A116" s="46" t="s">
        <v>65</v>
      </c>
      <c r="B116" s="91">
        <f t="shared" si="1"/>
        <v>2</v>
      </c>
    </row>
  </sheetData>
  <mergeCells count="3">
    <mergeCell ref="E2:P2"/>
    <mergeCell ref="G21:J21"/>
    <mergeCell ref="T22:X22"/>
  </mergeCells>
  <dataValidations count="3">
    <dataValidation type="list" allowBlank="1" showInputMessage="1" showErrorMessage="1" sqref="A1">
      <formula1>Klanten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B18">
      <formula1>$A$103:$A$111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evenwicht</vt:lpstr>
      <vt:lpstr>scenarios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bgt</dc:creator>
  <cp:lastModifiedBy>bgt</cp:lastModifiedBy>
  <dcterms:created xsi:type="dcterms:W3CDTF">2013-02-25T12:06:08Z</dcterms:created>
  <dcterms:modified xsi:type="dcterms:W3CDTF">2013-02-25T12:33:52Z</dcterms:modified>
</cp:coreProperties>
</file>