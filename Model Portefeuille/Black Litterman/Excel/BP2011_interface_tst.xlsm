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8.xml" ContentType="application/vnd.openxmlformats-officedocument.spreadsheetml.chartshee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heets/sheet9.xml" ContentType="application/vnd.openxmlformats-officedocument.spreadsheetml.chart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drawings/drawing1.xml" ContentType="application/vnd.openxmlformats-officedocument.drawing+xml"/>
  <Override PartName="/xl/drawings/drawing1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7880" windowHeight="6015" tabRatio="925" activeTab="4"/>
  </bookViews>
  <sheets>
    <sheet name="Parameters" sheetId="5" r:id="rId1"/>
    <sheet name="Economische visies" sheetId="45" r:id="rId2"/>
    <sheet name="Vertaling visies absoluut" sheetId="46" r:id="rId3"/>
    <sheet name="Vertaling visies absoluut (2)" sheetId="67" r:id="rId4"/>
    <sheet name="BL Visie 1" sheetId="60" r:id="rId5"/>
    <sheet name="BL Visie 2" sheetId="64" r:id="rId6"/>
    <sheet name="BL Visie 3" sheetId="65" r:id="rId7"/>
    <sheet name="BL Visie 4" sheetId="66" r:id="rId8"/>
    <sheet name="BL vertaling absoluut" sheetId="62" r:id="rId9"/>
    <sheet name="Historie rendementen" sheetId="4" r:id="rId10"/>
    <sheet name="Historie factoren" sheetId="44" r:id="rId11"/>
    <sheet name="Verplichtingen Nominaal" sheetId="40" r:id="rId12"/>
    <sheet name="Verplichtingen Reeel" sheetId="41" r:id="rId13"/>
    <sheet name="Scenario 1 Mixen" sheetId="48" r:id="rId14"/>
    <sheet name="Scenario 2 Mixen" sheetId="49" r:id="rId15"/>
    <sheet name="Scenario 3 Mixen" sheetId="50" r:id="rId16"/>
    <sheet name="Scenario 4 Mixen" sheetId="51" r:id="rId17"/>
    <sheet name="Scenario 5 Mixen" sheetId="52" r:id="rId18"/>
    <sheet name="Scenario 6 Mixen" sheetId="53" r:id="rId19"/>
    <sheet name="Samenvatting mixen" sheetId="54" r:id="rId20"/>
    <sheet name="Samenvatting mixen - return" sheetId="55" r:id="rId21"/>
    <sheet name="Grafieken - matching &amp; return" sheetId="70" r:id="rId22"/>
    <sheet name="Grafieken - Returnportefeuille" sheetId="71" r:id="rId23"/>
    <sheet name="Basisanalyse" sheetId="72" r:id="rId24"/>
    <sheet name="Basisanalyse - returnport" sheetId="73" r:id="rId25"/>
    <sheet name="Groei Recessie" sheetId="74" r:id="rId26"/>
    <sheet name="Inflatie" sheetId="75" r:id="rId27"/>
    <sheet name="Vermogenseffect" sheetId="76" r:id="rId28"/>
    <sheet name="Deflatie" sheetId="77" r:id="rId29"/>
    <sheet name="Kansgewogen" sheetId="78" r:id="rId30"/>
    <sheet name="Derivatenanalyse" sheetId="79" r:id="rId31"/>
  </sheets>
  <functionGroups/>
  <externalReferences>
    <externalReference r:id="rId32"/>
  </externalReferences>
  <definedNames>
    <definedName name="Sample">'Historie rendementen'!$A$2:$A$41</definedName>
    <definedName name="Sample2">'[1]Historische reeksen'!$A$3:$A$41</definedName>
    <definedName name="Views">#REF!</definedName>
  </definedNames>
  <calcPr calcId="125725" concurrentCalc="0"/>
</workbook>
</file>

<file path=xl/calcChain.xml><?xml version="1.0" encoding="utf-8"?>
<calcChain xmlns="http://schemas.openxmlformats.org/spreadsheetml/2006/main">
  <c r="E103" i="5"/>
  <c r="J39" i="60"/>
  <c r="J43"/>
  <c r="E143" i="5"/>
  <c r="O18" i="62"/>
  <c r="N19"/>
  <c r="O65" i="46"/>
  <c r="O64"/>
  <c r="O63"/>
  <c r="O62"/>
  <c r="O61"/>
  <c r="O60"/>
  <c r="O59"/>
  <c r="O58"/>
  <c r="O57"/>
  <c r="O56"/>
  <c r="O52"/>
  <c r="O51"/>
  <c r="O50"/>
  <c r="O49"/>
  <c r="O48"/>
  <c r="O47"/>
  <c r="O46"/>
  <c r="O45"/>
  <c r="O44"/>
  <c r="O43"/>
  <c r="O39"/>
  <c r="O38"/>
  <c r="O37"/>
  <c r="O36"/>
  <c r="O35"/>
  <c r="O34"/>
  <c r="O33"/>
  <c r="O32"/>
  <c r="O31"/>
  <c r="O30"/>
  <c r="O26"/>
  <c r="O25"/>
  <c r="O24"/>
  <c r="O23"/>
  <c r="O22"/>
  <c r="O21"/>
  <c r="O20"/>
  <c r="O19"/>
  <c r="O18"/>
  <c r="O17"/>
  <c r="O13"/>
  <c r="O12"/>
  <c r="O11"/>
  <c r="O10"/>
  <c r="O9"/>
  <c r="O8"/>
  <c r="O7"/>
  <c r="O6"/>
  <c r="O5"/>
  <c r="O4"/>
  <c r="O17" i="67"/>
  <c r="O18"/>
  <c r="O19"/>
  <c r="O20"/>
  <c r="O21"/>
  <c r="O22"/>
  <c r="O23"/>
  <c r="O24"/>
  <c r="O25"/>
  <c r="O26"/>
  <c r="O30"/>
  <c r="O31"/>
  <c r="O32"/>
  <c r="O33"/>
  <c r="O34"/>
  <c r="O35"/>
  <c r="O36"/>
  <c r="O37"/>
  <c r="O38"/>
  <c r="O39"/>
  <c r="O4"/>
  <c r="O10"/>
  <c r="B5" i="45"/>
  <c r="G3" i="79"/>
  <c r="A12"/>
  <c r="A99" i="5" a="1"/>
  <c r="A101"/>
  <c r="A52"/>
  <c r="A13" i="79"/>
  <c r="A102" i="5"/>
  <c r="A53"/>
  <c r="A14" i="79"/>
  <c r="A103" i="5"/>
  <c r="A54"/>
  <c r="A15" i="79"/>
  <c r="A104" i="5"/>
  <c r="A55"/>
  <c r="A16" i="79"/>
  <c r="A105" i="5"/>
  <c r="A56"/>
  <c r="A17" i="79"/>
  <c r="A106" i="5"/>
  <c r="A57"/>
  <c r="A18" i="79"/>
  <c r="A107" i="5"/>
  <c r="A58"/>
  <c r="A19" i="79"/>
  <c r="A108" i="5"/>
  <c r="A59"/>
  <c r="A20" i="79"/>
  <c r="A11"/>
  <c r="H3"/>
  <c r="AA3"/>
  <c r="G4"/>
  <c r="H4"/>
  <c r="AA4"/>
  <c r="G5"/>
  <c r="H5"/>
  <c r="AA5"/>
  <c r="G6"/>
  <c r="H6"/>
  <c r="AA6"/>
  <c r="G7"/>
  <c r="H7"/>
  <c r="AA7"/>
  <c r="A21"/>
  <c r="A22"/>
  <c r="A23"/>
  <c r="A24"/>
  <c r="A25"/>
  <c r="A68" i="55"/>
  <c r="A55"/>
  <c r="A43" i="5"/>
  <c r="A42" i="55"/>
  <c r="A42" i="5"/>
  <c r="A29" i="55"/>
  <c r="A41" i="5"/>
  <c r="A16" i="55"/>
  <c r="A40" i="5"/>
  <c r="A3" i="55"/>
  <c r="A68" i="54"/>
  <c r="A55"/>
  <c r="A42"/>
  <c r="A29"/>
  <c r="A16"/>
  <c r="A3"/>
  <c r="A5"/>
  <c r="A6"/>
  <c r="A7"/>
  <c r="A8"/>
  <c r="A9"/>
  <c r="A10"/>
  <c r="A11"/>
  <c r="A12"/>
  <c r="A13"/>
  <c r="A4"/>
  <c r="A26"/>
  <c r="A52"/>
  <c r="A65"/>
  <c r="A78"/>
  <c r="A25"/>
  <c r="A51"/>
  <c r="A64"/>
  <c r="A77"/>
  <c r="AB24"/>
  <c r="AB37"/>
  <c r="AB50"/>
  <c r="AB63"/>
  <c r="AG76"/>
  <c r="AC24"/>
  <c r="AC37"/>
  <c r="AC50"/>
  <c r="AC63"/>
  <c r="AH76"/>
  <c r="AK76"/>
  <c r="AD24"/>
  <c r="AD37"/>
  <c r="AD50"/>
  <c r="AD63"/>
  <c r="AI76"/>
  <c r="AF76"/>
  <c r="AD76"/>
  <c r="AC76"/>
  <c r="AB76"/>
  <c r="A24"/>
  <c r="A50"/>
  <c r="A63"/>
  <c r="A76"/>
  <c r="AB23"/>
  <c r="AB36"/>
  <c r="AB49"/>
  <c r="AB62"/>
  <c r="AG75"/>
  <c r="AC23"/>
  <c r="AC36"/>
  <c r="AC49"/>
  <c r="AC62"/>
  <c r="AH75"/>
  <c r="AK75"/>
  <c r="AD23"/>
  <c r="AD36"/>
  <c r="AD49"/>
  <c r="AD62"/>
  <c r="AI75"/>
  <c r="AF75"/>
  <c r="AD75"/>
  <c r="AC75"/>
  <c r="AB75"/>
  <c r="A23"/>
  <c r="A49"/>
  <c r="A62"/>
  <c r="A75"/>
  <c r="AB22"/>
  <c r="AB35"/>
  <c r="AB48"/>
  <c r="AG74"/>
  <c r="AC22"/>
  <c r="AC35"/>
  <c r="AC48"/>
  <c r="AH74"/>
  <c r="AK74"/>
  <c r="AD22"/>
  <c r="AD35"/>
  <c r="AD48"/>
  <c r="AI74"/>
  <c r="AF74"/>
  <c r="AD74"/>
  <c r="AC74"/>
  <c r="AB74"/>
  <c r="A22"/>
  <c r="A48"/>
  <c r="A61"/>
  <c r="A74"/>
  <c r="AB21"/>
  <c r="AB34"/>
  <c r="AB47"/>
  <c r="AB60"/>
  <c r="AG73"/>
  <c r="AC21"/>
  <c r="AC34"/>
  <c r="AC47"/>
  <c r="AC60"/>
  <c r="AH73"/>
  <c r="AK73"/>
  <c r="AD21"/>
  <c r="AD34"/>
  <c r="AD47"/>
  <c r="AD60"/>
  <c r="AI73"/>
  <c r="AF73"/>
  <c r="AD73"/>
  <c r="AC73"/>
  <c r="AB73"/>
  <c r="A21"/>
  <c r="A47"/>
  <c r="A60"/>
  <c r="A73"/>
  <c r="AB20"/>
  <c r="AB33"/>
  <c r="AB46"/>
  <c r="AB59"/>
  <c r="AG72"/>
  <c r="AC20"/>
  <c r="AC33"/>
  <c r="AC46"/>
  <c r="AC59"/>
  <c r="AH72"/>
  <c r="AK72"/>
  <c r="AD20"/>
  <c r="AD33"/>
  <c r="AD46"/>
  <c r="AD59"/>
  <c r="AI72"/>
  <c r="AF72"/>
  <c r="AD72"/>
  <c r="AC72"/>
  <c r="AB72"/>
  <c r="A20"/>
  <c r="A46"/>
  <c r="A59"/>
  <c r="A72"/>
  <c r="AB19"/>
  <c r="AB32"/>
  <c r="AB45"/>
  <c r="AB58"/>
  <c r="AG71"/>
  <c r="AC19"/>
  <c r="AC32"/>
  <c r="AC45"/>
  <c r="AC58"/>
  <c r="AH71"/>
  <c r="AK71"/>
  <c r="AD19"/>
  <c r="AD32"/>
  <c r="AD45"/>
  <c r="AD58"/>
  <c r="AI71"/>
  <c r="AF71"/>
  <c r="AD71"/>
  <c r="AC71"/>
  <c r="AB71"/>
  <c r="A19"/>
  <c r="A45"/>
  <c r="A58"/>
  <c r="A71"/>
  <c r="AB18"/>
  <c r="AB31"/>
  <c r="AB44"/>
  <c r="AB57"/>
  <c r="AG70"/>
  <c r="AC18"/>
  <c r="AC31"/>
  <c r="AC44"/>
  <c r="AC57"/>
  <c r="AH70"/>
  <c r="AK70"/>
  <c r="AD18"/>
  <c r="AD31"/>
  <c r="AD44"/>
  <c r="AD57"/>
  <c r="AI70"/>
  <c r="AF70"/>
  <c r="AD70"/>
  <c r="AC70"/>
  <c r="AB70"/>
  <c r="A18"/>
  <c r="A44"/>
  <c r="A57"/>
  <c r="A70"/>
  <c r="AB17"/>
  <c r="AB30"/>
  <c r="AB43"/>
  <c r="AB56"/>
  <c r="AG69"/>
  <c r="AC17"/>
  <c r="AC30"/>
  <c r="AC43"/>
  <c r="AC56"/>
  <c r="AH69"/>
  <c r="AK69"/>
  <c r="AD17"/>
  <c r="AD30"/>
  <c r="AD43"/>
  <c r="AD56"/>
  <c r="AI69"/>
  <c r="AA69"/>
  <c r="AF69"/>
  <c r="AD69"/>
  <c r="AC69"/>
  <c r="AB69"/>
  <c r="A17"/>
  <c r="A43"/>
  <c r="A56"/>
  <c r="A69"/>
  <c r="AB16"/>
  <c r="AB29"/>
  <c r="AB42"/>
  <c r="AG68"/>
  <c r="AC16"/>
  <c r="AC29"/>
  <c r="AC42"/>
  <c r="AH68"/>
  <c r="AK68"/>
  <c r="AD16"/>
  <c r="AD29"/>
  <c r="AD42"/>
  <c r="AI68"/>
  <c r="AA68"/>
  <c r="AF68"/>
  <c r="AD68"/>
  <c r="AC68"/>
  <c r="AB68"/>
  <c r="AA56"/>
  <c r="AA55"/>
  <c r="AA43"/>
  <c r="AA42"/>
  <c r="A39"/>
  <c r="A38"/>
  <c r="A37"/>
  <c r="A36"/>
  <c r="A35"/>
  <c r="A34"/>
  <c r="A33"/>
  <c r="A32"/>
  <c r="A31"/>
  <c r="AA30"/>
  <c r="A30"/>
  <c r="AA29"/>
  <c r="AA17"/>
  <c r="AA16"/>
  <c r="AD11"/>
  <c r="AC11"/>
  <c r="AB11"/>
  <c r="AD10"/>
  <c r="AC10"/>
  <c r="AB10"/>
  <c r="AD9"/>
  <c r="AC9"/>
  <c r="AB9"/>
  <c r="AD8"/>
  <c r="AC8"/>
  <c r="AB8"/>
  <c r="T3"/>
  <c r="U3"/>
  <c r="V3"/>
  <c r="T4"/>
  <c r="U4"/>
  <c r="V4"/>
  <c r="T5"/>
  <c r="U5"/>
  <c r="V5"/>
  <c r="T6"/>
  <c r="U6"/>
  <c r="V6"/>
  <c r="V8"/>
  <c r="U7"/>
  <c r="U8"/>
  <c r="T7"/>
  <c r="T8"/>
  <c r="S8"/>
  <c r="AD7"/>
  <c r="AC7"/>
  <c r="AB7"/>
  <c r="S7"/>
  <c r="AD6"/>
  <c r="AC6"/>
  <c r="AB6"/>
  <c r="S6"/>
  <c r="AD5"/>
  <c r="AC5"/>
  <c r="AB5"/>
  <c r="S5"/>
  <c r="AD4"/>
  <c r="AC4"/>
  <c r="AB4"/>
  <c r="AA4"/>
  <c r="S4"/>
  <c r="AD3"/>
  <c r="AC3"/>
  <c r="AB3"/>
  <c r="AA3"/>
  <c r="S3"/>
  <c r="T24" i="55"/>
  <c r="S24"/>
  <c r="X24"/>
  <c r="T37"/>
  <c r="S37"/>
  <c r="X37"/>
  <c r="T50"/>
  <c r="S50"/>
  <c r="X50"/>
  <c r="T63"/>
  <c r="S63"/>
  <c r="X63"/>
  <c r="AB76"/>
  <c r="R24"/>
  <c r="W24"/>
  <c r="R37"/>
  <c r="W37"/>
  <c r="R50"/>
  <c r="W50"/>
  <c r="R63"/>
  <c r="W63"/>
  <c r="AA76"/>
  <c r="V24"/>
  <c r="V37"/>
  <c r="V50"/>
  <c r="V63"/>
  <c r="Z76"/>
  <c r="T76"/>
  <c r="S76"/>
  <c r="X76"/>
  <c r="R76"/>
  <c r="W76"/>
  <c r="V76"/>
  <c r="T23"/>
  <c r="S23"/>
  <c r="X23"/>
  <c r="T36"/>
  <c r="S36"/>
  <c r="X36"/>
  <c r="T49"/>
  <c r="S49"/>
  <c r="X49"/>
  <c r="T62"/>
  <c r="S62"/>
  <c r="X62"/>
  <c r="AB75"/>
  <c r="R23"/>
  <c r="W23"/>
  <c r="R36"/>
  <c r="W36"/>
  <c r="R49"/>
  <c r="W49"/>
  <c r="R62"/>
  <c r="W62"/>
  <c r="AA75"/>
  <c r="V23"/>
  <c r="V36"/>
  <c r="V49"/>
  <c r="V62"/>
  <c r="Z75"/>
  <c r="T75"/>
  <c r="S75"/>
  <c r="X75"/>
  <c r="R75"/>
  <c r="W75"/>
  <c r="V75"/>
  <c r="T22"/>
  <c r="S22"/>
  <c r="X22"/>
  <c r="T35"/>
  <c r="S35"/>
  <c r="X35"/>
  <c r="T48"/>
  <c r="S48"/>
  <c r="X48"/>
  <c r="T61"/>
  <c r="S61"/>
  <c r="X61"/>
  <c r="AB74"/>
  <c r="R22"/>
  <c r="W22"/>
  <c r="R35"/>
  <c r="W35"/>
  <c r="R48"/>
  <c r="W48"/>
  <c r="R61"/>
  <c r="W61"/>
  <c r="AA74"/>
  <c r="V22"/>
  <c r="V35"/>
  <c r="V48"/>
  <c r="V61"/>
  <c r="Z74"/>
  <c r="T74"/>
  <c r="S74"/>
  <c r="X74"/>
  <c r="R74"/>
  <c r="W74"/>
  <c r="V74"/>
  <c r="T21"/>
  <c r="S21"/>
  <c r="X21"/>
  <c r="T34"/>
  <c r="S34"/>
  <c r="X34"/>
  <c r="T47"/>
  <c r="S47"/>
  <c r="X47"/>
  <c r="T60"/>
  <c r="S60"/>
  <c r="X60"/>
  <c r="AB73"/>
  <c r="R21"/>
  <c r="W21"/>
  <c r="R34"/>
  <c r="W34"/>
  <c r="R47"/>
  <c r="W47"/>
  <c r="R60"/>
  <c r="W60"/>
  <c r="AA73"/>
  <c r="V21"/>
  <c r="V34"/>
  <c r="V47"/>
  <c r="V60"/>
  <c r="Z73"/>
  <c r="T73"/>
  <c r="S73"/>
  <c r="X73"/>
  <c r="R73"/>
  <c r="W73"/>
  <c r="V73"/>
  <c r="T20"/>
  <c r="S20"/>
  <c r="X20"/>
  <c r="T33"/>
  <c r="S33"/>
  <c r="X33"/>
  <c r="T46"/>
  <c r="S46"/>
  <c r="X46"/>
  <c r="T59"/>
  <c r="S59"/>
  <c r="X59"/>
  <c r="AB72"/>
  <c r="R20"/>
  <c r="W20"/>
  <c r="R33"/>
  <c r="W33"/>
  <c r="R46"/>
  <c r="W46"/>
  <c r="R59"/>
  <c r="W59"/>
  <c r="AA72"/>
  <c r="V20"/>
  <c r="V33"/>
  <c r="V46"/>
  <c r="V59"/>
  <c r="Z72"/>
  <c r="T72"/>
  <c r="S72"/>
  <c r="X72"/>
  <c r="R72"/>
  <c r="W72"/>
  <c r="V72"/>
  <c r="T19"/>
  <c r="S19"/>
  <c r="X19"/>
  <c r="T32"/>
  <c r="S32"/>
  <c r="X32"/>
  <c r="T45"/>
  <c r="S45"/>
  <c r="X45"/>
  <c r="T58"/>
  <c r="S58"/>
  <c r="X58"/>
  <c r="AB71"/>
  <c r="R19"/>
  <c r="W19"/>
  <c r="R32"/>
  <c r="W32"/>
  <c r="R45"/>
  <c r="W45"/>
  <c r="R58"/>
  <c r="W58"/>
  <c r="AA71"/>
  <c r="V19"/>
  <c r="V32"/>
  <c r="V45"/>
  <c r="V58"/>
  <c r="Z71"/>
  <c r="T71"/>
  <c r="S71"/>
  <c r="X71"/>
  <c r="R71"/>
  <c r="W71"/>
  <c r="V71"/>
  <c r="T18"/>
  <c r="S18"/>
  <c r="X18"/>
  <c r="T31"/>
  <c r="S31"/>
  <c r="X31"/>
  <c r="T44"/>
  <c r="S44"/>
  <c r="X44"/>
  <c r="T57"/>
  <c r="S57"/>
  <c r="X57"/>
  <c r="AB70"/>
  <c r="R18"/>
  <c r="W18"/>
  <c r="R31"/>
  <c r="W31"/>
  <c r="R44"/>
  <c r="W44"/>
  <c r="R57"/>
  <c r="W57"/>
  <c r="AA70"/>
  <c r="V18"/>
  <c r="V31"/>
  <c r="V44"/>
  <c r="V57"/>
  <c r="Z70"/>
  <c r="T70"/>
  <c r="S70"/>
  <c r="X70"/>
  <c r="R70"/>
  <c r="W70"/>
  <c r="V70"/>
  <c r="T11"/>
  <c r="S11"/>
  <c r="X11"/>
  <c r="R11"/>
  <c r="W11"/>
  <c r="V11"/>
  <c r="T10"/>
  <c r="S10"/>
  <c r="X10"/>
  <c r="R10"/>
  <c r="W10"/>
  <c r="V10"/>
  <c r="T9"/>
  <c r="S9"/>
  <c r="X9"/>
  <c r="R9"/>
  <c r="W9"/>
  <c r="V9"/>
  <c r="T8"/>
  <c r="S8"/>
  <c r="X8"/>
  <c r="R8"/>
  <c r="W8"/>
  <c r="V8"/>
  <c r="T7"/>
  <c r="S7"/>
  <c r="X7"/>
  <c r="R7"/>
  <c r="W7"/>
  <c r="V7"/>
  <c r="T6"/>
  <c r="S6"/>
  <c r="X6"/>
  <c r="R6"/>
  <c r="W6"/>
  <c r="V6"/>
  <c r="T5"/>
  <c r="S5"/>
  <c r="X5"/>
  <c r="R5"/>
  <c r="W5"/>
  <c r="V5"/>
  <c r="A3" i="67"/>
  <c r="A99" i="5"/>
  <c r="A4" i="67"/>
  <c r="A100" i="5"/>
  <c r="A5" i="67"/>
  <c r="O5"/>
  <c r="A6"/>
  <c r="O6"/>
  <c r="A7"/>
  <c r="O7"/>
  <c r="A8"/>
  <c r="O8"/>
  <c r="A9"/>
  <c r="O9"/>
  <c r="A10"/>
  <c r="A11"/>
  <c r="O11"/>
  <c r="A12"/>
  <c r="O12"/>
  <c r="A13"/>
  <c r="O13"/>
  <c r="A16"/>
  <c r="A17"/>
  <c r="A18"/>
  <c r="A19"/>
  <c r="A20"/>
  <c r="A21"/>
  <c r="A22"/>
  <c r="A23"/>
  <c r="A24"/>
  <c r="A25"/>
  <c r="A26"/>
  <c r="A29"/>
  <c r="A30"/>
  <c r="A31"/>
  <c r="A32"/>
  <c r="A33"/>
  <c r="A34"/>
  <c r="A35"/>
  <c r="A36"/>
  <c r="A37"/>
  <c r="A38"/>
  <c r="A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A61" i="66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5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4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F99" i="60"/>
  <c r="E99"/>
  <c r="D99"/>
  <c r="C99"/>
  <c r="A53"/>
  <c r="A65"/>
  <c r="A78"/>
  <c r="A89"/>
  <c r="A131"/>
  <c r="A54"/>
  <c r="A66"/>
  <c r="A79"/>
  <c r="A90"/>
  <c r="A132"/>
  <c r="A55"/>
  <c r="A67"/>
  <c r="A80"/>
  <c r="A91"/>
  <c r="A133"/>
  <c r="A56"/>
  <c r="A68"/>
  <c r="A81"/>
  <c r="A92"/>
  <c r="A134"/>
  <c r="A57"/>
  <c r="A69"/>
  <c r="A82"/>
  <c r="A93"/>
  <c r="A135"/>
  <c r="A58"/>
  <c r="A70"/>
  <c r="A83"/>
  <c r="A94"/>
  <c r="A136"/>
  <c r="A59"/>
  <c r="A71"/>
  <c r="A84"/>
  <c r="A95"/>
  <c r="A137"/>
  <c r="A60"/>
  <c r="A72"/>
  <c r="A85"/>
  <c r="A96"/>
  <c r="A138"/>
  <c r="A61"/>
  <c r="A73"/>
  <c r="A86"/>
  <c r="A97"/>
  <c r="A139"/>
  <c r="A52"/>
  <c r="A64"/>
  <c r="A77"/>
  <c r="A88"/>
  <c r="A130"/>
  <c r="K129"/>
  <c r="J129"/>
  <c r="I129"/>
  <c r="H129"/>
  <c r="G129"/>
  <c r="F129"/>
  <c r="E129"/>
  <c r="D129"/>
  <c r="C129"/>
  <c r="B129"/>
  <c r="A39"/>
  <c r="A118"/>
  <c r="A40"/>
  <c r="A119"/>
  <c r="A41"/>
  <c r="A120"/>
  <c r="A42"/>
  <c r="A121"/>
  <c r="A43"/>
  <c r="A122"/>
  <c r="A44"/>
  <c r="A123"/>
  <c r="A45"/>
  <c r="A124"/>
  <c r="A46"/>
  <c r="A125"/>
  <c r="A47"/>
  <c r="A126"/>
  <c r="A38"/>
  <c r="A117"/>
  <c r="J40"/>
  <c r="J41"/>
  <c r="J42"/>
  <c r="J44"/>
  <c r="J45"/>
  <c r="J46"/>
  <c r="J47"/>
  <c r="B12" i="62"/>
  <c r="B4"/>
  <c r="C12"/>
  <c r="O12"/>
  <c r="B6"/>
  <c r="N6"/>
  <c r="B7"/>
  <c r="N7"/>
  <c r="B8"/>
  <c r="N8"/>
  <c r="B9"/>
  <c r="N9"/>
  <c r="B10"/>
  <c r="N10"/>
  <c r="B11"/>
  <c r="N11"/>
  <c r="N12"/>
  <c r="B13"/>
  <c r="N13"/>
  <c r="B5"/>
  <c r="N5"/>
  <c r="N20"/>
  <c r="N21"/>
  <c r="N22"/>
  <c r="N23"/>
  <c r="N24"/>
  <c r="N25"/>
  <c r="N26"/>
  <c r="N18"/>
  <c r="O26"/>
  <c r="A45" i="5"/>
  <c r="B2" i="53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44" i="5"/>
  <c r="A57" i="53"/>
  <c r="A61"/>
  <c r="B2" i="52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1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0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9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8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3" i="4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A3" i="62"/>
  <c r="A4"/>
  <c r="C4"/>
  <c r="D4"/>
  <c r="E4"/>
  <c r="F4"/>
  <c r="G4"/>
  <c r="H4"/>
  <c r="I4"/>
  <c r="J4"/>
  <c r="K4"/>
  <c r="L4"/>
  <c r="M4"/>
  <c r="O4"/>
  <c r="A5"/>
  <c r="C5"/>
  <c r="D5"/>
  <c r="E5"/>
  <c r="F5"/>
  <c r="G5"/>
  <c r="H5"/>
  <c r="I5"/>
  <c r="J5"/>
  <c r="K5"/>
  <c r="L5"/>
  <c r="M5"/>
  <c r="O5"/>
  <c r="A6"/>
  <c r="C6"/>
  <c r="D6"/>
  <c r="E6"/>
  <c r="F6"/>
  <c r="G6"/>
  <c r="H6"/>
  <c r="I6"/>
  <c r="J6"/>
  <c r="K6"/>
  <c r="L6"/>
  <c r="M6"/>
  <c r="O6"/>
  <c r="A7"/>
  <c r="C7"/>
  <c r="D7"/>
  <c r="E7"/>
  <c r="F7"/>
  <c r="G7"/>
  <c r="H7"/>
  <c r="I7"/>
  <c r="J7"/>
  <c r="K7"/>
  <c r="L7"/>
  <c r="M7"/>
  <c r="O7"/>
  <c r="A8"/>
  <c r="C8"/>
  <c r="D8"/>
  <c r="E8"/>
  <c r="F8"/>
  <c r="G8"/>
  <c r="H8"/>
  <c r="I8"/>
  <c r="J8"/>
  <c r="K8"/>
  <c r="L8"/>
  <c r="M8"/>
  <c r="O8"/>
  <c r="A9"/>
  <c r="C9"/>
  <c r="D9"/>
  <c r="E9"/>
  <c r="F9"/>
  <c r="G9"/>
  <c r="H9"/>
  <c r="I9"/>
  <c r="J9"/>
  <c r="K9"/>
  <c r="L9"/>
  <c r="M9"/>
  <c r="O9"/>
  <c r="A10"/>
  <c r="C10"/>
  <c r="D10"/>
  <c r="E10"/>
  <c r="F10"/>
  <c r="G10"/>
  <c r="H10"/>
  <c r="I10"/>
  <c r="J10"/>
  <c r="K10"/>
  <c r="L10"/>
  <c r="M10"/>
  <c r="O10"/>
  <c r="A11"/>
  <c r="C11"/>
  <c r="D11"/>
  <c r="E11"/>
  <c r="F11"/>
  <c r="G11"/>
  <c r="H11"/>
  <c r="I11"/>
  <c r="J11"/>
  <c r="K11"/>
  <c r="L11"/>
  <c r="M11"/>
  <c r="O11"/>
  <c r="A12"/>
  <c r="D12"/>
  <c r="E12"/>
  <c r="F12"/>
  <c r="G12"/>
  <c r="H12"/>
  <c r="I12"/>
  <c r="J12"/>
  <c r="K12"/>
  <c r="L12"/>
  <c r="M12"/>
  <c r="A13"/>
  <c r="C13"/>
  <c r="D13"/>
  <c r="E13"/>
  <c r="F13"/>
  <c r="G13"/>
  <c r="H13"/>
  <c r="I13"/>
  <c r="J13"/>
  <c r="K13"/>
  <c r="L13"/>
  <c r="M13"/>
  <c r="O13"/>
  <c r="A16"/>
  <c r="A17"/>
  <c r="O17"/>
  <c r="A18"/>
  <c r="A19"/>
  <c r="O19"/>
  <c r="A20"/>
  <c r="O20"/>
  <c r="A21"/>
  <c r="O21"/>
  <c r="A22"/>
  <c r="O22"/>
  <c r="A23"/>
  <c r="O23"/>
  <c r="A24"/>
  <c r="O24"/>
  <c r="A25"/>
  <c r="O25"/>
  <c r="A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B1" i="66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5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4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0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A3" i="46"/>
  <c r="A4"/>
  <c r="A5"/>
  <c r="A6"/>
  <c r="A7"/>
  <c r="A8"/>
  <c r="A9"/>
  <c r="A10"/>
  <c r="A11"/>
  <c r="A12"/>
  <c r="A13"/>
  <c r="A16"/>
  <c r="A17"/>
  <c r="A18"/>
  <c r="A19"/>
  <c r="A20"/>
  <c r="A21"/>
  <c r="A22"/>
  <c r="A23"/>
  <c r="A24"/>
  <c r="A25"/>
  <c r="A26"/>
  <c r="A29"/>
  <c r="A30"/>
  <c r="A31"/>
  <c r="A32"/>
  <c r="A33"/>
  <c r="A34"/>
  <c r="A35"/>
  <c r="A36"/>
  <c r="A37"/>
  <c r="A38"/>
  <c r="A39"/>
  <c r="A42"/>
  <c r="A43"/>
  <c r="A44"/>
  <c r="A45"/>
  <c r="A46"/>
  <c r="A47"/>
  <c r="A48"/>
  <c r="A49"/>
  <c r="A50"/>
  <c r="A51"/>
  <c r="A52"/>
  <c r="A55"/>
  <c r="A56"/>
  <c r="A57"/>
  <c r="A58"/>
  <c r="A59"/>
  <c r="A60"/>
  <c r="A61"/>
  <c r="A62"/>
  <c r="A63"/>
  <c r="A64"/>
  <c r="A65"/>
  <c r="A3" i="45"/>
  <c r="A4"/>
  <c r="A5"/>
  <c r="C5"/>
  <c r="D5"/>
  <c r="E5"/>
  <c r="G5"/>
  <c r="H5"/>
  <c r="I5"/>
  <c r="J5"/>
  <c r="A6"/>
  <c r="A7"/>
  <c r="A8"/>
  <c r="A9"/>
  <c r="A10"/>
  <c r="A11"/>
  <c r="A12"/>
  <c r="B15"/>
  <c r="C15"/>
  <c r="D15"/>
  <c r="E15"/>
  <c r="A16"/>
  <c r="A17"/>
  <c r="B20"/>
  <c r="C20"/>
  <c r="D20"/>
  <c r="E20"/>
  <c r="A21"/>
  <c r="A22"/>
  <c r="A23"/>
  <c r="A24"/>
  <c r="A25"/>
  <c r="A26"/>
  <c r="A27"/>
  <c r="A28"/>
  <c r="A29"/>
  <c r="A30"/>
  <c r="C22" i="5"/>
  <c r="D22"/>
  <c r="E22"/>
  <c r="F22"/>
  <c r="E100"/>
  <c r="E101"/>
  <c r="E106"/>
  <c r="E107"/>
  <c r="E108"/>
  <c r="A109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D120"/>
  <c r="E120"/>
  <c r="A133" a="1"/>
  <c r="A133"/>
  <c r="A134"/>
  <c r="A135"/>
  <c r="A136"/>
  <c r="E136"/>
  <c r="A137"/>
  <c r="E137"/>
  <c r="A138"/>
  <c r="E138"/>
  <c r="A139"/>
  <c r="E139"/>
  <c r="A140"/>
  <c r="E140"/>
  <c r="A141"/>
  <c r="E141"/>
  <c r="A142"/>
  <c r="A143"/>
  <c r="A144"/>
  <c r="E144"/>
  <c r="A145"/>
  <c r="E145"/>
  <c r="A146"/>
  <c r="E146"/>
  <c r="A147"/>
  <c r="E147"/>
  <c r="A148"/>
  <c r="E148"/>
  <c r="A149"/>
  <c r="A150"/>
  <c r="A151"/>
  <c r="A152"/>
  <c r="A153"/>
</calcChain>
</file>

<file path=xl/sharedStrings.xml><?xml version="1.0" encoding="utf-8"?>
<sst xmlns="http://schemas.openxmlformats.org/spreadsheetml/2006/main" count="1676" uniqueCount="204">
  <si>
    <t>EMD</t>
  </si>
  <si>
    <t>OG</t>
  </si>
  <si>
    <t>Nominale matching</t>
  </si>
  <si>
    <t>Reele matching</t>
  </si>
  <si>
    <t>High Yield</t>
  </si>
  <si>
    <t>Hedge funds</t>
  </si>
  <si>
    <t>Commodities</t>
  </si>
  <si>
    <t>Correlaties</t>
  </si>
  <si>
    <t>Jaar\categorie</t>
  </si>
  <si>
    <t>Stap 1: schatten gemiddelden en covariantiematrix</t>
  </si>
  <si>
    <t>Steekproef</t>
  </si>
  <si>
    <t>Eerste jaar</t>
  </si>
  <si>
    <t>Laatste jaar</t>
  </si>
  <si>
    <t>Bepaal verwachte rendementen op basis van IR analyse</t>
  </si>
  <si>
    <t>Benchmark reeks</t>
  </si>
  <si>
    <t>Geen</t>
  </si>
  <si>
    <t>Informatie ratio (inverse)</t>
  </si>
  <si>
    <t>Rendement benchmark</t>
  </si>
  <si>
    <t xml:space="preserve">      </t>
  </si>
  <si>
    <t xml:space="preserve">Laatst </t>
  </si>
  <si>
    <t>gebruikt</t>
  </si>
  <si>
    <t>Groei recessie</t>
  </si>
  <si>
    <t>Scenario 1</t>
  </si>
  <si>
    <t>Scenario 2</t>
  </si>
  <si>
    <t>Scenario 3</t>
  </si>
  <si>
    <t>Scenario 4</t>
  </si>
  <si>
    <t>Minimaal rendement</t>
  </si>
  <si>
    <t>Stap 3: optimalisatie per scenario</t>
  </si>
  <si>
    <t>Niet</t>
  </si>
  <si>
    <t>Rendement</t>
  </si>
  <si>
    <t>Tracking error</t>
  </si>
  <si>
    <t>Sorteer berekende portefeuilles op</t>
  </si>
  <si>
    <t>Aantal iteraties in optimalisatie</t>
  </si>
  <si>
    <t>Naar matlab</t>
  </si>
  <si>
    <t>Aantal portefeuilles (max 250)</t>
  </si>
  <si>
    <t>Benchmark rendement geldt ook voor</t>
  </si>
  <si>
    <t>Basis</t>
  </si>
  <si>
    <t>Schuld deflatie</t>
  </si>
  <si>
    <t>Kansgewogen</t>
  </si>
  <si>
    <t>Restricties op portefeuillegewichten</t>
  </si>
  <si>
    <t>Maximale TE</t>
  </si>
  <si>
    <t>Minimaal</t>
  </si>
  <si>
    <t>Maximaal</t>
  </si>
  <si>
    <t>Totaal portefeuille</t>
  </si>
  <si>
    <t>Binnen matching/return portefeuille</t>
  </si>
  <si>
    <t>Categorie valt in</t>
  </si>
  <si>
    <t>Matching portefeuille</t>
  </si>
  <si>
    <t>Return portefeuille</t>
  </si>
  <si>
    <t>Naar Matlab</t>
  </si>
  <si>
    <t>Benchmark IR</t>
  </si>
  <si>
    <t>Benchmark IR - 2</t>
  </si>
  <si>
    <t>Sorteren mixen</t>
  </si>
  <si>
    <t>TE - 1</t>
  </si>
  <si>
    <t>TE - 2</t>
  </si>
  <si>
    <t>Benchmarks optimalisatie</t>
  </si>
  <si>
    <t>Indeling categorieën</t>
  </si>
  <si>
    <t>Tracking error - 2</t>
  </si>
  <si>
    <t xml:space="preserve">Maximale TE - 2 </t>
  </si>
  <si>
    <t>Unisys</t>
  </si>
  <si>
    <t>MITT</t>
  </si>
  <si>
    <t>B&amp;W</t>
  </si>
  <si>
    <t>Campagne</t>
  </si>
  <si>
    <t>Cargill</t>
  </si>
  <si>
    <t>Forbo</t>
  </si>
  <si>
    <t>Koopvaardij</t>
  </si>
  <si>
    <t>Nutreco</t>
  </si>
  <si>
    <t>OPF</t>
  </si>
  <si>
    <t>PME</t>
  </si>
  <si>
    <t>PMT</t>
  </si>
  <si>
    <t>Productschappen</t>
  </si>
  <si>
    <t>SCA Anker</t>
  </si>
  <si>
    <t>SCA Hygiene</t>
  </si>
  <si>
    <t>Klant</t>
  </si>
  <si>
    <t>Credits</t>
  </si>
  <si>
    <t>Doorrekenen</t>
  </si>
  <si>
    <t>Ja</t>
  </si>
  <si>
    <t>Nee</t>
  </si>
  <si>
    <t>Nominale VPV</t>
  </si>
  <si>
    <t>Reele VPV</t>
  </si>
  <si>
    <t>Klanten</t>
  </si>
  <si>
    <t>Definieer matching portefeuilles</t>
  </si>
  <si>
    <t>Excess return</t>
  </si>
  <si>
    <t>Aandelen ontw</t>
  </si>
  <si>
    <t>Aandelen opk</t>
  </si>
  <si>
    <t>Reële matching</t>
  </si>
  <si>
    <t>Reeks</t>
  </si>
  <si>
    <t>Huidige allocatie</t>
  </si>
  <si>
    <t>Max afwijking</t>
  </si>
  <si>
    <t>Maximale turnover</t>
  </si>
  <si>
    <t>Benchmarks</t>
  </si>
  <si>
    <t>Scenario 5</t>
  </si>
  <si>
    <t>Scenario 6</t>
  </si>
  <si>
    <t>Basis (IR)</t>
  </si>
  <si>
    <t>Doelstelling</t>
  </si>
  <si>
    <t>Max rendement</t>
  </si>
  <si>
    <t>Min tracking error 1</t>
  </si>
  <si>
    <t>Min tracking error 2</t>
  </si>
  <si>
    <t>Input matlab:</t>
  </si>
  <si>
    <t>Scenario \ Benchmark reeks</t>
  </si>
  <si>
    <t>Reële groei (VS)</t>
  </si>
  <si>
    <t>Inflatie (VS)</t>
  </si>
  <si>
    <t>Visies op rendementen</t>
  </si>
  <si>
    <t>Inflatie is een fiscaal verschijnsel</t>
  </si>
  <si>
    <t>Visies op factoren (gebruikt voor schatting covariantiematrix)</t>
  </si>
  <si>
    <t>Vermogenseffect &amp; innovatie</t>
  </si>
  <si>
    <t>Inflatie is fiscaal</t>
  </si>
  <si>
    <t xml:space="preserve">Vermogenseffect </t>
  </si>
  <si>
    <t>Scenarios</t>
  </si>
  <si>
    <t>Stap 2: verwerk visies</t>
  </si>
  <si>
    <t>Kans per visie</t>
  </si>
  <si>
    <t>Parameters voor Lower Partial Moments</t>
  </si>
  <si>
    <t>Orde</t>
  </si>
  <si>
    <t>Orde LPM</t>
  </si>
  <si>
    <t>Restricties voor optimalisatie</t>
  </si>
  <si>
    <t>LPM</t>
  </si>
  <si>
    <t>Risico- en rendementsdoelstellingen</t>
  </si>
  <si>
    <t>Gemiddelde</t>
  </si>
  <si>
    <t>Stdev</t>
  </si>
  <si>
    <t>Nom</t>
  </si>
  <si>
    <t>Reeel</t>
  </si>
  <si>
    <t>HY</t>
  </si>
  <si>
    <t>A ontw</t>
  </si>
  <si>
    <t>A opk</t>
  </si>
  <si>
    <t>HF</t>
  </si>
  <si>
    <t>Comm</t>
  </si>
  <si>
    <t>Aanpassingen o.b.v. visies</t>
  </si>
  <si>
    <t>Doelrendement (tov benchmark)</t>
  </si>
  <si>
    <t>Mixen die voldoen aan risico en rendement doelstelling</t>
  </si>
  <si>
    <t>Naam scenario</t>
  </si>
  <si>
    <t>Nummer</t>
  </si>
  <si>
    <t>Categorie\Mix</t>
  </si>
  <si>
    <t>Implied returns</t>
  </si>
  <si>
    <t>Risico aversie parameter</t>
  </si>
  <si>
    <t>Evaluatie mixen per scenario</t>
  </si>
  <si>
    <t>Stap 1: basis IR analyse</t>
  </si>
  <si>
    <t>Gemiddelde mix</t>
  </si>
  <si>
    <t>Percentielen</t>
  </si>
  <si>
    <t>Principale componenten</t>
  </si>
  <si>
    <t>Plot rendementsverdeling</t>
  </si>
  <si>
    <t>Visies: EXTRA schalingsfactor op (absolute) volatiliteit</t>
  </si>
  <si>
    <t>Categorie\Gewichten binnen return portefeuille</t>
  </si>
  <si>
    <t>NaN</t>
  </si>
  <si>
    <t>Voor Grafiek:</t>
  </si>
  <si>
    <t>Return</t>
  </si>
  <si>
    <t>Naam</t>
  </si>
  <si>
    <t>View</t>
  </si>
  <si>
    <t>Scoring</t>
  </si>
  <si>
    <t>No change</t>
  </si>
  <si>
    <t>Very bearish</t>
  </si>
  <si>
    <t>Bearish</t>
  </si>
  <si>
    <t>No opinion</t>
  </si>
  <si>
    <t>Bullish</t>
  </si>
  <si>
    <t>Very bullish</t>
  </si>
  <si>
    <t>Corr</t>
  </si>
  <si>
    <t>Strong increase</t>
  </si>
  <si>
    <t>Decrease</t>
  </si>
  <si>
    <t>Increase</t>
  </si>
  <si>
    <t>Strong decrease</t>
  </si>
  <si>
    <t>Standaarddeviaties en correlaties</t>
  </si>
  <si>
    <t>Gewichten: verwachte rendementen</t>
  </si>
  <si>
    <t>Gewichten: verwachte standaarddeviaties en correlaties</t>
  </si>
  <si>
    <t>Rendementen</t>
  </si>
  <si>
    <t>Economische visie</t>
  </si>
  <si>
    <t>Meenemen?</t>
  </si>
  <si>
    <t>Verschuiving t.o.v. basis</t>
  </si>
  <si>
    <t>Meenemen verschuiving</t>
  </si>
  <si>
    <t>Aangepaste verschuiving</t>
  </si>
  <si>
    <t>Opletten op symmetrie!!</t>
  </si>
  <si>
    <t>delta</t>
  </si>
  <si>
    <t>Kans</t>
  </si>
  <si>
    <t>Opgeslagen verschuivingen</t>
  </si>
  <si>
    <t>Verschuivingen</t>
  </si>
  <si>
    <t>Covariantiematrix</t>
  </si>
  <si>
    <t>Maximale omvang matching portefeuille</t>
  </si>
  <si>
    <t>Nominaal</t>
  </si>
  <si>
    <t>Emerging market debt</t>
  </si>
  <si>
    <t>Aandelen ontwikkeld</t>
  </si>
  <si>
    <t>Aandelen opkomend</t>
  </si>
  <si>
    <t>Onroerend goed</t>
  </si>
  <si>
    <t>Modellering derivaten</t>
  </si>
  <si>
    <t>Derivaat 1</t>
  </si>
  <si>
    <t>Derivaat 2</t>
  </si>
  <si>
    <t>Derivaat 3</t>
  </si>
  <si>
    <t>Derivaat 4</t>
  </si>
  <si>
    <t>Onderliggende</t>
  </si>
  <si>
    <t>Type</t>
  </si>
  <si>
    <t>Relatieve strike</t>
  </si>
  <si>
    <t>Implied vol</t>
  </si>
  <si>
    <t>Risicovrije rente</t>
  </si>
  <si>
    <t>Relatieve prijs</t>
  </si>
  <si>
    <t>Derivaat 5</t>
  </si>
  <si>
    <t>Te analyseren portefeuilles</t>
  </si>
  <si>
    <t>Put</t>
  </si>
  <si>
    <t>Call</t>
  </si>
  <si>
    <t>S/P</t>
  </si>
  <si>
    <t>Aantal scenario's</t>
  </si>
  <si>
    <t>Naam:</t>
  </si>
  <si>
    <t>Zonder derivaten</t>
  </si>
  <si>
    <t>Met derivaten</t>
  </si>
  <si>
    <t>IDF</t>
  </si>
  <si>
    <t>Huidig dekkingsniveau</t>
  </si>
  <si>
    <t>Voor grafiek: ondergrens</t>
  </si>
  <si>
    <t>bovengrens</t>
  </si>
  <si>
    <t>IR</t>
  </si>
</sst>
</file>

<file path=xl/styles.xml><?xml version="1.0" encoding="utf-8"?>
<styleSheet xmlns="http://schemas.openxmlformats.org/spreadsheetml/2006/main">
  <numFmts count="1">
    <numFmt numFmtId="164" formatCode="0.0%"/>
  </numFmts>
  <fonts count="1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Helv"/>
    </font>
    <font>
      <sz val="10"/>
      <color indexed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/>
      <bottom/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 style="thin">
        <color indexed="64"/>
      </right>
      <top/>
      <bottom style="thick">
        <color indexed="1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">
    <xf numFmtId="0" fontId="0" fillId="0" borderId="0"/>
    <xf numFmtId="0" fontId="5" fillId="0" borderId="1"/>
    <xf numFmtId="9" fontId="1" fillId="0" borderId="0" applyFont="0" applyFill="0" applyBorder="0" applyAlignment="0" applyProtection="0"/>
  </cellStyleXfs>
  <cellXfs count="31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0" borderId="7" xfId="0" applyBorder="1"/>
    <xf numFmtId="164" fontId="0" fillId="0" borderId="1" xfId="2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0" borderId="0" xfId="0" applyNumberFormat="1"/>
    <xf numFmtId="0" fontId="0" fillId="0" borderId="0" xfId="0" applyBorder="1"/>
    <xf numFmtId="164" fontId="0" fillId="0" borderId="0" xfId="2" applyNumberFormat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0" applyNumberFormat="1"/>
    <xf numFmtId="9" fontId="0" fillId="0" borderId="1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4" fillId="0" borderId="8" xfId="0" applyFont="1" applyBorder="1"/>
    <xf numFmtId="9" fontId="0" fillId="0" borderId="1" xfId="0" applyNumberForma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Fill="1" applyBorder="1"/>
    <xf numFmtId="10" fontId="1" fillId="0" borderId="0" xfId="2" applyNumberFormat="1"/>
    <xf numFmtId="10" fontId="0" fillId="0" borderId="0" xfId="0" applyNumberFormat="1"/>
    <xf numFmtId="0" fontId="0" fillId="3" borderId="0" xfId="0" applyFill="1"/>
    <xf numFmtId="0" fontId="0" fillId="3" borderId="0" xfId="0" applyFill="1" applyBorder="1"/>
    <xf numFmtId="164" fontId="0" fillId="3" borderId="0" xfId="2" applyNumberFormat="1" applyFont="1" applyFill="1" applyBorder="1"/>
    <xf numFmtId="164" fontId="0" fillId="3" borderId="0" xfId="2" applyNumberFormat="1" applyFont="1" applyFill="1"/>
    <xf numFmtId="0" fontId="0" fillId="0" borderId="9" xfId="0" applyBorder="1"/>
    <xf numFmtId="0" fontId="0" fillId="0" borderId="10" xfId="0" applyBorder="1"/>
    <xf numFmtId="164" fontId="0" fillId="0" borderId="11" xfId="2" applyNumberFormat="1" applyFont="1" applyBorder="1"/>
    <xf numFmtId="164" fontId="6" fillId="0" borderId="0" xfId="2" applyNumberFormat="1" applyFont="1" applyBorder="1"/>
    <xf numFmtId="10" fontId="6" fillId="0" borderId="0" xfId="0" applyNumberFormat="1" applyFont="1"/>
    <xf numFmtId="10" fontId="6" fillId="0" borderId="0" xfId="2" applyNumberFormat="1" applyFont="1" applyFill="1" applyBorder="1"/>
    <xf numFmtId="0" fontId="3" fillId="0" borderId="8" xfId="0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0" xfId="0" applyFill="1" applyAlignment="1">
      <alignment horizontal="center"/>
    </xf>
    <xf numFmtId="9" fontId="0" fillId="0" borderId="5" xfId="0" applyNumberFormat="1" applyBorder="1" applyAlignment="1">
      <alignment horizontal="center"/>
    </xf>
    <xf numFmtId="0" fontId="0" fillId="0" borderId="1" xfId="0" applyFill="1" applyBorder="1"/>
    <xf numFmtId="0" fontId="0" fillId="0" borderId="13" xfId="0" applyBorder="1"/>
    <xf numFmtId="0" fontId="3" fillId="0" borderId="12" xfId="0" applyFont="1" applyBorder="1"/>
    <xf numFmtId="9" fontId="4" fillId="0" borderId="1" xfId="0" applyNumberFormat="1" applyFont="1" applyBorder="1"/>
    <xf numFmtId="9" fontId="4" fillId="0" borderId="7" xfId="0" applyNumberFormat="1" applyFont="1" applyBorder="1"/>
    <xf numFmtId="0" fontId="4" fillId="0" borderId="1" xfId="0" applyFont="1" applyBorder="1"/>
    <xf numFmtId="0" fontId="4" fillId="0" borderId="7" xfId="0" applyFont="1" applyBorder="1"/>
    <xf numFmtId="164" fontId="0" fillId="0" borderId="11" xfId="2" applyNumberFormat="1" applyFont="1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8" fillId="0" borderId="0" xfId="0" applyFont="1"/>
    <xf numFmtId="0" fontId="0" fillId="0" borderId="8" xfId="0" applyBorder="1" applyAlignment="1">
      <alignment horizontal="right"/>
    </xf>
    <xf numFmtId="0" fontId="0" fillId="0" borderId="7" xfId="0" applyBorder="1" applyAlignment="1">
      <alignment horizontal="right"/>
    </xf>
    <xf numFmtId="9" fontId="3" fillId="0" borderId="0" xfId="0" applyNumberFormat="1" applyFont="1" applyAlignment="1">
      <alignment horizontal="center"/>
    </xf>
    <xf numFmtId="0" fontId="7" fillId="0" borderId="7" xfId="0" applyFont="1" applyBorder="1" applyAlignment="1">
      <alignment horizontal="center"/>
    </xf>
    <xf numFmtId="9" fontId="3" fillId="0" borderId="8" xfId="0" applyNumberFormat="1" applyFont="1" applyBorder="1" applyAlignment="1">
      <alignment horizontal="center"/>
    </xf>
    <xf numFmtId="9" fontId="3" fillId="0" borderId="10" xfId="0" applyNumberFormat="1" applyFont="1" applyBorder="1" applyAlignment="1">
      <alignment horizontal="center"/>
    </xf>
    <xf numFmtId="9" fontId="3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0" applyNumberFormat="1" applyFont="1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164" fontId="0" fillId="0" borderId="7" xfId="2" applyNumberFormat="1" applyFont="1" applyBorder="1" applyAlignment="1">
      <alignment horizontal="center"/>
    </xf>
    <xf numFmtId="164" fontId="0" fillId="0" borderId="0" xfId="2" applyNumberFormat="1" applyFont="1" applyBorder="1" applyAlignment="1">
      <alignment horizontal="center"/>
    </xf>
    <xf numFmtId="9" fontId="3" fillId="0" borderId="0" xfId="0" applyNumberFormat="1" applyFont="1"/>
    <xf numFmtId="2" fontId="0" fillId="0" borderId="0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3" fillId="0" borderId="5" xfId="0" applyNumberFormat="1" applyFont="1" applyBorder="1"/>
    <xf numFmtId="0" fontId="3" fillId="0" borderId="15" xfId="0" applyFont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2" fontId="0" fillId="0" borderId="14" xfId="0" applyNumberFormat="1" applyBorder="1" applyAlignment="1">
      <alignment horizontal="right"/>
    </xf>
    <xf numFmtId="0" fontId="0" fillId="0" borderId="15" xfId="0" applyBorder="1"/>
    <xf numFmtId="164" fontId="1" fillId="0" borderId="0" xfId="2" applyNumberFormat="1" applyBorder="1"/>
    <xf numFmtId="164" fontId="1" fillId="0" borderId="14" xfId="2" applyNumberFormat="1" applyBorder="1"/>
    <xf numFmtId="164" fontId="1" fillId="0" borderId="0" xfId="2" applyNumberFormat="1" applyBorder="1" applyAlignment="1">
      <alignment horizontal="right"/>
    </xf>
    <xf numFmtId="164" fontId="1" fillId="0" borderId="14" xfId="2" applyNumberFormat="1" applyBorder="1" applyAlignment="1">
      <alignment horizontal="right"/>
    </xf>
    <xf numFmtId="2" fontId="1" fillId="0" borderId="6" xfId="2" applyNumberFormat="1" applyBorder="1"/>
    <xf numFmtId="2" fontId="1" fillId="0" borderId="15" xfId="2" applyNumberFormat="1" applyBorder="1" applyAlignment="1">
      <alignment horizontal="right"/>
    </xf>
    <xf numFmtId="2" fontId="1" fillId="0" borderId="15" xfId="2" applyNumberFormat="1" applyBorder="1"/>
    <xf numFmtId="0" fontId="0" fillId="0" borderId="8" xfId="0" applyBorder="1"/>
    <xf numFmtId="164" fontId="0" fillId="0" borderId="10" xfId="2" applyNumberFormat="1" applyFont="1" applyBorder="1" applyAlignment="1">
      <alignment horizontal="right"/>
    </xf>
    <xf numFmtId="164" fontId="0" fillId="0" borderId="10" xfId="2" applyNumberFormat="1" applyFont="1" applyBorder="1"/>
    <xf numFmtId="164" fontId="0" fillId="0" borderId="0" xfId="2" applyNumberFormat="1" applyFont="1" applyBorder="1" applyAlignment="1">
      <alignment horizontal="right"/>
    </xf>
    <xf numFmtId="164" fontId="0" fillId="0" borderId="14" xfId="2" applyNumberFormat="1" applyFont="1" applyBorder="1"/>
    <xf numFmtId="164" fontId="0" fillId="0" borderId="14" xfId="2" applyNumberFormat="1" applyFont="1" applyBorder="1" applyAlignment="1">
      <alignment horizontal="right"/>
    </xf>
    <xf numFmtId="9" fontId="3" fillId="0" borderId="12" xfId="0" applyNumberFormat="1" applyFont="1" applyBorder="1"/>
    <xf numFmtId="164" fontId="0" fillId="0" borderId="7" xfId="2" applyNumberFormat="1" applyFont="1" applyBorder="1"/>
    <xf numFmtId="0" fontId="0" fillId="0" borderId="0" xfId="0" applyFill="1" applyBorder="1"/>
    <xf numFmtId="164" fontId="1" fillId="0" borderId="10" xfId="2" applyNumberFormat="1" applyBorder="1"/>
    <xf numFmtId="0" fontId="0" fillId="0" borderId="0" xfId="0" applyAlignment="1">
      <alignment horizontal="right"/>
    </xf>
    <xf numFmtId="9" fontId="3" fillId="0" borderId="15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9" fontId="3" fillId="0" borderId="6" xfId="0" applyNumberFormat="1" applyFont="1" applyBorder="1" applyAlignment="1">
      <alignment horizontal="center"/>
    </xf>
    <xf numFmtId="164" fontId="0" fillId="0" borderId="13" xfId="2" applyNumberFormat="1" applyFont="1" applyBorder="1" applyAlignment="1">
      <alignment horizontal="center"/>
    </xf>
    <xf numFmtId="164" fontId="3" fillId="0" borderId="15" xfId="2" applyNumberFormat="1" applyFont="1" applyBorder="1" applyAlignment="1">
      <alignment horizontal="center"/>
    </xf>
    <xf numFmtId="164" fontId="3" fillId="0" borderId="15" xfId="2" applyNumberFormat="1" applyFont="1" applyFill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164" fontId="0" fillId="0" borderId="3" xfId="2" applyNumberFormat="1" applyFont="1" applyBorder="1" applyAlignment="1">
      <alignment horizontal="center"/>
    </xf>
    <xf numFmtId="164" fontId="0" fillId="0" borderId="4" xfId="2" applyNumberFormat="1" applyFont="1" applyBorder="1" applyAlignment="1">
      <alignment horizontal="center"/>
    </xf>
    <xf numFmtId="164" fontId="6" fillId="3" borderId="0" xfId="0" applyNumberFormat="1" applyFont="1" applyFill="1"/>
    <xf numFmtId="164" fontId="6" fillId="3" borderId="0" xfId="2" applyNumberFormat="1" applyFont="1" applyFill="1"/>
    <xf numFmtId="0" fontId="3" fillId="0" borderId="14" xfId="0" applyFont="1" applyBorder="1" applyAlignment="1">
      <alignment horizontal="center"/>
    </xf>
    <xf numFmtId="0" fontId="0" fillId="0" borderId="14" xfId="0" applyBorder="1"/>
    <xf numFmtId="164" fontId="0" fillId="0" borderId="0" xfId="2" applyNumberFormat="1" applyFont="1"/>
    <xf numFmtId="2" fontId="0" fillId="0" borderId="4" xfId="0" applyNumberFormat="1" applyBorder="1" applyAlignment="1">
      <alignment horizontal="right"/>
    </xf>
    <xf numFmtId="164" fontId="3" fillId="0" borderId="15" xfId="2" applyNumberFormat="1" applyFont="1" applyBorder="1" applyAlignment="1">
      <alignment horizontal="right"/>
    </xf>
    <xf numFmtId="164" fontId="3" fillId="0" borderId="15" xfId="2" applyNumberFormat="1" applyFont="1" applyFill="1" applyBorder="1" applyAlignment="1">
      <alignment horizontal="right"/>
    </xf>
    <xf numFmtId="164" fontId="3" fillId="0" borderId="6" xfId="2" applyNumberFormat="1" applyFont="1" applyBorder="1" applyAlignment="1">
      <alignment horizontal="right"/>
    </xf>
    <xf numFmtId="164" fontId="1" fillId="0" borderId="0" xfId="2" applyNumberFormat="1" applyBorder="1" applyAlignment="1">
      <alignment horizontal="center"/>
    </xf>
    <xf numFmtId="164" fontId="1" fillId="0" borderId="1" xfId="2" applyNumberFormat="1" applyBorder="1" applyAlignment="1">
      <alignment horizontal="center"/>
    </xf>
    <xf numFmtId="164" fontId="1" fillId="0" borderId="11" xfId="2" applyNumberFormat="1" applyBorder="1" applyAlignment="1">
      <alignment horizontal="center"/>
    </xf>
    <xf numFmtId="164" fontId="1" fillId="0" borderId="3" xfId="2" applyNumberFormat="1" applyBorder="1" applyAlignment="1">
      <alignment horizontal="center"/>
    </xf>
    <xf numFmtId="164" fontId="1" fillId="0" borderId="14" xfId="2" applyNumberFormat="1" applyBorder="1" applyAlignment="1">
      <alignment horizontal="center"/>
    </xf>
    <xf numFmtId="164" fontId="1" fillId="0" borderId="7" xfId="2" applyNumberFormat="1" applyBorder="1" applyAlignment="1">
      <alignment horizontal="center"/>
    </xf>
    <xf numFmtId="164" fontId="1" fillId="0" borderId="13" xfId="2" applyNumberFormat="1" applyBorder="1" applyAlignment="1">
      <alignment horizontal="center"/>
    </xf>
    <xf numFmtId="164" fontId="1" fillId="0" borderId="4" xfId="2" applyNumberFormat="1" applyBorder="1" applyAlignment="1">
      <alignment horizontal="center"/>
    </xf>
    <xf numFmtId="2" fontId="0" fillId="0" borderId="0" xfId="0" applyNumberFormat="1"/>
    <xf numFmtId="0" fontId="0" fillId="0" borderId="2" xfId="0" applyBorder="1"/>
    <xf numFmtId="0" fontId="7" fillId="0" borderId="13" xfId="0" applyFont="1" applyBorder="1" applyAlignment="1">
      <alignment horizontal="center"/>
    </xf>
    <xf numFmtId="0" fontId="10" fillId="0" borderId="0" xfId="0" applyFont="1"/>
    <xf numFmtId="2" fontId="0" fillId="0" borderId="0" xfId="0" applyNumberFormat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/>
    <xf numFmtId="9" fontId="3" fillId="0" borderId="8" xfId="0" applyNumberFormat="1" applyFont="1" applyBorder="1"/>
    <xf numFmtId="2" fontId="0" fillId="0" borderId="2" xfId="0" applyNumberFormat="1" applyBorder="1" applyAlignment="1">
      <alignment horizontal="center"/>
    </xf>
    <xf numFmtId="164" fontId="0" fillId="2" borderId="0" xfId="2" applyNumberFormat="1" applyFont="1" applyFill="1" applyBorder="1" applyAlignment="1">
      <alignment horizontal="center"/>
    </xf>
    <xf numFmtId="164" fontId="0" fillId="2" borderId="4" xfId="2" applyNumberFormat="1" applyFont="1" applyFill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164" fontId="0" fillId="0" borderId="17" xfId="2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164" fontId="0" fillId="0" borderId="16" xfId="2" applyNumberFormat="1" applyFont="1" applyBorder="1" applyAlignment="1">
      <alignment horizontal="center"/>
    </xf>
    <xf numFmtId="164" fontId="1" fillId="0" borderId="16" xfId="2" applyNumberFormat="1" applyBorder="1" applyAlignment="1">
      <alignment horizontal="center"/>
    </xf>
    <xf numFmtId="164" fontId="1" fillId="0" borderId="17" xfId="2" applyNumberFormat="1" applyBorder="1" applyAlignment="1">
      <alignment horizontal="center"/>
    </xf>
    <xf numFmtId="164" fontId="1" fillId="0" borderId="18" xfId="2" applyNumberFormat="1" applyBorder="1" applyAlignment="1">
      <alignment horizontal="center"/>
    </xf>
    <xf numFmtId="164" fontId="1" fillId="2" borderId="0" xfId="2" applyNumberFormat="1" applyFill="1" applyBorder="1" applyAlignment="1">
      <alignment horizontal="center"/>
    </xf>
    <xf numFmtId="164" fontId="1" fillId="2" borderId="4" xfId="2" applyNumberForma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2" applyFont="1"/>
    <xf numFmtId="16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18" xfId="2" applyNumberFormat="1" applyFont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center"/>
    </xf>
    <xf numFmtId="0" fontId="9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6" fillId="2" borderId="0" xfId="2" applyNumberFormat="1" applyFont="1" applyFill="1" applyAlignment="1">
      <alignment horizontal="center"/>
    </xf>
    <xf numFmtId="164" fontId="1" fillId="0" borderId="0" xfId="2" applyNumberFormat="1" applyAlignment="1">
      <alignment horizontal="center"/>
    </xf>
    <xf numFmtId="10" fontId="6" fillId="0" borderId="0" xfId="2" applyNumberFormat="1" applyFont="1" applyFill="1" applyAlignment="1">
      <alignment horizontal="center"/>
    </xf>
    <xf numFmtId="164" fontId="1" fillId="0" borderId="32" xfId="2" applyNumberFormat="1" applyBorder="1"/>
    <xf numFmtId="164" fontId="0" fillId="0" borderId="32" xfId="0" applyNumberFormat="1" applyBorder="1"/>
    <xf numFmtId="0" fontId="0" fillId="0" borderId="32" xfId="0" applyBorder="1"/>
    <xf numFmtId="9" fontId="0" fillId="0" borderId="0" xfId="0" applyNumberFormat="1" applyBorder="1"/>
    <xf numFmtId="164" fontId="1" fillId="0" borderId="33" xfId="2" applyNumberFormat="1" applyBorder="1"/>
    <xf numFmtId="9" fontId="0" fillId="0" borderId="33" xfId="0" applyNumberFormat="1" applyBorder="1"/>
    <xf numFmtId="0" fontId="0" fillId="0" borderId="33" xfId="0" applyBorder="1"/>
    <xf numFmtId="0" fontId="0" fillId="0" borderId="34" xfId="0" applyBorder="1"/>
    <xf numFmtId="9" fontId="0" fillId="0" borderId="34" xfId="0" applyNumberFormat="1" applyBorder="1"/>
    <xf numFmtId="9" fontId="0" fillId="0" borderId="0" xfId="0" applyNumberFormat="1" applyBorder="1" applyAlignment="1">
      <alignment horizontal="center"/>
    </xf>
    <xf numFmtId="164" fontId="1" fillId="0" borderId="10" xfId="2" applyNumberFormat="1" applyBorder="1" applyAlignment="1">
      <alignment horizontal="right"/>
    </xf>
    <xf numFmtId="164" fontId="1" fillId="0" borderId="7" xfId="2" applyNumberFormat="1" applyFon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10" fontId="0" fillId="0" borderId="0" xfId="2" applyNumberFormat="1" applyFont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164" fontId="0" fillId="5" borderId="0" xfId="2" applyNumberFormat="1" applyFont="1" applyFill="1" applyAlignment="1">
      <alignment horizontal="center"/>
    </xf>
    <xf numFmtId="164" fontId="6" fillId="5" borderId="0" xfId="2" applyNumberFormat="1" applyFont="1" applyFill="1" applyAlignment="1">
      <alignment horizontal="center"/>
    </xf>
    <xf numFmtId="2" fontId="0" fillId="0" borderId="8" xfId="0" applyNumberFormat="1" applyBorder="1"/>
    <xf numFmtId="2" fontId="0" fillId="0" borderId="1" xfId="0" applyNumberFormat="1" applyBorder="1"/>
    <xf numFmtId="2" fontId="0" fillId="0" borderId="7" xfId="0" applyNumberFormat="1" applyBorder="1"/>
    <xf numFmtId="0" fontId="3" fillId="0" borderId="5" xfId="0" applyFont="1" applyFill="1" applyBorder="1" applyAlignment="1">
      <alignment horizontal="center"/>
    </xf>
    <xf numFmtId="164" fontId="0" fillId="5" borderId="1" xfId="2" applyNumberFormat="1" applyFont="1" applyFill="1" applyBorder="1" applyAlignment="1">
      <alignment horizontal="center"/>
    </xf>
    <xf numFmtId="164" fontId="0" fillId="5" borderId="7" xfId="2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9" fontId="3" fillId="0" borderId="41" xfId="0" applyNumberFormat="1" applyFont="1" applyBorder="1" applyAlignment="1">
      <alignment horizontal="center"/>
    </xf>
    <xf numFmtId="9" fontId="3" fillId="0" borderId="42" xfId="0" applyNumberFormat="1" applyFont="1" applyBorder="1" applyAlignment="1">
      <alignment horizontal="center"/>
    </xf>
    <xf numFmtId="9" fontId="3" fillId="0" borderId="43" xfId="0" applyNumberFormat="1" applyFont="1" applyBorder="1" applyAlignment="1">
      <alignment horizontal="center"/>
    </xf>
    <xf numFmtId="164" fontId="0" fillId="4" borderId="39" xfId="2" applyNumberFormat="1" applyFont="1" applyFill="1" applyBorder="1" applyAlignment="1">
      <alignment horizontal="center"/>
    </xf>
    <xf numFmtId="164" fontId="0" fillId="4" borderId="32" xfId="2" applyNumberFormat="1" applyFont="1" applyFill="1" applyBorder="1" applyAlignment="1">
      <alignment horizontal="center"/>
    </xf>
    <xf numFmtId="164" fontId="0" fillId="4" borderId="40" xfId="2" applyNumberFormat="1" applyFont="1" applyFill="1" applyBorder="1" applyAlignment="1">
      <alignment horizontal="center"/>
    </xf>
    <xf numFmtId="164" fontId="6" fillId="4" borderId="35" xfId="2" applyNumberFormat="1" applyFont="1" applyFill="1" applyBorder="1" applyAlignment="1">
      <alignment horizontal="center"/>
    </xf>
    <xf numFmtId="164" fontId="6" fillId="4" borderId="0" xfId="2" applyNumberFormat="1" applyFont="1" applyFill="1" applyBorder="1" applyAlignment="1">
      <alignment horizontal="center"/>
    </xf>
    <xf numFmtId="164" fontId="6" fillId="4" borderId="36" xfId="2" applyNumberFormat="1" applyFont="1" applyFill="1" applyBorder="1" applyAlignment="1">
      <alignment horizontal="center"/>
    </xf>
    <xf numFmtId="164" fontId="0" fillId="4" borderId="35" xfId="2" applyNumberFormat="1" applyFont="1" applyFill="1" applyBorder="1" applyAlignment="1">
      <alignment horizontal="center"/>
    </xf>
    <xf numFmtId="164" fontId="0" fillId="4" borderId="0" xfId="2" applyNumberFormat="1" applyFont="1" applyFill="1" applyBorder="1" applyAlignment="1">
      <alignment horizontal="center"/>
    </xf>
    <xf numFmtId="164" fontId="0" fillId="4" borderId="36" xfId="2" applyNumberFormat="1" applyFont="1" applyFill="1" applyBorder="1" applyAlignment="1">
      <alignment horizontal="center"/>
    </xf>
    <xf numFmtId="164" fontId="0" fillId="4" borderId="37" xfId="2" applyNumberFormat="1" applyFont="1" applyFill="1" applyBorder="1" applyAlignment="1">
      <alignment horizontal="center"/>
    </xf>
    <xf numFmtId="164" fontId="0" fillId="4" borderId="34" xfId="2" applyNumberFormat="1" applyFont="1" applyFill="1" applyBorder="1" applyAlignment="1">
      <alignment horizontal="center"/>
    </xf>
    <xf numFmtId="164" fontId="0" fillId="4" borderId="38" xfId="2" applyNumberFormat="1" applyFont="1" applyFill="1" applyBorder="1" applyAlignment="1">
      <alignment horizontal="center"/>
    </xf>
    <xf numFmtId="0" fontId="0" fillId="4" borderId="0" xfId="0" applyFill="1"/>
    <xf numFmtId="164" fontId="0" fillId="4" borderId="39" xfId="0" applyNumberFormat="1" applyFill="1" applyBorder="1" applyAlignment="1">
      <alignment horizontal="center"/>
    </xf>
    <xf numFmtId="164" fontId="0" fillId="4" borderId="32" xfId="0" applyNumberFormat="1" applyFill="1" applyBorder="1" applyAlignment="1">
      <alignment horizontal="center"/>
    </xf>
    <xf numFmtId="164" fontId="0" fillId="4" borderId="40" xfId="0" applyNumberFormat="1" applyFill="1" applyBorder="1" applyAlignment="1">
      <alignment horizontal="center"/>
    </xf>
    <xf numFmtId="164" fontId="0" fillId="4" borderId="37" xfId="0" applyNumberFormat="1" applyFill="1" applyBorder="1" applyAlignment="1">
      <alignment horizontal="center"/>
    </xf>
    <xf numFmtId="164" fontId="0" fillId="4" borderId="34" xfId="0" applyNumberFormat="1" applyFill="1" applyBorder="1" applyAlignment="1">
      <alignment horizontal="center"/>
    </xf>
    <xf numFmtId="164" fontId="0" fillId="4" borderId="38" xfId="0" applyNumberFormat="1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49" xfId="0" applyFill="1" applyBorder="1" applyAlignment="1">
      <alignment horizontal="center"/>
    </xf>
    <xf numFmtId="0" fontId="0" fillId="4" borderId="50" xfId="0" applyFill="1" applyBorder="1" applyAlignment="1">
      <alignment horizontal="center"/>
    </xf>
    <xf numFmtId="0" fontId="0" fillId="4" borderId="51" xfId="0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9" fontId="0" fillId="4" borderId="8" xfId="2" applyFont="1" applyFill="1" applyBorder="1" applyAlignment="1">
      <alignment horizontal="center"/>
    </xf>
    <xf numFmtId="9" fontId="0" fillId="4" borderId="10" xfId="2" applyFont="1" applyFill="1" applyBorder="1" applyAlignment="1">
      <alignment horizontal="center"/>
    </xf>
    <xf numFmtId="9" fontId="0" fillId="4" borderId="2" xfId="2" applyFont="1" applyFill="1" applyBorder="1" applyAlignment="1">
      <alignment horizontal="center"/>
    </xf>
    <xf numFmtId="9" fontId="0" fillId="4" borderId="1" xfId="2" applyFont="1" applyFill="1" applyBorder="1" applyAlignment="1">
      <alignment horizontal="center"/>
    </xf>
    <xf numFmtId="9" fontId="0" fillId="4" borderId="0" xfId="2" applyFont="1" applyFill="1" applyBorder="1" applyAlignment="1">
      <alignment horizontal="center"/>
    </xf>
    <xf numFmtId="9" fontId="0" fillId="4" borderId="3" xfId="2" applyFont="1" applyFill="1" applyBorder="1" applyAlignment="1">
      <alignment horizontal="center"/>
    </xf>
    <xf numFmtId="9" fontId="0" fillId="4" borderId="7" xfId="0" applyNumberFormat="1" applyFill="1" applyBorder="1" applyAlignment="1">
      <alignment horizontal="center"/>
    </xf>
    <xf numFmtId="9" fontId="0" fillId="4" borderId="14" xfId="0" applyNumberFormat="1" applyFill="1" applyBorder="1" applyAlignment="1">
      <alignment horizontal="center"/>
    </xf>
    <xf numFmtId="9" fontId="0" fillId="4" borderId="4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/>
    <xf numFmtId="0" fontId="0" fillId="4" borderId="7" xfId="0" applyFill="1" applyBorder="1"/>
    <xf numFmtId="0" fontId="0" fillId="4" borderId="5" xfId="0" applyFill="1" applyBorder="1" applyAlignment="1">
      <alignment horizontal="center"/>
    </xf>
    <xf numFmtId="0" fontId="0" fillId="4" borderId="11" xfId="0" applyFill="1" applyBorder="1" applyAlignment="1">
      <alignment horizontal="right"/>
    </xf>
    <xf numFmtId="0" fontId="0" fillId="4" borderId="13" xfId="0" applyFill="1" applyBorder="1"/>
    <xf numFmtId="0" fontId="4" fillId="4" borderId="0" xfId="0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9" fontId="0" fillId="4" borderId="11" xfId="0" applyNumberFormat="1" applyFill="1" applyBorder="1" applyAlignment="1">
      <alignment horizontal="center"/>
    </xf>
    <xf numFmtId="9" fontId="0" fillId="4" borderId="8" xfId="0" applyNumberFormat="1" applyFill="1" applyBorder="1" applyAlignment="1">
      <alignment horizontal="center"/>
    </xf>
    <xf numFmtId="9" fontId="0" fillId="4" borderId="13" xfId="0" applyNumberFormat="1" applyFill="1" applyBorder="1" applyAlignment="1">
      <alignment horizontal="center"/>
    </xf>
    <xf numFmtId="0" fontId="1" fillId="0" borderId="0" xfId="0" applyFont="1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0" borderId="15" xfId="0" applyFont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</cellXfs>
  <cellStyles count="3">
    <cellStyle name="Normal" xfId="0" builtinId="0"/>
    <cellStyle name="Notes" xfId="1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693997071742347"/>
          <c:y val="1.2722677924911351E-2"/>
          <c:w val="0.739385065885798"/>
          <c:h val="0.8422412786291328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return'!$V$70:$V$76</c:f>
              <c:numCache>
                <c:formatCode>0.0%</c:formatCode>
                <c:ptCount val="7"/>
                <c:pt idx="0">
                  <c:v>1.2040904454816098E-3</c:v>
                </c:pt>
                <c:pt idx="1">
                  <c:v>6.5411561521255018E-2</c:v>
                </c:pt>
                <c:pt idx="2">
                  <c:v>2.079749559200799E-2</c:v>
                </c:pt>
                <c:pt idx="3">
                  <c:v>0.43618068871678661</c:v>
                </c:pt>
                <c:pt idx="4">
                  <c:v>0.24669818628251289</c:v>
                </c:pt>
                <c:pt idx="5">
                  <c:v>5.2067664902677894E-5</c:v>
                </c:pt>
                <c:pt idx="6">
                  <c:v>2.5595036159750241E-5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return'!$W$70:$W$76</c:f>
              <c:numCache>
                <c:formatCode>0.0%</c:formatCode>
                <c:ptCount val="7"/>
                <c:pt idx="0">
                  <c:v>7.0077992353264618E-3</c:v>
                </c:pt>
                <c:pt idx="1">
                  <c:v>9.2832242091845846E-2</c:v>
                </c:pt>
                <c:pt idx="2">
                  <c:v>4.7510233482881074E-2</c:v>
                </c:pt>
                <c:pt idx="3">
                  <c:v>1.9505703104927385E-2</c:v>
                </c:pt>
                <c:pt idx="4">
                  <c:v>5.9704819615664928E-2</c:v>
                </c:pt>
                <c:pt idx="5">
                  <c:v>2.3717303604860692E-3</c:v>
                </c:pt>
                <c:pt idx="6">
                  <c:v>6.9778684976112783E-4</c:v>
                </c:pt>
              </c:numCache>
            </c:numRef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return'!$X$70:$X$76</c:f>
              <c:numCache>
                <c:formatCode>0.0%</c:formatCode>
                <c:ptCount val="7"/>
                <c:pt idx="0">
                  <c:v>2.7560329813557782E-3</c:v>
                </c:pt>
                <c:pt idx="1">
                  <c:v>6.0389542455164258E-2</c:v>
                </c:pt>
                <c:pt idx="2">
                  <c:v>4.1325830972641961E-2</c:v>
                </c:pt>
                <c:pt idx="3">
                  <c:v>2.3964137936929308E-2</c:v>
                </c:pt>
                <c:pt idx="4">
                  <c:v>8.8542283169506908E-2</c:v>
                </c:pt>
                <c:pt idx="5">
                  <c:v>8.5643481477926109E-4</c:v>
                </c:pt>
                <c:pt idx="6">
                  <c:v>1.7908713159216108E-4</c:v>
                </c:pt>
              </c:numCache>
            </c:numRef>
          </c:val>
        </c:ser>
        <c:gapWidth val="40"/>
        <c:overlap val="100"/>
        <c:axId val="301397888"/>
        <c:axId val="301399424"/>
      </c:barChart>
      <c:catAx>
        <c:axId val="30139788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1399424"/>
        <c:crosses val="autoZero"/>
        <c:auto val="1"/>
        <c:lblAlgn val="ctr"/>
        <c:lblOffset val="100"/>
        <c:tickLblSkip val="1"/>
        <c:tickMarkSkip val="1"/>
      </c:catAx>
      <c:valAx>
        <c:axId val="301399424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1397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4.3523316062176166E-2"/>
          <c:y val="1.1904761904761916E-2"/>
          <c:w val="0.19170984455958548"/>
          <c:h val="0.31462585034013607"/>
        </c:manualLayout>
      </c:layout>
      <c:pieChart>
        <c:varyColors val="1"/>
        <c:ser>
          <c:idx val="0"/>
          <c:order val="0"/>
          <c:spPr>
            <a:solidFill>
              <a:srgbClr val="FFCC00"/>
            </a:solidFill>
            <a:ln w="12700"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mixen'!$T$4:$V$4</c:f>
              <c:numCache>
                <c:formatCode>0.0%</c:formatCode>
                <c:ptCount val="3"/>
                <c:pt idx="0" formatCode="0%">
                  <c:v>0.43037012672941904</c:v>
                </c:pt>
                <c:pt idx="1">
                  <c:v>3.2834815762131424E-2</c:v>
                </c:pt>
                <c:pt idx="2" formatCode="0%">
                  <c:v>0.53679505750844947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520580587443481"/>
          <c:y val="4.8275862068965406E-2"/>
          <c:w val="0.61301472371094357"/>
          <c:h val="0.6172413793103448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mixen'!$T$5:$V$5</c:f>
              <c:numCache>
                <c:formatCode>0%</c:formatCode>
                <c:ptCount val="3"/>
                <c:pt idx="0">
                  <c:v>0.37382261054515575</c:v>
                </c:pt>
                <c:pt idx="1">
                  <c:v>0.38268738606757879</c:v>
                </c:pt>
                <c:pt idx="2">
                  <c:v>0.24349000338726545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7313432835820897"/>
          <c:y val="0.12203410029479"/>
          <c:w val="0.60298507462686635"/>
          <c:h val="0.6847468960985451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mixen'!$T$8:$V$8</c:f>
              <c:numCache>
                <c:formatCode>0%</c:formatCode>
                <c:ptCount val="3"/>
                <c:pt idx="0">
                  <c:v>0.51504460003179542</c:v>
                </c:pt>
                <c:pt idx="1">
                  <c:v>5.9693768316184136E-2</c:v>
                </c:pt>
                <c:pt idx="2">
                  <c:v>0.42526162438954856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0689655172413793"/>
          <c:y val="0.26262712616768652"/>
          <c:w val="0.59310344827586159"/>
          <c:h val="0.5791264833441296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mixen'!$T$6:$V$6</c:f>
              <c:numCache>
                <c:formatCode>0%</c:formatCode>
                <c:ptCount val="3"/>
                <c:pt idx="0">
                  <c:v>0.56293516182923486</c:v>
                </c:pt>
                <c:pt idx="1">
                  <c:v>1.1494241199083169E-2</c:v>
                </c:pt>
                <c:pt idx="2">
                  <c:v>0.42557059697168198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881334444162743"/>
          <c:y val="0.22408026755852842"/>
          <c:w val="0.60830948672438223"/>
          <c:h val="0.6856187290969895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mixen'!$T$7:$V$7</c:f>
              <c:numCache>
                <c:formatCode>0%</c:formatCode>
                <c:ptCount val="3"/>
                <c:pt idx="0">
                  <c:v>0.89999992443495458</c:v>
                </c:pt>
                <c:pt idx="1">
                  <c:v>2.7148566153486209E-8</c:v>
                </c:pt>
                <c:pt idx="2">
                  <c:v>0.1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2331606217616582"/>
          <c:y val="1.3605442176870748E-2"/>
          <c:w val="0.3388601036269438"/>
          <c:h val="0.39625850340136082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return'!$V$18:$V$24</c:f>
              <c:numCache>
                <c:formatCode>0.0%</c:formatCode>
                <c:ptCount val="7"/>
                <c:pt idx="0">
                  <c:v>9.2304748735476741E-3</c:v>
                </c:pt>
                <c:pt idx="1">
                  <c:v>1.1503537406482663E-2</c:v>
                </c:pt>
                <c:pt idx="2">
                  <c:v>1.6499888146964535E-2</c:v>
                </c:pt>
                <c:pt idx="3">
                  <c:v>8.6861677630364399E-5</c:v>
                </c:pt>
                <c:pt idx="4">
                  <c:v>9.0258851779742605E-2</c:v>
                </c:pt>
                <c:pt idx="5">
                  <c:v>5.8456281939526394E-4</c:v>
                </c:pt>
                <c:pt idx="6">
                  <c:v>1.0882771491673492E-5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8.0130371402207592E-2</c:v>
              </c:pt>
              <c:pt idx="1">
                <c:v>0.14755788330463329</c:v>
              </c:pt>
              <c:pt idx="2">
                <c:v>0.13916393539516098</c:v>
              </c:pt>
              <c:pt idx="3">
                <c:v>8.5895260118368247E-2</c:v>
              </c:pt>
              <c:pt idx="4">
                <c:v>0.15457969469554511</c:v>
              </c:pt>
              <c:pt idx="5">
                <c:v>6.8798314916736727E-2</c:v>
              </c:pt>
              <c:pt idx="6">
                <c:v>6.7938404252643895E-3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0.11842361076597729</c:v>
              </c:pt>
              <c:pt idx="1">
                <c:v>0.14283813318299984</c:v>
              </c:pt>
              <c:pt idx="2">
                <c:v>0.11543610409975785</c:v>
              </c:pt>
              <c:pt idx="3">
                <c:v>5.7406817898925398E-2</c:v>
              </c:pt>
              <c:pt idx="4">
                <c:v>0.12682624648955265</c:v>
              </c:pt>
              <c:pt idx="5">
                <c:v>4.0063207834855244E-2</c:v>
              </c:pt>
              <c:pt idx="6">
                <c:v>1.2897521099026409E-3</c:v>
              </c:pt>
            </c:numLit>
          </c:val>
        </c:ser>
        <c:gapWidth val="40"/>
        <c:overlap val="100"/>
        <c:axId val="303578112"/>
        <c:axId val="303579904"/>
      </c:barChart>
      <c:catAx>
        <c:axId val="30357811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3579904"/>
        <c:crosses val="autoZero"/>
        <c:auto val="1"/>
        <c:lblAlgn val="ctr"/>
        <c:lblOffset val="100"/>
        <c:tickLblSkip val="1"/>
        <c:tickMarkSkip val="1"/>
      </c:catAx>
      <c:valAx>
        <c:axId val="303579904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20725388601036293"/>
              <c:y val="0.45408163265306128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3578112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352112676056326"/>
          <c:y val="2.4221494210731727E-2"/>
          <c:w val="0.70221327967806868"/>
          <c:h val="0.8131501627888509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return'!$V$31:$V$37</c:f>
              <c:numCache>
                <c:formatCode>0.0%</c:formatCode>
                <c:ptCount val="7"/>
                <c:pt idx="0">
                  <c:v>2.2426394088036041E-3</c:v>
                </c:pt>
                <c:pt idx="1">
                  <c:v>4.1719582170407984E-2</c:v>
                </c:pt>
                <c:pt idx="2">
                  <c:v>0.11626823026444835</c:v>
                </c:pt>
                <c:pt idx="3">
                  <c:v>1.9448725186428137E-2</c:v>
                </c:pt>
                <c:pt idx="4">
                  <c:v>7.2758087120193844E-3</c:v>
                </c:pt>
                <c:pt idx="5">
                  <c:v>7.9842484799504138E-3</c:v>
                </c:pt>
                <c:pt idx="6">
                  <c:v>1.6747253085510099E-2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4.4114794796506852E-2</c:v>
              </c:pt>
              <c:pt idx="1">
                <c:v>0.16900500884299238</c:v>
              </c:pt>
              <c:pt idx="2">
                <c:v>0.1132300196919965</c:v>
              </c:pt>
              <c:pt idx="3">
                <c:v>0.12523288083554546</c:v>
              </c:pt>
              <c:pt idx="4">
                <c:v>0.10676042487291827</c:v>
              </c:pt>
              <c:pt idx="5">
                <c:v>0.10921610989265097</c:v>
              </c:pt>
              <c:pt idx="6">
                <c:v>0.12075427375982162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2.3695103652108911E-2</c:v>
              </c:pt>
              <c:pt idx="1">
                <c:v>0.13356122840389889</c:v>
              </c:pt>
              <c:pt idx="2">
                <c:v>0.14550257425231775</c:v>
              </c:pt>
              <c:pt idx="3">
                <c:v>0.10414570019044962</c:v>
              </c:pt>
              <c:pt idx="4">
                <c:v>8.493839640142975E-2</c:v>
              </c:pt>
              <c:pt idx="5">
                <c:v>5.9297146727735624E-2</c:v>
              </c:pt>
              <c:pt idx="6">
                <c:v>8.9982141915766353E-2</c:v>
              </c:pt>
            </c:numLit>
          </c:val>
        </c:ser>
        <c:gapWidth val="40"/>
        <c:overlap val="100"/>
        <c:axId val="303622784"/>
        <c:axId val="304165248"/>
      </c:barChart>
      <c:catAx>
        <c:axId val="3036227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165248"/>
        <c:crosses val="autoZero"/>
        <c:auto val="1"/>
        <c:lblAlgn val="ctr"/>
        <c:lblOffset val="100"/>
        <c:tickLblSkip val="1"/>
        <c:tickMarkSkip val="1"/>
      </c:catAx>
      <c:valAx>
        <c:axId val="304165248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2253521126760607"/>
              <c:y val="0.90311571271442592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3622784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820596515783717"/>
          <c:y val="1.6722408026755876E-2"/>
          <c:w val="0.70678412496594256"/>
          <c:h val="0.8428093645484960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return'!$V$44:$V$50</c:f>
              <c:numCache>
                <c:formatCode>0.0%</c:formatCode>
                <c:ptCount val="7"/>
                <c:pt idx="0">
                  <c:v>6.7296640790565937E-2</c:v>
                </c:pt>
                <c:pt idx="1">
                  <c:v>1.0438917824368918E-4</c:v>
                </c:pt>
                <c:pt idx="2">
                  <c:v>0.17873276960562406</c:v>
                </c:pt>
                <c:pt idx="3">
                  <c:v>6.6775520481088563E-2</c:v>
                </c:pt>
                <c:pt idx="4">
                  <c:v>3.6763440576946279E-3</c:v>
                </c:pt>
                <c:pt idx="5">
                  <c:v>0.17333008713057071</c:v>
                </c:pt>
                <c:pt idx="6">
                  <c:v>2.5895182579532081E-3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0.1149227144248893</c:v>
              </c:pt>
              <c:pt idx="1">
                <c:v>1.0413568241246243E-2</c:v>
              </c:pt>
              <c:pt idx="2">
                <c:v>0.10778751622240378</c:v>
              </c:pt>
              <c:pt idx="3">
                <c:v>8.4485332857449705E-2</c:v>
              </c:pt>
              <c:pt idx="4">
                <c:v>5.5440165790147301E-2</c:v>
              </c:pt>
              <c:pt idx="5">
                <c:v>7.577965169905504E-2</c:v>
              </c:pt>
              <c:pt idx="6">
                <c:v>5.8665781263067762E-2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8.2982706860007957E-2</c:v>
              </c:pt>
              <c:pt idx="1">
                <c:v>3.4975130977681771E-3</c:v>
              </c:pt>
              <c:pt idx="2">
                <c:v>0.13639683771250222</c:v>
              </c:pt>
              <c:pt idx="3">
                <c:v>5.9577941727944034E-2</c:v>
              </c:pt>
              <c:pt idx="4">
                <c:v>3.4405719104132454E-2</c:v>
              </c:pt>
              <c:pt idx="5">
                <c:v>7.5233524531864021E-2</c:v>
              </c:pt>
              <c:pt idx="6">
                <c:v>4.2068141372075957E-2</c:v>
              </c:pt>
            </c:numLit>
          </c:val>
        </c:ser>
        <c:gapWidth val="40"/>
        <c:overlap val="100"/>
        <c:axId val="304202880"/>
        <c:axId val="304204416"/>
      </c:barChart>
      <c:catAx>
        <c:axId val="30420288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04416"/>
        <c:crosses val="autoZero"/>
        <c:auto val="1"/>
        <c:lblAlgn val="ctr"/>
        <c:lblOffset val="100"/>
        <c:tickLblSkip val="1"/>
        <c:tickMarkSkip val="1"/>
      </c:catAx>
      <c:valAx>
        <c:axId val="304204416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310726706448641"/>
              <c:y val="0.91638795986621946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02880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150905432595572"/>
          <c:y val="7.028764958511631E-2"/>
          <c:w val="0.71026156941649898"/>
          <c:h val="0.7795539317621988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return'!$Z$70:$Z$76</c:f>
              <c:numCache>
                <c:formatCode>0.00%</c:formatCode>
                <c:ptCount val="7"/>
                <c:pt idx="0">
                  <c:v>1.5878529030066361E-2</c:v>
                </c:pt>
                <c:pt idx="1">
                  <c:v>1.1090707278397012E-2</c:v>
                </c:pt>
                <c:pt idx="2">
                  <c:v>4.8341781781579156E-2</c:v>
                </c:pt>
                <c:pt idx="3">
                  <c:v>1.2013554144267713E-2</c:v>
                </c:pt>
                <c:pt idx="4">
                  <c:v>5.544145485794176E-2</c:v>
                </c:pt>
                <c:pt idx="5">
                  <c:v>2.7151221483545391E-2</c:v>
                </c:pt>
                <c:pt idx="6">
                  <c:v>2.070038333008862E-3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0.10140813873975313</c:v>
              </c:pt>
              <c:pt idx="1">
                <c:v>0.12366201262154029</c:v>
              </c:pt>
              <c:pt idx="2">
                <c:v>0.12785052486545967</c:v>
              </c:pt>
              <c:pt idx="3">
                <c:v>9.9705630484681743E-2</c:v>
              </c:pt>
              <c:pt idx="4">
                <c:v>0.13457774511463308</c:v>
              </c:pt>
              <c:pt idx="5">
                <c:v>8.2605234160314719E-2</c:v>
              </c:pt>
              <c:pt idx="6">
                <c:v>4.4860029736599014E-2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0.10547933670624825</c:v>
              </c:pt>
              <c:pt idx="1">
                <c:v>9.0910024972046727E-2</c:v>
              </c:pt>
              <c:pt idx="2">
                <c:v>0.10419454435466254</c:v>
              </c:pt>
              <c:pt idx="3">
                <c:v>6.6415442622888496E-2</c:v>
              </c:pt>
              <c:pt idx="4">
                <c:v>9.5154595184472918E-2</c:v>
              </c:pt>
              <c:pt idx="5">
                <c:v>5.1764297657217441E-2</c:v>
              </c:pt>
              <c:pt idx="6">
                <c:v>2.1185206442352552E-2</c:v>
              </c:pt>
            </c:numLit>
          </c:val>
        </c:ser>
        <c:gapWidth val="40"/>
        <c:overlap val="100"/>
        <c:axId val="304233856"/>
        <c:axId val="304260224"/>
      </c:barChart>
      <c:catAx>
        <c:axId val="30423385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60224"/>
        <c:crosses val="autoZero"/>
        <c:auto val="1"/>
        <c:lblAlgn val="ctr"/>
        <c:lblOffset val="100"/>
        <c:tickLblSkip val="1"/>
        <c:tickMarkSkip val="1"/>
      </c:catAx>
      <c:valAx>
        <c:axId val="304260224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4064386317907478"/>
              <c:y val="0.9201292309324316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33856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25400">
      <a:solidFill>
        <a:srgbClr val="C0C0C0"/>
      </a:solidFill>
      <a:prstDash val="sysDash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4404145077720263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mixen'!$AB$3:$AB$11</c:f>
              <c:numCache>
                <c:formatCode>0.0%</c:formatCode>
                <c:ptCount val="9"/>
                <c:pt idx="0">
                  <c:v>0.55848299942109558</c:v>
                </c:pt>
                <c:pt idx="1">
                  <c:v>8.0024247076160331E-5</c:v>
                </c:pt>
                <c:pt idx="2">
                  <c:v>2.1135217939597731E-3</c:v>
                </c:pt>
                <c:pt idx="3">
                  <c:v>2.3653538284595048E-4</c:v>
                </c:pt>
                <c:pt idx="4">
                  <c:v>4.4641897398864433E-3</c:v>
                </c:pt>
                <c:pt idx="5">
                  <c:v>5.3327894633419415E-5</c:v>
                </c:pt>
                <c:pt idx="6">
                  <c:v>9.0274039837379041E-4</c:v>
                </c:pt>
                <c:pt idx="7">
                  <c:v>6.0455365436094463E-3</c:v>
                </c:pt>
                <c:pt idx="8">
                  <c:v>1.4443846303467217E-4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5.9998151858792426E-2</c:v>
              </c:pt>
              <c:pt idx="1">
                <c:v>1.8881546660538831E-2</c:v>
              </c:pt>
              <c:pt idx="2">
                <c:v>5.1501065090195697E-2</c:v>
              </c:pt>
              <c:pt idx="3">
                <c:v>4.6999792766710076E-2</c:v>
              </c:pt>
              <c:pt idx="4">
                <c:v>5.1370400645508574E-2</c:v>
              </c:pt>
              <c:pt idx="5">
                <c:v>2.0527573635552871E-2</c:v>
              </c:pt>
              <c:pt idx="6">
                <c:v>5.6950575724903744E-2</c:v>
              </c:pt>
              <c:pt idx="7">
                <c:v>6.9964651897153882E-2</c:v>
              </c:pt>
              <c:pt idx="8">
                <c:v>4.2652659098576934E-2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6.3991070464693878E-2</c:v>
              </c:pt>
              <c:pt idx="1">
                <c:v>4.626442875830832E-3</c:v>
              </c:pt>
              <c:pt idx="2">
                <c:v>4.1957196572790144E-2</c:v>
              </c:pt>
              <c:pt idx="3">
                <c:v>2.2315918952605526E-2</c:v>
              </c:pt>
              <c:pt idx="4">
                <c:v>4.0778291596024974E-2</c:v>
              </c:pt>
              <c:pt idx="5">
                <c:v>1.6536725602109236E-2</c:v>
              </c:pt>
              <c:pt idx="6">
                <c:v>4.5909839670318288E-2</c:v>
              </c:pt>
              <c:pt idx="7">
                <c:v>6.8360235075514739E-2</c:v>
              </c:pt>
              <c:pt idx="8">
                <c:v>4.1818261337302286E-2</c:v>
              </c:pt>
            </c:numLit>
          </c:val>
        </c:ser>
        <c:gapWidth val="40"/>
        <c:overlap val="100"/>
        <c:axId val="304366720"/>
        <c:axId val="304368256"/>
      </c:barChart>
      <c:catAx>
        <c:axId val="30436672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368256"/>
        <c:crosses val="autoZero"/>
        <c:auto val="1"/>
        <c:lblAlgn val="ctr"/>
        <c:lblOffset val="100"/>
        <c:tickLblSkip val="1"/>
        <c:tickMarkSkip val="1"/>
      </c:catAx>
      <c:valAx>
        <c:axId val="304368256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8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3667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4404145077720263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return'!$V$5:$V$11</c:f>
              <c:numCache>
                <c:formatCode>0.0%</c:formatCode>
                <c:ptCount val="7"/>
                <c:pt idx="0">
                  <c:v>7.6131305370676951E-3</c:v>
                </c:pt>
                <c:pt idx="1">
                  <c:v>6.8246620746205845E-4</c:v>
                </c:pt>
                <c:pt idx="2">
                  <c:v>1.4274886287567522E-2</c:v>
                </c:pt>
                <c:pt idx="3">
                  <c:v>1.8440651680535204E-4</c:v>
                </c:pt>
                <c:pt idx="4">
                  <c:v>2.7011188228225477E-3</c:v>
                </c:pt>
                <c:pt idx="5">
                  <c:v>1.6927671653624896E-2</c:v>
                </c:pt>
                <c:pt idx="6">
                  <c:v>3.6970441712472061E-4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3366FF"/>
                </a:gs>
                <a:gs pos="100000">
                  <a:srgbClr val="3366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0.14394923054289888</c:v>
              </c:pt>
              <c:pt idx="1">
                <c:v>0.12362498416947097</c:v>
              </c:pt>
              <c:pt idx="2">
                <c:v>0.15257907522382613</c:v>
              </c:pt>
              <c:pt idx="3">
                <c:v>6.8818050864610333E-2</c:v>
              </c:pt>
              <c:pt idx="4">
                <c:v>0.15552091906847848</c:v>
              </c:pt>
              <c:pt idx="5">
                <c:v>0.17539566656229194</c:v>
              </c:pt>
              <c:pt idx="6">
                <c:v>0.14323017234046809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3366FF">
                    <a:gamma/>
                    <a:shade val="46275"/>
                    <a:invGamma/>
                  </a:srgbClr>
                </a:gs>
                <a:gs pos="100000">
                  <a:srgbClr val="3366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0.13735621751285434</c:v>
              </c:pt>
              <c:pt idx="1">
                <c:v>8.9436826882140191E-2</c:v>
              </c:pt>
              <c:pt idx="2">
                <c:v>0.1307921897256189</c:v>
              </c:pt>
              <c:pt idx="3">
                <c:v>4.0601241056093314E-2</c:v>
              </c:pt>
              <c:pt idx="4">
                <c:v>0.12343001471024299</c:v>
              </c:pt>
              <c:pt idx="5">
                <c:v>0.15827974836577324</c:v>
              </c:pt>
              <c:pt idx="6">
                <c:v>0.12717877670557809</c:v>
              </c:pt>
            </c:numLit>
          </c:val>
        </c:ser>
        <c:gapWidth val="40"/>
        <c:overlap val="100"/>
        <c:axId val="304431104"/>
        <c:axId val="304432640"/>
      </c:barChart>
      <c:catAx>
        <c:axId val="30443110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432640"/>
        <c:crosses val="autoZero"/>
        <c:auto val="1"/>
        <c:lblAlgn val="ctr"/>
        <c:lblOffset val="100"/>
        <c:tickLblSkip val="1"/>
        <c:tickMarkSkip val="1"/>
      </c:catAx>
      <c:valAx>
        <c:axId val="304432640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7046632124352367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431104"/>
        <c:crosses val="autoZero"/>
        <c:crossBetween val="between"/>
        <c:majorUnit val="0.05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4404145077720263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mixen'!$AB$16:$AB$24</c:f>
              <c:numCache>
                <c:formatCode>0.0%</c:formatCode>
                <c:ptCount val="9"/>
                <c:pt idx="0">
                  <c:v>0.35873618263785956</c:v>
                </c:pt>
                <c:pt idx="1">
                  <c:v>2.42581477496169E-6</c:v>
                </c:pt>
                <c:pt idx="2">
                  <c:v>5.4816140622493976E-3</c:v>
                </c:pt>
                <c:pt idx="3">
                  <c:v>5.7310930166663068E-3</c:v>
                </c:pt>
                <c:pt idx="4">
                  <c:v>9.9887592112520886E-3</c:v>
                </c:pt>
                <c:pt idx="5">
                  <c:v>4.4321267047300138E-5</c:v>
                </c:pt>
                <c:pt idx="6">
                  <c:v>5.1868994187932407E-2</c:v>
                </c:pt>
                <c:pt idx="7">
                  <c:v>2.523716940890017E-4</c:v>
                </c:pt>
                <c:pt idx="8">
                  <c:v>5.9833990801872724E-6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3.207686508667415E-2</c:v>
              </c:pt>
              <c:pt idx="1">
                <c:v>7.3051316679978214E-3</c:v>
              </c:pt>
              <c:pt idx="2">
                <c:v>3.7211928217915038E-2</c:v>
              </c:pt>
              <c:pt idx="3">
                <c:v>5.9211338608296873E-2</c:v>
              </c:pt>
              <c:pt idx="4">
                <c:v>5.6673476199518985E-2</c:v>
              </c:pt>
              <c:pt idx="5">
                <c:v>3.0562946109826516E-2</c:v>
              </c:pt>
              <c:pt idx="6">
                <c:v>6.2111197434250004E-2</c:v>
              </c:pt>
              <c:pt idx="7">
                <c:v>3.1739367023141681E-2</c:v>
              </c:pt>
              <c:pt idx="8">
                <c:v>2.7471399144104441E-3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3.5802619648605136E-2</c:v>
              </c:pt>
              <c:pt idx="1">
                <c:v>2.0079594912041894E-3</c:v>
              </c:pt>
              <c:pt idx="2">
                <c:v>4.8586670495145125E-2</c:v>
              </c:pt>
              <c:pt idx="3">
                <c:v>5.5326226762231104E-2</c:v>
              </c:pt>
              <c:pt idx="4">
                <c:v>5.0847694957484486E-2</c:v>
              </c:pt>
              <c:pt idx="5">
                <c:v>2.2759486910156793E-2</c:v>
              </c:pt>
              <c:pt idx="6">
                <c:v>5.4836858676184486E-2</c:v>
              </c:pt>
              <c:pt idx="7">
                <c:v>1.5115642499988658E-2</c:v>
              </c:pt>
              <c:pt idx="8">
                <c:v>5.2590919872611995E-4</c:v>
              </c:pt>
            </c:numLit>
          </c:val>
        </c:ser>
        <c:gapWidth val="40"/>
        <c:overlap val="100"/>
        <c:axId val="304478848"/>
        <c:axId val="300425600"/>
      </c:barChart>
      <c:catAx>
        <c:axId val="30447884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0425600"/>
        <c:crosses val="autoZero"/>
        <c:auto val="1"/>
        <c:lblAlgn val="ctr"/>
        <c:lblOffset val="100"/>
        <c:tickLblSkip val="1"/>
        <c:tickMarkSkip val="1"/>
      </c:catAx>
      <c:valAx>
        <c:axId val="30042560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8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4788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4404145077720263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mixen'!$AB$29:$AB$37</c:f>
              <c:numCache>
                <c:formatCode>0.0%</c:formatCode>
                <c:ptCount val="9"/>
                <c:pt idx="0">
                  <c:v>0.35457858776240603</c:v>
                </c:pt>
                <c:pt idx="1">
                  <c:v>0.35773911609828568</c:v>
                </c:pt>
                <c:pt idx="2">
                  <c:v>4.6749922071730068E-4</c:v>
                </c:pt>
                <c:pt idx="3">
                  <c:v>9.6667685053465555E-3</c:v>
                </c:pt>
                <c:pt idx="4">
                  <c:v>2.602676678932252E-2</c:v>
                </c:pt>
                <c:pt idx="5">
                  <c:v>4.980792060500519E-3</c:v>
                </c:pt>
                <c:pt idx="6">
                  <c:v>1.6072498567565796E-3</c:v>
                </c:pt>
                <c:pt idx="7">
                  <c:v>1.9056173724036861E-3</c:v>
                </c:pt>
                <c:pt idx="8">
                  <c:v>4.2516281415953226E-3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1.9244022782749729E-2</c:v>
              </c:pt>
              <c:pt idx="1">
                <c:v>2.4948269969293137E-2</c:v>
              </c:pt>
              <c:pt idx="2">
                <c:v>1.13161930562477E-2</c:v>
              </c:pt>
              <c:pt idx="3">
                <c:v>4.039010252998488E-2</c:v>
              </c:pt>
              <c:pt idx="4">
                <c:v>3.0939834621106579E-2</c:v>
              </c:pt>
              <c:pt idx="5">
                <c:v>2.9039049811614141E-2</c:v>
              </c:pt>
              <c:pt idx="6">
                <c:v>2.677338982903528E-2</c:v>
              </c:pt>
              <c:pt idx="7">
                <c:v>2.7098918094414136E-2</c:v>
              </c:pt>
              <c:pt idx="8">
                <c:v>2.9026193498220405E-2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1.6327765468648246E-2</c:v>
              </c:pt>
              <c:pt idx="1">
                <c:v>3.3611735332753911E-2</c:v>
              </c:pt>
              <c:pt idx="2">
                <c:v>6.7325734949920208E-3</c:v>
              </c:pt>
              <c:pt idx="3">
                <c:v>2.6372700265371935E-2</c:v>
              </c:pt>
              <c:pt idx="4">
                <c:v>3.5312942197144245E-2</c:v>
              </c:pt>
              <c:pt idx="5">
                <c:v>2.3909276054164482E-2</c:v>
              </c:pt>
              <c:pt idx="6">
                <c:v>1.81852793552084E-2</c:v>
              </c:pt>
              <c:pt idx="7">
                <c:v>1.2330656641091868E-2</c:v>
              </c:pt>
              <c:pt idx="8">
                <c:v>2.3144389180984687E-2</c:v>
              </c:pt>
            </c:numLit>
          </c:val>
        </c:ser>
        <c:gapWidth val="40"/>
        <c:overlap val="100"/>
        <c:axId val="304285184"/>
        <c:axId val="304286720"/>
      </c:barChart>
      <c:catAx>
        <c:axId val="3042851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86720"/>
        <c:crosses val="autoZero"/>
        <c:auto val="1"/>
        <c:lblAlgn val="ctr"/>
        <c:lblOffset val="100"/>
        <c:tickLblSkip val="1"/>
        <c:tickMarkSkip val="1"/>
      </c:catAx>
      <c:valAx>
        <c:axId val="30428672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8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285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4404145077720263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mixen'!$AB$42:$AB$50</c:f>
              <c:numCache>
                <c:formatCode>0.0%</c:formatCode>
                <c:ptCount val="9"/>
                <c:pt idx="0">
                  <c:v>0.52651026117844957</c:v>
                </c:pt>
                <c:pt idx="1">
                  <c:v>4.6299043860635947E-5</c:v>
                </c:pt>
                <c:pt idx="2">
                  <c:v>2.8128585474379401E-2</c:v>
                </c:pt>
                <c:pt idx="3">
                  <c:v>4.1869041614141293E-5</c:v>
                </c:pt>
                <c:pt idx="4">
                  <c:v>8.0209016296813623E-2</c:v>
                </c:pt>
                <c:pt idx="5">
                  <c:v>3.3304782234175011E-2</c:v>
                </c:pt>
                <c:pt idx="6">
                  <c:v>1.4211222028611933E-3</c:v>
                </c:pt>
                <c:pt idx="7">
                  <c:v>7.1461737977746881E-2</c:v>
                </c:pt>
                <c:pt idx="8">
                  <c:v>1.172996448312143E-3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3.6424900650785338E-2</c:v>
              </c:pt>
              <c:pt idx="1">
                <c:v>1.1447942155222534E-2</c:v>
              </c:pt>
              <c:pt idx="2">
                <c:v>5.3986068862648104E-2</c:v>
              </c:pt>
              <c:pt idx="3">
                <c:v>4.3927806847634393E-3</c:v>
              </c:pt>
              <c:pt idx="4">
                <c:v>4.0344343643134627E-2</c:v>
              </c:pt>
              <c:pt idx="5">
                <c:v>2.7991915289427738E-2</c:v>
              </c:pt>
              <c:pt idx="6">
                <c:v>2.3353189903811793E-2</c:v>
              </c:pt>
              <c:pt idx="7">
                <c:v>3.7073267626661403E-2</c:v>
              </c:pt>
              <c:pt idx="8">
                <c:v>2.2688921285332599E-2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3.6497822018839166E-2</c:v>
              </c:pt>
              <c:pt idx="1">
                <c:v>5.5184517717953695E-3</c:v>
              </c:pt>
              <c:pt idx="2">
                <c:v>4.3642312015643031E-2</c:v>
              </c:pt>
              <c:pt idx="3">
                <c:v>8.3515007403598123E-4</c:v>
              </c:pt>
              <c:pt idx="4">
                <c:v>5.0268080707468188E-2</c:v>
              </c:pt>
              <c:pt idx="5">
                <c:v>2.4416493550313494E-2</c:v>
              </c:pt>
              <c:pt idx="6">
                <c:v>1.5994041115461405E-2</c:v>
              </c:pt>
              <c:pt idx="7">
                <c:v>3.5471590987806487E-2</c:v>
              </c:pt>
              <c:pt idx="8">
                <c:v>1.9058822984261169E-2</c:v>
              </c:pt>
            </c:numLit>
          </c:val>
        </c:ser>
        <c:gapWidth val="40"/>
        <c:overlap val="100"/>
        <c:axId val="304615808"/>
        <c:axId val="304617344"/>
      </c:barChart>
      <c:catAx>
        <c:axId val="30461580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617344"/>
        <c:crosses val="autoZero"/>
        <c:auto val="1"/>
        <c:lblAlgn val="ctr"/>
        <c:lblOffset val="100"/>
        <c:tickLblSkip val="1"/>
        <c:tickMarkSkip val="1"/>
      </c:catAx>
      <c:valAx>
        <c:axId val="304617344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8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6158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3782383419689279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mixen'!$AB$55:$AB$63</c:f>
              <c:numCache>
                <c:formatCode>0.0%</c:formatCode>
                <c:ptCount val="9"/>
                <c:pt idx="0">
                  <c:v>0.9</c:v>
                </c:pt>
                <c:pt idx="1">
                  <c:v>2.8944635004635319E-12</c:v>
                </c:pt>
                <c:pt idx="2">
                  <c:v>5.069990152295259E-12</c:v>
                </c:pt>
                <c:pt idx="3">
                  <c:v>2.2101979235463595E-13</c:v>
                </c:pt>
                <c:pt idx="4">
                  <c:v>1.1010761425523883E-12</c:v>
                </c:pt>
                <c:pt idx="5">
                  <c:v>7.4494370688242267E-14</c:v>
                </c:pt>
                <c:pt idx="6">
                  <c:v>0</c:v>
                </c:pt>
                <c:pt idx="7">
                  <c:v>4.4933225283438228E-13</c:v>
                </c:pt>
                <c:pt idx="8">
                  <c:v>1.4216807710692625E-13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8.0791515069932655E-10</c:v>
              </c:pt>
              <c:pt idx="2">
                <c:v>7.3621326129716161E-10</c:v>
              </c:pt>
              <c:pt idx="3">
                <c:v>6.688317533123951E-11</c:v>
              </c:pt>
              <c:pt idx="4">
                <c:v>1.6934568049493409E-10</c:v>
              </c:pt>
              <c:pt idx="5">
                <c:v>1.6361099963627209E-10</c:v>
              </c:pt>
              <c:pt idx="6">
                <c:v>0.05</c:v>
              </c:pt>
              <c:pt idx="7">
                <c:v>1.5861740931227848E-10</c:v>
              </c:pt>
              <c:pt idx="8">
                <c:v>6.2075086838010411E-11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8.1998768748805211E-9</c:v>
              </c:pt>
              <c:pt idx="2">
                <c:v>1.514410440910129E-8</c:v>
              </c:pt>
              <c:pt idx="3">
                <c:v>2.5125427639360761E-9</c:v>
              </c:pt>
              <c:pt idx="4">
                <c:v>5.3167925493199705E-9</c:v>
              </c:pt>
              <c:pt idx="5">
                <c:v>3.4817518206832397E-9</c:v>
              </c:pt>
              <c:pt idx="6">
                <c:v>0.05</c:v>
              </c:pt>
              <c:pt idx="7">
                <c:v>7.1375169908857996E-9</c:v>
              </c:pt>
              <c:pt idx="8">
                <c:v>2.5407324117580789E-9</c:v>
              </c:pt>
            </c:numLit>
          </c:val>
        </c:ser>
        <c:gapWidth val="40"/>
        <c:overlap val="100"/>
        <c:axId val="304831488"/>
        <c:axId val="304837376"/>
      </c:barChart>
      <c:catAx>
        <c:axId val="30483148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837376"/>
        <c:crosses val="autoZero"/>
        <c:auto val="1"/>
        <c:lblAlgn val="ctr"/>
        <c:lblOffset val="100"/>
        <c:tickLblSkip val="1"/>
        <c:tickMarkSkip val="1"/>
      </c:catAx>
      <c:valAx>
        <c:axId val="304837376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831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91"/>
          <c:y val="1.7006802721088437E-2"/>
          <c:w val="0.73782383419689279"/>
          <c:h val="0.8350340136054430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mixen'!$AG$68:$AG$76</c:f>
              <c:numCache>
                <c:formatCode>0.0%</c:formatCode>
                <c:ptCount val="9"/>
                <c:pt idx="0">
                  <c:v>0.4646761075357238</c:v>
                </c:pt>
                <c:pt idx="1">
                  <c:v>3.5782311955706803E-2</c:v>
                </c:pt>
                <c:pt idx="2">
                  <c:v>7.5550061813387777E-3</c:v>
                </c:pt>
                <c:pt idx="3">
                  <c:v>4.4116130168097133E-3</c:v>
                </c:pt>
                <c:pt idx="4">
                  <c:v>2.0627284650370711E-2</c:v>
                </c:pt>
                <c:pt idx="5">
                  <c:v>5.5203893014158581E-3</c:v>
                </c:pt>
                <c:pt idx="6">
                  <c:v>3.1495289828864279E-2</c:v>
                </c:pt>
                <c:pt idx="7">
                  <c:v>1.10612454504232E-2</c:v>
                </c:pt>
                <c:pt idx="8">
                  <c:v>6.0470232087579125E-4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3.4134256427897205E-2</c:v>
              </c:pt>
              <c:pt idx="1">
                <c:v>8.595097442198666E-3</c:v>
              </c:pt>
              <c:pt idx="2">
                <c:v>3.1556686676202948E-2</c:v>
              </c:pt>
              <c:pt idx="3">
                <c:v>4.0224730530723583E-2</c:v>
              </c:pt>
              <c:pt idx="4">
                <c:v>4.3149720753694075E-2</c:v>
              </c:pt>
              <c:pt idx="5">
                <c:v>2.5440459965013137E-2</c:v>
              </c:pt>
              <c:pt idx="6">
                <c:v>5.0947035929025337E-2</c:v>
              </c:pt>
              <c:pt idx="7">
                <c:v>2.7314502191118188E-2</c:v>
              </c:pt>
              <c:pt idx="8">
                <c:v>7.9542415005794571E-3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3.6089021638853788E-2</c:v>
              </c:pt>
              <c:pt idx="1">
                <c:v>5.3937182237487414E-3</c:v>
              </c:pt>
              <c:pt idx="2">
                <c:v>3.6371608720548392E-2</c:v>
              </c:pt>
              <c:pt idx="3">
                <c:v>3.5958278971862614E-2</c:v>
              </c:pt>
              <c:pt idx="4">
                <c:v>4.1580124097844166E-2</c:v>
              </c:pt>
              <c:pt idx="5">
                <c:v>1.9709094306320344E-2</c:v>
              </c:pt>
              <c:pt idx="6">
                <c:v>4.4619749308550762E-2</c:v>
              </c:pt>
              <c:pt idx="7">
                <c:v>1.56231908829009E-2</c:v>
              </c:pt>
              <c:pt idx="8">
                <c:v>5.4888082660831837E-3</c:v>
              </c:pt>
            </c:numLit>
          </c:val>
        </c:ser>
        <c:gapWidth val="40"/>
        <c:overlap val="100"/>
        <c:axId val="304686976"/>
        <c:axId val="304688512"/>
      </c:barChart>
      <c:catAx>
        <c:axId val="30468697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688512"/>
        <c:crosses val="autoZero"/>
        <c:auto val="1"/>
        <c:lblAlgn val="ctr"/>
        <c:lblOffset val="100"/>
        <c:tickLblSkip val="1"/>
        <c:tickMarkSkip val="1"/>
      </c:catAx>
      <c:valAx>
        <c:axId val="304688512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04686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8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3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4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5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6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7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13</xdr:row>
      <xdr:rowOff>133350</xdr:rowOff>
    </xdr:from>
    <xdr:to>
      <xdr:col>36</xdr:col>
      <xdr:colOff>409575</xdr:colOff>
      <xdr:row>36</xdr:row>
      <xdr:rowOff>152400</xdr:rowOff>
    </xdr:to>
    <xdr:graphicFrame macro="">
      <xdr:nvGraphicFramePr>
        <xdr:cNvPr id="206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0.67725</cdr:x>
      <cdr:y>0.0025</cdr:y>
    </cdr:from>
    <cdr:to>
      <cdr:x>0.98</cdr:x>
      <cdr:y>0.495</cdr:y>
    </cdr:to>
    <cdr:graphicFrame macro="">
      <cdr:nvGraphicFramePr>
        <cdr:cNvPr id="3072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0.31925</cdr:x>
      <cdr:y>0.25475</cdr:y>
    </cdr:from>
    <cdr:to>
      <cdr:x>0.6665</cdr:x>
      <cdr:y>0.7575</cdr:y>
    </cdr:to>
    <cdr:graphicFrame macro="">
      <cdr:nvGraphicFramePr>
        <cdr:cNvPr id="3072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0.001</cdr:x>
      <cdr:y>0.476</cdr:y>
    </cdr:from>
    <cdr:to>
      <cdr:x>0.30175</cdr:x>
      <cdr:y>0.98125</cdr:y>
    </cdr:to>
    <cdr:graphicFrame macro="">
      <cdr:nvGraphicFramePr>
        <cdr:cNvPr id="3072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0.65125</cdr:x>
      <cdr:y>0.49075</cdr:y>
    </cdr:from>
    <cdr:to>
      <cdr:x>1</cdr:x>
      <cdr:y>1</cdr:y>
    </cdr:to>
    <cdr:graphicFrame macro="">
      <cdr:nvGraphicFramePr>
        <cdr:cNvPr id="30724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0.064</cdr:x>
      <cdr:y>0.34875</cdr:y>
    </cdr:from>
    <cdr:to>
      <cdr:x>0.224</cdr:x>
      <cdr:y>0.40325</cdr:y>
    </cdr:to>
    <cdr:sp macro="" textlink="">
      <cdr:nvSpPr>
        <cdr:cNvPr id="307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8264" y="1953244"/>
          <a:ext cx="1470660" cy="3052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0.493</cdr:x>
      <cdr:y>0.38975</cdr:y>
    </cdr:from>
    <cdr:to>
      <cdr:x>0.6705</cdr:x>
      <cdr:y>0.47675</cdr:y>
    </cdr:to>
    <cdr:sp macro="" textlink="">
      <cdr:nvSpPr>
        <cdr:cNvPr id="3072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31471" y="2182873"/>
          <a:ext cx="1631514" cy="4872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Nominale Matchingportefeuille</a:t>
          </a:r>
        </a:p>
      </cdr:txBody>
    </cdr:sp>
  </cdr:relSizeAnchor>
  <cdr:relSizeAnchor xmlns:cdr="http://schemas.openxmlformats.org/drawingml/2006/chartDrawing">
    <cdr:from>
      <cdr:x>0.31925</cdr:x>
      <cdr:y>0.4175</cdr:y>
    </cdr:from>
    <cdr:to>
      <cdr:x>0.49675</cdr:x>
      <cdr:y>0.46325</cdr:y>
    </cdr:to>
    <cdr:sp macro="" textlink="">
      <cdr:nvSpPr>
        <cdr:cNvPr id="3072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34426" y="2338292"/>
          <a:ext cx="1631514" cy="2562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Returnportefeuille</a:t>
          </a:r>
        </a:p>
      </cdr:txBody>
    </cdr:sp>
  </cdr:relSizeAnchor>
  <cdr:relSizeAnchor xmlns:cdr="http://schemas.openxmlformats.org/drawingml/2006/chartDrawing">
    <cdr:from>
      <cdr:x>0.282</cdr:x>
      <cdr:y>0.5305</cdr:y>
    </cdr:from>
    <cdr:to>
      <cdr:x>0.45925</cdr:x>
      <cdr:y>0.616</cdr:y>
    </cdr:to>
    <cdr:sp macro="" textlink="">
      <cdr:nvSpPr>
        <cdr:cNvPr id="30728" name="Text Box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2038" y="2971171"/>
          <a:ext cx="1629216" cy="478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Reele Matchingportefeuille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</cdr:x>
      <cdr:y>0.74769</cdr:y>
    </cdr:from>
    <cdr:to>
      <cdr:x>0.64222</cdr:x>
      <cdr:y>0.85294</cdr:y>
    </cdr:to>
    <cdr:sp macro="" textlink="">
      <cdr:nvSpPr>
        <cdr:cNvPr id="31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080" y="2075591"/>
          <a:ext cx="910431" cy="291741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0.2213</cdr:x>
      <cdr:y>0.84059</cdr:y>
    </cdr:from>
    <cdr:to>
      <cdr:x>0.72461</cdr:x>
      <cdr:y>0.94663</cdr:y>
    </cdr:to>
    <cdr:sp macro="" textlink="">
      <cdr:nvSpPr>
        <cdr:cNvPr id="32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1421" y="2373138"/>
          <a:ext cx="1610796" cy="298975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Kansgewogen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0.21152</cdr:x>
      <cdr:y>0.10956</cdr:y>
    </cdr:from>
    <cdr:to>
      <cdr:x>0.76579</cdr:x>
      <cdr:y>0.22021</cdr:y>
    </cdr:to>
    <cdr:sp macro="" textlink="">
      <cdr:nvSpPr>
        <cdr:cNvPr id="33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9451" y="314147"/>
          <a:ext cx="1536325" cy="314097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0.34813</cdr:x>
      <cdr:y>0.01667</cdr:y>
    </cdr:from>
    <cdr:to>
      <cdr:x>0.65066</cdr:x>
      <cdr:y>0.12373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3963" y="50800"/>
          <a:ext cx="973969" cy="3059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50" b="1" i="0" u="none" strike="noStrike" baseline="0">
              <a:solidFill>
                <a:srgbClr val="FFFFFF"/>
              </a:solidFill>
              <a:latin typeface="Arial"/>
              <a:cs typeface="Arial"/>
            </a:rPr>
            <a:t>Deflatie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0.48525</cdr:x>
      <cdr:y>0</cdr:y>
    </cdr:from>
    <cdr:to>
      <cdr:x>1</cdr:x>
      <cdr:y>0.49125</cdr:y>
    </cdr:to>
    <cdr:graphicFrame macro="">
      <cdr:nvGraphicFramePr>
        <cdr:cNvPr id="3584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0.0055</cdr:x>
      <cdr:y>0.49175</cdr:y>
    </cdr:from>
    <cdr:to>
      <cdr:x>0.47875</cdr:x>
      <cdr:y>1</cdr:y>
    </cdr:to>
    <cdr:graphicFrame macro="">
      <cdr:nvGraphicFramePr>
        <cdr:cNvPr id="3584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0.4845</cdr:x>
      <cdr:y>0.46825</cdr:y>
    </cdr:from>
    <cdr:to>
      <cdr:x>1</cdr:x>
      <cdr:y>0.9995</cdr:y>
    </cdr:to>
    <cdr:graphicFrame macro="">
      <cdr:nvGraphicFramePr>
        <cdr:cNvPr id="3584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0.297</cdr:x>
      <cdr:y>0</cdr:y>
    </cdr:from>
    <cdr:to>
      <cdr:x>0.455</cdr:x>
      <cdr:y>0.0515</cdr:y>
    </cdr:to>
    <cdr:sp macro="" textlink="">
      <cdr:nvSpPr>
        <cdr:cNvPr id="35844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29913" y="0"/>
          <a:ext cx="1452276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0.8725</cdr:x>
      <cdr:y>0</cdr:y>
    </cdr:from>
    <cdr:to>
      <cdr:x>0.97575</cdr:x>
      <cdr:y>0.0515</cdr:y>
    </cdr:to>
    <cdr:sp macro="" textlink="">
      <cdr:nvSpPr>
        <cdr:cNvPr id="3584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19693" y="0"/>
          <a:ext cx="949035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  <cdr:relSizeAnchor xmlns:cdr="http://schemas.openxmlformats.org/drawingml/2006/chartDrawing">
    <cdr:from>
      <cdr:x>0.2775</cdr:x>
      <cdr:y>0.50475</cdr:y>
    </cdr:from>
    <cdr:to>
      <cdr:x>0.46</cdr:x>
      <cdr:y>0.5585</cdr:y>
    </cdr:to>
    <cdr:sp macro="" textlink="">
      <cdr:nvSpPr>
        <cdr:cNvPr id="3584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50676" y="2826953"/>
          <a:ext cx="1677472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  <cdr:relSizeAnchor xmlns:cdr="http://schemas.openxmlformats.org/drawingml/2006/chartDrawing">
    <cdr:from>
      <cdr:x>0.80675</cdr:x>
      <cdr:y>0.50475</cdr:y>
    </cdr:from>
    <cdr:to>
      <cdr:x>0.98075</cdr:x>
      <cdr:y>0.5585</cdr:y>
    </cdr:to>
    <cdr:sp macro="" textlink="">
      <cdr:nvSpPr>
        <cdr:cNvPr id="3584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415343" y="2826953"/>
          <a:ext cx="1599343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 gewogen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0\VBfm\06%20Beleid\BP%202010\BP2010\BP2010\BP_interface_v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"/>
      <sheetName val="Historische reeksen"/>
      <sheetName val="Visie 1"/>
      <sheetName val="Visie 1 (2)"/>
      <sheetName val="Vertaling visies"/>
      <sheetName val="IR Mixen"/>
      <sheetName val="Visie 1 Mixen"/>
      <sheetName val="IR Mixen TEMP"/>
      <sheetName val="Visie 1 TEMP"/>
      <sheetName val="IR Mixen - Grafiek Totaal"/>
      <sheetName val="IR Mixen - Grafiek"/>
      <sheetName val="Visie 1 Mixen - Grafiek"/>
      <sheetName val="IR Mixen - Grafiek Return"/>
      <sheetName val="Visie 1 Mixen - Grafiek Return"/>
    </sheetNames>
    <sheetDataSet>
      <sheetData sheetId="0" refreshError="1"/>
      <sheetData sheetId="1">
        <row r="3">
          <cell r="A3">
            <v>1970</v>
          </cell>
        </row>
        <row r="4">
          <cell r="A4">
            <v>1971</v>
          </cell>
        </row>
        <row r="5">
          <cell r="A5">
            <v>1972</v>
          </cell>
        </row>
        <row r="6">
          <cell r="A6">
            <v>1973</v>
          </cell>
        </row>
        <row r="7">
          <cell r="A7">
            <v>1974</v>
          </cell>
        </row>
        <row r="8">
          <cell r="A8">
            <v>1975</v>
          </cell>
        </row>
        <row r="9">
          <cell r="A9">
            <v>1976</v>
          </cell>
        </row>
        <row r="10">
          <cell r="A10">
            <v>1977</v>
          </cell>
        </row>
        <row r="11">
          <cell r="A11">
            <v>1978</v>
          </cell>
        </row>
        <row r="12">
          <cell r="A12">
            <v>1979</v>
          </cell>
        </row>
        <row r="13">
          <cell r="A13">
            <v>1980</v>
          </cell>
        </row>
        <row r="14">
          <cell r="A14">
            <v>1981</v>
          </cell>
        </row>
        <row r="15">
          <cell r="A15">
            <v>1982</v>
          </cell>
        </row>
        <row r="16">
          <cell r="A16">
            <v>1983</v>
          </cell>
        </row>
        <row r="17">
          <cell r="A17">
            <v>1984</v>
          </cell>
        </row>
        <row r="18">
          <cell r="A18">
            <v>1985</v>
          </cell>
        </row>
        <row r="19">
          <cell r="A19">
            <v>1986</v>
          </cell>
        </row>
        <row r="20">
          <cell r="A20">
            <v>1987</v>
          </cell>
        </row>
        <row r="21">
          <cell r="A21">
            <v>1988</v>
          </cell>
        </row>
        <row r="22">
          <cell r="A22">
            <v>1989</v>
          </cell>
        </row>
        <row r="23">
          <cell r="A23">
            <v>1990</v>
          </cell>
        </row>
        <row r="24">
          <cell r="A24">
            <v>1991</v>
          </cell>
        </row>
        <row r="25">
          <cell r="A25">
            <v>1992</v>
          </cell>
        </row>
        <row r="26">
          <cell r="A26">
            <v>1993</v>
          </cell>
        </row>
        <row r="27">
          <cell r="A27">
            <v>1994</v>
          </cell>
        </row>
        <row r="28">
          <cell r="A28">
            <v>1995</v>
          </cell>
        </row>
        <row r="29">
          <cell r="A29">
            <v>1996</v>
          </cell>
        </row>
        <row r="30">
          <cell r="A30">
            <v>1997</v>
          </cell>
        </row>
        <row r="31">
          <cell r="A31">
            <v>1998</v>
          </cell>
        </row>
        <row r="32">
          <cell r="A32">
            <v>1999</v>
          </cell>
        </row>
        <row r="33">
          <cell r="A33">
            <v>2000</v>
          </cell>
        </row>
        <row r="34">
          <cell r="A34">
            <v>2001</v>
          </cell>
        </row>
        <row r="35">
          <cell r="A35">
            <v>2002</v>
          </cell>
        </row>
        <row r="36">
          <cell r="A36">
            <v>2003</v>
          </cell>
        </row>
        <row r="37">
          <cell r="A37">
            <v>2004</v>
          </cell>
        </row>
        <row r="38">
          <cell r="A38">
            <v>2005</v>
          </cell>
        </row>
        <row r="39">
          <cell r="A39">
            <v>2006</v>
          </cell>
        </row>
        <row r="40">
          <cell r="A40">
            <v>2007</v>
          </cell>
        </row>
        <row r="41">
          <cell r="A41">
            <v>2008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15"/>
  </sheetPr>
  <dimension ref="A1:K157"/>
  <sheetViews>
    <sheetView zoomScale="75" workbookViewId="0">
      <selection activeCell="S18" sqref="S18"/>
    </sheetView>
  </sheetViews>
  <sheetFormatPr defaultRowHeight="12.75"/>
  <cols>
    <col min="1" max="1" width="36.85546875" customWidth="1"/>
    <col min="2" max="4" width="24.7109375" customWidth="1"/>
    <col min="5" max="5" width="26.42578125" customWidth="1"/>
    <col min="6" max="7" width="24.7109375" customWidth="1"/>
    <col min="8" max="8" width="19.140625" customWidth="1"/>
    <col min="9" max="9" width="14.28515625" customWidth="1"/>
    <col min="10" max="10" width="20.5703125" bestFit="1" customWidth="1"/>
    <col min="21" max="21" width="30.28515625" customWidth="1"/>
    <col min="24" max="24" width="18.140625" customWidth="1"/>
  </cols>
  <sheetData>
    <row r="1" spans="1:11">
      <c r="A1" s="2" t="s">
        <v>9</v>
      </c>
      <c r="E1" s="3"/>
    </row>
    <row r="2" spans="1:11">
      <c r="C2" s="3" t="s">
        <v>19</v>
      </c>
      <c r="E2" s="3" t="s">
        <v>72</v>
      </c>
      <c r="F2" s="1" t="s">
        <v>61</v>
      </c>
    </row>
    <row r="3" spans="1:11">
      <c r="A3" s="2" t="s">
        <v>10</v>
      </c>
      <c r="C3" s="3" t="s">
        <v>20</v>
      </c>
    </row>
    <row r="4" spans="1:11">
      <c r="A4" t="s">
        <v>11</v>
      </c>
      <c r="B4" s="214">
        <v>1971</v>
      </c>
      <c r="C4" s="19">
        <v>1971</v>
      </c>
      <c r="E4" s="2" t="s">
        <v>138</v>
      </c>
      <c r="F4" s="1" t="s">
        <v>75</v>
      </c>
    </row>
    <row r="5" spans="1:11">
      <c r="A5" t="s">
        <v>12</v>
      </c>
      <c r="B5" s="214">
        <v>2009</v>
      </c>
      <c r="C5" s="19">
        <v>2009</v>
      </c>
      <c r="E5" s="2"/>
    </row>
    <row r="6" spans="1:11">
      <c r="F6" s="3"/>
      <c r="G6" s="3"/>
      <c r="K6" s="301"/>
    </row>
    <row r="7" spans="1:11">
      <c r="A7" s="2" t="s">
        <v>13</v>
      </c>
      <c r="F7" s="1"/>
      <c r="G7" s="1"/>
    </row>
    <row r="8" spans="1:11">
      <c r="A8" t="s">
        <v>14</v>
      </c>
      <c r="B8" s="214" t="s">
        <v>77</v>
      </c>
      <c r="C8" s="19" t="s">
        <v>77</v>
      </c>
      <c r="F8" s="1"/>
      <c r="G8" s="1"/>
    </row>
    <row r="9" spans="1:11">
      <c r="A9" t="s">
        <v>17</v>
      </c>
      <c r="B9" s="215">
        <v>0.03</v>
      </c>
      <c r="C9" s="20">
        <v>0.03</v>
      </c>
      <c r="F9" s="1"/>
      <c r="G9" s="1"/>
    </row>
    <row r="10" spans="1:11">
      <c r="A10" t="s">
        <v>16</v>
      </c>
      <c r="B10" s="214">
        <v>6</v>
      </c>
      <c r="C10" s="19">
        <v>6</v>
      </c>
      <c r="F10" s="1"/>
      <c r="G10" s="1"/>
    </row>
    <row r="11" spans="1:11">
      <c r="A11" t="s">
        <v>35</v>
      </c>
      <c r="B11" s="214" t="s">
        <v>78</v>
      </c>
      <c r="C11" s="19" t="s">
        <v>78</v>
      </c>
      <c r="F11" s="1"/>
      <c r="G11" s="1"/>
    </row>
    <row r="12" spans="1:11">
      <c r="B12" t="s">
        <v>18</v>
      </c>
      <c r="C12" s="1"/>
    </row>
    <row r="13" spans="1:11">
      <c r="A13" s="2" t="s">
        <v>80</v>
      </c>
      <c r="E13" s="2"/>
    </row>
    <row r="14" spans="1:11">
      <c r="A14" s="66" t="s">
        <v>2</v>
      </c>
      <c r="D14" s="66" t="s">
        <v>3</v>
      </c>
    </row>
    <row r="15" spans="1:11">
      <c r="A15" s="64" t="s">
        <v>14</v>
      </c>
      <c r="B15" s="287" t="s">
        <v>77</v>
      </c>
      <c r="D15" s="64" t="s">
        <v>14</v>
      </c>
      <c r="E15" s="287" t="s">
        <v>78</v>
      </c>
      <c r="H15" s="27"/>
      <c r="I15" s="38"/>
      <c r="J15" s="21"/>
    </row>
    <row r="16" spans="1:11">
      <c r="A16" s="67" t="s">
        <v>81</v>
      </c>
      <c r="B16" s="272">
        <v>0</v>
      </c>
      <c r="D16" s="67" t="s">
        <v>81</v>
      </c>
      <c r="E16" s="272">
        <v>0</v>
      </c>
      <c r="H16" s="27"/>
      <c r="I16" s="38"/>
      <c r="J16" s="21"/>
    </row>
    <row r="17" spans="1:10">
      <c r="A17" s="68" t="s">
        <v>30</v>
      </c>
      <c r="B17" s="272">
        <v>0.03</v>
      </c>
      <c r="D17" s="68" t="s">
        <v>30</v>
      </c>
      <c r="E17" s="272">
        <v>0.03</v>
      </c>
      <c r="H17" s="27"/>
      <c r="I17" s="38"/>
      <c r="J17" s="21"/>
    </row>
    <row r="18" spans="1:10">
      <c r="A18" s="65" t="s">
        <v>7</v>
      </c>
      <c r="B18" s="284">
        <v>0</v>
      </c>
      <c r="C18" s="230" t="s">
        <v>15</v>
      </c>
      <c r="D18" s="288" t="s">
        <v>7</v>
      </c>
      <c r="E18" s="284">
        <v>0</v>
      </c>
      <c r="F18" s="230" t="s">
        <v>15</v>
      </c>
      <c r="H18" s="27"/>
      <c r="I18" s="38"/>
      <c r="J18" s="21"/>
    </row>
    <row r="19" spans="1:10">
      <c r="A19" s="57"/>
      <c r="B19" s="283">
        <v>0</v>
      </c>
      <c r="C19" s="229" t="s">
        <v>15</v>
      </c>
      <c r="D19" s="289"/>
      <c r="E19" s="283">
        <v>0</v>
      </c>
      <c r="F19" s="229" t="s">
        <v>15</v>
      </c>
    </row>
    <row r="21" spans="1:10">
      <c r="A21" s="18" t="s">
        <v>108</v>
      </c>
      <c r="B21" s="302" t="s">
        <v>109</v>
      </c>
      <c r="C21" s="302"/>
      <c r="D21" s="302"/>
      <c r="E21" s="302"/>
      <c r="F21" s="302"/>
    </row>
    <row r="22" spans="1:10">
      <c r="A22" s="58" t="s">
        <v>107</v>
      </c>
      <c r="B22" s="17" t="s">
        <v>92</v>
      </c>
      <c r="C22" s="71" t="str">
        <f>'Economische visies'!B2</f>
        <v>Groei recessie</v>
      </c>
      <c r="D22" s="72" t="str">
        <f>'Economische visies'!C2</f>
        <v>Inflatie is fiscaal</v>
      </c>
      <c r="E22" s="71" t="str">
        <f>'Economische visies'!D2</f>
        <v xml:space="preserve">Vermogenseffect </v>
      </c>
      <c r="F22" s="73" t="str">
        <f>'Economische visies'!E2</f>
        <v>Schuld deflatie</v>
      </c>
    </row>
    <row r="23" spans="1:10">
      <c r="A23" s="33" t="s">
        <v>36</v>
      </c>
      <c r="B23" s="272">
        <v>1</v>
      </c>
      <c r="C23" s="273">
        <v>0</v>
      </c>
      <c r="D23" s="274">
        <v>0</v>
      </c>
      <c r="E23" s="273">
        <v>0</v>
      </c>
      <c r="F23" s="275">
        <v>0</v>
      </c>
      <c r="I23" s="79"/>
    </row>
    <row r="24" spans="1:10">
      <c r="A24" s="33" t="s">
        <v>21</v>
      </c>
      <c r="B24" s="272">
        <v>0</v>
      </c>
      <c r="C24" s="276">
        <v>1</v>
      </c>
      <c r="D24" s="277">
        <v>0</v>
      </c>
      <c r="E24" s="276">
        <v>0</v>
      </c>
      <c r="F24" s="278">
        <v>0</v>
      </c>
      <c r="I24" s="78"/>
    </row>
    <row r="25" spans="1:10">
      <c r="A25" s="33" t="s">
        <v>102</v>
      </c>
      <c r="B25" s="272">
        <v>0</v>
      </c>
      <c r="C25" s="276">
        <v>0</v>
      </c>
      <c r="D25" s="277">
        <v>1</v>
      </c>
      <c r="E25" s="276">
        <v>0</v>
      </c>
      <c r="F25" s="278">
        <v>0</v>
      </c>
      <c r="I25" s="75"/>
    </row>
    <row r="26" spans="1:10">
      <c r="A26" s="33" t="s">
        <v>104</v>
      </c>
      <c r="B26" s="272">
        <v>0</v>
      </c>
      <c r="C26" s="276">
        <v>0</v>
      </c>
      <c r="D26" s="277">
        <v>0</v>
      </c>
      <c r="E26" s="276">
        <v>1</v>
      </c>
      <c r="F26" s="278">
        <v>0</v>
      </c>
      <c r="I26" s="75"/>
    </row>
    <row r="27" spans="1:10">
      <c r="A27" s="33" t="s">
        <v>37</v>
      </c>
      <c r="B27" s="272">
        <v>0</v>
      </c>
      <c r="C27" s="276">
        <v>0</v>
      </c>
      <c r="D27" s="277">
        <v>0</v>
      </c>
      <c r="E27" s="276">
        <v>0</v>
      </c>
      <c r="F27" s="278">
        <v>1</v>
      </c>
      <c r="I27" s="75"/>
    </row>
    <row r="28" spans="1:10">
      <c r="A28" s="15" t="s">
        <v>38</v>
      </c>
      <c r="B28" s="279">
        <v>0</v>
      </c>
      <c r="C28" s="279">
        <v>0.6</v>
      </c>
      <c r="D28" s="280">
        <v>0.1</v>
      </c>
      <c r="E28" s="279">
        <v>0.15</v>
      </c>
      <c r="F28" s="281">
        <v>0.15</v>
      </c>
      <c r="I28" s="75"/>
    </row>
    <row r="29" spans="1:10">
      <c r="I29" s="75"/>
    </row>
    <row r="30" spans="1:10">
      <c r="A30" s="2" t="s">
        <v>27</v>
      </c>
      <c r="I30" s="75"/>
    </row>
    <row r="31" spans="1:10">
      <c r="A31" s="24" t="s">
        <v>32</v>
      </c>
      <c r="B31" s="214">
        <v>2500</v>
      </c>
    </row>
    <row r="32" spans="1:10">
      <c r="A32" s="24" t="s">
        <v>34</v>
      </c>
      <c r="B32" s="290">
        <v>100</v>
      </c>
    </row>
    <row r="33" spans="1:7">
      <c r="A33" s="24" t="s">
        <v>31</v>
      </c>
      <c r="B33" s="290" t="s">
        <v>29</v>
      </c>
    </row>
    <row r="34" spans="1:7">
      <c r="A34" s="24" t="s">
        <v>110</v>
      </c>
    </row>
    <row r="35" spans="1:7">
      <c r="A35" s="74" t="s">
        <v>126</v>
      </c>
      <c r="B35" s="291">
        <v>0.01</v>
      </c>
    </row>
    <row r="36" spans="1:7">
      <c r="A36" s="74" t="s">
        <v>111</v>
      </c>
      <c r="B36" s="214">
        <v>0</v>
      </c>
    </row>
    <row r="37" spans="1:7">
      <c r="A37" s="24"/>
      <c r="B37" s="302" t="s">
        <v>115</v>
      </c>
      <c r="C37" s="302"/>
      <c r="D37" s="302"/>
      <c r="E37" s="302"/>
      <c r="F37" s="302"/>
    </row>
    <row r="38" spans="1:7">
      <c r="A38" s="32"/>
      <c r="B38" s="10" t="s">
        <v>26</v>
      </c>
      <c r="C38" s="10" t="s">
        <v>40</v>
      </c>
      <c r="D38" s="4" t="s">
        <v>57</v>
      </c>
      <c r="E38" s="49" t="s">
        <v>93</v>
      </c>
      <c r="F38" s="49" t="s">
        <v>74</v>
      </c>
    </row>
    <row r="39" spans="1:7">
      <c r="A39" s="9" t="s">
        <v>98</v>
      </c>
      <c r="B39" s="34" t="s">
        <v>77</v>
      </c>
      <c r="C39" s="34" t="s">
        <v>77</v>
      </c>
      <c r="D39" s="35" t="s">
        <v>78</v>
      </c>
      <c r="E39" s="15"/>
      <c r="F39" s="15"/>
    </row>
    <row r="40" spans="1:7">
      <c r="A40" s="59" t="str">
        <f t="shared" ref="A40:A45" si="0">A23</f>
        <v>Basis</v>
      </c>
      <c r="B40" s="292">
        <v>0.01</v>
      </c>
      <c r="C40" s="292">
        <v>0.06</v>
      </c>
      <c r="D40" s="293">
        <v>1</v>
      </c>
      <c r="E40" s="284" t="s">
        <v>15</v>
      </c>
      <c r="F40" s="282" t="s">
        <v>75</v>
      </c>
    </row>
    <row r="41" spans="1:7">
      <c r="A41" s="59" t="str">
        <f t="shared" si="0"/>
        <v>Groei recessie</v>
      </c>
      <c r="B41" s="294">
        <v>0.01</v>
      </c>
      <c r="C41" s="295">
        <v>0.06</v>
      </c>
      <c r="D41" s="293">
        <v>1</v>
      </c>
      <c r="E41" s="282" t="s">
        <v>15</v>
      </c>
      <c r="F41" s="282" t="s">
        <v>75</v>
      </c>
    </row>
    <row r="42" spans="1:7">
      <c r="A42" s="59" t="str">
        <f t="shared" si="0"/>
        <v>Inflatie is een fiscaal verschijnsel</v>
      </c>
      <c r="B42" s="295">
        <v>0.06</v>
      </c>
      <c r="C42" s="295">
        <v>0.06</v>
      </c>
      <c r="D42" s="293">
        <v>0.08</v>
      </c>
      <c r="E42" s="282" t="s">
        <v>15</v>
      </c>
      <c r="F42" s="282" t="s">
        <v>75</v>
      </c>
    </row>
    <row r="43" spans="1:7">
      <c r="A43" s="59" t="str">
        <f t="shared" si="0"/>
        <v>Vermogenseffect &amp; innovatie</v>
      </c>
      <c r="B43" s="295">
        <v>0.09</v>
      </c>
      <c r="C43" s="295">
        <v>0.06</v>
      </c>
      <c r="D43" s="293">
        <v>1</v>
      </c>
      <c r="E43" s="282" t="s">
        <v>15</v>
      </c>
      <c r="F43" s="282" t="s">
        <v>75</v>
      </c>
    </row>
    <row r="44" spans="1:7">
      <c r="A44" s="59" t="str">
        <f t="shared" si="0"/>
        <v>Schuld deflatie</v>
      </c>
      <c r="B44" s="295">
        <v>0</v>
      </c>
      <c r="C44" s="295">
        <v>0.06</v>
      </c>
      <c r="D44" s="293">
        <v>1</v>
      </c>
      <c r="E44" s="282" t="s">
        <v>15</v>
      </c>
      <c r="F44" s="282" t="s">
        <v>75</v>
      </c>
    </row>
    <row r="45" spans="1:7">
      <c r="A45" s="60" t="str">
        <f t="shared" si="0"/>
        <v>Kansgewogen</v>
      </c>
      <c r="B45" s="296">
        <v>0.01</v>
      </c>
      <c r="C45" s="296">
        <v>0.08</v>
      </c>
      <c r="D45" s="297">
        <v>1</v>
      </c>
      <c r="E45" s="283" t="s">
        <v>15</v>
      </c>
      <c r="F45" s="283" t="s">
        <v>75</v>
      </c>
    </row>
    <row r="46" spans="1:7">
      <c r="A46" s="75"/>
      <c r="B46" s="75"/>
      <c r="C46" s="76"/>
      <c r="D46" s="76"/>
      <c r="E46" s="76"/>
      <c r="F46" s="77"/>
      <c r="G46" s="77"/>
    </row>
    <row r="47" spans="1:7">
      <c r="A47" s="2" t="s">
        <v>113</v>
      </c>
      <c r="C47" s="26"/>
      <c r="D47" s="26"/>
    </row>
    <row r="48" spans="1:7">
      <c r="C48" s="303" t="s">
        <v>43</v>
      </c>
      <c r="D48" s="304"/>
      <c r="E48" s="303" t="s">
        <v>44</v>
      </c>
      <c r="F48" s="304"/>
    </row>
    <row r="49" spans="1:9">
      <c r="A49" s="7" t="s">
        <v>39</v>
      </c>
      <c r="B49" s="17" t="s">
        <v>45</v>
      </c>
      <c r="C49" s="50" t="s">
        <v>41</v>
      </c>
      <c r="D49" s="17" t="s">
        <v>42</v>
      </c>
      <c r="E49" s="17" t="s">
        <v>41</v>
      </c>
      <c r="F49" s="8" t="s">
        <v>42</v>
      </c>
      <c r="H49" s="17" t="s">
        <v>86</v>
      </c>
      <c r="I49" s="17" t="s">
        <v>87</v>
      </c>
    </row>
    <row r="50" spans="1:9">
      <c r="A50" s="14" t="s">
        <v>2</v>
      </c>
      <c r="B50" s="285" t="s">
        <v>46</v>
      </c>
      <c r="C50" s="298">
        <v>0</v>
      </c>
      <c r="D50" s="272">
        <v>1</v>
      </c>
      <c r="E50" s="272">
        <v>0</v>
      </c>
      <c r="F50" s="299">
        <v>1</v>
      </c>
      <c r="H50" s="29">
        <v>1</v>
      </c>
      <c r="I50" s="29">
        <v>0.99</v>
      </c>
    </row>
    <row r="51" spans="1:9">
      <c r="A51" s="14" t="s">
        <v>3</v>
      </c>
      <c r="B51" s="285" t="s">
        <v>46</v>
      </c>
      <c r="C51" s="298">
        <v>0</v>
      </c>
      <c r="D51" s="272">
        <v>1</v>
      </c>
      <c r="E51" s="272">
        <v>0</v>
      </c>
      <c r="F51" s="272">
        <v>1</v>
      </c>
      <c r="H51" s="29">
        <v>0</v>
      </c>
      <c r="I51" s="29">
        <v>0.99</v>
      </c>
    </row>
    <row r="52" spans="1:9">
      <c r="A52" s="56" t="str">
        <f>A101</f>
        <v>Credits</v>
      </c>
      <c r="B52" s="285" t="s">
        <v>47</v>
      </c>
      <c r="C52" s="215">
        <v>0</v>
      </c>
      <c r="D52" s="272">
        <v>0</v>
      </c>
      <c r="E52" s="272">
        <v>0</v>
      </c>
      <c r="F52" s="272">
        <v>0.5</v>
      </c>
      <c r="H52" s="29">
        <v>0</v>
      </c>
      <c r="I52" s="29">
        <v>0.99</v>
      </c>
    </row>
    <row r="53" spans="1:9">
      <c r="A53" s="56" t="str">
        <f t="shared" ref="A53:A59" si="1">A102</f>
        <v>High Yield</v>
      </c>
      <c r="B53" s="285" t="s">
        <v>47</v>
      </c>
      <c r="C53" s="298">
        <v>0</v>
      </c>
      <c r="D53" s="272">
        <v>1</v>
      </c>
      <c r="E53" s="272">
        <v>0</v>
      </c>
      <c r="F53" s="272">
        <v>0.5</v>
      </c>
      <c r="H53" s="29">
        <v>0</v>
      </c>
      <c r="I53" s="29">
        <v>0.99</v>
      </c>
    </row>
    <row r="54" spans="1:9">
      <c r="A54" s="56" t="str">
        <f t="shared" si="1"/>
        <v>Emerging market debt</v>
      </c>
      <c r="B54" s="285" t="s">
        <v>47</v>
      </c>
      <c r="C54" s="298">
        <v>0</v>
      </c>
      <c r="D54" s="272">
        <v>1</v>
      </c>
      <c r="E54" s="272">
        <v>0</v>
      </c>
      <c r="F54" s="272">
        <v>0.5</v>
      </c>
      <c r="H54" s="29">
        <v>0</v>
      </c>
      <c r="I54" s="29">
        <v>0.99</v>
      </c>
    </row>
    <row r="55" spans="1:9">
      <c r="A55" s="56" t="str">
        <f t="shared" si="1"/>
        <v>Aandelen ontwikkeld</v>
      </c>
      <c r="B55" s="285" t="s">
        <v>47</v>
      </c>
      <c r="C55" s="298">
        <v>0</v>
      </c>
      <c r="D55" s="272">
        <v>1</v>
      </c>
      <c r="E55" s="272">
        <v>0</v>
      </c>
      <c r="F55" s="272">
        <v>0.5</v>
      </c>
      <c r="H55" s="29">
        <v>0</v>
      </c>
      <c r="I55" s="29">
        <v>0.99</v>
      </c>
    </row>
    <row r="56" spans="1:9">
      <c r="A56" s="56" t="str">
        <f t="shared" si="1"/>
        <v>Aandelen opkomend</v>
      </c>
      <c r="B56" s="285" t="s">
        <v>47</v>
      </c>
      <c r="C56" s="298">
        <v>0</v>
      </c>
      <c r="D56" s="272">
        <v>1</v>
      </c>
      <c r="E56" s="272">
        <v>0</v>
      </c>
      <c r="F56" s="272">
        <v>0.5</v>
      </c>
      <c r="H56" s="29">
        <v>0</v>
      </c>
      <c r="I56" s="29">
        <v>0.99</v>
      </c>
    </row>
    <row r="57" spans="1:9">
      <c r="A57" s="56" t="str">
        <f t="shared" si="1"/>
        <v>Hedge funds</v>
      </c>
      <c r="B57" s="285" t="s">
        <v>47</v>
      </c>
      <c r="C57" s="298">
        <v>0</v>
      </c>
      <c r="D57" s="272">
        <v>1</v>
      </c>
      <c r="E57" s="272">
        <v>0</v>
      </c>
      <c r="F57" s="272">
        <v>0.5</v>
      </c>
      <c r="H57" s="29">
        <v>0</v>
      </c>
      <c r="I57" s="29">
        <v>0.99</v>
      </c>
    </row>
    <row r="58" spans="1:9">
      <c r="A58" s="56" t="str">
        <f t="shared" si="1"/>
        <v>Onroerend goed</v>
      </c>
      <c r="B58" s="285" t="s">
        <v>47</v>
      </c>
      <c r="C58" s="298">
        <v>0</v>
      </c>
      <c r="D58" s="272">
        <v>1</v>
      </c>
      <c r="E58" s="272">
        <v>0</v>
      </c>
      <c r="F58" s="272">
        <v>0.5</v>
      </c>
      <c r="H58" s="29">
        <v>0</v>
      </c>
      <c r="I58" s="29">
        <v>0.99</v>
      </c>
    </row>
    <row r="59" spans="1:9">
      <c r="A59" s="36" t="str">
        <f t="shared" si="1"/>
        <v>Commodities</v>
      </c>
      <c r="B59" s="286" t="s">
        <v>47</v>
      </c>
      <c r="C59" s="300">
        <v>0</v>
      </c>
      <c r="D59" s="279">
        <v>1</v>
      </c>
      <c r="E59" s="279">
        <v>0</v>
      </c>
      <c r="F59" s="279">
        <v>0.5</v>
      </c>
      <c r="H59" s="30">
        <v>0</v>
      </c>
      <c r="I59" s="30">
        <v>0.99</v>
      </c>
    </row>
    <row r="60" spans="1:9">
      <c r="H60" s="17" t="s">
        <v>88</v>
      </c>
      <c r="I60" s="55">
        <v>0.99</v>
      </c>
    </row>
    <row r="61" spans="1:9">
      <c r="A61" s="189" t="s">
        <v>173</v>
      </c>
      <c r="B61" s="190">
        <v>1</v>
      </c>
    </row>
    <row r="70" spans="7:7">
      <c r="G70" s="78"/>
    </row>
    <row r="71" spans="7:7">
      <c r="G71" s="22"/>
    </row>
    <row r="72" spans="7:7">
      <c r="G72" s="22"/>
    </row>
    <row r="73" spans="7:7">
      <c r="G73" s="22"/>
    </row>
    <row r="74" spans="7:7">
      <c r="G74" s="22"/>
    </row>
    <row r="75" spans="7:7">
      <c r="G75" s="22"/>
    </row>
    <row r="76" spans="7:7">
      <c r="G76" s="22"/>
    </row>
    <row r="77" spans="7:7">
      <c r="G77" s="22"/>
    </row>
    <row r="78" spans="7:7">
      <c r="G78" s="22"/>
    </row>
    <row r="79" spans="7:7">
      <c r="G79" s="22"/>
    </row>
    <row r="80" spans="7:7">
      <c r="G80" s="22"/>
    </row>
    <row r="97" spans="1:5">
      <c r="A97" t="s">
        <v>97</v>
      </c>
    </row>
    <row r="98" spans="1:5">
      <c r="A98" t="s">
        <v>15</v>
      </c>
      <c r="B98">
        <v>0</v>
      </c>
      <c r="D98" t="s">
        <v>48</v>
      </c>
    </row>
    <row r="99" spans="1:5">
      <c r="A99" t="str">
        <f t="array" ref="A99:A109">TRANSPOSE('Historie rendementen'!B1:K1)</f>
        <v>Nominale VPV</v>
      </c>
      <c r="B99">
        <v>1</v>
      </c>
    </row>
    <row r="100" spans="1:5">
      <c r="A100" t="str">
        <v>Reele VPV</v>
      </c>
      <c r="B100">
        <v>2</v>
      </c>
      <c r="D100" t="s">
        <v>49</v>
      </c>
      <c r="E100">
        <f>VLOOKUP(B8,$A$98:$B$107,2,0)</f>
        <v>1</v>
      </c>
    </row>
    <row r="101" spans="1:5">
      <c r="A101" t="str">
        <v>Credits</v>
      </c>
      <c r="B101">
        <v>3</v>
      </c>
      <c r="D101" t="s">
        <v>50</v>
      </c>
      <c r="E101">
        <f>VLOOKUP(B11,$A$98:$B$107,2,0)</f>
        <v>2</v>
      </c>
    </row>
    <row r="102" spans="1:5">
      <c r="A102" t="str">
        <v>High Yield</v>
      </c>
      <c r="B102">
        <v>4</v>
      </c>
    </row>
    <row r="103" spans="1:5">
      <c r="A103" t="str">
        <v>Emerging market debt</v>
      </c>
      <c r="B103">
        <v>5</v>
      </c>
      <c r="D103" t="s">
        <v>51</v>
      </c>
      <c r="E103">
        <f>VLOOKUP(B33,$A$121:$B$124,2,0)</f>
        <v>1</v>
      </c>
    </row>
    <row r="104" spans="1:5">
      <c r="A104" t="str">
        <v>Aandelen ontwikkeld</v>
      </c>
      <c r="B104">
        <v>6</v>
      </c>
    </row>
    <row r="105" spans="1:5">
      <c r="A105" t="str">
        <v>Aandelen opkomend</v>
      </c>
      <c r="B105">
        <v>7</v>
      </c>
      <c r="D105" s="2" t="s">
        <v>54</v>
      </c>
    </row>
    <row r="106" spans="1:5">
      <c r="A106" t="str">
        <v>Hedge funds</v>
      </c>
      <c r="B106">
        <v>8</v>
      </c>
      <c r="D106" t="s">
        <v>29</v>
      </c>
      <c r="E106">
        <f>VLOOKUP(B39,$A$98:$B$107,2,0)</f>
        <v>1</v>
      </c>
    </row>
    <row r="107" spans="1:5">
      <c r="A107" t="str">
        <v>Onroerend goed</v>
      </c>
      <c r="B107">
        <v>9</v>
      </c>
      <c r="D107" t="s">
        <v>52</v>
      </c>
      <c r="E107">
        <f>VLOOKUP(C39,$A$98:$B$107,2,0)</f>
        <v>1</v>
      </c>
    </row>
    <row r="108" spans="1:5">
      <c r="A108" t="str">
        <v>Commodities</v>
      </c>
      <c r="B108">
        <v>10</v>
      </c>
      <c r="D108" t="s">
        <v>53</v>
      </c>
      <c r="E108">
        <f>VLOOKUP(D39,$A$98:$B$107,2,0)</f>
        <v>2</v>
      </c>
    </row>
    <row r="109" spans="1:5">
      <c r="A109" t="e">
        <v>#N/A</v>
      </c>
    </row>
    <row r="110" spans="1:5">
      <c r="D110" s="2" t="s">
        <v>55</v>
      </c>
    </row>
    <row r="111" spans="1:5">
      <c r="D111" s="22" t="str">
        <f>A50</f>
        <v>Nominale matching</v>
      </c>
      <c r="E111">
        <f>VLOOKUP(B50,$A$128:$B$129,2,0)</f>
        <v>1</v>
      </c>
    </row>
    <row r="112" spans="1:5">
      <c r="D112" s="22" t="str">
        <f t="shared" ref="D112:D120" si="2">A51</f>
        <v>Reele matching</v>
      </c>
      <c r="E112">
        <f t="shared" ref="E112:E120" si="3">VLOOKUP(B51,$A$128:$B$129,2,0)</f>
        <v>1</v>
      </c>
    </row>
    <row r="113" spans="1:5">
      <c r="D113" s="22" t="str">
        <f t="shared" si="2"/>
        <v>Credits</v>
      </c>
      <c r="E113">
        <f t="shared" si="3"/>
        <v>2</v>
      </c>
    </row>
    <row r="114" spans="1:5">
      <c r="D114" s="22" t="str">
        <f t="shared" si="2"/>
        <v>High Yield</v>
      </c>
      <c r="E114">
        <f t="shared" si="3"/>
        <v>2</v>
      </c>
    </row>
    <row r="115" spans="1:5">
      <c r="D115" s="22" t="str">
        <f t="shared" si="2"/>
        <v>Emerging market debt</v>
      </c>
      <c r="E115">
        <f t="shared" si="3"/>
        <v>2</v>
      </c>
    </row>
    <row r="116" spans="1:5">
      <c r="D116" s="22" t="str">
        <f t="shared" si="2"/>
        <v>Aandelen ontwikkeld</v>
      </c>
      <c r="E116">
        <f t="shared" si="3"/>
        <v>2</v>
      </c>
    </row>
    <row r="117" spans="1:5">
      <c r="D117" s="22" t="str">
        <f t="shared" si="2"/>
        <v>Aandelen opkomend</v>
      </c>
      <c r="E117">
        <f t="shared" si="3"/>
        <v>2</v>
      </c>
    </row>
    <row r="118" spans="1:5">
      <c r="D118" s="22" t="str">
        <f t="shared" si="2"/>
        <v>Hedge funds</v>
      </c>
      <c r="E118">
        <f t="shared" si="3"/>
        <v>2</v>
      </c>
    </row>
    <row r="119" spans="1:5">
      <c r="D119" s="22" t="str">
        <f t="shared" si="2"/>
        <v>Onroerend goed</v>
      </c>
      <c r="E119">
        <f t="shared" si="3"/>
        <v>2</v>
      </c>
    </row>
    <row r="120" spans="1:5">
      <c r="D120" s="22" t="str">
        <f t="shared" si="2"/>
        <v>Commodities</v>
      </c>
      <c r="E120">
        <f t="shared" si="3"/>
        <v>2</v>
      </c>
    </row>
    <row r="121" spans="1:5">
      <c r="A121" t="s">
        <v>28</v>
      </c>
      <c r="B121">
        <v>0</v>
      </c>
    </row>
    <row r="122" spans="1:5">
      <c r="A122" t="s">
        <v>29</v>
      </c>
      <c r="B122">
        <v>1</v>
      </c>
      <c r="D122" t="s">
        <v>15</v>
      </c>
      <c r="E122">
        <v>0</v>
      </c>
    </row>
    <row r="123" spans="1:5">
      <c r="A123" t="s">
        <v>30</v>
      </c>
      <c r="B123">
        <v>2</v>
      </c>
      <c r="D123" t="s">
        <v>94</v>
      </c>
      <c r="E123">
        <v>1</v>
      </c>
    </row>
    <row r="124" spans="1:5">
      <c r="A124" t="s">
        <v>56</v>
      </c>
      <c r="B124">
        <v>3</v>
      </c>
      <c r="D124" t="s">
        <v>114</v>
      </c>
      <c r="E124">
        <v>2</v>
      </c>
    </row>
    <row r="125" spans="1:5">
      <c r="D125" t="s">
        <v>95</v>
      </c>
      <c r="E125">
        <v>3</v>
      </c>
    </row>
    <row r="126" spans="1:5">
      <c r="A126" t="s">
        <v>33</v>
      </c>
      <c r="D126" t="s">
        <v>96</v>
      </c>
      <c r="E126">
        <v>4</v>
      </c>
    </row>
    <row r="128" spans="1:5">
      <c r="A128" t="s">
        <v>46</v>
      </c>
      <c r="B128">
        <v>1</v>
      </c>
    </row>
    <row r="129" spans="1:5">
      <c r="A129" t="s">
        <v>47</v>
      </c>
      <c r="B129">
        <v>2</v>
      </c>
    </row>
    <row r="132" spans="1:5">
      <c r="A132" t="s">
        <v>79</v>
      </c>
      <c r="D132" t="s">
        <v>75</v>
      </c>
    </row>
    <row r="133" spans="1:5">
      <c r="A133" t="str">
        <f t="array" ref="A133:A153">TRANSPOSE('Verplichtingen Nominaal'!B1:S1)</f>
        <v>B&amp;W</v>
      </c>
      <c r="D133" t="s">
        <v>76</v>
      </c>
    </row>
    <row r="134" spans="1:5">
      <c r="A134" t="str">
        <v>Campagne</v>
      </c>
    </row>
    <row r="135" spans="1:5">
      <c r="A135" t="str">
        <v>Cargill</v>
      </c>
      <c r="D135" t="s">
        <v>7</v>
      </c>
      <c r="E135" t="s">
        <v>85</v>
      </c>
    </row>
    <row r="136" spans="1:5">
      <c r="A136" t="str">
        <v>Forbo</v>
      </c>
      <c r="D136" t="s">
        <v>2</v>
      </c>
      <c r="E136" s="1">
        <f>VLOOKUP(C18,$A$98:$B$107,2,0)</f>
        <v>0</v>
      </c>
    </row>
    <row r="137" spans="1:5">
      <c r="A137" t="str">
        <v>Koopvaardij</v>
      </c>
      <c r="E137" s="1">
        <f>VLOOKUP(C19,$A$98:$B$107,2,0)</f>
        <v>0</v>
      </c>
    </row>
    <row r="138" spans="1:5">
      <c r="A138" t="str">
        <v>MITT</v>
      </c>
      <c r="D138" t="s">
        <v>84</v>
      </c>
      <c r="E138" s="1">
        <f>VLOOKUP(F18,$A$98:$B$107,2,0)</f>
        <v>0</v>
      </c>
    </row>
    <row r="139" spans="1:5">
      <c r="A139" t="str">
        <v>Nutreco</v>
      </c>
      <c r="E139" s="1">
        <f>VLOOKUP(F19,$A$98:$B$107,2,0)</f>
        <v>0</v>
      </c>
    </row>
    <row r="140" spans="1:5">
      <c r="A140" t="str">
        <v>OPF</v>
      </c>
      <c r="D140" t="s">
        <v>89</v>
      </c>
      <c r="E140" s="1">
        <f>VLOOKUP(B15,$A$98:$B$107,2,0)</f>
        <v>1</v>
      </c>
    </row>
    <row r="141" spans="1:5">
      <c r="A141" t="str">
        <v>PME</v>
      </c>
      <c r="E141" s="1">
        <f>VLOOKUP(E15,$A$98:$B$107,2,0)</f>
        <v>2</v>
      </c>
    </row>
    <row r="142" spans="1:5">
      <c r="A142" t="str">
        <v>PMT</v>
      </c>
      <c r="D142" s="2" t="s">
        <v>93</v>
      </c>
    </row>
    <row r="143" spans="1:5">
      <c r="A143" t="str">
        <v>Productschappen</v>
      </c>
      <c r="D143" s="32" t="s">
        <v>22</v>
      </c>
      <c r="E143" s="53">
        <f>VLOOKUP(E40,$D$122:$E$126,2,0)</f>
        <v>0</v>
      </c>
    </row>
    <row r="144" spans="1:5">
      <c r="A144" t="str">
        <v>SCA Anker</v>
      </c>
      <c r="D144" s="61" t="s">
        <v>23</v>
      </c>
      <c r="E144" s="5">
        <f t="shared" ref="E144:E148" si="4">VLOOKUP(E41,$D$122:$E$126,2,0)</f>
        <v>0</v>
      </c>
    </row>
    <row r="145" spans="1:5">
      <c r="A145" t="str">
        <v>SCA Hygiene</v>
      </c>
      <c r="D145" s="61" t="s">
        <v>24</v>
      </c>
      <c r="E145" s="5">
        <f t="shared" si="4"/>
        <v>0</v>
      </c>
    </row>
    <row r="146" spans="1:5">
      <c r="A146" t="str">
        <v>Unisys</v>
      </c>
      <c r="D146" s="61" t="s">
        <v>25</v>
      </c>
      <c r="E146" s="5">
        <f t="shared" si="4"/>
        <v>0</v>
      </c>
    </row>
    <row r="147" spans="1:5">
      <c r="A147">
        <v>0</v>
      </c>
      <c r="D147" s="61" t="s">
        <v>90</v>
      </c>
      <c r="E147" s="5">
        <f t="shared" si="4"/>
        <v>0</v>
      </c>
    </row>
    <row r="148" spans="1:5">
      <c r="A148">
        <v>0</v>
      </c>
      <c r="D148" s="62" t="s">
        <v>91</v>
      </c>
      <c r="E148" s="6">
        <f t="shared" si="4"/>
        <v>0</v>
      </c>
    </row>
    <row r="149" spans="1:5">
      <c r="A149">
        <v>0</v>
      </c>
    </row>
    <row r="150" spans="1:5">
      <c r="A150">
        <v>0</v>
      </c>
    </row>
    <row r="151" spans="1:5">
      <c r="A151" t="e">
        <v>#N/A</v>
      </c>
    </row>
    <row r="152" spans="1:5">
      <c r="A152" t="e">
        <v>#N/A</v>
      </c>
    </row>
    <row r="153" spans="1:5">
      <c r="A153" t="e">
        <v>#N/A</v>
      </c>
    </row>
    <row r="155" spans="1:5">
      <c r="A155" t="s">
        <v>112</v>
      </c>
      <c r="B155">
        <v>0</v>
      </c>
    </row>
    <row r="156" spans="1:5">
      <c r="B156">
        <v>1</v>
      </c>
    </row>
    <row r="157" spans="1:5">
      <c r="B157">
        <v>2</v>
      </c>
    </row>
  </sheetData>
  <mergeCells count="4">
    <mergeCell ref="B21:F21"/>
    <mergeCell ref="C48:D48"/>
    <mergeCell ref="E48:F48"/>
    <mergeCell ref="B37:F37"/>
  </mergeCells>
  <phoneticPr fontId="2" type="noConversion"/>
  <dataValidations disablePrompts="1" count="9">
    <dataValidation type="list" allowBlank="1" showInputMessage="1" showErrorMessage="1" sqref="B4:B5">
      <formula1>Sample</formula1>
    </dataValidation>
    <dataValidation type="list" allowBlank="1" showInputMessage="1" showErrorMessage="1" sqref="B39:D39">
      <formula1>$A$98:$A$107</formula1>
    </dataValidation>
    <dataValidation type="list" allowBlank="1" showInputMessage="1" showErrorMessage="1" sqref="B50:B59">
      <formula1>$A$128:$A$129</formula1>
    </dataValidation>
    <dataValidation type="list" allowBlank="1" showInputMessage="1" showErrorMessage="1" sqref="G46 F4 F40:F45">
      <formula1>$D$132:$D$133</formula1>
    </dataValidation>
    <dataValidation type="list" allowBlank="1" showInputMessage="1" showErrorMessage="1" sqref="E15 C18:C19 B8 B11 B15 F18:F19">
      <formula1>$A$98:$A$108</formula1>
    </dataValidation>
    <dataValidation type="list" allowBlank="1" showInputMessage="1" showErrorMessage="1" sqref="F46 E40:E45">
      <formula1>$D$122:$D$126</formula1>
    </dataValidation>
    <dataValidation type="list" allowBlank="1" showInputMessage="1" showErrorMessage="1" sqref="B33">
      <formula1>$A$121:$A$124</formula1>
    </dataValidation>
    <dataValidation type="list" allowBlank="1" showInputMessage="1" showErrorMessage="1" sqref="F2">
      <formula1>$A$133:$A$146</formula1>
    </dataValidation>
    <dataValidation type="list" allowBlank="1" showInputMessage="1" showErrorMessage="1" sqref="B36">
      <formula1>$B$155:$B$157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15"/>
  </sheetPr>
  <dimension ref="A1:J47"/>
  <sheetViews>
    <sheetView zoomScale="75" workbookViewId="0">
      <selection activeCell="F34" sqref="A1:F34"/>
    </sheetView>
  </sheetViews>
  <sheetFormatPr defaultRowHeight="12.75"/>
  <cols>
    <col min="1" max="1" width="44.5703125" customWidth="1"/>
    <col min="2" max="5" width="36.7109375" customWidth="1"/>
  </cols>
  <sheetData>
    <row r="1" spans="1:10" ht="13.5" thickBot="1">
      <c r="A1" s="2" t="s">
        <v>101</v>
      </c>
      <c r="G1" s="213" t="s">
        <v>19</v>
      </c>
    </row>
    <row r="2" spans="1:10" ht="13.5" thickBot="1">
      <c r="B2" s="231" t="s">
        <v>21</v>
      </c>
      <c r="C2" s="232" t="s">
        <v>105</v>
      </c>
      <c r="D2" s="232" t="s">
        <v>106</v>
      </c>
      <c r="E2" s="233" t="s">
        <v>37</v>
      </c>
      <c r="G2" s="213" t="s">
        <v>20</v>
      </c>
    </row>
    <row r="3" spans="1:10">
      <c r="A3" s="246" t="str">
        <f>Parameters!A99</f>
        <v>Nominale VPV</v>
      </c>
      <c r="B3" s="234">
        <v>2.5000000000000001E-2</v>
      </c>
      <c r="C3" s="235">
        <v>-0.1</v>
      </c>
      <c r="D3" s="235">
        <v>-0.05</v>
      </c>
      <c r="E3" s="236">
        <v>0.1</v>
      </c>
      <c r="G3" s="216">
        <v>2.5000000000000001E-2</v>
      </c>
      <c r="H3" s="216">
        <v>-0.1</v>
      </c>
      <c r="I3" s="216">
        <v>-0.05</v>
      </c>
      <c r="J3" s="216">
        <v>0.1</v>
      </c>
    </row>
    <row r="4" spans="1:10">
      <c r="A4" s="246" t="str">
        <f>Parameters!A100</f>
        <v>Reele VPV</v>
      </c>
      <c r="B4" s="237">
        <v>0.01</v>
      </c>
      <c r="C4" s="238">
        <v>0</v>
      </c>
      <c r="D4" s="238">
        <v>-0.05</v>
      </c>
      <c r="E4" s="239">
        <v>0</v>
      </c>
      <c r="G4" s="217">
        <v>0.01</v>
      </c>
      <c r="H4" s="217">
        <v>0</v>
      </c>
      <c r="I4" s="217">
        <v>-0.05</v>
      </c>
      <c r="J4" s="217">
        <v>0</v>
      </c>
    </row>
    <row r="5" spans="1:10">
      <c r="A5" s="246" t="str">
        <f>Parameters!A101</f>
        <v>Credits</v>
      </c>
      <c r="B5" s="237">
        <f>(B3+B6)/2</f>
        <v>0.04</v>
      </c>
      <c r="C5" s="238">
        <f>(C3+C6)/2</f>
        <v>-6.25E-2</v>
      </c>
      <c r="D5" s="238">
        <f>(D3+D6)/2</f>
        <v>1.4999999999999999E-2</v>
      </c>
      <c r="E5" s="239">
        <f>(E3+E6)/2</f>
        <v>0</v>
      </c>
      <c r="G5" s="217">
        <f>(G3+G6)/2</f>
        <v>0.04</v>
      </c>
      <c r="H5" s="217">
        <f>(H3+H6)/2</f>
        <v>-6.25E-2</v>
      </c>
      <c r="I5" s="217">
        <f>(I3+I6)/2</f>
        <v>1.4999999999999999E-2</v>
      </c>
      <c r="J5" s="217">
        <f>(J3+J6)/2</f>
        <v>0</v>
      </c>
    </row>
    <row r="6" spans="1:10">
      <c r="A6" s="246" t="str">
        <f>Parameters!A102</f>
        <v>High Yield</v>
      </c>
      <c r="B6" s="240">
        <v>5.5E-2</v>
      </c>
      <c r="C6" s="241">
        <v>-2.5000000000000001E-2</v>
      </c>
      <c r="D6" s="241">
        <v>0.08</v>
      </c>
      <c r="E6" s="242">
        <v>-0.1</v>
      </c>
      <c r="G6" s="216">
        <v>5.5E-2</v>
      </c>
      <c r="H6" s="216">
        <v>-2.5000000000000001E-2</v>
      </c>
      <c r="I6" s="216">
        <v>0.08</v>
      </c>
      <c r="J6" s="216">
        <v>-0.1</v>
      </c>
    </row>
    <row r="7" spans="1:10">
      <c r="A7" s="246" t="str">
        <f>Parameters!A103</f>
        <v>Emerging market debt</v>
      </c>
      <c r="B7" s="240">
        <v>0.05</v>
      </c>
      <c r="C7" s="241">
        <v>-0.05</v>
      </c>
      <c r="D7" s="241">
        <v>0.05</v>
      </c>
      <c r="E7" s="242">
        <v>-0.08</v>
      </c>
      <c r="G7" s="216">
        <v>0.05</v>
      </c>
      <c r="H7" s="216">
        <v>-0.05</v>
      </c>
      <c r="I7" s="216">
        <v>0.05</v>
      </c>
      <c r="J7" s="216">
        <v>-0.08</v>
      </c>
    </row>
    <row r="8" spans="1:10">
      <c r="A8" s="246" t="str">
        <f>Parameters!A104</f>
        <v>Aandelen ontwikkeld</v>
      </c>
      <c r="B8" s="240">
        <v>0.05</v>
      </c>
      <c r="C8" s="241">
        <v>0</v>
      </c>
      <c r="D8" s="241">
        <v>0.2</v>
      </c>
      <c r="E8" s="242">
        <v>-0.2</v>
      </c>
      <c r="G8" s="216">
        <v>0.05</v>
      </c>
      <c r="H8" s="216">
        <v>0</v>
      </c>
      <c r="I8" s="216">
        <v>0.2</v>
      </c>
      <c r="J8" s="216">
        <v>-0.2</v>
      </c>
    </row>
    <row r="9" spans="1:10">
      <c r="A9" s="246" t="str">
        <f>Parameters!A105</f>
        <v>Aandelen opkomend</v>
      </c>
      <c r="B9" s="240">
        <v>0.04</v>
      </c>
      <c r="C9" s="241">
        <v>-0.03</v>
      </c>
      <c r="D9" s="241">
        <v>0.25</v>
      </c>
      <c r="E9" s="242">
        <v>-0.22</v>
      </c>
      <c r="G9" s="216">
        <v>0.04</v>
      </c>
      <c r="H9" s="216">
        <v>-0.03</v>
      </c>
      <c r="I9" s="216">
        <v>0.25</v>
      </c>
      <c r="J9" s="216">
        <v>-0.22</v>
      </c>
    </row>
    <row r="10" spans="1:10">
      <c r="A10" s="246" t="str">
        <f>Parameters!A106</f>
        <v>Hedge funds</v>
      </c>
      <c r="B10" s="240">
        <v>0.06</v>
      </c>
      <c r="C10" s="241">
        <v>-0.04</v>
      </c>
      <c r="D10" s="241">
        <v>0.06</v>
      </c>
      <c r="E10" s="242">
        <v>-0.12</v>
      </c>
      <c r="G10" s="216">
        <v>0.06</v>
      </c>
      <c r="H10" s="216">
        <v>-0.04</v>
      </c>
      <c r="I10" s="216">
        <v>0.06</v>
      </c>
      <c r="J10" s="216">
        <v>-0.12</v>
      </c>
    </row>
    <row r="11" spans="1:10">
      <c r="A11" s="246" t="str">
        <f>Parameters!A107</f>
        <v>Onroerend goed</v>
      </c>
      <c r="B11" s="240">
        <v>2.5000000000000001E-2</v>
      </c>
      <c r="C11" s="241">
        <v>0</v>
      </c>
      <c r="D11" s="241">
        <v>0.1</v>
      </c>
      <c r="E11" s="242">
        <v>-0.1</v>
      </c>
      <c r="G11" s="216">
        <v>2.5000000000000001E-2</v>
      </c>
      <c r="H11" s="216">
        <v>0</v>
      </c>
      <c r="I11" s="216">
        <v>0.1</v>
      </c>
      <c r="J11" s="216">
        <v>-0.1</v>
      </c>
    </row>
    <row r="12" spans="1:10" ht="13.5" thickBot="1">
      <c r="A12" s="246" t="str">
        <f>Parameters!A108</f>
        <v>Commodities</v>
      </c>
      <c r="B12" s="243">
        <v>0</v>
      </c>
      <c r="C12" s="244">
        <v>0.05</v>
      </c>
      <c r="D12" s="244">
        <v>0.3</v>
      </c>
      <c r="E12" s="245">
        <v>-0.25</v>
      </c>
      <c r="G12" s="216">
        <v>0</v>
      </c>
      <c r="H12" s="216">
        <v>0.05</v>
      </c>
      <c r="I12" s="216">
        <v>0.3</v>
      </c>
      <c r="J12" s="216">
        <v>-0.25</v>
      </c>
    </row>
    <row r="14" spans="1:10">
      <c r="A14" s="2" t="s">
        <v>103</v>
      </c>
    </row>
    <row r="15" spans="1:10" ht="13.5" thickBot="1">
      <c r="A15" s="2"/>
      <c r="B15" s="69" t="str">
        <f>B2</f>
        <v>Groei recessie</v>
      </c>
      <c r="C15" s="69" t="str">
        <f>C2</f>
        <v>Inflatie is fiscaal</v>
      </c>
      <c r="D15" s="69" t="str">
        <f>D2</f>
        <v xml:space="preserve">Vermogenseffect </v>
      </c>
      <c r="E15" s="69" t="str">
        <f>E2</f>
        <v>Schuld deflatie</v>
      </c>
    </row>
    <row r="16" spans="1:10">
      <c r="A16" t="str">
        <f>'Historie factoren'!B1</f>
        <v>Inflatie (VS)</v>
      </c>
      <c r="B16" s="247">
        <v>1.4999999999999999E-2</v>
      </c>
      <c r="C16" s="248">
        <v>0.05</v>
      </c>
      <c r="D16" s="248">
        <v>2.5000000000000001E-2</v>
      </c>
      <c r="E16" s="249">
        <v>-0.04</v>
      </c>
    </row>
    <row r="17" spans="1:5" ht="13.5" thickBot="1">
      <c r="A17" t="str">
        <f>'Historie factoren'!C1</f>
        <v>Reële groei (VS)</v>
      </c>
      <c r="B17" s="250">
        <v>2.5000000000000001E-2</v>
      </c>
      <c r="C17" s="251">
        <v>3.5000000000000003E-2</v>
      </c>
      <c r="D17" s="251">
        <v>5.5E-2</v>
      </c>
      <c r="E17" s="252">
        <v>-0.03</v>
      </c>
    </row>
    <row r="19" spans="1:5">
      <c r="A19" s="2" t="s">
        <v>139</v>
      </c>
    </row>
    <row r="20" spans="1:5" ht="13.5" thickBot="1">
      <c r="B20" s="69" t="str">
        <f>B2</f>
        <v>Groei recessie</v>
      </c>
      <c r="C20" s="69" t="str">
        <f>C2</f>
        <v>Inflatie is fiscaal</v>
      </c>
      <c r="D20" s="69" t="str">
        <f>D2</f>
        <v xml:space="preserve">Vermogenseffect </v>
      </c>
      <c r="E20" s="69" t="str">
        <f>E2</f>
        <v>Schuld deflatie</v>
      </c>
    </row>
    <row r="21" spans="1:5">
      <c r="A21" t="str">
        <f>A3</f>
        <v>Nominale VPV</v>
      </c>
      <c r="B21" s="253">
        <v>1</v>
      </c>
      <c r="C21" s="254">
        <v>1</v>
      </c>
      <c r="D21" s="254">
        <v>1</v>
      </c>
      <c r="E21" s="255">
        <v>1</v>
      </c>
    </row>
    <row r="22" spans="1:5">
      <c r="A22" t="str">
        <f t="shared" ref="A22:A30" si="0">A4</f>
        <v>Reele VPV</v>
      </c>
      <c r="B22" s="256">
        <v>1</v>
      </c>
      <c r="C22" s="225">
        <v>1</v>
      </c>
      <c r="D22" s="225">
        <v>1</v>
      </c>
      <c r="E22" s="257">
        <v>1</v>
      </c>
    </row>
    <row r="23" spans="1:5">
      <c r="A23" t="str">
        <f t="shared" si="0"/>
        <v>Credits</v>
      </c>
      <c r="B23" s="256">
        <v>1</v>
      </c>
      <c r="C23" s="225">
        <v>1</v>
      </c>
      <c r="D23" s="225">
        <v>1</v>
      </c>
      <c r="E23" s="257">
        <v>1</v>
      </c>
    </row>
    <row r="24" spans="1:5">
      <c r="A24" t="str">
        <f t="shared" si="0"/>
        <v>High Yield</v>
      </c>
      <c r="B24" s="256">
        <v>1</v>
      </c>
      <c r="C24" s="225">
        <v>1</v>
      </c>
      <c r="D24" s="225">
        <v>1</v>
      </c>
      <c r="E24" s="257">
        <v>1</v>
      </c>
    </row>
    <row r="25" spans="1:5">
      <c r="A25" t="str">
        <f t="shared" si="0"/>
        <v>Emerging market debt</v>
      </c>
      <c r="B25" s="256">
        <v>1</v>
      </c>
      <c r="C25" s="225">
        <v>1</v>
      </c>
      <c r="D25" s="225">
        <v>1</v>
      </c>
      <c r="E25" s="257">
        <v>1</v>
      </c>
    </row>
    <row r="26" spans="1:5">
      <c r="A26" t="str">
        <f t="shared" si="0"/>
        <v>Aandelen ontwikkeld</v>
      </c>
      <c r="B26" s="256">
        <v>1</v>
      </c>
      <c r="C26" s="225">
        <v>1</v>
      </c>
      <c r="D26" s="225">
        <v>1</v>
      </c>
      <c r="E26" s="257">
        <v>1</v>
      </c>
    </row>
    <row r="27" spans="1:5">
      <c r="A27" t="str">
        <f t="shared" si="0"/>
        <v>Aandelen opkomend</v>
      </c>
      <c r="B27" s="256">
        <v>1</v>
      </c>
      <c r="C27" s="225">
        <v>1</v>
      </c>
      <c r="D27" s="225">
        <v>1</v>
      </c>
      <c r="E27" s="257">
        <v>1</v>
      </c>
    </row>
    <row r="28" spans="1:5">
      <c r="A28" t="str">
        <f t="shared" si="0"/>
        <v>Hedge funds</v>
      </c>
      <c r="B28" s="256">
        <v>1</v>
      </c>
      <c r="C28" s="225">
        <v>1</v>
      </c>
      <c r="D28" s="225">
        <v>1</v>
      </c>
      <c r="E28" s="257">
        <v>1</v>
      </c>
    </row>
    <row r="29" spans="1:5">
      <c r="A29" t="str">
        <f t="shared" si="0"/>
        <v>Onroerend goed</v>
      </c>
      <c r="B29" s="256">
        <v>1</v>
      </c>
      <c r="C29" s="225">
        <v>1</v>
      </c>
      <c r="D29" s="225">
        <v>1</v>
      </c>
      <c r="E29" s="257">
        <v>1</v>
      </c>
    </row>
    <row r="30" spans="1:5" ht="13.5" thickBot="1">
      <c r="A30" t="str">
        <f t="shared" si="0"/>
        <v>Commodities</v>
      </c>
      <c r="B30" s="258">
        <v>1</v>
      </c>
      <c r="C30" s="259">
        <v>1</v>
      </c>
      <c r="D30" s="259">
        <v>1</v>
      </c>
      <c r="E30" s="260">
        <v>1</v>
      </c>
    </row>
    <row r="31" spans="1:5">
      <c r="B31" s="1"/>
      <c r="C31" s="1"/>
      <c r="D31" s="1"/>
      <c r="E31" s="1"/>
    </row>
    <row r="32" spans="1:5">
      <c r="B32" s="1"/>
      <c r="C32" s="1"/>
      <c r="D32" s="1"/>
      <c r="E32" s="1"/>
    </row>
    <row r="33" spans="2:5">
      <c r="B33" s="1"/>
      <c r="C33" s="1"/>
      <c r="D33" s="1"/>
      <c r="E33" s="1"/>
    </row>
    <row r="34" spans="2:5">
      <c r="B34" s="1"/>
      <c r="C34" s="1"/>
      <c r="D34" s="1"/>
      <c r="E34" s="1"/>
    </row>
    <row r="35" spans="2:5">
      <c r="B35" s="1"/>
      <c r="C35" s="1"/>
      <c r="D35" s="1"/>
      <c r="E35" s="1"/>
    </row>
    <row r="36" spans="2:5">
      <c r="B36" s="1"/>
      <c r="C36" s="1"/>
      <c r="D36" s="1"/>
      <c r="E36" s="1"/>
    </row>
    <row r="37" spans="2:5">
      <c r="B37" s="1"/>
    </row>
    <row r="38" spans="2:5">
      <c r="B38" s="1"/>
      <c r="C38" s="1"/>
      <c r="D38" s="1"/>
      <c r="E38" s="1"/>
    </row>
    <row r="39" spans="2:5">
      <c r="B39" s="1"/>
      <c r="C39" s="1"/>
      <c r="D39" s="1"/>
      <c r="E39" s="1"/>
    </row>
    <row r="40" spans="2:5">
      <c r="B40" s="1"/>
      <c r="C40" s="1"/>
      <c r="D40" s="1"/>
      <c r="E40" s="1"/>
    </row>
    <row r="41" spans="2:5">
      <c r="B41" s="1"/>
      <c r="C41" s="1"/>
      <c r="D41" s="1"/>
      <c r="E41" s="1"/>
    </row>
    <row r="42" spans="2:5">
      <c r="B42" s="1"/>
      <c r="C42" s="1"/>
      <c r="D42" s="1"/>
      <c r="E42" s="1"/>
    </row>
    <row r="43" spans="2:5">
      <c r="B43" s="1"/>
      <c r="C43" s="1"/>
      <c r="D43" s="1"/>
      <c r="E43" s="1"/>
    </row>
    <row r="44" spans="2:5">
      <c r="B44" s="143"/>
      <c r="C44" s="143"/>
      <c r="D44" s="143"/>
      <c r="E44" s="1"/>
    </row>
    <row r="45" spans="2:5">
      <c r="B45" s="1"/>
      <c r="C45" s="1"/>
      <c r="D45" s="1"/>
      <c r="E45" s="1"/>
    </row>
    <row r="46" spans="2:5">
      <c r="B46" s="1"/>
      <c r="C46" s="1"/>
      <c r="D46" s="1"/>
      <c r="E46" s="1"/>
    </row>
    <row r="47" spans="2:5">
      <c r="B47" s="1"/>
      <c r="C47" s="1"/>
      <c r="D47" s="1"/>
      <c r="E47" s="1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indexed="13"/>
  </sheetPr>
  <dimension ref="A1:Q65"/>
  <sheetViews>
    <sheetView zoomScale="75" workbookViewId="0">
      <selection activeCell="A57" sqref="A57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82"/>
      <c r="D2" s="305" t="s">
        <v>7</v>
      </c>
      <c r="E2" s="305"/>
      <c r="F2" s="305"/>
      <c r="G2" s="305"/>
      <c r="H2" s="305"/>
      <c r="I2" s="305"/>
      <c r="J2" s="305"/>
      <c r="K2" s="305"/>
      <c r="L2" s="305"/>
      <c r="M2" s="305"/>
    </row>
    <row r="3" spans="1:15">
      <c r="A3" s="88" t="str">
        <f>Parameters!A40</f>
        <v>Basis</v>
      </c>
      <c r="B3" s="89" t="s">
        <v>116</v>
      </c>
      <c r="C3" s="17" t="s">
        <v>117</v>
      </c>
      <c r="D3" s="89" t="s">
        <v>118</v>
      </c>
      <c r="E3" s="89" t="s">
        <v>119</v>
      </c>
      <c r="F3" s="90" t="s">
        <v>73</v>
      </c>
      <c r="G3" s="89" t="s">
        <v>120</v>
      </c>
      <c r="H3" s="89" t="s">
        <v>0</v>
      </c>
      <c r="I3" s="89" t="s">
        <v>121</v>
      </c>
      <c r="J3" s="89" t="s">
        <v>122</v>
      </c>
      <c r="K3" s="89" t="s">
        <v>123</v>
      </c>
      <c r="L3" s="89" t="s">
        <v>1</v>
      </c>
      <c r="M3" s="8" t="s">
        <v>124</v>
      </c>
      <c r="O3" s="221" t="s">
        <v>203</v>
      </c>
    </row>
    <row r="4" spans="1:15">
      <c r="A4" s="102" t="str">
        <f>Parameters!A99</f>
        <v>Nominale VPV</v>
      </c>
      <c r="B4" s="81">
        <v>0.03</v>
      </c>
      <c r="C4" s="16">
        <v>9.086138537108554E-2</v>
      </c>
      <c r="D4" s="83">
        <v>1</v>
      </c>
      <c r="E4" s="83">
        <v>0.40971662366390721</v>
      </c>
      <c r="F4" s="83">
        <v>0.21430474377395498</v>
      </c>
      <c r="G4" s="83">
        <v>0.22151712082055552</v>
      </c>
      <c r="H4" s="83">
        <v>7.4002355689612095E-2</v>
      </c>
      <c r="I4" s="83">
        <v>9.1634717779999042E-2</v>
      </c>
      <c r="J4" s="83">
        <v>-0.17471282183767073</v>
      </c>
      <c r="K4" s="83">
        <v>-0.19467168407321447</v>
      </c>
      <c r="L4" s="83">
        <v>-4.8441147957524994E-2</v>
      </c>
      <c r="M4" s="84">
        <v>-0.46979603223907912</v>
      </c>
      <c r="O4" s="218">
        <f>(B4-$B$4)/C4</f>
        <v>0</v>
      </c>
    </row>
    <row r="5" spans="1:15">
      <c r="A5" s="14" t="str">
        <f>Parameters!A100</f>
        <v>Reele VPV</v>
      </c>
      <c r="B5" s="81">
        <v>0.03</v>
      </c>
      <c r="C5" s="16">
        <v>0.10522937451834077</v>
      </c>
      <c r="D5" s="83">
        <v>0.40971662366390721</v>
      </c>
      <c r="E5" s="83">
        <v>1.0000000000000002</v>
      </c>
      <c r="F5" s="83">
        <v>0.15471392791247904</v>
      </c>
      <c r="G5" s="83">
        <v>0.25342358427652262</v>
      </c>
      <c r="H5" s="83">
        <v>-4.9491207038104265E-2</v>
      </c>
      <c r="I5" s="83">
        <v>0.12602559041577072</v>
      </c>
      <c r="J5" s="83">
        <v>5.7716896337474455E-2</v>
      </c>
      <c r="K5" s="83">
        <v>-0.14489467422899738</v>
      </c>
      <c r="L5" s="83">
        <v>-0.12202509544491509</v>
      </c>
      <c r="M5" s="84">
        <v>-8.9244037060686482E-2</v>
      </c>
      <c r="O5" s="219">
        <f t="shared" ref="O5:O13" si="0">(B5-$B$4)/C5</f>
        <v>0</v>
      </c>
    </row>
    <row r="6" spans="1:15">
      <c r="A6" s="14" t="str">
        <f>Parameters!A101</f>
        <v>Credits</v>
      </c>
      <c r="B6" s="81">
        <v>5.5641316288239581E-2</v>
      </c>
      <c r="C6" s="16">
        <v>0.14514041524285748</v>
      </c>
      <c r="D6" s="83">
        <v>0.21430474377395498</v>
      </c>
      <c r="E6" s="83">
        <v>0.15471392791247904</v>
      </c>
      <c r="F6" s="83">
        <v>1</v>
      </c>
      <c r="G6" s="83">
        <v>0.27817222657699914</v>
      </c>
      <c r="H6" s="83">
        <v>-3.7036476676643365E-2</v>
      </c>
      <c r="I6" s="83">
        <v>-2.0652245548069024E-2</v>
      </c>
      <c r="J6" s="83">
        <v>-4.7238096976118265E-4</v>
      </c>
      <c r="K6" s="83">
        <v>3.5291346298508837E-2</v>
      </c>
      <c r="L6" s="83">
        <v>-0.14714896334501701</v>
      </c>
      <c r="M6" s="84">
        <v>3.8849793092206202E-2</v>
      </c>
      <c r="O6" s="219">
        <f t="shared" si="0"/>
        <v>0.1766655844640862</v>
      </c>
    </row>
    <row r="7" spans="1:15">
      <c r="A7" s="14" t="str">
        <f>Parameters!A102</f>
        <v>High Yield</v>
      </c>
      <c r="B7" s="81">
        <v>5.6496387380050681E-2</v>
      </c>
      <c r="C7" s="16">
        <v>0.15212518033194117</v>
      </c>
      <c r="D7" s="83">
        <v>0.22151712082055552</v>
      </c>
      <c r="E7" s="83">
        <v>0.25342358427652262</v>
      </c>
      <c r="F7" s="83">
        <v>0.27817222657699914</v>
      </c>
      <c r="G7" s="83">
        <v>0.99999999999999989</v>
      </c>
      <c r="H7" s="83">
        <v>0.54947077664382249</v>
      </c>
      <c r="I7" s="83">
        <v>0.65128571710691474</v>
      </c>
      <c r="J7" s="83">
        <v>0.66085351889108501</v>
      </c>
      <c r="K7" s="83">
        <v>0.42475163042146646</v>
      </c>
      <c r="L7" s="83">
        <v>-0.32361654199607626</v>
      </c>
      <c r="M7" s="84">
        <v>-2.2300336358686713E-3</v>
      </c>
      <c r="O7" s="219">
        <f t="shared" si="0"/>
        <v>0.17417489545277687</v>
      </c>
    </row>
    <row r="8" spans="1:15">
      <c r="A8" s="14" t="str">
        <f>Parameters!A103</f>
        <v>Emerging market debt</v>
      </c>
      <c r="B8" s="81">
        <v>5.6528262962781142E-2</v>
      </c>
      <c r="C8" s="16">
        <v>0.13758409078549264</v>
      </c>
      <c r="D8" s="83">
        <v>7.4002355689612095E-2</v>
      </c>
      <c r="E8" s="83">
        <v>-4.9491207038104265E-2</v>
      </c>
      <c r="F8" s="83">
        <v>-3.7036476676643365E-2</v>
      </c>
      <c r="G8" s="83">
        <v>0.54947077664382249</v>
      </c>
      <c r="H8" s="83">
        <v>1</v>
      </c>
      <c r="I8" s="83">
        <v>0.43704301175382876</v>
      </c>
      <c r="J8" s="83">
        <v>0.47448318291761848</v>
      </c>
      <c r="K8" s="83">
        <v>0.75975680806732326</v>
      </c>
      <c r="L8" s="83">
        <v>0.22497345871183871</v>
      </c>
      <c r="M8" s="84">
        <v>0.50014707286156246</v>
      </c>
      <c r="O8" s="219">
        <f t="shared" si="0"/>
        <v>0.19281490186348188</v>
      </c>
    </row>
    <row r="9" spans="1:15">
      <c r="A9" s="14" t="str">
        <f>Parameters!A104</f>
        <v>Aandelen ontwikkeld</v>
      </c>
      <c r="B9" s="81">
        <v>6.4356314621335148E-2</v>
      </c>
      <c r="C9" s="16">
        <v>0.19354582049076965</v>
      </c>
      <c r="D9" s="83">
        <v>9.1634717779999042E-2</v>
      </c>
      <c r="E9" s="83">
        <v>0.12602559041577072</v>
      </c>
      <c r="F9" s="83">
        <v>-2.0652245548069024E-2</v>
      </c>
      <c r="G9" s="83">
        <v>0.65128571710691474</v>
      </c>
      <c r="H9" s="83">
        <v>0.43704301175382876</v>
      </c>
      <c r="I9" s="83">
        <v>0.99999999999999978</v>
      </c>
      <c r="J9" s="83">
        <v>0.75270312398485772</v>
      </c>
      <c r="K9" s="83">
        <v>0.57172393447966696</v>
      </c>
      <c r="L9" s="83">
        <v>-3.5193060592075026E-2</v>
      </c>
      <c r="M9" s="84">
        <v>0.10395609042534409</v>
      </c>
      <c r="O9" s="219">
        <f t="shared" si="0"/>
        <v>0.17750997946749064</v>
      </c>
    </row>
    <row r="10" spans="1:15">
      <c r="A10" s="14" t="str">
        <f>Parameters!A105</f>
        <v>Aandelen opkomend</v>
      </c>
      <c r="B10" s="81">
        <v>9.1561672924114379E-2</v>
      </c>
      <c r="C10" s="16">
        <v>0.34249727755342524</v>
      </c>
      <c r="D10" s="83">
        <v>-0.17471282183767073</v>
      </c>
      <c r="E10" s="83">
        <v>5.7716896337474455E-2</v>
      </c>
      <c r="F10" s="83">
        <v>-4.7238096976118265E-4</v>
      </c>
      <c r="G10" s="83">
        <v>0.66085351889108501</v>
      </c>
      <c r="H10" s="83">
        <v>0.47448318291761848</v>
      </c>
      <c r="I10" s="83">
        <v>0.75270312398485772</v>
      </c>
      <c r="J10" s="83">
        <v>1</v>
      </c>
      <c r="K10" s="83">
        <v>0.43308445119592953</v>
      </c>
      <c r="L10" s="83">
        <v>-0.33706927145387588</v>
      </c>
      <c r="M10" s="84">
        <v>0.21126029655546041</v>
      </c>
      <c r="O10" s="219">
        <f>(B10-$B$4)/C10</f>
        <v>0.17974353946364299</v>
      </c>
    </row>
    <row r="11" spans="1:15">
      <c r="A11" s="14" t="str">
        <f>Parameters!A106</f>
        <v>Hedge funds</v>
      </c>
      <c r="B11" s="81">
        <v>5.1135067781966595E-2</v>
      </c>
      <c r="C11" s="16">
        <v>7.2522493236444621E-2</v>
      </c>
      <c r="D11" s="83">
        <v>-0.19467168407321447</v>
      </c>
      <c r="E11" s="83">
        <v>-0.14489467422899738</v>
      </c>
      <c r="F11" s="83">
        <v>3.5291346298508837E-2</v>
      </c>
      <c r="G11" s="83">
        <v>0.42475163042146646</v>
      </c>
      <c r="H11" s="83">
        <v>0.75975680806732326</v>
      </c>
      <c r="I11" s="83">
        <v>0.57172393447966696</v>
      </c>
      <c r="J11" s="83">
        <v>0.43308445119592953</v>
      </c>
      <c r="K11" s="83">
        <v>1.0000000000000002</v>
      </c>
      <c r="L11" s="83">
        <v>0.53144909307162091</v>
      </c>
      <c r="M11" s="84">
        <v>0.50768184408405947</v>
      </c>
      <c r="O11" s="219">
        <f t="shared" si="0"/>
        <v>0.29142776039235263</v>
      </c>
    </row>
    <row r="12" spans="1:15">
      <c r="A12" s="14" t="str">
        <f>Parameters!A107</f>
        <v>Onroerend goed</v>
      </c>
      <c r="B12" s="81">
        <v>4.7615162118704327E-2</v>
      </c>
      <c r="C12" s="16">
        <v>4.976648454377966E-2</v>
      </c>
      <c r="D12" s="83">
        <v>-4.8441147957524994E-2</v>
      </c>
      <c r="E12" s="83">
        <v>-0.12202509544491509</v>
      </c>
      <c r="F12" s="83">
        <v>-0.14714896334501701</v>
      </c>
      <c r="G12" s="83">
        <v>-0.32361654199607626</v>
      </c>
      <c r="H12" s="83">
        <v>0.22497345871183871</v>
      </c>
      <c r="I12" s="83">
        <v>-3.5193060592075026E-2</v>
      </c>
      <c r="J12" s="83">
        <v>-0.33706927145387588</v>
      </c>
      <c r="K12" s="83">
        <v>0.53144909307162091</v>
      </c>
      <c r="L12" s="83">
        <v>1</v>
      </c>
      <c r="M12" s="84">
        <v>0.24828282028996507</v>
      </c>
      <c r="O12" s="219">
        <f t="shared" si="0"/>
        <v>0.35395632784164693</v>
      </c>
    </row>
    <row r="13" spans="1:15">
      <c r="A13" s="15" t="str">
        <f>Parameters!A108</f>
        <v>Commodities</v>
      </c>
      <c r="B13" s="85">
        <v>8.0977052013787992E-2</v>
      </c>
      <c r="C13" s="80">
        <v>0.25247140962754983</v>
      </c>
      <c r="D13" s="86">
        <v>-0.46979603223907912</v>
      </c>
      <c r="E13" s="86">
        <v>-8.9244037060686482E-2</v>
      </c>
      <c r="F13" s="86">
        <v>3.8849793092206202E-2</v>
      </c>
      <c r="G13" s="86">
        <v>-2.2300336358686713E-3</v>
      </c>
      <c r="H13" s="86">
        <v>0.50014707286156246</v>
      </c>
      <c r="I13" s="86">
        <v>0.10395609042534409</v>
      </c>
      <c r="J13" s="86">
        <v>0.21126029655546041</v>
      </c>
      <c r="K13" s="86">
        <v>0.50768184408405947</v>
      </c>
      <c r="L13" s="86">
        <v>0.24828282028996507</v>
      </c>
      <c r="M13" s="87">
        <v>1.0000000000000002</v>
      </c>
      <c r="O13" s="220">
        <f t="shared" si="0"/>
        <v>0.20191217725995281</v>
      </c>
    </row>
    <row r="15" spans="1:15">
      <c r="A15" s="2" t="s">
        <v>125</v>
      </c>
    </row>
    <row r="16" spans="1:15">
      <c r="A16" s="88" t="str">
        <f>Parameters!A41</f>
        <v>Groei recessie</v>
      </c>
      <c r="B16" s="89" t="s">
        <v>116</v>
      </c>
      <c r="C16" s="17" t="s">
        <v>117</v>
      </c>
      <c r="D16" s="89" t="s">
        <v>118</v>
      </c>
      <c r="E16" s="89" t="s">
        <v>119</v>
      </c>
      <c r="F16" s="90" t="s">
        <v>73</v>
      </c>
      <c r="G16" s="89" t="s">
        <v>120</v>
      </c>
      <c r="H16" s="89" t="s">
        <v>0</v>
      </c>
      <c r="I16" s="89" t="s">
        <v>121</v>
      </c>
      <c r="J16" s="89" t="s">
        <v>122</v>
      </c>
      <c r="K16" s="89" t="s">
        <v>123</v>
      </c>
      <c r="L16" s="89" t="s">
        <v>1</v>
      </c>
      <c r="M16" s="8" t="s">
        <v>124</v>
      </c>
      <c r="O16" s="221" t="s">
        <v>203</v>
      </c>
    </row>
    <row r="17" spans="1:17">
      <c r="A17" s="14" t="str">
        <f>A4</f>
        <v>Nominale VPV</v>
      </c>
      <c r="B17" s="81">
        <v>2.5000000000000001E-2</v>
      </c>
      <c r="C17" s="16">
        <v>8.2284439513604188E-2</v>
      </c>
      <c r="D17" s="83">
        <v>0.99999999999999989</v>
      </c>
      <c r="E17" s="83">
        <v>0.52016406962707096</v>
      </c>
      <c r="F17" s="83">
        <v>0.13446179255485641</v>
      </c>
      <c r="G17" s="83">
        <v>0.32303404970937183</v>
      </c>
      <c r="H17" s="83">
        <v>0.38904238396041924</v>
      </c>
      <c r="I17" s="83">
        <v>0.21869737874006454</v>
      </c>
      <c r="J17" s="83">
        <v>-7.6195754982743183E-2</v>
      </c>
      <c r="K17" s="83">
        <v>0.27246705924854453</v>
      </c>
      <c r="L17" s="83">
        <v>9.1177197180258351E-2</v>
      </c>
      <c r="M17" s="84">
        <v>-0.10286565806021598</v>
      </c>
      <c r="O17" s="218">
        <f t="shared" ref="O17:O26" si="1">(B17-$B$17)/C17</f>
        <v>0</v>
      </c>
      <c r="Q17" s="28"/>
    </row>
    <row r="18" spans="1:17">
      <c r="A18" s="14" t="str">
        <f t="shared" ref="A18:A26" si="2">A5</f>
        <v>Reele VPV</v>
      </c>
      <c r="B18" s="81">
        <v>0.01</v>
      </c>
      <c r="C18" s="16">
        <v>8.8998480928335288E-2</v>
      </c>
      <c r="D18" s="83">
        <v>0.52016406962707096</v>
      </c>
      <c r="E18" s="83">
        <v>0.99999999999999978</v>
      </c>
      <c r="F18" s="83">
        <v>8.2124134820961772E-2</v>
      </c>
      <c r="G18" s="83">
        <v>0.20980449038973095</v>
      </c>
      <c r="H18" s="83">
        <v>7.7141502574135462E-2</v>
      </c>
      <c r="I18" s="83">
        <v>0.13282180596227913</v>
      </c>
      <c r="J18" s="83">
        <v>-7.2413604737632517E-2</v>
      </c>
      <c r="K18" s="83">
        <v>-0.11601999301435773</v>
      </c>
      <c r="L18" s="83">
        <v>-8.5777303802926572E-2</v>
      </c>
      <c r="M18" s="84">
        <v>0.23367752650892043</v>
      </c>
      <c r="O18" s="219">
        <f t="shared" si="1"/>
        <v>-0.16854220255824962</v>
      </c>
      <c r="Q18" s="28"/>
    </row>
    <row r="19" spans="1:17">
      <c r="A19" s="14" t="str">
        <f t="shared" si="2"/>
        <v>Credits</v>
      </c>
      <c r="B19" s="81">
        <v>0.04</v>
      </c>
      <c r="C19" s="16">
        <v>0.14403679138809095</v>
      </c>
      <c r="D19" s="83">
        <v>0.13446179255485641</v>
      </c>
      <c r="E19" s="83">
        <v>8.2124134820961772E-2</v>
      </c>
      <c r="F19" s="83">
        <v>1</v>
      </c>
      <c r="G19" s="83">
        <v>0.19252798403310889</v>
      </c>
      <c r="H19" s="83">
        <v>-0.19397318974827171</v>
      </c>
      <c r="I19" s="83">
        <v>-4.5829430855055933E-2</v>
      </c>
      <c r="J19" s="83">
        <v>-4.2697740276267312E-2</v>
      </c>
      <c r="K19" s="83">
        <v>-0.14469851361945196</v>
      </c>
      <c r="L19" s="83">
        <v>-0.3836483811514253</v>
      </c>
      <c r="M19" s="84">
        <v>-0.12721930008553978</v>
      </c>
      <c r="O19" s="219">
        <f t="shared" si="1"/>
        <v>0.10414005932403886</v>
      </c>
      <c r="Q19" s="28"/>
    </row>
    <row r="20" spans="1:17">
      <c r="A20" s="14" t="str">
        <f t="shared" si="2"/>
        <v>High Yield</v>
      </c>
      <c r="B20" s="81">
        <v>5.5E-2</v>
      </c>
      <c r="C20" s="16">
        <v>0.111950891834098</v>
      </c>
      <c r="D20" s="83">
        <v>0.32303404970937183</v>
      </c>
      <c r="E20" s="83">
        <v>0.20980449038973095</v>
      </c>
      <c r="F20" s="83">
        <v>0.19252798403310889</v>
      </c>
      <c r="G20" s="83">
        <v>1.0000000000000002</v>
      </c>
      <c r="H20" s="83">
        <v>0.55273068454463237</v>
      </c>
      <c r="I20" s="83">
        <v>0.53487654775118121</v>
      </c>
      <c r="J20" s="83">
        <v>0.50647088771096394</v>
      </c>
      <c r="K20" s="83">
        <v>0.49364452742897713</v>
      </c>
      <c r="L20" s="83">
        <v>-0.32113469066281131</v>
      </c>
      <c r="M20" s="84">
        <v>-0.37379025856433795</v>
      </c>
      <c r="O20" s="219">
        <f t="shared" si="1"/>
        <v>0.26797464056344927</v>
      </c>
      <c r="Q20" s="28"/>
    </row>
    <row r="21" spans="1:17">
      <c r="A21" s="14" t="str">
        <f t="shared" si="2"/>
        <v>Emerging market debt</v>
      </c>
      <c r="B21" s="81">
        <v>0.05</v>
      </c>
      <c r="C21" s="16">
        <v>0.12351296147330995</v>
      </c>
      <c r="D21" s="83">
        <v>0.38904238396041935</v>
      </c>
      <c r="E21" s="83">
        <v>7.7141502574135504E-2</v>
      </c>
      <c r="F21" s="83">
        <v>-0.19397318974827171</v>
      </c>
      <c r="G21" s="83">
        <v>0.55273068454463237</v>
      </c>
      <c r="H21" s="83">
        <v>0.99999999999999989</v>
      </c>
      <c r="I21" s="83">
        <v>0.27213030308381786</v>
      </c>
      <c r="J21" s="83">
        <v>0.38988589398546586</v>
      </c>
      <c r="K21" s="83">
        <v>0.76607468876436591</v>
      </c>
      <c r="L21" s="83">
        <v>0.20322658488820602</v>
      </c>
      <c r="M21" s="84">
        <v>0.14720358096022818</v>
      </c>
      <c r="O21" s="219">
        <f t="shared" si="1"/>
        <v>0.20240790684467783</v>
      </c>
      <c r="Q21" s="28"/>
    </row>
    <row r="22" spans="1:17">
      <c r="A22" s="14" t="str">
        <f t="shared" si="2"/>
        <v>Aandelen ontwikkeld</v>
      </c>
      <c r="B22" s="81">
        <v>0.05</v>
      </c>
      <c r="C22" s="16">
        <v>0.15129450154258914</v>
      </c>
      <c r="D22" s="83">
        <v>0.21869737874006454</v>
      </c>
      <c r="E22" s="83">
        <v>0.13282180596227913</v>
      </c>
      <c r="F22" s="83">
        <v>-4.5829430855055968E-2</v>
      </c>
      <c r="G22" s="83">
        <v>0.53487654775118132</v>
      </c>
      <c r="H22" s="83">
        <v>0.27213030308381791</v>
      </c>
      <c r="I22" s="83">
        <v>0.99999999999999989</v>
      </c>
      <c r="J22" s="83">
        <v>0.61521212442309703</v>
      </c>
      <c r="K22" s="83">
        <v>0.53100809693739237</v>
      </c>
      <c r="L22" s="83">
        <v>-0.13741532621382926</v>
      </c>
      <c r="M22" s="84">
        <v>-0.28263833473995309</v>
      </c>
      <c r="O22" s="219">
        <f t="shared" si="1"/>
        <v>0.16524063825916729</v>
      </c>
      <c r="Q22" s="28"/>
    </row>
    <row r="23" spans="1:17">
      <c r="A23" s="14" t="str">
        <f t="shared" si="2"/>
        <v>Aandelen opkomend</v>
      </c>
      <c r="B23" s="81">
        <v>0.04</v>
      </c>
      <c r="C23" s="16">
        <v>0.30743928719374486</v>
      </c>
      <c r="D23" s="83">
        <v>-7.6195754982743155E-2</v>
      </c>
      <c r="E23" s="83">
        <v>-7.2413604737632531E-2</v>
      </c>
      <c r="F23" s="83">
        <v>-4.2697740276267312E-2</v>
      </c>
      <c r="G23" s="83">
        <v>0.50647088771096394</v>
      </c>
      <c r="H23" s="83">
        <v>0.3898858939854658</v>
      </c>
      <c r="I23" s="83">
        <v>0.61521212442309703</v>
      </c>
      <c r="J23" s="83">
        <v>1.0000000000000002</v>
      </c>
      <c r="K23" s="83">
        <v>0.39942147634863323</v>
      </c>
      <c r="L23" s="83">
        <v>-0.40516653020728088</v>
      </c>
      <c r="M23" s="84">
        <v>-0.23040097671952425</v>
      </c>
      <c r="O23" s="219">
        <f t="shared" si="1"/>
        <v>4.8790120927346428E-2</v>
      </c>
      <c r="Q23" s="28"/>
    </row>
    <row r="24" spans="1:17">
      <c r="A24" s="14" t="str">
        <f t="shared" si="2"/>
        <v>Hedge funds</v>
      </c>
      <c r="B24" s="81">
        <v>0.06</v>
      </c>
      <c r="C24" s="16">
        <v>4.5382959905780257E-2</v>
      </c>
      <c r="D24" s="83">
        <v>0.27246705924854459</v>
      </c>
      <c r="E24" s="83">
        <v>-0.11601999301435773</v>
      </c>
      <c r="F24" s="83">
        <v>-0.14469851361945199</v>
      </c>
      <c r="G24" s="83">
        <v>0.49364452742897713</v>
      </c>
      <c r="H24" s="83">
        <v>0.76607468876436591</v>
      </c>
      <c r="I24" s="83">
        <v>0.53100809693739237</v>
      </c>
      <c r="J24" s="83">
        <v>0.39942147634863323</v>
      </c>
      <c r="K24" s="83">
        <v>1</v>
      </c>
      <c r="L24" s="83">
        <v>0.29562287448383628</v>
      </c>
      <c r="M24" s="84">
        <v>-0.16925198993531926</v>
      </c>
      <c r="O24" s="219">
        <f t="shared" si="1"/>
        <v>0.7712145720037572</v>
      </c>
      <c r="Q24" s="28"/>
    </row>
    <row r="25" spans="1:17">
      <c r="A25" s="14" t="str">
        <f t="shared" si="2"/>
        <v>Onroerend goed</v>
      </c>
      <c r="B25" s="81">
        <v>2.5000000000000001E-2</v>
      </c>
      <c r="C25" s="16">
        <v>3.2444616979797246E-2</v>
      </c>
      <c r="D25" s="83">
        <v>9.1177197180258393E-2</v>
      </c>
      <c r="E25" s="83">
        <v>-8.5777303802926572E-2</v>
      </c>
      <c r="F25" s="83">
        <v>-0.38364838115142536</v>
      </c>
      <c r="G25" s="83">
        <v>-0.32113469066281131</v>
      </c>
      <c r="H25" s="83">
        <v>0.20322658488820602</v>
      </c>
      <c r="I25" s="83">
        <v>-0.13741532621382926</v>
      </c>
      <c r="J25" s="83">
        <v>-0.40516653020728088</v>
      </c>
      <c r="K25" s="83">
        <v>0.29562287448383628</v>
      </c>
      <c r="L25" s="83">
        <v>1</v>
      </c>
      <c r="M25" s="84">
        <v>0.12323173284481768</v>
      </c>
      <c r="O25" s="219">
        <f t="shared" si="1"/>
        <v>0</v>
      </c>
      <c r="Q25" s="28"/>
    </row>
    <row r="26" spans="1:17">
      <c r="A26" s="15" t="str">
        <f t="shared" si="2"/>
        <v>Commodities</v>
      </c>
      <c r="B26" s="85">
        <v>0</v>
      </c>
      <c r="C26" s="80">
        <v>0.21461520563306455</v>
      </c>
      <c r="D26" s="86">
        <v>-0.10286565806021598</v>
      </c>
      <c r="E26" s="86">
        <v>0.23367752650892043</v>
      </c>
      <c r="F26" s="86">
        <v>-0.12721930008553972</v>
      </c>
      <c r="G26" s="86">
        <v>-0.37379025856433795</v>
      </c>
      <c r="H26" s="86">
        <v>0.14720358096022818</v>
      </c>
      <c r="I26" s="86">
        <v>-0.28263833473995315</v>
      </c>
      <c r="J26" s="86">
        <v>-0.23040097671952425</v>
      </c>
      <c r="K26" s="86">
        <v>-0.16925198993531929</v>
      </c>
      <c r="L26" s="86">
        <v>0.1232317328448177</v>
      </c>
      <c r="M26" s="87">
        <v>1</v>
      </c>
      <c r="O26" s="220">
        <f t="shared" si="1"/>
        <v>-0.11648755234400034</v>
      </c>
      <c r="Q26" s="28"/>
    </row>
    <row r="27" spans="1:17">
      <c r="A27" s="22"/>
      <c r="B27" s="81"/>
      <c r="C27" s="81"/>
      <c r="D27" s="83"/>
      <c r="E27" s="83"/>
      <c r="F27" s="83"/>
      <c r="G27" s="83"/>
      <c r="H27" s="83"/>
      <c r="I27" s="83"/>
      <c r="J27" s="83"/>
      <c r="K27" s="83"/>
      <c r="L27" s="83"/>
      <c r="M27" s="83"/>
    </row>
    <row r="29" spans="1:17">
      <c r="A29" s="88" t="str">
        <f>Parameters!A42</f>
        <v>Inflatie is een fiscaal verschijnsel</v>
      </c>
      <c r="B29" s="89" t="s">
        <v>116</v>
      </c>
      <c r="C29" s="17" t="s">
        <v>117</v>
      </c>
      <c r="D29" s="89" t="s">
        <v>118</v>
      </c>
      <c r="E29" s="89" t="s">
        <v>119</v>
      </c>
      <c r="F29" s="90" t="s">
        <v>73</v>
      </c>
      <c r="G29" s="89" t="s">
        <v>120</v>
      </c>
      <c r="H29" s="89" t="s">
        <v>0</v>
      </c>
      <c r="I29" s="89" t="s">
        <v>121</v>
      </c>
      <c r="J29" s="89" t="s">
        <v>122</v>
      </c>
      <c r="K29" s="89" t="s">
        <v>123</v>
      </c>
      <c r="L29" s="89" t="s">
        <v>1</v>
      </c>
      <c r="M29" s="8" t="s">
        <v>124</v>
      </c>
      <c r="O29" s="221" t="s">
        <v>203</v>
      </c>
    </row>
    <row r="30" spans="1:17">
      <c r="A30" s="14" t="str">
        <f>A17</f>
        <v>Nominale VPV</v>
      </c>
      <c r="B30" s="81">
        <v>-0.1</v>
      </c>
      <c r="C30" s="16">
        <v>7.6920225054098748E-2</v>
      </c>
      <c r="D30" s="83">
        <v>1</v>
      </c>
      <c r="E30" s="83">
        <v>0.52669339466031506</v>
      </c>
      <c r="F30" s="83">
        <v>2.5211518790382009E-3</v>
      </c>
      <c r="G30" s="83">
        <v>0.51499570887125701</v>
      </c>
      <c r="H30" s="83">
        <v>0.19890593965952907</v>
      </c>
      <c r="I30" s="83">
        <v>0.34084160050597134</v>
      </c>
      <c r="J30" s="83">
        <v>-1.1208827728540798E-2</v>
      </c>
      <c r="K30" s="83">
        <v>-4.9606961917434175E-2</v>
      </c>
      <c r="L30" s="83">
        <v>1.8222436937727172E-2</v>
      </c>
      <c r="M30" s="84">
        <v>-0.44667296218445712</v>
      </c>
      <c r="O30" s="218">
        <f t="shared" ref="O30:O39" si="3">(B30-$B$30)/C30</f>
        <v>0</v>
      </c>
      <c r="Q30" s="28"/>
    </row>
    <row r="31" spans="1:17">
      <c r="A31" s="14" t="str">
        <f t="shared" ref="A31:A39" si="4">A18</f>
        <v>Reele VPV</v>
      </c>
      <c r="B31" s="81">
        <v>0</v>
      </c>
      <c r="C31" s="16">
        <v>0.11414935122182154</v>
      </c>
      <c r="D31" s="83">
        <v>0.52669339466031517</v>
      </c>
      <c r="E31" s="83">
        <v>0.99999999999999989</v>
      </c>
      <c r="F31" s="83">
        <v>-5.3521820458622277E-2</v>
      </c>
      <c r="G31" s="83">
        <v>0.23128057263953813</v>
      </c>
      <c r="H31" s="83">
        <v>-3.82166449313881E-2</v>
      </c>
      <c r="I31" s="83">
        <v>0.4438513452555311</v>
      </c>
      <c r="J31" s="83">
        <v>0.21832209481978115</v>
      </c>
      <c r="K31" s="83">
        <v>-0.15342276898727236</v>
      </c>
      <c r="L31" s="83">
        <v>-6.0464100493705597E-2</v>
      </c>
      <c r="M31" s="84">
        <v>-1.44148085578989E-2</v>
      </c>
      <c r="O31" s="219">
        <f t="shared" si="3"/>
        <v>0.87604527690809464</v>
      </c>
      <c r="Q31" s="28"/>
    </row>
    <row r="32" spans="1:17">
      <c r="A32" s="14" t="str">
        <f t="shared" si="4"/>
        <v>Credits</v>
      </c>
      <c r="B32" s="81">
        <v>-6.25E-2</v>
      </c>
      <c r="C32" s="16">
        <v>0.13598273947800757</v>
      </c>
      <c r="D32" s="83">
        <v>2.5211518790382473E-3</v>
      </c>
      <c r="E32" s="83">
        <v>-5.3521820458622263E-2</v>
      </c>
      <c r="F32" s="83">
        <v>1</v>
      </c>
      <c r="G32" s="83">
        <v>0.11439677280141086</v>
      </c>
      <c r="H32" s="83">
        <v>-0.45529714694670792</v>
      </c>
      <c r="I32" s="83">
        <v>-3.0024339530154726E-2</v>
      </c>
      <c r="J32" s="83">
        <v>8.1896000796255919E-2</v>
      </c>
      <c r="K32" s="83">
        <v>-0.32485294637300366</v>
      </c>
      <c r="L32" s="83">
        <v>-0.50135248111199493</v>
      </c>
      <c r="M32" s="84">
        <v>-0.24995026702958834</v>
      </c>
      <c r="O32" s="219">
        <f t="shared" si="3"/>
        <v>0.27577029367072625</v>
      </c>
      <c r="Q32" s="28"/>
    </row>
    <row r="33" spans="1:17">
      <c r="A33" s="14" t="str">
        <f t="shared" si="4"/>
        <v>High Yield</v>
      </c>
      <c r="B33" s="81">
        <v>-2.5000000000000001E-2</v>
      </c>
      <c r="C33" s="16">
        <v>9.4866602885466028E-2</v>
      </c>
      <c r="D33" s="83">
        <v>0.51499570887125712</v>
      </c>
      <c r="E33" s="83">
        <v>0.23128057263953813</v>
      </c>
      <c r="F33" s="83">
        <v>0.11439677280141083</v>
      </c>
      <c r="G33" s="83">
        <v>1</v>
      </c>
      <c r="H33" s="83">
        <v>0.43836456445508681</v>
      </c>
      <c r="I33" s="83">
        <v>0.58833826804459566</v>
      </c>
      <c r="J33" s="83">
        <v>0.44255904250489109</v>
      </c>
      <c r="K33" s="83">
        <v>0.22543040714276502</v>
      </c>
      <c r="L33" s="83">
        <v>-0.34131983935329874</v>
      </c>
      <c r="M33" s="84">
        <v>-0.33910035368452957</v>
      </c>
      <c r="O33" s="219">
        <f t="shared" si="3"/>
        <v>0.79058380630060843</v>
      </c>
      <c r="Q33" s="28"/>
    </row>
    <row r="34" spans="1:17">
      <c r="A34" s="14" t="str">
        <f t="shared" si="4"/>
        <v>Emerging market debt</v>
      </c>
      <c r="B34" s="81">
        <v>-0.05</v>
      </c>
      <c r="C34" s="16">
        <v>0.12722176973829455</v>
      </c>
      <c r="D34" s="83">
        <v>0.19890593965952902</v>
      </c>
      <c r="E34" s="83">
        <v>-3.82166449313881E-2</v>
      </c>
      <c r="F34" s="83">
        <v>-0.45529714694670792</v>
      </c>
      <c r="G34" s="83">
        <v>0.43836456445508681</v>
      </c>
      <c r="H34" s="83">
        <v>1</v>
      </c>
      <c r="I34" s="83">
        <v>0.35026586110386015</v>
      </c>
      <c r="J34" s="83">
        <v>0.22601112155411501</v>
      </c>
      <c r="K34" s="83">
        <v>0.81575973305822003</v>
      </c>
      <c r="L34" s="83">
        <v>0.42895459980624501</v>
      </c>
      <c r="M34" s="84">
        <v>0.36556919542434962</v>
      </c>
      <c r="O34" s="219">
        <f t="shared" si="3"/>
        <v>0.39301449824864126</v>
      </c>
      <c r="Q34" s="28"/>
    </row>
    <row r="35" spans="1:17">
      <c r="A35" s="14" t="str">
        <f t="shared" si="4"/>
        <v>Aandelen ontwikkeld</v>
      </c>
      <c r="B35" s="81">
        <v>0</v>
      </c>
      <c r="C35" s="16">
        <v>0.14620485139363631</v>
      </c>
      <c r="D35" s="83">
        <v>0.34084160050597129</v>
      </c>
      <c r="E35" s="83">
        <v>0.4438513452555311</v>
      </c>
      <c r="F35" s="83">
        <v>-3.0024339530154754E-2</v>
      </c>
      <c r="G35" s="83">
        <v>0.58833826804459555</v>
      </c>
      <c r="H35" s="83">
        <v>0.35026586110386021</v>
      </c>
      <c r="I35" s="83">
        <v>1</v>
      </c>
      <c r="J35" s="83">
        <v>0.74997204566835696</v>
      </c>
      <c r="K35" s="83">
        <v>0.40492308964320534</v>
      </c>
      <c r="L35" s="83">
        <v>-9.2144858092095078E-2</v>
      </c>
      <c r="M35" s="84">
        <v>3.5536695188363061E-3</v>
      </c>
      <c r="O35" s="219">
        <f t="shared" si="3"/>
        <v>0.6839718316238621</v>
      </c>
      <c r="Q35" s="28"/>
    </row>
    <row r="36" spans="1:17">
      <c r="A36" s="14" t="str">
        <f t="shared" si="4"/>
        <v>Aandelen opkomend</v>
      </c>
      <c r="B36" s="81">
        <v>-0.03</v>
      </c>
      <c r="C36" s="16">
        <v>0.28542983142796147</v>
      </c>
      <c r="D36" s="83">
        <v>-1.1208827728540814E-2</v>
      </c>
      <c r="E36" s="83">
        <v>0.21832209481978115</v>
      </c>
      <c r="F36" s="83">
        <v>8.1896000796255891E-2</v>
      </c>
      <c r="G36" s="83">
        <v>0.44255904250489109</v>
      </c>
      <c r="H36" s="83">
        <v>0.22601112155411501</v>
      </c>
      <c r="I36" s="83">
        <v>0.74997204566835707</v>
      </c>
      <c r="J36" s="83">
        <v>1.0000000000000002</v>
      </c>
      <c r="K36" s="83">
        <v>0.25067698602895111</v>
      </c>
      <c r="L36" s="83">
        <v>-0.37538407886971425</v>
      </c>
      <c r="M36" s="84">
        <v>8.107839709416545E-2</v>
      </c>
      <c r="O36" s="219">
        <f t="shared" si="3"/>
        <v>0.24524416263640275</v>
      </c>
      <c r="Q36" s="28"/>
    </row>
    <row r="37" spans="1:17">
      <c r="A37" s="14" t="str">
        <f t="shared" si="4"/>
        <v>Hedge funds</v>
      </c>
      <c r="B37" s="81">
        <v>-0.04</v>
      </c>
      <c r="C37" s="16">
        <v>5.0993535050117791E-2</v>
      </c>
      <c r="D37" s="83">
        <v>-4.9606961917434161E-2</v>
      </c>
      <c r="E37" s="83">
        <v>-0.15342276898727236</v>
      </c>
      <c r="F37" s="83">
        <v>-0.32485294637300355</v>
      </c>
      <c r="G37" s="83">
        <v>0.22543040714276502</v>
      </c>
      <c r="H37" s="83">
        <v>0.81575973305822003</v>
      </c>
      <c r="I37" s="83">
        <v>0.40492308964320523</v>
      </c>
      <c r="J37" s="83">
        <v>0.25067698602895111</v>
      </c>
      <c r="K37" s="83">
        <v>1</v>
      </c>
      <c r="L37" s="83">
        <v>0.59574709741963705</v>
      </c>
      <c r="M37" s="84">
        <v>0.37530871522093184</v>
      </c>
      <c r="O37" s="219">
        <f t="shared" si="3"/>
        <v>1.1766197409344228</v>
      </c>
      <c r="Q37" s="28"/>
    </row>
    <row r="38" spans="1:17">
      <c r="A38" s="14" t="str">
        <f t="shared" si="4"/>
        <v>Onroerend goed</v>
      </c>
      <c r="B38" s="81">
        <v>0</v>
      </c>
      <c r="C38" s="16">
        <v>4.3295764809409817E-2</v>
      </c>
      <c r="D38" s="83">
        <v>1.8222436937727193E-2</v>
      </c>
      <c r="E38" s="83">
        <v>-6.0464100493705611E-2</v>
      </c>
      <c r="F38" s="83">
        <v>-0.50135248111199504</v>
      </c>
      <c r="G38" s="83">
        <v>-0.34131983935329874</v>
      </c>
      <c r="H38" s="83">
        <v>0.42895459980624501</v>
      </c>
      <c r="I38" s="83">
        <v>-9.2144858092095119E-2</v>
      </c>
      <c r="J38" s="83">
        <v>-0.37538407886971425</v>
      </c>
      <c r="K38" s="83">
        <v>0.59574709741963705</v>
      </c>
      <c r="L38" s="83">
        <v>0.99999999999999989</v>
      </c>
      <c r="M38" s="84">
        <v>0.3098787396956757</v>
      </c>
      <c r="O38" s="219">
        <f t="shared" si="3"/>
        <v>2.3096947343511576</v>
      </c>
      <c r="Q38" s="28"/>
    </row>
    <row r="39" spans="1:17">
      <c r="A39" s="15" t="str">
        <f t="shared" si="4"/>
        <v>Commodities</v>
      </c>
      <c r="B39" s="85">
        <v>0.05</v>
      </c>
      <c r="C39" s="80">
        <v>0.22361425363328</v>
      </c>
      <c r="D39" s="86">
        <v>-0.44667296218445723</v>
      </c>
      <c r="E39" s="86">
        <v>-1.4414808557898909E-2</v>
      </c>
      <c r="F39" s="86">
        <v>-0.24995026702958834</v>
      </c>
      <c r="G39" s="86">
        <v>-0.33910035368452962</v>
      </c>
      <c r="H39" s="86">
        <v>0.36556919542434962</v>
      </c>
      <c r="I39" s="86">
        <v>3.5536695188363556E-3</v>
      </c>
      <c r="J39" s="86">
        <v>8.1078397094165477E-2</v>
      </c>
      <c r="K39" s="86">
        <v>0.37530871522093184</v>
      </c>
      <c r="L39" s="86">
        <v>0.30987873969567559</v>
      </c>
      <c r="M39" s="87">
        <v>0.99999999999999989</v>
      </c>
      <c r="O39" s="220">
        <f t="shared" si="3"/>
        <v>0.67079802634582975</v>
      </c>
      <c r="Q39" s="28"/>
    </row>
    <row r="40" spans="1:17">
      <c r="A40" s="22"/>
      <c r="B40" s="81"/>
      <c r="C40" s="81"/>
      <c r="D40" s="83"/>
      <c r="E40" s="83"/>
      <c r="F40" s="83"/>
      <c r="G40" s="83"/>
      <c r="H40" s="83"/>
      <c r="I40" s="83"/>
      <c r="J40" s="83"/>
      <c r="K40" s="83"/>
      <c r="L40" s="83"/>
      <c r="M40" s="83"/>
    </row>
    <row r="42" spans="1:17">
      <c r="A42" s="88" t="str">
        <f>Parameters!A43</f>
        <v>Vermogenseffect &amp; innovatie</v>
      </c>
      <c r="B42" s="89" t="s">
        <v>116</v>
      </c>
      <c r="C42" s="17" t="s">
        <v>117</v>
      </c>
      <c r="D42" s="89" t="s">
        <v>118</v>
      </c>
      <c r="E42" s="89" t="s">
        <v>119</v>
      </c>
      <c r="F42" s="90" t="s">
        <v>73</v>
      </c>
      <c r="G42" s="89" t="s">
        <v>120</v>
      </c>
      <c r="H42" s="89" t="s">
        <v>0</v>
      </c>
      <c r="I42" s="89" t="s">
        <v>121</v>
      </c>
      <c r="J42" s="89" t="s">
        <v>122</v>
      </c>
      <c r="K42" s="89" t="s">
        <v>123</v>
      </c>
      <c r="L42" s="89" t="s">
        <v>1</v>
      </c>
      <c r="M42" s="8" t="s">
        <v>124</v>
      </c>
      <c r="O42" s="221" t="s">
        <v>203</v>
      </c>
    </row>
    <row r="43" spans="1:17">
      <c r="A43" s="14" t="str">
        <f>A17</f>
        <v>Nominale VPV</v>
      </c>
      <c r="B43" s="81">
        <v>-0.05</v>
      </c>
      <c r="C43" s="16">
        <v>8.1942708960901264E-2</v>
      </c>
      <c r="D43" s="83">
        <v>1</v>
      </c>
      <c r="E43" s="83">
        <v>0.32160286237405783</v>
      </c>
      <c r="F43" s="83">
        <v>0.25221924569124454</v>
      </c>
      <c r="G43" s="83">
        <v>0.2761107296899375</v>
      </c>
      <c r="H43" s="83">
        <v>-0.13418629967019016</v>
      </c>
      <c r="I43" s="83">
        <v>1.0415101155876669E-2</v>
      </c>
      <c r="J43" s="83">
        <v>-0.38937758648879495</v>
      </c>
      <c r="K43" s="83">
        <v>-0.31435708755522623</v>
      </c>
      <c r="L43" s="83">
        <v>3.5822451174317769E-3</v>
      </c>
      <c r="M43" s="84">
        <v>-0.59553015068970083</v>
      </c>
      <c r="O43" s="218">
        <f t="shared" ref="O43:O52" si="5">(B43-$B$43)/C43</f>
        <v>0</v>
      </c>
    </row>
    <row r="44" spans="1:17">
      <c r="A44" s="14" t="str">
        <f t="shared" ref="A44:A52" si="6">A18</f>
        <v>Reele VPV</v>
      </c>
      <c r="B44" s="81">
        <v>-0.05</v>
      </c>
      <c r="C44" s="16">
        <v>9.5495593979299284E-2</v>
      </c>
      <c r="D44" s="83">
        <v>0.32160286237405783</v>
      </c>
      <c r="E44" s="83">
        <v>1</v>
      </c>
      <c r="F44" s="83">
        <v>5.5242593125466526E-2</v>
      </c>
      <c r="G44" s="83">
        <v>9.2412856586378642E-2</v>
      </c>
      <c r="H44" s="83">
        <v>-0.11522439418559741</v>
      </c>
      <c r="I44" s="83">
        <v>0.11238800604663061</v>
      </c>
      <c r="J44" s="83">
        <v>-0.10832868472160967</v>
      </c>
      <c r="K44" s="83">
        <v>-0.11975081448100867</v>
      </c>
      <c r="L44" s="83">
        <v>1.8580269679860959E-2</v>
      </c>
      <c r="M44" s="84">
        <v>-6.2891000894740062E-2</v>
      </c>
      <c r="O44" s="219">
        <f t="shared" si="5"/>
        <v>0</v>
      </c>
    </row>
    <row r="45" spans="1:17">
      <c r="A45" s="14" t="str">
        <f t="shared" si="6"/>
        <v>Credits</v>
      </c>
      <c r="B45" s="81">
        <v>1.4999999999999999E-2</v>
      </c>
      <c r="C45" s="16">
        <v>0.14720997389759627</v>
      </c>
      <c r="D45" s="83">
        <v>0.25221924569124454</v>
      </c>
      <c r="E45" s="83">
        <v>5.5242593125466546E-2</v>
      </c>
      <c r="F45" s="83">
        <v>1.0000000000000002</v>
      </c>
      <c r="G45" s="83">
        <v>0.15989989525861567</v>
      </c>
      <c r="H45" s="83">
        <v>-0.44260998679062002</v>
      </c>
      <c r="I45" s="83">
        <v>-0.19309048816662108</v>
      </c>
      <c r="J45" s="83">
        <v>-0.11797325726268335</v>
      </c>
      <c r="K45" s="83">
        <v>-0.48782256013299946</v>
      </c>
      <c r="L45" s="83">
        <v>-0.50837562909649425</v>
      </c>
      <c r="M45" s="84">
        <v>-0.3413226999300798</v>
      </c>
      <c r="O45" s="219">
        <f t="shared" si="5"/>
        <v>0.44154616891119058</v>
      </c>
    </row>
    <row r="46" spans="1:17">
      <c r="A46" s="14" t="str">
        <f t="shared" si="6"/>
        <v>High Yield</v>
      </c>
      <c r="B46" s="81">
        <v>0.08</v>
      </c>
      <c r="C46" s="16">
        <v>8.0243685540960424E-2</v>
      </c>
      <c r="D46" s="83">
        <v>0.27611072968993761</v>
      </c>
      <c r="E46" s="83">
        <v>9.2412856586378642E-2</v>
      </c>
      <c r="F46" s="83">
        <v>0.15989989525861564</v>
      </c>
      <c r="G46" s="83">
        <v>1</v>
      </c>
      <c r="H46" s="83">
        <v>0.51715457469591919</v>
      </c>
      <c r="I46" s="83">
        <v>0.3951459042872203</v>
      </c>
      <c r="J46" s="83">
        <v>0.3101417100679193</v>
      </c>
      <c r="K46" s="83">
        <v>0.32876007587373118</v>
      </c>
      <c r="L46" s="83">
        <v>-0.19169269003526085</v>
      </c>
      <c r="M46" s="84">
        <v>-5.966728564239053E-2</v>
      </c>
      <c r="O46" s="219">
        <f t="shared" si="5"/>
        <v>1.6200651692853945</v>
      </c>
    </row>
    <row r="47" spans="1:17">
      <c r="A47" s="14" t="str">
        <f t="shared" si="6"/>
        <v>Emerging market debt</v>
      </c>
      <c r="B47" s="81">
        <v>0.05</v>
      </c>
      <c r="C47" s="16">
        <v>0.16306380912971383</v>
      </c>
      <c r="D47" s="83">
        <v>-0.13418629967019016</v>
      </c>
      <c r="E47" s="83">
        <v>-0.11522439418559738</v>
      </c>
      <c r="F47" s="83">
        <v>-0.44260998679061997</v>
      </c>
      <c r="G47" s="83">
        <v>0.51715457469591919</v>
      </c>
      <c r="H47" s="83">
        <v>0.99999999999999989</v>
      </c>
      <c r="I47" s="83">
        <v>0.39903626197511527</v>
      </c>
      <c r="J47" s="83">
        <v>0.47939059062704953</v>
      </c>
      <c r="K47" s="83">
        <v>0.84316197099335</v>
      </c>
      <c r="L47" s="83">
        <v>0.36524185555725208</v>
      </c>
      <c r="M47" s="84">
        <v>0.63500500673365901</v>
      </c>
      <c r="O47" s="219">
        <f t="shared" si="5"/>
        <v>0.61325686265829904</v>
      </c>
    </row>
    <row r="48" spans="1:17">
      <c r="A48" s="14" t="str">
        <f t="shared" si="6"/>
        <v>Aandelen ontwikkeld</v>
      </c>
      <c r="B48" s="81">
        <v>0.2</v>
      </c>
      <c r="C48" s="16">
        <v>0.13183189308398158</v>
      </c>
      <c r="D48" s="83">
        <v>1.041510115587671E-2</v>
      </c>
      <c r="E48" s="83">
        <v>0.11238800604663061</v>
      </c>
      <c r="F48" s="83">
        <v>-0.19309048816662108</v>
      </c>
      <c r="G48" s="83">
        <v>0.3951459042872203</v>
      </c>
      <c r="H48" s="83">
        <v>0.39903626197511533</v>
      </c>
      <c r="I48" s="83">
        <v>1</v>
      </c>
      <c r="J48" s="83">
        <v>0.61734851353074782</v>
      </c>
      <c r="K48" s="83">
        <v>0.5802089406628731</v>
      </c>
      <c r="L48" s="83">
        <v>0.27422999844954549</v>
      </c>
      <c r="M48" s="84">
        <v>0.19735584395418732</v>
      </c>
      <c r="O48" s="219">
        <f t="shared" si="5"/>
        <v>1.8963544719845686</v>
      </c>
    </row>
    <row r="49" spans="1:15">
      <c r="A49" s="14" t="str">
        <f t="shared" si="6"/>
        <v>Aandelen opkomend</v>
      </c>
      <c r="B49" s="81">
        <v>0.25</v>
      </c>
      <c r="C49" s="16">
        <v>0.30911468985773866</v>
      </c>
      <c r="D49" s="83">
        <v>-0.38937758648879484</v>
      </c>
      <c r="E49" s="83">
        <v>-0.1083286847216097</v>
      </c>
      <c r="F49" s="83">
        <v>-0.11797325726268336</v>
      </c>
      <c r="G49" s="83">
        <v>0.3101417100679193</v>
      </c>
      <c r="H49" s="83">
        <v>0.47939059062704953</v>
      </c>
      <c r="I49" s="83">
        <v>0.61734851353074782</v>
      </c>
      <c r="J49" s="83">
        <v>1.0000000000000002</v>
      </c>
      <c r="K49" s="83">
        <v>0.47124586520163775</v>
      </c>
      <c r="L49" s="83">
        <v>-0.10834128652608002</v>
      </c>
      <c r="M49" s="84">
        <v>0.48414208285410365</v>
      </c>
      <c r="O49" s="219">
        <f t="shared" si="5"/>
        <v>0.97051356613969575</v>
      </c>
    </row>
    <row r="50" spans="1:15">
      <c r="A50" s="14" t="str">
        <f t="shared" si="6"/>
        <v>Hedge funds</v>
      </c>
      <c r="B50" s="81">
        <v>0.06</v>
      </c>
      <c r="C50" s="16">
        <v>6.5472558655041271E-2</v>
      </c>
      <c r="D50" s="83">
        <v>-0.31435708755522623</v>
      </c>
      <c r="E50" s="83">
        <v>-0.11975081448100865</v>
      </c>
      <c r="F50" s="83">
        <v>-0.48782256013299946</v>
      </c>
      <c r="G50" s="83">
        <v>0.32876007587373113</v>
      </c>
      <c r="H50" s="83">
        <v>0.84316197099335</v>
      </c>
      <c r="I50" s="83">
        <v>0.5802089406628731</v>
      </c>
      <c r="J50" s="83">
        <v>0.47124586520163775</v>
      </c>
      <c r="K50" s="83">
        <v>1</v>
      </c>
      <c r="L50" s="83">
        <v>0.5963401290103455</v>
      </c>
      <c r="M50" s="84">
        <v>0.59995313955039975</v>
      </c>
      <c r="O50" s="219">
        <f t="shared" si="5"/>
        <v>1.6800931910964838</v>
      </c>
    </row>
    <row r="51" spans="1:15">
      <c r="A51" s="14" t="str">
        <f t="shared" si="6"/>
        <v>Onroerend goed</v>
      </c>
      <c r="B51" s="81">
        <v>0.1</v>
      </c>
      <c r="C51" s="16">
        <v>4.5012752266001411E-2</v>
      </c>
      <c r="D51" s="83">
        <v>3.5822451174318047E-3</v>
      </c>
      <c r="E51" s="83">
        <v>1.858026967986098E-2</v>
      </c>
      <c r="F51" s="83">
        <v>-0.50837562909649403</v>
      </c>
      <c r="G51" s="83">
        <v>-0.19169269003526085</v>
      </c>
      <c r="H51" s="83">
        <v>0.36524185555725203</v>
      </c>
      <c r="I51" s="83">
        <v>0.27422999844954549</v>
      </c>
      <c r="J51" s="83">
        <v>-0.10834128652608002</v>
      </c>
      <c r="K51" s="83">
        <v>0.5963401290103455</v>
      </c>
      <c r="L51" s="83">
        <v>1</v>
      </c>
      <c r="M51" s="84">
        <v>0.25209072177066155</v>
      </c>
      <c r="O51" s="219">
        <f t="shared" si="5"/>
        <v>3.3323889886488134</v>
      </c>
    </row>
    <row r="52" spans="1:15">
      <c r="A52" s="15" t="str">
        <f t="shared" si="6"/>
        <v>Commodities</v>
      </c>
      <c r="B52" s="85">
        <v>0.3</v>
      </c>
      <c r="C52" s="80">
        <v>0.24000100250644987</v>
      </c>
      <c r="D52" s="86">
        <v>-0.59553015068970083</v>
      </c>
      <c r="E52" s="86">
        <v>-6.2891000894740104E-2</v>
      </c>
      <c r="F52" s="86">
        <v>-0.3413226999300798</v>
      </c>
      <c r="G52" s="86">
        <v>-5.966728564239053E-2</v>
      </c>
      <c r="H52" s="86">
        <v>0.63500500673365901</v>
      </c>
      <c r="I52" s="86">
        <v>0.19735584395418732</v>
      </c>
      <c r="J52" s="86">
        <v>0.48414208285410354</v>
      </c>
      <c r="K52" s="86">
        <v>0.59995313955039964</v>
      </c>
      <c r="L52" s="86">
        <v>0.25209072177066155</v>
      </c>
      <c r="M52" s="87">
        <v>1</v>
      </c>
      <c r="O52" s="220">
        <f t="shared" si="5"/>
        <v>1.4583272417397255</v>
      </c>
    </row>
    <row r="53" spans="1:15">
      <c r="A53" s="22"/>
      <c r="B53" s="81"/>
      <c r="C53" s="81"/>
      <c r="D53" s="83"/>
      <c r="E53" s="83"/>
      <c r="F53" s="83"/>
      <c r="G53" s="83"/>
      <c r="H53" s="83"/>
      <c r="I53" s="83"/>
      <c r="J53" s="83"/>
      <c r="K53" s="83"/>
      <c r="L53" s="83"/>
      <c r="M53" s="83"/>
    </row>
    <row r="55" spans="1:15">
      <c r="A55" s="88" t="str">
        <f>Parameters!A27</f>
        <v>Schuld deflatie</v>
      </c>
      <c r="B55" s="89" t="s">
        <v>116</v>
      </c>
      <c r="C55" s="17" t="s">
        <v>117</v>
      </c>
      <c r="D55" s="89" t="s">
        <v>118</v>
      </c>
      <c r="E55" s="89" t="s">
        <v>119</v>
      </c>
      <c r="F55" s="90" t="s">
        <v>73</v>
      </c>
      <c r="G55" s="89" t="s">
        <v>120</v>
      </c>
      <c r="H55" s="89" t="s">
        <v>0</v>
      </c>
      <c r="I55" s="89" t="s">
        <v>121</v>
      </c>
      <c r="J55" s="89" t="s">
        <v>122</v>
      </c>
      <c r="K55" s="89" t="s">
        <v>123</v>
      </c>
      <c r="L55" s="89" t="s">
        <v>1</v>
      </c>
      <c r="M55" s="8" t="s">
        <v>124</v>
      </c>
      <c r="O55" s="221" t="s">
        <v>203</v>
      </c>
    </row>
    <row r="56" spans="1:15">
      <c r="A56" s="14" t="str">
        <f>A43</f>
        <v>Nominale VPV</v>
      </c>
      <c r="B56" s="81">
        <v>0.1</v>
      </c>
      <c r="C56" s="16">
        <v>8.6194584132599505E-2</v>
      </c>
      <c r="D56" s="83">
        <v>1.0000000000000002</v>
      </c>
      <c r="E56" s="83">
        <v>0.51674924631972186</v>
      </c>
      <c r="F56" s="83">
        <v>4.1979419224105179E-3</v>
      </c>
      <c r="G56" s="83">
        <v>-6.3258331856385644E-2</v>
      </c>
      <c r="H56" s="83">
        <v>0.13398532539248237</v>
      </c>
      <c r="I56" s="83">
        <v>-8.4395425793769019E-2</v>
      </c>
      <c r="J56" s="83">
        <v>-0.27475543975452299</v>
      </c>
      <c r="K56" s="83">
        <v>-0.1868594612216192</v>
      </c>
      <c r="L56" s="83">
        <v>4.4637286702134231E-2</v>
      </c>
      <c r="M56" s="84">
        <v>-0.3269968655520884</v>
      </c>
      <c r="O56" s="218">
        <f t="shared" ref="O56:O65" si="7">(B56-$B$56)/C56</f>
        <v>0</v>
      </c>
    </row>
    <row r="57" spans="1:15">
      <c r="A57" s="14" t="str">
        <f t="shared" ref="A57:A65" si="8">A44</f>
        <v>Reele VPV</v>
      </c>
      <c r="B57" s="81">
        <v>0</v>
      </c>
      <c r="C57" s="16">
        <v>9.2765959842534246E-2</v>
      </c>
      <c r="D57" s="83">
        <v>0.51674924631972174</v>
      </c>
      <c r="E57" s="83">
        <v>1.0000000000000002</v>
      </c>
      <c r="F57" s="83">
        <v>4.3072368119914724E-2</v>
      </c>
      <c r="G57" s="83">
        <v>0.20424782772137698</v>
      </c>
      <c r="H57" s="83">
        <v>0.10044242081760411</v>
      </c>
      <c r="I57" s="83">
        <v>0.1246601713980626</v>
      </c>
      <c r="J57" s="83">
        <v>6.3883814260893582E-2</v>
      </c>
      <c r="K57" s="83">
        <v>-0.10747494497381514</v>
      </c>
      <c r="L57" s="83">
        <v>-0.12471944249615811</v>
      </c>
      <c r="M57" s="84">
        <v>4.5753661638502094E-3</v>
      </c>
      <c r="O57" s="219">
        <f t="shared" si="7"/>
        <v>-1.0779816235367499</v>
      </c>
    </row>
    <row r="58" spans="1:15">
      <c r="A58" s="14" t="str">
        <f t="shared" si="8"/>
        <v>Credits</v>
      </c>
      <c r="B58" s="81">
        <v>0</v>
      </c>
      <c r="C58" s="16">
        <v>0.13025294980727972</v>
      </c>
      <c r="D58" s="83">
        <v>4.197941922410498E-3</v>
      </c>
      <c r="E58" s="83">
        <v>4.3072368119914745E-2</v>
      </c>
      <c r="F58" s="83">
        <v>0.99999999999999978</v>
      </c>
      <c r="G58" s="83">
        <v>0.31107926320048795</v>
      </c>
      <c r="H58" s="83">
        <v>0.16506691214630353</v>
      </c>
      <c r="I58" s="83">
        <v>0.23800868611887563</v>
      </c>
      <c r="J58" s="83">
        <v>0.18248421865457248</v>
      </c>
      <c r="K58" s="83">
        <v>0.33197507653131103</v>
      </c>
      <c r="L58" s="83">
        <v>-8.9690230849422944E-2</v>
      </c>
      <c r="M58" s="84">
        <v>0.23544230710480421</v>
      </c>
      <c r="O58" s="219">
        <f t="shared" si="7"/>
        <v>-0.76773693147033129</v>
      </c>
    </row>
    <row r="59" spans="1:15">
      <c r="A59" s="14" t="str">
        <f t="shared" si="8"/>
        <v>High Yield</v>
      </c>
      <c r="B59" s="81">
        <v>-0.1</v>
      </c>
      <c r="C59" s="16">
        <v>0.18997453507405415</v>
      </c>
      <c r="D59" s="83">
        <v>-6.3258331856385616E-2</v>
      </c>
      <c r="E59" s="83">
        <v>0.20424782772137695</v>
      </c>
      <c r="F59" s="83">
        <v>0.31107926320048795</v>
      </c>
      <c r="G59" s="83">
        <v>1</v>
      </c>
      <c r="H59" s="83">
        <v>0.69735507825935783</v>
      </c>
      <c r="I59" s="83">
        <v>0.69943824090467044</v>
      </c>
      <c r="J59" s="83">
        <v>0.75988055088322659</v>
      </c>
      <c r="K59" s="83">
        <v>0.64812851358876045</v>
      </c>
      <c r="L59" s="83">
        <v>-0.27185887625025107</v>
      </c>
      <c r="M59" s="84">
        <v>0.17013425725997428</v>
      </c>
      <c r="O59" s="219">
        <f t="shared" si="7"/>
        <v>-1.0527726777804078</v>
      </c>
    </row>
    <row r="60" spans="1:15">
      <c r="A60" s="14" t="str">
        <f t="shared" si="8"/>
        <v>Emerging market debt</v>
      </c>
      <c r="B60" s="81">
        <v>-0.08</v>
      </c>
      <c r="C60" s="16">
        <v>0.13469806325187572</v>
      </c>
      <c r="D60" s="83">
        <v>0.13398532539248242</v>
      </c>
      <c r="E60" s="83">
        <v>0.10044242081760411</v>
      </c>
      <c r="F60" s="83">
        <v>0.16506691214630353</v>
      </c>
      <c r="G60" s="83">
        <v>0.69735507825935783</v>
      </c>
      <c r="H60" s="83">
        <v>1</v>
      </c>
      <c r="I60" s="83">
        <v>0.6305200599096753</v>
      </c>
      <c r="J60" s="83">
        <v>0.60954394741615692</v>
      </c>
      <c r="K60" s="83">
        <v>0.76201295601556163</v>
      </c>
      <c r="L60" s="83">
        <v>0.10924680910024973</v>
      </c>
      <c r="M60" s="84">
        <v>0.45479970974854655</v>
      </c>
      <c r="O60" s="219">
        <f t="shared" si="7"/>
        <v>-1.3363221092749709</v>
      </c>
    </row>
    <row r="61" spans="1:15">
      <c r="A61" s="14" t="str">
        <f t="shared" si="8"/>
        <v>Aandelen ontwikkeld</v>
      </c>
      <c r="B61" s="81">
        <v>-0.2</v>
      </c>
      <c r="C61" s="16">
        <v>0.20737341521593242</v>
      </c>
      <c r="D61" s="83">
        <v>-8.4395425793769033E-2</v>
      </c>
      <c r="E61" s="83">
        <v>0.1246601713980626</v>
      </c>
      <c r="F61" s="83">
        <v>0.23800868611887563</v>
      </c>
      <c r="G61" s="83">
        <v>0.69943824090467055</v>
      </c>
      <c r="H61" s="83">
        <v>0.63052005990967508</v>
      </c>
      <c r="I61" s="83">
        <v>1</v>
      </c>
      <c r="J61" s="83">
        <v>0.80795656122490911</v>
      </c>
      <c r="K61" s="83">
        <v>0.76056580519300498</v>
      </c>
      <c r="L61" s="83">
        <v>-3.1615883077804392E-2</v>
      </c>
      <c r="M61" s="84">
        <v>0.38404202421766459</v>
      </c>
      <c r="O61" s="219">
        <f t="shared" si="7"/>
        <v>-1.4466656668002407</v>
      </c>
    </row>
    <row r="62" spans="1:15">
      <c r="A62" s="14" t="str">
        <f t="shared" si="8"/>
        <v>Aandelen opkomend</v>
      </c>
      <c r="B62" s="81">
        <v>-0.22</v>
      </c>
      <c r="C62" s="16">
        <v>0.37409163723699784</v>
      </c>
      <c r="D62" s="83">
        <v>-0.27475543975452299</v>
      </c>
      <c r="E62" s="83">
        <v>6.3883814260893595E-2</v>
      </c>
      <c r="F62" s="83">
        <v>0.18248421865457254</v>
      </c>
      <c r="G62" s="83">
        <v>0.75988055088322659</v>
      </c>
      <c r="H62" s="83">
        <v>0.60954394741615692</v>
      </c>
      <c r="I62" s="83">
        <v>0.80795656122490911</v>
      </c>
      <c r="J62" s="83">
        <v>1</v>
      </c>
      <c r="K62" s="83">
        <v>0.64651256210412789</v>
      </c>
      <c r="L62" s="83">
        <v>-0.26434753118346921</v>
      </c>
      <c r="M62" s="84">
        <v>0.26622070535855807</v>
      </c>
      <c r="O62" s="219">
        <f t="shared" si="7"/>
        <v>-0.85540538239102837</v>
      </c>
    </row>
    <row r="63" spans="1:15">
      <c r="A63" s="14" t="str">
        <f t="shared" si="8"/>
        <v>Hedge funds</v>
      </c>
      <c r="B63" s="81">
        <v>-0.12</v>
      </c>
      <c r="C63" s="16">
        <v>7.9877055056693097E-2</v>
      </c>
      <c r="D63" s="83">
        <v>-0.1868594612216192</v>
      </c>
      <c r="E63" s="83">
        <v>-0.10747494497381514</v>
      </c>
      <c r="F63" s="83">
        <v>0.33197507653131109</v>
      </c>
      <c r="G63" s="83">
        <v>0.64812851358876056</v>
      </c>
      <c r="H63" s="83">
        <v>0.76201295601556163</v>
      </c>
      <c r="I63" s="83">
        <v>0.7605658051930051</v>
      </c>
      <c r="J63" s="83">
        <v>0.64651256210412789</v>
      </c>
      <c r="K63" s="83">
        <v>1</v>
      </c>
      <c r="L63" s="83">
        <v>0.3715335278231775</v>
      </c>
      <c r="M63" s="84">
        <v>0.47809375922233899</v>
      </c>
      <c r="O63" s="219">
        <f t="shared" si="7"/>
        <v>-2.7542327373468392</v>
      </c>
    </row>
    <row r="64" spans="1:15">
      <c r="A64" s="14" t="str">
        <f t="shared" si="8"/>
        <v>Onroerend goed</v>
      </c>
      <c r="B64" s="81">
        <v>-0.1</v>
      </c>
      <c r="C64" s="16">
        <v>4.1596667399283721E-2</v>
      </c>
      <c r="D64" s="83">
        <v>4.4637286702134231E-2</v>
      </c>
      <c r="E64" s="83">
        <v>-0.12471944249615813</v>
      </c>
      <c r="F64" s="83">
        <v>-8.9690230849422917E-2</v>
      </c>
      <c r="G64" s="83">
        <v>-0.27185887625025107</v>
      </c>
      <c r="H64" s="83">
        <v>0.10924680910024973</v>
      </c>
      <c r="I64" s="83">
        <v>-3.1615883077804392E-2</v>
      </c>
      <c r="J64" s="83">
        <v>-0.26434753118346921</v>
      </c>
      <c r="K64" s="83">
        <v>0.3715335278231775</v>
      </c>
      <c r="L64" s="83">
        <v>1</v>
      </c>
      <c r="M64" s="84">
        <v>0.14223052353142027</v>
      </c>
      <c r="O64" s="219">
        <f t="shared" si="7"/>
        <v>-4.8080774856363595</v>
      </c>
    </row>
    <row r="65" spans="1:15">
      <c r="A65" s="15" t="str">
        <f t="shared" si="8"/>
        <v>Commodities</v>
      </c>
      <c r="B65" s="85">
        <v>-0.25</v>
      </c>
      <c r="C65" s="80">
        <v>0.27318303732632071</v>
      </c>
      <c r="D65" s="86">
        <v>-0.3269968655520884</v>
      </c>
      <c r="E65" s="86">
        <v>4.5753661638502268E-3</v>
      </c>
      <c r="F65" s="86">
        <v>0.23544230710480424</v>
      </c>
      <c r="G65" s="86">
        <v>0.1701342572599743</v>
      </c>
      <c r="H65" s="86">
        <v>0.45479970974854655</v>
      </c>
      <c r="I65" s="86">
        <v>0.38404202421766459</v>
      </c>
      <c r="J65" s="86">
        <v>0.26622070535855807</v>
      </c>
      <c r="K65" s="86">
        <v>0.47809375922233899</v>
      </c>
      <c r="L65" s="86">
        <v>0.14223052353142027</v>
      </c>
      <c r="M65" s="87">
        <v>0.99999999999999978</v>
      </c>
      <c r="O65" s="220">
        <f t="shared" si="7"/>
        <v>-1.2811922856759235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13"/>
  </sheetPr>
  <dimension ref="A1:O65"/>
  <sheetViews>
    <sheetView zoomScale="75" workbookViewId="0">
      <selection activeCell="O1" sqref="O1:O1048576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82"/>
      <c r="D2" s="305" t="s">
        <v>7</v>
      </c>
      <c r="E2" s="305"/>
      <c r="F2" s="305"/>
      <c r="G2" s="305"/>
      <c r="H2" s="305"/>
      <c r="I2" s="305"/>
      <c r="J2" s="305"/>
      <c r="K2" s="305"/>
      <c r="L2" s="305"/>
      <c r="M2" s="305"/>
    </row>
    <row r="3" spans="1:15">
      <c r="A3" s="88" t="str">
        <f>Parameters!A40</f>
        <v>Basis</v>
      </c>
      <c r="B3" s="89" t="s">
        <v>116</v>
      </c>
      <c r="C3" s="17" t="s">
        <v>117</v>
      </c>
      <c r="D3" s="89" t="s">
        <v>118</v>
      </c>
      <c r="E3" s="89" t="s">
        <v>119</v>
      </c>
      <c r="F3" s="90" t="s">
        <v>73</v>
      </c>
      <c r="G3" s="89" t="s">
        <v>120</v>
      </c>
      <c r="H3" s="89" t="s">
        <v>0</v>
      </c>
      <c r="I3" s="89" t="s">
        <v>121</v>
      </c>
      <c r="J3" s="89" t="s">
        <v>122</v>
      </c>
      <c r="K3" s="89" t="s">
        <v>123</v>
      </c>
      <c r="L3" s="89" t="s">
        <v>1</v>
      </c>
      <c r="M3" s="8" t="s">
        <v>124</v>
      </c>
      <c r="O3" s="221" t="s">
        <v>203</v>
      </c>
    </row>
    <row r="4" spans="1:15">
      <c r="A4" s="102" t="str">
        <f>Parameters!A99</f>
        <v>Nominale VPV</v>
      </c>
      <c r="B4" s="131">
        <v>0.03</v>
      </c>
      <c r="C4" s="132">
        <v>9.3036505477973097E-2</v>
      </c>
      <c r="D4" s="83">
        <v>1</v>
      </c>
      <c r="E4" s="83">
        <v>0.39310073358981634</v>
      </c>
      <c r="F4" s="83">
        <v>0.20929446791729706</v>
      </c>
      <c r="G4" s="83">
        <v>0.21633822527798038</v>
      </c>
      <c r="H4" s="83">
        <v>7.2272238989822338E-2</v>
      </c>
      <c r="I4" s="83">
        <v>8.9492370363700224E-2</v>
      </c>
      <c r="J4" s="83">
        <v>-0.17062817388407636</v>
      </c>
      <c r="K4" s="83">
        <v>-0.19012041366495921</v>
      </c>
      <c r="L4" s="83">
        <v>-4.7308632130733691E-2</v>
      </c>
      <c r="M4" s="84">
        <v>-0.45881257160059641</v>
      </c>
      <c r="O4" s="218">
        <f>(B4-$B$4)/C4</f>
        <v>0</v>
      </c>
    </row>
    <row r="5" spans="1:15">
      <c r="A5" s="14" t="str">
        <f>Parameters!A100</f>
        <v>Reele VPV</v>
      </c>
      <c r="B5" s="131">
        <v>0.03</v>
      </c>
      <c r="C5" s="132">
        <v>0.107113123666156</v>
      </c>
      <c r="D5" s="83">
        <v>0.39310073358981634</v>
      </c>
      <c r="E5" s="83">
        <v>1</v>
      </c>
      <c r="F5" s="83">
        <v>0.15199304535500063</v>
      </c>
      <c r="G5" s="83">
        <v>0.24896674047832401</v>
      </c>
      <c r="H5" s="83">
        <v>-4.8620827985643912E-2</v>
      </c>
      <c r="I5" s="83">
        <v>0.12380923643016063</v>
      </c>
      <c r="J5" s="83">
        <v>5.6701855877734457E-2</v>
      </c>
      <c r="K5" s="83">
        <v>-0.14234647836130293</v>
      </c>
      <c r="L5" s="83">
        <v>-0.11987909632091487</v>
      </c>
      <c r="M5" s="84">
        <v>-8.7674543304863753E-2</v>
      </c>
      <c r="O5" s="219">
        <f t="shared" ref="O5:O13" si="0">(B5-$B$4)/C5</f>
        <v>0</v>
      </c>
    </row>
    <row r="6" spans="1:15">
      <c r="A6" s="14" t="str">
        <f>Parameters!A101</f>
        <v>Credits</v>
      </c>
      <c r="B6" s="131">
        <v>5.5641316288239581E-2</v>
      </c>
      <c r="C6" s="132">
        <v>0.14514041524285745</v>
      </c>
      <c r="D6" s="83">
        <v>0.20929446791729706</v>
      </c>
      <c r="E6" s="83">
        <v>0.15199304535500063</v>
      </c>
      <c r="F6" s="83">
        <v>1</v>
      </c>
      <c r="G6" s="83">
        <v>0.27817222657699892</v>
      </c>
      <c r="H6" s="83">
        <v>-3.7036476676643094E-2</v>
      </c>
      <c r="I6" s="83">
        <v>-2.0652245548069121E-2</v>
      </c>
      <c r="J6" s="83">
        <v>-4.7238096976150878E-4</v>
      </c>
      <c r="K6" s="83">
        <v>3.5291346298508892E-2</v>
      </c>
      <c r="L6" s="83">
        <v>-0.1471489633450169</v>
      </c>
      <c r="M6" s="84">
        <v>3.884979309220634E-2</v>
      </c>
      <c r="O6" s="219">
        <f t="shared" si="0"/>
        <v>0.17666558446408623</v>
      </c>
    </row>
    <row r="7" spans="1:15">
      <c r="A7" s="14" t="str">
        <f>Parameters!A102</f>
        <v>High Yield</v>
      </c>
      <c r="B7" s="131">
        <v>5.6496387380050681E-2</v>
      </c>
      <c r="C7" s="132">
        <v>0.15212518033194122</v>
      </c>
      <c r="D7" s="83">
        <v>0.21633822527798038</v>
      </c>
      <c r="E7" s="83">
        <v>0.24896674047832401</v>
      </c>
      <c r="F7" s="83">
        <v>0.27817222657699892</v>
      </c>
      <c r="G7" s="83">
        <v>1</v>
      </c>
      <c r="H7" s="83">
        <v>0.54947077664382238</v>
      </c>
      <c r="I7" s="83">
        <v>0.6512857171069153</v>
      </c>
      <c r="J7" s="83">
        <v>0.66085351889108523</v>
      </c>
      <c r="K7" s="83">
        <v>0.4247516304214663</v>
      </c>
      <c r="L7" s="83">
        <v>-0.32361654199607631</v>
      </c>
      <c r="M7" s="84">
        <v>-2.2300336358685715E-3</v>
      </c>
      <c r="O7" s="219">
        <f t="shared" si="0"/>
        <v>0.17417489545277681</v>
      </c>
    </row>
    <row r="8" spans="1:15">
      <c r="A8" s="14" t="str">
        <f>Parameters!A103</f>
        <v>Emerging market debt</v>
      </c>
      <c r="B8" s="131">
        <v>5.6528262962781142E-2</v>
      </c>
      <c r="C8" s="132">
        <v>0.13758409078549244</v>
      </c>
      <c r="D8" s="83">
        <v>7.2272238989822338E-2</v>
      </c>
      <c r="E8" s="83">
        <v>-4.8620827985643912E-2</v>
      </c>
      <c r="F8" s="83">
        <v>-3.7036476676643094E-2</v>
      </c>
      <c r="G8" s="83">
        <v>0.54947077664382238</v>
      </c>
      <c r="H8" s="83">
        <v>1</v>
      </c>
      <c r="I8" s="83">
        <v>0.43704301175382931</v>
      </c>
      <c r="J8" s="83">
        <v>0.47448318291761821</v>
      </c>
      <c r="K8" s="83">
        <v>0.75975680806732404</v>
      </c>
      <c r="L8" s="83">
        <v>0.22497345871183994</v>
      </c>
      <c r="M8" s="84">
        <v>0.50014707286156279</v>
      </c>
      <c r="O8" s="219">
        <f t="shared" si="0"/>
        <v>0.19281490186348216</v>
      </c>
    </row>
    <row r="9" spans="1:15">
      <c r="A9" s="14" t="str">
        <f>Parameters!A104</f>
        <v>Aandelen ontwikkeld</v>
      </c>
      <c r="B9" s="131">
        <v>6.4356314621335148E-2</v>
      </c>
      <c r="C9" s="132">
        <v>0.19354582049076965</v>
      </c>
      <c r="D9" s="83">
        <v>8.9492370363700224E-2</v>
      </c>
      <c r="E9" s="83">
        <v>0.12380923643016063</v>
      </c>
      <c r="F9" s="83">
        <v>-2.0652245548069121E-2</v>
      </c>
      <c r="G9" s="83">
        <v>0.6512857171069153</v>
      </c>
      <c r="H9" s="83">
        <v>0.43704301175382931</v>
      </c>
      <c r="I9" s="83">
        <v>1</v>
      </c>
      <c r="J9" s="83">
        <v>0.75270312398485784</v>
      </c>
      <c r="K9" s="83">
        <v>0.57172393447966652</v>
      </c>
      <c r="L9" s="83">
        <v>-3.5193060592075505E-2</v>
      </c>
      <c r="M9" s="84">
        <v>0.10395609042534409</v>
      </c>
      <c r="O9" s="219">
        <f t="shared" si="0"/>
        <v>0.17750997946749064</v>
      </c>
    </row>
    <row r="10" spans="1:15">
      <c r="A10" s="14" t="str">
        <f>Parameters!A105</f>
        <v>Aandelen opkomend</v>
      </c>
      <c r="B10" s="131">
        <v>9.1561672924114379E-2</v>
      </c>
      <c r="C10" s="132">
        <v>0.34249727755342518</v>
      </c>
      <c r="D10" s="83">
        <v>-0.17062817388407636</v>
      </c>
      <c r="E10" s="83">
        <v>5.6701855877734457E-2</v>
      </c>
      <c r="F10" s="83">
        <v>-4.7238096976150878E-4</v>
      </c>
      <c r="G10" s="83">
        <v>0.66085351889108523</v>
      </c>
      <c r="H10" s="83">
        <v>0.47448318291761821</v>
      </c>
      <c r="I10" s="83">
        <v>0.75270312398485784</v>
      </c>
      <c r="J10" s="83">
        <v>1</v>
      </c>
      <c r="K10" s="83">
        <v>0.43308445119592942</v>
      </c>
      <c r="L10" s="83">
        <v>-0.33706927145387583</v>
      </c>
      <c r="M10" s="84">
        <v>0.21126029655546014</v>
      </c>
      <c r="O10" s="219">
        <f>(B10-$B$4)/C10</f>
        <v>0.17974353946364302</v>
      </c>
    </row>
    <row r="11" spans="1:15">
      <c r="A11" s="14" t="str">
        <f>Parameters!A106</f>
        <v>Hedge funds</v>
      </c>
      <c r="B11" s="131">
        <v>5.1135067781966595E-2</v>
      </c>
      <c r="C11" s="132">
        <v>7.2522493236444635E-2</v>
      </c>
      <c r="D11" s="83">
        <v>-0.19012041366495921</v>
      </c>
      <c r="E11" s="83">
        <v>-0.14234647836130293</v>
      </c>
      <c r="F11" s="83">
        <v>3.5291346298508892E-2</v>
      </c>
      <c r="G11" s="83">
        <v>0.4247516304214663</v>
      </c>
      <c r="H11" s="83">
        <v>0.75975680806732404</v>
      </c>
      <c r="I11" s="83">
        <v>0.57172393447966652</v>
      </c>
      <c r="J11" s="83">
        <v>0.43308445119592942</v>
      </c>
      <c r="K11" s="83">
        <v>1</v>
      </c>
      <c r="L11" s="83">
        <v>0.53144909307162114</v>
      </c>
      <c r="M11" s="84">
        <v>0.50768184408405903</v>
      </c>
      <c r="O11" s="219">
        <f t="shared" si="0"/>
        <v>0.29142776039235258</v>
      </c>
    </row>
    <row r="12" spans="1:15">
      <c r="A12" s="14" t="str">
        <f>Parameters!A107</f>
        <v>Onroerend goed</v>
      </c>
      <c r="B12" s="131">
        <v>4.7615162118704334E-2</v>
      </c>
      <c r="C12" s="132">
        <v>4.9766484543779667E-2</v>
      </c>
      <c r="D12" s="83">
        <v>-4.7308632130733691E-2</v>
      </c>
      <c r="E12" s="83">
        <v>-0.11987909632091487</v>
      </c>
      <c r="F12" s="83">
        <v>-0.1471489633450169</v>
      </c>
      <c r="G12" s="83">
        <v>-0.32361654199607631</v>
      </c>
      <c r="H12" s="83">
        <v>0.22497345871183994</v>
      </c>
      <c r="I12" s="83">
        <v>-3.5193060592075505E-2</v>
      </c>
      <c r="J12" s="83">
        <v>-0.33706927145387583</v>
      </c>
      <c r="K12" s="83">
        <v>0.53144909307162114</v>
      </c>
      <c r="L12" s="83">
        <v>1</v>
      </c>
      <c r="M12" s="84">
        <v>0.24828282028996468</v>
      </c>
      <c r="O12" s="219">
        <f t="shared" si="0"/>
        <v>0.35395632784164699</v>
      </c>
    </row>
    <row r="13" spans="1:15">
      <c r="A13" s="15" t="str">
        <f>Parameters!A108</f>
        <v>Commodities</v>
      </c>
      <c r="B13" s="135">
        <v>8.0977052013787992E-2</v>
      </c>
      <c r="C13" s="136">
        <v>0.25247140962754983</v>
      </c>
      <c r="D13" s="86">
        <v>-0.45881257160059641</v>
      </c>
      <c r="E13" s="86">
        <v>-8.7674543304863753E-2</v>
      </c>
      <c r="F13" s="86">
        <v>3.884979309220634E-2</v>
      </c>
      <c r="G13" s="86">
        <v>-2.2300336358685715E-3</v>
      </c>
      <c r="H13" s="86">
        <v>0.50014707286156279</v>
      </c>
      <c r="I13" s="86">
        <v>0.10395609042534409</v>
      </c>
      <c r="J13" s="86">
        <v>0.21126029655546014</v>
      </c>
      <c r="K13" s="86">
        <v>0.50768184408405903</v>
      </c>
      <c r="L13" s="86">
        <v>0.24828282028996468</v>
      </c>
      <c r="M13" s="87">
        <v>1</v>
      </c>
      <c r="O13" s="220">
        <f t="shared" si="0"/>
        <v>0.20191217725995281</v>
      </c>
    </row>
    <row r="15" spans="1:15">
      <c r="A15" s="2" t="s">
        <v>125</v>
      </c>
    </row>
    <row r="16" spans="1:15">
      <c r="A16" s="88" t="str">
        <f>Parameters!A41</f>
        <v>Groei recessie</v>
      </c>
      <c r="B16" s="89" t="s">
        <v>116</v>
      </c>
      <c r="C16" s="17" t="s">
        <v>117</v>
      </c>
      <c r="D16" s="89" t="s">
        <v>118</v>
      </c>
      <c r="E16" s="89" t="s">
        <v>119</v>
      </c>
      <c r="F16" s="90" t="s">
        <v>73</v>
      </c>
      <c r="G16" s="89" t="s">
        <v>120</v>
      </c>
      <c r="H16" s="89" t="s">
        <v>0</v>
      </c>
      <c r="I16" s="89" t="s">
        <v>121</v>
      </c>
      <c r="J16" s="89" t="s">
        <v>122</v>
      </c>
      <c r="K16" s="89" t="s">
        <v>123</v>
      </c>
      <c r="L16" s="89" t="s">
        <v>1</v>
      </c>
      <c r="M16" s="8" t="s">
        <v>124</v>
      </c>
      <c r="O16" s="221" t="s">
        <v>203</v>
      </c>
    </row>
    <row r="17" spans="1:15">
      <c r="A17" s="14" t="str">
        <f t="shared" ref="A17:A26" si="1">A4</f>
        <v>Nominale VPV</v>
      </c>
      <c r="B17" s="131">
        <v>2.5000000000000001E-2</v>
      </c>
      <c r="C17" s="132">
        <v>8.8591242014319421E-2</v>
      </c>
      <c r="D17" s="83">
        <v>1</v>
      </c>
      <c r="E17" s="83">
        <v>0.40184493187990666</v>
      </c>
      <c r="F17" s="83">
        <v>0.15995491314897739</v>
      </c>
      <c r="G17" s="83">
        <v>0.22929517705453259</v>
      </c>
      <c r="H17" s="83">
        <v>0.19507786729221233</v>
      </c>
      <c r="I17" s="83">
        <v>0.16837381667341061</v>
      </c>
      <c r="J17" s="83">
        <v>-0.15009143517827533</v>
      </c>
      <c r="K17" s="83">
        <v>1.594568878094979E-2</v>
      </c>
      <c r="L17" s="83">
        <v>9.2804132198836861E-2</v>
      </c>
      <c r="M17" s="84">
        <v>-0.308333008412082</v>
      </c>
      <c r="O17" s="218">
        <f t="shared" ref="O17:O26" si="2">(B17-$B$17)/C17</f>
        <v>0</v>
      </c>
    </row>
    <row r="18" spans="1:15">
      <c r="A18" s="14" t="str">
        <f t="shared" si="1"/>
        <v>Reele VPV</v>
      </c>
      <c r="B18" s="131">
        <v>0.01</v>
      </c>
      <c r="C18" s="132">
        <v>9.4624013099432344E-2</v>
      </c>
      <c r="D18" s="83">
        <v>0.40184493187990666</v>
      </c>
      <c r="E18" s="83">
        <v>1</v>
      </c>
      <c r="F18" s="83">
        <v>7.3024739776951592E-2</v>
      </c>
      <c r="G18" s="83">
        <v>0.24957100429948684</v>
      </c>
      <c r="H18" s="83">
        <v>5.6302424381776899E-2</v>
      </c>
      <c r="I18" s="83">
        <v>0.18010007650590723</v>
      </c>
      <c r="J18" s="83">
        <v>4.1123402230865011E-2</v>
      </c>
      <c r="K18" s="83">
        <v>-5.8456513256369011E-2</v>
      </c>
      <c r="L18" s="83">
        <v>-6.3554935599409113E-2</v>
      </c>
      <c r="M18" s="84">
        <v>6.4440977839142322E-2</v>
      </c>
      <c r="O18" s="219">
        <f t="shared" si="2"/>
        <v>-0.15852212888326533</v>
      </c>
    </row>
    <row r="19" spans="1:15">
      <c r="A19" s="14" t="str">
        <f t="shared" si="1"/>
        <v>Credits</v>
      </c>
      <c r="B19" s="131">
        <v>0.04</v>
      </c>
      <c r="C19" s="132">
        <v>0.14243405169975157</v>
      </c>
      <c r="D19" s="83">
        <v>0.15995491314897739</v>
      </c>
      <c r="E19" s="83">
        <v>7.3024739776951592E-2</v>
      </c>
      <c r="F19" s="83">
        <v>1</v>
      </c>
      <c r="G19" s="83">
        <v>0.17194053611607119</v>
      </c>
      <c r="H19" s="83">
        <v>-0.17859422647025461</v>
      </c>
      <c r="I19" s="83">
        <v>-7.1320265582970346E-2</v>
      </c>
      <c r="J19" s="83">
        <v>-1.4259094177622124E-2</v>
      </c>
      <c r="K19" s="83">
        <v>-0.1766513125413037</v>
      </c>
      <c r="L19" s="83">
        <v>-0.33668810515977632</v>
      </c>
      <c r="M19" s="84">
        <v>-9.8135968127318798E-2</v>
      </c>
      <c r="O19" s="219">
        <f t="shared" si="2"/>
        <v>0.10531189572293942</v>
      </c>
    </row>
    <row r="20" spans="1:15">
      <c r="A20" s="14" t="str">
        <f t="shared" si="1"/>
        <v>High Yield</v>
      </c>
      <c r="B20" s="131">
        <v>5.5E-2</v>
      </c>
      <c r="C20" s="132">
        <v>0.13468309234470341</v>
      </c>
      <c r="D20" s="83">
        <v>0.22929517705453259</v>
      </c>
      <c r="E20" s="83">
        <v>0.24957100429948684</v>
      </c>
      <c r="F20" s="83">
        <v>0.17194053611607119</v>
      </c>
      <c r="G20" s="83">
        <v>1</v>
      </c>
      <c r="H20" s="83">
        <v>0.54288138044111167</v>
      </c>
      <c r="I20" s="83">
        <v>0.5078087733991733</v>
      </c>
      <c r="J20" s="83">
        <v>0.5465051373612908</v>
      </c>
      <c r="K20" s="83">
        <v>0.39030841210385248</v>
      </c>
      <c r="L20" s="83">
        <v>-0.3914696516863625</v>
      </c>
      <c r="M20" s="84">
        <v>-0.17500430525050642</v>
      </c>
      <c r="O20" s="219">
        <f t="shared" si="2"/>
        <v>0.22274510837053696</v>
      </c>
    </row>
    <row r="21" spans="1:15">
      <c r="A21" s="14" t="str">
        <f t="shared" si="1"/>
        <v>Emerging market debt</v>
      </c>
      <c r="B21" s="131">
        <v>0.05</v>
      </c>
      <c r="C21" s="132">
        <v>0.1385692923441946</v>
      </c>
      <c r="D21" s="83">
        <v>0.19507786729221233</v>
      </c>
      <c r="E21" s="83">
        <v>5.6302424381776899E-2</v>
      </c>
      <c r="F21" s="83">
        <v>-0.17859422647025461</v>
      </c>
      <c r="G21" s="83">
        <v>0.54288138044111167</v>
      </c>
      <c r="H21" s="83">
        <v>1</v>
      </c>
      <c r="I21" s="83">
        <v>0.3510898885613386</v>
      </c>
      <c r="J21" s="83">
        <v>0.4594817725283748</v>
      </c>
      <c r="K21" s="83">
        <v>0.77810700823304912</v>
      </c>
      <c r="L21" s="83">
        <v>0.15682167520299556</v>
      </c>
      <c r="M21" s="84">
        <v>0.35743556383193953</v>
      </c>
      <c r="O21" s="219">
        <f t="shared" si="2"/>
        <v>0.18041515242714873</v>
      </c>
    </row>
    <row r="22" spans="1:15">
      <c r="A22" s="14" t="str">
        <f t="shared" si="1"/>
        <v>Aandelen ontwikkeld</v>
      </c>
      <c r="B22" s="131">
        <v>0.05</v>
      </c>
      <c r="C22" s="132">
        <v>0.15673968020583798</v>
      </c>
      <c r="D22" s="83">
        <v>0.16837381667341061</v>
      </c>
      <c r="E22" s="83">
        <v>0.18010007650590723</v>
      </c>
      <c r="F22" s="83">
        <v>-7.1320265582970346E-2</v>
      </c>
      <c r="G22" s="83">
        <v>0.5078087733991733</v>
      </c>
      <c r="H22" s="83">
        <v>0.3510898885613386</v>
      </c>
      <c r="I22" s="83">
        <v>1</v>
      </c>
      <c r="J22" s="83">
        <v>0.61858982897877646</v>
      </c>
      <c r="K22" s="83">
        <v>0.50777142759053995</v>
      </c>
      <c r="L22" s="83">
        <v>-7.8578760166313544E-2</v>
      </c>
      <c r="M22" s="84">
        <v>-4.0376254375290452E-2</v>
      </c>
      <c r="O22" s="219">
        <f t="shared" si="2"/>
        <v>0.15950013402584984</v>
      </c>
    </row>
    <row r="23" spans="1:15">
      <c r="A23" s="14" t="str">
        <f t="shared" si="1"/>
        <v>Aandelen opkomend</v>
      </c>
      <c r="B23" s="131">
        <v>0.04</v>
      </c>
      <c r="C23" s="132">
        <v>0.31847276366102961</v>
      </c>
      <c r="D23" s="83">
        <v>-0.15009143517827533</v>
      </c>
      <c r="E23" s="83">
        <v>4.1123402230865011E-2</v>
      </c>
      <c r="F23" s="83">
        <v>-1.4259094177622124E-2</v>
      </c>
      <c r="G23" s="83">
        <v>0.5465051373612908</v>
      </c>
      <c r="H23" s="83">
        <v>0.4594817725283748</v>
      </c>
      <c r="I23" s="83">
        <v>0.61858982897877646</v>
      </c>
      <c r="J23" s="83">
        <v>1</v>
      </c>
      <c r="K23" s="83">
        <v>0.40064289085686372</v>
      </c>
      <c r="L23" s="83">
        <v>-0.37740016820046274</v>
      </c>
      <c r="M23" s="84">
        <v>8.3149177388175191E-2</v>
      </c>
      <c r="O23" s="219">
        <f t="shared" si="2"/>
        <v>4.7099789092060106E-2</v>
      </c>
    </row>
    <row r="24" spans="1:15">
      <c r="A24" s="14" t="str">
        <f t="shared" si="1"/>
        <v>Hedge funds</v>
      </c>
      <c r="B24" s="131">
        <v>0.06</v>
      </c>
      <c r="C24" s="132">
        <v>5.37595108930254E-2</v>
      </c>
      <c r="D24" s="83">
        <v>1.594568878094979E-2</v>
      </c>
      <c r="E24" s="83">
        <v>-5.8456513256369011E-2</v>
      </c>
      <c r="F24" s="83">
        <v>-0.1766513125413037</v>
      </c>
      <c r="G24" s="83">
        <v>0.39030841210385248</v>
      </c>
      <c r="H24" s="83">
        <v>0.77810700823304912</v>
      </c>
      <c r="I24" s="83">
        <v>0.50777142759053995</v>
      </c>
      <c r="J24" s="83">
        <v>0.40064289085686372</v>
      </c>
      <c r="K24" s="83">
        <v>1</v>
      </c>
      <c r="L24" s="83">
        <v>0.38529743993952209</v>
      </c>
      <c r="M24" s="84">
        <v>0.21824090572982063</v>
      </c>
      <c r="O24" s="219">
        <f t="shared" si="2"/>
        <v>0.65104758987940858</v>
      </c>
    </row>
    <row r="25" spans="1:15">
      <c r="A25" s="14" t="str">
        <f t="shared" si="1"/>
        <v>Onroerend goed</v>
      </c>
      <c r="B25" s="131">
        <v>2.5000000000000001E-2</v>
      </c>
      <c r="C25" s="132">
        <v>3.967265770589553E-2</v>
      </c>
      <c r="D25" s="83">
        <v>9.2804132198836861E-2</v>
      </c>
      <c r="E25" s="83">
        <v>-6.3554935599409113E-2</v>
      </c>
      <c r="F25" s="83">
        <v>-0.33668810515977632</v>
      </c>
      <c r="G25" s="83">
        <v>-0.3914696516863625</v>
      </c>
      <c r="H25" s="83">
        <v>0.15682167520299556</v>
      </c>
      <c r="I25" s="83">
        <v>-7.8578760166313544E-2</v>
      </c>
      <c r="J25" s="83">
        <v>-0.37740016820046274</v>
      </c>
      <c r="K25" s="83">
        <v>0.38529743993952209</v>
      </c>
      <c r="L25" s="83">
        <v>1</v>
      </c>
      <c r="M25" s="84">
        <v>9.7062485763145523E-2</v>
      </c>
      <c r="O25" s="219">
        <f t="shared" si="2"/>
        <v>0</v>
      </c>
    </row>
    <row r="26" spans="1:15">
      <c r="A26" s="15" t="str">
        <f t="shared" si="1"/>
        <v>Commodities</v>
      </c>
      <c r="B26" s="135">
        <v>0</v>
      </c>
      <c r="C26" s="136">
        <v>0.23090107803263141</v>
      </c>
      <c r="D26" s="86">
        <v>-0.308333008412082</v>
      </c>
      <c r="E26" s="86">
        <v>6.4440977839142322E-2</v>
      </c>
      <c r="F26" s="86">
        <v>-9.8135968127318798E-2</v>
      </c>
      <c r="G26" s="86">
        <v>-0.17500430525050642</v>
      </c>
      <c r="H26" s="86">
        <v>0.35743556383193953</v>
      </c>
      <c r="I26" s="86">
        <v>-4.0376254375290452E-2</v>
      </c>
      <c r="J26" s="86">
        <v>8.3149177388175191E-2</v>
      </c>
      <c r="K26" s="86">
        <v>0.21824090572982063</v>
      </c>
      <c r="L26" s="86">
        <v>9.7062485763145523E-2</v>
      </c>
      <c r="M26" s="87">
        <v>1</v>
      </c>
      <c r="O26" s="220">
        <f t="shared" si="2"/>
        <v>-0.10827147371077649</v>
      </c>
    </row>
    <row r="27" spans="1:15">
      <c r="A27" s="22"/>
      <c r="B27" s="131"/>
      <c r="C27" s="131"/>
      <c r="D27" s="83"/>
      <c r="E27" s="83"/>
      <c r="F27" s="83"/>
      <c r="G27" s="83"/>
      <c r="H27" s="83"/>
      <c r="I27" s="83"/>
      <c r="J27" s="83"/>
      <c r="K27" s="83"/>
      <c r="L27" s="83"/>
      <c r="M27" s="83"/>
    </row>
    <row r="29" spans="1:15">
      <c r="A29" s="88" t="str">
        <f>Parameters!A42</f>
        <v>Inflatie is een fiscaal verschijnsel</v>
      </c>
      <c r="B29" s="89" t="s">
        <v>116</v>
      </c>
      <c r="C29" s="17" t="s">
        <v>117</v>
      </c>
      <c r="D29" s="89" t="s">
        <v>118</v>
      </c>
      <c r="E29" s="89" t="s">
        <v>119</v>
      </c>
      <c r="F29" s="90" t="s">
        <v>73</v>
      </c>
      <c r="G29" s="89" t="s">
        <v>120</v>
      </c>
      <c r="H29" s="89" t="s">
        <v>0</v>
      </c>
      <c r="I29" s="89" t="s">
        <v>121</v>
      </c>
      <c r="J29" s="89" t="s">
        <v>122</v>
      </c>
      <c r="K29" s="89" t="s">
        <v>123</v>
      </c>
      <c r="L29" s="89" t="s">
        <v>1</v>
      </c>
      <c r="M29" s="8" t="s">
        <v>124</v>
      </c>
      <c r="O29" s="221" t="s">
        <v>203</v>
      </c>
    </row>
    <row r="30" spans="1:15">
      <c r="A30" s="14" t="str">
        <f t="shared" ref="A30:A39" si="3">A17</f>
        <v>Nominale VPV</v>
      </c>
      <c r="B30" s="131">
        <v>-0.1</v>
      </c>
      <c r="C30" s="132">
        <v>8.6979477341329908E-2</v>
      </c>
      <c r="D30" s="83">
        <v>1</v>
      </c>
      <c r="E30" s="83">
        <v>0.44647787881945766</v>
      </c>
      <c r="F30" s="83">
        <v>0.12476371362076351</v>
      </c>
      <c r="G30" s="83">
        <v>0.39473896463521979</v>
      </c>
      <c r="H30" s="83">
        <v>0.14329164688661464</v>
      </c>
      <c r="I30" s="83">
        <v>0.31280893869431281</v>
      </c>
      <c r="J30" s="83">
        <v>-5.3639971431398835E-2</v>
      </c>
      <c r="K30" s="83">
        <v>-4.5375987461387553E-2</v>
      </c>
      <c r="L30" s="83">
        <v>1.8874630580668541E-2</v>
      </c>
      <c r="M30" s="84">
        <v>-0.43049903922919336</v>
      </c>
      <c r="O30" s="218">
        <f t="shared" ref="O30:O39" si="4">(B30-$B$30)/C30</f>
        <v>0</v>
      </c>
    </row>
    <row r="31" spans="1:15">
      <c r="A31" s="14" t="str">
        <f t="shared" si="3"/>
        <v>Reele VPV</v>
      </c>
      <c r="B31" s="131">
        <v>0</v>
      </c>
      <c r="C31" s="132">
        <v>0.10896841546298597</v>
      </c>
      <c r="D31" s="83">
        <v>0.44647787881945766</v>
      </c>
      <c r="E31" s="83">
        <v>1</v>
      </c>
      <c r="F31" s="83">
        <v>8.4321923207799868E-2</v>
      </c>
      <c r="G31" s="83">
        <v>0.30748879816953062</v>
      </c>
      <c r="H31" s="83">
        <v>-1.3783474196812102E-2</v>
      </c>
      <c r="I31" s="83">
        <v>0.30597926550447924</v>
      </c>
      <c r="J31" s="83">
        <v>0.14739566742264482</v>
      </c>
      <c r="K31" s="83">
        <v>-0.1294232882487544</v>
      </c>
      <c r="L31" s="83">
        <v>-0.12641717828044782</v>
      </c>
      <c r="M31" s="84">
        <v>-1.9526899117772813E-2</v>
      </c>
      <c r="O31" s="219">
        <f t="shared" si="4"/>
        <v>0.91769711044360069</v>
      </c>
    </row>
    <row r="32" spans="1:15">
      <c r="A32" s="14" t="str">
        <f t="shared" si="3"/>
        <v>Credits</v>
      </c>
      <c r="B32" s="131">
        <v>-6.25E-2</v>
      </c>
      <c r="C32" s="132">
        <v>0.13990559436256109</v>
      </c>
      <c r="D32" s="83">
        <v>0.12476371362076351</v>
      </c>
      <c r="E32" s="83">
        <v>8.4321923207799868E-2</v>
      </c>
      <c r="F32" s="83">
        <v>1</v>
      </c>
      <c r="G32" s="83">
        <v>0.18030730071459058</v>
      </c>
      <c r="H32" s="83">
        <v>-0.25418969179515066</v>
      </c>
      <c r="I32" s="83">
        <v>-7.9795858053289384E-2</v>
      </c>
      <c r="J32" s="83">
        <v>-1.1299149052951599E-2</v>
      </c>
      <c r="K32" s="83">
        <v>-0.17485249114463275</v>
      </c>
      <c r="L32" s="83">
        <v>-0.28831149244548265</v>
      </c>
      <c r="M32" s="84">
        <v>-0.11650578645633478</v>
      </c>
      <c r="O32" s="219">
        <f t="shared" si="4"/>
        <v>0.26803788776894721</v>
      </c>
    </row>
    <row r="33" spans="1:15">
      <c r="A33" s="14" t="str">
        <f t="shared" si="3"/>
        <v>High Yield</v>
      </c>
      <c r="B33" s="131">
        <v>-2.5000000000000001E-2</v>
      </c>
      <c r="C33" s="132">
        <v>0.11885134697059349</v>
      </c>
      <c r="D33" s="83">
        <v>0.39473896463521979</v>
      </c>
      <c r="E33" s="83">
        <v>0.30748879816953062</v>
      </c>
      <c r="F33" s="83">
        <v>0.18030730071459058</v>
      </c>
      <c r="G33" s="83">
        <v>1</v>
      </c>
      <c r="H33" s="83">
        <v>0.46323608157717838</v>
      </c>
      <c r="I33" s="83">
        <v>0.59241684043745912</v>
      </c>
      <c r="J33" s="83">
        <v>0.53403538944587015</v>
      </c>
      <c r="K33" s="83">
        <v>0.24598097465652494</v>
      </c>
      <c r="L33" s="83">
        <v>-0.36278809960119057</v>
      </c>
      <c r="M33" s="84">
        <v>-0.24556869352982991</v>
      </c>
      <c r="O33" s="219">
        <f t="shared" si="4"/>
        <v>0.63104038710269483</v>
      </c>
    </row>
    <row r="34" spans="1:15">
      <c r="A34" s="14" t="str">
        <f t="shared" si="3"/>
        <v>Emerging market debt</v>
      </c>
      <c r="B34" s="131">
        <v>-0.05</v>
      </c>
      <c r="C34" s="132">
        <v>0.13434300064166035</v>
      </c>
      <c r="D34" s="83">
        <v>0.14329164688661464</v>
      </c>
      <c r="E34" s="83">
        <v>-1.3783474196812102E-2</v>
      </c>
      <c r="F34" s="83">
        <v>-0.25418969179515066</v>
      </c>
      <c r="G34" s="83">
        <v>0.46323608157717838</v>
      </c>
      <c r="H34" s="83">
        <v>1</v>
      </c>
      <c r="I34" s="83">
        <v>0.34598071876438846</v>
      </c>
      <c r="J34" s="83">
        <v>0.35502532656296076</v>
      </c>
      <c r="K34" s="83">
        <v>0.79192802286367414</v>
      </c>
      <c r="L34" s="83">
        <v>0.31095692213611359</v>
      </c>
      <c r="M34" s="84">
        <v>0.39954142389203895</v>
      </c>
      <c r="O34" s="219">
        <f t="shared" si="4"/>
        <v>0.37218165264424491</v>
      </c>
    </row>
    <row r="35" spans="1:15">
      <c r="A35" s="14" t="str">
        <f t="shared" si="3"/>
        <v>Aandelen ontwikkeld</v>
      </c>
      <c r="B35" s="131">
        <v>0</v>
      </c>
      <c r="C35" s="132">
        <v>0.15931815029652449</v>
      </c>
      <c r="D35" s="83">
        <v>0.31280893869431281</v>
      </c>
      <c r="E35" s="83">
        <v>0.30597926550447924</v>
      </c>
      <c r="F35" s="83">
        <v>-7.9795858053289384E-2</v>
      </c>
      <c r="G35" s="83">
        <v>0.59241684043745912</v>
      </c>
      <c r="H35" s="83">
        <v>0.34598071876438846</v>
      </c>
      <c r="I35" s="83">
        <v>1</v>
      </c>
      <c r="J35" s="83">
        <v>0.68294735384272309</v>
      </c>
      <c r="K35" s="83">
        <v>0.38647228003265582</v>
      </c>
      <c r="L35" s="83">
        <v>-9.8153053151787725E-2</v>
      </c>
      <c r="M35" s="84">
        <v>-9.0759698221048582E-2</v>
      </c>
      <c r="O35" s="219">
        <f t="shared" si="4"/>
        <v>0.62767487454429416</v>
      </c>
    </row>
    <row r="36" spans="1:15">
      <c r="A36" s="14" t="str">
        <f t="shared" si="3"/>
        <v>Aandelen opkomend</v>
      </c>
      <c r="B36" s="131">
        <v>-0.03</v>
      </c>
      <c r="C36" s="132">
        <v>0.31065953297505222</v>
      </c>
      <c r="D36" s="83">
        <v>-5.3639971431398835E-2</v>
      </c>
      <c r="E36" s="83">
        <v>0.14739566742264482</v>
      </c>
      <c r="F36" s="83">
        <v>-1.1299149052951599E-2</v>
      </c>
      <c r="G36" s="83">
        <v>0.53403538944587015</v>
      </c>
      <c r="H36" s="83">
        <v>0.35502532656296076</v>
      </c>
      <c r="I36" s="83">
        <v>0.68294735384272309</v>
      </c>
      <c r="J36" s="83">
        <v>1</v>
      </c>
      <c r="K36" s="83">
        <v>0.24318658795406575</v>
      </c>
      <c r="L36" s="83">
        <v>-0.40601872314925519</v>
      </c>
      <c r="M36" s="84">
        <v>8.4588658823458854E-2</v>
      </c>
      <c r="O36" s="219">
        <f t="shared" si="4"/>
        <v>0.22532706249069592</v>
      </c>
    </row>
    <row r="37" spans="1:15">
      <c r="A37" s="14" t="str">
        <f t="shared" si="3"/>
        <v>Hedge funds</v>
      </c>
      <c r="B37" s="131">
        <v>-0.04</v>
      </c>
      <c r="C37" s="132">
        <v>5.7887490060103547E-2</v>
      </c>
      <c r="D37" s="83">
        <v>-4.5375987461387553E-2</v>
      </c>
      <c r="E37" s="83">
        <v>-0.1294232882487544</v>
      </c>
      <c r="F37" s="83">
        <v>-0.17485249114463275</v>
      </c>
      <c r="G37" s="83">
        <v>0.24598097465652494</v>
      </c>
      <c r="H37" s="83">
        <v>0.79192802286367414</v>
      </c>
      <c r="I37" s="83">
        <v>0.38647228003265582</v>
      </c>
      <c r="J37" s="83">
        <v>0.24318658795406575</v>
      </c>
      <c r="K37" s="83">
        <v>1</v>
      </c>
      <c r="L37" s="83">
        <v>0.58642803030365875</v>
      </c>
      <c r="M37" s="84">
        <v>0.34742936858442752</v>
      </c>
      <c r="O37" s="219">
        <f t="shared" si="4"/>
        <v>1.0364933759902715</v>
      </c>
    </row>
    <row r="38" spans="1:15">
      <c r="A38" s="14" t="str">
        <f t="shared" si="3"/>
        <v>Onroerend goed</v>
      </c>
      <c r="B38" s="131">
        <v>0</v>
      </c>
      <c r="C38" s="132">
        <v>4.8110922059050987E-2</v>
      </c>
      <c r="D38" s="83">
        <v>1.8874630580668541E-2</v>
      </c>
      <c r="E38" s="83">
        <v>-0.12641717828044782</v>
      </c>
      <c r="F38" s="83">
        <v>-0.28831149244548265</v>
      </c>
      <c r="G38" s="83">
        <v>-0.36278809960119057</v>
      </c>
      <c r="H38" s="83">
        <v>0.31095692213611359</v>
      </c>
      <c r="I38" s="83">
        <v>-9.8153053151787725E-2</v>
      </c>
      <c r="J38" s="83">
        <v>-0.40601872314925519</v>
      </c>
      <c r="K38" s="83">
        <v>0.58642803030365875</v>
      </c>
      <c r="L38" s="83">
        <v>1</v>
      </c>
      <c r="M38" s="84">
        <v>0.22312540192773261</v>
      </c>
      <c r="O38" s="219">
        <f t="shared" si="4"/>
        <v>2.0785301075140641</v>
      </c>
    </row>
    <row r="39" spans="1:15">
      <c r="A39" s="15" t="str">
        <f t="shared" si="3"/>
        <v>Commodities</v>
      </c>
      <c r="B39" s="135">
        <v>0.05</v>
      </c>
      <c r="C39" s="136">
        <v>0.23436776994521502</v>
      </c>
      <c r="D39" s="86">
        <v>-0.43049903922919336</v>
      </c>
      <c r="E39" s="86">
        <v>-1.9526899117772813E-2</v>
      </c>
      <c r="F39" s="86">
        <v>-0.11650578645633478</v>
      </c>
      <c r="G39" s="86">
        <v>-0.24556869352982991</v>
      </c>
      <c r="H39" s="86">
        <v>0.39954142389203895</v>
      </c>
      <c r="I39" s="86">
        <v>-9.0759698221048582E-2</v>
      </c>
      <c r="J39" s="86">
        <v>8.4588658823458854E-2</v>
      </c>
      <c r="K39" s="86">
        <v>0.34742936858442752</v>
      </c>
      <c r="L39" s="86">
        <v>0.22312540192773261</v>
      </c>
      <c r="M39" s="87">
        <v>1</v>
      </c>
      <c r="O39" s="220">
        <f t="shared" si="4"/>
        <v>0.64001974347865109</v>
      </c>
    </row>
    <row r="40" spans="1:15">
      <c r="A40" s="22"/>
      <c r="B40" s="131"/>
      <c r="C40" s="131"/>
      <c r="D40" s="83"/>
      <c r="E40" s="83"/>
      <c r="F40" s="83"/>
      <c r="G40" s="83"/>
      <c r="H40" s="83"/>
      <c r="I40" s="83"/>
      <c r="J40" s="83"/>
      <c r="K40" s="83"/>
      <c r="L40" s="83"/>
      <c r="M40" s="83"/>
    </row>
    <row r="42" spans="1:15">
      <c r="A42" s="88" t="str">
        <f>Parameters!A43</f>
        <v>Vermogenseffect &amp; innovatie</v>
      </c>
      <c r="B42" s="89" t="s">
        <v>116</v>
      </c>
      <c r="C42" s="17" t="s">
        <v>117</v>
      </c>
      <c r="D42" s="89" t="s">
        <v>118</v>
      </c>
      <c r="E42" s="89" t="s">
        <v>119</v>
      </c>
      <c r="F42" s="90" t="s">
        <v>73</v>
      </c>
      <c r="G42" s="89" t="s">
        <v>120</v>
      </c>
      <c r="H42" s="89" t="s">
        <v>0</v>
      </c>
      <c r="I42" s="89" t="s">
        <v>121</v>
      </c>
      <c r="J42" s="89" t="s">
        <v>122</v>
      </c>
      <c r="K42" s="89" t="s">
        <v>123</v>
      </c>
      <c r="L42" s="89" t="s">
        <v>1</v>
      </c>
      <c r="M42" s="8" t="s">
        <v>124</v>
      </c>
      <c r="O42" s="221" t="s">
        <v>203</v>
      </c>
    </row>
    <row r="43" spans="1:15">
      <c r="A43" s="14" t="str">
        <f t="shared" ref="A43:A52" si="5">A17</f>
        <v>Nominale VPV</v>
      </c>
      <c r="B43" s="131">
        <v>-0.05</v>
      </c>
      <c r="C43" s="132">
        <v>8.3779626926755432E-2</v>
      </c>
      <c r="D43" s="83">
        <v>1</v>
      </c>
      <c r="E43" s="83">
        <v>0.36356395941164671</v>
      </c>
      <c r="F43" s="83">
        <v>0.19770591590777722</v>
      </c>
      <c r="G43" s="83">
        <v>0.23990617585831378</v>
      </c>
      <c r="H43" s="83">
        <v>-7.3357889322124503E-2</v>
      </c>
      <c r="I43" s="83">
        <v>7.7794040108081552E-2</v>
      </c>
      <c r="J43" s="83">
        <v>-0.29684548966761942</v>
      </c>
      <c r="K43" s="83">
        <v>-0.21164487982924918</v>
      </c>
      <c r="L43" s="83">
        <v>4.8029633528850771E-2</v>
      </c>
      <c r="M43" s="84">
        <v>-0.52530619108730725</v>
      </c>
      <c r="O43" s="218">
        <f t="shared" ref="O43:O52" si="6">(B43-$B$43)/C43</f>
        <v>0</v>
      </c>
    </row>
    <row r="44" spans="1:15">
      <c r="A44" s="14" t="str">
        <f t="shared" si="5"/>
        <v>Reele VPV</v>
      </c>
      <c r="B44" s="131">
        <v>-0.05</v>
      </c>
      <c r="C44" s="132">
        <v>0.10342970304098825</v>
      </c>
      <c r="D44" s="83">
        <v>0.36356395941164671</v>
      </c>
      <c r="E44" s="83">
        <v>1</v>
      </c>
      <c r="F44" s="83">
        <v>9.5405718569428061E-2</v>
      </c>
      <c r="G44" s="83">
        <v>0.19061940988948001</v>
      </c>
      <c r="H44" s="83">
        <v>-0.11050815584965402</v>
      </c>
      <c r="I44" s="83">
        <v>9.8469115672903812E-2</v>
      </c>
      <c r="J44" s="83">
        <v>-5.9291804287521774E-2</v>
      </c>
      <c r="K44" s="83">
        <v>-0.17290430292907685</v>
      </c>
      <c r="L44" s="83">
        <v>-7.6193016480044728E-2</v>
      </c>
      <c r="M44" s="84">
        <v>-7.231060997995413E-2</v>
      </c>
      <c r="O44" s="219">
        <f t="shared" si="6"/>
        <v>0</v>
      </c>
    </row>
    <row r="45" spans="1:15">
      <c r="A45" s="14" t="str">
        <f t="shared" si="5"/>
        <v>Credits</v>
      </c>
      <c r="B45" s="131">
        <v>1.4999999999999999E-2</v>
      </c>
      <c r="C45" s="132">
        <v>0.14464718023748876</v>
      </c>
      <c r="D45" s="83">
        <v>0.19770591590777722</v>
      </c>
      <c r="E45" s="83">
        <v>9.5405718569428061E-2</v>
      </c>
      <c r="F45" s="83">
        <v>1</v>
      </c>
      <c r="G45" s="83">
        <v>0.1479964056276101</v>
      </c>
      <c r="H45" s="83">
        <v>-0.36557661407257697</v>
      </c>
      <c r="I45" s="83">
        <v>-0.17045076253006095</v>
      </c>
      <c r="J45" s="83">
        <v>-8.7743919276774857E-2</v>
      </c>
      <c r="K45" s="83">
        <v>-0.36495490011390636</v>
      </c>
      <c r="L45" s="83">
        <v>-0.35360460641933389</v>
      </c>
      <c r="M45" s="84">
        <v>-0.24298972993039863</v>
      </c>
      <c r="O45" s="219">
        <f t="shared" si="6"/>
        <v>0.44936928527248055</v>
      </c>
    </row>
    <row r="46" spans="1:15">
      <c r="A46" s="14" t="str">
        <f t="shared" si="5"/>
        <v>High Yield</v>
      </c>
      <c r="B46" s="131">
        <v>0.08</v>
      </c>
      <c r="C46" s="132">
        <v>9.6868617082165279E-2</v>
      </c>
      <c r="D46" s="83">
        <v>0.23990617585831378</v>
      </c>
      <c r="E46" s="83">
        <v>0.19061940988948001</v>
      </c>
      <c r="F46" s="83">
        <v>0.1479964056276101</v>
      </c>
      <c r="G46" s="83">
        <v>1</v>
      </c>
      <c r="H46" s="83">
        <v>0.47688188083944766</v>
      </c>
      <c r="I46" s="83">
        <v>0.51169443296997497</v>
      </c>
      <c r="J46" s="83">
        <v>0.45867964598849736</v>
      </c>
      <c r="K46" s="83">
        <v>0.27365985894328215</v>
      </c>
      <c r="L46" s="83">
        <v>-0.32590742577961268</v>
      </c>
      <c r="M46" s="84">
        <v>-9.8347371833026831E-2</v>
      </c>
      <c r="O46" s="219">
        <f t="shared" si="6"/>
        <v>1.3420239073892448</v>
      </c>
    </row>
    <row r="47" spans="1:15">
      <c r="A47" s="14" t="str">
        <f t="shared" si="5"/>
        <v>Emerging market debt</v>
      </c>
      <c r="B47" s="131">
        <v>0.05</v>
      </c>
      <c r="C47" s="132">
        <v>0.15026895203342447</v>
      </c>
      <c r="D47" s="83">
        <v>-7.3357889322124503E-2</v>
      </c>
      <c r="E47" s="83">
        <v>-0.11050815584965402</v>
      </c>
      <c r="F47" s="83">
        <v>-0.36557661407257697</v>
      </c>
      <c r="G47" s="83">
        <v>0.47688188083944766</v>
      </c>
      <c r="H47" s="83">
        <v>1</v>
      </c>
      <c r="I47" s="83">
        <v>0.37643358006730171</v>
      </c>
      <c r="J47" s="83">
        <v>0.46379705839414215</v>
      </c>
      <c r="K47" s="83">
        <v>0.81593638957185965</v>
      </c>
      <c r="L47" s="83">
        <v>0.28291144717511929</v>
      </c>
      <c r="M47" s="84">
        <v>0.56233375311892753</v>
      </c>
      <c r="O47" s="219">
        <f t="shared" si="6"/>
        <v>0.66547346372494109</v>
      </c>
    </row>
    <row r="48" spans="1:15">
      <c r="A48" s="14" t="str">
        <f t="shared" si="5"/>
        <v>Aandelen ontwikkeld</v>
      </c>
      <c r="B48" s="131">
        <v>0.2</v>
      </c>
      <c r="C48" s="132">
        <v>0.14251402915289357</v>
      </c>
      <c r="D48" s="83">
        <v>7.7794040108081552E-2</v>
      </c>
      <c r="E48" s="83">
        <v>9.8469115672903812E-2</v>
      </c>
      <c r="F48" s="83">
        <v>-0.17045076253006095</v>
      </c>
      <c r="G48" s="83">
        <v>0.51169443296997497</v>
      </c>
      <c r="H48" s="83">
        <v>0.37643358006730171</v>
      </c>
      <c r="I48" s="83">
        <v>1</v>
      </c>
      <c r="J48" s="83">
        <v>0.62822954207202264</v>
      </c>
      <c r="K48" s="83">
        <v>0.49908101780768988</v>
      </c>
      <c r="L48" s="83">
        <v>5.3578754416141378E-2</v>
      </c>
      <c r="M48" s="84">
        <v>8.3702336951742631E-2</v>
      </c>
      <c r="O48" s="219">
        <f t="shared" si="6"/>
        <v>1.7542132622732325</v>
      </c>
    </row>
    <row r="49" spans="1:15">
      <c r="A49" s="14" t="str">
        <f t="shared" si="5"/>
        <v>Aandelen opkomend</v>
      </c>
      <c r="B49" s="131">
        <v>0.25</v>
      </c>
      <c r="C49" s="132">
        <v>0.31714550492849808</v>
      </c>
      <c r="D49" s="83">
        <v>-0.29684548966761942</v>
      </c>
      <c r="E49" s="83">
        <v>-5.9291804287521774E-2</v>
      </c>
      <c r="F49" s="83">
        <v>-8.7743919276774857E-2</v>
      </c>
      <c r="G49" s="83">
        <v>0.45867964598849736</v>
      </c>
      <c r="H49" s="83">
        <v>0.46379705839414215</v>
      </c>
      <c r="I49" s="83">
        <v>0.62822954207202264</v>
      </c>
      <c r="J49" s="83">
        <v>1</v>
      </c>
      <c r="K49" s="83">
        <v>0.36516938170439023</v>
      </c>
      <c r="L49" s="83">
        <v>-0.30245086529985321</v>
      </c>
      <c r="M49" s="84">
        <v>0.35454741481854263</v>
      </c>
      <c r="O49" s="219">
        <f t="shared" si="6"/>
        <v>0.94593804842870588</v>
      </c>
    </row>
    <row r="50" spans="1:15">
      <c r="A50" s="14" t="str">
        <f t="shared" si="5"/>
        <v>Hedge funds</v>
      </c>
      <c r="B50" s="131">
        <v>0.06</v>
      </c>
      <c r="C50" s="132">
        <v>6.2837843277635516E-2</v>
      </c>
      <c r="D50" s="83">
        <v>-0.21164487982924918</v>
      </c>
      <c r="E50" s="83">
        <v>-0.17290430292907685</v>
      </c>
      <c r="F50" s="83">
        <v>-0.36495490011390636</v>
      </c>
      <c r="G50" s="83">
        <v>0.27365985894328215</v>
      </c>
      <c r="H50" s="83">
        <v>0.81593638957185965</v>
      </c>
      <c r="I50" s="83">
        <v>0.49908101780768988</v>
      </c>
      <c r="J50" s="83">
        <v>0.36516938170439023</v>
      </c>
      <c r="K50" s="83">
        <v>1</v>
      </c>
      <c r="L50" s="83">
        <v>0.56468307579523147</v>
      </c>
      <c r="M50" s="84">
        <v>0.47753191031129466</v>
      </c>
      <c r="O50" s="219">
        <f t="shared" si="6"/>
        <v>1.7505374828666322</v>
      </c>
    </row>
    <row r="51" spans="1:15">
      <c r="A51" s="14" t="str">
        <f t="shared" si="5"/>
        <v>Onroerend goed</v>
      </c>
      <c r="B51" s="131">
        <v>0.1</v>
      </c>
      <c r="C51" s="132">
        <v>4.7931229247423261E-2</v>
      </c>
      <c r="D51" s="83">
        <v>4.8029633528850771E-2</v>
      </c>
      <c r="E51" s="83">
        <v>-7.6193016480044728E-2</v>
      </c>
      <c r="F51" s="83">
        <v>-0.35360460641933389</v>
      </c>
      <c r="G51" s="83">
        <v>-0.32590742577961268</v>
      </c>
      <c r="H51" s="83">
        <v>0.28291144717511929</v>
      </c>
      <c r="I51" s="83">
        <v>5.3578754416141378E-2</v>
      </c>
      <c r="J51" s="83">
        <v>-0.30245086529985321</v>
      </c>
      <c r="K51" s="83">
        <v>0.56468307579523147</v>
      </c>
      <c r="L51" s="83">
        <v>1</v>
      </c>
      <c r="M51" s="84">
        <v>0.16211672067234237</v>
      </c>
      <c r="O51" s="219">
        <f t="shared" si="6"/>
        <v>3.1294836864227489</v>
      </c>
    </row>
    <row r="52" spans="1:15">
      <c r="A52" s="15" t="str">
        <f t="shared" si="5"/>
        <v>Commodities</v>
      </c>
      <c r="B52" s="135">
        <v>0.3</v>
      </c>
      <c r="C52" s="136">
        <v>0.2364114899348054</v>
      </c>
      <c r="D52" s="86">
        <v>-0.52530619108730725</v>
      </c>
      <c r="E52" s="86">
        <v>-7.231060997995413E-2</v>
      </c>
      <c r="F52" s="86">
        <v>-0.24298972993039863</v>
      </c>
      <c r="G52" s="86">
        <v>-9.8347371833026831E-2</v>
      </c>
      <c r="H52" s="86">
        <v>0.56233375311892753</v>
      </c>
      <c r="I52" s="86">
        <v>8.3702336951742631E-2</v>
      </c>
      <c r="J52" s="86">
        <v>0.35454741481854263</v>
      </c>
      <c r="K52" s="86">
        <v>0.47753191031129466</v>
      </c>
      <c r="L52" s="86">
        <v>0.16211672067234237</v>
      </c>
      <c r="M52" s="87">
        <v>1</v>
      </c>
      <c r="O52" s="220">
        <f t="shared" si="6"/>
        <v>1.4804694987393319</v>
      </c>
    </row>
    <row r="53" spans="1:15">
      <c r="A53" s="22"/>
      <c r="B53" s="131"/>
      <c r="C53" s="131"/>
      <c r="D53" s="83"/>
      <c r="E53" s="83"/>
      <c r="F53" s="83"/>
      <c r="G53" s="83"/>
      <c r="H53" s="83"/>
      <c r="I53" s="83"/>
      <c r="J53" s="83"/>
      <c r="K53" s="83"/>
      <c r="L53" s="83"/>
      <c r="M53" s="83"/>
    </row>
    <row r="55" spans="1:15">
      <c r="A55" s="88" t="str">
        <f>Parameters!A27</f>
        <v>Schuld deflatie</v>
      </c>
      <c r="B55" s="89" t="s">
        <v>116</v>
      </c>
      <c r="C55" s="17" t="s">
        <v>117</v>
      </c>
      <c r="D55" s="89" t="s">
        <v>118</v>
      </c>
      <c r="E55" s="89" t="s">
        <v>119</v>
      </c>
      <c r="F55" s="90" t="s">
        <v>73</v>
      </c>
      <c r="G55" s="89" t="s">
        <v>120</v>
      </c>
      <c r="H55" s="89" t="s">
        <v>0</v>
      </c>
      <c r="I55" s="89" t="s">
        <v>121</v>
      </c>
      <c r="J55" s="89" t="s">
        <v>122</v>
      </c>
      <c r="K55" s="89" t="s">
        <v>123</v>
      </c>
      <c r="L55" s="89" t="s">
        <v>1</v>
      </c>
      <c r="M55" s="8" t="s">
        <v>124</v>
      </c>
      <c r="O55" s="221" t="s">
        <v>203</v>
      </c>
    </row>
    <row r="56" spans="1:15">
      <c r="A56" s="14" t="str">
        <f t="shared" ref="A56:A65" si="7">A43</f>
        <v>Nominale VPV</v>
      </c>
      <c r="B56" s="131">
        <v>0.1</v>
      </c>
      <c r="C56" s="132">
        <v>6.278198487999638E-2</v>
      </c>
      <c r="D56" s="83">
        <v>1</v>
      </c>
      <c r="E56" s="83">
        <v>9.9877491908342983E-2</v>
      </c>
      <c r="F56" s="83">
        <v>-0.3510021823850632</v>
      </c>
      <c r="G56" s="83">
        <v>-0.56332882643715232</v>
      </c>
      <c r="H56" s="83">
        <v>-0.30712689971531354</v>
      </c>
      <c r="I56" s="83">
        <v>-0.51444293528865737</v>
      </c>
      <c r="J56" s="83">
        <v>-0.62106428918392464</v>
      </c>
      <c r="K56" s="83">
        <v>-0.56947078770384896</v>
      </c>
      <c r="L56" s="83">
        <v>-0.31725862660871451</v>
      </c>
      <c r="M56" s="84">
        <v>-0.49058561691839803</v>
      </c>
      <c r="O56" s="218">
        <f t="shared" ref="O56:O65" si="8">(B56-$B$56)/C56</f>
        <v>0</v>
      </c>
    </row>
    <row r="57" spans="1:15">
      <c r="A57" s="14" t="str">
        <f t="shared" si="7"/>
        <v>Reele VPV</v>
      </c>
      <c r="B57" s="131">
        <v>0</v>
      </c>
      <c r="C57" s="132">
        <v>4.7617637708429375E-2</v>
      </c>
      <c r="D57" s="83">
        <v>9.9877491908342983E-2</v>
      </c>
      <c r="E57" s="83">
        <v>1</v>
      </c>
      <c r="F57" s="83">
        <v>-0.50763892868524696</v>
      </c>
      <c r="G57" s="83">
        <v>-0.38157631581869506</v>
      </c>
      <c r="H57" s="83">
        <v>-0.46484244214113157</v>
      </c>
      <c r="I57" s="83">
        <v>-0.43378053187871835</v>
      </c>
      <c r="J57" s="83">
        <v>-0.36679003495309848</v>
      </c>
      <c r="K57" s="83">
        <v>-0.45878156897895211</v>
      </c>
      <c r="L57" s="83">
        <v>-0.25453357613757527</v>
      </c>
      <c r="M57" s="84">
        <v>-0.4316186755007369</v>
      </c>
      <c r="O57" s="219">
        <f t="shared" si="8"/>
        <v>-2.1000621788992651</v>
      </c>
    </row>
    <row r="58" spans="1:15">
      <c r="A58" s="14" t="str">
        <f t="shared" si="7"/>
        <v>Credits</v>
      </c>
      <c r="B58" s="131">
        <v>0</v>
      </c>
      <c r="C58" s="132">
        <v>0.10041038567587704</v>
      </c>
      <c r="D58" s="83">
        <v>-0.3510021823850632</v>
      </c>
      <c r="E58" s="83">
        <v>-0.50763892868524696</v>
      </c>
      <c r="F58" s="83">
        <v>1</v>
      </c>
      <c r="G58" s="83">
        <v>0.83457817860033645</v>
      </c>
      <c r="H58" s="83">
        <v>0.87409116616389027</v>
      </c>
      <c r="I58" s="83">
        <v>0.88606607622819966</v>
      </c>
      <c r="J58" s="83">
        <v>0.82459036474353009</v>
      </c>
      <c r="K58" s="83">
        <v>0.89744839036297208</v>
      </c>
      <c r="L58" s="83">
        <v>0.50108032792987411</v>
      </c>
      <c r="M58" s="84">
        <v>0.89585653852424796</v>
      </c>
      <c r="O58" s="219">
        <f t="shared" si="8"/>
        <v>-0.99591291604832843</v>
      </c>
    </row>
    <row r="59" spans="1:15">
      <c r="A59" s="14" t="str">
        <f t="shared" si="7"/>
        <v>High Yield</v>
      </c>
      <c r="B59" s="131">
        <v>-0.1</v>
      </c>
      <c r="C59" s="132">
        <v>0.2218667877383276</v>
      </c>
      <c r="D59" s="83">
        <v>-0.56332882643715232</v>
      </c>
      <c r="E59" s="83">
        <v>-0.38157631581869506</v>
      </c>
      <c r="F59" s="83">
        <v>0.83457817860033645</v>
      </c>
      <c r="G59" s="83">
        <v>1</v>
      </c>
      <c r="H59" s="83">
        <v>0.92695587256775092</v>
      </c>
      <c r="I59" s="83">
        <v>0.96689549184976964</v>
      </c>
      <c r="J59" s="83">
        <v>0.98237398848218072</v>
      </c>
      <c r="K59" s="83">
        <v>0.94010403720414804</v>
      </c>
      <c r="L59" s="83">
        <v>0.33591710963927707</v>
      </c>
      <c r="M59" s="84">
        <v>0.89134689877896989</v>
      </c>
      <c r="O59" s="219">
        <f t="shared" si="8"/>
        <v>-0.90144181577948679</v>
      </c>
    </row>
    <row r="60" spans="1:15">
      <c r="A60" s="14" t="str">
        <f t="shared" si="7"/>
        <v>Emerging market debt</v>
      </c>
      <c r="B60" s="131">
        <v>-0.08</v>
      </c>
      <c r="C60" s="132">
        <v>0.12821530287470745</v>
      </c>
      <c r="D60" s="83">
        <v>-0.30712689971531354</v>
      </c>
      <c r="E60" s="83">
        <v>-0.46484244214113157</v>
      </c>
      <c r="F60" s="83">
        <v>0.87409116616389027</v>
      </c>
      <c r="G60" s="83">
        <v>0.92695587256775092</v>
      </c>
      <c r="H60" s="83">
        <v>1</v>
      </c>
      <c r="I60" s="83">
        <v>0.93245105038052445</v>
      </c>
      <c r="J60" s="83">
        <v>0.90175992585785503</v>
      </c>
      <c r="K60" s="83">
        <v>0.8874434496041671</v>
      </c>
      <c r="L60" s="83">
        <v>0.29879289715154606</v>
      </c>
      <c r="M60" s="84">
        <v>0.91686795609968563</v>
      </c>
      <c r="O60" s="219">
        <f t="shared" si="8"/>
        <v>-1.4038885840007473</v>
      </c>
    </row>
    <row r="61" spans="1:15">
      <c r="A61" s="14" t="str">
        <f t="shared" si="7"/>
        <v>Aandelen ontwikkeld</v>
      </c>
      <c r="B61" s="131">
        <v>-0.2</v>
      </c>
      <c r="C61" s="132">
        <v>0.20792869523558111</v>
      </c>
      <c r="D61" s="83">
        <v>-0.51444293528865737</v>
      </c>
      <c r="E61" s="83">
        <v>-0.43378053187871835</v>
      </c>
      <c r="F61" s="83">
        <v>0.88606607622819966</v>
      </c>
      <c r="G61" s="83">
        <v>0.96689549184976964</v>
      </c>
      <c r="H61" s="83">
        <v>0.93245105038052445</v>
      </c>
      <c r="I61" s="83">
        <v>1</v>
      </c>
      <c r="J61" s="83">
        <v>0.96934497766265126</v>
      </c>
      <c r="K61" s="83">
        <v>0.95514653766346602</v>
      </c>
      <c r="L61" s="83">
        <v>0.40131975108808021</v>
      </c>
      <c r="M61" s="84">
        <v>0.9162478906330811</v>
      </c>
      <c r="O61" s="219">
        <f t="shared" si="8"/>
        <v>-1.4428023013374998</v>
      </c>
    </row>
    <row r="62" spans="1:15">
      <c r="A62" s="14" t="str">
        <f t="shared" si="7"/>
        <v>Aandelen opkomend</v>
      </c>
      <c r="B62" s="131">
        <v>-0.22</v>
      </c>
      <c r="C62" s="132">
        <v>0.36408897808337332</v>
      </c>
      <c r="D62" s="83">
        <v>-0.62106428918392464</v>
      </c>
      <c r="E62" s="83">
        <v>-0.36679003495309848</v>
      </c>
      <c r="F62" s="83">
        <v>0.82459036474353009</v>
      </c>
      <c r="G62" s="83">
        <v>0.98237398848218072</v>
      </c>
      <c r="H62" s="83">
        <v>0.90175992585785503</v>
      </c>
      <c r="I62" s="83">
        <v>0.96934497766265126</v>
      </c>
      <c r="J62" s="83">
        <v>1</v>
      </c>
      <c r="K62" s="83">
        <v>0.94422005350754179</v>
      </c>
      <c r="L62" s="83">
        <v>0.37232862721771021</v>
      </c>
      <c r="M62" s="84">
        <v>0.88647127334626363</v>
      </c>
      <c r="O62" s="219">
        <f t="shared" si="8"/>
        <v>-0.87890603468562756</v>
      </c>
    </row>
    <row r="63" spans="1:15">
      <c r="A63" s="14" t="str">
        <f t="shared" si="7"/>
        <v>Hedge funds</v>
      </c>
      <c r="B63" s="131">
        <v>-0.12</v>
      </c>
      <c r="C63" s="132">
        <v>0.10933142096896906</v>
      </c>
      <c r="D63" s="83">
        <v>-0.56947078770384896</v>
      </c>
      <c r="E63" s="83">
        <v>-0.45878156897895211</v>
      </c>
      <c r="F63" s="83">
        <v>0.89744839036297208</v>
      </c>
      <c r="G63" s="83">
        <v>0.94010403720414804</v>
      </c>
      <c r="H63" s="83">
        <v>0.8874434496041671</v>
      </c>
      <c r="I63" s="83">
        <v>0.95514653766346602</v>
      </c>
      <c r="J63" s="83">
        <v>0.94422005350754179</v>
      </c>
      <c r="K63" s="83">
        <v>1</v>
      </c>
      <c r="L63" s="83">
        <v>0.61352650945037235</v>
      </c>
      <c r="M63" s="84">
        <v>0.88910144077657316</v>
      </c>
      <c r="O63" s="219">
        <f t="shared" si="8"/>
        <v>-2.0122303181483518</v>
      </c>
    </row>
    <row r="64" spans="1:15">
      <c r="A64" s="14" t="str">
        <f t="shared" si="7"/>
        <v>Onroerend goed</v>
      </c>
      <c r="B64" s="131">
        <v>-0.1</v>
      </c>
      <c r="C64" s="132">
        <v>2.7406396901153356E-2</v>
      </c>
      <c r="D64" s="83">
        <v>-0.31725862660871451</v>
      </c>
      <c r="E64" s="83">
        <v>-0.25453357613757527</v>
      </c>
      <c r="F64" s="83">
        <v>0.50108032792987411</v>
      </c>
      <c r="G64" s="83">
        <v>0.33591710963927707</v>
      </c>
      <c r="H64" s="83">
        <v>0.29879289715154606</v>
      </c>
      <c r="I64" s="83">
        <v>0.40131975108808021</v>
      </c>
      <c r="J64" s="83">
        <v>0.37232862721771021</v>
      </c>
      <c r="K64" s="83">
        <v>0.61352650945037235</v>
      </c>
      <c r="L64" s="83">
        <v>1</v>
      </c>
      <c r="M64" s="84">
        <v>0.33246211687806798</v>
      </c>
      <c r="O64" s="219">
        <f t="shared" si="8"/>
        <v>-7.2975663572756373</v>
      </c>
    </row>
    <row r="65" spans="1:15">
      <c r="A65" s="15" t="str">
        <f t="shared" si="7"/>
        <v>Commodities</v>
      </c>
      <c r="B65" s="135">
        <v>-0.25</v>
      </c>
      <c r="C65" s="136">
        <v>0.2040065170048318</v>
      </c>
      <c r="D65" s="86">
        <v>-0.49058561691839803</v>
      </c>
      <c r="E65" s="86">
        <v>-0.4316186755007369</v>
      </c>
      <c r="F65" s="86">
        <v>0.89585653852424796</v>
      </c>
      <c r="G65" s="86">
        <v>0.89134689877896989</v>
      </c>
      <c r="H65" s="86">
        <v>0.91686795609968563</v>
      </c>
      <c r="I65" s="86">
        <v>0.9162478906330811</v>
      </c>
      <c r="J65" s="86">
        <v>0.88647127334626363</v>
      </c>
      <c r="K65" s="86">
        <v>0.88910144077657316</v>
      </c>
      <c r="L65" s="86">
        <v>0.33246211687806798</v>
      </c>
      <c r="M65" s="87">
        <v>1</v>
      </c>
      <c r="O65" s="220">
        <f t="shared" si="8"/>
        <v>-1.7156314667717718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15"/>
  </sheetPr>
  <dimension ref="A1:Z190"/>
  <sheetViews>
    <sheetView tabSelected="1" zoomScale="75" workbookViewId="0">
      <selection activeCell="N32" sqref="N32"/>
    </sheetView>
  </sheetViews>
  <sheetFormatPr defaultRowHeight="12.75"/>
  <cols>
    <col min="1" max="1" width="37.57031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visies'!B2</f>
        <v>Groei recessie</v>
      </c>
      <c r="C1" s="3" t="s">
        <v>129</v>
      </c>
      <c r="D1" s="25">
        <v>1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02"/>
      <c r="B5" s="144"/>
      <c r="C5" s="145"/>
      <c r="D5" s="145"/>
      <c r="E5" s="145"/>
      <c r="F5" s="145"/>
      <c r="G5" s="145"/>
      <c r="H5" s="145"/>
      <c r="I5" s="145"/>
      <c r="J5" s="145"/>
      <c r="K5" s="140"/>
      <c r="M5" s="3"/>
    </row>
    <row r="6" spans="1:25">
      <c r="A6" s="9" t="s">
        <v>145</v>
      </c>
      <c r="B6" s="141" t="s">
        <v>77</v>
      </c>
      <c r="C6" s="51" t="s">
        <v>78</v>
      </c>
      <c r="D6" s="51" t="s">
        <v>73</v>
      </c>
      <c r="E6" s="51" t="s">
        <v>4</v>
      </c>
      <c r="F6" s="51" t="s">
        <v>0</v>
      </c>
      <c r="G6" s="51" t="s">
        <v>82</v>
      </c>
      <c r="H6" s="51" t="s">
        <v>83</v>
      </c>
      <c r="I6" s="51" t="s">
        <v>5</v>
      </c>
      <c r="J6" s="51" t="s">
        <v>1</v>
      </c>
      <c r="K6" s="52" t="s">
        <v>6</v>
      </c>
      <c r="M6" s="3"/>
      <c r="X6" s="3" t="s">
        <v>146</v>
      </c>
    </row>
    <row r="7" spans="1:25">
      <c r="A7" s="147" t="s">
        <v>77</v>
      </c>
      <c r="B7" s="224">
        <v>1</v>
      </c>
      <c r="C7" s="225">
        <v>0</v>
      </c>
      <c r="D7" s="225">
        <v>0</v>
      </c>
      <c r="E7" s="225">
        <v>0</v>
      </c>
      <c r="F7" s="225">
        <v>0</v>
      </c>
      <c r="G7" s="225">
        <v>0</v>
      </c>
      <c r="H7" s="225">
        <v>0</v>
      </c>
      <c r="I7" s="225">
        <v>0</v>
      </c>
      <c r="J7" s="225">
        <v>0</v>
      </c>
      <c r="K7" s="225">
        <v>0</v>
      </c>
      <c r="X7" t="s">
        <v>148</v>
      </c>
      <c r="Y7">
        <v>-20</v>
      </c>
    </row>
    <row r="8" spans="1:25">
      <c r="A8" s="147" t="s">
        <v>78</v>
      </c>
      <c r="B8" s="224">
        <v>0</v>
      </c>
      <c r="C8" s="225">
        <v>1</v>
      </c>
      <c r="D8" s="225">
        <v>0</v>
      </c>
      <c r="E8" s="225">
        <v>0</v>
      </c>
      <c r="F8" s="225">
        <v>0</v>
      </c>
      <c r="G8" s="225">
        <v>0</v>
      </c>
      <c r="H8" s="225">
        <v>0</v>
      </c>
      <c r="I8" s="225">
        <v>0</v>
      </c>
      <c r="J8" s="225">
        <v>1</v>
      </c>
      <c r="K8" s="226">
        <v>0</v>
      </c>
      <c r="X8" t="s">
        <v>149</v>
      </c>
      <c r="Y8">
        <v>-10</v>
      </c>
    </row>
    <row r="9" spans="1:25">
      <c r="A9" s="147" t="s">
        <v>73</v>
      </c>
      <c r="B9" s="224">
        <v>0</v>
      </c>
      <c r="C9" s="225">
        <v>0</v>
      </c>
      <c r="D9" s="225">
        <v>1</v>
      </c>
      <c r="E9" s="225">
        <v>0</v>
      </c>
      <c r="F9" s="225">
        <v>0</v>
      </c>
      <c r="G9" s="225">
        <v>0</v>
      </c>
      <c r="H9" s="225">
        <v>1</v>
      </c>
      <c r="I9" s="225">
        <v>0</v>
      </c>
      <c r="J9" s="225">
        <v>0</v>
      </c>
      <c r="K9" s="226">
        <v>0</v>
      </c>
      <c r="X9" t="s">
        <v>147</v>
      </c>
      <c r="Y9">
        <v>0</v>
      </c>
    </row>
    <row r="10" spans="1:25">
      <c r="A10" s="147" t="s">
        <v>4</v>
      </c>
      <c r="B10" s="224">
        <v>0</v>
      </c>
      <c r="C10" s="225">
        <v>0</v>
      </c>
      <c r="D10" s="225">
        <v>0</v>
      </c>
      <c r="E10" s="225">
        <v>1</v>
      </c>
      <c r="F10" s="225">
        <v>0</v>
      </c>
      <c r="G10" s="225">
        <v>0</v>
      </c>
      <c r="H10" s="225">
        <v>0</v>
      </c>
      <c r="I10" s="225">
        <v>0</v>
      </c>
      <c r="J10" s="225">
        <v>0</v>
      </c>
      <c r="K10" s="226">
        <v>0</v>
      </c>
      <c r="X10" t="s">
        <v>151</v>
      </c>
      <c r="Y10">
        <v>10</v>
      </c>
    </row>
    <row r="11" spans="1:25">
      <c r="A11" s="147" t="s">
        <v>0</v>
      </c>
      <c r="B11" s="224">
        <v>0</v>
      </c>
      <c r="C11" s="225">
        <v>0</v>
      </c>
      <c r="D11" s="225">
        <v>0</v>
      </c>
      <c r="E11" s="225">
        <v>0</v>
      </c>
      <c r="F11" s="225">
        <v>1</v>
      </c>
      <c r="G11" s="225">
        <v>0</v>
      </c>
      <c r="H11" s="225">
        <v>0</v>
      </c>
      <c r="I11" s="225">
        <v>0</v>
      </c>
      <c r="J11" s="225">
        <v>0</v>
      </c>
      <c r="K11" s="226">
        <v>0</v>
      </c>
      <c r="X11" t="s">
        <v>152</v>
      </c>
      <c r="Y11">
        <v>20</v>
      </c>
    </row>
    <row r="12" spans="1:25">
      <c r="A12" s="147" t="s">
        <v>82</v>
      </c>
      <c r="B12" s="224">
        <v>0</v>
      </c>
      <c r="C12" s="225">
        <v>0</v>
      </c>
      <c r="D12" s="225">
        <v>0</v>
      </c>
      <c r="E12" s="225">
        <v>0</v>
      </c>
      <c r="F12" s="225">
        <v>0</v>
      </c>
      <c r="G12" s="225">
        <v>1</v>
      </c>
      <c r="H12" s="225">
        <v>0</v>
      </c>
      <c r="I12" s="225">
        <v>0</v>
      </c>
      <c r="J12" s="225">
        <v>0</v>
      </c>
      <c r="K12" s="226">
        <v>0</v>
      </c>
      <c r="X12" t="s">
        <v>150</v>
      </c>
      <c r="Y12">
        <v>-99</v>
      </c>
    </row>
    <row r="13" spans="1:25">
      <c r="A13" s="147" t="s">
        <v>83</v>
      </c>
      <c r="B13" s="224">
        <v>0</v>
      </c>
      <c r="C13" s="225">
        <v>0</v>
      </c>
      <c r="D13" s="225">
        <v>0</v>
      </c>
      <c r="E13" s="225">
        <v>0</v>
      </c>
      <c r="F13" s="225">
        <v>0</v>
      </c>
      <c r="G13" s="225">
        <v>0</v>
      </c>
      <c r="H13" s="225">
        <v>1</v>
      </c>
      <c r="I13" s="225">
        <v>0</v>
      </c>
      <c r="J13" s="225">
        <v>0</v>
      </c>
      <c r="K13" s="226">
        <v>0</v>
      </c>
    </row>
    <row r="14" spans="1:25">
      <c r="A14" s="147" t="s">
        <v>5</v>
      </c>
      <c r="B14" s="224">
        <v>0</v>
      </c>
      <c r="C14" s="225">
        <v>0</v>
      </c>
      <c r="D14" s="225">
        <v>0</v>
      </c>
      <c r="E14" s="225">
        <v>0</v>
      </c>
      <c r="F14" s="225">
        <v>0</v>
      </c>
      <c r="G14" s="225">
        <v>0</v>
      </c>
      <c r="H14" s="225">
        <v>0</v>
      </c>
      <c r="I14" s="225">
        <v>1</v>
      </c>
      <c r="J14" s="225">
        <v>0</v>
      </c>
      <c r="K14" s="226">
        <v>0</v>
      </c>
    </row>
    <row r="15" spans="1:25">
      <c r="A15" s="147" t="s">
        <v>1</v>
      </c>
      <c r="B15" s="224">
        <v>0</v>
      </c>
      <c r="C15" s="225">
        <v>0</v>
      </c>
      <c r="D15" s="225">
        <v>0</v>
      </c>
      <c r="E15" s="225">
        <v>0</v>
      </c>
      <c r="F15" s="225">
        <v>0</v>
      </c>
      <c r="G15" s="225">
        <v>0</v>
      </c>
      <c r="H15" s="225">
        <v>0</v>
      </c>
      <c r="I15" s="225">
        <v>0</v>
      </c>
      <c r="J15" s="225">
        <v>1</v>
      </c>
      <c r="K15" s="226">
        <v>0</v>
      </c>
    </row>
    <row r="16" spans="1:25">
      <c r="A16" s="146" t="s">
        <v>6</v>
      </c>
      <c r="B16" s="227">
        <v>0</v>
      </c>
      <c r="C16" s="228">
        <v>0</v>
      </c>
      <c r="D16" s="228">
        <v>0</v>
      </c>
      <c r="E16" s="228">
        <v>0</v>
      </c>
      <c r="F16" s="228">
        <v>0</v>
      </c>
      <c r="G16" s="228">
        <v>0</v>
      </c>
      <c r="H16" s="228">
        <v>0</v>
      </c>
      <c r="I16" s="228">
        <v>0</v>
      </c>
      <c r="J16" s="228">
        <v>0</v>
      </c>
      <c r="K16" s="229">
        <v>1</v>
      </c>
    </row>
    <row r="18" spans="1:26">
      <c r="A18" s="2" t="s">
        <v>160</v>
      </c>
    </row>
    <row r="19" spans="1:26">
      <c r="A19" s="148"/>
      <c r="B19" s="145"/>
      <c r="C19" s="145"/>
      <c r="D19" s="145"/>
      <c r="E19" s="145"/>
      <c r="F19" s="145"/>
      <c r="G19" s="145"/>
      <c r="H19" s="145"/>
      <c r="I19" s="145"/>
      <c r="J19" s="145"/>
      <c r="K19" s="4"/>
    </row>
    <row r="20" spans="1:26">
      <c r="A20" s="146" t="s">
        <v>145</v>
      </c>
      <c r="B20" s="51" t="s">
        <v>77</v>
      </c>
      <c r="C20" s="51" t="s">
        <v>78</v>
      </c>
      <c r="D20" s="51" t="s">
        <v>73</v>
      </c>
      <c r="E20" s="51" t="s">
        <v>4</v>
      </c>
      <c r="F20" s="51" t="s">
        <v>0</v>
      </c>
      <c r="G20" s="51" t="s">
        <v>82</v>
      </c>
      <c r="H20" s="51" t="s">
        <v>83</v>
      </c>
      <c r="I20" s="51" t="s">
        <v>5</v>
      </c>
      <c r="J20" s="51" t="s">
        <v>1</v>
      </c>
      <c r="K20" s="52" t="s">
        <v>6</v>
      </c>
    </row>
    <row r="21" spans="1:26">
      <c r="A21" s="147" t="s">
        <v>77</v>
      </c>
      <c r="B21" s="225">
        <v>1</v>
      </c>
      <c r="C21" s="225">
        <v>0</v>
      </c>
      <c r="D21" s="225">
        <v>0</v>
      </c>
      <c r="E21" s="225">
        <v>0</v>
      </c>
      <c r="F21" s="225">
        <v>0</v>
      </c>
      <c r="G21" s="225">
        <v>0</v>
      </c>
      <c r="H21" s="225">
        <v>0</v>
      </c>
      <c r="I21" s="225">
        <v>0</v>
      </c>
      <c r="J21" s="225">
        <v>0</v>
      </c>
      <c r="K21" s="230">
        <v>0</v>
      </c>
    </row>
    <row r="22" spans="1:26">
      <c r="A22" s="147" t="s">
        <v>78</v>
      </c>
      <c r="B22" s="225">
        <v>0</v>
      </c>
      <c r="C22" s="225">
        <v>1</v>
      </c>
      <c r="D22" s="225">
        <v>0</v>
      </c>
      <c r="E22" s="225">
        <v>0</v>
      </c>
      <c r="F22" s="225">
        <v>0</v>
      </c>
      <c r="G22" s="225">
        <v>0</v>
      </c>
      <c r="H22" s="225">
        <v>0</v>
      </c>
      <c r="I22" s="225">
        <v>0</v>
      </c>
      <c r="J22" s="225">
        <v>0</v>
      </c>
      <c r="K22" s="226">
        <v>0</v>
      </c>
    </row>
    <row r="23" spans="1:26">
      <c r="A23" s="147" t="s">
        <v>73</v>
      </c>
      <c r="B23" s="225">
        <v>0</v>
      </c>
      <c r="C23" s="225">
        <v>0</v>
      </c>
      <c r="D23" s="225">
        <v>1</v>
      </c>
      <c r="E23" s="225">
        <v>0</v>
      </c>
      <c r="F23" s="225">
        <v>0</v>
      </c>
      <c r="G23" s="225">
        <v>0</v>
      </c>
      <c r="H23" s="225">
        <v>0</v>
      </c>
      <c r="I23" s="225">
        <v>0</v>
      </c>
      <c r="J23" s="225">
        <v>0</v>
      </c>
      <c r="K23" s="226">
        <v>0</v>
      </c>
    </row>
    <row r="24" spans="1:26">
      <c r="A24" s="147" t="s">
        <v>4</v>
      </c>
      <c r="B24" s="225">
        <v>0</v>
      </c>
      <c r="C24" s="225">
        <v>0</v>
      </c>
      <c r="D24" s="225">
        <v>0</v>
      </c>
      <c r="E24" s="225">
        <v>1</v>
      </c>
      <c r="F24" s="225">
        <v>0</v>
      </c>
      <c r="G24" s="225">
        <v>0</v>
      </c>
      <c r="H24" s="225">
        <v>0</v>
      </c>
      <c r="I24" s="225">
        <v>0</v>
      </c>
      <c r="J24" s="225">
        <v>0</v>
      </c>
      <c r="K24" s="226">
        <v>0</v>
      </c>
    </row>
    <row r="25" spans="1:26">
      <c r="A25" s="147" t="s">
        <v>0</v>
      </c>
      <c r="B25" s="225">
        <v>0</v>
      </c>
      <c r="C25" s="225">
        <v>0</v>
      </c>
      <c r="D25" s="225">
        <v>0</v>
      </c>
      <c r="E25" s="225">
        <v>0</v>
      </c>
      <c r="F25" s="225">
        <v>1</v>
      </c>
      <c r="G25" s="225">
        <v>0</v>
      </c>
      <c r="H25" s="225">
        <v>0</v>
      </c>
      <c r="I25" s="225">
        <v>0</v>
      </c>
      <c r="J25" s="225">
        <v>0</v>
      </c>
      <c r="K25" s="226">
        <v>0</v>
      </c>
    </row>
    <row r="26" spans="1:26">
      <c r="A26" s="147" t="s">
        <v>82</v>
      </c>
      <c r="B26" s="225">
        <v>0</v>
      </c>
      <c r="C26" s="225">
        <v>0</v>
      </c>
      <c r="D26" s="225">
        <v>0</v>
      </c>
      <c r="E26" s="225">
        <v>0</v>
      </c>
      <c r="F26" s="225">
        <v>0</v>
      </c>
      <c r="G26" s="225">
        <v>1</v>
      </c>
      <c r="H26" s="225">
        <v>0</v>
      </c>
      <c r="I26" s="225">
        <v>0</v>
      </c>
      <c r="J26" s="225">
        <v>0</v>
      </c>
      <c r="K26" s="226">
        <v>0</v>
      </c>
    </row>
    <row r="27" spans="1:26">
      <c r="A27" s="147" t="s">
        <v>83</v>
      </c>
      <c r="B27" s="225">
        <v>0</v>
      </c>
      <c r="C27" s="225">
        <v>0</v>
      </c>
      <c r="D27" s="225">
        <v>0</v>
      </c>
      <c r="E27" s="225">
        <v>0</v>
      </c>
      <c r="F27" s="225">
        <v>0</v>
      </c>
      <c r="G27" s="225">
        <v>0</v>
      </c>
      <c r="H27" s="225">
        <v>1</v>
      </c>
      <c r="I27" s="225">
        <v>0</v>
      </c>
      <c r="J27" s="225">
        <v>0</v>
      </c>
      <c r="K27" s="226">
        <v>0</v>
      </c>
    </row>
    <row r="28" spans="1:26">
      <c r="A28" s="147" t="s">
        <v>5</v>
      </c>
      <c r="B28" s="225">
        <v>0</v>
      </c>
      <c r="C28" s="225">
        <v>0</v>
      </c>
      <c r="D28" s="225">
        <v>0</v>
      </c>
      <c r="E28" s="225">
        <v>0</v>
      </c>
      <c r="F28" s="225">
        <v>0</v>
      </c>
      <c r="G28" s="225">
        <v>0</v>
      </c>
      <c r="H28" s="225">
        <v>0</v>
      </c>
      <c r="I28" s="225">
        <v>1</v>
      </c>
      <c r="J28" s="225">
        <v>0</v>
      </c>
      <c r="K28" s="226">
        <v>0</v>
      </c>
    </row>
    <row r="29" spans="1:26">
      <c r="A29" s="147" t="s">
        <v>1</v>
      </c>
      <c r="B29" s="225">
        <v>0</v>
      </c>
      <c r="C29" s="225">
        <v>0</v>
      </c>
      <c r="D29" s="225">
        <v>0</v>
      </c>
      <c r="E29" s="225">
        <v>0</v>
      </c>
      <c r="F29" s="225">
        <v>0</v>
      </c>
      <c r="G29" s="225">
        <v>0</v>
      </c>
      <c r="H29" s="225">
        <v>0</v>
      </c>
      <c r="I29" s="225">
        <v>0</v>
      </c>
      <c r="J29" s="225">
        <v>1</v>
      </c>
      <c r="K29" s="226">
        <v>0</v>
      </c>
    </row>
    <row r="30" spans="1:26">
      <c r="A30" s="146" t="s">
        <v>6</v>
      </c>
      <c r="B30" s="228">
        <v>0</v>
      </c>
      <c r="C30" s="228">
        <v>0</v>
      </c>
      <c r="D30" s="228">
        <v>0</v>
      </c>
      <c r="E30" s="228">
        <v>0</v>
      </c>
      <c r="F30" s="228">
        <v>0</v>
      </c>
      <c r="G30" s="228">
        <v>0</v>
      </c>
      <c r="H30" s="228">
        <v>0</v>
      </c>
      <c r="I30" s="228">
        <v>0</v>
      </c>
      <c r="J30" s="228">
        <v>0</v>
      </c>
      <c r="K30" s="229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89" t="s">
        <v>36</v>
      </c>
      <c r="C37" s="50" t="s">
        <v>162</v>
      </c>
      <c r="D37" s="168" t="s">
        <v>164</v>
      </c>
      <c r="E37" s="171" t="s">
        <v>166</v>
      </c>
      <c r="F37" s="156" t="s">
        <v>163</v>
      </c>
      <c r="I37" s="182" t="s">
        <v>168</v>
      </c>
      <c r="J37" s="21">
        <v>0</v>
      </c>
      <c r="X37" t="s">
        <v>157</v>
      </c>
      <c r="Y37">
        <v>-4</v>
      </c>
      <c r="Z37">
        <v>-2</v>
      </c>
    </row>
    <row r="38" spans="1:26" ht="13.5" thickTop="1">
      <c r="A38" s="11" t="str">
        <f>A7</f>
        <v>Nominale VPV</v>
      </c>
      <c r="B38" s="81">
        <v>0.03</v>
      </c>
      <c r="C38" s="63">
        <v>2.5000000000000001E-2</v>
      </c>
      <c r="D38" s="175">
        <v>-4.9999999999999975E-3</v>
      </c>
      <c r="E38" s="176">
        <v>-4.9999999999999975E-3</v>
      </c>
      <c r="F38" s="161" t="s">
        <v>75</v>
      </c>
      <c r="J38" s="139"/>
    </row>
    <row r="39" spans="1:26">
      <c r="A39" s="11" t="str">
        <f t="shared" ref="A39:A47" si="0">A8</f>
        <v>Reele VPV</v>
      </c>
      <c r="B39" s="81">
        <v>7.7615162118704326E-2</v>
      </c>
      <c r="C39" s="63">
        <v>3.5000000000000003E-2</v>
      </c>
      <c r="D39" s="169">
        <v>-4.2615162118704322E-2</v>
      </c>
      <c r="E39" s="172">
        <v>-4.2615162118704322E-2</v>
      </c>
      <c r="F39" s="161" t="s">
        <v>75</v>
      </c>
      <c r="I39" s="139">
        <v>-4.2615162118704336E-2</v>
      </c>
      <c r="J39" s="139">
        <f>I39/SUM($I$39:$I$47)</f>
        <v>0.20169508292378435</v>
      </c>
    </row>
    <row r="40" spans="1:26">
      <c r="A40" s="11" t="str">
        <f t="shared" si="0"/>
        <v>Credits</v>
      </c>
      <c r="B40" s="81">
        <v>0.14720298921235397</v>
      </c>
      <c r="C40" s="63">
        <v>0.08</v>
      </c>
      <c r="D40" s="169">
        <v>-6.7202989212353972E-2</v>
      </c>
      <c r="E40" s="172">
        <v>-6.7202989212353972E-2</v>
      </c>
      <c r="F40" s="161" t="s">
        <v>75</v>
      </c>
      <c r="I40" s="139">
        <v>0</v>
      </c>
      <c r="J40" s="139">
        <f t="shared" ref="J40:J47" si="1">I40/SUM($I$39:$I$47)</f>
        <v>0</v>
      </c>
    </row>
    <row r="41" spans="1:26">
      <c r="A41" s="11" t="str">
        <f t="shared" si="0"/>
        <v>High Yield</v>
      </c>
      <c r="B41" s="81">
        <v>5.6496387380050681E-2</v>
      </c>
      <c r="C41" s="63">
        <v>5.5E-2</v>
      </c>
      <c r="D41" s="169">
        <v>-1.4963873800506802E-3</v>
      </c>
      <c r="E41" s="172">
        <v>-1.4963873800506802E-3</v>
      </c>
      <c r="F41" s="161" t="s">
        <v>75</v>
      </c>
      <c r="I41" s="139">
        <v>-1.4963873800506802E-3</v>
      </c>
      <c r="J41" s="139">
        <f t="shared" si="1"/>
        <v>7.0823144087713407E-3</v>
      </c>
    </row>
    <row r="42" spans="1:26">
      <c r="A42" s="11" t="str">
        <f t="shared" si="0"/>
        <v>EMD</v>
      </c>
      <c r="B42" s="81">
        <v>5.6528262962781142E-2</v>
      </c>
      <c r="C42" s="63">
        <v>0.05</v>
      </c>
      <c r="D42" s="169">
        <v>-6.5282629627811395E-3</v>
      </c>
      <c r="E42" s="172">
        <v>-6.5282629627811395E-3</v>
      </c>
      <c r="F42" s="161" t="s">
        <v>75</v>
      </c>
      <c r="I42" s="139">
        <v>-6.5282629627811395E-3</v>
      </c>
      <c r="J42" s="139">
        <f t="shared" si="1"/>
        <v>3.0897888783309062E-2</v>
      </c>
    </row>
    <row r="43" spans="1:26">
      <c r="A43" s="11" t="str">
        <f t="shared" si="0"/>
        <v>Aandelen ontw</v>
      </c>
      <c r="B43" s="81">
        <v>6.4356314621335148E-2</v>
      </c>
      <c r="C43" s="63">
        <v>0.05</v>
      </c>
      <c r="D43" s="169">
        <v>-1.4356314621335145E-2</v>
      </c>
      <c r="E43" s="172">
        <v>-1.4356314621335145E-2</v>
      </c>
      <c r="F43" s="161" t="s">
        <v>75</v>
      </c>
      <c r="I43" s="139">
        <v>-1.4356314621335145E-2</v>
      </c>
      <c r="J43" s="139">
        <f>I43/SUM($I$39:$I$47)</f>
        <v>6.794760184097047E-2</v>
      </c>
    </row>
    <row r="44" spans="1:26">
      <c r="A44" s="11" t="str">
        <f t="shared" si="0"/>
        <v>Aandelen opk</v>
      </c>
      <c r="B44" s="81">
        <v>9.1561672924114379E-2</v>
      </c>
      <c r="C44" s="63">
        <v>0.04</v>
      </c>
      <c r="D44" s="169">
        <v>-5.1561672924114378E-2</v>
      </c>
      <c r="E44" s="172">
        <v>-5.1561672924114378E-2</v>
      </c>
      <c r="F44" s="161" t="s">
        <v>75</v>
      </c>
      <c r="I44" s="139">
        <v>-5.1561672924114378E-2</v>
      </c>
      <c r="J44" s="139">
        <f t="shared" si="1"/>
        <v>0.24403839805067218</v>
      </c>
    </row>
    <row r="45" spans="1:26">
      <c r="A45" s="11" t="str">
        <f t="shared" si="0"/>
        <v>Hedge funds</v>
      </c>
      <c r="B45" s="81">
        <v>5.1135067781966595E-2</v>
      </c>
      <c r="C45" s="63">
        <v>0.06</v>
      </c>
      <c r="D45" s="169">
        <v>8.8649322180334028E-3</v>
      </c>
      <c r="E45" s="172">
        <v>8.8649322180334028E-3</v>
      </c>
      <c r="F45" s="161" t="s">
        <v>75</v>
      </c>
      <c r="I45" s="139">
        <v>8.8649322180334028E-3</v>
      </c>
      <c r="J45" s="139">
        <f t="shared" si="1"/>
        <v>-4.1957208419141336E-2</v>
      </c>
    </row>
    <row r="46" spans="1:26">
      <c r="A46" s="11" t="str">
        <f t="shared" si="0"/>
        <v>OG</v>
      </c>
      <c r="B46" s="81">
        <v>4.7615162118704327E-2</v>
      </c>
      <c r="C46" s="63">
        <v>2.5000000000000001E-2</v>
      </c>
      <c r="D46" s="169">
        <v>-2.2615162118704325E-2</v>
      </c>
      <c r="E46" s="172">
        <v>-2.2615162118704325E-2</v>
      </c>
      <c r="F46" s="161" t="s">
        <v>75</v>
      </c>
      <c r="I46" s="139">
        <v>-2.2615162118704332E-2</v>
      </c>
      <c r="J46" s="139">
        <f t="shared" si="1"/>
        <v>0.10703624653969941</v>
      </c>
    </row>
    <row r="47" spans="1:26" ht="13.5" thickBot="1">
      <c r="A47" s="12" t="str">
        <f t="shared" si="0"/>
        <v>Commodities</v>
      </c>
      <c r="B47" s="85">
        <v>8.0977052013787992E-2</v>
      </c>
      <c r="C47" s="116">
        <v>0</v>
      </c>
      <c r="D47" s="170">
        <v>-8.0977052013787992E-2</v>
      </c>
      <c r="E47" s="186">
        <v>-8.0977052013787992E-2</v>
      </c>
      <c r="F47" s="162" t="s">
        <v>75</v>
      </c>
      <c r="I47" s="139">
        <v>-8.0977052013787992E-2</v>
      </c>
      <c r="J47" s="139">
        <f t="shared" si="1"/>
        <v>0.38325967587193455</v>
      </c>
    </row>
    <row r="48" spans="1:26" ht="13.5" thickTop="1">
      <c r="I48" s="139"/>
    </row>
    <row r="49" spans="1:11">
      <c r="A49" s="2" t="s">
        <v>158</v>
      </c>
    </row>
    <row r="50" spans="1:11">
      <c r="A50" s="148" t="s">
        <v>36</v>
      </c>
      <c r="B50" s="145"/>
      <c r="C50" s="145"/>
      <c r="D50" s="145"/>
      <c r="E50" s="145"/>
      <c r="F50" s="145"/>
      <c r="G50" s="145"/>
      <c r="H50" s="145"/>
      <c r="I50" s="145"/>
      <c r="J50" s="145"/>
      <c r="K50" s="4"/>
    </row>
    <row r="51" spans="1:11">
      <c r="A51" s="146" t="s">
        <v>145</v>
      </c>
      <c r="B51" s="51" t="str">
        <f>A52</f>
        <v>Nominale VPV</v>
      </c>
      <c r="C51" s="51" t="str">
        <f>A53</f>
        <v>Reele VPV</v>
      </c>
      <c r="D51" s="51" t="str">
        <f>A54</f>
        <v>Credits</v>
      </c>
      <c r="E51" s="51" t="str">
        <f>A55</f>
        <v>High Yield</v>
      </c>
      <c r="F51" s="51" t="str">
        <f>A56</f>
        <v>EMD</v>
      </c>
      <c r="G51" s="51" t="str">
        <f>A57</f>
        <v>Aandelen ontw</v>
      </c>
      <c r="H51" s="51" t="str">
        <f>A58</f>
        <v>Aandelen opk</v>
      </c>
      <c r="I51" s="51" t="str">
        <f>A59</f>
        <v>Hedge funds</v>
      </c>
      <c r="J51" s="51" t="str">
        <f>A60</f>
        <v>OG</v>
      </c>
      <c r="K51" s="52" t="str">
        <f>A61</f>
        <v>Commodities</v>
      </c>
    </row>
    <row r="52" spans="1:11">
      <c r="A52" s="10" t="str">
        <f>A21</f>
        <v>Nominale VPV</v>
      </c>
      <c r="B52" s="151">
        <v>9.086138537108554E-2</v>
      </c>
      <c r="C52" s="83">
        <v>0.40971662366390721</v>
      </c>
      <c r="D52" s="83">
        <v>0.21430474377395498</v>
      </c>
      <c r="E52" s="83">
        <v>0.22151712082055552</v>
      </c>
      <c r="F52" s="83">
        <v>7.4002355689612095E-2</v>
      </c>
      <c r="G52" s="83">
        <v>9.1634717779999042E-2</v>
      </c>
      <c r="H52" s="83">
        <v>-0.17471282183767073</v>
      </c>
      <c r="I52" s="83">
        <v>-0.19467168407321447</v>
      </c>
      <c r="J52" s="83">
        <v>-4.8441147957524994E-2</v>
      </c>
      <c r="K52" s="150">
        <v>-0.46979603223907912</v>
      </c>
    </row>
    <row r="53" spans="1:11">
      <c r="A53" s="147" t="str">
        <f t="shared" ref="A53:A61" si="2">A22</f>
        <v>Reele VPV</v>
      </c>
      <c r="B53" s="83">
        <v>0.40971662366390721</v>
      </c>
      <c r="C53" s="151">
        <v>0.10522937451834077</v>
      </c>
      <c r="D53" s="83">
        <v>0.15471392791247904</v>
      </c>
      <c r="E53" s="83">
        <v>0.25342358427652262</v>
      </c>
      <c r="F53" s="83">
        <v>-4.9491207038104265E-2</v>
      </c>
      <c r="G53" s="83">
        <v>0.12602559041577072</v>
      </c>
      <c r="H53" s="83">
        <v>5.7716896337474455E-2</v>
      </c>
      <c r="I53" s="83">
        <v>-0.14489467422899738</v>
      </c>
      <c r="J53" s="83">
        <v>-0.12202509544491509</v>
      </c>
      <c r="K53" s="84">
        <v>-8.9244037060686482E-2</v>
      </c>
    </row>
    <row r="54" spans="1:11">
      <c r="A54" s="147" t="str">
        <f t="shared" si="2"/>
        <v>Credits</v>
      </c>
      <c r="B54" s="83">
        <v>0.21430474377395498</v>
      </c>
      <c r="C54" s="83">
        <v>0.15471392791247904</v>
      </c>
      <c r="D54" s="151">
        <v>0.14514041524285748</v>
      </c>
      <c r="E54" s="83">
        <v>0.27817222657699914</v>
      </c>
      <c r="F54" s="83">
        <v>-3.7036476676643365E-2</v>
      </c>
      <c r="G54" s="83">
        <v>-2.0652245548069024E-2</v>
      </c>
      <c r="H54" s="83">
        <v>-4.7238096976118265E-4</v>
      </c>
      <c r="I54" s="83">
        <v>3.5291346298508837E-2</v>
      </c>
      <c r="J54" s="83">
        <v>-0.14714896334501701</v>
      </c>
      <c r="K54" s="84">
        <v>3.8849793092206202E-2</v>
      </c>
    </row>
    <row r="55" spans="1:11">
      <c r="A55" s="147" t="str">
        <f t="shared" si="2"/>
        <v>High Yield</v>
      </c>
      <c r="B55" s="83">
        <v>0.22151712082055552</v>
      </c>
      <c r="C55" s="83">
        <v>0.25342358427652262</v>
      </c>
      <c r="D55" s="83">
        <v>0.27817222657699914</v>
      </c>
      <c r="E55" s="151">
        <v>0.15212518033194117</v>
      </c>
      <c r="F55" s="83">
        <v>0.54947077664382249</v>
      </c>
      <c r="G55" s="83">
        <v>0.65128571710691474</v>
      </c>
      <c r="H55" s="83">
        <v>0.66085351889108501</v>
      </c>
      <c r="I55" s="83">
        <v>0.42475163042146646</v>
      </c>
      <c r="J55" s="83">
        <v>-0.32361654199607626</v>
      </c>
      <c r="K55" s="84">
        <v>-2.2300336358686713E-3</v>
      </c>
    </row>
    <row r="56" spans="1:11">
      <c r="A56" s="147" t="str">
        <f t="shared" si="2"/>
        <v>EMD</v>
      </c>
      <c r="B56" s="83">
        <v>7.4002355689612095E-2</v>
      </c>
      <c r="C56" s="83">
        <v>-4.9491207038104265E-2</v>
      </c>
      <c r="D56" s="83">
        <v>-3.7036476676643365E-2</v>
      </c>
      <c r="E56" s="83">
        <v>0.54947077664382249</v>
      </c>
      <c r="F56" s="151">
        <v>0.13758409078549264</v>
      </c>
      <c r="G56" s="83">
        <v>0.43704301175382876</v>
      </c>
      <c r="H56" s="83">
        <v>0.47448318291761848</v>
      </c>
      <c r="I56" s="83">
        <v>0.75975680806732326</v>
      </c>
      <c r="J56" s="83">
        <v>0.22497345871183871</v>
      </c>
      <c r="K56" s="84">
        <v>0.50014707286156246</v>
      </c>
    </row>
    <row r="57" spans="1:11">
      <c r="A57" s="147" t="str">
        <f t="shared" si="2"/>
        <v>Aandelen ontw</v>
      </c>
      <c r="B57" s="83">
        <v>9.1634717779999042E-2</v>
      </c>
      <c r="C57" s="83">
        <v>0.12602559041577072</v>
      </c>
      <c r="D57" s="83">
        <v>-2.0652245548069024E-2</v>
      </c>
      <c r="E57" s="83">
        <v>0.65128571710691474</v>
      </c>
      <c r="F57" s="83">
        <v>0.43704301175382876</v>
      </c>
      <c r="G57" s="151">
        <v>0.19354582049076965</v>
      </c>
      <c r="H57" s="83">
        <v>0.75270312398485772</v>
      </c>
      <c r="I57" s="83">
        <v>0.57172393447966696</v>
      </c>
      <c r="J57" s="83">
        <v>-3.5193060592075026E-2</v>
      </c>
      <c r="K57" s="84">
        <v>0.10395609042534409</v>
      </c>
    </row>
    <row r="58" spans="1:11">
      <c r="A58" s="147" t="str">
        <f t="shared" si="2"/>
        <v>Aandelen opk</v>
      </c>
      <c r="B58" s="83">
        <v>-0.17471282183767073</v>
      </c>
      <c r="C58" s="83">
        <v>5.7716896337474455E-2</v>
      </c>
      <c r="D58" s="83">
        <v>-4.7238096976118265E-4</v>
      </c>
      <c r="E58" s="83">
        <v>0.66085351889108501</v>
      </c>
      <c r="F58" s="83">
        <v>0.47448318291761848</v>
      </c>
      <c r="G58" s="83">
        <v>0.75270312398485772</v>
      </c>
      <c r="H58" s="151">
        <v>0.34249727755342524</v>
      </c>
      <c r="I58" s="83">
        <v>0.43308445119592953</v>
      </c>
      <c r="J58" s="83">
        <v>-0.33706927145387588</v>
      </c>
      <c r="K58" s="84">
        <v>0.21126029655546041</v>
      </c>
    </row>
    <row r="59" spans="1:11">
      <c r="A59" s="147" t="str">
        <f t="shared" si="2"/>
        <v>Hedge funds</v>
      </c>
      <c r="B59" s="83">
        <v>-0.19467168407321447</v>
      </c>
      <c r="C59" s="83">
        <v>-0.14489467422899738</v>
      </c>
      <c r="D59" s="83">
        <v>3.5291346298508837E-2</v>
      </c>
      <c r="E59" s="83">
        <v>0.42475163042146646</v>
      </c>
      <c r="F59" s="83">
        <v>0.75975680806732326</v>
      </c>
      <c r="G59" s="83">
        <v>0.57172393447966696</v>
      </c>
      <c r="H59" s="83">
        <v>0.43308445119592953</v>
      </c>
      <c r="I59" s="151">
        <v>7.2522493236444621E-2</v>
      </c>
      <c r="J59" s="83">
        <v>0.53144909307162091</v>
      </c>
      <c r="K59" s="84">
        <v>0.50768184408405947</v>
      </c>
    </row>
    <row r="60" spans="1:11">
      <c r="A60" s="147" t="str">
        <f t="shared" si="2"/>
        <v>OG</v>
      </c>
      <c r="B60" s="83">
        <v>-4.8441147957524994E-2</v>
      </c>
      <c r="C60" s="83">
        <v>-0.12202509544491509</v>
      </c>
      <c r="D60" s="83">
        <v>-0.14714896334501701</v>
      </c>
      <c r="E60" s="83">
        <v>-0.32361654199607626</v>
      </c>
      <c r="F60" s="83">
        <v>0.22497345871183871</v>
      </c>
      <c r="G60" s="83">
        <v>-3.5193060592075026E-2</v>
      </c>
      <c r="H60" s="83">
        <v>-0.33706927145387588</v>
      </c>
      <c r="I60" s="83">
        <v>0.53144909307162091</v>
      </c>
      <c r="J60" s="151">
        <v>4.976648454377966E-2</v>
      </c>
      <c r="K60" s="84">
        <v>0.24828282028996507</v>
      </c>
    </row>
    <row r="61" spans="1:11">
      <c r="A61" s="146" t="str">
        <f t="shared" si="2"/>
        <v>Commodities</v>
      </c>
      <c r="B61" s="86">
        <v>-0.46979603223907912</v>
      </c>
      <c r="C61" s="86">
        <v>-8.9244037060686482E-2</v>
      </c>
      <c r="D61" s="86">
        <v>3.8849793092206202E-2</v>
      </c>
      <c r="E61" s="86">
        <v>-2.2300336358686713E-3</v>
      </c>
      <c r="F61" s="86">
        <v>0.50014707286156246</v>
      </c>
      <c r="G61" s="86">
        <v>0.10395609042534409</v>
      </c>
      <c r="H61" s="86">
        <v>0.21126029655546041</v>
      </c>
      <c r="I61" s="86">
        <v>0.50768184408405947</v>
      </c>
      <c r="J61" s="86">
        <v>0.24828282028996507</v>
      </c>
      <c r="K61" s="152">
        <v>0.25247140962754983</v>
      </c>
    </row>
    <row r="62" spans="1:11">
      <c r="A62" s="149" t="str">
        <f>B1</f>
        <v>Groei recessie</v>
      </c>
      <c r="B62" s="145"/>
      <c r="C62" s="145"/>
      <c r="D62" s="145"/>
      <c r="E62" s="145"/>
      <c r="F62" s="145"/>
      <c r="G62" s="145"/>
      <c r="H62" s="145"/>
      <c r="I62" s="145"/>
      <c r="J62" s="145"/>
      <c r="K62" s="4"/>
    </row>
    <row r="63" spans="1:11">
      <c r="A63" s="146" t="s">
        <v>145</v>
      </c>
      <c r="B63" s="51" t="str">
        <f>A64</f>
        <v>Nominale VPV</v>
      </c>
      <c r="C63" s="51" t="str">
        <f>A65</f>
        <v>Reele VPV</v>
      </c>
      <c r="D63" s="51" t="str">
        <f>A66</f>
        <v>Credits</v>
      </c>
      <c r="E63" s="51" t="str">
        <f>A67</f>
        <v>High Yield</v>
      </c>
      <c r="F63" s="51" t="str">
        <f>A68</f>
        <v>EMD</v>
      </c>
      <c r="G63" s="51" t="str">
        <f>A69</f>
        <v>Aandelen ontw</v>
      </c>
      <c r="H63" s="51" t="str">
        <f>A70</f>
        <v>Aandelen opk</v>
      </c>
      <c r="I63" s="51" t="str">
        <f>A71</f>
        <v>Hedge funds</v>
      </c>
      <c r="J63" s="51" t="str">
        <f>A72</f>
        <v>OG</v>
      </c>
      <c r="K63" s="52" t="str">
        <f>A73</f>
        <v>Commodities</v>
      </c>
    </row>
    <row r="64" spans="1:11">
      <c r="A64" s="10" t="str">
        <f>A52</f>
        <v>Nominale VPV</v>
      </c>
      <c r="B64" s="151">
        <v>8.2284439513604188E-2</v>
      </c>
      <c r="C64" s="83">
        <v>0.52016406962707096</v>
      </c>
      <c r="D64" s="83">
        <v>0.13446179255485641</v>
      </c>
      <c r="E64" s="83">
        <v>0.32303404970937177</v>
      </c>
      <c r="F64" s="83">
        <v>0.38904238396041924</v>
      </c>
      <c r="G64" s="83">
        <v>0.21869737874006454</v>
      </c>
      <c r="H64" s="83">
        <v>-7.6195754982743155E-2</v>
      </c>
      <c r="I64" s="83">
        <v>0.27246705924854453</v>
      </c>
      <c r="J64" s="83">
        <v>9.1177197180258351E-2</v>
      </c>
      <c r="K64" s="150">
        <v>-0.10286565806021598</v>
      </c>
    </row>
    <row r="65" spans="1:11">
      <c r="A65" s="147" t="str">
        <f t="shared" ref="A65:A73" si="3">A53</f>
        <v>Reele VPV</v>
      </c>
      <c r="B65" s="83">
        <v>0.52016406962707096</v>
      </c>
      <c r="C65" s="151">
        <v>8.8998480928335288E-2</v>
      </c>
      <c r="D65" s="83">
        <v>8.2124134820961772E-2</v>
      </c>
      <c r="E65" s="83">
        <v>0.20980449038973092</v>
      </c>
      <c r="F65" s="83">
        <v>7.7141502574135462E-2</v>
      </c>
      <c r="G65" s="83">
        <v>0.13282180596227913</v>
      </c>
      <c r="H65" s="83">
        <v>-7.2413604737632503E-2</v>
      </c>
      <c r="I65" s="83">
        <v>-0.11601999301435773</v>
      </c>
      <c r="J65" s="83">
        <v>-8.5777303802926572E-2</v>
      </c>
      <c r="K65" s="84">
        <v>0.23367752650892043</v>
      </c>
    </row>
    <row r="66" spans="1:11">
      <c r="A66" s="147" t="str">
        <f t="shared" si="3"/>
        <v>Credits</v>
      </c>
      <c r="B66" s="83">
        <v>0.13446179255485641</v>
      </c>
      <c r="C66" s="83">
        <v>8.2124134820961772E-2</v>
      </c>
      <c r="D66" s="151">
        <v>0.14403679138809095</v>
      </c>
      <c r="E66" s="83">
        <v>0.19252798403310883</v>
      </c>
      <c r="F66" s="83">
        <v>-0.19397318974827171</v>
      </c>
      <c r="G66" s="83">
        <v>-4.5829430855055933E-2</v>
      </c>
      <c r="H66" s="83">
        <v>-4.2697740276267306E-2</v>
      </c>
      <c r="I66" s="83">
        <v>-0.14469851361945196</v>
      </c>
      <c r="J66" s="83">
        <v>-0.3836483811514253</v>
      </c>
      <c r="K66" s="84">
        <v>-0.12721930008553978</v>
      </c>
    </row>
    <row r="67" spans="1:11">
      <c r="A67" s="147" t="str">
        <f t="shared" si="3"/>
        <v>High Yield</v>
      </c>
      <c r="B67" s="83">
        <v>0.32303404970937177</v>
      </c>
      <c r="C67" s="83">
        <v>0.20980449038973092</v>
      </c>
      <c r="D67" s="83">
        <v>0.19252798403310883</v>
      </c>
      <c r="E67" s="151">
        <v>0.11195089183409801</v>
      </c>
      <c r="F67" s="83">
        <v>0.55273068454463237</v>
      </c>
      <c r="G67" s="83">
        <v>0.53487654775118121</v>
      </c>
      <c r="H67" s="83">
        <v>0.50647088771096382</v>
      </c>
      <c r="I67" s="83">
        <v>0.49364452742897713</v>
      </c>
      <c r="J67" s="83">
        <v>-0.32113469066281125</v>
      </c>
      <c r="K67" s="84">
        <v>-0.3737902585643379</v>
      </c>
    </row>
    <row r="68" spans="1:11">
      <c r="A68" s="147" t="str">
        <f t="shared" si="3"/>
        <v>EMD</v>
      </c>
      <c r="B68" s="83">
        <v>0.38904238396041935</v>
      </c>
      <c r="C68" s="83">
        <v>7.7141502574135504E-2</v>
      </c>
      <c r="D68" s="83">
        <v>-0.19397318974827171</v>
      </c>
      <c r="E68" s="83">
        <v>0.55273068454463237</v>
      </c>
      <c r="F68" s="151">
        <v>0.12351296147330995</v>
      </c>
      <c r="G68" s="83">
        <v>0.27213030308381786</v>
      </c>
      <c r="H68" s="83">
        <v>0.3898858939854658</v>
      </c>
      <c r="I68" s="83">
        <v>0.76607468876436591</v>
      </c>
      <c r="J68" s="83">
        <v>0.20322658488820602</v>
      </c>
      <c r="K68" s="84">
        <v>0.14720358096022818</v>
      </c>
    </row>
    <row r="69" spans="1:11">
      <c r="A69" s="147" t="str">
        <f t="shared" si="3"/>
        <v>Aandelen ontw</v>
      </c>
      <c r="B69" s="83">
        <v>0.21869737874006454</v>
      </c>
      <c r="C69" s="83">
        <v>0.13282180596227913</v>
      </c>
      <c r="D69" s="83">
        <v>-4.5829430855055968E-2</v>
      </c>
      <c r="E69" s="83">
        <v>0.53487654775118132</v>
      </c>
      <c r="F69" s="83">
        <v>0.27213030308381791</v>
      </c>
      <c r="G69" s="151">
        <v>0.15129450154258914</v>
      </c>
      <c r="H69" s="83">
        <v>0.61521212442309692</v>
      </c>
      <c r="I69" s="83">
        <v>0.53100809693739237</v>
      </c>
      <c r="J69" s="83">
        <v>-0.13741532621382926</v>
      </c>
      <c r="K69" s="84">
        <v>-0.28263833473995309</v>
      </c>
    </row>
    <row r="70" spans="1:11">
      <c r="A70" s="147" t="str">
        <f t="shared" si="3"/>
        <v>Aandelen opk</v>
      </c>
      <c r="B70" s="83">
        <v>-7.6195754982743141E-2</v>
      </c>
      <c r="C70" s="83">
        <v>-7.2413604737632517E-2</v>
      </c>
      <c r="D70" s="83">
        <v>-4.2697740276267306E-2</v>
      </c>
      <c r="E70" s="83">
        <v>0.50647088771096382</v>
      </c>
      <c r="F70" s="83">
        <v>0.38988589398546569</v>
      </c>
      <c r="G70" s="83">
        <v>0.61521212442309692</v>
      </c>
      <c r="H70" s="151">
        <v>0.30743928719374491</v>
      </c>
      <c r="I70" s="83">
        <v>0.39942147634863318</v>
      </c>
      <c r="J70" s="83">
        <v>-0.40516653020728083</v>
      </c>
      <c r="K70" s="84">
        <v>-0.2304009767195242</v>
      </c>
    </row>
    <row r="71" spans="1:11">
      <c r="A71" s="147" t="str">
        <f t="shared" si="3"/>
        <v>Hedge funds</v>
      </c>
      <c r="B71" s="83">
        <v>0.27246705924854459</v>
      </c>
      <c r="C71" s="83">
        <v>-0.11601999301435773</v>
      </c>
      <c r="D71" s="83">
        <v>-0.14469851361945199</v>
      </c>
      <c r="E71" s="83">
        <v>0.49364452742897713</v>
      </c>
      <c r="F71" s="83">
        <v>0.76607468876436591</v>
      </c>
      <c r="G71" s="83">
        <v>0.53100809693739237</v>
      </c>
      <c r="H71" s="83">
        <v>0.39942147634863318</v>
      </c>
      <c r="I71" s="151">
        <v>4.5382959905780257E-2</v>
      </c>
      <c r="J71" s="83">
        <v>0.29562287448383628</v>
      </c>
      <c r="K71" s="84">
        <v>-0.16925198993531926</v>
      </c>
    </row>
    <row r="72" spans="1:11">
      <c r="A72" s="147" t="str">
        <f t="shared" si="3"/>
        <v>OG</v>
      </c>
      <c r="B72" s="83">
        <v>9.1177197180258393E-2</v>
      </c>
      <c r="C72" s="83">
        <v>-8.5777303802926572E-2</v>
      </c>
      <c r="D72" s="83">
        <v>-0.38364838115142536</v>
      </c>
      <c r="E72" s="83">
        <v>-0.32113469066281125</v>
      </c>
      <c r="F72" s="83">
        <v>0.20322658488820602</v>
      </c>
      <c r="G72" s="83">
        <v>-0.13741532621382926</v>
      </c>
      <c r="H72" s="83">
        <v>-0.40516653020728083</v>
      </c>
      <c r="I72" s="83">
        <v>0.29562287448383628</v>
      </c>
      <c r="J72" s="151">
        <v>3.2444616979797246E-2</v>
      </c>
      <c r="K72" s="84">
        <v>0.12323173284481768</v>
      </c>
    </row>
    <row r="73" spans="1:11">
      <c r="A73" s="146" t="str">
        <f t="shared" si="3"/>
        <v>Commodities</v>
      </c>
      <c r="B73" s="86">
        <v>-0.10286565806021598</v>
      </c>
      <c r="C73" s="86">
        <v>0.23367752650892043</v>
      </c>
      <c r="D73" s="86">
        <v>-0.12721930008553972</v>
      </c>
      <c r="E73" s="86">
        <v>-0.3737902585643379</v>
      </c>
      <c r="F73" s="86">
        <v>0.14720358096022818</v>
      </c>
      <c r="G73" s="86">
        <v>-0.28263833473995315</v>
      </c>
      <c r="H73" s="86">
        <v>-0.2304009767195242</v>
      </c>
      <c r="I73" s="86">
        <v>-0.16925198993531929</v>
      </c>
      <c r="J73" s="86">
        <v>0.1232317328448177</v>
      </c>
      <c r="K73" s="152">
        <v>0.21461520563306455</v>
      </c>
    </row>
    <row r="75" spans="1:11">
      <c r="A75" s="2"/>
    </row>
    <row r="76" spans="1:11">
      <c r="A76" s="17" t="s">
        <v>164</v>
      </c>
      <c r="B76" s="153" t="str">
        <f>A77</f>
        <v>Nominale VPV</v>
      </c>
      <c r="C76" s="153" t="str">
        <f>A78</f>
        <v>Reele VPV</v>
      </c>
      <c r="D76" s="153" t="str">
        <f>A79</f>
        <v>Credits</v>
      </c>
      <c r="E76" s="153" t="str">
        <f>A80</f>
        <v>High Yield</v>
      </c>
      <c r="F76" s="153" t="str">
        <f>A81</f>
        <v>EMD</v>
      </c>
      <c r="G76" s="153" t="str">
        <f>A82</f>
        <v>Aandelen ontw</v>
      </c>
      <c r="H76" s="153" t="str">
        <f>A83</f>
        <v>Aandelen opk</v>
      </c>
      <c r="I76" s="153" t="str">
        <f>A84</f>
        <v>Hedge funds</v>
      </c>
      <c r="J76" s="153" t="str">
        <f>A85</f>
        <v>OG</v>
      </c>
      <c r="K76" s="154" t="str">
        <f>A86</f>
        <v>Commodities</v>
      </c>
    </row>
    <row r="77" spans="1:11">
      <c r="A77" s="147" t="str">
        <f>A64</f>
        <v>Nominale VPV</v>
      </c>
      <c r="B77" s="151">
        <v>-8.5769458574813523E-3</v>
      </c>
      <c r="C77" s="83">
        <v>0.11044744596316375</v>
      </c>
      <c r="D77" s="83">
        <v>-7.9842951219098568E-2</v>
      </c>
      <c r="E77" s="83">
        <v>0.10151692888881625</v>
      </c>
      <c r="F77" s="83">
        <v>0.31504002827080713</v>
      </c>
      <c r="G77" s="83">
        <v>0.12706266096006549</v>
      </c>
      <c r="H77" s="83">
        <v>9.8517066854927574E-2</v>
      </c>
      <c r="I77" s="83">
        <v>0.46713874332175898</v>
      </c>
      <c r="J77" s="83">
        <v>0.13961834513778335</v>
      </c>
      <c r="K77" s="84">
        <v>0.36693037417886315</v>
      </c>
    </row>
    <row r="78" spans="1:11">
      <c r="A78" s="147" t="str">
        <f t="shared" ref="A78:A86" si="4">A65</f>
        <v>Reele VPV</v>
      </c>
      <c r="B78" s="83">
        <v>0.11044744596316375</v>
      </c>
      <c r="C78" s="151">
        <v>-1.6230893590005485E-2</v>
      </c>
      <c r="D78" s="83">
        <v>-7.2589793091517266E-2</v>
      </c>
      <c r="E78" s="83">
        <v>-4.3619093886791693E-2</v>
      </c>
      <c r="F78" s="83">
        <v>0.12663270961223971</v>
      </c>
      <c r="G78" s="83">
        <v>6.7962155465084162E-3</v>
      </c>
      <c r="H78" s="83">
        <v>-0.13013050107510696</v>
      </c>
      <c r="I78" s="83">
        <v>2.8874681214639653E-2</v>
      </c>
      <c r="J78" s="83">
        <v>3.6247791641988519E-2</v>
      </c>
      <c r="K78" s="84">
        <v>0.32292156356960688</v>
      </c>
    </row>
    <row r="79" spans="1:11">
      <c r="A79" s="147" t="str">
        <f t="shared" si="4"/>
        <v>Credits</v>
      </c>
      <c r="B79" s="83">
        <v>-7.9842951219098568E-2</v>
      </c>
      <c r="C79" s="83">
        <v>-7.2589793091517266E-2</v>
      </c>
      <c r="D79" s="151">
        <v>-1.1036238547665334E-3</v>
      </c>
      <c r="E79" s="83">
        <v>-8.5644242543890303E-2</v>
      </c>
      <c r="F79" s="83">
        <v>-0.15693671307162835</v>
      </c>
      <c r="G79" s="83">
        <v>-2.5177185306986909E-2</v>
      </c>
      <c r="H79" s="83">
        <v>-4.2225359306506123E-2</v>
      </c>
      <c r="I79" s="83">
        <v>-0.17998985991796079</v>
      </c>
      <c r="J79" s="83">
        <v>-0.23649941780640829</v>
      </c>
      <c r="K79" s="84">
        <v>-0.16606909317774599</v>
      </c>
    </row>
    <row r="80" spans="1:11">
      <c r="A80" s="147" t="str">
        <f t="shared" si="4"/>
        <v>High Yield</v>
      </c>
      <c r="B80" s="83">
        <v>0.10151692888881625</v>
      </c>
      <c r="C80" s="83">
        <v>-4.3619093886791693E-2</v>
      </c>
      <c r="D80" s="83">
        <v>-8.5644242543890303E-2</v>
      </c>
      <c r="E80" s="151">
        <v>-4.0174288497843158E-2</v>
      </c>
      <c r="F80" s="83">
        <v>3.2599079008098775E-3</v>
      </c>
      <c r="G80" s="83">
        <v>-0.11640916935573353</v>
      </c>
      <c r="H80" s="83">
        <v>-0.15438263118012119</v>
      </c>
      <c r="I80" s="83">
        <v>6.8892897007510667E-2</v>
      </c>
      <c r="J80" s="83">
        <v>2.4818513332650061E-3</v>
      </c>
      <c r="K80" s="84">
        <v>-0.37156022492846924</v>
      </c>
    </row>
    <row r="81" spans="1:12">
      <c r="A81" s="147" t="str">
        <f t="shared" si="4"/>
        <v>EMD</v>
      </c>
      <c r="B81" s="83">
        <v>0.31504002827080724</v>
      </c>
      <c r="C81" s="83">
        <v>0.12663270961223977</v>
      </c>
      <c r="D81" s="83">
        <v>-0.15693671307162835</v>
      </c>
      <c r="E81" s="83">
        <v>3.2599079008098775E-3</v>
      </c>
      <c r="F81" s="151">
        <v>-1.4071129312182684E-2</v>
      </c>
      <c r="G81" s="83">
        <v>-0.1649127086700109</v>
      </c>
      <c r="H81" s="83">
        <v>-8.4597288932152681E-2</v>
      </c>
      <c r="I81" s="83">
        <v>6.3178806970426438E-3</v>
      </c>
      <c r="J81" s="83">
        <v>-2.174687382363269E-2</v>
      </c>
      <c r="K81" s="84">
        <v>-0.35294349190133428</v>
      </c>
    </row>
    <row r="82" spans="1:12">
      <c r="A82" s="147" t="str">
        <f t="shared" si="4"/>
        <v>Aandelen ontw</v>
      </c>
      <c r="B82" s="83">
        <v>0.12706266096006549</v>
      </c>
      <c r="C82" s="83">
        <v>6.7962155465084162E-3</v>
      </c>
      <c r="D82" s="83">
        <v>-2.5177185306986944E-2</v>
      </c>
      <c r="E82" s="83">
        <v>-0.11640916935573342</v>
      </c>
      <c r="F82" s="83">
        <v>-0.16491270867001084</v>
      </c>
      <c r="G82" s="151">
        <v>-4.2251318948180516E-2</v>
      </c>
      <c r="H82" s="83">
        <v>-0.13749099956176081</v>
      </c>
      <c r="I82" s="83">
        <v>-4.0715837542274591E-2</v>
      </c>
      <c r="J82" s="83">
        <v>-0.10222226562175424</v>
      </c>
      <c r="K82" s="84">
        <v>-0.38659442516529718</v>
      </c>
    </row>
    <row r="83" spans="1:12">
      <c r="A83" s="147" t="str">
        <f t="shared" si="4"/>
        <v>Aandelen opk</v>
      </c>
      <c r="B83" s="83">
        <v>9.8517066854927587E-2</v>
      </c>
      <c r="C83" s="83">
        <v>-0.13013050107510699</v>
      </c>
      <c r="D83" s="83">
        <v>-4.2225359306506123E-2</v>
      </c>
      <c r="E83" s="83">
        <v>-0.15438263118012119</v>
      </c>
      <c r="F83" s="83">
        <v>-8.4597288932152792E-2</v>
      </c>
      <c r="G83" s="83">
        <v>-0.13749099956176081</v>
      </c>
      <c r="H83" s="151">
        <v>-3.5057990359680324E-2</v>
      </c>
      <c r="I83" s="83">
        <v>-3.3662974847296356E-2</v>
      </c>
      <c r="J83" s="83">
        <v>-6.8097258753404943E-2</v>
      </c>
      <c r="K83" s="84">
        <v>-0.44166127327498461</v>
      </c>
    </row>
    <row r="84" spans="1:12">
      <c r="A84" s="147" t="str">
        <f t="shared" si="4"/>
        <v>Hedge funds</v>
      </c>
      <c r="B84" s="83">
        <v>0.46713874332175909</v>
      </c>
      <c r="C84" s="83">
        <v>2.8874681214639653E-2</v>
      </c>
      <c r="D84" s="83">
        <v>-0.17998985991796082</v>
      </c>
      <c r="E84" s="83">
        <v>6.8892897007510667E-2</v>
      </c>
      <c r="F84" s="83">
        <v>6.3178806970426438E-3</v>
      </c>
      <c r="G84" s="83">
        <v>-4.0715837542274591E-2</v>
      </c>
      <c r="H84" s="83">
        <v>-3.3662974847296356E-2</v>
      </c>
      <c r="I84" s="166">
        <v>-2.7139533330664364E-2</v>
      </c>
      <c r="J84" s="83">
        <v>-0.23582621858778463</v>
      </c>
      <c r="K84" s="84">
        <v>-0.67693383401937868</v>
      </c>
    </row>
    <row r="85" spans="1:12">
      <c r="A85" s="147" t="str">
        <f t="shared" si="4"/>
        <v>OG</v>
      </c>
      <c r="B85" s="83">
        <v>0.13961834513778337</v>
      </c>
      <c r="C85" s="83">
        <v>3.6247791641988519E-2</v>
      </c>
      <c r="D85" s="83">
        <v>-0.23649941780640835</v>
      </c>
      <c r="E85" s="83">
        <v>2.4818513332650061E-3</v>
      </c>
      <c r="F85" s="83">
        <v>-2.174687382363269E-2</v>
      </c>
      <c r="G85" s="83">
        <v>-0.10222226562175424</v>
      </c>
      <c r="H85" s="83">
        <v>-6.8097258753404943E-2</v>
      </c>
      <c r="I85" s="83">
        <v>-0.23582621858778463</v>
      </c>
      <c r="J85" s="166">
        <v>-1.7321867563982414E-2</v>
      </c>
      <c r="K85" s="84">
        <v>-0.12505108744514737</v>
      </c>
    </row>
    <row r="86" spans="1:12" ht="13.5" thickBot="1">
      <c r="A86" s="173" t="str">
        <f t="shared" si="4"/>
        <v>Commodities</v>
      </c>
      <c r="B86" s="160">
        <v>0.36693037417886315</v>
      </c>
      <c r="C86" s="160">
        <v>0.32292156356960688</v>
      </c>
      <c r="D86" s="160">
        <v>-0.16606909317774593</v>
      </c>
      <c r="E86" s="160">
        <v>-0.37156022492846924</v>
      </c>
      <c r="F86" s="160">
        <v>-0.35294349190133428</v>
      </c>
      <c r="G86" s="160">
        <v>-0.38659442516529724</v>
      </c>
      <c r="H86" s="160">
        <v>-0.44166127327498461</v>
      </c>
      <c r="I86" s="160">
        <v>-0.67693383401937879</v>
      </c>
      <c r="J86" s="160">
        <v>-0.12505108744514737</v>
      </c>
      <c r="K86" s="174">
        <v>-3.7856203994485277E-2</v>
      </c>
    </row>
    <row r="87" spans="1:12" ht="14.25" thickTop="1" thickBot="1">
      <c r="A87" s="156" t="s">
        <v>166</v>
      </c>
      <c r="B87" s="157" t="str">
        <f>A88</f>
        <v>Nominale VPV</v>
      </c>
      <c r="C87" s="157" t="str">
        <f>A89</f>
        <v>Reele VPV</v>
      </c>
      <c r="D87" s="157" t="str">
        <f>A90</f>
        <v>Credits</v>
      </c>
      <c r="E87" s="157" t="str">
        <f>A91</f>
        <v>High Yield</v>
      </c>
      <c r="F87" s="157" t="str">
        <f>A92</f>
        <v>EMD</v>
      </c>
      <c r="G87" s="157" t="str">
        <f>A93</f>
        <v>Aandelen ontw</v>
      </c>
      <c r="H87" s="157" t="str">
        <f>A94</f>
        <v>Aandelen opk</v>
      </c>
      <c r="I87" s="157" t="str">
        <f>A95</f>
        <v>Hedge funds</v>
      </c>
      <c r="J87" s="157" t="str">
        <f>A96</f>
        <v>OG</v>
      </c>
      <c r="K87" s="158" t="str">
        <f>A97</f>
        <v>Commodities</v>
      </c>
    </row>
    <row r="88" spans="1:12" ht="13.5" thickTop="1">
      <c r="A88" s="155" t="str">
        <f>A77</f>
        <v>Nominale VPV</v>
      </c>
      <c r="B88" s="151">
        <v>-8.5769458574813523E-3</v>
      </c>
      <c r="C88" s="83">
        <v>0.11044744596316375</v>
      </c>
      <c r="D88" s="83">
        <v>-7.9842951219098568E-2</v>
      </c>
      <c r="E88" s="83">
        <v>0.10151692888881625</v>
      </c>
      <c r="F88" s="83">
        <v>0.31504002827080713</v>
      </c>
      <c r="G88" s="83">
        <v>0.12706266096006549</v>
      </c>
      <c r="H88" s="83">
        <v>9.8517066854927574E-2</v>
      </c>
      <c r="I88" s="83">
        <v>0.46713874332175898</v>
      </c>
      <c r="J88" s="83">
        <v>0.13961834513778335</v>
      </c>
      <c r="K88" s="165">
        <v>0.36693037417886315</v>
      </c>
      <c r="L88" t="s">
        <v>167</v>
      </c>
    </row>
    <row r="89" spans="1:12">
      <c r="A89" s="155" t="str">
        <f t="shared" ref="A89:A97" si="5">A78</f>
        <v>Reele VPV</v>
      </c>
      <c r="B89" s="83">
        <v>0.11044744596316375</v>
      </c>
      <c r="C89" s="151">
        <v>-1.6230893590005485E-2</v>
      </c>
      <c r="D89" s="83">
        <v>-7.2589793091517266E-2</v>
      </c>
      <c r="E89" s="83">
        <v>-4.3619093886791693E-2</v>
      </c>
      <c r="F89" s="83">
        <v>0.12663270961223971</v>
      </c>
      <c r="G89" s="83">
        <v>6.7962155465084162E-3</v>
      </c>
      <c r="H89" s="83">
        <v>-0.13013050107510696</v>
      </c>
      <c r="I89" s="83">
        <v>2.8874681214639653E-2</v>
      </c>
      <c r="J89" s="83">
        <v>3.6247791641988519E-2</v>
      </c>
      <c r="K89" s="159">
        <v>0.32292156356960688</v>
      </c>
    </row>
    <row r="90" spans="1:12">
      <c r="A90" s="155" t="str">
        <f t="shared" si="5"/>
        <v>Credits</v>
      </c>
      <c r="B90" s="83">
        <v>-7.9842951219098568E-2</v>
      </c>
      <c r="C90" s="83">
        <v>-7.2589793091517266E-2</v>
      </c>
      <c r="D90" s="151">
        <v>-1.1036238547665334E-3</v>
      </c>
      <c r="E90" s="83">
        <v>-8.5644242543890303E-2</v>
      </c>
      <c r="F90" s="83">
        <v>-0.15693671307162835</v>
      </c>
      <c r="G90" s="83">
        <v>-2.5177185306986909E-2</v>
      </c>
      <c r="H90" s="83">
        <v>-4.2225359306506123E-2</v>
      </c>
      <c r="I90" s="83">
        <v>-0.17998985991796079</v>
      </c>
      <c r="J90" s="83">
        <v>-0.23649941780640829</v>
      </c>
      <c r="K90" s="159">
        <v>-0.16606909317774599</v>
      </c>
    </row>
    <row r="91" spans="1:12">
      <c r="A91" s="155" t="str">
        <f t="shared" si="5"/>
        <v>High Yield</v>
      </c>
      <c r="B91" s="83">
        <v>0.10151692888881625</v>
      </c>
      <c r="C91" s="83">
        <v>-4.3619093886791693E-2</v>
      </c>
      <c r="D91" s="83">
        <v>-8.5644242543890303E-2</v>
      </c>
      <c r="E91" s="151">
        <v>-4.0174288497843158E-2</v>
      </c>
      <c r="F91" s="83">
        <v>3.2599079008098775E-3</v>
      </c>
      <c r="G91" s="83">
        <v>-0.11640916935573353</v>
      </c>
      <c r="H91" s="83">
        <v>-0.15438263118012119</v>
      </c>
      <c r="I91" s="83">
        <v>6.8892897007510667E-2</v>
      </c>
      <c r="J91" s="83">
        <v>2.4818513332650061E-3</v>
      </c>
      <c r="K91" s="159">
        <v>-0.37156022492846924</v>
      </c>
    </row>
    <row r="92" spans="1:12">
      <c r="A92" s="155" t="str">
        <f t="shared" si="5"/>
        <v>EMD</v>
      </c>
      <c r="B92" s="83">
        <v>0.31504002827080724</v>
      </c>
      <c r="C92" s="83">
        <v>0.12663270961223977</v>
      </c>
      <c r="D92" s="83">
        <v>-0.15693671307162835</v>
      </c>
      <c r="E92" s="83">
        <v>3.2599079008098775E-3</v>
      </c>
      <c r="F92" s="151">
        <v>-1.4071129312182684E-2</v>
      </c>
      <c r="G92" s="83">
        <v>-0.1649127086700109</v>
      </c>
      <c r="H92" s="83">
        <v>-8.4597288932152681E-2</v>
      </c>
      <c r="I92" s="83">
        <v>6.3178806970426438E-3</v>
      </c>
      <c r="J92" s="83">
        <v>-2.174687382363269E-2</v>
      </c>
      <c r="K92" s="159">
        <v>-0.35294349190133428</v>
      </c>
    </row>
    <row r="93" spans="1:12">
      <c r="A93" s="155" t="str">
        <f t="shared" si="5"/>
        <v>Aandelen ontw</v>
      </c>
      <c r="B93" s="83">
        <v>0.12706266096006549</v>
      </c>
      <c r="C93" s="83">
        <v>6.7962155465084162E-3</v>
      </c>
      <c r="D93" s="83">
        <v>-2.5177185306986944E-2</v>
      </c>
      <c r="E93" s="83">
        <v>-0.11640916935573342</v>
      </c>
      <c r="F93" s="83">
        <v>-0.16491270867001084</v>
      </c>
      <c r="G93" s="151">
        <v>-4.2251318948180516E-2</v>
      </c>
      <c r="H93" s="83">
        <v>-0.13749099956176081</v>
      </c>
      <c r="I93" s="83">
        <v>-4.0715837542274591E-2</v>
      </c>
      <c r="J93" s="83">
        <v>-0.10222226562175424</v>
      </c>
      <c r="K93" s="159">
        <v>-0.38659442516529718</v>
      </c>
    </row>
    <row r="94" spans="1:12">
      <c r="A94" s="155" t="str">
        <f t="shared" si="5"/>
        <v>Aandelen opk</v>
      </c>
      <c r="B94" s="83">
        <v>9.8517066854927587E-2</v>
      </c>
      <c r="C94" s="83">
        <v>-0.13013050107510699</v>
      </c>
      <c r="D94" s="83">
        <v>-4.2225359306506123E-2</v>
      </c>
      <c r="E94" s="83">
        <v>-0.15438263118012119</v>
      </c>
      <c r="F94" s="83">
        <v>-8.4597288932152792E-2</v>
      </c>
      <c r="G94" s="83">
        <v>-0.13749099956176081</v>
      </c>
      <c r="H94" s="151">
        <v>-3.5057990359680324E-2</v>
      </c>
      <c r="I94" s="83">
        <v>-3.3662974847296356E-2</v>
      </c>
      <c r="J94" s="83">
        <v>-6.8097258753404943E-2</v>
      </c>
      <c r="K94" s="159">
        <v>-0.44166127327498461</v>
      </c>
    </row>
    <row r="95" spans="1:12">
      <c r="A95" s="155" t="str">
        <f t="shared" si="5"/>
        <v>Hedge funds</v>
      </c>
      <c r="B95" s="83">
        <v>0.46713874332175909</v>
      </c>
      <c r="C95" s="83">
        <v>2.8874681214639653E-2</v>
      </c>
      <c r="D95" s="83">
        <v>-0.17998985991796082</v>
      </c>
      <c r="E95" s="83">
        <v>6.8892897007510667E-2</v>
      </c>
      <c r="F95" s="83">
        <v>6.3178806970426438E-3</v>
      </c>
      <c r="G95" s="83">
        <v>-4.0715837542274591E-2</v>
      </c>
      <c r="H95" s="83">
        <v>-3.3662974847296356E-2</v>
      </c>
      <c r="I95" s="166">
        <v>-2.7139533330664364E-2</v>
      </c>
      <c r="J95" s="83">
        <v>-0.23582621858778463</v>
      </c>
      <c r="K95" s="159">
        <v>-0.67693383401937868</v>
      </c>
    </row>
    <row r="96" spans="1:12">
      <c r="A96" s="155" t="str">
        <f t="shared" si="5"/>
        <v>OG</v>
      </c>
      <c r="B96" s="83">
        <v>0.13961834513778337</v>
      </c>
      <c r="C96" s="83">
        <v>3.6247791641988519E-2</v>
      </c>
      <c r="D96" s="83">
        <v>-0.23649941780640835</v>
      </c>
      <c r="E96" s="83">
        <v>2.4818513332650061E-3</v>
      </c>
      <c r="F96" s="83">
        <v>-2.174687382363269E-2</v>
      </c>
      <c r="G96" s="83">
        <v>-0.10222226562175424</v>
      </c>
      <c r="H96" s="83">
        <v>-6.8097258753404943E-2</v>
      </c>
      <c r="I96" s="83">
        <v>-0.23582621858778463</v>
      </c>
      <c r="J96" s="166">
        <v>-1.7321867563982414E-2</v>
      </c>
      <c r="K96" s="159">
        <v>-0.12505108744514737</v>
      </c>
    </row>
    <row r="97" spans="1:11" ht="13.5" thickBot="1">
      <c r="A97" s="155" t="str">
        <f t="shared" si="5"/>
        <v>Commodities</v>
      </c>
      <c r="B97" s="160">
        <v>0.36693037417886315</v>
      </c>
      <c r="C97" s="160">
        <v>0.32292156356960688</v>
      </c>
      <c r="D97" s="160">
        <v>-0.16606909317774593</v>
      </c>
      <c r="E97" s="160">
        <v>-0.37156022492846924</v>
      </c>
      <c r="F97" s="160">
        <v>-0.35294349190133428</v>
      </c>
      <c r="G97" s="160">
        <v>-0.38659442516529724</v>
      </c>
      <c r="H97" s="160">
        <v>-0.44166127327498461</v>
      </c>
      <c r="I97" s="160">
        <v>-0.67693383401937879</v>
      </c>
      <c r="J97" s="160">
        <v>-0.12505108744514737</v>
      </c>
      <c r="K97" s="167">
        <v>-3.7856203994485277E-2</v>
      </c>
    </row>
    <row r="98" spans="1:11" ht="14.25" thickTop="1" thickBot="1">
      <c r="A98" s="156" t="s">
        <v>165</v>
      </c>
      <c r="B98" s="163" t="str">
        <f>A99</f>
        <v>Nominale VPV</v>
      </c>
      <c r="C98" s="163" t="str">
        <f>A100</f>
        <v>Reele VPV</v>
      </c>
      <c r="D98" s="163" t="str">
        <f>A101</f>
        <v>Credits</v>
      </c>
      <c r="E98" s="163" t="str">
        <f>A102</f>
        <v>High Yield</v>
      </c>
      <c r="F98" s="163" t="str">
        <f>A103</f>
        <v>EMD</v>
      </c>
      <c r="G98" s="163" t="str">
        <f>A104</f>
        <v>Aandelen ontw</v>
      </c>
      <c r="H98" s="163" t="str">
        <f>A105</f>
        <v>Aandelen opk</v>
      </c>
      <c r="I98" s="163" t="str">
        <f>A106</f>
        <v>Hedge funds</v>
      </c>
      <c r="J98" s="163" t="str">
        <f>A107</f>
        <v>OG</v>
      </c>
      <c r="K98" s="164" t="str">
        <f>A108</f>
        <v>Commodities</v>
      </c>
    </row>
    <row r="99" spans="1:11" ht="13.5" thickTop="1">
      <c r="A99" s="261" t="str">
        <f t="shared" ref="A99:A108" si="6">A77</f>
        <v>Nominale VPV</v>
      </c>
      <c r="B99" s="264" t="s">
        <v>75</v>
      </c>
      <c r="C99" s="265" t="str">
        <f>B100</f>
        <v>Ja</v>
      </c>
      <c r="D99" s="265" t="str">
        <f>B101</f>
        <v>Ja</v>
      </c>
      <c r="E99" s="265" t="str">
        <f>B102</f>
        <v>Ja</v>
      </c>
      <c r="F99" s="265" t="str">
        <f>B103</f>
        <v>Ja</v>
      </c>
      <c r="G99" s="265" t="s">
        <v>75</v>
      </c>
      <c r="H99" s="265" t="s">
        <v>75</v>
      </c>
      <c r="I99" s="265" t="s">
        <v>75</v>
      </c>
      <c r="J99" s="265" t="s">
        <v>75</v>
      </c>
      <c r="K99" s="266" t="s">
        <v>75</v>
      </c>
    </row>
    <row r="100" spans="1:11">
      <c r="A100" s="262" t="str">
        <f t="shared" si="6"/>
        <v>Reele VPV</v>
      </c>
      <c r="B100" s="267" t="s">
        <v>75</v>
      </c>
      <c r="C100" s="225" t="s">
        <v>75</v>
      </c>
      <c r="D100" s="225" t="s">
        <v>75</v>
      </c>
      <c r="E100" s="225" t="s">
        <v>75</v>
      </c>
      <c r="F100" s="225" t="s">
        <v>75</v>
      </c>
      <c r="G100" s="225" t="s">
        <v>75</v>
      </c>
      <c r="H100" s="225" t="s">
        <v>75</v>
      </c>
      <c r="I100" s="225" t="s">
        <v>75</v>
      </c>
      <c r="J100" s="225" t="s">
        <v>75</v>
      </c>
      <c r="K100" s="268" t="s">
        <v>75</v>
      </c>
    </row>
    <row r="101" spans="1:11">
      <c r="A101" s="262" t="str">
        <f t="shared" si="6"/>
        <v>Credits</v>
      </c>
      <c r="B101" s="267" t="s">
        <v>75</v>
      </c>
      <c r="C101" s="225" t="s">
        <v>75</v>
      </c>
      <c r="D101" s="225" t="s">
        <v>75</v>
      </c>
      <c r="E101" s="225" t="s">
        <v>75</v>
      </c>
      <c r="F101" s="225" t="s">
        <v>75</v>
      </c>
      <c r="G101" s="225" t="s">
        <v>75</v>
      </c>
      <c r="H101" s="225" t="s">
        <v>75</v>
      </c>
      <c r="I101" s="225" t="s">
        <v>75</v>
      </c>
      <c r="J101" s="225" t="s">
        <v>75</v>
      </c>
      <c r="K101" s="268" t="s">
        <v>75</v>
      </c>
    </row>
    <row r="102" spans="1:11">
      <c r="A102" s="262" t="str">
        <f t="shared" si="6"/>
        <v>High Yield</v>
      </c>
      <c r="B102" s="267" t="s">
        <v>75</v>
      </c>
      <c r="C102" s="225" t="s">
        <v>75</v>
      </c>
      <c r="D102" s="225" t="s">
        <v>75</v>
      </c>
      <c r="E102" s="225" t="s">
        <v>75</v>
      </c>
      <c r="F102" s="225" t="s">
        <v>75</v>
      </c>
      <c r="G102" s="225" t="s">
        <v>75</v>
      </c>
      <c r="H102" s="225" t="s">
        <v>75</v>
      </c>
      <c r="I102" s="225" t="s">
        <v>75</v>
      </c>
      <c r="J102" s="225" t="s">
        <v>75</v>
      </c>
      <c r="K102" s="268" t="s">
        <v>75</v>
      </c>
    </row>
    <row r="103" spans="1:11">
      <c r="A103" s="262" t="str">
        <f t="shared" si="6"/>
        <v>EMD</v>
      </c>
      <c r="B103" s="267" t="s">
        <v>75</v>
      </c>
      <c r="C103" s="225" t="s">
        <v>75</v>
      </c>
      <c r="D103" s="225" t="s">
        <v>75</v>
      </c>
      <c r="E103" s="225" t="s">
        <v>75</v>
      </c>
      <c r="F103" s="225" t="s">
        <v>75</v>
      </c>
      <c r="G103" s="225" t="s">
        <v>75</v>
      </c>
      <c r="H103" s="225" t="s">
        <v>75</v>
      </c>
      <c r="I103" s="225" t="s">
        <v>75</v>
      </c>
      <c r="J103" s="225" t="s">
        <v>75</v>
      </c>
      <c r="K103" s="268" t="s">
        <v>75</v>
      </c>
    </row>
    <row r="104" spans="1:11">
      <c r="A104" s="262" t="str">
        <f t="shared" si="6"/>
        <v>Aandelen ontw</v>
      </c>
      <c r="B104" s="267" t="s">
        <v>75</v>
      </c>
      <c r="C104" s="225" t="s">
        <v>75</v>
      </c>
      <c r="D104" s="225" t="s">
        <v>75</v>
      </c>
      <c r="E104" s="225" t="s">
        <v>75</v>
      </c>
      <c r="F104" s="225" t="s">
        <v>75</v>
      </c>
      <c r="G104" s="225" t="s">
        <v>75</v>
      </c>
      <c r="H104" s="225" t="s">
        <v>75</v>
      </c>
      <c r="I104" s="225" t="s">
        <v>75</v>
      </c>
      <c r="J104" s="225" t="s">
        <v>75</v>
      </c>
      <c r="K104" s="268" t="s">
        <v>75</v>
      </c>
    </row>
    <row r="105" spans="1:11">
      <c r="A105" s="262" t="str">
        <f t="shared" si="6"/>
        <v>Aandelen opk</v>
      </c>
      <c r="B105" s="267" t="s">
        <v>75</v>
      </c>
      <c r="C105" s="225" t="s">
        <v>75</v>
      </c>
      <c r="D105" s="225" t="s">
        <v>75</v>
      </c>
      <c r="E105" s="225" t="s">
        <v>75</v>
      </c>
      <c r="F105" s="225" t="s">
        <v>75</v>
      </c>
      <c r="G105" s="225" t="s">
        <v>75</v>
      </c>
      <c r="H105" s="225" t="s">
        <v>75</v>
      </c>
      <c r="I105" s="225" t="s">
        <v>75</v>
      </c>
      <c r="J105" s="225" t="s">
        <v>75</v>
      </c>
      <c r="K105" s="268" t="s">
        <v>75</v>
      </c>
    </row>
    <row r="106" spans="1:11">
      <c r="A106" s="262" t="str">
        <f t="shared" si="6"/>
        <v>Hedge funds</v>
      </c>
      <c r="B106" s="267" t="s">
        <v>75</v>
      </c>
      <c r="C106" s="225" t="s">
        <v>75</v>
      </c>
      <c r="D106" s="225" t="s">
        <v>75</v>
      </c>
      <c r="E106" s="225" t="s">
        <v>75</v>
      </c>
      <c r="F106" s="225" t="s">
        <v>75</v>
      </c>
      <c r="G106" s="225" t="s">
        <v>75</v>
      </c>
      <c r="H106" s="225" t="s">
        <v>75</v>
      </c>
      <c r="I106" s="225" t="s">
        <v>75</v>
      </c>
      <c r="J106" s="225" t="s">
        <v>75</v>
      </c>
      <c r="K106" s="268" t="s">
        <v>75</v>
      </c>
    </row>
    <row r="107" spans="1:11">
      <c r="A107" s="262" t="str">
        <f t="shared" si="6"/>
        <v>OG</v>
      </c>
      <c r="B107" s="267" t="s">
        <v>75</v>
      </c>
      <c r="C107" s="225" t="s">
        <v>75</v>
      </c>
      <c r="D107" s="225" t="s">
        <v>75</v>
      </c>
      <c r="E107" s="225" t="s">
        <v>75</v>
      </c>
      <c r="F107" s="225" t="s">
        <v>75</v>
      </c>
      <c r="G107" s="225" t="s">
        <v>75</v>
      </c>
      <c r="H107" s="225" t="s">
        <v>75</v>
      </c>
      <c r="I107" s="225" t="s">
        <v>75</v>
      </c>
      <c r="J107" s="225" t="s">
        <v>75</v>
      </c>
      <c r="K107" s="268" t="s">
        <v>75</v>
      </c>
    </row>
    <row r="108" spans="1:11" ht="13.5" thickBot="1">
      <c r="A108" s="263" t="str">
        <f t="shared" si="6"/>
        <v>Commodities</v>
      </c>
      <c r="B108" s="269" t="s">
        <v>75</v>
      </c>
      <c r="C108" s="270" t="s">
        <v>75</v>
      </c>
      <c r="D108" s="270" t="s">
        <v>75</v>
      </c>
      <c r="E108" s="270" t="s">
        <v>75</v>
      </c>
      <c r="F108" s="270" t="s">
        <v>75</v>
      </c>
      <c r="G108" s="270" t="s">
        <v>75</v>
      </c>
      <c r="H108" s="270" t="s">
        <v>75</v>
      </c>
      <c r="I108" s="270" t="s">
        <v>75</v>
      </c>
      <c r="J108" s="270" t="s">
        <v>75</v>
      </c>
      <c r="K108" s="271" t="s">
        <v>75</v>
      </c>
    </row>
    <row r="109" spans="1:11" ht="13.5" thickTop="1"/>
    <row r="115" spans="1:2">
      <c r="A115" s="2" t="s">
        <v>170</v>
      </c>
    </row>
    <row r="116" spans="1:2">
      <c r="A116" s="58" t="s">
        <v>161</v>
      </c>
      <c r="B116" s="7" t="s">
        <v>171</v>
      </c>
    </row>
    <row r="117" spans="1:2">
      <c r="A117" s="188" t="str">
        <f>A38</f>
        <v>Nominale VPV</v>
      </c>
      <c r="B117" s="222">
        <v>-5.0000000000000001E-3</v>
      </c>
    </row>
    <row r="118" spans="1:2">
      <c r="A118" s="188" t="str">
        <f t="shared" ref="A118:A126" si="7">A39</f>
        <v>Reele VPV</v>
      </c>
      <c r="B118" s="222">
        <v>-4.2615162118704336E-2</v>
      </c>
    </row>
    <row r="119" spans="1:2">
      <c r="A119" s="188" t="str">
        <f t="shared" si="7"/>
        <v>Credits</v>
      </c>
      <c r="B119" s="222">
        <v>-6.7202989212353972E-2</v>
      </c>
    </row>
    <row r="120" spans="1:2">
      <c r="A120" s="188" t="str">
        <f t="shared" si="7"/>
        <v>High Yield</v>
      </c>
      <c r="B120" s="222">
        <v>-1.4963873800506802E-3</v>
      </c>
    </row>
    <row r="121" spans="1:2">
      <c r="A121" s="188" t="str">
        <f t="shared" si="7"/>
        <v>EMD</v>
      </c>
      <c r="B121" s="222">
        <v>-6.5282629627811395E-3</v>
      </c>
    </row>
    <row r="122" spans="1:2">
      <c r="A122" s="188" t="str">
        <f t="shared" si="7"/>
        <v>Aandelen ontw</v>
      </c>
      <c r="B122" s="222">
        <v>-1.4356314621335145E-2</v>
      </c>
    </row>
    <row r="123" spans="1:2">
      <c r="A123" s="188" t="str">
        <f t="shared" si="7"/>
        <v>Aandelen opk</v>
      </c>
      <c r="B123" s="222">
        <v>-1.4999999999999999E-2</v>
      </c>
    </row>
    <row r="124" spans="1:2">
      <c r="A124" s="188" t="str">
        <f t="shared" si="7"/>
        <v>Hedge funds</v>
      </c>
      <c r="B124" s="222">
        <v>-2.5000000000000001E-3</v>
      </c>
    </row>
    <row r="125" spans="1:2">
      <c r="A125" s="188" t="str">
        <f t="shared" si="7"/>
        <v>OG</v>
      </c>
      <c r="B125" s="222">
        <v>-2.2615162118704332E-2</v>
      </c>
    </row>
    <row r="126" spans="1:2">
      <c r="A126" s="57" t="str">
        <f t="shared" si="7"/>
        <v>Commodities</v>
      </c>
      <c r="B126" s="223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53" t="str">
        <f>A130</f>
        <v>Nominale VPV</v>
      </c>
      <c r="C129" s="153" t="str">
        <f>A131</f>
        <v>Reele VPV</v>
      </c>
      <c r="D129" s="153" t="str">
        <f>A132</f>
        <v>Credits</v>
      </c>
      <c r="E129" s="153" t="str">
        <f>A133</f>
        <v>High Yield</v>
      </c>
      <c r="F129" s="153" t="str">
        <f>A134</f>
        <v>EMD</v>
      </c>
      <c r="G129" s="153" t="str">
        <f>A135</f>
        <v>Aandelen ontw</v>
      </c>
      <c r="H129" s="153" t="str">
        <f>A136</f>
        <v>Aandelen opk</v>
      </c>
      <c r="I129" s="153" t="str">
        <f>A137</f>
        <v>Hedge funds</v>
      </c>
      <c r="J129" s="153" t="str">
        <f>A138</f>
        <v>OG</v>
      </c>
      <c r="K129" s="154" t="str">
        <f>A139</f>
        <v>Commodities</v>
      </c>
    </row>
    <row r="130" spans="1:11">
      <c r="A130" s="10" t="str">
        <f>A88</f>
        <v>Nominale VPV</v>
      </c>
      <c r="B130" s="151">
        <v>-4.4452634636536759E-3</v>
      </c>
      <c r="C130" s="83">
        <v>8.7441982900903215E-3</v>
      </c>
      <c r="D130" s="83">
        <v>-4.9339554768319666E-2</v>
      </c>
      <c r="E130" s="83">
        <v>1.2956951776552206E-2</v>
      </c>
      <c r="F130" s="83">
        <v>0.12280562830238999</v>
      </c>
      <c r="G130" s="83">
        <v>7.888144630971039E-2</v>
      </c>
      <c r="H130" s="83">
        <v>2.0536738705801028E-2</v>
      </c>
      <c r="I130" s="83">
        <v>0.20606610244590901</v>
      </c>
      <c r="J130" s="83">
        <v>0.14011276432957054</v>
      </c>
      <c r="K130" s="84">
        <v>0.15047956318851441</v>
      </c>
    </row>
    <row r="131" spans="1:11">
      <c r="A131" s="147" t="str">
        <f t="shared" ref="A131:A139" si="8">A89</f>
        <v>Reele VPV</v>
      </c>
      <c r="B131" s="83">
        <v>8.7441982900903215E-3</v>
      </c>
      <c r="C131" s="151">
        <v>-1.2489110566723652E-2</v>
      </c>
      <c r="D131" s="83">
        <v>-7.8968305578049042E-2</v>
      </c>
      <c r="E131" s="83">
        <v>6.0426382116282595E-4</v>
      </c>
      <c r="F131" s="83">
        <v>0.10492325236742081</v>
      </c>
      <c r="G131" s="83">
        <v>5.6290840075746598E-2</v>
      </c>
      <c r="H131" s="83">
        <v>-1.5578453646869446E-2</v>
      </c>
      <c r="I131" s="83">
        <v>8.388996510493392E-2</v>
      </c>
      <c r="J131" s="83">
        <v>5.6324160721505756E-2</v>
      </c>
      <c r="K131" s="84">
        <v>0.15211552114400606</v>
      </c>
    </row>
    <row r="132" spans="1:11">
      <c r="A132" s="147" t="str">
        <f t="shared" si="8"/>
        <v>Credits</v>
      </c>
      <c r="B132" s="83">
        <v>-4.9339554768319666E-2</v>
      </c>
      <c r="C132" s="83">
        <v>-7.8968305578049042E-2</v>
      </c>
      <c r="D132" s="151">
        <v>-2.706363543105883E-3</v>
      </c>
      <c r="E132" s="83">
        <v>-0.10623169046092773</v>
      </c>
      <c r="F132" s="83">
        <v>-0.14155774979361152</v>
      </c>
      <c r="G132" s="83">
        <v>-5.0668020034901229E-2</v>
      </c>
      <c r="H132" s="83">
        <v>-1.3786713207860615E-2</v>
      </c>
      <c r="I132" s="83">
        <v>-0.21194265883981259</v>
      </c>
      <c r="J132" s="83">
        <v>-0.18953914181475942</v>
      </c>
      <c r="K132" s="84">
        <v>-0.13698576121952513</v>
      </c>
    </row>
    <row r="133" spans="1:11">
      <c r="A133" s="147" t="str">
        <f t="shared" si="8"/>
        <v>High Yield</v>
      </c>
      <c r="B133" s="83">
        <v>1.2956951776552206E-2</v>
      </c>
      <c r="C133" s="83">
        <v>6.0426382116282595E-4</v>
      </c>
      <c r="D133" s="83">
        <v>-0.10623169046092773</v>
      </c>
      <c r="E133" s="151">
        <v>-1.7442087987237814E-2</v>
      </c>
      <c r="F133" s="83">
        <v>-6.5893962027107067E-3</v>
      </c>
      <c r="G133" s="83">
        <v>-0.143476943707742</v>
      </c>
      <c r="H133" s="83">
        <v>-0.11434838152979443</v>
      </c>
      <c r="I133" s="83">
        <v>-3.4443218317613822E-2</v>
      </c>
      <c r="J133" s="83">
        <v>-6.7853109690286184E-2</v>
      </c>
      <c r="K133" s="84">
        <v>-0.17277427161463785</v>
      </c>
    </row>
    <row r="134" spans="1:11">
      <c r="A134" s="147" t="str">
        <f t="shared" si="8"/>
        <v>EMD</v>
      </c>
      <c r="B134" s="83">
        <v>0.12280562830238999</v>
      </c>
      <c r="C134" s="83">
        <v>0.10492325236742081</v>
      </c>
      <c r="D134" s="83">
        <v>-0.14155774979361152</v>
      </c>
      <c r="E134" s="83">
        <v>-6.5893962027107067E-3</v>
      </c>
      <c r="F134" s="151">
        <v>9.8520155870215897E-4</v>
      </c>
      <c r="G134" s="83">
        <v>-8.595312319249071E-2</v>
      </c>
      <c r="H134" s="83">
        <v>-1.5001410389243408E-2</v>
      </c>
      <c r="I134" s="83">
        <v>1.8350200165725084E-2</v>
      </c>
      <c r="J134" s="83">
        <v>-6.8151783508844377E-2</v>
      </c>
      <c r="K134" s="84">
        <v>-0.14271150902962326</v>
      </c>
    </row>
    <row r="135" spans="1:11">
      <c r="A135" s="147" t="str">
        <f t="shared" si="8"/>
        <v>Aandelen ontw</v>
      </c>
      <c r="B135" s="83">
        <v>7.888144630971039E-2</v>
      </c>
      <c r="C135" s="83">
        <v>5.6290840075746598E-2</v>
      </c>
      <c r="D135" s="83">
        <v>-5.0668020034901229E-2</v>
      </c>
      <c r="E135" s="83">
        <v>-0.143476943707742</v>
      </c>
      <c r="F135" s="83">
        <v>-8.595312319249071E-2</v>
      </c>
      <c r="G135" s="151">
        <v>-3.6806140284931677E-2</v>
      </c>
      <c r="H135" s="83">
        <v>-0.13411329500608138</v>
      </c>
      <c r="I135" s="83">
        <v>-6.395250688912657E-2</v>
      </c>
      <c r="J135" s="83">
        <v>-4.3385699574238039E-2</v>
      </c>
      <c r="K135" s="84">
        <v>-0.14433234480063456</v>
      </c>
    </row>
    <row r="136" spans="1:11">
      <c r="A136" s="147" t="str">
        <f t="shared" si="8"/>
        <v>Aandelen opk</v>
      </c>
      <c r="B136" s="83">
        <v>2.0536738705801028E-2</v>
      </c>
      <c r="C136" s="83">
        <v>-1.5578453646869446E-2</v>
      </c>
      <c r="D136" s="83">
        <v>-1.3786713207860615E-2</v>
      </c>
      <c r="E136" s="83">
        <v>-0.11434838152979443</v>
      </c>
      <c r="F136" s="83">
        <v>-1.5001410389243408E-2</v>
      </c>
      <c r="G136" s="83">
        <v>-0.13411329500608138</v>
      </c>
      <c r="H136" s="151">
        <v>-0.05</v>
      </c>
      <c r="I136" s="83">
        <v>-3.24415603390657E-2</v>
      </c>
      <c r="J136" s="83">
        <v>-4.0330896746586908E-2</v>
      </c>
      <c r="K136" s="84">
        <v>-0.12811111916728496</v>
      </c>
    </row>
    <row r="137" spans="1:11">
      <c r="A137" s="147" t="str">
        <f t="shared" si="8"/>
        <v>Hedge funds</v>
      </c>
      <c r="B137" s="83">
        <v>0.20606610244590901</v>
      </c>
      <c r="C137" s="83">
        <v>8.388996510493392E-2</v>
      </c>
      <c r="D137" s="83">
        <v>-0.21194265883981259</v>
      </c>
      <c r="E137" s="83">
        <v>-3.4443218317613822E-2</v>
      </c>
      <c r="F137" s="83">
        <v>1.8350200165725084E-2</v>
      </c>
      <c r="G137" s="83">
        <v>-6.395250688912657E-2</v>
      </c>
      <c r="H137" s="83">
        <v>-3.24415603390657E-2</v>
      </c>
      <c r="I137" s="166">
        <v>0.05</v>
      </c>
      <c r="J137" s="83">
        <v>-0.14615165313209905</v>
      </c>
      <c r="K137" s="84">
        <v>-0.2894409383542384</v>
      </c>
    </row>
    <row r="138" spans="1:11">
      <c r="A138" s="147" t="str">
        <f t="shared" si="8"/>
        <v>OG</v>
      </c>
      <c r="B138" s="83">
        <v>0.14011276432957054</v>
      </c>
      <c r="C138" s="83">
        <v>5.6324160721505756E-2</v>
      </c>
      <c r="D138" s="83">
        <v>-0.18953914181475942</v>
      </c>
      <c r="E138" s="83">
        <v>-6.7853109690286184E-2</v>
      </c>
      <c r="F138" s="83">
        <v>-6.8151783508844377E-2</v>
      </c>
      <c r="G138" s="83">
        <v>-4.3385699574238039E-2</v>
      </c>
      <c r="H138" s="83">
        <v>-4.0330896746586908E-2</v>
      </c>
      <c r="I138" s="83">
        <v>-0.14615165313209905</v>
      </c>
      <c r="J138" s="166">
        <v>-1.0093826837884137E-2</v>
      </c>
      <c r="K138" s="84">
        <v>-0.15122033452681916</v>
      </c>
    </row>
    <row r="139" spans="1:11">
      <c r="A139" s="146" t="str">
        <f t="shared" si="8"/>
        <v>Commodities</v>
      </c>
      <c r="B139" s="86">
        <v>0.15047956318851441</v>
      </c>
      <c r="C139" s="86">
        <v>0.15211552114400606</v>
      </c>
      <c r="D139" s="86">
        <v>-0.13698576121952513</v>
      </c>
      <c r="E139" s="86">
        <v>-0.17277427161463785</v>
      </c>
      <c r="F139" s="86">
        <v>-0.14271150902962326</v>
      </c>
      <c r="G139" s="86">
        <v>-0.14433234480063456</v>
      </c>
      <c r="H139" s="86">
        <v>-0.12811111916728496</v>
      </c>
      <c r="I139" s="86">
        <v>-0.2894409383542384</v>
      </c>
      <c r="J139" s="86">
        <v>-0.15122033452681916</v>
      </c>
      <c r="K139" s="187">
        <v>-2.1570331594918418E-2</v>
      </c>
    </row>
    <row r="189" spans="2:2">
      <c r="B189" t="s">
        <v>75</v>
      </c>
    </row>
    <row r="190" spans="2:2">
      <c r="B190" t="s">
        <v>76</v>
      </c>
    </row>
  </sheetData>
  <phoneticPr fontId="2" type="noConversion"/>
  <dataValidations count="1">
    <dataValidation type="list" allowBlank="1" showInputMessage="1" showErrorMessage="1" sqref="F38:F47 B99:K108">
      <formula1>$B$189:$B$190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 enableFormatConditionsCalculation="0">
    <tabColor indexed="15"/>
  </sheetPr>
  <dimension ref="A1:Z157"/>
  <sheetViews>
    <sheetView zoomScale="75" workbookViewId="0">
      <selection activeCell="D9" sqref="D9:J9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visies'!C2</f>
        <v>Inflatie is fiscaal</v>
      </c>
      <c r="C1" s="3" t="s">
        <v>129</v>
      </c>
      <c r="D1" s="25">
        <v>2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02"/>
      <c r="B5" s="144"/>
      <c r="C5" s="145"/>
      <c r="D5" s="145"/>
      <c r="E5" s="145"/>
      <c r="F5" s="145"/>
      <c r="G5" s="145"/>
      <c r="H5" s="145"/>
      <c r="I5" s="145"/>
      <c r="J5" s="145"/>
      <c r="K5" s="140"/>
      <c r="M5" s="3"/>
    </row>
    <row r="6" spans="1:25">
      <c r="A6" s="9" t="s">
        <v>145</v>
      </c>
      <c r="B6" s="141" t="s">
        <v>77</v>
      </c>
      <c r="C6" s="51" t="s">
        <v>78</v>
      </c>
      <c r="D6" s="51" t="s">
        <v>73</v>
      </c>
      <c r="E6" s="51" t="s">
        <v>4</v>
      </c>
      <c r="F6" s="51" t="s">
        <v>0</v>
      </c>
      <c r="G6" s="51" t="s">
        <v>82</v>
      </c>
      <c r="H6" s="51" t="s">
        <v>83</v>
      </c>
      <c r="I6" s="51" t="s">
        <v>5</v>
      </c>
      <c r="J6" s="51" t="s">
        <v>1</v>
      </c>
      <c r="K6" s="52" t="s">
        <v>6</v>
      </c>
      <c r="M6" s="3"/>
      <c r="X6" s="3" t="s">
        <v>146</v>
      </c>
    </row>
    <row r="7" spans="1:25">
      <c r="A7" s="147" t="s">
        <v>77</v>
      </c>
      <c r="B7" s="224">
        <v>1</v>
      </c>
      <c r="C7" s="225">
        <v>0</v>
      </c>
      <c r="D7" s="225">
        <v>0</v>
      </c>
      <c r="E7" s="225">
        <v>0</v>
      </c>
      <c r="F7" s="225">
        <v>0</v>
      </c>
      <c r="G7" s="225">
        <v>0</v>
      </c>
      <c r="H7" s="225">
        <v>0</v>
      </c>
      <c r="I7" s="225">
        <v>0</v>
      </c>
      <c r="J7" s="225">
        <v>0</v>
      </c>
      <c r="K7" s="226">
        <v>0</v>
      </c>
      <c r="X7" t="s">
        <v>148</v>
      </c>
      <c r="Y7">
        <v>-20</v>
      </c>
    </row>
    <row r="8" spans="1:25">
      <c r="A8" s="147" t="s">
        <v>78</v>
      </c>
      <c r="B8" s="224">
        <v>0</v>
      </c>
      <c r="C8" s="225">
        <v>1</v>
      </c>
      <c r="D8" s="225">
        <v>0</v>
      </c>
      <c r="E8" s="225">
        <v>0</v>
      </c>
      <c r="F8" s="225">
        <v>0</v>
      </c>
      <c r="G8" s="225">
        <v>0</v>
      </c>
      <c r="H8" s="225">
        <v>0</v>
      </c>
      <c r="I8" s="225">
        <v>0</v>
      </c>
      <c r="J8" s="225">
        <v>0</v>
      </c>
      <c r="K8" s="226">
        <v>0</v>
      </c>
      <c r="X8" t="s">
        <v>149</v>
      </c>
      <c r="Y8">
        <v>-10</v>
      </c>
    </row>
    <row r="9" spans="1:25">
      <c r="A9" s="147" t="s">
        <v>73</v>
      </c>
      <c r="B9" s="224">
        <v>0</v>
      </c>
      <c r="C9" s="225">
        <v>0</v>
      </c>
      <c r="D9" s="225">
        <v>1</v>
      </c>
      <c r="E9" s="225">
        <v>0</v>
      </c>
      <c r="F9" s="225">
        <v>0</v>
      </c>
      <c r="G9" s="225">
        <v>0</v>
      </c>
      <c r="H9" s="225">
        <v>0</v>
      </c>
      <c r="I9" s="225">
        <v>0</v>
      </c>
      <c r="J9" s="225">
        <v>0</v>
      </c>
      <c r="K9" s="226">
        <v>0</v>
      </c>
      <c r="X9" t="s">
        <v>147</v>
      </c>
      <c r="Y9">
        <v>0</v>
      </c>
    </row>
    <row r="10" spans="1:25">
      <c r="A10" s="147" t="s">
        <v>4</v>
      </c>
      <c r="B10" s="224">
        <v>0</v>
      </c>
      <c r="C10" s="225">
        <v>0</v>
      </c>
      <c r="D10" s="225">
        <v>0</v>
      </c>
      <c r="E10" s="225">
        <v>1</v>
      </c>
      <c r="F10" s="225">
        <v>0</v>
      </c>
      <c r="G10" s="225">
        <v>0</v>
      </c>
      <c r="H10" s="225">
        <v>0</v>
      </c>
      <c r="I10" s="225">
        <v>0</v>
      </c>
      <c r="J10" s="225">
        <v>0</v>
      </c>
      <c r="K10" s="226">
        <v>0</v>
      </c>
      <c r="X10" t="s">
        <v>151</v>
      </c>
      <c r="Y10">
        <v>10</v>
      </c>
    </row>
    <row r="11" spans="1:25">
      <c r="A11" s="147" t="s">
        <v>0</v>
      </c>
      <c r="B11" s="224">
        <v>0</v>
      </c>
      <c r="C11" s="225">
        <v>0</v>
      </c>
      <c r="D11" s="225">
        <v>0</v>
      </c>
      <c r="E11" s="225">
        <v>0</v>
      </c>
      <c r="F11" s="225">
        <v>1</v>
      </c>
      <c r="G11" s="225">
        <v>0</v>
      </c>
      <c r="H11" s="225">
        <v>0</v>
      </c>
      <c r="I11" s="225">
        <v>0</v>
      </c>
      <c r="J11" s="225">
        <v>0</v>
      </c>
      <c r="K11" s="226">
        <v>0</v>
      </c>
      <c r="X11" t="s">
        <v>152</v>
      </c>
      <c r="Y11">
        <v>20</v>
      </c>
    </row>
    <row r="12" spans="1:25">
      <c r="A12" s="147" t="s">
        <v>82</v>
      </c>
      <c r="B12" s="224">
        <v>0</v>
      </c>
      <c r="C12" s="225">
        <v>0</v>
      </c>
      <c r="D12" s="225">
        <v>0</v>
      </c>
      <c r="E12" s="225">
        <v>0</v>
      </c>
      <c r="F12" s="225">
        <v>0</v>
      </c>
      <c r="G12" s="225">
        <v>1</v>
      </c>
      <c r="H12" s="225">
        <v>0</v>
      </c>
      <c r="I12" s="225">
        <v>0</v>
      </c>
      <c r="J12" s="225">
        <v>0</v>
      </c>
      <c r="K12" s="226">
        <v>0</v>
      </c>
      <c r="X12" t="s">
        <v>150</v>
      </c>
      <c r="Y12">
        <v>-99</v>
      </c>
    </row>
    <row r="13" spans="1:25">
      <c r="A13" s="147" t="s">
        <v>83</v>
      </c>
      <c r="B13" s="224">
        <v>0</v>
      </c>
      <c r="C13" s="225">
        <v>0</v>
      </c>
      <c r="D13" s="225">
        <v>0</v>
      </c>
      <c r="E13" s="225">
        <v>0</v>
      </c>
      <c r="F13" s="225">
        <v>0</v>
      </c>
      <c r="G13" s="225">
        <v>0</v>
      </c>
      <c r="H13" s="225">
        <v>1</v>
      </c>
      <c r="I13" s="225">
        <v>0</v>
      </c>
      <c r="J13" s="225">
        <v>0</v>
      </c>
      <c r="K13" s="226">
        <v>0</v>
      </c>
    </row>
    <row r="14" spans="1:25">
      <c r="A14" s="147" t="s">
        <v>5</v>
      </c>
      <c r="B14" s="224">
        <v>0</v>
      </c>
      <c r="C14" s="225">
        <v>0</v>
      </c>
      <c r="D14" s="225">
        <v>0</v>
      </c>
      <c r="E14" s="225">
        <v>0</v>
      </c>
      <c r="F14" s="225">
        <v>0</v>
      </c>
      <c r="G14" s="225">
        <v>0</v>
      </c>
      <c r="H14" s="225">
        <v>0</v>
      </c>
      <c r="I14" s="225">
        <v>1</v>
      </c>
      <c r="J14" s="225">
        <v>0</v>
      </c>
      <c r="K14" s="226">
        <v>0</v>
      </c>
    </row>
    <row r="15" spans="1:25">
      <c r="A15" s="147" t="s">
        <v>1</v>
      </c>
      <c r="B15" s="224">
        <v>0</v>
      </c>
      <c r="C15" s="225">
        <v>0</v>
      </c>
      <c r="D15" s="225">
        <v>0</v>
      </c>
      <c r="E15" s="225">
        <v>0</v>
      </c>
      <c r="F15" s="225">
        <v>0</v>
      </c>
      <c r="G15" s="225">
        <v>0</v>
      </c>
      <c r="H15" s="225">
        <v>0</v>
      </c>
      <c r="I15" s="225">
        <v>0</v>
      </c>
      <c r="J15" s="225">
        <v>1</v>
      </c>
      <c r="K15" s="226">
        <v>0</v>
      </c>
    </row>
    <row r="16" spans="1:25">
      <c r="A16" s="146" t="s">
        <v>6</v>
      </c>
      <c r="B16" s="227">
        <v>0</v>
      </c>
      <c r="C16" s="228">
        <v>0</v>
      </c>
      <c r="D16" s="228">
        <v>0</v>
      </c>
      <c r="E16" s="228">
        <v>0</v>
      </c>
      <c r="F16" s="228">
        <v>0</v>
      </c>
      <c r="G16" s="228">
        <v>0</v>
      </c>
      <c r="H16" s="228">
        <v>0</v>
      </c>
      <c r="I16" s="228">
        <v>0</v>
      </c>
      <c r="J16" s="228">
        <v>0</v>
      </c>
      <c r="K16" s="229">
        <v>1</v>
      </c>
    </row>
    <row r="18" spans="1:26">
      <c r="A18" s="2" t="s">
        <v>160</v>
      </c>
    </row>
    <row r="19" spans="1:26">
      <c r="A19" s="148"/>
      <c r="B19" s="145"/>
      <c r="C19" s="145"/>
      <c r="D19" s="145"/>
      <c r="E19" s="145"/>
      <c r="F19" s="145"/>
      <c r="G19" s="145"/>
      <c r="H19" s="145"/>
      <c r="I19" s="145"/>
      <c r="J19" s="145"/>
      <c r="K19" s="4"/>
    </row>
    <row r="20" spans="1:26">
      <c r="A20" s="146" t="s">
        <v>145</v>
      </c>
      <c r="B20" s="51" t="s">
        <v>77</v>
      </c>
      <c r="C20" s="51" t="s">
        <v>78</v>
      </c>
      <c r="D20" s="51" t="s">
        <v>73</v>
      </c>
      <c r="E20" s="51" t="s">
        <v>4</v>
      </c>
      <c r="F20" s="51" t="s">
        <v>0</v>
      </c>
      <c r="G20" s="51" t="s">
        <v>82</v>
      </c>
      <c r="H20" s="51" t="s">
        <v>83</v>
      </c>
      <c r="I20" s="51" t="s">
        <v>5</v>
      </c>
      <c r="J20" s="51" t="s">
        <v>1</v>
      </c>
      <c r="K20" s="52" t="s">
        <v>6</v>
      </c>
    </row>
    <row r="21" spans="1:26">
      <c r="A21" s="147" t="s">
        <v>77</v>
      </c>
      <c r="B21" s="225">
        <v>1</v>
      </c>
      <c r="C21" s="225">
        <v>0</v>
      </c>
      <c r="D21" s="225">
        <v>0</v>
      </c>
      <c r="E21" s="225">
        <v>0</v>
      </c>
      <c r="F21" s="225">
        <v>0</v>
      </c>
      <c r="G21" s="225">
        <v>0</v>
      </c>
      <c r="H21" s="225">
        <v>0</v>
      </c>
      <c r="I21" s="225">
        <v>0</v>
      </c>
      <c r="J21" s="225">
        <v>0</v>
      </c>
      <c r="K21" s="230">
        <v>0</v>
      </c>
    </row>
    <row r="22" spans="1:26">
      <c r="A22" s="147" t="s">
        <v>78</v>
      </c>
      <c r="B22" s="225">
        <v>0</v>
      </c>
      <c r="C22" s="225">
        <v>1</v>
      </c>
      <c r="D22" s="225">
        <v>0</v>
      </c>
      <c r="E22" s="225">
        <v>0</v>
      </c>
      <c r="F22" s="225">
        <v>0</v>
      </c>
      <c r="G22" s="225">
        <v>0</v>
      </c>
      <c r="H22" s="225">
        <v>0</v>
      </c>
      <c r="I22" s="225">
        <v>0</v>
      </c>
      <c r="J22" s="225">
        <v>0</v>
      </c>
      <c r="K22" s="226">
        <v>0</v>
      </c>
    </row>
    <row r="23" spans="1:26">
      <c r="A23" s="147" t="s">
        <v>73</v>
      </c>
      <c r="B23" s="225">
        <v>0</v>
      </c>
      <c r="C23" s="225">
        <v>0</v>
      </c>
      <c r="D23" s="225">
        <v>1</v>
      </c>
      <c r="E23" s="225">
        <v>0</v>
      </c>
      <c r="F23" s="225">
        <v>0</v>
      </c>
      <c r="G23" s="225">
        <v>0</v>
      </c>
      <c r="H23" s="225">
        <v>0</v>
      </c>
      <c r="I23" s="225">
        <v>0</v>
      </c>
      <c r="J23" s="225">
        <v>0</v>
      </c>
      <c r="K23" s="226">
        <v>0</v>
      </c>
    </row>
    <row r="24" spans="1:26">
      <c r="A24" s="147" t="s">
        <v>4</v>
      </c>
      <c r="B24" s="225">
        <v>0</v>
      </c>
      <c r="C24" s="225">
        <v>0</v>
      </c>
      <c r="D24" s="225">
        <v>0</v>
      </c>
      <c r="E24" s="225">
        <v>1</v>
      </c>
      <c r="F24" s="225">
        <v>0</v>
      </c>
      <c r="G24" s="225">
        <v>0</v>
      </c>
      <c r="H24" s="225">
        <v>0</v>
      </c>
      <c r="I24" s="225">
        <v>0</v>
      </c>
      <c r="J24" s="225">
        <v>0</v>
      </c>
      <c r="K24" s="226">
        <v>0</v>
      </c>
    </row>
    <row r="25" spans="1:26">
      <c r="A25" s="147" t="s">
        <v>0</v>
      </c>
      <c r="B25" s="225">
        <v>0</v>
      </c>
      <c r="C25" s="225">
        <v>0</v>
      </c>
      <c r="D25" s="225">
        <v>0</v>
      </c>
      <c r="E25" s="225">
        <v>0</v>
      </c>
      <c r="F25" s="225">
        <v>1</v>
      </c>
      <c r="G25" s="225">
        <v>0</v>
      </c>
      <c r="H25" s="225">
        <v>0</v>
      </c>
      <c r="I25" s="225">
        <v>0</v>
      </c>
      <c r="J25" s="225">
        <v>0</v>
      </c>
      <c r="K25" s="226">
        <v>0</v>
      </c>
    </row>
    <row r="26" spans="1:26">
      <c r="A26" s="147" t="s">
        <v>82</v>
      </c>
      <c r="B26" s="225">
        <v>0</v>
      </c>
      <c r="C26" s="225">
        <v>0</v>
      </c>
      <c r="D26" s="225">
        <v>0</v>
      </c>
      <c r="E26" s="225">
        <v>0</v>
      </c>
      <c r="F26" s="225">
        <v>0</v>
      </c>
      <c r="G26" s="225">
        <v>1</v>
      </c>
      <c r="H26" s="225">
        <v>0</v>
      </c>
      <c r="I26" s="225">
        <v>0</v>
      </c>
      <c r="J26" s="225">
        <v>0</v>
      </c>
      <c r="K26" s="226">
        <v>0</v>
      </c>
    </row>
    <row r="27" spans="1:26">
      <c r="A27" s="147" t="s">
        <v>83</v>
      </c>
      <c r="B27" s="225">
        <v>0</v>
      </c>
      <c r="C27" s="225">
        <v>0</v>
      </c>
      <c r="D27" s="225">
        <v>0</v>
      </c>
      <c r="E27" s="225">
        <v>0</v>
      </c>
      <c r="F27" s="225">
        <v>0</v>
      </c>
      <c r="G27" s="225">
        <v>0</v>
      </c>
      <c r="H27" s="225">
        <v>1</v>
      </c>
      <c r="I27" s="225">
        <v>0</v>
      </c>
      <c r="J27" s="225">
        <v>0</v>
      </c>
      <c r="K27" s="226">
        <v>0</v>
      </c>
    </row>
    <row r="28" spans="1:26">
      <c r="A28" s="147" t="s">
        <v>5</v>
      </c>
      <c r="B28" s="225">
        <v>0</v>
      </c>
      <c r="C28" s="225">
        <v>0</v>
      </c>
      <c r="D28" s="225">
        <v>0</v>
      </c>
      <c r="E28" s="225">
        <v>0</v>
      </c>
      <c r="F28" s="225">
        <v>0</v>
      </c>
      <c r="G28" s="225">
        <v>0</v>
      </c>
      <c r="H28" s="225">
        <v>0</v>
      </c>
      <c r="I28" s="225">
        <v>1</v>
      </c>
      <c r="J28" s="225">
        <v>0</v>
      </c>
      <c r="K28" s="226">
        <v>0</v>
      </c>
    </row>
    <row r="29" spans="1:26">
      <c r="A29" s="147" t="s">
        <v>1</v>
      </c>
      <c r="B29" s="225">
        <v>0</v>
      </c>
      <c r="C29" s="225">
        <v>0</v>
      </c>
      <c r="D29" s="225">
        <v>0</v>
      </c>
      <c r="E29" s="225">
        <v>0</v>
      </c>
      <c r="F29" s="225">
        <v>0</v>
      </c>
      <c r="G29" s="225">
        <v>0</v>
      </c>
      <c r="H29" s="225">
        <v>0</v>
      </c>
      <c r="I29" s="225">
        <v>0</v>
      </c>
      <c r="J29" s="225">
        <v>1</v>
      </c>
      <c r="K29" s="226">
        <v>0</v>
      </c>
    </row>
    <row r="30" spans="1:26">
      <c r="A30" s="146" t="s">
        <v>6</v>
      </c>
      <c r="B30" s="228">
        <v>0</v>
      </c>
      <c r="C30" s="228">
        <v>0</v>
      </c>
      <c r="D30" s="228">
        <v>0</v>
      </c>
      <c r="E30" s="228">
        <v>0</v>
      </c>
      <c r="F30" s="228">
        <v>0</v>
      </c>
      <c r="G30" s="228">
        <v>0</v>
      </c>
      <c r="H30" s="228">
        <v>0</v>
      </c>
      <c r="I30" s="228">
        <v>0</v>
      </c>
      <c r="J30" s="228">
        <v>0</v>
      </c>
      <c r="K30" s="229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89" t="s">
        <v>36</v>
      </c>
      <c r="C37" s="50" t="s">
        <v>162</v>
      </c>
      <c r="D37" s="168" t="s">
        <v>164</v>
      </c>
      <c r="E37" s="171" t="s">
        <v>166</v>
      </c>
      <c r="F37" s="156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31">
        <v>0.03</v>
      </c>
      <c r="C38" s="133">
        <v>-0.1</v>
      </c>
      <c r="D38" s="175">
        <v>-0.13</v>
      </c>
      <c r="E38" s="177">
        <v>-0.13</v>
      </c>
      <c r="F38" s="161" t="s">
        <v>75</v>
      </c>
    </row>
    <row r="39" spans="1:26">
      <c r="A39" s="11" t="str">
        <f t="shared" si="0"/>
        <v>Reele VPV</v>
      </c>
      <c r="B39" s="131">
        <v>0.03</v>
      </c>
      <c r="C39" s="133">
        <v>0</v>
      </c>
      <c r="D39" s="169">
        <v>-0.03</v>
      </c>
      <c r="E39" s="178">
        <v>-0.03</v>
      </c>
      <c r="F39" s="161" t="s">
        <v>75</v>
      </c>
    </row>
    <row r="40" spans="1:26">
      <c r="A40" s="11" t="str">
        <f t="shared" si="0"/>
        <v>Credits</v>
      </c>
      <c r="B40" s="131">
        <v>5.5641316288239581E-2</v>
      </c>
      <c r="C40" s="133">
        <v>-6.25E-2</v>
      </c>
      <c r="D40" s="169">
        <v>-0.11814131628823958</v>
      </c>
      <c r="E40" s="178">
        <v>-0.11814131628823958</v>
      </c>
      <c r="F40" s="161" t="s">
        <v>75</v>
      </c>
    </row>
    <row r="41" spans="1:26">
      <c r="A41" s="11" t="str">
        <f t="shared" si="0"/>
        <v>High Yield</v>
      </c>
      <c r="B41" s="131">
        <v>5.6496387380050681E-2</v>
      </c>
      <c r="C41" s="133">
        <v>-2.5000000000000001E-2</v>
      </c>
      <c r="D41" s="169">
        <v>-8.1496387380050689E-2</v>
      </c>
      <c r="E41" s="178">
        <v>-0.125</v>
      </c>
      <c r="F41" s="161" t="s">
        <v>75</v>
      </c>
    </row>
    <row r="42" spans="1:26">
      <c r="A42" s="11" t="str">
        <f t="shared" si="0"/>
        <v>EMD</v>
      </c>
      <c r="B42" s="131">
        <v>5.6528262962781142E-2</v>
      </c>
      <c r="C42" s="133">
        <v>-0.05</v>
      </c>
      <c r="D42" s="169">
        <v>-0.10652826296278115</v>
      </c>
      <c r="E42" s="178">
        <v>-7.4999999999999997E-2</v>
      </c>
      <c r="F42" s="161" t="s">
        <v>75</v>
      </c>
    </row>
    <row r="43" spans="1:26">
      <c r="A43" s="11" t="str">
        <f t="shared" si="0"/>
        <v>Aandelen ontw</v>
      </c>
      <c r="B43" s="131">
        <v>6.4356314621335148E-2</v>
      </c>
      <c r="C43" s="133">
        <v>0</v>
      </c>
      <c r="D43" s="169">
        <v>-6.4356314621335148E-2</v>
      </c>
      <c r="E43" s="178">
        <v>-6.4356314621335148E-2</v>
      </c>
      <c r="F43" s="161" t="s">
        <v>75</v>
      </c>
    </row>
    <row r="44" spans="1:26">
      <c r="A44" s="11" t="str">
        <f t="shared" si="0"/>
        <v>Aandelen opk</v>
      </c>
      <c r="B44" s="131">
        <v>9.1561672924114379E-2</v>
      </c>
      <c r="C44" s="133">
        <v>-0.03</v>
      </c>
      <c r="D44" s="169">
        <v>-0.12156167292411438</v>
      </c>
      <c r="E44" s="178">
        <v>-7.0000000000000007E-2</v>
      </c>
      <c r="F44" s="161" t="s">
        <v>75</v>
      </c>
    </row>
    <row r="45" spans="1:26">
      <c r="A45" s="11" t="str">
        <f t="shared" si="0"/>
        <v>Hedge funds</v>
      </c>
      <c r="B45" s="131">
        <v>5.1135067781966595E-2</v>
      </c>
      <c r="C45" s="133">
        <v>-0.04</v>
      </c>
      <c r="D45" s="169">
        <v>-9.1135067781966589E-2</v>
      </c>
      <c r="E45" s="178">
        <v>-9.1135067781966589E-2</v>
      </c>
      <c r="F45" s="161" t="s">
        <v>75</v>
      </c>
    </row>
    <row r="46" spans="1:26">
      <c r="A46" s="11" t="str">
        <f t="shared" si="0"/>
        <v>OG</v>
      </c>
      <c r="B46" s="131">
        <v>4.7615162118704334E-2</v>
      </c>
      <c r="C46" s="133">
        <v>0</v>
      </c>
      <c r="D46" s="169">
        <v>-4.7615162118704334E-2</v>
      </c>
      <c r="E46" s="178">
        <v>-0.1</v>
      </c>
      <c r="F46" s="161" t="s">
        <v>75</v>
      </c>
    </row>
    <row r="47" spans="1:26" ht="13.5" thickBot="1">
      <c r="A47" s="12" t="str">
        <f t="shared" si="0"/>
        <v>Commodities</v>
      </c>
      <c r="B47" s="135">
        <v>8.0977052013787992E-2</v>
      </c>
      <c r="C47" s="137">
        <v>0.05</v>
      </c>
      <c r="D47" s="170">
        <v>-3.097705201378799E-2</v>
      </c>
      <c r="E47" s="179">
        <v>-3.097705201378799E-2</v>
      </c>
      <c r="F47" s="162" t="s">
        <v>75</v>
      </c>
    </row>
    <row r="48" spans="1:26" ht="13.5" thickTop="1"/>
    <row r="49" spans="1:11">
      <c r="A49" s="2" t="s">
        <v>158</v>
      </c>
    </row>
    <row r="50" spans="1:11">
      <c r="A50" s="148" t="s">
        <v>36</v>
      </c>
      <c r="B50" s="145"/>
      <c r="C50" s="145"/>
      <c r="D50" s="145"/>
      <c r="E50" s="145"/>
      <c r="F50" s="145"/>
      <c r="G50" s="145"/>
      <c r="H50" s="145"/>
      <c r="I50" s="145"/>
      <c r="J50" s="145"/>
      <c r="K50" s="4"/>
    </row>
    <row r="51" spans="1:11">
      <c r="A51" s="146" t="s">
        <v>145</v>
      </c>
      <c r="B51" s="51" t="str">
        <f>A52</f>
        <v>Nominale VPV</v>
      </c>
      <c r="C51" s="51" t="str">
        <f>A53</f>
        <v>Reele VPV</v>
      </c>
      <c r="D51" s="51" t="str">
        <f>A54</f>
        <v>Credits</v>
      </c>
      <c r="E51" s="51" t="str">
        <f>A55</f>
        <v>High Yield</v>
      </c>
      <c r="F51" s="51" t="str">
        <f>A56</f>
        <v>EMD</v>
      </c>
      <c r="G51" s="51" t="str">
        <f>A57</f>
        <v>Aandelen ontw</v>
      </c>
      <c r="H51" s="51" t="str">
        <f>A58</f>
        <v>Aandelen opk</v>
      </c>
      <c r="I51" s="51" t="str">
        <f>A59</f>
        <v>Hedge funds</v>
      </c>
      <c r="J51" s="51" t="str">
        <f>A60</f>
        <v>OG</v>
      </c>
      <c r="K51" s="52" t="str">
        <f>A61</f>
        <v>Commodities</v>
      </c>
    </row>
    <row r="52" spans="1:11">
      <c r="A52" s="10" t="str">
        <f t="shared" ref="A52:A61" si="1">A21</f>
        <v>Nominale VPV</v>
      </c>
      <c r="B52" s="180">
        <v>9.3036505477973097E-2</v>
      </c>
      <c r="C52" s="83">
        <v>0.39310073358981634</v>
      </c>
      <c r="D52" s="83">
        <v>0.20929446791729706</v>
      </c>
      <c r="E52" s="83">
        <v>0.21633822527798038</v>
      </c>
      <c r="F52" s="83">
        <v>7.2272238989822338E-2</v>
      </c>
      <c r="G52" s="83">
        <v>8.9492370363700224E-2</v>
      </c>
      <c r="H52" s="83">
        <v>-0.17062817388407636</v>
      </c>
      <c r="I52" s="83">
        <v>-0.19012041366495921</v>
      </c>
      <c r="J52" s="83">
        <v>-4.7308632130733691E-2</v>
      </c>
      <c r="K52" s="150">
        <v>-0.45881257160059641</v>
      </c>
    </row>
    <row r="53" spans="1:11">
      <c r="A53" s="147" t="str">
        <f t="shared" si="1"/>
        <v>Reele VPV</v>
      </c>
      <c r="B53" s="83">
        <v>0.39310073358981634</v>
      </c>
      <c r="C53" s="180">
        <v>0.107113123666156</v>
      </c>
      <c r="D53" s="83">
        <v>0.15199304535500063</v>
      </c>
      <c r="E53" s="83">
        <v>0.24896674047832401</v>
      </c>
      <c r="F53" s="83">
        <v>-4.8620827985643912E-2</v>
      </c>
      <c r="G53" s="83">
        <v>0.12380923643016063</v>
      </c>
      <c r="H53" s="83">
        <v>5.6701855877734457E-2</v>
      </c>
      <c r="I53" s="83">
        <v>-0.14234647836130293</v>
      </c>
      <c r="J53" s="83">
        <v>-0.11987909632091487</v>
      </c>
      <c r="K53" s="84">
        <v>-8.7674543304863753E-2</v>
      </c>
    </row>
    <row r="54" spans="1:11">
      <c r="A54" s="147" t="str">
        <f t="shared" si="1"/>
        <v>Credits</v>
      </c>
      <c r="B54" s="83">
        <v>0.20929446791729706</v>
      </c>
      <c r="C54" s="83">
        <v>0.15199304535500063</v>
      </c>
      <c r="D54" s="180">
        <v>0.14514041524285745</v>
      </c>
      <c r="E54" s="83">
        <v>0.27817222657699892</v>
      </c>
      <c r="F54" s="83">
        <v>-3.7036476676643094E-2</v>
      </c>
      <c r="G54" s="83">
        <v>-2.0652245548069121E-2</v>
      </c>
      <c r="H54" s="83">
        <v>-4.7238096976150878E-4</v>
      </c>
      <c r="I54" s="83">
        <v>3.5291346298508892E-2</v>
      </c>
      <c r="J54" s="83">
        <v>-0.1471489633450169</v>
      </c>
      <c r="K54" s="84">
        <v>3.884979309220634E-2</v>
      </c>
    </row>
    <row r="55" spans="1:11">
      <c r="A55" s="147" t="str">
        <f t="shared" si="1"/>
        <v>High Yield</v>
      </c>
      <c r="B55" s="83">
        <v>0.21633822527798038</v>
      </c>
      <c r="C55" s="83">
        <v>0.24896674047832401</v>
      </c>
      <c r="D55" s="83">
        <v>0.27817222657699892</v>
      </c>
      <c r="E55" s="180">
        <v>0.15212518033194122</v>
      </c>
      <c r="F55" s="83">
        <v>0.54947077664382238</v>
      </c>
      <c r="G55" s="83">
        <v>0.6512857171069153</v>
      </c>
      <c r="H55" s="83">
        <v>0.66085351889108523</v>
      </c>
      <c r="I55" s="83">
        <v>0.4247516304214663</v>
      </c>
      <c r="J55" s="83">
        <v>-0.32361654199607631</v>
      </c>
      <c r="K55" s="84">
        <v>-2.2300336358685715E-3</v>
      </c>
    </row>
    <row r="56" spans="1:11">
      <c r="A56" s="147" t="str">
        <f t="shared" si="1"/>
        <v>EMD</v>
      </c>
      <c r="B56" s="83">
        <v>7.2272238989822338E-2</v>
      </c>
      <c r="C56" s="83">
        <v>-4.8620827985643912E-2</v>
      </c>
      <c r="D56" s="83">
        <v>-3.7036476676643094E-2</v>
      </c>
      <c r="E56" s="83">
        <v>0.54947077664382238</v>
      </c>
      <c r="F56" s="180">
        <v>0.13758409078549244</v>
      </c>
      <c r="G56" s="83">
        <v>0.43704301175382931</v>
      </c>
      <c r="H56" s="83">
        <v>0.47448318291761821</v>
      </c>
      <c r="I56" s="83">
        <v>0.75975680806732404</v>
      </c>
      <c r="J56" s="83">
        <v>0.22497345871183994</v>
      </c>
      <c r="K56" s="84">
        <v>0.50014707286156279</v>
      </c>
    </row>
    <row r="57" spans="1:11">
      <c r="A57" s="147" t="str">
        <f t="shared" si="1"/>
        <v>Aandelen ontw</v>
      </c>
      <c r="B57" s="83">
        <v>8.9492370363700224E-2</v>
      </c>
      <c r="C57" s="83">
        <v>0.12380923643016063</v>
      </c>
      <c r="D57" s="83">
        <v>-2.0652245548069121E-2</v>
      </c>
      <c r="E57" s="83">
        <v>0.6512857171069153</v>
      </c>
      <c r="F57" s="83">
        <v>0.43704301175382931</v>
      </c>
      <c r="G57" s="180">
        <v>0.19354582049076965</v>
      </c>
      <c r="H57" s="83">
        <v>0.75270312398485784</v>
      </c>
      <c r="I57" s="83">
        <v>0.57172393447966652</v>
      </c>
      <c r="J57" s="83">
        <v>-3.5193060592075505E-2</v>
      </c>
      <c r="K57" s="84">
        <v>0.10395609042534409</v>
      </c>
    </row>
    <row r="58" spans="1:11">
      <c r="A58" s="147" t="str">
        <f t="shared" si="1"/>
        <v>Aandelen opk</v>
      </c>
      <c r="B58" s="83">
        <v>-0.17062817388407636</v>
      </c>
      <c r="C58" s="83">
        <v>5.6701855877734457E-2</v>
      </c>
      <c r="D58" s="83">
        <v>-4.7238096976150878E-4</v>
      </c>
      <c r="E58" s="83">
        <v>0.66085351889108523</v>
      </c>
      <c r="F58" s="83">
        <v>0.47448318291761821</v>
      </c>
      <c r="G58" s="83">
        <v>0.75270312398485784</v>
      </c>
      <c r="H58" s="180">
        <v>0.34249727755342518</v>
      </c>
      <c r="I58" s="83">
        <v>0.43308445119592942</v>
      </c>
      <c r="J58" s="83">
        <v>-0.33706927145387583</v>
      </c>
      <c r="K58" s="84">
        <v>0.21126029655546014</v>
      </c>
    </row>
    <row r="59" spans="1:11">
      <c r="A59" s="147" t="str">
        <f t="shared" si="1"/>
        <v>Hedge funds</v>
      </c>
      <c r="B59" s="83">
        <v>-0.19012041366495921</v>
      </c>
      <c r="C59" s="83">
        <v>-0.14234647836130293</v>
      </c>
      <c r="D59" s="83">
        <v>3.5291346298508892E-2</v>
      </c>
      <c r="E59" s="83">
        <v>0.4247516304214663</v>
      </c>
      <c r="F59" s="83">
        <v>0.75975680806732404</v>
      </c>
      <c r="G59" s="83">
        <v>0.57172393447966652</v>
      </c>
      <c r="H59" s="83">
        <v>0.43308445119592942</v>
      </c>
      <c r="I59" s="180">
        <v>7.2522493236444635E-2</v>
      </c>
      <c r="J59" s="83">
        <v>0.53144909307162114</v>
      </c>
      <c r="K59" s="84">
        <v>0.50768184408405903</v>
      </c>
    </row>
    <row r="60" spans="1:11">
      <c r="A60" s="147" t="str">
        <f t="shared" si="1"/>
        <v>OG</v>
      </c>
      <c r="B60" s="83">
        <v>-4.7308632130733691E-2</v>
      </c>
      <c r="C60" s="83">
        <v>-0.11987909632091487</v>
      </c>
      <c r="D60" s="83">
        <v>-0.1471489633450169</v>
      </c>
      <c r="E60" s="83">
        <v>-0.32361654199607631</v>
      </c>
      <c r="F60" s="83">
        <v>0.22497345871183994</v>
      </c>
      <c r="G60" s="83">
        <v>-3.5193060592075505E-2</v>
      </c>
      <c r="H60" s="83">
        <v>-0.33706927145387583</v>
      </c>
      <c r="I60" s="83">
        <v>0.53144909307162114</v>
      </c>
      <c r="J60" s="180">
        <v>4.9766484543779667E-2</v>
      </c>
      <c r="K60" s="84">
        <v>0.24828282028996468</v>
      </c>
    </row>
    <row r="61" spans="1:11">
      <c r="A61" s="146" t="str">
        <f t="shared" si="1"/>
        <v>Commodities</v>
      </c>
      <c r="B61" s="86">
        <v>-0.45881257160059641</v>
      </c>
      <c r="C61" s="86">
        <v>-8.7674543304863753E-2</v>
      </c>
      <c r="D61" s="86">
        <v>3.884979309220634E-2</v>
      </c>
      <c r="E61" s="86">
        <v>-2.2300336358685715E-3</v>
      </c>
      <c r="F61" s="86">
        <v>0.50014707286156279</v>
      </c>
      <c r="G61" s="86">
        <v>0.10395609042534409</v>
      </c>
      <c r="H61" s="86">
        <v>0.21126029655546014</v>
      </c>
      <c r="I61" s="86">
        <v>0.50768184408405903</v>
      </c>
      <c r="J61" s="86">
        <v>0.24828282028996468</v>
      </c>
      <c r="K61" s="181">
        <v>0.25247140962754983</v>
      </c>
    </row>
    <row r="62" spans="1:11">
      <c r="A62" s="149" t="str">
        <f>B1</f>
        <v>Inflatie is fiscaal</v>
      </c>
      <c r="B62" s="145"/>
      <c r="C62" s="145"/>
      <c r="D62" s="145"/>
      <c r="E62" s="145"/>
      <c r="F62" s="145"/>
      <c r="G62" s="145"/>
      <c r="H62" s="145"/>
      <c r="I62" s="145"/>
      <c r="J62" s="145"/>
      <c r="K62" s="4"/>
    </row>
    <row r="63" spans="1:11">
      <c r="A63" s="146" t="s">
        <v>145</v>
      </c>
      <c r="B63" s="51" t="str">
        <f>A64</f>
        <v>Nominale VPV</v>
      </c>
      <c r="C63" s="51" t="str">
        <f>A65</f>
        <v>Reele VPV</v>
      </c>
      <c r="D63" s="51" t="str">
        <f>A66</f>
        <v>Credits</v>
      </c>
      <c r="E63" s="51" t="str">
        <f>A67</f>
        <v>High Yield</v>
      </c>
      <c r="F63" s="51" t="str">
        <f>A68</f>
        <v>EMD</v>
      </c>
      <c r="G63" s="51" t="str">
        <f>A69</f>
        <v>Aandelen ontw</v>
      </c>
      <c r="H63" s="51" t="str">
        <f>A70</f>
        <v>Aandelen opk</v>
      </c>
      <c r="I63" s="51" t="str">
        <f>A71</f>
        <v>Hedge funds</v>
      </c>
      <c r="J63" s="51" t="str">
        <f>A72</f>
        <v>OG</v>
      </c>
      <c r="K63" s="52" t="str">
        <f>A73</f>
        <v>Commodities</v>
      </c>
    </row>
    <row r="64" spans="1:11">
      <c r="A64" s="10" t="str">
        <f t="shared" ref="A64:A73" si="2">A52</f>
        <v>Nominale VPV</v>
      </c>
      <c r="B64" s="180">
        <v>8.6979477341329908E-2</v>
      </c>
      <c r="C64" s="83">
        <v>0.44647787881945766</v>
      </c>
      <c r="D64" s="83">
        <v>0.12476371362076351</v>
      </c>
      <c r="E64" s="83">
        <v>0.39473896463521979</v>
      </c>
      <c r="F64" s="83">
        <v>0.14329164688661464</v>
      </c>
      <c r="G64" s="83">
        <v>0.31280893869431281</v>
      </c>
      <c r="H64" s="83">
        <v>-5.3639971431398835E-2</v>
      </c>
      <c r="I64" s="83">
        <v>-4.5375987461387553E-2</v>
      </c>
      <c r="J64" s="83">
        <v>1.8874630580668541E-2</v>
      </c>
      <c r="K64" s="150">
        <v>-0.43049903922919336</v>
      </c>
    </row>
    <row r="65" spans="1:11">
      <c r="A65" s="147" t="str">
        <f t="shared" si="2"/>
        <v>Reele VPV</v>
      </c>
      <c r="B65" s="83">
        <v>0.44647787881945766</v>
      </c>
      <c r="C65" s="180">
        <v>0.10896841546298597</v>
      </c>
      <c r="D65" s="83">
        <v>8.4321923207799868E-2</v>
      </c>
      <c r="E65" s="83">
        <v>0.30748879816953062</v>
      </c>
      <c r="F65" s="83">
        <v>-1.3783474196812102E-2</v>
      </c>
      <c r="G65" s="83">
        <v>0.30597926550447924</v>
      </c>
      <c r="H65" s="83">
        <v>0.14739566742264482</v>
      </c>
      <c r="I65" s="83">
        <v>-0.1294232882487544</v>
      </c>
      <c r="J65" s="83">
        <v>-0.12641717828044782</v>
      </c>
      <c r="K65" s="84">
        <v>-1.9526899117772813E-2</v>
      </c>
    </row>
    <row r="66" spans="1:11">
      <c r="A66" s="147" t="str">
        <f t="shared" si="2"/>
        <v>Credits</v>
      </c>
      <c r="B66" s="83">
        <v>0.12476371362076351</v>
      </c>
      <c r="C66" s="83">
        <v>8.4321923207799868E-2</v>
      </c>
      <c r="D66" s="180">
        <v>0.13990559436256109</v>
      </c>
      <c r="E66" s="83">
        <v>0.18030730071459058</v>
      </c>
      <c r="F66" s="83">
        <v>-0.25418969179515066</v>
      </c>
      <c r="G66" s="83">
        <v>-7.9795858053289384E-2</v>
      </c>
      <c r="H66" s="83">
        <v>-1.1299149052951599E-2</v>
      </c>
      <c r="I66" s="83">
        <v>-0.17485249114463275</v>
      </c>
      <c r="J66" s="83">
        <v>-0.28831149244548265</v>
      </c>
      <c r="K66" s="84">
        <v>-0.11650578645633478</v>
      </c>
    </row>
    <row r="67" spans="1:11">
      <c r="A67" s="147" t="str">
        <f t="shared" si="2"/>
        <v>High Yield</v>
      </c>
      <c r="B67" s="83">
        <v>0.39473896463521979</v>
      </c>
      <c r="C67" s="83">
        <v>0.30748879816953062</v>
      </c>
      <c r="D67" s="83">
        <v>0.18030730071459058</v>
      </c>
      <c r="E67" s="180">
        <v>0.11885134697059349</v>
      </c>
      <c r="F67" s="83">
        <v>0.46323608157717838</v>
      </c>
      <c r="G67" s="83">
        <v>0.59241684043745912</v>
      </c>
      <c r="H67" s="83">
        <v>0.53403538944587015</v>
      </c>
      <c r="I67" s="83">
        <v>0.24598097465652494</v>
      </c>
      <c r="J67" s="83">
        <v>-0.36278809960119057</v>
      </c>
      <c r="K67" s="84">
        <v>-0.24556869352982991</v>
      </c>
    </row>
    <row r="68" spans="1:11">
      <c r="A68" s="147" t="str">
        <f t="shared" si="2"/>
        <v>EMD</v>
      </c>
      <c r="B68" s="83">
        <v>0.14329164688661464</v>
      </c>
      <c r="C68" s="83">
        <v>-1.3783474196812102E-2</v>
      </c>
      <c r="D68" s="83">
        <v>-0.25418969179515066</v>
      </c>
      <c r="E68" s="83">
        <v>0.46323608157717838</v>
      </c>
      <c r="F68" s="180">
        <v>0.13434300064166035</v>
      </c>
      <c r="G68" s="83">
        <v>0.34598071876438846</v>
      </c>
      <c r="H68" s="83">
        <v>0.35502532656296076</v>
      </c>
      <c r="I68" s="83">
        <v>0.79192802286367414</v>
      </c>
      <c r="J68" s="83">
        <v>0.31095692213611359</v>
      </c>
      <c r="K68" s="84">
        <v>0.39954142389203895</v>
      </c>
    </row>
    <row r="69" spans="1:11">
      <c r="A69" s="147" t="str">
        <f t="shared" si="2"/>
        <v>Aandelen ontw</v>
      </c>
      <c r="B69" s="83">
        <v>0.31280893869431281</v>
      </c>
      <c r="C69" s="83">
        <v>0.30597926550447924</v>
      </c>
      <c r="D69" s="83">
        <v>-7.9795858053289384E-2</v>
      </c>
      <c r="E69" s="83">
        <v>0.59241684043745912</v>
      </c>
      <c r="F69" s="83">
        <v>0.34598071876438846</v>
      </c>
      <c r="G69" s="180">
        <v>0.15931815029652449</v>
      </c>
      <c r="H69" s="83">
        <v>0.68294735384272309</v>
      </c>
      <c r="I69" s="83">
        <v>0.38647228003265582</v>
      </c>
      <c r="J69" s="83">
        <v>-9.8153053151787725E-2</v>
      </c>
      <c r="K69" s="84">
        <v>-9.0759698221048582E-2</v>
      </c>
    </row>
    <row r="70" spans="1:11">
      <c r="A70" s="147" t="str">
        <f t="shared" si="2"/>
        <v>Aandelen opk</v>
      </c>
      <c r="B70" s="83">
        <v>-5.3639971431398835E-2</v>
      </c>
      <c r="C70" s="83">
        <v>0.14739566742264482</v>
      </c>
      <c r="D70" s="83">
        <v>-1.1299149052951599E-2</v>
      </c>
      <c r="E70" s="83">
        <v>0.53403538944587015</v>
      </c>
      <c r="F70" s="83">
        <v>0.35502532656296076</v>
      </c>
      <c r="G70" s="83">
        <v>0.68294735384272309</v>
      </c>
      <c r="H70" s="180">
        <v>0.31065953297505222</v>
      </c>
      <c r="I70" s="83">
        <v>0.24318658795406575</v>
      </c>
      <c r="J70" s="83">
        <v>-0.40601872314925519</v>
      </c>
      <c r="K70" s="84">
        <v>8.4588658823458854E-2</v>
      </c>
    </row>
    <row r="71" spans="1:11">
      <c r="A71" s="147" t="str">
        <f t="shared" si="2"/>
        <v>Hedge funds</v>
      </c>
      <c r="B71" s="83">
        <v>-4.5375987461387553E-2</v>
      </c>
      <c r="C71" s="83">
        <v>-0.1294232882487544</v>
      </c>
      <c r="D71" s="83">
        <v>-0.17485249114463275</v>
      </c>
      <c r="E71" s="83">
        <v>0.24598097465652494</v>
      </c>
      <c r="F71" s="83">
        <v>0.79192802286367414</v>
      </c>
      <c r="G71" s="83">
        <v>0.38647228003265582</v>
      </c>
      <c r="H71" s="83">
        <v>0.24318658795406575</v>
      </c>
      <c r="I71" s="180">
        <v>5.7887490060103547E-2</v>
      </c>
      <c r="J71" s="83">
        <v>0.58642803030365875</v>
      </c>
      <c r="K71" s="84">
        <v>0.34742936858442752</v>
      </c>
    </row>
    <row r="72" spans="1:11">
      <c r="A72" s="147" t="str">
        <f t="shared" si="2"/>
        <v>OG</v>
      </c>
      <c r="B72" s="83">
        <v>1.8874630580668541E-2</v>
      </c>
      <c r="C72" s="83">
        <v>-0.12641717828044782</v>
      </c>
      <c r="D72" s="83">
        <v>-0.28831149244548265</v>
      </c>
      <c r="E72" s="83">
        <v>-0.36278809960119057</v>
      </c>
      <c r="F72" s="83">
        <v>0.31095692213611359</v>
      </c>
      <c r="G72" s="83">
        <v>-9.8153053151787725E-2</v>
      </c>
      <c r="H72" s="83">
        <v>-0.40601872314925519</v>
      </c>
      <c r="I72" s="83">
        <v>0.58642803030365875</v>
      </c>
      <c r="J72" s="180">
        <v>4.8110922059050987E-2</v>
      </c>
      <c r="K72" s="84">
        <v>0.22312540192773261</v>
      </c>
    </row>
    <row r="73" spans="1:11">
      <c r="A73" s="146" t="str">
        <f t="shared" si="2"/>
        <v>Commodities</v>
      </c>
      <c r="B73" s="86">
        <v>-0.43049903922919336</v>
      </c>
      <c r="C73" s="86">
        <v>-1.9526899117772813E-2</v>
      </c>
      <c r="D73" s="86">
        <v>-0.11650578645633478</v>
      </c>
      <c r="E73" s="86">
        <v>-0.24556869352982991</v>
      </c>
      <c r="F73" s="86">
        <v>0.39954142389203895</v>
      </c>
      <c r="G73" s="86">
        <v>-9.0759698221048582E-2</v>
      </c>
      <c r="H73" s="86">
        <v>8.4588658823458854E-2</v>
      </c>
      <c r="I73" s="86">
        <v>0.34742936858442752</v>
      </c>
      <c r="J73" s="86">
        <v>0.22312540192773261</v>
      </c>
      <c r="K73" s="181">
        <v>0.23436776994521502</v>
      </c>
    </row>
    <row r="75" spans="1:11">
      <c r="A75" s="2"/>
    </row>
    <row r="76" spans="1:11">
      <c r="A76" s="17" t="s">
        <v>164</v>
      </c>
      <c r="B76" s="153" t="str">
        <f>A77</f>
        <v>Nominale VPV</v>
      </c>
      <c r="C76" s="153" t="str">
        <f>A78</f>
        <v>Reele VPV</v>
      </c>
      <c r="D76" s="153" t="str">
        <f>A79</f>
        <v>Credits</v>
      </c>
      <c r="E76" s="153" t="str">
        <f>A80</f>
        <v>High Yield</v>
      </c>
      <c r="F76" s="153" t="str">
        <f>A81</f>
        <v>EMD</v>
      </c>
      <c r="G76" s="153" t="str">
        <f>A82</f>
        <v>Aandelen ontw</v>
      </c>
      <c r="H76" s="153" t="str">
        <f>A83</f>
        <v>Aandelen opk</v>
      </c>
      <c r="I76" s="153" t="str">
        <f>A84</f>
        <v>Hedge funds</v>
      </c>
      <c r="J76" s="153" t="str">
        <f>A85</f>
        <v>OG</v>
      </c>
      <c r="K76" s="154" t="str">
        <f>A86</f>
        <v>Commodities</v>
      </c>
    </row>
    <row r="77" spans="1:11">
      <c r="A77" s="147" t="str">
        <f t="shared" ref="A77:A86" si="3">A64</f>
        <v>Nominale VPV</v>
      </c>
      <c r="B77" s="180">
        <v>-6.0570281366431888E-3</v>
      </c>
      <c r="C77" s="83">
        <v>5.3377145229641321E-2</v>
      </c>
      <c r="D77" s="83">
        <v>-8.4530754296533547E-2</v>
      </c>
      <c r="E77" s="83">
        <v>0.17840073935723941</v>
      </c>
      <c r="F77" s="83">
        <v>7.10194078967923E-2</v>
      </c>
      <c r="G77" s="83">
        <v>0.22331656833061259</v>
      </c>
      <c r="H77" s="83">
        <v>0.11698820245267752</v>
      </c>
      <c r="I77" s="83">
        <v>0.14474442620357167</v>
      </c>
      <c r="J77" s="83">
        <v>6.6183262711402235E-2</v>
      </c>
      <c r="K77" s="84">
        <v>2.831353237140305E-2</v>
      </c>
    </row>
    <row r="78" spans="1:11">
      <c r="A78" s="147" t="str">
        <f t="shared" si="3"/>
        <v>Reele VPV</v>
      </c>
      <c r="B78" s="83">
        <v>5.3377145229641321E-2</v>
      </c>
      <c r="C78" s="180">
        <v>1.855291796829972E-3</v>
      </c>
      <c r="D78" s="83">
        <v>-6.7671122147200766E-2</v>
      </c>
      <c r="E78" s="83">
        <v>5.8522057691206608E-2</v>
      </c>
      <c r="F78" s="83">
        <v>3.4837353788831807E-2</v>
      </c>
      <c r="G78" s="83">
        <v>0.18217002907431862</v>
      </c>
      <c r="H78" s="83">
        <v>9.0693811544910352E-2</v>
      </c>
      <c r="I78" s="83">
        <v>1.2923190112548527E-2</v>
      </c>
      <c r="J78" s="83">
        <v>-6.5380819595329542E-3</v>
      </c>
      <c r="K78" s="84">
        <v>6.8147644187090933E-2</v>
      </c>
    </row>
    <row r="79" spans="1:11">
      <c r="A79" s="147" t="str">
        <f t="shared" si="3"/>
        <v>Credits</v>
      </c>
      <c r="B79" s="83">
        <v>-8.4530754296533547E-2</v>
      </c>
      <c r="C79" s="83">
        <v>-6.7671122147200766E-2</v>
      </c>
      <c r="D79" s="180">
        <v>-5.2348208802963647E-3</v>
      </c>
      <c r="E79" s="83">
        <v>-9.7864925862408331E-2</v>
      </c>
      <c r="F79" s="83">
        <v>-0.21715321511850758</v>
      </c>
      <c r="G79" s="83">
        <v>-5.9143612505220267E-2</v>
      </c>
      <c r="H79" s="83">
        <v>-1.0826768083190091E-2</v>
      </c>
      <c r="I79" s="83">
        <v>-0.21014383744314163</v>
      </c>
      <c r="J79" s="83">
        <v>-0.14116252910046576</v>
      </c>
      <c r="K79" s="84">
        <v>-0.15535557954854112</v>
      </c>
    </row>
    <row r="80" spans="1:11">
      <c r="A80" s="147" t="str">
        <f t="shared" si="3"/>
        <v>High Yield</v>
      </c>
      <c r="B80" s="83">
        <v>0.17840073935723941</v>
      </c>
      <c r="C80" s="83">
        <v>5.8522057691206608E-2</v>
      </c>
      <c r="D80" s="83">
        <v>-9.7864925862408331E-2</v>
      </c>
      <c r="E80" s="180">
        <v>-3.3273833361347732E-2</v>
      </c>
      <c r="F80" s="83">
        <v>-8.6234695066643996E-2</v>
      </c>
      <c r="G80" s="83">
        <v>-5.8868876669456172E-2</v>
      </c>
      <c r="H80" s="83">
        <v>-0.12681812944521509</v>
      </c>
      <c r="I80" s="83">
        <v>-0.17877065576494136</v>
      </c>
      <c r="J80" s="83">
        <v>-3.917155760511426E-2</v>
      </c>
      <c r="K80" s="84">
        <v>-0.24333865989396133</v>
      </c>
    </row>
    <row r="81" spans="1:11">
      <c r="A81" s="147" t="str">
        <f t="shared" si="3"/>
        <v>EMD</v>
      </c>
      <c r="B81" s="83">
        <v>7.10194078967923E-2</v>
      </c>
      <c r="C81" s="83">
        <v>3.4837353788831807E-2</v>
      </c>
      <c r="D81" s="83">
        <v>-0.21715321511850758</v>
      </c>
      <c r="E81" s="83">
        <v>-8.6234695066643996E-2</v>
      </c>
      <c r="F81" s="180">
        <v>-3.2410901438320872E-3</v>
      </c>
      <c r="G81" s="83">
        <v>-9.1062292989440852E-2</v>
      </c>
      <c r="H81" s="83">
        <v>-0.11945785635465744</v>
      </c>
      <c r="I81" s="83">
        <v>3.2171214796350101E-2</v>
      </c>
      <c r="J81" s="83">
        <v>8.5983463424273654E-2</v>
      </c>
      <c r="K81" s="84">
        <v>-0.10060564896952384</v>
      </c>
    </row>
    <row r="82" spans="1:11">
      <c r="A82" s="147" t="str">
        <f t="shared" si="3"/>
        <v>Aandelen ontw</v>
      </c>
      <c r="B82" s="83">
        <v>0.22331656833061259</v>
      </c>
      <c r="C82" s="83">
        <v>0.18217002907431862</v>
      </c>
      <c r="D82" s="83">
        <v>-5.9143612505220267E-2</v>
      </c>
      <c r="E82" s="83">
        <v>-5.8868876669456172E-2</v>
      </c>
      <c r="F82" s="83">
        <v>-9.1062292989440852E-2</v>
      </c>
      <c r="G82" s="180">
        <v>-3.4227670194245163E-2</v>
      </c>
      <c r="H82" s="83">
        <v>-6.9755770142134743E-2</v>
      </c>
      <c r="I82" s="83">
        <v>-0.18525165444701069</v>
      </c>
      <c r="J82" s="83">
        <v>-6.2959992559712213E-2</v>
      </c>
      <c r="K82" s="84">
        <v>-0.19471578864639266</v>
      </c>
    </row>
    <row r="83" spans="1:11">
      <c r="A83" s="147" t="str">
        <f t="shared" si="3"/>
        <v>Aandelen opk</v>
      </c>
      <c r="B83" s="83">
        <v>0.11698820245267752</v>
      </c>
      <c r="C83" s="83">
        <v>9.0693811544910352E-2</v>
      </c>
      <c r="D83" s="83">
        <v>-1.0826768083190091E-2</v>
      </c>
      <c r="E83" s="83">
        <v>-0.12681812944521509</v>
      </c>
      <c r="F83" s="83">
        <v>-0.11945785635465744</v>
      </c>
      <c r="G83" s="83">
        <v>-6.9755770142134743E-2</v>
      </c>
      <c r="H83" s="180">
        <v>-3.1837744578372962E-2</v>
      </c>
      <c r="I83" s="83">
        <v>-0.18989786324186367</v>
      </c>
      <c r="J83" s="83">
        <v>-6.894945169537936E-2</v>
      </c>
      <c r="K83" s="84">
        <v>-0.1266716377320013</v>
      </c>
    </row>
    <row r="84" spans="1:11">
      <c r="A84" s="147" t="str">
        <f t="shared" si="3"/>
        <v>Hedge funds</v>
      </c>
      <c r="B84" s="83">
        <v>0.14474442620357167</v>
      </c>
      <c r="C84" s="83">
        <v>1.2923190112548527E-2</v>
      </c>
      <c r="D84" s="83">
        <v>-0.21014383744314163</v>
      </c>
      <c r="E84" s="83">
        <v>-0.17877065576494136</v>
      </c>
      <c r="F84" s="83">
        <v>3.2171214796350101E-2</v>
      </c>
      <c r="G84" s="83">
        <v>-0.18525165444701069</v>
      </c>
      <c r="H84" s="83">
        <v>-0.18989786324186367</v>
      </c>
      <c r="I84" s="166">
        <v>-1.4635003176341088E-2</v>
      </c>
      <c r="J84" s="83">
        <v>5.4978937232037617E-2</v>
      </c>
      <c r="K84" s="84">
        <v>-0.16025247549963151</v>
      </c>
    </row>
    <row r="85" spans="1:11">
      <c r="A85" s="147" t="str">
        <f t="shared" si="3"/>
        <v>OG</v>
      </c>
      <c r="B85" s="83">
        <v>6.6183262711402235E-2</v>
      </c>
      <c r="C85" s="83">
        <v>-6.5380819595329542E-3</v>
      </c>
      <c r="D85" s="83">
        <v>-0.14116252910046576</v>
      </c>
      <c r="E85" s="83">
        <v>-3.917155760511426E-2</v>
      </c>
      <c r="F85" s="83">
        <v>8.5983463424273654E-2</v>
      </c>
      <c r="G85" s="83">
        <v>-6.2959992559712213E-2</v>
      </c>
      <c r="H85" s="83">
        <v>-6.894945169537936E-2</v>
      </c>
      <c r="I85" s="83">
        <v>5.4978937232037617E-2</v>
      </c>
      <c r="J85" s="166">
        <v>-1.6555624847286801E-3</v>
      </c>
      <c r="K85" s="84">
        <v>-2.5157418362232065E-2</v>
      </c>
    </row>
    <row r="86" spans="1:11" ht="13.5" thickBot="1">
      <c r="A86" s="173" t="str">
        <f t="shared" si="3"/>
        <v>Commodities</v>
      </c>
      <c r="B86" s="160">
        <v>2.831353237140305E-2</v>
      </c>
      <c r="C86" s="160">
        <v>6.8147644187090933E-2</v>
      </c>
      <c r="D86" s="160">
        <v>-0.15535557954854112</v>
      </c>
      <c r="E86" s="160">
        <v>-0.24333865989396133</v>
      </c>
      <c r="F86" s="160">
        <v>-0.10060564896952384</v>
      </c>
      <c r="G86" s="160">
        <v>-0.19471578864639266</v>
      </c>
      <c r="H86" s="160">
        <v>-0.1266716377320013</v>
      </c>
      <c r="I86" s="160">
        <v>-0.16025247549963151</v>
      </c>
      <c r="J86" s="160">
        <v>-2.5157418362232065E-2</v>
      </c>
      <c r="K86" s="174">
        <v>-1.8103639682334804E-2</v>
      </c>
    </row>
    <row r="87" spans="1:11" ht="14.25" thickTop="1" thickBot="1">
      <c r="A87" s="156" t="s">
        <v>166</v>
      </c>
      <c r="B87" s="157" t="str">
        <f>A88</f>
        <v>Nominale VPV</v>
      </c>
      <c r="C87" s="157" t="str">
        <f>A89</f>
        <v>Reele VPV</v>
      </c>
      <c r="D87" s="157" t="str">
        <f>A90</f>
        <v>Credits</v>
      </c>
      <c r="E87" s="157" t="str">
        <f>A91</f>
        <v>High Yield</v>
      </c>
      <c r="F87" s="157" t="str">
        <f>A92</f>
        <v>EMD</v>
      </c>
      <c r="G87" s="157" t="str">
        <f>A93</f>
        <v>Aandelen ontw</v>
      </c>
      <c r="H87" s="157" t="str">
        <f>A94</f>
        <v>Aandelen opk</v>
      </c>
      <c r="I87" s="157" t="str">
        <f>A95</f>
        <v>Hedge funds</v>
      </c>
      <c r="J87" s="157" t="str">
        <f>A96</f>
        <v>OG</v>
      </c>
      <c r="K87" s="158" t="str">
        <f>A97</f>
        <v>Commodities</v>
      </c>
    </row>
    <row r="88" spans="1:11" ht="13.5" thickTop="1">
      <c r="A88" s="155" t="str">
        <f t="shared" ref="A88:A97" si="4">A77</f>
        <v>Nominale VPV</v>
      </c>
      <c r="B88" s="180">
        <v>-6.0570281366431888E-3</v>
      </c>
      <c r="C88" s="83">
        <v>5.3377145229641321E-2</v>
      </c>
      <c r="D88" s="83">
        <v>-8.4530754296533547E-2</v>
      </c>
      <c r="E88" s="83">
        <v>0.17840073935723941</v>
      </c>
      <c r="F88" s="83">
        <v>7.10194078967923E-2</v>
      </c>
      <c r="G88" s="83">
        <v>0.22331656833061259</v>
      </c>
      <c r="H88" s="83">
        <v>0.11698820245267752</v>
      </c>
      <c r="I88" s="83">
        <v>0.14474442620357167</v>
      </c>
      <c r="J88" s="83">
        <v>6.6183262711402235E-2</v>
      </c>
      <c r="K88" s="165">
        <v>2.831353237140305E-2</v>
      </c>
    </row>
    <row r="89" spans="1:11">
      <c r="A89" s="155" t="str">
        <f t="shared" si="4"/>
        <v>Reele VPV</v>
      </c>
      <c r="B89" s="83">
        <v>5.3377145229641321E-2</v>
      </c>
      <c r="C89" s="180">
        <v>1.855291796829972E-3</v>
      </c>
      <c r="D89" s="83">
        <v>-6.7671122147200766E-2</v>
      </c>
      <c r="E89" s="83">
        <v>5.8522057691206608E-2</v>
      </c>
      <c r="F89" s="83">
        <v>3.4837353788831807E-2</v>
      </c>
      <c r="G89" s="83">
        <v>0.18217002907431862</v>
      </c>
      <c r="H89" s="83">
        <v>9.0693811544910352E-2</v>
      </c>
      <c r="I89" s="83">
        <v>1.2923190112548527E-2</v>
      </c>
      <c r="J89" s="83">
        <v>-6.5380819595329542E-3</v>
      </c>
      <c r="K89" s="159">
        <v>6.8147644187090933E-2</v>
      </c>
    </row>
    <row r="90" spans="1:11">
      <c r="A90" s="155" t="str">
        <f t="shared" si="4"/>
        <v>Credits</v>
      </c>
      <c r="B90" s="83">
        <v>-8.4530754296533547E-2</v>
      </c>
      <c r="C90" s="83">
        <v>-6.7671122147200766E-2</v>
      </c>
      <c r="D90" s="180">
        <v>-5.2348208802963647E-3</v>
      </c>
      <c r="E90" s="83">
        <v>-9.7864925862408331E-2</v>
      </c>
      <c r="F90" s="83">
        <v>-0.21715321511850758</v>
      </c>
      <c r="G90" s="83">
        <v>-5.9143612505220267E-2</v>
      </c>
      <c r="H90" s="83">
        <v>-1.0826768083190091E-2</v>
      </c>
      <c r="I90" s="83">
        <v>-0.21014383744314163</v>
      </c>
      <c r="J90" s="83">
        <v>-0.14116252910046576</v>
      </c>
      <c r="K90" s="159">
        <v>-0.15535557954854112</v>
      </c>
    </row>
    <row r="91" spans="1:11">
      <c r="A91" s="155" t="str">
        <f t="shared" si="4"/>
        <v>High Yield</v>
      </c>
      <c r="B91" s="83">
        <v>0.17840073935723941</v>
      </c>
      <c r="C91" s="83">
        <v>5.8522057691206608E-2</v>
      </c>
      <c r="D91" s="83">
        <v>-9.7864925862408331E-2</v>
      </c>
      <c r="E91" s="180">
        <v>-3.3273833361347732E-2</v>
      </c>
      <c r="F91" s="83">
        <v>-8.6234695066643996E-2</v>
      </c>
      <c r="G91" s="83">
        <v>-5.8868876669456172E-2</v>
      </c>
      <c r="H91" s="83">
        <v>-0.12681812944521509</v>
      </c>
      <c r="I91" s="83">
        <v>-0.17877065576494136</v>
      </c>
      <c r="J91" s="83">
        <v>-3.917155760511426E-2</v>
      </c>
      <c r="K91" s="159">
        <v>-0.24333865989396133</v>
      </c>
    </row>
    <row r="92" spans="1:11">
      <c r="A92" s="155" t="str">
        <f t="shared" si="4"/>
        <v>EMD</v>
      </c>
      <c r="B92" s="83">
        <v>7.10194078967923E-2</v>
      </c>
      <c r="C92" s="83">
        <v>3.4837353788831807E-2</v>
      </c>
      <c r="D92" s="83">
        <v>-0.21715321511850758</v>
      </c>
      <c r="E92" s="83">
        <v>-8.6234695066643996E-2</v>
      </c>
      <c r="F92" s="180">
        <v>-3.2410901438320872E-3</v>
      </c>
      <c r="G92" s="83">
        <v>-9.1062292989440852E-2</v>
      </c>
      <c r="H92" s="83">
        <v>-0.11945785635465744</v>
      </c>
      <c r="I92" s="83">
        <v>3.2171214796350101E-2</v>
      </c>
      <c r="J92" s="83">
        <v>8.5983463424273654E-2</v>
      </c>
      <c r="K92" s="159">
        <v>-0.10060564896952384</v>
      </c>
    </row>
    <row r="93" spans="1:11">
      <c r="A93" s="155" t="str">
        <f t="shared" si="4"/>
        <v>Aandelen ontw</v>
      </c>
      <c r="B93" s="83">
        <v>0.22331656833061259</v>
      </c>
      <c r="C93" s="83">
        <v>0.18217002907431862</v>
      </c>
      <c r="D93" s="83">
        <v>-5.9143612505220267E-2</v>
      </c>
      <c r="E93" s="83">
        <v>-5.8868876669456172E-2</v>
      </c>
      <c r="F93" s="83">
        <v>-9.1062292989440852E-2</v>
      </c>
      <c r="G93" s="180">
        <v>-3.4227670194245163E-2</v>
      </c>
      <c r="H93" s="83">
        <v>-6.9755770142134743E-2</v>
      </c>
      <c r="I93" s="83">
        <v>-0.18525165444701069</v>
      </c>
      <c r="J93" s="83">
        <v>-6.2959992559712213E-2</v>
      </c>
      <c r="K93" s="159">
        <v>-0.19471578864639266</v>
      </c>
    </row>
    <row r="94" spans="1:11">
      <c r="A94" s="155" t="str">
        <f t="shared" si="4"/>
        <v>Aandelen opk</v>
      </c>
      <c r="B94" s="83">
        <v>0.11698820245267752</v>
      </c>
      <c r="C94" s="83">
        <v>9.0693811544910352E-2</v>
      </c>
      <c r="D94" s="83">
        <v>-1.0826768083190091E-2</v>
      </c>
      <c r="E94" s="83">
        <v>-0.12681812944521509</v>
      </c>
      <c r="F94" s="83">
        <v>-0.11945785635465744</v>
      </c>
      <c r="G94" s="83">
        <v>-6.9755770142134743E-2</v>
      </c>
      <c r="H94" s="180">
        <v>-0.18</v>
      </c>
      <c r="I94" s="83">
        <v>-0.18989786324186367</v>
      </c>
      <c r="J94" s="83">
        <v>-6.894945169537936E-2</v>
      </c>
      <c r="K94" s="159">
        <v>-0.1266716377320013</v>
      </c>
    </row>
    <row r="95" spans="1:11">
      <c r="A95" s="155" t="str">
        <f t="shared" si="4"/>
        <v>Hedge funds</v>
      </c>
      <c r="B95" s="83">
        <v>0.14474442620357167</v>
      </c>
      <c r="C95" s="83">
        <v>1.2923190112548527E-2</v>
      </c>
      <c r="D95" s="83">
        <v>-0.21014383744314163</v>
      </c>
      <c r="E95" s="83">
        <v>-0.17877065576494136</v>
      </c>
      <c r="F95" s="83">
        <v>3.2171214796350101E-2</v>
      </c>
      <c r="G95" s="83">
        <v>-0.18525165444701069</v>
      </c>
      <c r="H95" s="83">
        <v>-0.18989786324186367</v>
      </c>
      <c r="I95" s="166">
        <v>-1.4635003176341088E-2</v>
      </c>
      <c r="J95" s="83">
        <v>5.4978937232037617E-2</v>
      </c>
      <c r="K95" s="159">
        <v>-0.16025247549963151</v>
      </c>
    </row>
    <row r="96" spans="1:11">
      <c r="A96" s="155" t="str">
        <f t="shared" si="4"/>
        <v>OG</v>
      </c>
      <c r="B96" s="83">
        <v>6.6183262711402235E-2</v>
      </c>
      <c r="C96" s="83">
        <v>-6.5380819595329542E-3</v>
      </c>
      <c r="D96" s="83">
        <v>-0.14116252910046576</v>
      </c>
      <c r="E96" s="83">
        <v>-3.917155760511426E-2</v>
      </c>
      <c r="F96" s="83">
        <v>8.5983463424273654E-2</v>
      </c>
      <c r="G96" s="83">
        <v>-6.2959992559712213E-2</v>
      </c>
      <c r="H96" s="83">
        <v>-6.894945169537936E-2</v>
      </c>
      <c r="I96" s="83">
        <v>5.4978937232037617E-2</v>
      </c>
      <c r="J96" s="166">
        <v>0.1</v>
      </c>
      <c r="K96" s="159">
        <v>-2.5157418362232065E-2</v>
      </c>
    </row>
    <row r="97" spans="1:11" ht="13.5" thickBot="1">
      <c r="A97" s="155" t="str">
        <f t="shared" si="4"/>
        <v>Commodities</v>
      </c>
      <c r="B97" s="160">
        <v>2.831353237140305E-2</v>
      </c>
      <c r="C97" s="160">
        <v>6.8147644187090933E-2</v>
      </c>
      <c r="D97" s="160">
        <v>-0.15535557954854112</v>
      </c>
      <c r="E97" s="160">
        <v>-0.24333865989396133</v>
      </c>
      <c r="F97" s="160">
        <v>-0.10060564896952384</v>
      </c>
      <c r="G97" s="160">
        <v>-0.19471578864639266</v>
      </c>
      <c r="H97" s="160">
        <v>-0.1266716377320013</v>
      </c>
      <c r="I97" s="160">
        <v>-0.16025247549963151</v>
      </c>
      <c r="J97" s="160">
        <v>-2.5157418362232065E-2</v>
      </c>
      <c r="K97" s="167">
        <v>-0.1</v>
      </c>
    </row>
    <row r="98" spans="1:11" ht="14.25" thickTop="1" thickBot="1">
      <c r="A98" s="156" t="s">
        <v>165</v>
      </c>
      <c r="B98" s="163" t="str">
        <f>A99</f>
        <v>Nominale VPV</v>
      </c>
      <c r="C98" s="163" t="str">
        <f>A100</f>
        <v>Reele VPV</v>
      </c>
      <c r="D98" s="163" t="str">
        <f>A101</f>
        <v>Credits</v>
      </c>
      <c r="E98" s="163" t="str">
        <f>A102</f>
        <v>High Yield</v>
      </c>
      <c r="F98" s="163" t="str">
        <f>A103</f>
        <v>EMD</v>
      </c>
      <c r="G98" s="163" t="str">
        <f>A104</f>
        <v>Aandelen ontw</v>
      </c>
      <c r="H98" s="163" t="str">
        <f>A105</f>
        <v>Aandelen opk</v>
      </c>
      <c r="I98" s="163" t="str">
        <f>A106</f>
        <v>Hedge funds</v>
      </c>
      <c r="J98" s="163" t="str">
        <f>A107</f>
        <v>OG</v>
      </c>
      <c r="K98" s="164" t="str">
        <f>A108</f>
        <v>Commodities</v>
      </c>
    </row>
    <row r="99" spans="1:11" ht="13.5" thickTop="1">
      <c r="A99" s="261" t="str">
        <f t="shared" ref="A99:A108" si="5">A77</f>
        <v>Nominale VPV</v>
      </c>
      <c r="B99" s="264" t="s">
        <v>75</v>
      </c>
      <c r="C99" s="265" t="s">
        <v>75</v>
      </c>
      <c r="D99" s="265" t="s">
        <v>75</v>
      </c>
      <c r="E99" s="265" t="s">
        <v>75</v>
      </c>
      <c r="F99" s="265" t="s">
        <v>75</v>
      </c>
      <c r="G99" s="265" t="s">
        <v>75</v>
      </c>
      <c r="H99" s="265" t="s">
        <v>75</v>
      </c>
      <c r="I99" s="265" t="s">
        <v>75</v>
      </c>
      <c r="J99" s="265" t="s">
        <v>75</v>
      </c>
      <c r="K99" s="266" t="s">
        <v>75</v>
      </c>
    </row>
    <row r="100" spans="1:11">
      <c r="A100" s="262" t="str">
        <f t="shared" si="5"/>
        <v>Reele VPV</v>
      </c>
      <c r="B100" s="267" t="s">
        <v>75</v>
      </c>
      <c r="C100" s="225" t="s">
        <v>75</v>
      </c>
      <c r="D100" s="225" t="s">
        <v>75</v>
      </c>
      <c r="E100" s="225" t="s">
        <v>75</v>
      </c>
      <c r="F100" s="225" t="s">
        <v>75</v>
      </c>
      <c r="G100" s="225" t="s">
        <v>75</v>
      </c>
      <c r="H100" s="225" t="s">
        <v>75</v>
      </c>
      <c r="I100" s="225" t="s">
        <v>75</v>
      </c>
      <c r="J100" s="225" t="s">
        <v>75</v>
      </c>
      <c r="K100" s="268" t="s">
        <v>75</v>
      </c>
    </row>
    <row r="101" spans="1:11">
      <c r="A101" s="262" t="str">
        <f t="shared" si="5"/>
        <v>Credits</v>
      </c>
      <c r="B101" s="267" t="s">
        <v>75</v>
      </c>
      <c r="C101" s="225" t="s">
        <v>75</v>
      </c>
      <c r="D101" s="225" t="s">
        <v>75</v>
      </c>
      <c r="E101" s="225" t="s">
        <v>75</v>
      </c>
      <c r="F101" s="225" t="s">
        <v>75</v>
      </c>
      <c r="G101" s="225" t="s">
        <v>75</v>
      </c>
      <c r="H101" s="225" t="s">
        <v>75</v>
      </c>
      <c r="I101" s="225" t="s">
        <v>75</v>
      </c>
      <c r="J101" s="225" t="s">
        <v>75</v>
      </c>
      <c r="K101" s="268" t="s">
        <v>75</v>
      </c>
    </row>
    <row r="102" spans="1:11">
      <c r="A102" s="262" t="str">
        <f t="shared" si="5"/>
        <v>High Yield</v>
      </c>
      <c r="B102" s="267" t="s">
        <v>75</v>
      </c>
      <c r="C102" s="225" t="s">
        <v>75</v>
      </c>
      <c r="D102" s="225" t="s">
        <v>75</v>
      </c>
      <c r="E102" s="225" t="s">
        <v>75</v>
      </c>
      <c r="F102" s="225" t="s">
        <v>75</v>
      </c>
      <c r="G102" s="225" t="s">
        <v>75</v>
      </c>
      <c r="H102" s="225" t="s">
        <v>75</v>
      </c>
      <c r="I102" s="225" t="s">
        <v>75</v>
      </c>
      <c r="J102" s="225" t="s">
        <v>75</v>
      </c>
      <c r="K102" s="268" t="s">
        <v>75</v>
      </c>
    </row>
    <row r="103" spans="1:11">
      <c r="A103" s="262" t="str">
        <f t="shared" si="5"/>
        <v>EMD</v>
      </c>
      <c r="B103" s="267" t="s">
        <v>75</v>
      </c>
      <c r="C103" s="225" t="s">
        <v>75</v>
      </c>
      <c r="D103" s="225" t="s">
        <v>75</v>
      </c>
      <c r="E103" s="225" t="s">
        <v>75</v>
      </c>
      <c r="F103" s="225" t="s">
        <v>75</v>
      </c>
      <c r="G103" s="225" t="s">
        <v>75</v>
      </c>
      <c r="H103" s="225" t="s">
        <v>75</v>
      </c>
      <c r="I103" s="225" t="s">
        <v>75</v>
      </c>
      <c r="J103" s="225" t="s">
        <v>75</v>
      </c>
      <c r="K103" s="268" t="s">
        <v>75</v>
      </c>
    </row>
    <row r="104" spans="1:11">
      <c r="A104" s="262" t="str">
        <f t="shared" si="5"/>
        <v>Aandelen ontw</v>
      </c>
      <c r="B104" s="267" t="s">
        <v>75</v>
      </c>
      <c r="C104" s="225" t="s">
        <v>75</v>
      </c>
      <c r="D104" s="225" t="s">
        <v>75</v>
      </c>
      <c r="E104" s="225" t="s">
        <v>75</v>
      </c>
      <c r="F104" s="225" t="s">
        <v>75</v>
      </c>
      <c r="G104" s="225" t="s">
        <v>75</v>
      </c>
      <c r="H104" s="225" t="s">
        <v>75</v>
      </c>
      <c r="I104" s="225" t="s">
        <v>75</v>
      </c>
      <c r="J104" s="225" t="s">
        <v>75</v>
      </c>
      <c r="K104" s="268" t="s">
        <v>75</v>
      </c>
    </row>
    <row r="105" spans="1:11">
      <c r="A105" s="262" t="str">
        <f t="shared" si="5"/>
        <v>Aandelen opk</v>
      </c>
      <c r="B105" s="267" t="s">
        <v>75</v>
      </c>
      <c r="C105" s="225" t="s">
        <v>75</v>
      </c>
      <c r="D105" s="225" t="s">
        <v>75</v>
      </c>
      <c r="E105" s="225" t="s">
        <v>75</v>
      </c>
      <c r="F105" s="225" t="s">
        <v>75</v>
      </c>
      <c r="G105" s="225" t="s">
        <v>75</v>
      </c>
      <c r="H105" s="225" t="s">
        <v>75</v>
      </c>
      <c r="I105" s="225" t="s">
        <v>75</v>
      </c>
      <c r="J105" s="225" t="s">
        <v>75</v>
      </c>
      <c r="K105" s="268" t="s">
        <v>75</v>
      </c>
    </row>
    <row r="106" spans="1:11">
      <c r="A106" s="262" t="str">
        <f t="shared" si="5"/>
        <v>Hedge funds</v>
      </c>
      <c r="B106" s="267" t="s">
        <v>75</v>
      </c>
      <c r="C106" s="225" t="s">
        <v>75</v>
      </c>
      <c r="D106" s="225" t="s">
        <v>75</v>
      </c>
      <c r="E106" s="225" t="s">
        <v>75</v>
      </c>
      <c r="F106" s="225" t="s">
        <v>75</v>
      </c>
      <c r="G106" s="225" t="s">
        <v>75</v>
      </c>
      <c r="H106" s="225" t="s">
        <v>75</v>
      </c>
      <c r="I106" s="225" t="s">
        <v>75</v>
      </c>
      <c r="J106" s="225" t="s">
        <v>75</v>
      </c>
      <c r="K106" s="268" t="s">
        <v>75</v>
      </c>
    </row>
    <row r="107" spans="1:11">
      <c r="A107" s="262" t="str">
        <f t="shared" si="5"/>
        <v>OG</v>
      </c>
      <c r="B107" s="267" t="s">
        <v>75</v>
      </c>
      <c r="C107" s="225" t="s">
        <v>75</v>
      </c>
      <c r="D107" s="225" t="s">
        <v>75</v>
      </c>
      <c r="E107" s="225" t="s">
        <v>75</v>
      </c>
      <c r="F107" s="225" t="s">
        <v>75</v>
      </c>
      <c r="G107" s="225" t="s">
        <v>75</v>
      </c>
      <c r="H107" s="225" t="s">
        <v>75</v>
      </c>
      <c r="I107" s="225" t="s">
        <v>75</v>
      </c>
      <c r="J107" s="225" t="s">
        <v>75</v>
      </c>
      <c r="K107" s="268" t="s">
        <v>75</v>
      </c>
    </row>
    <row r="108" spans="1:11" ht="13.5" thickBot="1">
      <c r="A108" s="263" t="str">
        <f t="shared" si="5"/>
        <v>Commodities</v>
      </c>
      <c r="B108" s="269" t="s">
        <v>75</v>
      </c>
      <c r="C108" s="270" t="s">
        <v>75</v>
      </c>
      <c r="D108" s="270" t="s">
        <v>75</v>
      </c>
      <c r="E108" s="270" t="s">
        <v>75</v>
      </c>
      <c r="F108" s="270" t="s">
        <v>75</v>
      </c>
      <c r="G108" s="270" t="s">
        <v>75</v>
      </c>
      <c r="H108" s="270" t="s">
        <v>75</v>
      </c>
      <c r="I108" s="270" t="s">
        <v>75</v>
      </c>
      <c r="J108" s="270" t="s">
        <v>75</v>
      </c>
      <c r="K108" s="271" t="s">
        <v>75</v>
      </c>
    </row>
    <row r="109" spans="1:11" ht="13.5" thickTop="1"/>
    <row r="115" spans="1:2">
      <c r="A115" s="2" t="s">
        <v>170</v>
      </c>
    </row>
    <row r="116" spans="1:2">
      <c r="A116" s="58" t="s">
        <v>161</v>
      </c>
      <c r="B116" s="7" t="s">
        <v>171</v>
      </c>
    </row>
    <row r="117" spans="1:2">
      <c r="A117" s="188" t="str">
        <f>A38</f>
        <v>Nominale VPV</v>
      </c>
      <c r="B117" s="16">
        <v>-5.0000000000000001E-3</v>
      </c>
    </row>
    <row r="118" spans="1:2">
      <c r="A118" s="188" t="str">
        <f t="shared" ref="A118:A126" si="6">A39</f>
        <v>Reele VPV</v>
      </c>
      <c r="B118" s="16">
        <v>-4.2615162118704336E-2</v>
      </c>
    </row>
    <row r="119" spans="1:2">
      <c r="A119" s="188" t="str">
        <f t="shared" si="6"/>
        <v>Credits</v>
      </c>
      <c r="B119" s="16">
        <v>-6.7202989212353972E-2</v>
      </c>
    </row>
    <row r="120" spans="1:2">
      <c r="A120" s="188" t="str">
        <f t="shared" si="6"/>
        <v>High Yield</v>
      </c>
      <c r="B120" s="16">
        <v>-1.4963873800506802E-3</v>
      </c>
    </row>
    <row r="121" spans="1:2">
      <c r="A121" s="188" t="str">
        <f t="shared" si="6"/>
        <v>EMD</v>
      </c>
      <c r="B121" s="16">
        <v>-6.5282629627811395E-3</v>
      </c>
    </row>
    <row r="122" spans="1:2">
      <c r="A122" s="188" t="str">
        <f t="shared" si="6"/>
        <v>Aandelen ontw</v>
      </c>
      <c r="B122" s="16">
        <v>-1.4356314621335145E-2</v>
      </c>
    </row>
    <row r="123" spans="1:2">
      <c r="A123" s="188" t="str">
        <f t="shared" si="6"/>
        <v>Aandelen opk</v>
      </c>
      <c r="B123" s="16">
        <v>-0.03</v>
      </c>
    </row>
    <row r="124" spans="1:2">
      <c r="A124" s="188" t="str">
        <f t="shared" si="6"/>
        <v>Hedge funds</v>
      </c>
      <c r="B124" s="16">
        <v>0</v>
      </c>
    </row>
    <row r="125" spans="1:2">
      <c r="A125" s="188" t="str">
        <f t="shared" si="6"/>
        <v>OG</v>
      </c>
      <c r="B125" s="16">
        <v>-2.2615162118704332E-2</v>
      </c>
    </row>
    <row r="126" spans="1:2">
      <c r="A126" s="57" t="str">
        <f t="shared" si="6"/>
        <v>Commodities</v>
      </c>
      <c r="B126" s="8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53" t="str">
        <f>A130</f>
        <v>Nominale VPV</v>
      </c>
      <c r="C129" s="153" t="str">
        <f>A131</f>
        <v>Reele VPV</v>
      </c>
      <c r="D129" s="153" t="str">
        <f>A132</f>
        <v>Credits</v>
      </c>
      <c r="E129" s="153" t="str">
        <f>A133</f>
        <v>High Yield</v>
      </c>
      <c r="F129" s="153" t="str">
        <f>A134</f>
        <v>EMD</v>
      </c>
      <c r="G129" s="153" t="str">
        <f>A135</f>
        <v>Aandelen ontw</v>
      </c>
      <c r="H129" s="153" t="str">
        <f>A136</f>
        <v>Aandelen opk</v>
      </c>
      <c r="I129" s="153" t="str">
        <f>A137</f>
        <v>Hedge funds</v>
      </c>
      <c r="J129" s="153" t="str">
        <f>A138</f>
        <v>OG</v>
      </c>
      <c r="K129" s="154" t="str">
        <f>A139</f>
        <v>Commodities</v>
      </c>
    </row>
    <row r="130" spans="1:11">
      <c r="A130" s="10" t="str">
        <f>A88</f>
        <v>Nominale VPV</v>
      </c>
      <c r="B130" s="151">
        <v>-4.4452634636536759E-3</v>
      </c>
      <c r="C130" s="83">
        <v>8.7441982900903215E-3</v>
      </c>
      <c r="D130" s="83">
        <v>-4.9339554768319666E-2</v>
      </c>
      <c r="E130" s="83">
        <v>1.2956951776552206E-2</v>
      </c>
      <c r="F130" s="83">
        <v>0.12280562830238999</v>
      </c>
      <c r="G130" s="83">
        <v>7.888144630971039E-2</v>
      </c>
      <c r="H130" s="83">
        <v>2.0536738705801028E-2</v>
      </c>
      <c r="I130" s="83">
        <v>0.20606610244590901</v>
      </c>
      <c r="J130" s="83">
        <v>0.14011276432957054</v>
      </c>
      <c r="K130" s="84">
        <v>0.15047956318851441</v>
      </c>
    </row>
    <row r="131" spans="1:11">
      <c r="A131" s="147" t="str">
        <f t="shared" ref="A131:A139" si="7">A89</f>
        <v>Reele VPV</v>
      </c>
      <c r="B131" s="83">
        <v>8.7441982900903215E-3</v>
      </c>
      <c r="C131" s="151">
        <v>-1.2489110566723652E-2</v>
      </c>
      <c r="D131" s="83">
        <v>-7.8968305578049042E-2</v>
      </c>
      <c r="E131" s="83">
        <v>6.0426382116282595E-4</v>
      </c>
      <c r="F131" s="83">
        <v>0.10492325236742081</v>
      </c>
      <c r="G131" s="83">
        <v>5.6290840075746598E-2</v>
      </c>
      <c r="H131" s="83">
        <v>-1.5578453646869446E-2</v>
      </c>
      <c r="I131" s="83">
        <v>8.388996510493392E-2</v>
      </c>
      <c r="J131" s="83">
        <v>5.6324160721505756E-2</v>
      </c>
      <c r="K131" s="84">
        <v>0.15211552114400606</v>
      </c>
    </row>
    <row r="132" spans="1:11">
      <c r="A132" s="147" t="str">
        <f t="shared" si="7"/>
        <v>Credits</v>
      </c>
      <c r="B132" s="83">
        <v>-4.9339554768319666E-2</v>
      </c>
      <c r="C132" s="83">
        <v>-7.8968305578049042E-2</v>
      </c>
      <c r="D132" s="151">
        <v>-2.706363543105883E-3</v>
      </c>
      <c r="E132" s="83">
        <v>-0.10623169046092773</v>
      </c>
      <c r="F132" s="83">
        <v>-0.14155774979361152</v>
      </c>
      <c r="G132" s="83">
        <v>-5.0668020034901229E-2</v>
      </c>
      <c r="H132" s="83">
        <v>-1.3786713207860615E-2</v>
      </c>
      <c r="I132" s="83">
        <v>-0.21194265883981259</v>
      </c>
      <c r="J132" s="83">
        <v>-0.18953914181475942</v>
      </c>
      <c r="K132" s="84">
        <v>-0.13698576121952513</v>
      </c>
    </row>
    <row r="133" spans="1:11">
      <c r="A133" s="147" t="str">
        <f t="shared" si="7"/>
        <v>High Yield</v>
      </c>
      <c r="B133" s="83">
        <v>1.2956951776552206E-2</v>
      </c>
      <c r="C133" s="83">
        <v>6.0426382116282595E-4</v>
      </c>
      <c r="D133" s="83">
        <v>-0.10623169046092773</v>
      </c>
      <c r="E133" s="151">
        <v>-1.7442087987237814E-2</v>
      </c>
      <c r="F133" s="83">
        <v>-6.5893962027107067E-3</v>
      </c>
      <c r="G133" s="83">
        <v>-0.143476943707742</v>
      </c>
      <c r="H133" s="83">
        <v>-0.11434838152979443</v>
      </c>
      <c r="I133" s="83">
        <v>-3.4443218317613822E-2</v>
      </c>
      <c r="J133" s="83">
        <v>-6.7853109690286184E-2</v>
      </c>
      <c r="K133" s="84">
        <v>-0.17277427161463785</v>
      </c>
    </row>
    <row r="134" spans="1:11">
      <c r="A134" s="147" t="str">
        <f t="shared" si="7"/>
        <v>EMD</v>
      </c>
      <c r="B134" s="83">
        <v>0.12280562830238999</v>
      </c>
      <c r="C134" s="83">
        <v>0.10492325236742081</v>
      </c>
      <c r="D134" s="83">
        <v>-0.14155774979361152</v>
      </c>
      <c r="E134" s="83">
        <v>-6.5893962027107067E-3</v>
      </c>
      <c r="F134" s="151">
        <v>9.8520155870215897E-4</v>
      </c>
      <c r="G134" s="83">
        <v>-8.595312319249071E-2</v>
      </c>
      <c r="H134" s="83">
        <v>-1.5001410389243408E-2</v>
      </c>
      <c r="I134" s="83">
        <v>1.8350200165725084E-2</v>
      </c>
      <c r="J134" s="83">
        <v>-6.8151783508844377E-2</v>
      </c>
      <c r="K134" s="84">
        <v>-0.14271150902962326</v>
      </c>
    </row>
    <row r="135" spans="1:11">
      <c r="A135" s="147" t="str">
        <f t="shared" si="7"/>
        <v>Aandelen ontw</v>
      </c>
      <c r="B135" s="83">
        <v>7.888144630971039E-2</v>
      </c>
      <c r="C135" s="83">
        <v>5.6290840075746598E-2</v>
      </c>
      <c r="D135" s="83">
        <v>-5.0668020034901229E-2</v>
      </c>
      <c r="E135" s="83">
        <v>-0.143476943707742</v>
      </c>
      <c r="F135" s="83">
        <v>-8.595312319249071E-2</v>
      </c>
      <c r="G135" s="151">
        <v>-3.6806140284931677E-2</v>
      </c>
      <c r="H135" s="83">
        <v>-0.13411329500608138</v>
      </c>
      <c r="I135" s="83">
        <v>-6.395250688912657E-2</v>
      </c>
      <c r="J135" s="83">
        <v>-4.3385699574238039E-2</v>
      </c>
      <c r="K135" s="84">
        <v>-0.14433234480063456</v>
      </c>
    </row>
    <row r="136" spans="1:11">
      <c r="A136" s="147" t="str">
        <f t="shared" si="7"/>
        <v>Aandelen opk</v>
      </c>
      <c r="B136" s="83">
        <v>2.0536738705801028E-2</v>
      </c>
      <c r="C136" s="83">
        <v>-1.5578453646869446E-2</v>
      </c>
      <c r="D136" s="83">
        <v>-1.3786713207860615E-2</v>
      </c>
      <c r="E136" s="83">
        <v>-0.11434838152979443</v>
      </c>
      <c r="F136" s="83">
        <v>-1.5001410389243408E-2</v>
      </c>
      <c r="G136" s="83">
        <v>-0.13411329500608138</v>
      </c>
      <c r="H136" s="151">
        <v>-2.4024513892395571E-2</v>
      </c>
      <c r="I136" s="83">
        <v>-3.24415603390657E-2</v>
      </c>
      <c r="J136" s="83">
        <v>-4.0330896746586908E-2</v>
      </c>
      <c r="K136" s="84">
        <v>-0.12811111916728496</v>
      </c>
    </row>
    <row r="137" spans="1:11">
      <c r="A137" s="147" t="str">
        <f t="shared" si="7"/>
        <v>Hedge funds</v>
      </c>
      <c r="B137" s="83">
        <v>0.20606610244590901</v>
      </c>
      <c r="C137" s="83">
        <v>8.388996510493392E-2</v>
      </c>
      <c r="D137" s="83">
        <v>-0.21194265883981259</v>
      </c>
      <c r="E137" s="83">
        <v>-3.4443218317613822E-2</v>
      </c>
      <c r="F137" s="83">
        <v>1.8350200165725084E-2</v>
      </c>
      <c r="G137" s="83">
        <v>-6.395250688912657E-2</v>
      </c>
      <c r="H137" s="83">
        <v>-3.24415603390657E-2</v>
      </c>
      <c r="I137" s="166">
        <v>0.05</v>
      </c>
      <c r="J137" s="83">
        <v>-0.14615165313209905</v>
      </c>
      <c r="K137" s="84">
        <v>-0.2894409383542384</v>
      </c>
    </row>
    <row r="138" spans="1:11">
      <c r="A138" s="147" t="str">
        <f t="shared" si="7"/>
        <v>OG</v>
      </c>
      <c r="B138" s="83">
        <v>0.14011276432957054</v>
      </c>
      <c r="C138" s="83">
        <v>5.6324160721505756E-2</v>
      </c>
      <c r="D138" s="83">
        <v>-0.18953914181475942</v>
      </c>
      <c r="E138" s="83">
        <v>-6.7853109690286184E-2</v>
      </c>
      <c r="F138" s="83">
        <v>-6.8151783508844377E-2</v>
      </c>
      <c r="G138" s="83">
        <v>-4.3385699574238039E-2</v>
      </c>
      <c r="H138" s="83">
        <v>-4.0330896746586908E-2</v>
      </c>
      <c r="I138" s="83">
        <v>-0.14615165313209905</v>
      </c>
      <c r="J138" s="166">
        <v>-1.0093826837884137E-2</v>
      </c>
      <c r="K138" s="84">
        <v>-0.15122033452681916</v>
      </c>
    </row>
    <row r="139" spans="1:11">
      <c r="A139" s="146" t="str">
        <f t="shared" si="7"/>
        <v>Commodities</v>
      </c>
      <c r="B139" s="86">
        <v>0.15047956318851441</v>
      </c>
      <c r="C139" s="86">
        <v>0.15211552114400606</v>
      </c>
      <c r="D139" s="86">
        <v>-0.13698576121952513</v>
      </c>
      <c r="E139" s="86">
        <v>-0.17277427161463785</v>
      </c>
      <c r="F139" s="86">
        <v>-0.14271150902962326</v>
      </c>
      <c r="G139" s="86">
        <v>-0.14433234480063456</v>
      </c>
      <c r="H139" s="86">
        <v>-0.12811111916728496</v>
      </c>
      <c r="I139" s="86">
        <v>-0.2894409383542384</v>
      </c>
      <c r="J139" s="86">
        <v>-0.15122033452681916</v>
      </c>
      <c r="K139" s="187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9" enableFormatConditionsCalculation="0">
    <tabColor indexed="15"/>
  </sheetPr>
  <dimension ref="A1:Z157"/>
  <sheetViews>
    <sheetView zoomScale="75" workbookViewId="0">
      <selection activeCell="M16" sqref="M7:M16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visies'!D2</f>
        <v xml:space="preserve">Vermogenseffect </v>
      </c>
      <c r="C1" s="3" t="s">
        <v>129</v>
      </c>
      <c r="D1" s="25">
        <v>3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02"/>
      <c r="B5" s="144"/>
      <c r="C5" s="145"/>
      <c r="D5" s="145"/>
      <c r="E5" s="145"/>
      <c r="F5" s="145"/>
      <c r="G5" s="145"/>
      <c r="H5" s="145"/>
      <c r="I5" s="145"/>
      <c r="J5" s="145"/>
      <c r="K5" s="140"/>
      <c r="M5" s="3"/>
    </row>
    <row r="6" spans="1:25">
      <c r="A6" s="9" t="s">
        <v>145</v>
      </c>
      <c r="B6" s="141" t="s">
        <v>77</v>
      </c>
      <c r="C6" s="51" t="s">
        <v>78</v>
      </c>
      <c r="D6" s="51" t="s">
        <v>73</v>
      </c>
      <c r="E6" s="51" t="s">
        <v>4</v>
      </c>
      <c r="F6" s="51" t="s">
        <v>0</v>
      </c>
      <c r="G6" s="51" t="s">
        <v>82</v>
      </c>
      <c r="H6" s="51" t="s">
        <v>83</v>
      </c>
      <c r="I6" s="51" t="s">
        <v>5</v>
      </c>
      <c r="J6" s="51" t="s">
        <v>1</v>
      </c>
      <c r="K6" s="52" t="s">
        <v>6</v>
      </c>
      <c r="M6" s="3"/>
      <c r="X6" s="3" t="s">
        <v>146</v>
      </c>
    </row>
    <row r="7" spans="1:25">
      <c r="A7" s="147" t="s">
        <v>77</v>
      </c>
      <c r="B7" s="224">
        <v>1</v>
      </c>
      <c r="C7" s="225">
        <v>0</v>
      </c>
      <c r="D7" s="225">
        <v>0</v>
      </c>
      <c r="E7" s="225">
        <v>0</v>
      </c>
      <c r="F7" s="225">
        <v>0</v>
      </c>
      <c r="G7" s="225">
        <v>0</v>
      </c>
      <c r="H7" s="225">
        <v>0</v>
      </c>
      <c r="I7" s="225">
        <v>0</v>
      </c>
      <c r="J7" s="225">
        <v>0</v>
      </c>
      <c r="K7" s="226">
        <v>0</v>
      </c>
      <c r="X7" t="s">
        <v>148</v>
      </c>
      <c r="Y7">
        <v>-20</v>
      </c>
    </row>
    <row r="8" spans="1:25">
      <c r="A8" s="147" t="s">
        <v>78</v>
      </c>
      <c r="B8" s="224">
        <v>0</v>
      </c>
      <c r="C8" s="225">
        <v>1</v>
      </c>
      <c r="D8" s="225">
        <v>0</v>
      </c>
      <c r="E8" s="225">
        <v>0</v>
      </c>
      <c r="F8" s="225">
        <v>0</v>
      </c>
      <c r="G8" s="225">
        <v>0</v>
      </c>
      <c r="H8" s="225">
        <v>0</v>
      </c>
      <c r="I8" s="225">
        <v>0</v>
      </c>
      <c r="J8" s="225">
        <v>0</v>
      </c>
      <c r="K8" s="226">
        <v>0</v>
      </c>
      <c r="X8" t="s">
        <v>149</v>
      </c>
      <c r="Y8">
        <v>-10</v>
      </c>
    </row>
    <row r="9" spans="1:25">
      <c r="A9" s="147" t="s">
        <v>73</v>
      </c>
      <c r="B9" s="224">
        <v>0</v>
      </c>
      <c r="C9" s="225">
        <v>0</v>
      </c>
      <c r="D9" s="225">
        <v>1</v>
      </c>
      <c r="E9" s="225">
        <v>0</v>
      </c>
      <c r="F9" s="225">
        <v>0</v>
      </c>
      <c r="G9" s="225">
        <v>0</v>
      </c>
      <c r="H9" s="225">
        <v>0</v>
      </c>
      <c r="I9" s="225">
        <v>0</v>
      </c>
      <c r="J9" s="225">
        <v>0</v>
      </c>
      <c r="K9" s="226">
        <v>0</v>
      </c>
      <c r="X9" t="s">
        <v>147</v>
      </c>
      <c r="Y9">
        <v>0</v>
      </c>
    </row>
    <row r="10" spans="1:25">
      <c r="A10" s="147" t="s">
        <v>4</v>
      </c>
      <c r="B10" s="224">
        <v>0</v>
      </c>
      <c r="C10" s="225">
        <v>0</v>
      </c>
      <c r="D10" s="225">
        <v>0</v>
      </c>
      <c r="E10" s="225">
        <v>1</v>
      </c>
      <c r="F10" s="225">
        <v>0</v>
      </c>
      <c r="G10" s="225">
        <v>0</v>
      </c>
      <c r="H10" s="225">
        <v>0</v>
      </c>
      <c r="I10" s="225">
        <v>0</v>
      </c>
      <c r="J10" s="225">
        <v>0</v>
      </c>
      <c r="K10" s="226">
        <v>0</v>
      </c>
      <c r="X10" t="s">
        <v>151</v>
      </c>
      <c r="Y10">
        <v>10</v>
      </c>
    </row>
    <row r="11" spans="1:25">
      <c r="A11" s="147" t="s">
        <v>0</v>
      </c>
      <c r="B11" s="224">
        <v>0</v>
      </c>
      <c r="C11" s="225">
        <v>0</v>
      </c>
      <c r="D11" s="225">
        <v>0</v>
      </c>
      <c r="E11" s="225">
        <v>0</v>
      </c>
      <c r="F11" s="225">
        <v>1</v>
      </c>
      <c r="G11" s="225">
        <v>0</v>
      </c>
      <c r="H11" s="225">
        <v>0</v>
      </c>
      <c r="I11" s="225">
        <v>0</v>
      </c>
      <c r="J11" s="225">
        <v>0</v>
      </c>
      <c r="K11" s="226">
        <v>0</v>
      </c>
      <c r="X11" t="s">
        <v>152</v>
      </c>
      <c r="Y11">
        <v>20</v>
      </c>
    </row>
    <row r="12" spans="1:25">
      <c r="A12" s="147" t="s">
        <v>82</v>
      </c>
      <c r="B12" s="224">
        <v>0</v>
      </c>
      <c r="C12" s="225">
        <v>0</v>
      </c>
      <c r="D12" s="225">
        <v>0</v>
      </c>
      <c r="E12" s="225">
        <v>0</v>
      </c>
      <c r="F12" s="225">
        <v>0</v>
      </c>
      <c r="G12" s="225">
        <v>1</v>
      </c>
      <c r="H12" s="225">
        <v>0</v>
      </c>
      <c r="I12" s="225">
        <v>0</v>
      </c>
      <c r="J12" s="225">
        <v>0</v>
      </c>
      <c r="K12" s="226">
        <v>0</v>
      </c>
      <c r="X12" t="s">
        <v>150</v>
      </c>
      <c r="Y12">
        <v>-99</v>
      </c>
    </row>
    <row r="13" spans="1:25">
      <c r="A13" s="147" t="s">
        <v>83</v>
      </c>
      <c r="B13" s="224">
        <v>0</v>
      </c>
      <c r="C13" s="225">
        <v>0</v>
      </c>
      <c r="D13" s="225">
        <v>0</v>
      </c>
      <c r="E13" s="225">
        <v>0</v>
      </c>
      <c r="F13" s="225">
        <v>0</v>
      </c>
      <c r="G13" s="225">
        <v>0</v>
      </c>
      <c r="H13" s="225">
        <v>1</v>
      </c>
      <c r="I13" s="225">
        <v>0</v>
      </c>
      <c r="J13" s="225">
        <v>0</v>
      </c>
      <c r="K13" s="226">
        <v>0</v>
      </c>
    </row>
    <row r="14" spans="1:25">
      <c r="A14" s="147" t="s">
        <v>5</v>
      </c>
      <c r="B14" s="224">
        <v>0</v>
      </c>
      <c r="C14" s="225">
        <v>0</v>
      </c>
      <c r="D14" s="225">
        <v>0</v>
      </c>
      <c r="E14" s="225">
        <v>0</v>
      </c>
      <c r="F14" s="225">
        <v>0</v>
      </c>
      <c r="G14" s="225">
        <v>0</v>
      </c>
      <c r="H14" s="225">
        <v>0</v>
      </c>
      <c r="I14" s="225">
        <v>1</v>
      </c>
      <c r="J14" s="225">
        <v>0</v>
      </c>
      <c r="K14" s="226">
        <v>0</v>
      </c>
    </row>
    <row r="15" spans="1:25">
      <c r="A15" s="147" t="s">
        <v>1</v>
      </c>
      <c r="B15" s="224">
        <v>0</v>
      </c>
      <c r="C15" s="225">
        <v>0</v>
      </c>
      <c r="D15" s="225">
        <v>0</v>
      </c>
      <c r="E15" s="225">
        <v>0</v>
      </c>
      <c r="F15" s="225">
        <v>0</v>
      </c>
      <c r="G15" s="225">
        <v>0</v>
      </c>
      <c r="H15" s="225">
        <v>0</v>
      </c>
      <c r="I15" s="225">
        <v>0</v>
      </c>
      <c r="J15" s="225">
        <v>1</v>
      </c>
      <c r="K15" s="226">
        <v>0</v>
      </c>
    </row>
    <row r="16" spans="1:25">
      <c r="A16" s="146" t="s">
        <v>6</v>
      </c>
      <c r="B16" s="227">
        <v>0</v>
      </c>
      <c r="C16" s="228">
        <v>0</v>
      </c>
      <c r="D16" s="228">
        <v>0</v>
      </c>
      <c r="E16" s="228">
        <v>0</v>
      </c>
      <c r="F16" s="228">
        <v>0</v>
      </c>
      <c r="G16" s="228">
        <v>0</v>
      </c>
      <c r="H16" s="228">
        <v>0</v>
      </c>
      <c r="I16" s="228">
        <v>0</v>
      </c>
      <c r="J16" s="228">
        <v>0</v>
      </c>
      <c r="K16" s="229">
        <v>1</v>
      </c>
    </row>
    <row r="18" spans="1:26">
      <c r="A18" s="2" t="s">
        <v>160</v>
      </c>
    </row>
    <row r="19" spans="1:26">
      <c r="A19" s="148"/>
      <c r="B19" s="145"/>
      <c r="C19" s="145"/>
      <c r="D19" s="145"/>
      <c r="E19" s="145"/>
      <c r="F19" s="145"/>
      <c r="G19" s="145"/>
      <c r="H19" s="145"/>
      <c r="I19" s="145"/>
      <c r="J19" s="145"/>
      <c r="K19" s="4"/>
    </row>
    <row r="20" spans="1:26">
      <c r="A20" s="146" t="s">
        <v>145</v>
      </c>
      <c r="B20" s="51" t="s">
        <v>77</v>
      </c>
      <c r="C20" s="51" t="s">
        <v>78</v>
      </c>
      <c r="D20" s="51" t="s">
        <v>73</v>
      </c>
      <c r="E20" s="51" t="s">
        <v>4</v>
      </c>
      <c r="F20" s="51" t="s">
        <v>0</v>
      </c>
      <c r="G20" s="51" t="s">
        <v>82</v>
      </c>
      <c r="H20" s="51" t="s">
        <v>83</v>
      </c>
      <c r="I20" s="51" t="s">
        <v>5</v>
      </c>
      <c r="J20" s="51" t="s">
        <v>1</v>
      </c>
      <c r="K20" s="52" t="s">
        <v>6</v>
      </c>
    </row>
    <row r="21" spans="1:26">
      <c r="A21" s="147" t="s">
        <v>77</v>
      </c>
      <c r="B21" s="225">
        <v>1</v>
      </c>
      <c r="C21" s="225">
        <v>0</v>
      </c>
      <c r="D21" s="225">
        <v>0</v>
      </c>
      <c r="E21" s="225">
        <v>0</v>
      </c>
      <c r="F21" s="225">
        <v>0</v>
      </c>
      <c r="G21" s="225">
        <v>0</v>
      </c>
      <c r="H21" s="225">
        <v>0</v>
      </c>
      <c r="I21" s="225">
        <v>0</v>
      </c>
      <c r="J21" s="225">
        <v>0</v>
      </c>
      <c r="K21" s="230">
        <v>0</v>
      </c>
    </row>
    <row r="22" spans="1:26">
      <c r="A22" s="147" t="s">
        <v>78</v>
      </c>
      <c r="B22" s="225">
        <v>0</v>
      </c>
      <c r="C22" s="225">
        <v>1</v>
      </c>
      <c r="D22" s="225">
        <v>0</v>
      </c>
      <c r="E22" s="225">
        <v>0</v>
      </c>
      <c r="F22" s="225">
        <v>0</v>
      </c>
      <c r="G22" s="225">
        <v>0</v>
      </c>
      <c r="H22" s="225">
        <v>0</v>
      </c>
      <c r="I22" s="225">
        <v>0</v>
      </c>
      <c r="J22" s="225">
        <v>0</v>
      </c>
      <c r="K22" s="226">
        <v>0</v>
      </c>
    </row>
    <row r="23" spans="1:26">
      <c r="A23" s="147" t="s">
        <v>73</v>
      </c>
      <c r="B23" s="225">
        <v>0</v>
      </c>
      <c r="C23" s="225">
        <v>0</v>
      </c>
      <c r="D23" s="225">
        <v>1</v>
      </c>
      <c r="E23" s="225">
        <v>0</v>
      </c>
      <c r="F23" s="225">
        <v>0</v>
      </c>
      <c r="G23" s="225">
        <v>0</v>
      </c>
      <c r="H23" s="225">
        <v>0</v>
      </c>
      <c r="I23" s="225">
        <v>0</v>
      </c>
      <c r="J23" s="225">
        <v>0</v>
      </c>
      <c r="K23" s="226">
        <v>0</v>
      </c>
    </row>
    <row r="24" spans="1:26">
      <c r="A24" s="147" t="s">
        <v>4</v>
      </c>
      <c r="B24" s="225">
        <v>0</v>
      </c>
      <c r="C24" s="225">
        <v>0</v>
      </c>
      <c r="D24" s="225">
        <v>0</v>
      </c>
      <c r="E24" s="225">
        <v>1</v>
      </c>
      <c r="F24" s="225">
        <v>0</v>
      </c>
      <c r="G24" s="225">
        <v>0</v>
      </c>
      <c r="H24" s="225">
        <v>0</v>
      </c>
      <c r="I24" s="225">
        <v>0</v>
      </c>
      <c r="J24" s="225">
        <v>0</v>
      </c>
      <c r="K24" s="226">
        <v>0</v>
      </c>
    </row>
    <row r="25" spans="1:26">
      <c r="A25" s="147" t="s">
        <v>0</v>
      </c>
      <c r="B25" s="225">
        <v>0</v>
      </c>
      <c r="C25" s="225">
        <v>0</v>
      </c>
      <c r="D25" s="225">
        <v>0</v>
      </c>
      <c r="E25" s="225">
        <v>0</v>
      </c>
      <c r="F25" s="225">
        <v>1</v>
      </c>
      <c r="G25" s="225">
        <v>0</v>
      </c>
      <c r="H25" s="225">
        <v>0</v>
      </c>
      <c r="I25" s="225">
        <v>0</v>
      </c>
      <c r="J25" s="225">
        <v>0</v>
      </c>
      <c r="K25" s="226">
        <v>0</v>
      </c>
    </row>
    <row r="26" spans="1:26">
      <c r="A26" s="147" t="s">
        <v>82</v>
      </c>
      <c r="B26" s="225">
        <v>0</v>
      </c>
      <c r="C26" s="225">
        <v>0</v>
      </c>
      <c r="D26" s="225">
        <v>0</v>
      </c>
      <c r="E26" s="225">
        <v>0</v>
      </c>
      <c r="F26" s="225">
        <v>0</v>
      </c>
      <c r="G26" s="225">
        <v>1</v>
      </c>
      <c r="H26" s="225">
        <v>0</v>
      </c>
      <c r="I26" s="225">
        <v>0</v>
      </c>
      <c r="J26" s="225">
        <v>0</v>
      </c>
      <c r="K26" s="226">
        <v>0</v>
      </c>
    </row>
    <row r="27" spans="1:26">
      <c r="A27" s="147" t="s">
        <v>83</v>
      </c>
      <c r="B27" s="225">
        <v>0</v>
      </c>
      <c r="C27" s="225">
        <v>0</v>
      </c>
      <c r="D27" s="225">
        <v>0</v>
      </c>
      <c r="E27" s="225">
        <v>0</v>
      </c>
      <c r="F27" s="225">
        <v>0</v>
      </c>
      <c r="G27" s="225">
        <v>0</v>
      </c>
      <c r="H27" s="225">
        <v>1</v>
      </c>
      <c r="I27" s="225">
        <v>0</v>
      </c>
      <c r="J27" s="225">
        <v>0</v>
      </c>
      <c r="K27" s="226">
        <v>0</v>
      </c>
    </row>
    <row r="28" spans="1:26">
      <c r="A28" s="147" t="s">
        <v>5</v>
      </c>
      <c r="B28" s="225">
        <v>0</v>
      </c>
      <c r="C28" s="225">
        <v>0</v>
      </c>
      <c r="D28" s="225">
        <v>0</v>
      </c>
      <c r="E28" s="225">
        <v>0</v>
      </c>
      <c r="F28" s="225">
        <v>0</v>
      </c>
      <c r="G28" s="225">
        <v>0</v>
      </c>
      <c r="H28" s="225">
        <v>0</v>
      </c>
      <c r="I28" s="225">
        <v>1</v>
      </c>
      <c r="J28" s="225">
        <v>0</v>
      </c>
      <c r="K28" s="226">
        <v>0</v>
      </c>
    </row>
    <row r="29" spans="1:26">
      <c r="A29" s="147" t="s">
        <v>1</v>
      </c>
      <c r="B29" s="225">
        <v>0</v>
      </c>
      <c r="C29" s="225">
        <v>0</v>
      </c>
      <c r="D29" s="225">
        <v>0</v>
      </c>
      <c r="E29" s="225">
        <v>0</v>
      </c>
      <c r="F29" s="225">
        <v>0</v>
      </c>
      <c r="G29" s="225">
        <v>0</v>
      </c>
      <c r="H29" s="225">
        <v>0</v>
      </c>
      <c r="I29" s="225">
        <v>0</v>
      </c>
      <c r="J29" s="225">
        <v>1</v>
      </c>
      <c r="K29" s="226">
        <v>0</v>
      </c>
    </row>
    <row r="30" spans="1:26">
      <c r="A30" s="146" t="s">
        <v>6</v>
      </c>
      <c r="B30" s="228">
        <v>0</v>
      </c>
      <c r="C30" s="228">
        <v>0</v>
      </c>
      <c r="D30" s="228">
        <v>0</v>
      </c>
      <c r="E30" s="228">
        <v>0</v>
      </c>
      <c r="F30" s="228">
        <v>0</v>
      </c>
      <c r="G30" s="228">
        <v>0</v>
      </c>
      <c r="H30" s="228">
        <v>0</v>
      </c>
      <c r="I30" s="228">
        <v>0</v>
      </c>
      <c r="J30" s="228">
        <v>0</v>
      </c>
      <c r="K30" s="229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89" t="s">
        <v>36</v>
      </c>
      <c r="C37" s="50" t="s">
        <v>162</v>
      </c>
      <c r="D37" s="168" t="s">
        <v>164</v>
      </c>
      <c r="E37" s="171" t="s">
        <v>166</v>
      </c>
      <c r="F37" s="156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31">
        <v>0.03</v>
      </c>
      <c r="C38" s="133">
        <v>-0.05</v>
      </c>
      <c r="D38" s="175">
        <v>-0.08</v>
      </c>
      <c r="E38" s="177">
        <v>-0.08</v>
      </c>
      <c r="F38" s="161" t="s">
        <v>75</v>
      </c>
    </row>
    <row r="39" spans="1:26">
      <c r="A39" s="11" t="str">
        <f t="shared" si="0"/>
        <v>Reele VPV</v>
      </c>
      <c r="B39" s="131">
        <v>0.03</v>
      </c>
      <c r="C39" s="133">
        <v>-0.05</v>
      </c>
      <c r="D39" s="169">
        <v>-0.08</v>
      </c>
      <c r="E39" s="184">
        <v>-0.08</v>
      </c>
      <c r="F39" s="161" t="s">
        <v>75</v>
      </c>
    </row>
    <row r="40" spans="1:26">
      <c r="A40" s="11" t="str">
        <f t="shared" si="0"/>
        <v>Credits</v>
      </c>
      <c r="B40" s="131">
        <v>5.5641316288239581E-2</v>
      </c>
      <c r="C40" s="133">
        <v>1.4999999999999999E-2</v>
      </c>
      <c r="D40" s="169">
        <v>-4.0641316288239582E-2</v>
      </c>
      <c r="E40" s="184">
        <v>-4.0641316288239582E-2</v>
      </c>
      <c r="F40" s="161" t="s">
        <v>75</v>
      </c>
    </row>
    <row r="41" spans="1:26">
      <c r="A41" s="11" t="str">
        <f t="shared" si="0"/>
        <v>High Yield</v>
      </c>
      <c r="B41" s="131">
        <v>5.6496387380050681E-2</v>
      </c>
      <c r="C41" s="133">
        <v>0.08</v>
      </c>
      <c r="D41" s="169">
        <v>2.3503612619949321E-2</v>
      </c>
      <c r="E41" s="184">
        <v>0</v>
      </c>
      <c r="F41" s="161" t="s">
        <v>75</v>
      </c>
    </row>
    <row r="42" spans="1:26">
      <c r="A42" s="11" t="str">
        <f t="shared" si="0"/>
        <v>EMD</v>
      </c>
      <c r="B42" s="131">
        <v>5.6528262962781142E-2</v>
      </c>
      <c r="C42" s="133">
        <v>0.05</v>
      </c>
      <c r="D42" s="169">
        <v>-6.5282629627811395E-3</v>
      </c>
      <c r="E42" s="184">
        <v>-6.5282629627811395E-3</v>
      </c>
      <c r="F42" s="161" t="s">
        <v>75</v>
      </c>
    </row>
    <row r="43" spans="1:26">
      <c r="A43" s="11" t="str">
        <f t="shared" si="0"/>
        <v>Aandelen ontw</v>
      </c>
      <c r="B43" s="131">
        <v>6.4356314621335148E-2</v>
      </c>
      <c r="C43" s="133">
        <v>0.2</v>
      </c>
      <c r="D43" s="169">
        <v>0.13564368537866486</v>
      </c>
      <c r="E43" s="184">
        <v>0.13564368537866486</v>
      </c>
      <c r="F43" s="161" t="s">
        <v>75</v>
      </c>
    </row>
    <row r="44" spans="1:26">
      <c r="A44" s="11" t="str">
        <f t="shared" si="0"/>
        <v>Aandelen opk</v>
      </c>
      <c r="B44" s="131">
        <v>9.1561672924114379E-2</v>
      </c>
      <c r="C44" s="133">
        <v>0.25</v>
      </c>
      <c r="D44" s="169">
        <v>0.15843832707588562</v>
      </c>
      <c r="E44" s="184">
        <v>0.27</v>
      </c>
      <c r="F44" s="161" t="s">
        <v>75</v>
      </c>
    </row>
    <row r="45" spans="1:26">
      <c r="A45" s="11" t="str">
        <f t="shared" si="0"/>
        <v>Hedge funds</v>
      </c>
      <c r="B45" s="131">
        <v>5.1135067781966595E-2</v>
      </c>
      <c r="C45" s="133">
        <v>0.06</v>
      </c>
      <c r="D45" s="169">
        <v>8.8649322180334028E-3</v>
      </c>
      <c r="E45" s="184">
        <v>8.8649322180334028E-3</v>
      </c>
      <c r="F45" s="161" t="s">
        <v>75</v>
      </c>
    </row>
    <row r="46" spans="1:26">
      <c r="A46" s="11" t="str">
        <f t="shared" si="0"/>
        <v>OG</v>
      </c>
      <c r="B46" s="131">
        <v>4.7615162118704334E-2</v>
      </c>
      <c r="C46" s="133">
        <v>0.1</v>
      </c>
      <c r="D46" s="169">
        <v>5.2384837881295672E-2</v>
      </c>
      <c r="E46" s="184">
        <v>5.2384837881295672E-2</v>
      </c>
      <c r="F46" s="161" t="s">
        <v>75</v>
      </c>
    </row>
    <row r="47" spans="1:26" ht="13.5" thickBot="1">
      <c r="A47" s="12" t="str">
        <f t="shared" si="0"/>
        <v>Commodities</v>
      </c>
      <c r="B47" s="135">
        <v>8.0977052013787992E-2</v>
      </c>
      <c r="C47" s="137">
        <v>0.3</v>
      </c>
      <c r="D47" s="170">
        <v>0.219022947986212</v>
      </c>
      <c r="E47" s="185">
        <v>0.219022947986212</v>
      </c>
      <c r="F47" s="162" t="s">
        <v>75</v>
      </c>
    </row>
    <row r="48" spans="1:26" ht="13.5" thickTop="1"/>
    <row r="49" spans="1:11">
      <c r="A49" s="2" t="s">
        <v>158</v>
      </c>
    </row>
    <row r="50" spans="1:11">
      <c r="A50" s="148" t="s">
        <v>36</v>
      </c>
      <c r="B50" s="145"/>
      <c r="C50" s="145"/>
      <c r="D50" s="145"/>
      <c r="E50" s="145"/>
      <c r="F50" s="145"/>
      <c r="G50" s="145"/>
      <c r="H50" s="145"/>
      <c r="I50" s="145"/>
      <c r="J50" s="145"/>
      <c r="K50" s="4"/>
    </row>
    <row r="51" spans="1:11">
      <c r="A51" s="146" t="s">
        <v>145</v>
      </c>
      <c r="B51" s="51" t="str">
        <f>A52</f>
        <v>Nominale VPV</v>
      </c>
      <c r="C51" s="51" t="str">
        <f>A53</f>
        <v>Reele VPV</v>
      </c>
      <c r="D51" s="51" t="str">
        <f>A54</f>
        <v>Credits</v>
      </c>
      <c r="E51" s="51" t="str">
        <f>A55</f>
        <v>High Yield</v>
      </c>
      <c r="F51" s="51" t="str">
        <f>A56</f>
        <v>EMD</v>
      </c>
      <c r="G51" s="51" t="str">
        <f>A57</f>
        <v>Aandelen ontw</v>
      </c>
      <c r="H51" s="51" t="str">
        <f>A58</f>
        <v>Aandelen opk</v>
      </c>
      <c r="I51" s="51" t="str">
        <f>A59</f>
        <v>Hedge funds</v>
      </c>
      <c r="J51" s="51" t="str">
        <f>A60</f>
        <v>OG</v>
      </c>
      <c r="K51" s="52" t="str">
        <f>A61</f>
        <v>Commodities</v>
      </c>
    </row>
    <row r="52" spans="1:11">
      <c r="A52" s="10" t="str">
        <f t="shared" ref="A52:A61" si="1">A21</f>
        <v>Nominale VPV</v>
      </c>
      <c r="B52" s="180">
        <v>9.3036505477973097E-2</v>
      </c>
      <c r="C52" s="83">
        <v>0.39310073358981634</v>
      </c>
      <c r="D52" s="83">
        <v>0.20929446791729706</v>
      </c>
      <c r="E52" s="83">
        <v>0.21633822527798038</v>
      </c>
      <c r="F52" s="83">
        <v>7.2272238989822338E-2</v>
      </c>
      <c r="G52" s="83">
        <v>8.9492370363700224E-2</v>
      </c>
      <c r="H52" s="83">
        <v>-0.17062817388407636</v>
      </c>
      <c r="I52" s="83">
        <v>-0.19012041366495921</v>
      </c>
      <c r="J52" s="83">
        <v>-4.7308632130733691E-2</v>
      </c>
      <c r="K52" s="150">
        <v>-0.45881257160059641</v>
      </c>
    </row>
    <row r="53" spans="1:11">
      <c r="A53" s="147" t="str">
        <f t="shared" si="1"/>
        <v>Reele VPV</v>
      </c>
      <c r="B53" s="83">
        <v>0.39310073358981634</v>
      </c>
      <c r="C53" s="180">
        <v>0.107113123666156</v>
      </c>
      <c r="D53" s="83">
        <v>0.15199304535500063</v>
      </c>
      <c r="E53" s="83">
        <v>0.24896674047832401</v>
      </c>
      <c r="F53" s="83">
        <v>-4.8620827985643912E-2</v>
      </c>
      <c r="G53" s="83">
        <v>0.12380923643016063</v>
      </c>
      <c r="H53" s="83">
        <v>5.6701855877734457E-2</v>
      </c>
      <c r="I53" s="83">
        <v>-0.14234647836130293</v>
      </c>
      <c r="J53" s="83">
        <v>-0.11987909632091487</v>
      </c>
      <c r="K53" s="84">
        <v>-8.7674543304863753E-2</v>
      </c>
    </row>
    <row r="54" spans="1:11">
      <c r="A54" s="147" t="str">
        <f t="shared" si="1"/>
        <v>Credits</v>
      </c>
      <c r="B54" s="83">
        <v>0.20929446791729706</v>
      </c>
      <c r="C54" s="83">
        <v>0.15199304535500063</v>
      </c>
      <c r="D54" s="180">
        <v>0.14514041524285745</v>
      </c>
      <c r="E54" s="83">
        <v>0.27817222657699892</v>
      </c>
      <c r="F54" s="83">
        <v>-3.7036476676643094E-2</v>
      </c>
      <c r="G54" s="83">
        <v>-2.0652245548069121E-2</v>
      </c>
      <c r="H54" s="83">
        <v>-4.7238096976150878E-4</v>
      </c>
      <c r="I54" s="83">
        <v>3.5291346298508892E-2</v>
      </c>
      <c r="J54" s="83">
        <v>-0.1471489633450169</v>
      </c>
      <c r="K54" s="84">
        <v>3.884979309220634E-2</v>
      </c>
    </row>
    <row r="55" spans="1:11">
      <c r="A55" s="147" t="str">
        <f t="shared" si="1"/>
        <v>High Yield</v>
      </c>
      <c r="B55" s="83">
        <v>0.21633822527798038</v>
      </c>
      <c r="C55" s="83">
        <v>0.24896674047832401</v>
      </c>
      <c r="D55" s="83">
        <v>0.27817222657699892</v>
      </c>
      <c r="E55" s="180">
        <v>0.15212518033194122</v>
      </c>
      <c r="F55" s="83">
        <v>0.54947077664382238</v>
      </c>
      <c r="G55" s="83">
        <v>0.6512857171069153</v>
      </c>
      <c r="H55" s="83">
        <v>0.66085351889108523</v>
      </c>
      <c r="I55" s="83">
        <v>0.4247516304214663</v>
      </c>
      <c r="J55" s="83">
        <v>-0.32361654199607631</v>
      </c>
      <c r="K55" s="84">
        <v>-2.2300336358685715E-3</v>
      </c>
    </row>
    <row r="56" spans="1:11">
      <c r="A56" s="147" t="str">
        <f t="shared" si="1"/>
        <v>EMD</v>
      </c>
      <c r="B56" s="83">
        <v>7.2272238989822338E-2</v>
      </c>
      <c r="C56" s="83">
        <v>-4.8620827985643912E-2</v>
      </c>
      <c r="D56" s="83">
        <v>-3.7036476676643094E-2</v>
      </c>
      <c r="E56" s="83">
        <v>0.54947077664382238</v>
      </c>
      <c r="F56" s="180">
        <v>0.13758409078549244</v>
      </c>
      <c r="G56" s="83">
        <v>0.43704301175382931</v>
      </c>
      <c r="H56" s="83">
        <v>0.47448318291761821</v>
      </c>
      <c r="I56" s="83">
        <v>0.75975680806732404</v>
      </c>
      <c r="J56" s="83">
        <v>0.22497345871183994</v>
      </c>
      <c r="K56" s="84">
        <v>0.50014707286156279</v>
      </c>
    </row>
    <row r="57" spans="1:11">
      <c r="A57" s="147" t="str">
        <f t="shared" si="1"/>
        <v>Aandelen ontw</v>
      </c>
      <c r="B57" s="83">
        <v>8.9492370363700224E-2</v>
      </c>
      <c r="C57" s="83">
        <v>0.12380923643016063</v>
      </c>
      <c r="D57" s="83">
        <v>-2.0652245548069121E-2</v>
      </c>
      <c r="E57" s="83">
        <v>0.6512857171069153</v>
      </c>
      <c r="F57" s="83">
        <v>0.43704301175382931</v>
      </c>
      <c r="G57" s="180">
        <v>0.19354582049076965</v>
      </c>
      <c r="H57" s="83">
        <v>0.75270312398485784</v>
      </c>
      <c r="I57" s="83">
        <v>0.57172393447966652</v>
      </c>
      <c r="J57" s="83">
        <v>-3.5193060592075505E-2</v>
      </c>
      <c r="K57" s="84">
        <v>0.10395609042534409</v>
      </c>
    </row>
    <row r="58" spans="1:11">
      <c r="A58" s="147" t="str">
        <f t="shared" si="1"/>
        <v>Aandelen opk</v>
      </c>
      <c r="B58" s="83">
        <v>-0.17062817388407636</v>
      </c>
      <c r="C58" s="83">
        <v>5.6701855877734457E-2</v>
      </c>
      <c r="D58" s="83">
        <v>-4.7238096976150878E-4</v>
      </c>
      <c r="E58" s="83">
        <v>0.66085351889108523</v>
      </c>
      <c r="F58" s="83">
        <v>0.47448318291761821</v>
      </c>
      <c r="G58" s="83">
        <v>0.75270312398485784</v>
      </c>
      <c r="H58" s="180">
        <v>0.34249727755342518</v>
      </c>
      <c r="I58" s="83">
        <v>0.43308445119592942</v>
      </c>
      <c r="J58" s="83">
        <v>-0.33706927145387583</v>
      </c>
      <c r="K58" s="84">
        <v>0.21126029655546014</v>
      </c>
    </row>
    <row r="59" spans="1:11">
      <c r="A59" s="147" t="str">
        <f t="shared" si="1"/>
        <v>Hedge funds</v>
      </c>
      <c r="B59" s="83">
        <v>-0.19012041366495921</v>
      </c>
      <c r="C59" s="83">
        <v>-0.14234647836130293</v>
      </c>
      <c r="D59" s="83">
        <v>3.5291346298508892E-2</v>
      </c>
      <c r="E59" s="83">
        <v>0.4247516304214663</v>
      </c>
      <c r="F59" s="83">
        <v>0.75975680806732404</v>
      </c>
      <c r="G59" s="83">
        <v>0.57172393447966652</v>
      </c>
      <c r="H59" s="83">
        <v>0.43308445119592942</v>
      </c>
      <c r="I59" s="180">
        <v>7.2522493236444635E-2</v>
      </c>
      <c r="J59" s="83">
        <v>0.53144909307162114</v>
      </c>
      <c r="K59" s="84">
        <v>0.50768184408405903</v>
      </c>
    </row>
    <row r="60" spans="1:11">
      <c r="A60" s="147" t="str">
        <f t="shared" si="1"/>
        <v>OG</v>
      </c>
      <c r="B60" s="83">
        <v>-4.7308632130733691E-2</v>
      </c>
      <c r="C60" s="83">
        <v>-0.11987909632091487</v>
      </c>
      <c r="D60" s="83">
        <v>-0.1471489633450169</v>
      </c>
      <c r="E60" s="83">
        <v>-0.32361654199607631</v>
      </c>
      <c r="F60" s="83">
        <v>0.22497345871183994</v>
      </c>
      <c r="G60" s="83">
        <v>-3.5193060592075505E-2</v>
      </c>
      <c r="H60" s="83">
        <v>-0.33706927145387583</v>
      </c>
      <c r="I60" s="83">
        <v>0.53144909307162114</v>
      </c>
      <c r="J60" s="180">
        <v>4.9766484543779667E-2</v>
      </c>
      <c r="K60" s="84">
        <v>0.24828282028996468</v>
      </c>
    </row>
    <row r="61" spans="1:11">
      <c r="A61" s="146" t="str">
        <f t="shared" si="1"/>
        <v>Commodities</v>
      </c>
      <c r="B61" s="86">
        <v>-0.45881257160059641</v>
      </c>
      <c r="C61" s="86">
        <v>-8.7674543304863753E-2</v>
      </c>
      <c r="D61" s="86">
        <v>3.884979309220634E-2</v>
      </c>
      <c r="E61" s="86">
        <v>-2.2300336358685715E-3</v>
      </c>
      <c r="F61" s="86">
        <v>0.50014707286156279</v>
      </c>
      <c r="G61" s="86">
        <v>0.10395609042534409</v>
      </c>
      <c r="H61" s="86">
        <v>0.21126029655546014</v>
      </c>
      <c r="I61" s="86">
        <v>0.50768184408405903</v>
      </c>
      <c r="J61" s="86">
        <v>0.24828282028996468</v>
      </c>
      <c r="K61" s="181">
        <v>0.25247140962754983</v>
      </c>
    </row>
    <row r="62" spans="1:11">
      <c r="A62" s="149" t="str">
        <f>B1</f>
        <v xml:space="preserve">Vermogenseffect </v>
      </c>
      <c r="B62" s="145"/>
      <c r="C62" s="145"/>
      <c r="D62" s="145"/>
      <c r="E62" s="145"/>
      <c r="F62" s="145"/>
      <c r="G62" s="145"/>
      <c r="H62" s="145"/>
      <c r="I62" s="145"/>
      <c r="J62" s="145"/>
      <c r="K62" s="4"/>
    </row>
    <row r="63" spans="1:11">
      <c r="A63" s="146" t="s">
        <v>145</v>
      </c>
      <c r="B63" s="51" t="str">
        <f>A64</f>
        <v>Nominale VPV</v>
      </c>
      <c r="C63" s="51" t="str">
        <f>A65</f>
        <v>Reele VPV</v>
      </c>
      <c r="D63" s="51" t="str">
        <f>A66</f>
        <v>Credits</v>
      </c>
      <c r="E63" s="51" t="str">
        <f>A67</f>
        <v>High Yield</v>
      </c>
      <c r="F63" s="51" t="str">
        <f>A68</f>
        <v>EMD</v>
      </c>
      <c r="G63" s="51" t="str">
        <f>A69</f>
        <v>Aandelen ontw</v>
      </c>
      <c r="H63" s="51" t="str">
        <f>A70</f>
        <v>Aandelen opk</v>
      </c>
      <c r="I63" s="51" t="str">
        <f>A71</f>
        <v>Hedge funds</v>
      </c>
      <c r="J63" s="51" t="str">
        <f>A72</f>
        <v>OG</v>
      </c>
      <c r="K63" s="52" t="str">
        <f>A73</f>
        <v>Commodities</v>
      </c>
    </row>
    <row r="64" spans="1:11">
      <c r="A64" s="10" t="str">
        <f t="shared" ref="A64:A73" si="2">A52</f>
        <v>Nominale VPV</v>
      </c>
      <c r="B64" s="180">
        <v>8.3779626926755432E-2</v>
      </c>
      <c r="C64" s="83">
        <v>0.36356395941164671</v>
      </c>
      <c r="D64" s="83">
        <v>0.19770591590777722</v>
      </c>
      <c r="E64" s="83">
        <v>0.23990617585831378</v>
      </c>
      <c r="F64" s="83">
        <v>-7.3357889322124503E-2</v>
      </c>
      <c r="G64" s="83">
        <v>7.7794040108081552E-2</v>
      </c>
      <c r="H64" s="83">
        <v>-0.29684548966761942</v>
      </c>
      <c r="I64" s="83">
        <v>-0.21164487982924918</v>
      </c>
      <c r="J64" s="83">
        <v>4.8029633528850771E-2</v>
      </c>
      <c r="K64" s="150">
        <v>-0.52530619108730725</v>
      </c>
    </row>
    <row r="65" spans="1:11">
      <c r="A65" s="147" t="str">
        <f t="shared" si="2"/>
        <v>Reele VPV</v>
      </c>
      <c r="B65" s="83">
        <v>0.36356395941164671</v>
      </c>
      <c r="C65" s="180">
        <v>0.10342970304098825</v>
      </c>
      <c r="D65" s="83">
        <v>9.5405718569428061E-2</v>
      </c>
      <c r="E65" s="83">
        <v>0.19061940988948001</v>
      </c>
      <c r="F65" s="83">
        <v>-0.11050815584965402</v>
      </c>
      <c r="G65" s="83">
        <v>9.8469115672903812E-2</v>
      </c>
      <c r="H65" s="83">
        <v>-5.9291804287521774E-2</v>
      </c>
      <c r="I65" s="83">
        <v>-0.17290430292907685</v>
      </c>
      <c r="J65" s="83">
        <v>-7.6193016480044728E-2</v>
      </c>
      <c r="K65" s="84">
        <v>-7.231060997995413E-2</v>
      </c>
    </row>
    <row r="66" spans="1:11">
      <c r="A66" s="147" t="str">
        <f t="shared" si="2"/>
        <v>Credits</v>
      </c>
      <c r="B66" s="83">
        <v>0.19770591590777722</v>
      </c>
      <c r="C66" s="83">
        <v>9.5405718569428061E-2</v>
      </c>
      <c r="D66" s="180">
        <v>0.14464718023748876</v>
      </c>
      <c r="E66" s="83">
        <v>0.1479964056276101</v>
      </c>
      <c r="F66" s="83">
        <v>-0.36557661407257697</v>
      </c>
      <c r="G66" s="83">
        <v>-0.17045076253006095</v>
      </c>
      <c r="H66" s="83">
        <v>-8.7743919276774857E-2</v>
      </c>
      <c r="I66" s="83">
        <v>-0.36495490011390636</v>
      </c>
      <c r="J66" s="83">
        <v>-0.35360460641933389</v>
      </c>
      <c r="K66" s="84">
        <v>-0.24298972993039863</v>
      </c>
    </row>
    <row r="67" spans="1:11">
      <c r="A67" s="147" t="str">
        <f t="shared" si="2"/>
        <v>High Yield</v>
      </c>
      <c r="B67" s="83">
        <v>0.23990617585831378</v>
      </c>
      <c r="C67" s="83">
        <v>0.19061940988948001</v>
      </c>
      <c r="D67" s="83">
        <v>0.1479964056276101</v>
      </c>
      <c r="E67" s="180">
        <v>9.6868617082165279E-2</v>
      </c>
      <c r="F67" s="83">
        <v>0.47688188083944766</v>
      </c>
      <c r="G67" s="83">
        <v>0.51169443296997497</v>
      </c>
      <c r="H67" s="83">
        <v>0.45867964598849736</v>
      </c>
      <c r="I67" s="83">
        <v>0.27365985894328215</v>
      </c>
      <c r="J67" s="83">
        <v>-0.32590742577961268</v>
      </c>
      <c r="K67" s="84">
        <v>-9.8347371833026831E-2</v>
      </c>
    </row>
    <row r="68" spans="1:11">
      <c r="A68" s="147" t="str">
        <f t="shared" si="2"/>
        <v>EMD</v>
      </c>
      <c r="B68" s="83">
        <v>-7.3357889322124503E-2</v>
      </c>
      <c r="C68" s="83">
        <v>-0.11050815584965402</v>
      </c>
      <c r="D68" s="83">
        <v>-0.36557661407257697</v>
      </c>
      <c r="E68" s="83">
        <v>0.47688188083944766</v>
      </c>
      <c r="F68" s="180">
        <v>0.15026895203342447</v>
      </c>
      <c r="G68" s="83">
        <v>0.37643358006730171</v>
      </c>
      <c r="H68" s="83">
        <v>0.46379705839414215</v>
      </c>
      <c r="I68" s="83">
        <v>0.81593638957185965</v>
      </c>
      <c r="J68" s="83">
        <v>0.28291144717511929</v>
      </c>
      <c r="K68" s="84">
        <v>0.56233375311892753</v>
      </c>
    </row>
    <row r="69" spans="1:11">
      <c r="A69" s="147" t="str">
        <f t="shared" si="2"/>
        <v>Aandelen ontw</v>
      </c>
      <c r="B69" s="83">
        <v>7.7794040108081552E-2</v>
      </c>
      <c r="C69" s="83">
        <v>9.8469115672903812E-2</v>
      </c>
      <c r="D69" s="83">
        <v>-0.17045076253006095</v>
      </c>
      <c r="E69" s="83">
        <v>0.51169443296997497</v>
      </c>
      <c r="F69" s="83">
        <v>0.37643358006730171</v>
      </c>
      <c r="G69" s="180">
        <v>0.14251402915289357</v>
      </c>
      <c r="H69" s="83">
        <v>0.62822954207202264</v>
      </c>
      <c r="I69" s="83">
        <v>0.49908101780768988</v>
      </c>
      <c r="J69" s="83">
        <v>5.3578754416141378E-2</v>
      </c>
      <c r="K69" s="84">
        <v>8.3702336951742631E-2</v>
      </c>
    </row>
    <row r="70" spans="1:11">
      <c r="A70" s="147" t="str">
        <f t="shared" si="2"/>
        <v>Aandelen opk</v>
      </c>
      <c r="B70" s="83">
        <v>-0.29684548966761942</v>
      </c>
      <c r="C70" s="83">
        <v>-5.9291804287521774E-2</v>
      </c>
      <c r="D70" s="83">
        <v>-8.7743919276774857E-2</v>
      </c>
      <c r="E70" s="83">
        <v>0.45867964598849736</v>
      </c>
      <c r="F70" s="83">
        <v>0.46379705839414215</v>
      </c>
      <c r="G70" s="83">
        <v>0.62822954207202264</v>
      </c>
      <c r="H70" s="180">
        <v>0.31714550492849808</v>
      </c>
      <c r="I70" s="83">
        <v>0.36516938170439023</v>
      </c>
      <c r="J70" s="83">
        <v>-0.30245086529985321</v>
      </c>
      <c r="K70" s="84">
        <v>0.35454741481854263</v>
      </c>
    </row>
    <row r="71" spans="1:11">
      <c r="A71" s="147" t="str">
        <f t="shared" si="2"/>
        <v>Hedge funds</v>
      </c>
      <c r="B71" s="83">
        <v>-0.21164487982924918</v>
      </c>
      <c r="C71" s="83">
        <v>-0.17290430292907685</v>
      </c>
      <c r="D71" s="83">
        <v>-0.36495490011390636</v>
      </c>
      <c r="E71" s="83">
        <v>0.27365985894328215</v>
      </c>
      <c r="F71" s="83">
        <v>0.81593638957185965</v>
      </c>
      <c r="G71" s="83">
        <v>0.49908101780768988</v>
      </c>
      <c r="H71" s="83">
        <v>0.36516938170439023</v>
      </c>
      <c r="I71" s="180">
        <v>6.2837843277635516E-2</v>
      </c>
      <c r="J71" s="83">
        <v>0.56468307579523147</v>
      </c>
      <c r="K71" s="84">
        <v>0.47753191031129466</v>
      </c>
    </row>
    <row r="72" spans="1:11">
      <c r="A72" s="147" t="str">
        <f t="shared" si="2"/>
        <v>OG</v>
      </c>
      <c r="B72" s="83">
        <v>4.8029633528850771E-2</v>
      </c>
      <c r="C72" s="83">
        <v>-7.6193016480044728E-2</v>
      </c>
      <c r="D72" s="83">
        <v>-0.35360460641933389</v>
      </c>
      <c r="E72" s="83">
        <v>-0.32590742577961268</v>
      </c>
      <c r="F72" s="83">
        <v>0.28291144717511929</v>
      </c>
      <c r="G72" s="83">
        <v>5.3578754416141378E-2</v>
      </c>
      <c r="H72" s="83">
        <v>-0.30245086529985321</v>
      </c>
      <c r="I72" s="83">
        <v>0.56468307579523147</v>
      </c>
      <c r="J72" s="180">
        <v>4.7931229247423261E-2</v>
      </c>
      <c r="K72" s="84">
        <v>0.16211672067234237</v>
      </c>
    </row>
    <row r="73" spans="1:11">
      <c r="A73" s="146" t="str">
        <f t="shared" si="2"/>
        <v>Commodities</v>
      </c>
      <c r="B73" s="86">
        <v>-0.52530619108730725</v>
      </c>
      <c r="C73" s="86">
        <v>-7.231060997995413E-2</v>
      </c>
      <c r="D73" s="86">
        <v>-0.24298972993039863</v>
      </c>
      <c r="E73" s="86">
        <v>-9.8347371833026831E-2</v>
      </c>
      <c r="F73" s="86">
        <v>0.56233375311892753</v>
      </c>
      <c r="G73" s="86">
        <v>8.3702336951742631E-2</v>
      </c>
      <c r="H73" s="86">
        <v>0.35454741481854263</v>
      </c>
      <c r="I73" s="86">
        <v>0.47753191031129466</v>
      </c>
      <c r="J73" s="86">
        <v>0.16211672067234237</v>
      </c>
      <c r="K73" s="181">
        <v>0.2364114899348054</v>
      </c>
    </row>
    <row r="75" spans="1:11">
      <c r="A75" s="2"/>
    </row>
    <row r="76" spans="1:11">
      <c r="A76" s="17" t="s">
        <v>164</v>
      </c>
      <c r="B76" s="153" t="str">
        <f>A77</f>
        <v>Nominale VPV</v>
      </c>
      <c r="C76" s="153" t="str">
        <f>A78</f>
        <v>Reele VPV</v>
      </c>
      <c r="D76" s="153" t="str">
        <f>A79</f>
        <v>Credits</v>
      </c>
      <c r="E76" s="153" t="str">
        <f>A80</f>
        <v>High Yield</v>
      </c>
      <c r="F76" s="153" t="str">
        <f>A81</f>
        <v>EMD</v>
      </c>
      <c r="G76" s="153" t="str">
        <f>A82</f>
        <v>Aandelen ontw</v>
      </c>
      <c r="H76" s="153" t="str">
        <f>A83</f>
        <v>Aandelen opk</v>
      </c>
      <c r="I76" s="153" t="str">
        <f>A84</f>
        <v>Hedge funds</v>
      </c>
      <c r="J76" s="153" t="str">
        <f>A85</f>
        <v>OG</v>
      </c>
      <c r="K76" s="154" t="str">
        <f>A86</f>
        <v>Commodities</v>
      </c>
    </row>
    <row r="77" spans="1:11">
      <c r="A77" s="147" t="str">
        <f t="shared" ref="A77:A86" si="3">A64</f>
        <v>Nominale VPV</v>
      </c>
      <c r="B77" s="180">
        <v>-9.2568785512176649E-3</v>
      </c>
      <c r="C77" s="83">
        <v>-2.9536774178169634E-2</v>
      </c>
      <c r="D77" s="83">
        <v>-1.1588552009519831E-2</v>
      </c>
      <c r="E77" s="83">
        <v>2.3567950580333397E-2</v>
      </c>
      <c r="F77" s="83">
        <v>-0.14563012831194683</v>
      </c>
      <c r="G77" s="83">
        <v>-1.1698330255618672E-2</v>
      </c>
      <c r="H77" s="83">
        <v>-0.12621731578354306</v>
      </c>
      <c r="I77" s="83">
        <v>-2.1524466164289963E-2</v>
      </c>
      <c r="J77" s="83">
        <v>9.5338265659584462E-2</v>
      </c>
      <c r="K77" s="84">
        <v>-6.6493619486710842E-2</v>
      </c>
    </row>
    <row r="78" spans="1:11">
      <c r="A78" s="147" t="str">
        <f t="shared" si="3"/>
        <v>Reele VPV</v>
      </c>
      <c r="B78" s="83">
        <v>-2.9536774178169634E-2</v>
      </c>
      <c r="C78" s="180">
        <v>-3.6834206251677437E-3</v>
      </c>
      <c r="D78" s="83">
        <v>-5.6587326785572573E-2</v>
      </c>
      <c r="E78" s="83">
        <v>-5.8347330588844004E-2</v>
      </c>
      <c r="F78" s="83">
        <v>-6.1887327864010112E-2</v>
      </c>
      <c r="G78" s="83">
        <v>-2.534012075725682E-2</v>
      </c>
      <c r="H78" s="83">
        <v>-0.11599366016525622</v>
      </c>
      <c r="I78" s="83">
        <v>-3.0557824567773922E-2</v>
      </c>
      <c r="J78" s="83">
        <v>4.368607984087014E-2</v>
      </c>
      <c r="K78" s="84">
        <v>1.5363933324909623E-2</v>
      </c>
    </row>
    <row r="79" spans="1:11">
      <c r="A79" s="147" t="str">
        <f t="shared" si="3"/>
        <v>Credits</v>
      </c>
      <c r="B79" s="83">
        <v>-1.1588552009519831E-2</v>
      </c>
      <c r="C79" s="83">
        <v>-5.6587326785572573E-2</v>
      </c>
      <c r="D79" s="180">
        <v>-4.9323500536868625E-4</v>
      </c>
      <c r="E79" s="83">
        <v>-0.13017582094938882</v>
      </c>
      <c r="F79" s="83">
        <v>-0.32854013739593385</v>
      </c>
      <c r="G79" s="83">
        <v>-0.14979851698199181</v>
      </c>
      <c r="H79" s="83">
        <v>-8.7271538307013341E-2</v>
      </c>
      <c r="I79" s="83">
        <v>-0.40024624641241524</v>
      </c>
      <c r="J79" s="83">
        <v>-0.20645564307431699</v>
      </c>
      <c r="K79" s="84">
        <v>-0.28183952302260495</v>
      </c>
    </row>
    <row r="80" spans="1:11">
      <c r="A80" s="147" t="str">
        <f t="shared" si="3"/>
        <v>High Yield</v>
      </c>
      <c r="B80" s="83">
        <v>2.3567950580333397E-2</v>
      </c>
      <c r="C80" s="83">
        <v>-5.8347330588844004E-2</v>
      </c>
      <c r="D80" s="83">
        <v>-0.13017582094938882</v>
      </c>
      <c r="E80" s="180">
        <v>-5.5256563249775945E-2</v>
      </c>
      <c r="F80" s="83">
        <v>-7.258889580437472E-2</v>
      </c>
      <c r="G80" s="83">
        <v>-0.13959128413694033</v>
      </c>
      <c r="H80" s="83">
        <v>-0.20217387290258787</v>
      </c>
      <c r="I80" s="83">
        <v>-0.15109177147818414</v>
      </c>
      <c r="J80" s="83">
        <v>-2.2908837835363682E-3</v>
      </c>
      <c r="K80" s="84">
        <v>-9.6117338197158259E-2</v>
      </c>
    </row>
    <row r="81" spans="1:11">
      <c r="A81" s="147" t="str">
        <f t="shared" si="3"/>
        <v>EMD</v>
      </c>
      <c r="B81" s="83">
        <v>-0.14563012831194683</v>
      </c>
      <c r="C81" s="83">
        <v>-6.1887327864010112E-2</v>
      </c>
      <c r="D81" s="83">
        <v>-0.32854013739593385</v>
      </c>
      <c r="E81" s="83">
        <v>-7.258889580437472E-2</v>
      </c>
      <c r="F81" s="180">
        <v>1.2684861247932028E-2</v>
      </c>
      <c r="G81" s="83">
        <v>-6.0609431686527604E-2</v>
      </c>
      <c r="H81" s="83">
        <v>-1.0686124523476059E-2</v>
      </c>
      <c r="I81" s="83">
        <v>5.6179581504535614E-2</v>
      </c>
      <c r="J81" s="83">
        <v>5.7937988463279355E-2</v>
      </c>
      <c r="K81" s="84">
        <v>6.2186680257364735E-2</v>
      </c>
    </row>
    <row r="82" spans="1:11">
      <c r="A82" s="147" t="str">
        <f t="shared" si="3"/>
        <v>Aandelen ontw</v>
      </c>
      <c r="B82" s="83">
        <v>-1.1698330255618672E-2</v>
      </c>
      <c r="C82" s="83">
        <v>-2.534012075725682E-2</v>
      </c>
      <c r="D82" s="83">
        <v>-0.14979851698199181</v>
      </c>
      <c r="E82" s="83">
        <v>-0.13959128413694033</v>
      </c>
      <c r="F82" s="83">
        <v>-6.0609431686527604E-2</v>
      </c>
      <c r="G82" s="180">
        <v>-5.1031791337876081E-2</v>
      </c>
      <c r="H82" s="83">
        <v>-0.1244735819128352</v>
      </c>
      <c r="I82" s="83">
        <v>-7.2642916671976643E-2</v>
      </c>
      <c r="J82" s="83">
        <v>8.8771815008216876E-2</v>
      </c>
      <c r="K82" s="84">
        <v>-2.0253753473601463E-2</v>
      </c>
    </row>
    <row r="83" spans="1:11">
      <c r="A83" s="147" t="str">
        <f t="shared" si="3"/>
        <v>Aandelen opk</v>
      </c>
      <c r="B83" s="83">
        <v>-0.12621731578354306</v>
      </c>
      <c r="C83" s="83">
        <v>-0.11599366016525622</v>
      </c>
      <c r="D83" s="83">
        <v>-8.7271538307013341E-2</v>
      </c>
      <c r="E83" s="83">
        <v>-0.20217387290258787</v>
      </c>
      <c r="F83" s="83">
        <v>-1.0686124523476059E-2</v>
      </c>
      <c r="G83" s="83">
        <v>-0.1244735819128352</v>
      </c>
      <c r="H83" s="180">
        <v>-2.5351772624927105E-2</v>
      </c>
      <c r="I83" s="83">
        <v>-6.7915069491539193E-2</v>
      </c>
      <c r="J83" s="83">
        <v>3.4618406154022618E-2</v>
      </c>
      <c r="K83" s="84">
        <v>0.14328711826308249</v>
      </c>
    </row>
    <row r="84" spans="1:11">
      <c r="A84" s="147" t="str">
        <f t="shared" si="3"/>
        <v>Hedge funds</v>
      </c>
      <c r="B84" s="83">
        <v>-2.1524466164289963E-2</v>
      </c>
      <c r="C84" s="83">
        <v>-3.0557824567773922E-2</v>
      </c>
      <c r="D84" s="83">
        <v>-0.40024624641241524</v>
      </c>
      <c r="E84" s="83">
        <v>-0.15109177147818414</v>
      </c>
      <c r="F84" s="83">
        <v>5.6179581504535614E-2</v>
      </c>
      <c r="G84" s="83">
        <v>-7.2642916671976643E-2</v>
      </c>
      <c r="H84" s="83">
        <v>-6.7915069491539193E-2</v>
      </c>
      <c r="I84" s="166">
        <v>-9.6846499588091189E-3</v>
      </c>
      <c r="J84" s="83">
        <v>3.3233982723610334E-2</v>
      </c>
      <c r="K84" s="84">
        <v>-3.014993377276437E-2</v>
      </c>
    </row>
    <row r="85" spans="1:11">
      <c r="A85" s="147" t="str">
        <f t="shared" si="3"/>
        <v>OG</v>
      </c>
      <c r="B85" s="83">
        <v>9.5338265659584462E-2</v>
      </c>
      <c r="C85" s="83">
        <v>4.368607984087014E-2</v>
      </c>
      <c r="D85" s="83">
        <v>-0.20645564307431699</v>
      </c>
      <c r="E85" s="83">
        <v>-2.2908837835363682E-3</v>
      </c>
      <c r="F85" s="83">
        <v>5.7937988463279355E-2</v>
      </c>
      <c r="G85" s="83">
        <v>8.8771815008216876E-2</v>
      </c>
      <c r="H85" s="83">
        <v>3.4618406154022618E-2</v>
      </c>
      <c r="I85" s="83">
        <v>3.3233982723610334E-2</v>
      </c>
      <c r="J85" s="166">
        <v>-1.8352552963564056E-3</v>
      </c>
      <c r="K85" s="84">
        <v>-8.616609961762231E-2</v>
      </c>
    </row>
    <row r="86" spans="1:11" ht="13.5" thickBot="1">
      <c r="A86" s="173" t="str">
        <f t="shared" si="3"/>
        <v>Commodities</v>
      </c>
      <c r="B86" s="160">
        <v>-6.6493619486710842E-2</v>
      </c>
      <c r="C86" s="160">
        <v>1.5363933324909623E-2</v>
      </c>
      <c r="D86" s="160">
        <v>-0.28183952302260495</v>
      </c>
      <c r="E86" s="160">
        <v>-9.6117338197158259E-2</v>
      </c>
      <c r="F86" s="160">
        <v>6.2186680257364735E-2</v>
      </c>
      <c r="G86" s="160">
        <v>-2.0253753473601463E-2</v>
      </c>
      <c r="H86" s="160">
        <v>0.14328711826308249</v>
      </c>
      <c r="I86" s="160">
        <v>-3.014993377276437E-2</v>
      </c>
      <c r="J86" s="160">
        <v>-8.616609961762231E-2</v>
      </c>
      <c r="K86" s="174">
        <v>-1.6059919692744423E-2</v>
      </c>
    </row>
    <row r="87" spans="1:11" ht="14.25" thickTop="1" thickBot="1">
      <c r="A87" s="156" t="s">
        <v>166</v>
      </c>
      <c r="B87" s="157" t="str">
        <f>A88</f>
        <v>Nominale VPV</v>
      </c>
      <c r="C87" s="157" t="str">
        <f>A89</f>
        <v>Reele VPV</v>
      </c>
      <c r="D87" s="157" t="str">
        <f>A90</f>
        <v>Credits</v>
      </c>
      <c r="E87" s="157" t="str">
        <f>A91</f>
        <v>High Yield</v>
      </c>
      <c r="F87" s="157" t="str">
        <f>A92</f>
        <v>EMD</v>
      </c>
      <c r="G87" s="157" t="str">
        <f>A93</f>
        <v>Aandelen ontw</v>
      </c>
      <c r="H87" s="157" t="str">
        <f>A94</f>
        <v>Aandelen opk</v>
      </c>
      <c r="I87" s="157" t="str">
        <f>A95</f>
        <v>Hedge funds</v>
      </c>
      <c r="J87" s="157" t="str">
        <f>A96</f>
        <v>OG</v>
      </c>
      <c r="K87" s="158" t="str">
        <f>A97</f>
        <v>Commodities</v>
      </c>
    </row>
    <row r="88" spans="1:11" ht="13.5" thickTop="1">
      <c r="A88" s="155" t="str">
        <f t="shared" ref="A88:A97" si="4">A77</f>
        <v>Nominale VPV</v>
      </c>
      <c r="B88" s="180">
        <v>-9.2568785512176649E-3</v>
      </c>
      <c r="C88" s="83">
        <v>-2.9536774178169634E-2</v>
      </c>
      <c r="D88" s="83">
        <v>-1.1588552009519831E-2</v>
      </c>
      <c r="E88" s="83">
        <v>2.3567950580333397E-2</v>
      </c>
      <c r="F88" s="83">
        <v>-0.14563012831194683</v>
      </c>
      <c r="G88" s="83">
        <v>-1.1698330255618672E-2</v>
      </c>
      <c r="H88" s="83">
        <v>-0.12621731578354306</v>
      </c>
      <c r="I88" s="83">
        <v>-2.1524466164289963E-2</v>
      </c>
      <c r="J88" s="83">
        <v>9.5338265659584462E-2</v>
      </c>
      <c r="K88" s="165">
        <v>-6.6493619486710842E-2</v>
      </c>
    </row>
    <row r="89" spans="1:11">
      <c r="A89" s="155" t="str">
        <f t="shared" si="4"/>
        <v>Reele VPV</v>
      </c>
      <c r="B89" s="83">
        <v>-2.9536774178169634E-2</v>
      </c>
      <c r="C89" s="180">
        <v>-3.6834206251677437E-3</v>
      </c>
      <c r="D89" s="83">
        <v>-5.6587326785572573E-2</v>
      </c>
      <c r="E89" s="83">
        <v>-5.8347330588844004E-2</v>
      </c>
      <c r="F89" s="83">
        <v>-6.1887327864010112E-2</v>
      </c>
      <c r="G89" s="83">
        <v>-2.534012075725682E-2</v>
      </c>
      <c r="H89" s="83">
        <v>-0.11599366016525622</v>
      </c>
      <c r="I89" s="83">
        <v>-3.0557824567773922E-2</v>
      </c>
      <c r="J89" s="83">
        <v>4.368607984087014E-2</v>
      </c>
      <c r="K89" s="159">
        <v>1.5363933324909623E-2</v>
      </c>
    </row>
    <row r="90" spans="1:11">
      <c r="A90" s="155" t="str">
        <f t="shared" si="4"/>
        <v>Credits</v>
      </c>
      <c r="B90" s="83">
        <v>-1.1588552009519831E-2</v>
      </c>
      <c r="C90" s="83">
        <v>-5.6587326785572573E-2</v>
      </c>
      <c r="D90" s="180">
        <v>-4.9323500536868625E-4</v>
      </c>
      <c r="E90" s="83">
        <v>-0.13017582094938882</v>
      </c>
      <c r="F90" s="83">
        <v>-0.32854013739593385</v>
      </c>
      <c r="G90" s="83">
        <v>-0.14979851698199181</v>
      </c>
      <c r="H90" s="83">
        <v>-8.7271538307013341E-2</v>
      </c>
      <c r="I90" s="83">
        <v>-0.40024624641241524</v>
      </c>
      <c r="J90" s="83">
        <v>-0.20645564307431699</v>
      </c>
      <c r="K90" s="159">
        <v>-0.28183952302260495</v>
      </c>
    </row>
    <row r="91" spans="1:11">
      <c r="A91" s="155" t="str">
        <f t="shared" si="4"/>
        <v>High Yield</v>
      </c>
      <c r="B91" s="83">
        <v>2.3567950580333397E-2</v>
      </c>
      <c r="C91" s="83">
        <v>-5.8347330588844004E-2</v>
      </c>
      <c r="D91" s="83">
        <v>-0.13017582094938882</v>
      </c>
      <c r="E91" s="180">
        <v>-5.5256563249775945E-2</v>
      </c>
      <c r="F91" s="83">
        <v>-7.258889580437472E-2</v>
      </c>
      <c r="G91" s="83">
        <v>-0.13959128413694033</v>
      </c>
      <c r="H91" s="83">
        <v>-0.20217387290258787</v>
      </c>
      <c r="I91" s="83">
        <v>-0.15109177147818414</v>
      </c>
      <c r="J91" s="83">
        <v>-2.2908837835363682E-3</v>
      </c>
      <c r="K91" s="159">
        <v>-9.6117338197158259E-2</v>
      </c>
    </row>
    <row r="92" spans="1:11">
      <c r="A92" s="155" t="str">
        <f t="shared" si="4"/>
        <v>EMD</v>
      </c>
      <c r="B92" s="83">
        <v>-0.14563012831194683</v>
      </c>
      <c r="C92" s="83">
        <v>-6.1887327864010112E-2</v>
      </c>
      <c r="D92" s="83">
        <v>-0.32854013739593385</v>
      </c>
      <c r="E92" s="83">
        <v>-7.258889580437472E-2</v>
      </c>
      <c r="F92" s="180">
        <v>1.2684861247932028E-2</v>
      </c>
      <c r="G92" s="83">
        <v>-6.0609431686527604E-2</v>
      </c>
      <c r="H92" s="83">
        <v>-1.0686124523476059E-2</v>
      </c>
      <c r="I92" s="83">
        <v>5.6179581504535614E-2</v>
      </c>
      <c r="J92" s="83">
        <v>5.7937988463279355E-2</v>
      </c>
      <c r="K92" s="159">
        <v>6.2186680257364735E-2</v>
      </c>
    </row>
    <row r="93" spans="1:11">
      <c r="A93" s="155" t="str">
        <f t="shared" si="4"/>
        <v>Aandelen ontw</v>
      </c>
      <c r="B93" s="83">
        <v>-1.1698330255618672E-2</v>
      </c>
      <c r="C93" s="83">
        <v>-2.534012075725682E-2</v>
      </c>
      <c r="D93" s="83">
        <v>-0.14979851698199181</v>
      </c>
      <c r="E93" s="83">
        <v>-0.13959128413694033</v>
      </c>
      <c r="F93" s="83">
        <v>-6.0609431686527604E-2</v>
      </c>
      <c r="G93" s="180">
        <v>-5.1031791337876081E-2</v>
      </c>
      <c r="H93" s="83">
        <v>-0.1244735819128352</v>
      </c>
      <c r="I93" s="83">
        <v>-7.2642916671976643E-2</v>
      </c>
      <c r="J93" s="83">
        <v>8.8771815008216876E-2</v>
      </c>
      <c r="K93" s="159">
        <v>-2.0253753473601463E-2</v>
      </c>
    </row>
    <row r="94" spans="1:11">
      <c r="A94" s="155" t="str">
        <f t="shared" si="4"/>
        <v>Aandelen opk</v>
      </c>
      <c r="B94" s="83">
        <v>-0.12621731578354306</v>
      </c>
      <c r="C94" s="83">
        <v>-0.11599366016525622</v>
      </c>
      <c r="D94" s="83">
        <v>-8.7271538307013341E-2</v>
      </c>
      <c r="E94" s="83">
        <v>-0.20217387290258787</v>
      </c>
      <c r="F94" s="83">
        <v>-1.0686124523476059E-2</v>
      </c>
      <c r="G94" s="83">
        <v>-0.1244735819128352</v>
      </c>
      <c r="H94" s="180">
        <v>-0.1</v>
      </c>
      <c r="I94" s="83">
        <v>-6.7915069491539193E-2</v>
      </c>
      <c r="J94" s="83">
        <v>3.4618406154022618E-2</v>
      </c>
      <c r="K94" s="159">
        <v>0.14328711826308249</v>
      </c>
    </row>
    <row r="95" spans="1:11">
      <c r="A95" s="155" t="str">
        <f t="shared" si="4"/>
        <v>Hedge funds</v>
      </c>
      <c r="B95" s="83">
        <v>-2.1524466164289963E-2</v>
      </c>
      <c r="C95" s="83">
        <v>-3.0557824567773922E-2</v>
      </c>
      <c r="D95" s="83">
        <v>-0.40024624641241524</v>
      </c>
      <c r="E95" s="83">
        <v>-0.15109177147818414</v>
      </c>
      <c r="F95" s="83">
        <v>5.6179581504535614E-2</v>
      </c>
      <c r="G95" s="83">
        <v>-7.2642916671976643E-2</v>
      </c>
      <c r="H95" s="83">
        <v>-6.7915069491539193E-2</v>
      </c>
      <c r="I95" s="166">
        <v>-9.6846499588091189E-3</v>
      </c>
      <c r="J95" s="83">
        <v>3.3233982723610334E-2</v>
      </c>
      <c r="K95" s="159">
        <v>-3.014993377276437E-2</v>
      </c>
    </row>
    <row r="96" spans="1:11">
      <c r="A96" s="155" t="str">
        <f t="shared" si="4"/>
        <v>OG</v>
      </c>
      <c r="B96" s="83">
        <v>9.5338265659584462E-2</v>
      </c>
      <c r="C96" s="83">
        <v>4.368607984087014E-2</v>
      </c>
      <c r="D96" s="83">
        <v>-0.20645564307431699</v>
      </c>
      <c r="E96" s="83">
        <v>-2.2908837835363682E-3</v>
      </c>
      <c r="F96" s="83">
        <v>5.7937988463279355E-2</v>
      </c>
      <c r="G96" s="83">
        <v>8.8771815008216876E-2</v>
      </c>
      <c r="H96" s="83">
        <v>3.4618406154022618E-2</v>
      </c>
      <c r="I96" s="83">
        <v>3.3233982723610334E-2</v>
      </c>
      <c r="J96" s="166">
        <v>0.1</v>
      </c>
      <c r="K96" s="159">
        <v>-8.616609961762231E-2</v>
      </c>
    </row>
    <row r="97" spans="1:11" ht="13.5" thickBot="1">
      <c r="A97" s="155" t="str">
        <f t="shared" si="4"/>
        <v>Commodities</v>
      </c>
      <c r="B97" s="160">
        <v>-6.6493619486710842E-2</v>
      </c>
      <c r="C97" s="160">
        <v>1.5363933324909623E-2</v>
      </c>
      <c r="D97" s="160">
        <v>-0.28183952302260495</v>
      </c>
      <c r="E97" s="160">
        <v>-9.6117338197158259E-2</v>
      </c>
      <c r="F97" s="160">
        <v>6.2186680257364735E-2</v>
      </c>
      <c r="G97" s="160">
        <v>-2.0253753473601463E-2</v>
      </c>
      <c r="H97" s="160">
        <v>0.14328711826308249</v>
      </c>
      <c r="I97" s="160">
        <v>-3.014993377276437E-2</v>
      </c>
      <c r="J97" s="160">
        <v>-8.616609961762231E-2</v>
      </c>
      <c r="K97" s="167">
        <v>-1.6059919692744423E-2</v>
      </c>
    </row>
    <row r="98" spans="1:11" ht="14.25" thickTop="1" thickBot="1">
      <c r="A98" s="156" t="s">
        <v>165</v>
      </c>
      <c r="B98" s="163" t="str">
        <f>A99</f>
        <v>Nominale VPV</v>
      </c>
      <c r="C98" s="163" t="str">
        <f>A100</f>
        <v>Reele VPV</v>
      </c>
      <c r="D98" s="163" t="str">
        <f>A101</f>
        <v>Credits</v>
      </c>
      <c r="E98" s="163" t="str">
        <f>A102</f>
        <v>High Yield</v>
      </c>
      <c r="F98" s="163" t="str">
        <f>A103</f>
        <v>EMD</v>
      </c>
      <c r="G98" s="163" t="str">
        <f>A104</f>
        <v>Aandelen ontw</v>
      </c>
      <c r="H98" s="163" t="str">
        <f>A105</f>
        <v>Aandelen opk</v>
      </c>
      <c r="I98" s="163" t="str">
        <f>A106</f>
        <v>Hedge funds</v>
      </c>
      <c r="J98" s="163" t="str">
        <f>A107</f>
        <v>OG</v>
      </c>
      <c r="K98" s="164" t="str">
        <f>A108</f>
        <v>Commodities</v>
      </c>
    </row>
    <row r="99" spans="1:11" ht="13.5" thickTop="1">
      <c r="A99" s="261" t="str">
        <f t="shared" ref="A99:A108" si="5">A77</f>
        <v>Nominale VPV</v>
      </c>
      <c r="B99" s="264" t="s">
        <v>75</v>
      </c>
      <c r="C99" s="265" t="s">
        <v>75</v>
      </c>
      <c r="D99" s="265" t="s">
        <v>75</v>
      </c>
      <c r="E99" s="265" t="s">
        <v>75</v>
      </c>
      <c r="F99" s="265" t="s">
        <v>75</v>
      </c>
      <c r="G99" s="265" t="s">
        <v>75</v>
      </c>
      <c r="H99" s="265" t="s">
        <v>75</v>
      </c>
      <c r="I99" s="265" t="s">
        <v>75</v>
      </c>
      <c r="J99" s="265" t="s">
        <v>75</v>
      </c>
      <c r="K99" s="266" t="s">
        <v>75</v>
      </c>
    </row>
    <row r="100" spans="1:11">
      <c r="A100" s="262" t="str">
        <f t="shared" si="5"/>
        <v>Reele VPV</v>
      </c>
      <c r="B100" s="267" t="s">
        <v>75</v>
      </c>
      <c r="C100" s="225" t="s">
        <v>75</v>
      </c>
      <c r="D100" s="225" t="s">
        <v>75</v>
      </c>
      <c r="E100" s="225" t="s">
        <v>75</v>
      </c>
      <c r="F100" s="225" t="s">
        <v>75</v>
      </c>
      <c r="G100" s="225" t="s">
        <v>75</v>
      </c>
      <c r="H100" s="225" t="s">
        <v>75</v>
      </c>
      <c r="I100" s="225" t="s">
        <v>75</v>
      </c>
      <c r="J100" s="225" t="s">
        <v>75</v>
      </c>
      <c r="K100" s="268" t="s">
        <v>75</v>
      </c>
    </row>
    <row r="101" spans="1:11">
      <c r="A101" s="262" t="str">
        <f t="shared" si="5"/>
        <v>Credits</v>
      </c>
      <c r="B101" s="267" t="s">
        <v>75</v>
      </c>
      <c r="C101" s="225" t="s">
        <v>75</v>
      </c>
      <c r="D101" s="225" t="s">
        <v>75</v>
      </c>
      <c r="E101" s="225" t="s">
        <v>75</v>
      </c>
      <c r="F101" s="225" t="s">
        <v>75</v>
      </c>
      <c r="G101" s="225" t="s">
        <v>75</v>
      </c>
      <c r="H101" s="225" t="s">
        <v>75</v>
      </c>
      <c r="I101" s="225" t="s">
        <v>75</v>
      </c>
      <c r="J101" s="225" t="s">
        <v>75</v>
      </c>
      <c r="K101" s="268" t="s">
        <v>75</v>
      </c>
    </row>
    <row r="102" spans="1:11">
      <c r="A102" s="262" t="str">
        <f t="shared" si="5"/>
        <v>High Yield</v>
      </c>
      <c r="B102" s="267" t="s">
        <v>75</v>
      </c>
      <c r="C102" s="225" t="s">
        <v>75</v>
      </c>
      <c r="D102" s="225" t="s">
        <v>75</v>
      </c>
      <c r="E102" s="225" t="s">
        <v>75</v>
      </c>
      <c r="F102" s="225" t="s">
        <v>75</v>
      </c>
      <c r="G102" s="225" t="s">
        <v>75</v>
      </c>
      <c r="H102" s="225" t="s">
        <v>75</v>
      </c>
      <c r="I102" s="225" t="s">
        <v>75</v>
      </c>
      <c r="J102" s="225" t="s">
        <v>75</v>
      </c>
      <c r="K102" s="268" t="s">
        <v>75</v>
      </c>
    </row>
    <row r="103" spans="1:11">
      <c r="A103" s="262" t="str">
        <f t="shared" si="5"/>
        <v>EMD</v>
      </c>
      <c r="B103" s="267" t="s">
        <v>75</v>
      </c>
      <c r="C103" s="225" t="s">
        <v>75</v>
      </c>
      <c r="D103" s="225" t="s">
        <v>75</v>
      </c>
      <c r="E103" s="225" t="s">
        <v>75</v>
      </c>
      <c r="F103" s="225" t="s">
        <v>75</v>
      </c>
      <c r="G103" s="225" t="s">
        <v>75</v>
      </c>
      <c r="H103" s="225" t="s">
        <v>75</v>
      </c>
      <c r="I103" s="225" t="s">
        <v>75</v>
      </c>
      <c r="J103" s="225" t="s">
        <v>75</v>
      </c>
      <c r="K103" s="268" t="s">
        <v>75</v>
      </c>
    </row>
    <row r="104" spans="1:11">
      <c r="A104" s="262" t="str">
        <f t="shared" si="5"/>
        <v>Aandelen ontw</v>
      </c>
      <c r="B104" s="267" t="s">
        <v>75</v>
      </c>
      <c r="C104" s="225" t="s">
        <v>75</v>
      </c>
      <c r="D104" s="225" t="s">
        <v>75</v>
      </c>
      <c r="E104" s="225" t="s">
        <v>75</v>
      </c>
      <c r="F104" s="225" t="s">
        <v>75</v>
      </c>
      <c r="G104" s="225" t="s">
        <v>75</v>
      </c>
      <c r="H104" s="225" t="s">
        <v>75</v>
      </c>
      <c r="I104" s="225" t="s">
        <v>75</v>
      </c>
      <c r="J104" s="225" t="s">
        <v>75</v>
      </c>
      <c r="K104" s="268" t="s">
        <v>75</v>
      </c>
    </row>
    <row r="105" spans="1:11">
      <c r="A105" s="262" t="str">
        <f t="shared" si="5"/>
        <v>Aandelen opk</v>
      </c>
      <c r="B105" s="267" t="s">
        <v>75</v>
      </c>
      <c r="C105" s="225" t="s">
        <v>75</v>
      </c>
      <c r="D105" s="225" t="s">
        <v>75</v>
      </c>
      <c r="E105" s="225" t="s">
        <v>75</v>
      </c>
      <c r="F105" s="225" t="s">
        <v>75</v>
      </c>
      <c r="G105" s="225" t="s">
        <v>75</v>
      </c>
      <c r="H105" s="225" t="s">
        <v>75</v>
      </c>
      <c r="I105" s="225" t="s">
        <v>75</v>
      </c>
      <c r="J105" s="225" t="s">
        <v>75</v>
      </c>
      <c r="K105" s="268" t="s">
        <v>75</v>
      </c>
    </row>
    <row r="106" spans="1:11">
      <c r="A106" s="262" t="str">
        <f t="shared" si="5"/>
        <v>Hedge funds</v>
      </c>
      <c r="B106" s="267" t="s">
        <v>75</v>
      </c>
      <c r="C106" s="225" t="s">
        <v>75</v>
      </c>
      <c r="D106" s="225" t="s">
        <v>75</v>
      </c>
      <c r="E106" s="225" t="s">
        <v>75</v>
      </c>
      <c r="F106" s="225" t="s">
        <v>75</v>
      </c>
      <c r="G106" s="225" t="s">
        <v>75</v>
      </c>
      <c r="H106" s="225" t="s">
        <v>75</v>
      </c>
      <c r="I106" s="225" t="s">
        <v>75</v>
      </c>
      <c r="J106" s="225" t="s">
        <v>75</v>
      </c>
      <c r="K106" s="268" t="s">
        <v>75</v>
      </c>
    </row>
    <row r="107" spans="1:11">
      <c r="A107" s="262" t="str">
        <f t="shared" si="5"/>
        <v>OG</v>
      </c>
      <c r="B107" s="267" t="s">
        <v>75</v>
      </c>
      <c r="C107" s="225" t="s">
        <v>75</v>
      </c>
      <c r="D107" s="225" t="s">
        <v>75</v>
      </c>
      <c r="E107" s="225" t="s">
        <v>75</v>
      </c>
      <c r="F107" s="225" t="s">
        <v>75</v>
      </c>
      <c r="G107" s="225" t="s">
        <v>75</v>
      </c>
      <c r="H107" s="225" t="s">
        <v>75</v>
      </c>
      <c r="I107" s="225" t="s">
        <v>75</v>
      </c>
      <c r="J107" s="225" t="s">
        <v>75</v>
      </c>
      <c r="K107" s="268" t="s">
        <v>75</v>
      </c>
    </row>
    <row r="108" spans="1:11" ht="13.5" thickBot="1">
      <c r="A108" s="263" t="str">
        <f t="shared" si="5"/>
        <v>Commodities</v>
      </c>
      <c r="B108" s="269" t="s">
        <v>75</v>
      </c>
      <c r="C108" s="270" t="s">
        <v>75</v>
      </c>
      <c r="D108" s="270" t="s">
        <v>75</v>
      </c>
      <c r="E108" s="270" t="s">
        <v>75</v>
      </c>
      <c r="F108" s="270" t="s">
        <v>75</v>
      </c>
      <c r="G108" s="270" t="s">
        <v>75</v>
      </c>
      <c r="H108" s="270" t="s">
        <v>75</v>
      </c>
      <c r="I108" s="270" t="s">
        <v>75</v>
      </c>
      <c r="J108" s="270" t="s">
        <v>75</v>
      </c>
      <c r="K108" s="271" t="s">
        <v>75</v>
      </c>
    </row>
    <row r="109" spans="1:11" ht="13.5" thickTop="1"/>
    <row r="115" spans="1:2">
      <c r="A115" s="2" t="s">
        <v>170</v>
      </c>
    </row>
    <row r="116" spans="1:2">
      <c r="A116" s="58" t="s">
        <v>161</v>
      </c>
      <c r="B116" s="7" t="s">
        <v>171</v>
      </c>
    </row>
    <row r="117" spans="1:2">
      <c r="A117" s="188" t="str">
        <f>A38</f>
        <v>Nominale VPV</v>
      </c>
      <c r="B117" s="16">
        <v>-5.0000000000000001E-3</v>
      </c>
    </row>
    <row r="118" spans="1:2">
      <c r="A118" s="188" t="str">
        <f t="shared" ref="A118:A126" si="6">A39</f>
        <v>Reele VPV</v>
      </c>
      <c r="B118" s="16">
        <v>-4.2615162118704336E-2</v>
      </c>
    </row>
    <row r="119" spans="1:2">
      <c r="A119" s="188" t="str">
        <f t="shared" si="6"/>
        <v>Credits</v>
      </c>
      <c r="B119" s="16">
        <v>-6.7202989212353972E-2</v>
      </c>
    </row>
    <row r="120" spans="1:2">
      <c r="A120" s="188" t="str">
        <f t="shared" si="6"/>
        <v>High Yield</v>
      </c>
      <c r="B120" s="16">
        <v>-1.4963873800506802E-3</v>
      </c>
    </row>
    <row r="121" spans="1:2">
      <c r="A121" s="188" t="str">
        <f t="shared" si="6"/>
        <v>EMD</v>
      </c>
      <c r="B121" s="16">
        <v>-6.5282629627811395E-3</v>
      </c>
    </row>
    <row r="122" spans="1:2">
      <c r="A122" s="188" t="str">
        <f t="shared" si="6"/>
        <v>Aandelen ontw</v>
      </c>
      <c r="B122" s="16">
        <v>-1.4356314621335145E-2</v>
      </c>
    </row>
    <row r="123" spans="1:2">
      <c r="A123" s="188" t="str">
        <f t="shared" si="6"/>
        <v>Aandelen opk</v>
      </c>
      <c r="B123" s="16">
        <v>-0.03</v>
      </c>
    </row>
    <row r="124" spans="1:2">
      <c r="A124" s="188" t="str">
        <f t="shared" si="6"/>
        <v>Hedge funds</v>
      </c>
      <c r="B124" s="16">
        <v>0</v>
      </c>
    </row>
    <row r="125" spans="1:2">
      <c r="A125" s="188" t="str">
        <f t="shared" si="6"/>
        <v>OG</v>
      </c>
      <c r="B125" s="16">
        <v>-2.2615162118704332E-2</v>
      </c>
    </row>
    <row r="126" spans="1:2">
      <c r="A126" s="57" t="str">
        <f t="shared" si="6"/>
        <v>Commodities</v>
      </c>
      <c r="B126" s="8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53" t="str">
        <f>A130</f>
        <v>Nominale VPV</v>
      </c>
      <c r="C129" s="153" t="str">
        <f>A131</f>
        <v>Reele VPV</v>
      </c>
      <c r="D129" s="153" t="str">
        <f>A132</f>
        <v>Credits</v>
      </c>
      <c r="E129" s="153" t="str">
        <f>A133</f>
        <v>High Yield</v>
      </c>
      <c r="F129" s="153" t="str">
        <f>A134</f>
        <v>EMD</v>
      </c>
      <c r="G129" s="153" t="str">
        <f>A135</f>
        <v>Aandelen ontw</v>
      </c>
      <c r="H129" s="153" t="str">
        <f>A136</f>
        <v>Aandelen opk</v>
      </c>
      <c r="I129" s="153" t="str">
        <f>A137</f>
        <v>Hedge funds</v>
      </c>
      <c r="J129" s="153" t="str">
        <f>A138</f>
        <v>OG</v>
      </c>
      <c r="K129" s="154" t="str">
        <f>A139</f>
        <v>Commodities</v>
      </c>
    </row>
    <row r="130" spans="1:11">
      <c r="A130" s="10" t="str">
        <f>A88</f>
        <v>Nominale VPV</v>
      </c>
      <c r="B130" s="151">
        <v>-4.4452634636536759E-3</v>
      </c>
      <c r="C130" s="83">
        <v>8.7441982900903215E-3</v>
      </c>
      <c r="D130" s="83">
        <v>-4.9339554768319666E-2</v>
      </c>
      <c r="E130" s="83">
        <v>1.2956951776552206E-2</v>
      </c>
      <c r="F130" s="83">
        <v>0.12280562830238999</v>
      </c>
      <c r="G130" s="83">
        <v>7.888144630971039E-2</v>
      </c>
      <c r="H130" s="83">
        <v>2.0536738705801028E-2</v>
      </c>
      <c r="I130" s="83">
        <v>0.20606610244590901</v>
      </c>
      <c r="J130" s="83">
        <v>0.14011276432957054</v>
      </c>
      <c r="K130" s="84">
        <v>0.15047956318851441</v>
      </c>
    </row>
    <row r="131" spans="1:11">
      <c r="A131" s="147" t="str">
        <f t="shared" ref="A131:A139" si="7">A89</f>
        <v>Reele VPV</v>
      </c>
      <c r="B131" s="83">
        <v>8.7441982900903215E-3</v>
      </c>
      <c r="C131" s="151">
        <v>-1.2489110566723652E-2</v>
      </c>
      <c r="D131" s="83">
        <v>-7.8968305578049042E-2</v>
      </c>
      <c r="E131" s="83">
        <v>6.0426382116282595E-4</v>
      </c>
      <c r="F131" s="83">
        <v>0.10492325236742081</v>
      </c>
      <c r="G131" s="83">
        <v>5.6290840075746598E-2</v>
      </c>
      <c r="H131" s="83">
        <v>-1.5578453646869446E-2</v>
      </c>
      <c r="I131" s="83">
        <v>8.388996510493392E-2</v>
      </c>
      <c r="J131" s="83">
        <v>5.6324160721505756E-2</v>
      </c>
      <c r="K131" s="84">
        <v>0.15211552114400606</v>
      </c>
    </row>
    <row r="132" spans="1:11">
      <c r="A132" s="147" t="str">
        <f t="shared" si="7"/>
        <v>Credits</v>
      </c>
      <c r="B132" s="83">
        <v>-4.9339554768319666E-2</v>
      </c>
      <c r="C132" s="83">
        <v>-7.8968305578049042E-2</v>
      </c>
      <c r="D132" s="151">
        <v>-2.706363543105883E-3</v>
      </c>
      <c r="E132" s="83">
        <v>-0.10623169046092773</v>
      </c>
      <c r="F132" s="83">
        <v>-0.14155774979361152</v>
      </c>
      <c r="G132" s="83">
        <v>-5.0668020034901229E-2</v>
      </c>
      <c r="H132" s="83">
        <v>-1.3786713207860615E-2</v>
      </c>
      <c r="I132" s="83">
        <v>-0.21194265883981259</v>
      </c>
      <c r="J132" s="83">
        <v>-0.18953914181475942</v>
      </c>
      <c r="K132" s="84">
        <v>-0.13698576121952513</v>
      </c>
    </row>
    <row r="133" spans="1:11">
      <c r="A133" s="147" t="str">
        <f t="shared" si="7"/>
        <v>High Yield</v>
      </c>
      <c r="B133" s="83">
        <v>1.2956951776552206E-2</v>
      </c>
      <c r="C133" s="83">
        <v>6.0426382116282595E-4</v>
      </c>
      <c r="D133" s="83">
        <v>-0.10623169046092773</v>
      </c>
      <c r="E133" s="151">
        <v>-1.7442087987237814E-2</v>
      </c>
      <c r="F133" s="83">
        <v>-6.5893962027107067E-3</v>
      </c>
      <c r="G133" s="83">
        <v>-0.143476943707742</v>
      </c>
      <c r="H133" s="83">
        <v>-0.11434838152979443</v>
      </c>
      <c r="I133" s="83">
        <v>-3.4443218317613822E-2</v>
      </c>
      <c r="J133" s="83">
        <v>-6.7853109690286184E-2</v>
      </c>
      <c r="K133" s="84">
        <v>-0.17277427161463785</v>
      </c>
    </row>
    <row r="134" spans="1:11">
      <c r="A134" s="147" t="str">
        <f t="shared" si="7"/>
        <v>EMD</v>
      </c>
      <c r="B134" s="83">
        <v>0.12280562830238999</v>
      </c>
      <c r="C134" s="83">
        <v>0.10492325236742081</v>
      </c>
      <c r="D134" s="83">
        <v>-0.14155774979361152</v>
      </c>
      <c r="E134" s="83">
        <v>-6.5893962027107067E-3</v>
      </c>
      <c r="F134" s="151">
        <v>9.8520155870215897E-4</v>
      </c>
      <c r="G134" s="83">
        <v>-8.595312319249071E-2</v>
      </c>
      <c r="H134" s="83">
        <v>-1.5001410389243408E-2</v>
      </c>
      <c r="I134" s="83">
        <v>1.8350200165725084E-2</v>
      </c>
      <c r="J134" s="83">
        <v>-6.8151783508844377E-2</v>
      </c>
      <c r="K134" s="84">
        <v>-0.14271150902962326</v>
      </c>
    </row>
    <row r="135" spans="1:11">
      <c r="A135" s="147" t="str">
        <f t="shared" si="7"/>
        <v>Aandelen ontw</v>
      </c>
      <c r="B135" s="83">
        <v>7.888144630971039E-2</v>
      </c>
      <c r="C135" s="83">
        <v>5.6290840075746598E-2</v>
      </c>
      <c r="D135" s="83">
        <v>-5.0668020034901229E-2</v>
      </c>
      <c r="E135" s="83">
        <v>-0.143476943707742</v>
      </c>
      <c r="F135" s="83">
        <v>-8.595312319249071E-2</v>
      </c>
      <c r="G135" s="151">
        <v>-3.6806140284931677E-2</v>
      </c>
      <c r="H135" s="83">
        <v>-0.13411329500608138</v>
      </c>
      <c r="I135" s="83">
        <v>-6.395250688912657E-2</v>
      </c>
      <c r="J135" s="83">
        <v>-4.3385699574238039E-2</v>
      </c>
      <c r="K135" s="84">
        <v>-0.14433234480063456</v>
      </c>
    </row>
    <row r="136" spans="1:11">
      <c r="A136" s="147" t="str">
        <f t="shared" si="7"/>
        <v>Aandelen opk</v>
      </c>
      <c r="B136" s="83">
        <v>2.0536738705801028E-2</v>
      </c>
      <c r="C136" s="83">
        <v>-1.5578453646869446E-2</v>
      </c>
      <c r="D136" s="83">
        <v>-1.3786713207860615E-2</v>
      </c>
      <c r="E136" s="83">
        <v>-0.11434838152979443</v>
      </c>
      <c r="F136" s="83">
        <v>-1.5001410389243408E-2</v>
      </c>
      <c r="G136" s="83">
        <v>-0.13411329500608138</v>
      </c>
      <c r="H136" s="151">
        <v>-2.4024513892395571E-2</v>
      </c>
      <c r="I136" s="83">
        <v>-3.24415603390657E-2</v>
      </c>
      <c r="J136" s="83">
        <v>-4.0330896746586908E-2</v>
      </c>
      <c r="K136" s="84">
        <v>-0.12811111916728496</v>
      </c>
    </row>
    <row r="137" spans="1:11">
      <c r="A137" s="147" t="str">
        <f t="shared" si="7"/>
        <v>Hedge funds</v>
      </c>
      <c r="B137" s="83">
        <v>0.20606610244590901</v>
      </c>
      <c r="C137" s="83">
        <v>8.388996510493392E-2</v>
      </c>
      <c r="D137" s="83">
        <v>-0.21194265883981259</v>
      </c>
      <c r="E137" s="83">
        <v>-3.4443218317613822E-2</v>
      </c>
      <c r="F137" s="83">
        <v>1.8350200165725084E-2</v>
      </c>
      <c r="G137" s="83">
        <v>-6.395250688912657E-2</v>
      </c>
      <c r="H137" s="83">
        <v>-3.24415603390657E-2</v>
      </c>
      <c r="I137" s="166">
        <v>0.05</v>
      </c>
      <c r="J137" s="83">
        <v>-0.14615165313209905</v>
      </c>
      <c r="K137" s="84">
        <v>-0.2894409383542384</v>
      </c>
    </row>
    <row r="138" spans="1:11">
      <c r="A138" s="147" t="str">
        <f t="shared" si="7"/>
        <v>OG</v>
      </c>
      <c r="B138" s="83">
        <v>0.14011276432957054</v>
      </c>
      <c r="C138" s="83">
        <v>5.6324160721505756E-2</v>
      </c>
      <c r="D138" s="83">
        <v>-0.18953914181475942</v>
      </c>
      <c r="E138" s="83">
        <v>-6.7853109690286184E-2</v>
      </c>
      <c r="F138" s="83">
        <v>-6.8151783508844377E-2</v>
      </c>
      <c r="G138" s="83">
        <v>-4.3385699574238039E-2</v>
      </c>
      <c r="H138" s="83">
        <v>-4.0330896746586908E-2</v>
      </c>
      <c r="I138" s="83">
        <v>-0.14615165313209905</v>
      </c>
      <c r="J138" s="166">
        <v>-1.0093826837884137E-2</v>
      </c>
      <c r="K138" s="84">
        <v>-0.15122033452681916</v>
      </c>
    </row>
    <row r="139" spans="1:11">
      <c r="A139" s="146" t="str">
        <f t="shared" si="7"/>
        <v>Commodities</v>
      </c>
      <c r="B139" s="86">
        <v>0.15047956318851441</v>
      </c>
      <c r="C139" s="86">
        <v>0.15211552114400606</v>
      </c>
      <c r="D139" s="86">
        <v>-0.13698576121952513</v>
      </c>
      <c r="E139" s="86">
        <v>-0.17277427161463785</v>
      </c>
      <c r="F139" s="86">
        <v>-0.14271150902962326</v>
      </c>
      <c r="G139" s="86">
        <v>-0.14433234480063456</v>
      </c>
      <c r="H139" s="86">
        <v>-0.12811111916728496</v>
      </c>
      <c r="I139" s="86">
        <v>-0.2894409383542384</v>
      </c>
      <c r="J139" s="86">
        <v>-0.15122033452681916</v>
      </c>
      <c r="K139" s="187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" enableFormatConditionsCalculation="0">
    <tabColor indexed="15"/>
  </sheetPr>
  <dimension ref="A1:Z157"/>
  <sheetViews>
    <sheetView zoomScale="75" workbookViewId="0">
      <selection activeCell="G116" sqref="G116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visies'!E2</f>
        <v>Schuld deflatie</v>
      </c>
      <c r="C1" s="3" t="s">
        <v>129</v>
      </c>
      <c r="D1" s="25">
        <v>4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02"/>
      <c r="B5" s="144"/>
      <c r="C5" s="145"/>
      <c r="D5" s="145"/>
      <c r="E5" s="145"/>
      <c r="F5" s="145"/>
      <c r="G5" s="145"/>
      <c r="H5" s="145"/>
      <c r="I5" s="145"/>
      <c r="J5" s="145"/>
      <c r="K5" s="140"/>
      <c r="M5" s="3"/>
    </row>
    <row r="6" spans="1:25">
      <c r="A6" s="9" t="s">
        <v>145</v>
      </c>
      <c r="B6" s="141" t="s">
        <v>77</v>
      </c>
      <c r="C6" s="51" t="s">
        <v>78</v>
      </c>
      <c r="D6" s="51" t="s">
        <v>73</v>
      </c>
      <c r="E6" s="51" t="s">
        <v>4</v>
      </c>
      <c r="F6" s="51" t="s">
        <v>0</v>
      </c>
      <c r="G6" s="51" t="s">
        <v>82</v>
      </c>
      <c r="H6" s="51" t="s">
        <v>83</v>
      </c>
      <c r="I6" s="51" t="s">
        <v>5</v>
      </c>
      <c r="J6" s="51" t="s">
        <v>1</v>
      </c>
      <c r="K6" s="52" t="s">
        <v>6</v>
      </c>
      <c r="M6" s="3"/>
      <c r="X6" s="3" t="s">
        <v>146</v>
      </c>
    </row>
    <row r="7" spans="1:25">
      <c r="A7" s="147" t="s">
        <v>77</v>
      </c>
      <c r="B7" s="224">
        <v>1</v>
      </c>
      <c r="C7" s="225">
        <v>0</v>
      </c>
      <c r="D7" s="225">
        <v>0</v>
      </c>
      <c r="E7" s="225">
        <v>0</v>
      </c>
      <c r="F7" s="225">
        <v>0</v>
      </c>
      <c r="G7" s="225">
        <v>0</v>
      </c>
      <c r="H7" s="225">
        <v>0</v>
      </c>
      <c r="I7" s="225">
        <v>0</v>
      </c>
      <c r="J7" s="225">
        <v>0</v>
      </c>
      <c r="K7" s="226">
        <v>0</v>
      </c>
      <c r="X7" t="s">
        <v>148</v>
      </c>
      <c r="Y7">
        <v>-20</v>
      </c>
    </row>
    <row r="8" spans="1:25">
      <c r="A8" s="147" t="s">
        <v>78</v>
      </c>
      <c r="B8" s="224">
        <v>0</v>
      </c>
      <c r="C8" s="225">
        <v>1</v>
      </c>
      <c r="D8" s="225">
        <v>0</v>
      </c>
      <c r="E8" s="225">
        <v>0</v>
      </c>
      <c r="F8" s="225">
        <v>0</v>
      </c>
      <c r="G8" s="225">
        <v>0</v>
      </c>
      <c r="H8" s="225">
        <v>0</v>
      </c>
      <c r="I8" s="225">
        <v>0</v>
      </c>
      <c r="J8" s="225">
        <v>0</v>
      </c>
      <c r="K8" s="226">
        <v>0</v>
      </c>
      <c r="X8" t="s">
        <v>149</v>
      </c>
      <c r="Y8">
        <v>-10</v>
      </c>
    </row>
    <row r="9" spans="1:25">
      <c r="A9" s="147" t="s">
        <v>73</v>
      </c>
      <c r="B9" s="224">
        <v>0</v>
      </c>
      <c r="C9" s="225">
        <v>0</v>
      </c>
      <c r="D9" s="225">
        <v>1</v>
      </c>
      <c r="E9" s="225">
        <v>0</v>
      </c>
      <c r="F9" s="225">
        <v>0</v>
      </c>
      <c r="G9" s="225">
        <v>0</v>
      </c>
      <c r="H9" s="225">
        <v>0</v>
      </c>
      <c r="I9" s="225">
        <v>0</v>
      </c>
      <c r="J9" s="225">
        <v>0</v>
      </c>
      <c r="K9" s="226">
        <v>0</v>
      </c>
      <c r="X9" t="s">
        <v>147</v>
      </c>
      <c r="Y9">
        <v>0</v>
      </c>
    </row>
    <row r="10" spans="1:25">
      <c r="A10" s="147" t="s">
        <v>4</v>
      </c>
      <c r="B10" s="224">
        <v>0</v>
      </c>
      <c r="C10" s="225">
        <v>0</v>
      </c>
      <c r="D10" s="225">
        <v>0</v>
      </c>
      <c r="E10" s="225">
        <v>1</v>
      </c>
      <c r="F10" s="225">
        <v>0</v>
      </c>
      <c r="G10" s="225">
        <v>0</v>
      </c>
      <c r="H10" s="225">
        <v>0</v>
      </c>
      <c r="I10" s="225">
        <v>0</v>
      </c>
      <c r="J10" s="225">
        <v>0</v>
      </c>
      <c r="K10" s="226">
        <v>0</v>
      </c>
      <c r="X10" t="s">
        <v>151</v>
      </c>
      <c r="Y10">
        <v>10</v>
      </c>
    </row>
    <row r="11" spans="1:25">
      <c r="A11" s="147" t="s">
        <v>0</v>
      </c>
      <c r="B11" s="224">
        <v>0</v>
      </c>
      <c r="C11" s="225">
        <v>0</v>
      </c>
      <c r="D11" s="225">
        <v>0</v>
      </c>
      <c r="E11" s="225">
        <v>0</v>
      </c>
      <c r="F11" s="225">
        <v>1</v>
      </c>
      <c r="G11" s="225">
        <v>0</v>
      </c>
      <c r="H11" s="225">
        <v>0</v>
      </c>
      <c r="I11" s="225">
        <v>0</v>
      </c>
      <c r="J11" s="225">
        <v>0</v>
      </c>
      <c r="K11" s="226">
        <v>0</v>
      </c>
      <c r="X11" t="s">
        <v>152</v>
      </c>
      <c r="Y11">
        <v>20</v>
      </c>
    </row>
    <row r="12" spans="1:25">
      <c r="A12" s="147" t="s">
        <v>82</v>
      </c>
      <c r="B12" s="224">
        <v>0</v>
      </c>
      <c r="C12" s="225">
        <v>0</v>
      </c>
      <c r="D12" s="225">
        <v>0</v>
      </c>
      <c r="E12" s="225">
        <v>0</v>
      </c>
      <c r="F12" s="225">
        <v>0</v>
      </c>
      <c r="G12" s="225">
        <v>1</v>
      </c>
      <c r="H12" s="225">
        <v>0</v>
      </c>
      <c r="I12" s="225">
        <v>0</v>
      </c>
      <c r="J12" s="225">
        <v>0</v>
      </c>
      <c r="K12" s="226">
        <v>0</v>
      </c>
      <c r="X12" t="s">
        <v>150</v>
      </c>
      <c r="Y12">
        <v>-99</v>
      </c>
    </row>
    <row r="13" spans="1:25">
      <c r="A13" s="147" t="s">
        <v>83</v>
      </c>
      <c r="B13" s="224">
        <v>0</v>
      </c>
      <c r="C13" s="225">
        <v>0</v>
      </c>
      <c r="D13" s="225">
        <v>0</v>
      </c>
      <c r="E13" s="225">
        <v>0</v>
      </c>
      <c r="F13" s="225">
        <v>0</v>
      </c>
      <c r="G13" s="225">
        <v>0</v>
      </c>
      <c r="H13" s="225">
        <v>1</v>
      </c>
      <c r="I13" s="225">
        <v>0</v>
      </c>
      <c r="J13" s="225">
        <v>0</v>
      </c>
      <c r="K13" s="226">
        <v>0</v>
      </c>
    </row>
    <row r="14" spans="1:25">
      <c r="A14" s="147" t="s">
        <v>5</v>
      </c>
      <c r="B14" s="224">
        <v>0</v>
      </c>
      <c r="C14" s="225">
        <v>0</v>
      </c>
      <c r="D14" s="225">
        <v>0</v>
      </c>
      <c r="E14" s="225">
        <v>0</v>
      </c>
      <c r="F14" s="225">
        <v>0</v>
      </c>
      <c r="G14" s="225">
        <v>0</v>
      </c>
      <c r="H14" s="225">
        <v>0</v>
      </c>
      <c r="I14" s="225">
        <v>1</v>
      </c>
      <c r="J14" s="225">
        <v>0</v>
      </c>
      <c r="K14" s="226">
        <v>0</v>
      </c>
    </row>
    <row r="15" spans="1:25">
      <c r="A15" s="147" t="s">
        <v>1</v>
      </c>
      <c r="B15" s="224">
        <v>0</v>
      </c>
      <c r="C15" s="225">
        <v>0</v>
      </c>
      <c r="D15" s="225">
        <v>0</v>
      </c>
      <c r="E15" s="225">
        <v>0</v>
      </c>
      <c r="F15" s="225">
        <v>0</v>
      </c>
      <c r="G15" s="225">
        <v>0</v>
      </c>
      <c r="H15" s="225">
        <v>0</v>
      </c>
      <c r="I15" s="225">
        <v>0</v>
      </c>
      <c r="J15" s="225">
        <v>1</v>
      </c>
      <c r="K15" s="226">
        <v>0</v>
      </c>
    </row>
    <row r="16" spans="1:25">
      <c r="A16" s="146" t="s">
        <v>6</v>
      </c>
      <c r="B16" s="227">
        <v>0</v>
      </c>
      <c r="C16" s="228">
        <v>0</v>
      </c>
      <c r="D16" s="228">
        <v>0</v>
      </c>
      <c r="E16" s="228">
        <v>0</v>
      </c>
      <c r="F16" s="228">
        <v>0</v>
      </c>
      <c r="G16" s="228">
        <v>0</v>
      </c>
      <c r="H16" s="228">
        <v>0</v>
      </c>
      <c r="I16" s="228">
        <v>0</v>
      </c>
      <c r="J16" s="228">
        <v>0</v>
      </c>
      <c r="K16" s="229">
        <v>1</v>
      </c>
    </row>
    <row r="18" spans="1:26">
      <c r="A18" s="2" t="s">
        <v>160</v>
      </c>
    </row>
    <row r="19" spans="1:26">
      <c r="A19" s="148"/>
      <c r="B19" s="145"/>
      <c r="C19" s="145"/>
      <c r="D19" s="145"/>
      <c r="E19" s="145"/>
      <c r="F19" s="145"/>
      <c r="G19" s="145"/>
      <c r="H19" s="145"/>
      <c r="I19" s="145"/>
      <c r="J19" s="145"/>
      <c r="K19" s="4"/>
    </row>
    <row r="20" spans="1:26">
      <c r="A20" s="146" t="s">
        <v>145</v>
      </c>
      <c r="B20" s="51" t="s">
        <v>77</v>
      </c>
      <c r="C20" s="51" t="s">
        <v>78</v>
      </c>
      <c r="D20" s="51" t="s">
        <v>73</v>
      </c>
      <c r="E20" s="51" t="s">
        <v>4</v>
      </c>
      <c r="F20" s="51" t="s">
        <v>0</v>
      </c>
      <c r="G20" s="51" t="s">
        <v>82</v>
      </c>
      <c r="H20" s="51" t="s">
        <v>83</v>
      </c>
      <c r="I20" s="51" t="s">
        <v>5</v>
      </c>
      <c r="J20" s="51" t="s">
        <v>1</v>
      </c>
      <c r="K20" s="52" t="s">
        <v>6</v>
      </c>
    </row>
    <row r="21" spans="1:26">
      <c r="A21" s="147" t="s">
        <v>77</v>
      </c>
      <c r="B21" s="225">
        <v>1</v>
      </c>
      <c r="C21" s="225">
        <v>0</v>
      </c>
      <c r="D21" s="225">
        <v>0</v>
      </c>
      <c r="E21" s="225">
        <v>0</v>
      </c>
      <c r="F21" s="225">
        <v>0</v>
      </c>
      <c r="G21" s="225">
        <v>0</v>
      </c>
      <c r="H21" s="225">
        <v>0</v>
      </c>
      <c r="I21" s="225">
        <v>0</v>
      </c>
      <c r="J21" s="225">
        <v>0</v>
      </c>
      <c r="K21" s="230">
        <v>0</v>
      </c>
    </row>
    <row r="22" spans="1:26">
      <c r="A22" s="147" t="s">
        <v>78</v>
      </c>
      <c r="B22" s="225">
        <v>0</v>
      </c>
      <c r="C22" s="225">
        <v>1</v>
      </c>
      <c r="D22" s="225">
        <v>0</v>
      </c>
      <c r="E22" s="225">
        <v>0</v>
      </c>
      <c r="F22" s="225">
        <v>0</v>
      </c>
      <c r="G22" s="225">
        <v>0</v>
      </c>
      <c r="H22" s="225">
        <v>0</v>
      </c>
      <c r="I22" s="225">
        <v>0</v>
      </c>
      <c r="J22" s="225">
        <v>0</v>
      </c>
      <c r="K22" s="226">
        <v>0</v>
      </c>
    </row>
    <row r="23" spans="1:26">
      <c r="A23" s="147" t="s">
        <v>73</v>
      </c>
      <c r="B23" s="225">
        <v>0</v>
      </c>
      <c r="C23" s="225">
        <v>0</v>
      </c>
      <c r="D23" s="225">
        <v>1</v>
      </c>
      <c r="E23" s="225">
        <v>0</v>
      </c>
      <c r="F23" s="225">
        <v>0</v>
      </c>
      <c r="G23" s="225">
        <v>0</v>
      </c>
      <c r="H23" s="225">
        <v>0</v>
      </c>
      <c r="I23" s="225">
        <v>0</v>
      </c>
      <c r="J23" s="225">
        <v>0</v>
      </c>
      <c r="K23" s="226">
        <v>0</v>
      </c>
    </row>
    <row r="24" spans="1:26">
      <c r="A24" s="147" t="s">
        <v>4</v>
      </c>
      <c r="B24" s="225">
        <v>0</v>
      </c>
      <c r="C24" s="225">
        <v>0</v>
      </c>
      <c r="D24" s="225">
        <v>0</v>
      </c>
      <c r="E24" s="225">
        <v>1</v>
      </c>
      <c r="F24" s="225">
        <v>0</v>
      </c>
      <c r="G24" s="225">
        <v>0</v>
      </c>
      <c r="H24" s="225">
        <v>0</v>
      </c>
      <c r="I24" s="225">
        <v>0</v>
      </c>
      <c r="J24" s="225">
        <v>0</v>
      </c>
      <c r="K24" s="226">
        <v>0</v>
      </c>
    </row>
    <row r="25" spans="1:26">
      <c r="A25" s="147" t="s">
        <v>0</v>
      </c>
      <c r="B25" s="225">
        <v>0</v>
      </c>
      <c r="C25" s="225">
        <v>0</v>
      </c>
      <c r="D25" s="225">
        <v>0</v>
      </c>
      <c r="E25" s="225">
        <v>0</v>
      </c>
      <c r="F25" s="225">
        <v>1</v>
      </c>
      <c r="G25" s="225">
        <v>0</v>
      </c>
      <c r="H25" s="225">
        <v>0</v>
      </c>
      <c r="I25" s="225">
        <v>0</v>
      </c>
      <c r="J25" s="225">
        <v>0</v>
      </c>
      <c r="K25" s="226">
        <v>0</v>
      </c>
    </row>
    <row r="26" spans="1:26">
      <c r="A26" s="147" t="s">
        <v>82</v>
      </c>
      <c r="B26" s="225">
        <v>0</v>
      </c>
      <c r="C26" s="225">
        <v>0</v>
      </c>
      <c r="D26" s="225">
        <v>0</v>
      </c>
      <c r="E26" s="225">
        <v>0</v>
      </c>
      <c r="F26" s="225">
        <v>0</v>
      </c>
      <c r="G26" s="225">
        <v>1</v>
      </c>
      <c r="H26" s="225">
        <v>0</v>
      </c>
      <c r="I26" s="225">
        <v>0</v>
      </c>
      <c r="J26" s="225">
        <v>0</v>
      </c>
      <c r="K26" s="226">
        <v>0</v>
      </c>
    </row>
    <row r="27" spans="1:26">
      <c r="A27" s="147" t="s">
        <v>83</v>
      </c>
      <c r="B27" s="225">
        <v>0</v>
      </c>
      <c r="C27" s="225">
        <v>0</v>
      </c>
      <c r="D27" s="225">
        <v>0</v>
      </c>
      <c r="E27" s="225">
        <v>0</v>
      </c>
      <c r="F27" s="225">
        <v>0</v>
      </c>
      <c r="G27" s="225">
        <v>0</v>
      </c>
      <c r="H27" s="225">
        <v>1</v>
      </c>
      <c r="I27" s="225">
        <v>0</v>
      </c>
      <c r="J27" s="225">
        <v>0</v>
      </c>
      <c r="K27" s="226">
        <v>0</v>
      </c>
    </row>
    <row r="28" spans="1:26">
      <c r="A28" s="147" t="s">
        <v>5</v>
      </c>
      <c r="B28" s="225">
        <v>0</v>
      </c>
      <c r="C28" s="225">
        <v>0</v>
      </c>
      <c r="D28" s="225">
        <v>0</v>
      </c>
      <c r="E28" s="225">
        <v>0</v>
      </c>
      <c r="F28" s="225">
        <v>0</v>
      </c>
      <c r="G28" s="225">
        <v>0</v>
      </c>
      <c r="H28" s="225">
        <v>0</v>
      </c>
      <c r="I28" s="225">
        <v>1</v>
      </c>
      <c r="J28" s="225">
        <v>0</v>
      </c>
      <c r="K28" s="226">
        <v>0</v>
      </c>
    </row>
    <row r="29" spans="1:26">
      <c r="A29" s="147" t="s">
        <v>1</v>
      </c>
      <c r="B29" s="225">
        <v>0</v>
      </c>
      <c r="C29" s="225">
        <v>0</v>
      </c>
      <c r="D29" s="225">
        <v>0</v>
      </c>
      <c r="E29" s="225">
        <v>0</v>
      </c>
      <c r="F29" s="225">
        <v>0</v>
      </c>
      <c r="G29" s="225">
        <v>0</v>
      </c>
      <c r="H29" s="225">
        <v>0</v>
      </c>
      <c r="I29" s="225">
        <v>0</v>
      </c>
      <c r="J29" s="225">
        <v>1</v>
      </c>
      <c r="K29" s="226">
        <v>0</v>
      </c>
    </row>
    <row r="30" spans="1:26">
      <c r="A30" s="146" t="s">
        <v>6</v>
      </c>
      <c r="B30" s="228">
        <v>0</v>
      </c>
      <c r="C30" s="228">
        <v>0</v>
      </c>
      <c r="D30" s="228">
        <v>0</v>
      </c>
      <c r="E30" s="228">
        <v>0</v>
      </c>
      <c r="F30" s="228">
        <v>0</v>
      </c>
      <c r="G30" s="228">
        <v>0</v>
      </c>
      <c r="H30" s="228">
        <v>0</v>
      </c>
      <c r="I30" s="228">
        <v>0</v>
      </c>
      <c r="J30" s="228">
        <v>0</v>
      </c>
      <c r="K30" s="229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89" t="s">
        <v>36</v>
      </c>
      <c r="C37" s="50" t="s">
        <v>162</v>
      </c>
      <c r="D37" s="168" t="s">
        <v>164</v>
      </c>
      <c r="E37" s="171" t="s">
        <v>166</v>
      </c>
      <c r="F37" s="156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31">
        <v>0.03</v>
      </c>
      <c r="C38" s="133">
        <v>0.1</v>
      </c>
      <c r="D38" s="175">
        <v>7.0000000000000007E-2</v>
      </c>
      <c r="E38" s="177">
        <v>7.0000000000000007E-2</v>
      </c>
      <c r="F38" s="161" t="s">
        <v>75</v>
      </c>
    </row>
    <row r="39" spans="1:26">
      <c r="A39" s="11" t="str">
        <f t="shared" si="0"/>
        <v>Reele VPV</v>
      </c>
      <c r="B39" s="131">
        <v>0.03</v>
      </c>
      <c r="C39" s="133">
        <v>0</v>
      </c>
      <c r="D39" s="169">
        <v>-0.03</v>
      </c>
      <c r="E39" s="178">
        <v>-0.03</v>
      </c>
      <c r="F39" s="161" t="s">
        <v>75</v>
      </c>
    </row>
    <row r="40" spans="1:26">
      <c r="A40" s="11" t="str">
        <f t="shared" si="0"/>
        <v>Credits</v>
      </c>
      <c r="B40" s="131">
        <v>5.5641316288239581E-2</v>
      </c>
      <c r="C40" s="133">
        <v>0</v>
      </c>
      <c r="D40" s="169">
        <v>-5.5641316288239581E-2</v>
      </c>
      <c r="E40" s="178">
        <v>-5.5641316288239581E-2</v>
      </c>
      <c r="F40" s="161" t="s">
        <v>75</v>
      </c>
    </row>
    <row r="41" spans="1:26">
      <c r="A41" s="11" t="str">
        <f t="shared" si="0"/>
        <v>High Yield</v>
      </c>
      <c r="B41" s="131">
        <v>5.6496387380050681E-2</v>
      </c>
      <c r="C41" s="133">
        <v>-0.1</v>
      </c>
      <c r="D41" s="169">
        <v>-0.15649638738005067</v>
      </c>
      <c r="E41" s="178">
        <v>-0.15649638738005067</v>
      </c>
      <c r="F41" s="161" t="s">
        <v>75</v>
      </c>
    </row>
    <row r="42" spans="1:26">
      <c r="A42" s="11" t="str">
        <f t="shared" si="0"/>
        <v>EMD</v>
      </c>
      <c r="B42" s="131">
        <v>5.6528262962781142E-2</v>
      </c>
      <c r="C42" s="133">
        <v>-0.08</v>
      </c>
      <c r="D42" s="169">
        <v>-0.13652826296278114</v>
      </c>
      <c r="E42" s="178">
        <v>-0.13652826296278114</v>
      </c>
      <c r="F42" s="161" t="s">
        <v>75</v>
      </c>
    </row>
    <row r="43" spans="1:26">
      <c r="A43" s="11" t="str">
        <f t="shared" si="0"/>
        <v>Aandelen ontw</v>
      </c>
      <c r="B43" s="131">
        <v>6.4356314621335148E-2</v>
      </c>
      <c r="C43" s="133">
        <v>-0.2</v>
      </c>
      <c r="D43" s="169">
        <v>-0.26435631462133513</v>
      </c>
      <c r="E43" s="178">
        <v>-0.26435631462133513</v>
      </c>
      <c r="F43" s="161" t="s">
        <v>75</v>
      </c>
    </row>
    <row r="44" spans="1:26">
      <c r="A44" s="11" t="str">
        <f t="shared" si="0"/>
        <v>Aandelen opk</v>
      </c>
      <c r="B44" s="131">
        <v>9.1561672924114379E-2</v>
      </c>
      <c r="C44" s="133">
        <v>-0.22</v>
      </c>
      <c r="D44" s="169">
        <v>-0.31156167292411441</v>
      </c>
      <c r="E44" s="178">
        <v>-0.31156167292411441</v>
      </c>
      <c r="F44" s="161" t="s">
        <v>75</v>
      </c>
    </row>
    <row r="45" spans="1:26">
      <c r="A45" s="11" t="str">
        <f t="shared" si="0"/>
        <v>Hedge funds</v>
      </c>
      <c r="B45" s="131">
        <v>5.1135067781966595E-2</v>
      </c>
      <c r="C45" s="133">
        <v>-0.12</v>
      </c>
      <c r="D45" s="169">
        <v>-0.17113506778196658</v>
      </c>
      <c r="E45" s="178">
        <v>-0.17113506778196658</v>
      </c>
      <c r="F45" s="161" t="s">
        <v>75</v>
      </c>
    </row>
    <row r="46" spans="1:26">
      <c r="A46" s="11" t="str">
        <f t="shared" si="0"/>
        <v>OG</v>
      </c>
      <c r="B46" s="131">
        <v>4.7615162118704334E-2</v>
      </c>
      <c r="C46" s="133">
        <v>-0.1</v>
      </c>
      <c r="D46" s="169">
        <v>-0.14761516211870435</v>
      </c>
      <c r="E46" s="178">
        <v>-0.14761516211870435</v>
      </c>
      <c r="F46" s="161" t="s">
        <v>75</v>
      </c>
    </row>
    <row r="47" spans="1:26" ht="13.5" thickBot="1">
      <c r="A47" s="12" t="str">
        <f t="shared" si="0"/>
        <v>Commodities</v>
      </c>
      <c r="B47" s="135">
        <v>8.0977052013787992E-2</v>
      </c>
      <c r="C47" s="137">
        <v>-0.25</v>
      </c>
      <c r="D47" s="170">
        <v>-0.33097705201378802</v>
      </c>
      <c r="E47" s="179">
        <v>-0.33097705201378802</v>
      </c>
      <c r="F47" s="162" t="s">
        <v>75</v>
      </c>
    </row>
    <row r="48" spans="1:26" ht="13.5" thickTop="1"/>
    <row r="49" spans="1:11">
      <c r="A49" s="2" t="s">
        <v>158</v>
      </c>
    </row>
    <row r="50" spans="1:11">
      <c r="A50" s="148" t="s">
        <v>36</v>
      </c>
      <c r="B50" s="145"/>
      <c r="C50" s="145"/>
      <c r="D50" s="145"/>
      <c r="E50" s="145"/>
      <c r="F50" s="145"/>
      <c r="G50" s="145"/>
      <c r="H50" s="145"/>
      <c r="I50" s="145"/>
      <c r="J50" s="145"/>
      <c r="K50" s="4"/>
    </row>
    <row r="51" spans="1:11">
      <c r="A51" s="146" t="s">
        <v>145</v>
      </c>
      <c r="B51" s="51" t="str">
        <f>A52</f>
        <v>Nominale VPV</v>
      </c>
      <c r="C51" s="51" t="str">
        <f>A53</f>
        <v>Reele VPV</v>
      </c>
      <c r="D51" s="51" t="str">
        <f>A54</f>
        <v>Credits</v>
      </c>
      <c r="E51" s="51" t="str">
        <f>A55</f>
        <v>High Yield</v>
      </c>
      <c r="F51" s="51" t="str">
        <f>A56</f>
        <v>EMD</v>
      </c>
      <c r="G51" s="51" t="str">
        <f>A57</f>
        <v>Aandelen ontw</v>
      </c>
      <c r="H51" s="51" t="str">
        <f>A58</f>
        <v>Aandelen opk</v>
      </c>
      <c r="I51" s="51" t="str">
        <f>A59</f>
        <v>Hedge funds</v>
      </c>
      <c r="J51" s="51" t="str">
        <f>A60</f>
        <v>OG</v>
      </c>
      <c r="K51" s="52" t="str">
        <f>A61</f>
        <v>Commodities</v>
      </c>
    </row>
    <row r="52" spans="1:11">
      <c r="A52" s="10" t="str">
        <f t="shared" ref="A52:A61" si="1">A21</f>
        <v>Nominale VPV</v>
      </c>
      <c r="B52" s="180">
        <v>9.3036505477973097E-2</v>
      </c>
      <c r="C52" s="83">
        <v>0.39310073358981634</v>
      </c>
      <c r="D52" s="83">
        <v>0.20929446791729706</v>
      </c>
      <c r="E52" s="83">
        <v>0.21633822527798038</v>
      </c>
      <c r="F52" s="83">
        <v>7.2272238989822338E-2</v>
      </c>
      <c r="G52" s="83">
        <v>8.9492370363700224E-2</v>
      </c>
      <c r="H52" s="83">
        <v>-0.17062817388407636</v>
      </c>
      <c r="I52" s="83">
        <v>-0.19012041366495921</v>
      </c>
      <c r="J52" s="83">
        <v>-4.7308632130733691E-2</v>
      </c>
      <c r="K52" s="150">
        <v>-0.45881257160059641</v>
      </c>
    </row>
    <row r="53" spans="1:11">
      <c r="A53" s="147" t="str">
        <f t="shared" si="1"/>
        <v>Reele VPV</v>
      </c>
      <c r="B53" s="83">
        <v>0.39310073358981634</v>
      </c>
      <c r="C53" s="180">
        <v>0.107113123666156</v>
      </c>
      <c r="D53" s="83">
        <v>0.15199304535500063</v>
      </c>
      <c r="E53" s="83">
        <v>0.24896674047832401</v>
      </c>
      <c r="F53" s="83">
        <v>-4.8620827985643912E-2</v>
      </c>
      <c r="G53" s="83">
        <v>0.12380923643016063</v>
      </c>
      <c r="H53" s="83">
        <v>5.6701855877734457E-2</v>
      </c>
      <c r="I53" s="83">
        <v>-0.14234647836130293</v>
      </c>
      <c r="J53" s="83">
        <v>-0.11987909632091487</v>
      </c>
      <c r="K53" s="84">
        <v>-8.7674543304863753E-2</v>
      </c>
    </row>
    <row r="54" spans="1:11">
      <c r="A54" s="147" t="str">
        <f t="shared" si="1"/>
        <v>Credits</v>
      </c>
      <c r="B54" s="83">
        <v>0.20929446791729706</v>
      </c>
      <c r="C54" s="83">
        <v>0.15199304535500063</v>
      </c>
      <c r="D54" s="180">
        <v>0.14514041524285745</v>
      </c>
      <c r="E54" s="83">
        <v>0.27817222657699892</v>
      </c>
      <c r="F54" s="83">
        <v>-3.7036476676643094E-2</v>
      </c>
      <c r="G54" s="83">
        <v>-2.0652245548069121E-2</v>
      </c>
      <c r="H54" s="83">
        <v>-4.7238096976150878E-4</v>
      </c>
      <c r="I54" s="83">
        <v>3.5291346298508892E-2</v>
      </c>
      <c r="J54" s="83">
        <v>-0.1471489633450169</v>
      </c>
      <c r="K54" s="84">
        <v>3.884979309220634E-2</v>
      </c>
    </row>
    <row r="55" spans="1:11">
      <c r="A55" s="147" t="str">
        <f t="shared" si="1"/>
        <v>High Yield</v>
      </c>
      <c r="B55" s="83">
        <v>0.21633822527798038</v>
      </c>
      <c r="C55" s="83">
        <v>0.24896674047832401</v>
      </c>
      <c r="D55" s="83">
        <v>0.27817222657699892</v>
      </c>
      <c r="E55" s="180">
        <v>0.15212518033194122</v>
      </c>
      <c r="F55" s="83">
        <v>0.54947077664382238</v>
      </c>
      <c r="G55" s="83">
        <v>0.6512857171069153</v>
      </c>
      <c r="H55" s="83">
        <v>0.66085351889108523</v>
      </c>
      <c r="I55" s="83">
        <v>0.4247516304214663</v>
      </c>
      <c r="J55" s="83">
        <v>-0.32361654199607631</v>
      </c>
      <c r="K55" s="84">
        <v>-2.2300336358685715E-3</v>
      </c>
    </row>
    <row r="56" spans="1:11">
      <c r="A56" s="147" t="str">
        <f t="shared" si="1"/>
        <v>EMD</v>
      </c>
      <c r="B56" s="83">
        <v>7.2272238989822338E-2</v>
      </c>
      <c r="C56" s="83">
        <v>-4.8620827985643912E-2</v>
      </c>
      <c r="D56" s="83">
        <v>-3.7036476676643094E-2</v>
      </c>
      <c r="E56" s="83">
        <v>0.54947077664382238</v>
      </c>
      <c r="F56" s="180">
        <v>0.13758409078549244</v>
      </c>
      <c r="G56" s="83">
        <v>0.43704301175382931</v>
      </c>
      <c r="H56" s="83">
        <v>0.47448318291761821</v>
      </c>
      <c r="I56" s="83">
        <v>0.75975680806732404</v>
      </c>
      <c r="J56" s="83">
        <v>0.22497345871183994</v>
      </c>
      <c r="K56" s="84">
        <v>0.50014707286156279</v>
      </c>
    </row>
    <row r="57" spans="1:11">
      <c r="A57" s="147" t="str">
        <f t="shared" si="1"/>
        <v>Aandelen ontw</v>
      </c>
      <c r="B57" s="83">
        <v>8.9492370363700224E-2</v>
      </c>
      <c r="C57" s="83">
        <v>0.12380923643016063</v>
      </c>
      <c r="D57" s="83">
        <v>-2.0652245548069121E-2</v>
      </c>
      <c r="E57" s="83">
        <v>0.6512857171069153</v>
      </c>
      <c r="F57" s="83">
        <v>0.43704301175382931</v>
      </c>
      <c r="G57" s="180">
        <v>0.19354582049076965</v>
      </c>
      <c r="H57" s="83">
        <v>0.75270312398485784</v>
      </c>
      <c r="I57" s="83">
        <v>0.57172393447966652</v>
      </c>
      <c r="J57" s="83">
        <v>-3.5193060592075505E-2</v>
      </c>
      <c r="K57" s="84">
        <v>0.10395609042534409</v>
      </c>
    </row>
    <row r="58" spans="1:11">
      <c r="A58" s="147" t="str">
        <f t="shared" si="1"/>
        <v>Aandelen opk</v>
      </c>
      <c r="B58" s="83">
        <v>-0.17062817388407636</v>
      </c>
      <c r="C58" s="83">
        <v>5.6701855877734457E-2</v>
      </c>
      <c r="D58" s="83">
        <v>-4.7238096976150878E-4</v>
      </c>
      <c r="E58" s="83">
        <v>0.66085351889108523</v>
      </c>
      <c r="F58" s="83">
        <v>0.47448318291761821</v>
      </c>
      <c r="G58" s="83">
        <v>0.75270312398485784</v>
      </c>
      <c r="H58" s="180">
        <v>0.34249727755342518</v>
      </c>
      <c r="I58" s="83">
        <v>0.43308445119592942</v>
      </c>
      <c r="J58" s="83">
        <v>-0.33706927145387583</v>
      </c>
      <c r="K58" s="84">
        <v>0.21126029655546014</v>
      </c>
    </row>
    <row r="59" spans="1:11">
      <c r="A59" s="147" t="str">
        <f t="shared" si="1"/>
        <v>Hedge funds</v>
      </c>
      <c r="B59" s="83">
        <v>-0.19012041366495921</v>
      </c>
      <c r="C59" s="83">
        <v>-0.14234647836130293</v>
      </c>
      <c r="D59" s="83">
        <v>3.5291346298508892E-2</v>
      </c>
      <c r="E59" s="83">
        <v>0.4247516304214663</v>
      </c>
      <c r="F59" s="83">
        <v>0.75975680806732404</v>
      </c>
      <c r="G59" s="83">
        <v>0.57172393447966652</v>
      </c>
      <c r="H59" s="83">
        <v>0.43308445119592942</v>
      </c>
      <c r="I59" s="180">
        <v>7.2522493236444635E-2</v>
      </c>
      <c r="J59" s="83">
        <v>0.53144909307162114</v>
      </c>
      <c r="K59" s="84">
        <v>0.50768184408405903</v>
      </c>
    </row>
    <row r="60" spans="1:11">
      <c r="A60" s="147" t="str">
        <f t="shared" si="1"/>
        <v>OG</v>
      </c>
      <c r="B60" s="83">
        <v>-4.7308632130733691E-2</v>
      </c>
      <c r="C60" s="83">
        <v>-0.11987909632091487</v>
      </c>
      <c r="D60" s="83">
        <v>-0.1471489633450169</v>
      </c>
      <c r="E60" s="83">
        <v>-0.32361654199607631</v>
      </c>
      <c r="F60" s="83">
        <v>0.22497345871183994</v>
      </c>
      <c r="G60" s="83">
        <v>-3.5193060592075505E-2</v>
      </c>
      <c r="H60" s="83">
        <v>-0.33706927145387583</v>
      </c>
      <c r="I60" s="83">
        <v>0.53144909307162114</v>
      </c>
      <c r="J60" s="180">
        <v>4.9766484543779667E-2</v>
      </c>
      <c r="K60" s="84">
        <v>0.24828282028996468</v>
      </c>
    </row>
    <row r="61" spans="1:11">
      <c r="A61" s="146" t="str">
        <f t="shared" si="1"/>
        <v>Commodities</v>
      </c>
      <c r="B61" s="86">
        <v>-0.45881257160059641</v>
      </c>
      <c r="C61" s="86">
        <v>-8.7674543304863753E-2</v>
      </c>
      <c r="D61" s="86">
        <v>3.884979309220634E-2</v>
      </c>
      <c r="E61" s="86">
        <v>-2.2300336358685715E-3</v>
      </c>
      <c r="F61" s="86">
        <v>0.50014707286156279</v>
      </c>
      <c r="G61" s="86">
        <v>0.10395609042534409</v>
      </c>
      <c r="H61" s="86">
        <v>0.21126029655546014</v>
      </c>
      <c r="I61" s="86">
        <v>0.50768184408405903</v>
      </c>
      <c r="J61" s="86">
        <v>0.24828282028996468</v>
      </c>
      <c r="K61" s="181">
        <v>0.25247140962754983</v>
      </c>
    </row>
    <row r="62" spans="1:11">
      <c r="A62" s="149" t="str">
        <f>B1</f>
        <v>Schuld deflatie</v>
      </c>
      <c r="B62" s="145"/>
      <c r="C62" s="145"/>
      <c r="D62" s="145"/>
      <c r="E62" s="145"/>
      <c r="F62" s="145"/>
      <c r="G62" s="145"/>
      <c r="H62" s="145"/>
      <c r="I62" s="145"/>
      <c r="J62" s="145"/>
      <c r="K62" s="4"/>
    </row>
    <row r="63" spans="1:11">
      <c r="A63" s="146" t="s">
        <v>145</v>
      </c>
      <c r="B63" s="51" t="str">
        <f>A64</f>
        <v>Nominale VPV</v>
      </c>
      <c r="C63" s="51" t="str">
        <f>A65</f>
        <v>Reele VPV</v>
      </c>
      <c r="D63" s="51" t="str">
        <f>A66</f>
        <v>Credits</v>
      </c>
      <c r="E63" s="51" t="str">
        <f>A67</f>
        <v>High Yield</v>
      </c>
      <c r="F63" s="51" t="str">
        <f>A68</f>
        <v>EMD</v>
      </c>
      <c r="G63" s="51" t="str">
        <f>A69</f>
        <v>Aandelen ontw</v>
      </c>
      <c r="H63" s="51" t="str">
        <f>A70</f>
        <v>Aandelen opk</v>
      </c>
      <c r="I63" s="51" t="str">
        <f>A71</f>
        <v>Hedge funds</v>
      </c>
      <c r="J63" s="51" t="str">
        <f>A72</f>
        <v>OG</v>
      </c>
      <c r="K63" s="52" t="str">
        <f>A73</f>
        <v>Commodities</v>
      </c>
    </row>
    <row r="64" spans="1:11">
      <c r="A64" s="10" t="str">
        <f t="shared" ref="A64:A73" si="2">A52</f>
        <v>Nominale VPV</v>
      </c>
      <c r="B64" s="180">
        <v>6.278198487999638E-2</v>
      </c>
      <c r="C64" s="83">
        <v>9.9877491908342983E-2</v>
      </c>
      <c r="D64" s="83">
        <v>-0.3510021823850632</v>
      </c>
      <c r="E64" s="83">
        <v>-0.56332882643715232</v>
      </c>
      <c r="F64" s="83">
        <v>-0.30712689971531354</v>
      </c>
      <c r="G64" s="83">
        <v>-0.51444293528865737</v>
      </c>
      <c r="H64" s="83">
        <v>-0.62106428918392464</v>
      </c>
      <c r="I64" s="83">
        <v>-0.56947078770384896</v>
      </c>
      <c r="J64" s="83">
        <v>-0.31725862660871451</v>
      </c>
      <c r="K64" s="150">
        <v>-0.49058561691839803</v>
      </c>
    </row>
    <row r="65" spans="1:11">
      <c r="A65" s="147" t="str">
        <f t="shared" si="2"/>
        <v>Reele VPV</v>
      </c>
      <c r="B65" s="83">
        <v>9.9877491908342983E-2</v>
      </c>
      <c r="C65" s="180">
        <v>4.7617637708429375E-2</v>
      </c>
      <c r="D65" s="83">
        <v>-0.50763892868524696</v>
      </c>
      <c r="E65" s="83">
        <v>-0.38157631581869506</v>
      </c>
      <c r="F65" s="83">
        <v>-0.46484244214113157</v>
      </c>
      <c r="G65" s="83">
        <v>-0.43378053187871835</v>
      </c>
      <c r="H65" s="83">
        <v>-0.36679003495309848</v>
      </c>
      <c r="I65" s="83">
        <v>-0.45878156897895211</v>
      </c>
      <c r="J65" s="83">
        <v>-0.25453357613757527</v>
      </c>
      <c r="K65" s="84">
        <v>-0.4316186755007369</v>
      </c>
    </row>
    <row r="66" spans="1:11">
      <c r="A66" s="147" t="str">
        <f t="shared" si="2"/>
        <v>Credits</v>
      </c>
      <c r="B66" s="83">
        <v>-0.3510021823850632</v>
      </c>
      <c r="C66" s="83">
        <v>-0.50763892868524696</v>
      </c>
      <c r="D66" s="180">
        <v>0.10041038567587704</v>
      </c>
      <c r="E66" s="83">
        <v>0.83457817860033645</v>
      </c>
      <c r="F66" s="83">
        <v>0.87409116616389027</v>
      </c>
      <c r="G66" s="83">
        <v>0.88606607622819966</v>
      </c>
      <c r="H66" s="83">
        <v>0.82459036474353009</v>
      </c>
      <c r="I66" s="83">
        <v>0.89744839036297208</v>
      </c>
      <c r="J66" s="83">
        <v>0.50108032792987411</v>
      </c>
      <c r="K66" s="84">
        <v>0.89585653852424796</v>
      </c>
    </row>
    <row r="67" spans="1:11">
      <c r="A67" s="147" t="str">
        <f t="shared" si="2"/>
        <v>High Yield</v>
      </c>
      <c r="B67" s="83">
        <v>-0.56332882643715232</v>
      </c>
      <c r="C67" s="83">
        <v>-0.38157631581869506</v>
      </c>
      <c r="D67" s="83">
        <v>0.83457817860033645</v>
      </c>
      <c r="E67" s="180">
        <v>0.2218667877383276</v>
      </c>
      <c r="F67" s="83">
        <v>0.92695587256775092</v>
      </c>
      <c r="G67" s="83">
        <v>0.96689549184976964</v>
      </c>
      <c r="H67" s="83">
        <v>0.98237398848218072</v>
      </c>
      <c r="I67" s="83">
        <v>0.94010403720414804</v>
      </c>
      <c r="J67" s="83">
        <v>0.33591710963927707</v>
      </c>
      <c r="K67" s="84">
        <v>0.89134689877896989</v>
      </c>
    </row>
    <row r="68" spans="1:11">
      <c r="A68" s="147" t="str">
        <f t="shared" si="2"/>
        <v>EMD</v>
      </c>
      <c r="B68" s="83">
        <v>-0.30712689971531354</v>
      </c>
      <c r="C68" s="83">
        <v>-0.46484244214113157</v>
      </c>
      <c r="D68" s="83">
        <v>0.87409116616389027</v>
      </c>
      <c r="E68" s="83">
        <v>0.92695587256775092</v>
      </c>
      <c r="F68" s="180">
        <v>0.12821530287470745</v>
      </c>
      <c r="G68" s="83">
        <v>0.93245105038052445</v>
      </c>
      <c r="H68" s="83">
        <v>0.90175992585785503</v>
      </c>
      <c r="I68" s="83">
        <v>0.8874434496041671</v>
      </c>
      <c r="J68" s="83">
        <v>0.29879289715154606</v>
      </c>
      <c r="K68" s="84">
        <v>0.91686795609968563</v>
      </c>
    </row>
    <row r="69" spans="1:11">
      <c r="A69" s="147" t="str">
        <f t="shared" si="2"/>
        <v>Aandelen ontw</v>
      </c>
      <c r="B69" s="83">
        <v>-0.51444293528865737</v>
      </c>
      <c r="C69" s="83">
        <v>-0.43378053187871835</v>
      </c>
      <c r="D69" s="83">
        <v>0.88606607622819966</v>
      </c>
      <c r="E69" s="83">
        <v>0.96689549184976964</v>
      </c>
      <c r="F69" s="83">
        <v>0.93245105038052445</v>
      </c>
      <c r="G69" s="180">
        <v>0.20792869523558111</v>
      </c>
      <c r="H69" s="83">
        <v>0.96934497766265126</v>
      </c>
      <c r="I69" s="83">
        <v>0.95514653766346602</v>
      </c>
      <c r="J69" s="83">
        <v>0.40131975108808021</v>
      </c>
      <c r="K69" s="84">
        <v>0.9162478906330811</v>
      </c>
    </row>
    <row r="70" spans="1:11">
      <c r="A70" s="147" t="str">
        <f t="shared" si="2"/>
        <v>Aandelen opk</v>
      </c>
      <c r="B70" s="83">
        <v>-0.62106428918392464</v>
      </c>
      <c r="C70" s="83">
        <v>-0.36679003495309848</v>
      </c>
      <c r="D70" s="83">
        <v>0.82459036474353009</v>
      </c>
      <c r="E70" s="83">
        <v>0.98237398848218072</v>
      </c>
      <c r="F70" s="83">
        <v>0.90175992585785503</v>
      </c>
      <c r="G70" s="83">
        <v>0.96934497766265126</v>
      </c>
      <c r="H70" s="180">
        <v>0.36408897808337332</v>
      </c>
      <c r="I70" s="83">
        <v>0.94422005350754179</v>
      </c>
      <c r="J70" s="83">
        <v>0.37232862721771021</v>
      </c>
      <c r="K70" s="84">
        <v>0.88647127334626363</v>
      </c>
    </row>
    <row r="71" spans="1:11">
      <c r="A71" s="147" t="str">
        <f t="shared" si="2"/>
        <v>Hedge funds</v>
      </c>
      <c r="B71" s="83">
        <v>-0.56947078770384896</v>
      </c>
      <c r="C71" s="83">
        <v>-0.45878156897895211</v>
      </c>
      <c r="D71" s="83">
        <v>0.89744839036297208</v>
      </c>
      <c r="E71" s="83">
        <v>0.94010403720414804</v>
      </c>
      <c r="F71" s="83">
        <v>0.8874434496041671</v>
      </c>
      <c r="G71" s="83">
        <v>0.95514653766346602</v>
      </c>
      <c r="H71" s="83">
        <v>0.94422005350754179</v>
      </c>
      <c r="I71" s="180">
        <v>0.10933142096896906</v>
      </c>
      <c r="J71" s="83">
        <v>0.61352650945037235</v>
      </c>
      <c r="K71" s="84">
        <v>0.88910144077657316</v>
      </c>
    </row>
    <row r="72" spans="1:11">
      <c r="A72" s="147" t="str">
        <f t="shared" si="2"/>
        <v>OG</v>
      </c>
      <c r="B72" s="83">
        <v>-0.31725862660871451</v>
      </c>
      <c r="C72" s="83">
        <v>-0.25453357613757527</v>
      </c>
      <c r="D72" s="83">
        <v>0.50108032792987411</v>
      </c>
      <c r="E72" s="83">
        <v>0.33591710963927707</v>
      </c>
      <c r="F72" s="83">
        <v>0.29879289715154606</v>
      </c>
      <c r="G72" s="83">
        <v>0.40131975108808021</v>
      </c>
      <c r="H72" s="83">
        <v>0.37232862721771021</v>
      </c>
      <c r="I72" s="83">
        <v>0.61352650945037235</v>
      </c>
      <c r="J72" s="180">
        <v>2.7406396901153356E-2</v>
      </c>
      <c r="K72" s="84">
        <v>0.33246211687806798</v>
      </c>
    </row>
    <row r="73" spans="1:11">
      <c r="A73" s="146" t="str">
        <f t="shared" si="2"/>
        <v>Commodities</v>
      </c>
      <c r="B73" s="86">
        <v>-0.49058561691839803</v>
      </c>
      <c r="C73" s="86">
        <v>-0.4316186755007369</v>
      </c>
      <c r="D73" s="86">
        <v>0.89585653852424796</v>
      </c>
      <c r="E73" s="86">
        <v>0.89134689877896989</v>
      </c>
      <c r="F73" s="86">
        <v>0.91686795609968563</v>
      </c>
      <c r="G73" s="86">
        <v>0.9162478906330811</v>
      </c>
      <c r="H73" s="86">
        <v>0.88647127334626363</v>
      </c>
      <c r="I73" s="86">
        <v>0.88910144077657316</v>
      </c>
      <c r="J73" s="86">
        <v>0.33246211687806798</v>
      </c>
      <c r="K73" s="181">
        <v>0.2040065170048318</v>
      </c>
    </row>
    <row r="75" spans="1:11">
      <c r="A75" s="2"/>
    </row>
    <row r="76" spans="1:11">
      <c r="A76" s="17" t="s">
        <v>164</v>
      </c>
      <c r="B76" s="153" t="str">
        <f>A77</f>
        <v>Nominale VPV</v>
      </c>
      <c r="C76" s="153" t="str">
        <f>A78</f>
        <v>Reele VPV</v>
      </c>
      <c r="D76" s="153" t="str">
        <f>A79</f>
        <v>Credits</v>
      </c>
      <c r="E76" s="153" t="str">
        <f>A80</f>
        <v>High Yield</v>
      </c>
      <c r="F76" s="153" t="str">
        <f>A81</f>
        <v>EMD</v>
      </c>
      <c r="G76" s="153" t="str">
        <f>A82</f>
        <v>Aandelen ontw</v>
      </c>
      <c r="H76" s="153" t="str">
        <f>A83</f>
        <v>Aandelen opk</v>
      </c>
      <c r="I76" s="153" t="str">
        <f>A84</f>
        <v>Hedge funds</v>
      </c>
      <c r="J76" s="153" t="str">
        <f>A85</f>
        <v>OG</v>
      </c>
      <c r="K76" s="154" t="str">
        <f>A86</f>
        <v>Commodities</v>
      </c>
    </row>
    <row r="77" spans="1:11">
      <c r="A77" s="147" t="str">
        <f t="shared" ref="A77:A86" si="3">A64</f>
        <v>Nominale VPV</v>
      </c>
      <c r="B77" s="180">
        <v>-3.0254520597976717E-2</v>
      </c>
      <c r="C77" s="83">
        <v>-0.29322324168147335</v>
      </c>
      <c r="D77" s="83">
        <v>-0.56029665030236031</v>
      </c>
      <c r="E77" s="83">
        <v>-0.77966705171513273</v>
      </c>
      <c r="F77" s="83">
        <v>-0.37939913870513586</v>
      </c>
      <c r="G77" s="83">
        <v>-0.60393530565235753</v>
      </c>
      <c r="H77" s="83">
        <v>-0.45043611529984828</v>
      </c>
      <c r="I77" s="83">
        <v>-0.37935037403888971</v>
      </c>
      <c r="J77" s="83">
        <v>-0.26994999447798085</v>
      </c>
      <c r="K77" s="84">
        <v>-3.1773045317801618E-2</v>
      </c>
    </row>
    <row r="78" spans="1:11">
      <c r="A78" s="147" t="str">
        <f t="shared" si="3"/>
        <v>Reele VPV</v>
      </c>
      <c r="B78" s="83">
        <v>-0.29322324168147335</v>
      </c>
      <c r="C78" s="180">
        <v>-5.9495485957726621E-2</v>
      </c>
      <c r="D78" s="83">
        <v>-0.65963197404024765</v>
      </c>
      <c r="E78" s="83">
        <v>-0.63054305629701912</v>
      </c>
      <c r="F78" s="83">
        <v>-0.41622161415548764</v>
      </c>
      <c r="G78" s="83">
        <v>-0.55758976830887896</v>
      </c>
      <c r="H78" s="83">
        <v>-0.42349189083083294</v>
      </c>
      <c r="I78" s="83">
        <v>-0.31643509061764918</v>
      </c>
      <c r="J78" s="83">
        <v>-0.1346544798166604</v>
      </c>
      <c r="K78" s="84">
        <v>-0.34394413219587316</v>
      </c>
    </row>
    <row r="79" spans="1:11">
      <c r="A79" s="147" t="str">
        <f t="shared" si="3"/>
        <v>Credits</v>
      </c>
      <c r="B79" s="83">
        <v>-0.56029665030236031</v>
      </c>
      <c r="C79" s="83">
        <v>-0.65963197404024765</v>
      </c>
      <c r="D79" s="180">
        <v>-4.4730029566980412E-2</v>
      </c>
      <c r="E79" s="83">
        <v>0.55640595202333754</v>
      </c>
      <c r="F79" s="83">
        <v>0.91112764284053338</v>
      </c>
      <c r="G79" s="83">
        <v>0.90671832177626877</v>
      </c>
      <c r="H79" s="83">
        <v>0.82506274571329163</v>
      </c>
      <c r="I79" s="83">
        <v>0.86215704406446314</v>
      </c>
      <c r="J79" s="83">
        <v>0.64822929127489104</v>
      </c>
      <c r="K79" s="84">
        <v>0.85700674543204158</v>
      </c>
    </row>
    <row r="80" spans="1:11">
      <c r="A80" s="147" t="str">
        <f t="shared" si="3"/>
        <v>High Yield</v>
      </c>
      <c r="B80" s="83">
        <v>-0.77966705171513273</v>
      </c>
      <c r="C80" s="83">
        <v>-0.63054305629701912</v>
      </c>
      <c r="D80" s="83">
        <v>0.55640595202333754</v>
      </c>
      <c r="E80" s="180">
        <v>6.974160740638638E-2</v>
      </c>
      <c r="F80" s="83">
        <v>0.37748509592392854</v>
      </c>
      <c r="G80" s="83">
        <v>0.31560977474285434</v>
      </c>
      <c r="H80" s="83">
        <v>0.32152046959109548</v>
      </c>
      <c r="I80" s="83">
        <v>0.51535240678268179</v>
      </c>
      <c r="J80" s="83">
        <v>0.65953365163535338</v>
      </c>
      <c r="K80" s="84">
        <v>0.89357693241483849</v>
      </c>
    </row>
    <row r="81" spans="1:11">
      <c r="A81" s="147" t="str">
        <f t="shared" si="3"/>
        <v>EMD</v>
      </c>
      <c r="B81" s="83">
        <v>-0.37939913870513586</v>
      </c>
      <c r="C81" s="83">
        <v>-0.41622161415548764</v>
      </c>
      <c r="D81" s="83">
        <v>0.91112764284053338</v>
      </c>
      <c r="E81" s="83">
        <v>0.37748509592392854</v>
      </c>
      <c r="F81" s="180">
        <v>-9.3687879107849925E-3</v>
      </c>
      <c r="G81" s="83">
        <v>0.49540803862669514</v>
      </c>
      <c r="H81" s="83">
        <v>0.42727674294023682</v>
      </c>
      <c r="I81" s="83">
        <v>0.12768664153684306</v>
      </c>
      <c r="J81" s="83">
        <v>7.381943843970612E-2</v>
      </c>
      <c r="K81" s="84">
        <v>0.41672088323812284</v>
      </c>
    </row>
    <row r="82" spans="1:11">
      <c r="A82" s="147" t="str">
        <f t="shared" si="3"/>
        <v>Aandelen ontw</v>
      </c>
      <c r="B82" s="83">
        <v>-0.60393530565235753</v>
      </c>
      <c r="C82" s="83">
        <v>-0.55758976830887896</v>
      </c>
      <c r="D82" s="83">
        <v>0.90671832177626877</v>
      </c>
      <c r="E82" s="83">
        <v>0.31560977474285434</v>
      </c>
      <c r="F82" s="83">
        <v>0.49540803862669514</v>
      </c>
      <c r="G82" s="180">
        <v>1.4382874744811452E-2</v>
      </c>
      <c r="H82" s="83">
        <v>0.21664185367779343</v>
      </c>
      <c r="I82" s="83">
        <v>0.3834226031837995</v>
      </c>
      <c r="J82" s="83">
        <v>0.43651281168015571</v>
      </c>
      <c r="K82" s="84">
        <v>0.81229180020773706</v>
      </c>
    </row>
    <row r="83" spans="1:11">
      <c r="A83" s="147" t="str">
        <f t="shared" si="3"/>
        <v>Aandelen opk</v>
      </c>
      <c r="B83" s="83">
        <v>-0.45043611529984828</v>
      </c>
      <c r="C83" s="83">
        <v>-0.42349189083083294</v>
      </c>
      <c r="D83" s="83">
        <v>0.82506274571329163</v>
      </c>
      <c r="E83" s="83">
        <v>0.32152046959109548</v>
      </c>
      <c r="F83" s="83">
        <v>0.42727674294023682</v>
      </c>
      <c r="G83" s="83">
        <v>0.21664185367779343</v>
      </c>
      <c r="H83" s="180">
        <v>2.1591700529948132E-2</v>
      </c>
      <c r="I83" s="83">
        <v>0.51113560231161237</v>
      </c>
      <c r="J83" s="83">
        <v>0.70939789867158609</v>
      </c>
      <c r="K83" s="84">
        <v>0.67521097679080344</v>
      </c>
    </row>
    <row r="84" spans="1:11">
      <c r="A84" s="147" t="str">
        <f t="shared" si="3"/>
        <v>Hedge funds</v>
      </c>
      <c r="B84" s="83">
        <v>-0.37935037403888971</v>
      </c>
      <c r="C84" s="83">
        <v>-0.31643509061764918</v>
      </c>
      <c r="D84" s="83">
        <v>0.86215704406446314</v>
      </c>
      <c r="E84" s="83">
        <v>0.51535240678268179</v>
      </c>
      <c r="F84" s="83">
        <v>0.12768664153684306</v>
      </c>
      <c r="G84" s="83">
        <v>0.3834226031837995</v>
      </c>
      <c r="H84" s="83">
        <v>0.51113560231161237</v>
      </c>
      <c r="I84" s="166">
        <v>3.6808927732524421E-2</v>
      </c>
      <c r="J84" s="83">
        <v>8.2077416378751211E-2</v>
      </c>
      <c r="K84" s="84">
        <v>0.38141959669251413</v>
      </c>
    </row>
    <row r="85" spans="1:11">
      <c r="A85" s="147" t="str">
        <f t="shared" si="3"/>
        <v>OG</v>
      </c>
      <c r="B85" s="83">
        <v>-0.26994999447798085</v>
      </c>
      <c r="C85" s="83">
        <v>-0.1346544798166604</v>
      </c>
      <c r="D85" s="83">
        <v>0.64822929127489104</v>
      </c>
      <c r="E85" s="83">
        <v>0.65953365163535338</v>
      </c>
      <c r="F85" s="83">
        <v>7.381943843970612E-2</v>
      </c>
      <c r="G85" s="83">
        <v>0.43651281168015571</v>
      </c>
      <c r="H85" s="83">
        <v>0.70939789867158609</v>
      </c>
      <c r="I85" s="83">
        <v>8.2077416378751211E-2</v>
      </c>
      <c r="J85" s="166">
        <v>-2.2360087642626311E-2</v>
      </c>
      <c r="K85" s="84">
        <v>8.4179296588103303E-2</v>
      </c>
    </row>
    <row r="86" spans="1:11" ht="13.5" thickBot="1">
      <c r="A86" s="173" t="str">
        <f t="shared" si="3"/>
        <v>Commodities</v>
      </c>
      <c r="B86" s="160">
        <v>-3.1773045317801618E-2</v>
      </c>
      <c r="C86" s="160">
        <v>-0.34394413219587316</v>
      </c>
      <c r="D86" s="160">
        <v>0.85700674543204158</v>
      </c>
      <c r="E86" s="160">
        <v>0.89357693241483849</v>
      </c>
      <c r="F86" s="160">
        <v>0.41672088323812284</v>
      </c>
      <c r="G86" s="160">
        <v>0.81229180020773706</v>
      </c>
      <c r="H86" s="160">
        <v>0.67521097679080344</v>
      </c>
      <c r="I86" s="160">
        <v>0.38141959669251413</v>
      </c>
      <c r="J86" s="160">
        <v>8.4179296588103303E-2</v>
      </c>
      <c r="K86" s="174">
        <v>-4.8464892622718025E-2</v>
      </c>
    </row>
    <row r="87" spans="1:11" ht="14.25" thickTop="1" thickBot="1">
      <c r="A87" s="156" t="s">
        <v>166</v>
      </c>
      <c r="B87" s="157" t="str">
        <f>A88</f>
        <v>Nominale VPV</v>
      </c>
      <c r="C87" s="157" t="str">
        <f>A89</f>
        <v>Reele VPV</v>
      </c>
      <c r="D87" s="157" t="str">
        <f>A90</f>
        <v>Credits</v>
      </c>
      <c r="E87" s="157" t="str">
        <f>A91</f>
        <v>High Yield</v>
      </c>
      <c r="F87" s="157" t="str">
        <f>A92</f>
        <v>EMD</v>
      </c>
      <c r="G87" s="157" t="str">
        <f>A93</f>
        <v>Aandelen ontw</v>
      </c>
      <c r="H87" s="157" t="str">
        <f>A94</f>
        <v>Aandelen opk</v>
      </c>
      <c r="I87" s="157" t="str">
        <f>A95</f>
        <v>Hedge funds</v>
      </c>
      <c r="J87" s="157" t="str">
        <f>A96</f>
        <v>OG</v>
      </c>
      <c r="K87" s="158" t="str">
        <f>A97</f>
        <v>Commodities</v>
      </c>
    </row>
    <row r="88" spans="1:11" ht="13.5" thickTop="1">
      <c r="A88" s="155" t="str">
        <f t="shared" ref="A88:A97" si="4">A77</f>
        <v>Nominale VPV</v>
      </c>
      <c r="B88" s="180">
        <v>-3.0254520597976717E-2</v>
      </c>
      <c r="C88" s="83">
        <v>-0.29322324168147335</v>
      </c>
      <c r="D88" s="83">
        <v>-0.56029665030236031</v>
      </c>
      <c r="E88" s="83">
        <v>-0.77966705171513273</v>
      </c>
      <c r="F88" s="83">
        <v>-0.37939913870513586</v>
      </c>
      <c r="G88" s="83">
        <v>-0.60393530565235753</v>
      </c>
      <c r="H88" s="83">
        <v>-0.45043611529984828</v>
      </c>
      <c r="I88" s="83">
        <v>-0.37935037403888971</v>
      </c>
      <c r="J88" s="83">
        <v>-0.26994999447798085</v>
      </c>
      <c r="K88" s="165">
        <v>-3.1773045317801618E-2</v>
      </c>
    </row>
    <row r="89" spans="1:11">
      <c r="A89" s="155" t="str">
        <f t="shared" si="4"/>
        <v>Reele VPV</v>
      </c>
      <c r="B89" s="83">
        <v>-0.29322324168147335</v>
      </c>
      <c r="C89" s="180">
        <v>-5.9495485957726621E-2</v>
      </c>
      <c r="D89" s="83">
        <v>-0.65963197404024765</v>
      </c>
      <c r="E89" s="83">
        <v>-0.63054305629701912</v>
      </c>
      <c r="F89" s="83">
        <v>-0.41622161415548764</v>
      </c>
      <c r="G89" s="83">
        <v>-0.55758976830887896</v>
      </c>
      <c r="H89" s="83">
        <v>-0.42349189083083294</v>
      </c>
      <c r="I89" s="83">
        <v>-0.31643509061764918</v>
      </c>
      <c r="J89" s="83">
        <v>-0.1346544798166604</v>
      </c>
      <c r="K89" s="159">
        <v>-0.34394413219587316</v>
      </c>
    </row>
    <row r="90" spans="1:11">
      <c r="A90" s="155" t="str">
        <f t="shared" si="4"/>
        <v>Credits</v>
      </c>
      <c r="B90" s="83">
        <v>-0.56029665030236031</v>
      </c>
      <c r="C90" s="83">
        <v>-0.65963197404024765</v>
      </c>
      <c r="D90" s="180">
        <v>-4.4730029566980412E-2</v>
      </c>
      <c r="E90" s="83">
        <v>0.55640595202333754</v>
      </c>
      <c r="F90" s="83">
        <v>0.91112764284053338</v>
      </c>
      <c r="G90" s="83">
        <v>0.90671832177626877</v>
      </c>
      <c r="H90" s="83">
        <v>0.82506274571329163</v>
      </c>
      <c r="I90" s="83">
        <v>0.86215704406446314</v>
      </c>
      <c r="J90" s="83">
        <v>0.64822929127489104</v>
      </c>
      <c r="K90" s="159">
        <v>0.85700674543204158</v>
      </c>
    </row>
    <row r="91" spans="1:11">
      <c r="A91" s="155" t="str">
        <f t="shared" si="4"/>
        <v>High Yield</v>
      </c>
      <c r="B91" s="83">
        <v>-0.77966705171513273</v>
      </c>
      <c r="C91" s="83">
        <v>-0.63054305629701912</v>
      </c>
      <c r="D91" s="83">
        <v>0.55640595202333754</v>
      </c>
      <c r="E91" s="180">
        <v>6.974160740638638E-2</v>
      </c>
      <c r="F91" s="83">
        <v>0.37748509592392854</v>
      </c>
      <c r="G91" s="83">
        <v>0.31560977474285434</v>
      </c>
      <c r="H91" s="83">
        <v>0.32152046959109548</v>
      </c>
      <c r="I91" s="83">
        <v>0.51535240678268179</v>
      </c>
      <c r="J91" s="83">
        <v>0.65953365163535338</v>
      </c>
      <c r="K91" s="159">
        <v>0.89357693241483849</v>
      </c>
    </row>
    <row r="92" spans="1:11">
      <c r="A92" s="155" t="str">
        <f t="shared" si="4"/>
        <v>EMD</v>
      </c>
      <c r="B92" s="83">
        <v>-0.37939913870513586</v>
      </c>
      <c r="C92" s="83">
        <v>-0.41622161415548764</v>
      </c>
      <c r="D92" s="83">
        <v>0.91112764284053338</v>
      </c>
      <c r="E92" s="83">
        <v>0.37748509592392854</v>
      </c>
      <c r="F92" s="180">
        <v>-9.3687879107849925E-3</v>
      </c>
      <c r="G92" s="83">
        <v>0.49540803862669514</v>
      </c>
      <c r="H92" s="83">
        <v>0.42727674294023682</v>
      </c>
      <c r="I92" s="83">
        <v>0.12768664153684306</v>
      </c>
      <c r="J92" s="83">
        <v>7.381943843970612E-2</v>
      </c>
      <c r="K92" s="159">
        <v>0.41672088323812284</v>
      </c>
    </row>
    <row r="93" spans="1:11">
      <c r="A93" s="155" t="str">
        <f t="shared" si="4"/>
        <v>Aandelen ontw</v>
      </c>
      <c r="B93" s="83">
        <v>-0.60393530565235753</v>
      </c>
      <c r="C93" s="83">
        <v>-0.55758976830887896</v>
      </c>
      <c r="D93" s="83">
        <v>0.90671832177626877</v>
      </c>
      <c r="E93" s="83">
        <v>0.31560977474285434</v>
      </c>
      <c r="F93" s="83">
        <v>0.49540803862669514</v>
      </c>
      <c r="G93" s="180">
        <v>1.4382874744811452E-2</v>
      </c>
      <c r="H93" s="83">
        <v>0.21664185367779343</v>
      </c>
      <c r="I93" s="83">
        <v>0.3834226031837995</v>
      </c>
      <c r="J93" s="83">
        <v>0.43651281168015571</v>
      </c>
      <c r="K93" s="159">
        <v>0.81229180020773706</v>
      </c>
    </row>
    <row r="94" spans="1:11">
      <c r="A94" s="155" t="str">
        <f t="shared" si="4"/>
        <v>Aandelen opk</v>
      </c>
      <c r="B94" s="83">
        <v>-0.45043611529984828</v>
      </c>
      <c r="C94" s="83">
        <v>-0.42349189083083294</v>
      </c>
      <c r="D94" s="83">
        <v>0.82506274571329163</v>
      </c>
      <c r="E94" s="83">
        <v>0.32152046959109548</v>
      </c>
      <c r="F94" s="83">
        <v>0.42727674294023682</v>
      </c>
      <c r="G94" s="83">
        <v>0.21664185367779343</v>
      </c>
      <c r="H94" s="180">
        <v>2.1591700529948132E-2</v>
      </c>
      <c r="I94" s="83">
        <v>0.51113560231161237</v>
      </c>
      <c r="J94" s="83">
        <v>0.70939789867158609</v>
      </c>
      <c r="K94" s="159">
        <v>0.67521097679080344</v>
      </c>
    </row>
    <row r="95" spans="1:11">
      <c r="A95" s="155" t="str">
        <f t="shared" si="4"/>
        <v>Hedge funds</v>
      </c>
      <c r="B95" s="83">
        <v>-0.37935037403888971</v>
      </c>
      <c r="C95" s="83">
        <v>-0.31643509061764918</v>
      </c>
      <c r="D95" s="83">
        <v>0.86215704406446314</v>
      </c>
      <c r="E95" s="83">
        <v>0.51535240678268179</v>
      </c>
      <c r="F95" s="83">
        <v>0.12768664153684306</v>
      </c>
      <c r="G95" s="83">
        <v>0.3834226031837995</v>
      </c>
      <c r="H95" s="83">
        <v>0.51113560231161237</v>
      </c>
      <c r="I95" s="166">
        <v>3.6808927732524421E-2</v>
      </c>
      <c r="J95" s="83">
        <v>8.2077416378751211E-2</v>
      </c>
      <c r="K95" s="159">
        <v>0.38141959669251413</v>
      </c>
    </row>
    <row r="96" spans="1:11">
      <c r="A96" s="155" t="str">
        <f t="shared" si="4"/>
        <v>OG</v>
      </c>
      <c r="B96" s="83">
        <v>-0.26994999447798085</v>
      </c>
      <c r="C96" s="83">
        <v>-0.1346544798166604</v>
      </c>
      <c r="D96" s="83">
        <v>0.64822929127489104</v>
      </c>
      <c r="E96" s="83">
        <v>0.65953365163535338</v>
      </c>
      <c r="F96" s="83">
        <v>7.381943843970612E-2</v>
      </c>
      <c r="G96" s="83">
        <v>0.43651281168015571</v>
      </c>
      <c r="H96" s="83">
        <v>0.70939789867158609</v>
      </c>
      <c r="I96" s="83">
        <v>8.2077416378751211E-2</v>
      </c>
      <c r="J96" s="166">
        <v>-2.2360087642626311E-2</v>
      </c>
      <c r="K96" s="159">
        <v>8.4179296588103303E-2</v>
      </c>
    </row>
    <row r="97" spans="1:11" ht="13.5" thickBot="1">
      <c r="A97" s="155" t="str">
        <f t="shared" si="4"/>
        <v>Commodities</v>
      </c>
      <c r="B97" s="160">
        <v>-3.1773045317801618E-2</v>
      </c>
      <c r="C97" s="160">
        <v>-0.34394413219587316</v>
      </c>
      <c r="D97" s="160">
        <v>0.85700674543204158</v>
      </c>
      <c r="E97" s="160">
        <v>0.89357693241483849</v>
      </c>
      <c r="F97" s="160">
        <v>0.41672088323812284</v>
      </c>
      <c r="G97" s="160">
        <v>0.81229180020773706</v>
      </c>
      <c r="H97" s="160">
        <v>0.67521097679080344</v>
      </c>
      <c r="I97" s="160">
        <v>0.38141959669251413</v>
      </c>
      <c r="J97" s="160">
        <v>8.4179296588103303E-2</v>
      </c>
      <c r="K97" s="167">
        <v>-4.8464892622718025E-2</v>
      </c>
    </row>
    <row r="98" spans="1:11" ht="14.25" thickTop="1" thickBot="1">
      <c r="A98" s="156" t="s">
        <v>165</v>
      </c>
      <c r="B98" s="163" t="str">
        <f>A99</f>
        <v>Nominale VPV</v>
      </c>
      <c r="C98" s="163" t="str">
        <f>A100</f>
        <v>Reele VPV</v>
      </c>
      <c r="D98" s="163" t="str">
        <f>A101</f>
        <v>Credits</v>
      </c>
      <c r="E98" s="163" t="str">
        <f>A102</f>
        <v>High Yield</v>
      </c>
      <c r="F98" s="163" t="str">
        <f>A103</f>
        <v>EMD</v>
      </c>
      <c r="G98" s="163" t="str">
        <f>A104</f>
        <v>Aandelen ontw</v>
      </c>
      <c r="H98" s="163" t="str">
        <f>A105</f>
        <v>Aandelen opk</v>
      </c>
      <c r="I98" s="163" t="str">
        <f>A106</f>
        <v>Hedge funds</v>
      </c>
      <c r="J98" s="163" t="str">
        <f>A107</f>
        <v>OG</v>
      </c>
      <c r="K98" s="164" t="str">
        <f>A108</f>
        <v>Commodities</v>
      </c>
    </row>
    <row r="99" spans="1:11" ht="13.5" thickTop="1">
      <c r="A99" s="261" t="str">
        <f t="shared" ref="A99:A108" si="5">A77</f>
        <v>Nominale VPV</v>
      </c>
      <c r="B99" s="264" t="s">
        <v>75</v>
      </c>
      <c r="C99" s="265" t="s">
        <v>75</v>
      </c>
      <c r="D99" s="265" t="s">
        <v>75</v>
      </c>
      <c r="E99" s="265" t="s">
        <v>75</v>
      </c>
      <c r="F99" s="265" t="s">
        <v>75</v>
      </c>
      <c r="G99" s="265" t="s">
        <v>75</v>
      </c>
      <c r="H99" s="265" t="s">
        <v>75</v>
      </c>
      <c r="I99" s="265" t="s">
        <v>75</v>
      </c>
      <c r="J99" s="265" t="s">
        <v>75</v>
      </c>
      <c r="K99" s="266" t="s">
        <v>75</v>
      </c>
    </row>
    <row r="100" spans="1:11">
      <c r="A100" s="262" t="str">
        <f t="shared" si="5"/>
        <v>Reele VPV</v>
      </c>
      <c r="B100" s="267" t="s">
        <v>75</v>
      </c>
      <c r="C100" s="225" t="s">
        <v>75</v>
      </c>
      <c r="D100" s="225" t="s">
        <v>75</v>
      </c>
      <c r="E100" s="225" t="s">
        <v>75</v>
      </c>
      <c r="F100" s="225" t="s">
        <v>75</v>
      </c>
      <c r="G100" s="225" t="s">
        <v>75</v>
      </c>
      <c r="H100" s="225" t="s">
        <v>75</v>
      </c>
      <c r="I100" s="225" t="s">
        <v>75</v>
      </c>
      <c r="J100" s="225" t="s">
        <v>75</v>
      </c>
      <c r="K100" s="268" t="s">
        <v>75</v>
      </c>
    </row>
    <row r="101" spans="1:11">
      <c r="A101" s="262" t="str">
        <f t="shared" si="5"/>
        <v>Credits</v>
      </c>
      <c r="B101" s="267" t="s">
        <v>75</v>
      </c>
      <c r="C101" s="225" t="s">
        <v>75</v>
      </c>
      <c r="D101" s="225" t="s">
        <v>75</v>
      </c>
      <c r="E101" s="225" t="s">
        <v>75</v>
      </c>
      <c r="F101" s="225" t="s">
        <v>75</v>
      </c>
      <c r="G101" s="225" t="s">
        <v>75</v>
      </c>
      <c r="H101" s="225" t="s">
        <v>75</v>
      </c>
      <c r="I101" s="225" t="s">
        <v>75</v>
      </c>
      <c r="J101" s="225" t="s">
        <v>75</v>
      </c>
      <c r="K101" s="268" t="s">
        <v>75</v>
      </c>
    </row>
    <row r="102" spans="1:11">
      <c r="A102" s="262" t="str">
        <f t="shared" si="5"/>
        <v>High Yield</v>
      </c>
      <c r="B102" s="267" t="s">
        <v>75</v>
      </c>
      <c r="C102" s="225" t="s">
        <v>75</v>
      </c>
      <c r="D102" s="225" t="s">
        <v>75</v>
      </c>
      <c r="E102" s="225" t="s">
        <v>75</v>
      </c>
      <c r="F102" s="225" t="s">
        <v>75</v>
      </c>
      <c r="G102" s="225" t="s">
        <v>75</v>
      </c>
      <c r="H102" s="225" t="s">
        <v>75</v>
      </c>
      <c r="I102" s="225" t="s">
        <v>75</v>
      </c>
      <c r="J102" s="225" t="s">
        <v>75</v>
      </c>
      <c r="K102" s="268" t="s">
        <v>75</v>
      </c>
    </row>
    <row r="103" spans="1:11">
      <c r="A103" s="262" t="str">
        <f t="shared" si="5"/>
        <v>EMD</v>
      </c>
      <c r="B103" s="267" t="s">
        <v>75</v>
      </c>
      <c r="C103" s="225" t="s">
        <v>75</v>
      </c>
      <c r="D103" s="225" t="s">
        <v>75</v>
      </c>
      <c r="E103" s="225" t="s">
        <v>75</v>
      </c>
      <c r="F103" s="225" t="s">
        <v>75</v>
      </c>
      <c r="G103" s="225" t="s">
        <v>75</v>
      </c>
      <c r="H103" s="225" t="s">
        <v>75</v>
      </c>
      <c r="I103" s="225" t="s">
        <v>75</v>
      </c>
      <c r="J103" s="225" t="s">
        <v>75</v>
      </c>
      <c r="K103" s="268" t="s">
        <v>75</v>
      </c>
    </row>
    <row r="104" spans="1:11">
      <c r="A104" s="262" t="str">
        <f t="shared" si="5"/>
        <v>Aandelen ontw</v>
      </c>
      <c r="B104" s="267" t="s">
        <v>75</v>
      </c>
      <c r="C104" s="225" t="s">
        <v>75</v>
      </c>
      <c r="D104" s="225" t="s">
        <v>75</v>
      </c>
      <c r="E104" s="225" t="s">
        <v>75</v>
      </c>
      <c r="F104" s="225" t="s">
        <v>75</v>
      </c>
      <c r="G104" s="225" t="s">
        <v>75</v>
      </c>
      <c r="H104" s="225" t="s">
        <v>75</v>
      </c>
      <c r="I104" s="225" t="s">
        <v>75</v>
      </c>
      <c r="J104" s="225" t="s">
        <v>75</v>
      </c>
      <c r="K104" s="268" t="s">
        <v>75</v>
      </c>
    </row>
    <row r="105" spans="1:11">
      <c r="A105" s="262" t="str">
        <f t="shared" si="5"/>
        <v>Aandelen opk</v>
      </c>
      <c r="B105" s="267" t="s">
        <v>75</v>
      </c>
      <c r="C105" s="225" t="s">
        <v>75</v>
      </c>
      <c r="D105" s="225" t="s">
        <v>75</v>
      </c>
      <c r="E105" s="225" t="s">
        <v>75</v>
      </c>
      <c r="F105" s="225" t="s">
        <v>75</v>
      </c>
      <c r="G105" s="225" t="s">
        <v>75</v>
      </c>
      <c r="H105" s="225" t="s">
        <v>75</v>
      </c>
      <c r="I105" s="225" t="s">
        <v>75</v>
      </c>
      <c r="J105" s="225" t="s">
        <v>75</v>
      </c>
      <c r="K105" s="268" t="s">
        <v>75</v>
      </c>
    </row>
    <row r="106" spans="1:11">
      <c r="A106" s="262" t="str">
        <f t="shared" si="5"/>
        <v>Hedge funds</v>
      </c>
      <c r="B106" s="267" t="s">
        <v>75</v>
      </c>
      <c r="C106" s="225" t="s">
        <v>75</v>
      </c>
      <c r="D106" s="225" t="s">
        <v>75</v>
      </c>
      <c r="E106" s="225" t="s">
        <v>75</v>
      </c>
      <c r="F106" s="225" t="s">
        <v>75</v>
      </c>
      <c r="G106" s="225" t="s">
        <v>75</v>
      </c>
      <c r="H106" s="225" t="s">
        <v>75</v>
      </c>
      <c r="I106" s="225" t="s">
        <v>75</v>
      </c>
      <c r="J106" s="225" t="s">
        <v>75</v>
      </c>
      <c r="K106" s="268" t="s">
        <v>75</v>
      </c>
    </row>
    <row r="107" spans="1:11">
      <c r="A107" s="262" t="str">
        <f t="shared" si="5"/>
        <v>OG</v>
      </c>
      <c r="B107" s="267" t="s">
        <v>75</v>
      </c>
      <c r="C107" s="225" t="s">
        <v>75</v>
      </c>
      <c r="D107" s="225" t="s">
        <v>75</v>
      </c>
      <c r="E107" s="225" t="s">
        <v>75</v>
      </c>
      <c r="F107" s="225" t="s">
        <v>75</v>
      </c>
      <c r="G107" s="225" t="s">
        <v>75</v>
      </c>
      <c r="H107" s="225" t="s">
        <v>75</v>
      </c>
      <c r="I107" s="225" t="s">
        <v>75</v>
      </c>
      <c r="J107" s="225" t="s">
        <v>75</v>
      </c>
      <c r="K107" s="268" t="s">
        <v>75</v>
      </c>
    </row>
    <row r="108" spans="1:11" ht="13.5" thickBot="1">
      <c r="A108" s="263" t="str">
        <f t="shared" si="5"/>
        <v>Commodities</v>
      </c>
      <c r="B108" s="269" t="s">
        <v>75</v>
      </c>
      <c r="C108" s="270" t="s">
        <v>75</v>
      </c>
      <c r="D108" s="270" t="s">
        <v>75</v>
      </c>
      <c r="E108" s="270" t="s">
        <v>75</v>
      </c>
      <c r="F108" s="270" t="s">
        <v>75</v>
      </c>
      <c r="G108" s="270" t="s">
        <v>75</v>
      </c>
      <c r="H108" s="270" t="s">
        <v>75</v>
      </c>
      <c r="I108" s="270" t="s">
        <v>75</v>
      </c>
      <c r="J108" s="270" t="s">
        <v>75</v>
      </c>
      <c r="K108" s="271" t="s">
        <v>75</v>
      </c>
    </row>
    <row r="109" spans="1:11" ht="13.5" thickTop="1"/>
    <row r="115" spans="1:2">
      <c r="A115" s="2" t="s">
        <v>170</v>
      </c>
    </row>
    <row r="116" spans="1:2">
      <c r="A116" s="58" t="s">
        <v>161</v>
      </c>
      <c r="B116" s="7" t="s">
        <v>171</v>
      </c>
    </row>
    <row r="117" spans="1:2">
      <c r="A117" s="188" t="str">
        <f>A38</f>
        <v>Nominale VPV</v>
      </c>
      <c r="B117" s="16">
        <v>-5.0000000000000001E-3</v>
      </c>
    </row>
    <row r="118" spans="1:2">
      <c r="A118" s="188" t="str">
        <f t="shared" ref="A118:A126" si="6">A39</f>
        <v>Reele VPV</v>
      </c>
      <c r="B118" s="16">
        <v>-4.2615162118704336E-2</v>
      </c>
    </row>
    <row r="119" spans="1:2">
      <c r="A119" s="188" t="str">
        <f t="shared" si="6"/>
        <v>Credits</v>
      </c>
      <c r="B119" s="16">
        <v>-6.7202989212353972E-2</v>
      </c>
    </row>
    <row r="120" spans="1:2">
      <c r="A120" s="188" t="str">
        <f t="shared" si="6"/>
        <v>High Yield</v>
      </c>
      <c r="B120" s="16">
        <v>-1.4963873800506802E-3</v>
      </c>
    </row>
    <row r="121" spans="1:2">
      <c r="A121" s="188" t="str">
        <f t="shared" si="6"/>
        <v>EMD</v>
      </c>
      <c r="B121" s="16">
        <v>-6.5282629627811395E-3</v>
      </c>
    </row>
    <row r="122" spans="1:2">
      <c r="A122" s="188" t="str">
        <f t="shared" si="6"/>
        <v>Aandelen ontw</v>
      </c>
      <c r="B122" s="16">
        <v>-1.4356314621335145E-2</v>
      </c>
    </row>
    <row r="123" spans="1:2">
      <c r="A123" s="188" t="str">
        <f t="shared" si="6"/>
        <v>Aandelen opk</v>
      </c>
      <c r="B123" s="16">
        <v>-0.03</v>
      </c>
    </row>
    <row r="124" spans="1:2">
      <c r="A124" s="188" t="str">
        <f t="shared" si="6"/>
        <v>Hedge funds</v>
      </c>
      <c r="B124" s="16">
        <v>0</v>
      </c>
    </row>
    <row r="125" spans="1:2">
      <c r="A125" s="188" t="str">
        <f t="shared" si="6"/>
        <v>OG</v>
      </c>
      <c r="B125" s="16">
        <v>-2.2615162118704332E-2</v>
      </c>
    </row>
    <row r="126" spans="1:2">
      <c r="A126" s="57" t="str">
        <f t="shared" si="6"/>
        <v>Commodities</v>
      </c>
      <c r="B126" s="8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53" t="str">
        <f>A130</f>
        <v>Nominale VPV</v>
      </c>
      <c r="C129" s="153" t="str">
        <f>A131</f>
        <v>Reele VPV</v>
      </c>
      <c r="D129" s="153" t="str">
        <f>A132</f>
        <v>Credits</v>
      </c>
      <c r="E129" s="153" t="str">
        <f>A133</f>
        <v>High Yield</v>
      </c>
      <c r="F129" s="153" t="str">
        <f>A134</f>
        <v>EMD</v>
      </c>
      <c r="G129" s="153" t="str">
        <f>A135</f>
        <v>Aandelen ontw</v>
      </c>
      <c r="H129" s="153" t="str">
        <f>A136</f>
        <v>Aandelen opk</v>
      </c>
      <c r="I129" s="153" t="str">
        <f>A137</f>
        <v>Hedge funds</v>
      </c>
      <c r="J129" s="153" t="str">
        <f>A138</f>
        <v>OG</v>
      </c>
      <c r="K129" s="154" t="str">
        <f>A139</f>
        <v>Commodities</v>
      </c>
    </row>
    <row r="130" spans="1:11">
      <c r="A130" s="10" t="str">
        <f>A88</f>
        <v>Nominale VPV</v>
      </c>
      <c r="B130" s="151">
        <v>-4.4452634636536759E-3</v>
      </c>
      <c r="C130" s="83">
        <v>8.7441982900903215E-3</v>
      </c>
      <c r="D130" s="83">
        <v>-4.9339554768319666E-2</v>
      </c>
      <c r="E130" s="83">
        <v>1.2956951776552206E-2</v>
      </c>
      <c r="F130" s="83">
        <v>0.12280562830238999</v>
      </c>
      <c r="G130" s="83">
        <v>7.888144630971039E-2</v>
      </c>
      <c r="H130" s="83">
        <v>2.0536738705801028E-2</v>
      </c>
      <c r="I130" s="83">
        <v>0.20606610244590901</v>
      </c>
      <c r="J130" s="83">
        <v>0.14011276432957054</v>
      </c>
      <c r="K130" s="84">
        <v>0.15047956318851441</v>
      </c>
    </row>
    <row r="131" spans="1:11">
      <c r="A131" s="147" t="str">
        <f t="shared" ref="A131:A139" si="7">A89</f>
        <v>Reele VPV</v>
      </c>
      <c r="B131" s="83">
        <v>8.7441982900903215E-3</v>
      </c>
      <c r="C131" s="151">
        <v>-1.2489110566723652E-2</v>
      </c>
      <c r="D131" s="83">
        <v>-7.8968305578049042E-2</v>
      </c>
      <c r="E131" s="83">
        <v>6.0426382116282595E-4</v>
      </c>
      <c r="F131" s="83">
        <v>0.10492325236742081</v>
      </c>
      <c r="G131" s="83">
        <v>5.6290840075746598E-2</v>
      </c>
      <c r="H131" s="83">
        <v>-1.5578453646869446E-2</v>
      </c>
      <c r="I131" s="83">
        <v>8.388996510493392E-2</v>
      </c>
      <c r="J131" s="83">
        <v>5.6324160721505756E-2</v>
      </c>
      <c r="K131" s="84">
        <v>0.15211552114400606</v>
      </c>
    </row>
    <row r="132" spans="1:11">
      <c r="A132" s="147" t="str">
        <f t="shared" si="7"/>
        <v>Credits</v>
      </c>
      <c r="B132" s="83">
        <v>-4.9339554768319666E-2</v>
      </c>
      <c r="C132" s="83">
        <v>-7.8968305578049042E-2</v>
      </c>
      <c r="D132" s="151">
        <v>-2.706363543105883E-3</v>
      </c>
      <c r="E132" s="83">
        <v>-0.10623169046092773</v>
      </c>
      <c r="F132" s="83">
        <v>-0.14155774979361152</v>
      </c>
      <c r="G132" s="83">
        <v>-5.0668020034901229E-2</v>
      </c>
      <c r="H132" s="83">
        <v>-1.3786713207860615E-2</v>
      </c>
      <c r="I132" s="83">
        <v>-0.21194265883981259</v>
      </c>
      <c r="J132" s="83">
        <v>-0.18953914181475942</v>
      </c>
      <c r="K132" s="84">
        <v>-0.13698576121952513</v>
      </c>
    </row>
    <row r="133" spans="1:11">
      <c r="A133" s="147" t="str">
        <f t="shared" si="7"/>
        <v>High Yield</v>
      </c>
      <c r="B133" s="83">
        <v>1.2956951776552206E-2</v>
      </c>
      <c r="C133" s="83">
        <v>6.0426382116282595E-4</v>
      </c>
      <c r="D133" s="83">
        <v>-0.10623169046092773</v>
      </c>
      <c r="E133" s="151">
        <v>-1.7442087987237814E-2</v>
      </c>
      <c r="F133" s="83">
        <v>-6.5893962027107067E-3</v>
      </c>
      <c r="G133" s="83">
        <v>-0.143476943707742</v>
      </c>
      <c r="H133" s="83">
        <v>-0.11434838152979443</v>
      </c>
      <c r="I133" s="83">
        <v>-3.4443218317613822E-2</v>
      </c>
      <c r="J133" s="83">
        <v>-6.7853109690286184E-2</v>
      </c>
      <c r="K133" s="84">
        <v>-0.17277427161463785</v>
      </c>
    </row>
    <row r="134" spans="1:11">
      <c r="A134" s="147" t="str">
        <f t="shared" si="7"/>
        <v>EMD</v>
      </c>
      <c r="B134" s="83">
        <v>0.12280562830238999</v>
      </c>
      <c r="C134" s="83">
        <v>0.10492325236742081</v>
      </c>
      <c r="D134" s="83">
        <v>-0.14155774979361152</v>
      </c>
      <c r="E134" s="83">
        <v>-6.5893962027107067E-3</v>
      </c>
      <c r="F134" s="151">
        <v>9.8520155870215897E-4</v>
      </c>
      <c r="G134" s="83">
        <v>-8.595312319249071E-2</v>
      </c>
      <c r="H134" s="83">
        <v>-1.5001410389243408E-2</v>
      </c>
      <c r="I134" s="83">
        <v>1.8350200165725084E-2</v>
      </c>
      <c r="J134" s="83">
        <v>-6.8151783508844377E-2</v>
      </c>
      <c r="K134" s="84">
        <v>-0.14271150902962326</v>
      </c>
    </row>
    <row r="135" spans="1:11">
      <c r="A135" s="147" t="str">
        <f t="shared" si="7"/>
        <v>Aandelen ontw</v>
      </c>
      <c r="B135" s="83">
        <v>7.888144630971039E-2</v>
      </c>
      <c r="C135" s="83">
        <v>5.6290840075746598E-2</v>
      </c>
      <c r="D135" s="83">
        <v>-5.0668020034901229E-2</v>
      </c>
      <c r="E135" s="83">
        <v>-0.143476943707742</v>
      </c>
      <c r="F135" s="83">
        <v>-8.595312319249071E-2</v>
      </c>
      <c r="G135" s="151">
        <v>-3.6806140284931677E-2</v>
      </c>
      <c r="H135" s="83">
        <v>-0.13411329500608138</v>
      </c>
      <c r="I135" s="83">
        <v>-6.395250688912657E-2</v>
      </c>
      <c r="J135" s="83">
        <v>-4.3385699574238039E-2</v>
      </c>
      <c r="K135" s="84">
        <v>-0.14433234480063456</v>
      </c>
    </row>
    <row r="136" spans="1:11">
      <c r="A136" s="147" t="str">
        <f t="shared" si="7"/>
        <v>Aandelen opk</v>
      </c>
      <c r="B136" s="83">
        <v>2.0536738705801028E-2</v>
      </c>
      <c r="C136" s="83">
        <v>-1.5578453646869446E-2</v>
      </c>
      <c r="D136" s="83">
        <v>-1.3786713207860615E-2</v>
      </c>
      <c r="E136" s="83">
        <v>-0.11434838152979443</v>
      </c>
      <c r="F136" s="83">
        <v>-1.5001410389243408E-2</v>
      </c>
      <c r="G136" s="83">
        <v>-0.13411329500608138</v>
      </c>
      <c r="H136" s="151">
        <v>-2.4024513892395571E-2</v>
      </c>
      <c r="I136" s="83">
        <v>-3.24415603390657E-2</v>
      </c>
      <c r="J136" s="83">
        <v>-4.0330896746586908E-2</v>
      </c>
      <c r="K136" s="84">
        <v>-0.12811111916728496</v>
      </c>
    </row>
    <row r="137" spans="1:11">
      <c r="A137" s="147" t="str">
        <f t="shared" si="7"/>
        <v>Hedge funds</v>
      </c>
      <c r="B137" s="83">
        <v>0.20606610244590901</v>
      </c>
      <c r="C137" s="83">
        <v>8.388996510493392E-2</v>
      </c>
      <c r="D137" s="83">
        <v>-0.21194265883981259</v>
      </c>
      <c r="E137" s="83">
        <v>-3.4443218317613822E-2</v>
      </c>
      <c r="F137" s="83">
        <v>1.8350200165725084E-2</v>
      </c>
      <c r="G137" s="83">
        <v>-6.395250688912657E-2</v>
      </c>
      <c r="H137" s="83">
        <v>-3.24415603390657E-2</v>
      </c>
      <c r="I137" s="166">
        <v>0.05</v>
      </c>
      <c r="J137" s="83">
        <v>-0.14615165313209905</v>
      </c>
      <c r="K137" s="84">
        <v>-0.2894409383542384</v>
      </c>
    </row>
    <row r="138" spans="1:11">
      <c r="A138" s="147" t="str">
        <f t="shared" si="7"/>
        <v>OG</v>
      </c>
      <c r="B138" s="83">
        <v>0.14011276432957054</v>
      </c>
      <c r="C138" s="83">
        <v>5.6324160721505756E-2</v>
      </c>
      <c r="D138" s="83">
        <v>-0.18953914181475942</v>
      </c>
      <c r="E138" s="83">
        <v>-6.7853109690286184E-2</v>
      </c>
      <c r="F138" s="83">
        <v>-6.8151783508844377E-2</v>
      </c>
      <c r="G138" s="83">
        <v>-4.3385699574238039E-2</v>
      </c>
      <c r="H138" s="83">
        <v>-4.0330896746586908E-2</v>
      </c>
      <c r="I138" s="83">
        <v>-0.14615165313209905</v>
      </c>
      <c r="J138" s="166">
        <v>-1.0093826837884137E-2</v>
      </c>
      <c r="K138" s="84">
        <v>-0.15122033452681916</v>
      </c>
    </row>
    <row r="139" spans="1:11">
      <c r="A139" s="146" t="str">
        <f t="shared" si="7"/>
        <v>Commodities</v>
      </c>
      <c r="B139" s="86">
        <v>0.15047956318851441</v>
      </c>
      <c r="C139" s="86">
        <v>0.15211552114400606</v>
      </c>
      <c r="D139" s="86">
        <v>-0.13698576121952513</v>
      </c>
      <c r="E139" s="86">
        <v>-0.17277427161463785</v>
      </c>
      <c r="F139" s="86">
        <v>-0.14271150902962326</v>
      </c>
      <c r="G139" s="86">
        <v>-0.14433234480063456</v>
      </c>
      <c r="H139" s="86">
        <v>-0.12811111916728496</v>
      </c>
      <c r="I139" s="86">
        <v>-0.2894409383542384</v>
      </c>
      <c r="J139" s="86">
        <v>-0.15122033452681916</v>
      </c>
      <c r="K139" s="187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6"/>
  <dimension ref="A1:R65"/>
  <sheetViews>
    <sheetView zoomScale="75" workbookViewId="0">
      <selection activeCell="B4" sqref="B4"/>
    </sheetView>
  </sheetViews>
  <sheetFormatPr defaultRowHeight="12.75"/>
  <cols>
    <col min="1" max="1" width="32.28515625" customWidth="1"/>
    <col min="2" max="3" width="12.140625" customWidth="1"/>
  </cols>
  <sheetData>
    <row r="1" spans="1:18">
      <c r="A1" s="2" t="s">
        <v>134</v>
      </c>
    </row>
    <row r="2" spans="1:18">
      <c r="A2" s="82"/>
      <c r="D2" s="305" t="s">
        <v>7</v>
      </c>
      <c r="E2" s="305"/>
      <c r="F2" s="305"/>
      <c r="G2" s="305"/>
      <c r="H2" s="305"/>
      <c r="I2" s="305"/>
      <c r="J2" s="305"/>
      <c r="K2" s="305"/>
      <c r="L2" s="305"/>
      <c r="M2" s="305"/>
    </row>
    <row r="3" spans="1:18">
      <c r="A3" s="88" t="str">
        <f>Parameters!A40</f>
        <v>Basis</v>
      </c>
      <c r="B3" s="89" t="s">
        <v>116</v>
      </c>
      <c r="C3" s="17" t="s">
        <v>117</v>
      </c>
      <c r="D3" s="89" t="s">
        <v>118</v>
      </c>
      <c r="E3" s="89" t="s">
        <v>119</v>
      </c>
      <c r="F3" s="90" t="s">
        <v>73</v>
      </c>
      <c r="G3" s="89" t="s">
        <v>120</v>
      </c>
      <c r="H3" s="89" t="s">
        <v>0</v>
      </c>
      <c r="I3" s="89" t="s">
        <v>121</v>
      </c>
      <c r="J3" s="89" t="s">
        <v>122</v>
      </c>
      <c r="K3" s="89" t="s">
        <v>123</v>
      </c>
      <c r="L3" s="89" t="s">
        <v>1</v>
      </c>
      <c r="M3" s="8" t="s">
        <v>124</v>
      </c>
      <c r="O3" s="221" t="s">
        <v>203</v>
      </c>
    </row>
    <row r="4" spans="1:18">
      <c r="A4" s="102" t="str">
        <f>Parameters!A99</f>
        <v>Nominale VPV</v>
      </c>
      <c r="B4" s="81">
        <f>'Vertaling visies absoluut'!B4</f>
        <v>0.03</v>
      </c>
      <c r="C4" s="16">
        <f>'Vertaling visies absoluut'!C4</f>
        <v>9.086138537108554E-2</v>
      </c>
      <c r="D4" s="83">
        <f>'Vertaling visies absoluut'!D4</f>
        <v>1</v>
      </c>
      <c r="E4" s="83">
        <f>'Vertaling visies absoluut'!E4</f>
        <v>0.40971662366390721</v>
      </c>
      <c r="F4" s="83">
        <f>'Vertaling visies absoluut'!F4</f>
        <v>0.21430474377395498</v>
      </c>
      <c r="G4" s="83">
        <f>'Vertaling visies absoluut'!G4</f>
        <v>0.22151712082055552</v>
      </c>
      <c r="H4" s="83">
        <f>'Vertaling visies absoluut'!H4</f>
        <v>7.4002355689612095E-2</v>
      </c>
      <c r="I4" s="83">
        <f>'Vertaling visies absoluut'!I4</f>
        <v>9.1634717779999042E-2</v>
      </c>
      <c r="J4" s="83">
        <f>'Vertaling visies absoluut'!J4</f>
        <v>-0.17471282183767073</v>
      </c>
      <c r="K4" s="83">
        <f>'Vertaling visies absoluut'!K4</f>
        <v>-0.19467168407321447</v>
      </c>
      <c r="L4" s="83">
        <f>'Vertaling visies absoluut'!L4</f>
        <v>-4.8441147957524994E-2</v>
      </c>
      <c r="M4" s="84">
        <f>'Vertaling visies absoluut'!M4</f>
        <v>-0.46979603223907912</v>
      </c>
      <c r="O4" s="219">
        <f>(B4-$B$4)/C4</f>
        <v>0</v>
      </c>
    </row>
    <row r="5" spans="1:18">
      <c r="A5" s="14" t="str">
        <f>Parameters!A100</f>
        <v>Reele VPV</v>
      </c>
      <c r="B5" s="81">
        <f>'Vertaling visies absoluut'!B5</f>
        <v>0.03</v>
      </c>
      <c r="C5" s="16">
        <f>'Vertaling visies absoluut'!C5</f>
        <v>0.10522937451834077</v>
      </c>
      <c r="D5" s="83">
        <f>'Vertaling visies absoluut'!D5</f>
        <v>0.40971662366390721</v>
      </c>
      <c r="E5" s="83">
        <f>'Vertaling visies absoluut'!E5</f>
        <v>1.0000000000000002</v>
      </c>
      <c r="F5" s="83">
        <f>'Vertaling visies absoluut'!F5</f>
        <v>0.15471392791247904</v>
      </c>
      <c r="G5" s="83">
        <f>'Vertaling visies absoluut'!G5</f>
        <v>0.25342358427652262</v>
      </c>
      <c r="H5" s="83">
        <f>'Vertaling visies absoluut'!H5</f>
        <v>-4.9491207038104265E-2</v>
      </c>
      <c r="I5" s="83">
        <f>'Vertaling visies absoluut'!I5</f>
        <v>0.12602559041577072</v>
      </c>
      <c r="J5" s="83">
        <f>'Vertaling visies absoluut'!J5</f>
        <v>5.7716896337474455E-2</v>
      </c>
      <c r="K5" s="83">
        <f>'Vertaling visies absoluut'!K5</f>
        <v>-0.14489467422899738</v>
      </c>
      <c r="L5" s="83">
        <f>'Vertaling visies absoluut'!L5</f>
        <v>-0.12202509544491509</v>
      </c>
      <c r="M5" s="84">
        <f>'Vertaling visies absoluut'!M5</f>
        <v>-8.9244037060686482E-2</v>
      </c>
      <c r="N5" s="28">
        <f>B5-$B$4</f>
        <v>0</v>
      </c>
      <c r="O5" s="219">
        <f t="shared" ref="O5:O13" si="0">(B5-$B$4)/C5</f>
        <v>0</v>
      </c>
      <c r="R5" s="28"/>
    </row>
    <row r="6" spans="1:18">
      <c r="A6" s="14" t="str">
        <f>Parameters!A101</f>
        <v>Credits</v>
      </c>
      <c r="B6" s="81">
        <f>'Vertaling visies absoluut'!B6</f>
        <v>5.5641316288239581E-2</v>
      </c>
      <c r="C6" s="16">
        <f>'Vertaling visies absoluut'!C6</f>
        <v>0.14514041524285748</v>
      </c>
      <c r="D6" s="83">
        <f>'Vertaling visies absoluut'!D6</f>
        <v>0.21430474377395498</v>
      </c>
      <c r="E6" s="83">
        <f>'Vertaling visies absoluut'!E6</f>
        <v>0.15471392791247904</v>
      </c>
      <c r="F6" s="83">
        <f>'Vertaling visies absoluut'!F6</f>
        <v>1</v>
      </c>
      <c r="G6" s="83">
        <f>'Vertaling visies absoluut'!G6</f>
        <v>0.27817222657699914</v>
      </c>
      <c r="H6" s="83">
        <f>'Vertaling visies absoluut'!H6</f>
        <v>-3.7036476676643365E-2</v>
      </c>
      <c r="I6" s="83">
        <f>'Vertaling visies absoluut'!I6</f>
        <v>-2.0652245548069024E-2</v>
      </c>
      <c r="J6" s="83">
        <f>'Vertaling visies absoluut'!J6</f>
        <v>-4.7238096976118265E-4</v>
      </c>
      <c r="K6" s="83">
        <f>'Vertaling visies absoluut'!K6</f>
        <v>3.5291346298508837E-2</v>
      </c>
      <c r="L6" s="83">
        <f>'Vertaling visies absoluut'!L6</f>
        <v>-0.14714896334501701</v>
      </c>
      <c r="M6" s="84">
        <f>'Vertaling visies absoluut'!M6</f>
        <v>3.8849793092206202E-2</v>
      </c>
      <c r="N6" s="28">
        <f t="shared" ref="N6:N13" si="1">B6-$B$4</f>
        <v>2.5641316288239582E-2</v>
      </c>
      <c r="O6" s="219">
        <f t="shared" si="0"/>
        <v>0.1766655844640862</v>
      </c>
      <c r="R6" s="28"/>
    </row>
    <row r="7" spans="1:18">
      <c r="A7" s="14" t="str">
        <f>Parameters!A102</f>
        <v>High Yield</v>
      </c>
      <c r="B7" s="81">
        <f>'Vertaling visies absoluut'!B7</f>
        <v>5.6496387380050681E-2</v>
      </c>
      <c r="C7" s="16">
        <f>'Vertaling visies absoluut'!C7</f>
        <v>0.15212518033194117</v>
      </c>
      <c r="D7" s="83">
        <f>'Vertaling visies absoluut'!D7</f>
        <v>0.22151712082055552</v>
      </c>
      <c r="E7" s="83">
        <f>'Vertaling visies absoluut'!E7</f>
        <v>0.25342358427652262</v>
      </c>
      <c r="F7" s="83">
        <f>'Vertaling visies absoluut'!F7</f>
        <v>0.27817222657699914</v>
      </c>
      <c r="G7" s="83">
        <f>'Vertaling visies absoluut'!G7</f>
        <v>0.99999999999999989</v>
      </c>
      <c r="H7" s="83">
        <f>'Vertaling visies absoluut'!H7</f>
        <v>0.54947077664382249</v>
      </c>
      <c r="I7" s="83">
        <f>'Vertaling visies absoluut'!I7</f>
        <v>0.65128571710691474</v>
      </c>
      <c r="J7" s="83">
        <f>'Vertaling visies absoluut'!J7</f>
        <v>0.66085351889108501</v>
      </c>
      <c r="K7" s="83">
        <f>'Vertaling visies absoluut'!K7</f>
        <v>0.42475163042146646</v>
      </c>
      <c r="L7" s="83">
        <f>'Vertaling visies absoluut'!L7</f>
        <v>-0.32361654199607626</v>
      </c>
      <c r="M7" s="84">
        <f>'Vertaling visies absoluut'!M7</f>
        <v>-2.2300336358686713E-3</v>
      </c>
      <c r="N7" s="28">
        <f t="shared" si="1"/>
        <v>2.6496387380050682E-2</v>
      </c>
      <c r="O7" s="219">
        <f t="shared" si="0"/>
        <v>0.17417489545277687</v>
      </c>
      <c r="R7" s="28"/>
    </row>
    <row r="8" spans="1:18">
      <c r="A8" s="14" t="str">
        <f>Parameters!A103</f>
        <v>Emerging market debt</v>
      </c>
      <c r="B8" s="81">
        <f>'Vertaling visies absoluut'!B8</f>
        <v>5.6528262962781142E-2</v>
      </c>
      <c r="C8" s="16">
        <f>'Vertaling visies absoluut'!C8</f>
        <v>0.13758409078549264</v>
      </c>
      <c r="D8" s="83">
        <f>'Vertaling visies absoluut'!D8</f>
        <v>7.4002355689612095E-2</v>
      </c>
      <c r="E8" s="83">
        <f>'Vertaling visies absoluut'!E8</f>
        <v>-4.9491207038104265E-2</v>
      </c>
      <c r="F8" s="83">
        <f>'Vertaling visies absoluut'!F8</f>
        <v>-3.7036476676643365E-2</v>
      </c>
      <c r="G8" s="83">
        <f>'Vertaling visies absoluut'!G8</f>
        <v>0.54947077664382249</v>
      </c>
      <c r="H8" s="83">
        <f>'Vertaling visies absoluut'!H8</f>
        <v>1</v>
      </c>
      <c r="I8" s="83">
        <f>'Vertaling visies absoluut'!I8</f>
        <v>0.43704301175382876</v>
      </c>
      <c r="J8" s="83">
        <f>'Vertaling visies absoluut'!J8</f>
        <v>0.47448318291761848</v>
      </c>
      <c r="K8" s="83">
        <f>'Vertaling visies absoluut'!K8</f>
        <v>0.75975680806732326</v>
      </c>
      <c r="L8" s="83">
        <f>'Vertaling visies absoluut'!L8</f>
        <v>0.22497345871183871</v>
      </c>
      <c r="M8" s="84">
        <f>'Vertaling visies absoluut'!M8</f>
        <v>0.50014707286156246</v>
      </c>
      <c r="N8" s="28">
        <f t="shared" si="1"/>
        <v>2.6528262962781143E-2</v>
      </c>
      <c r="O8" s="219">
        <f t="shared" si="0"/>
        <v>0.19281490186348188</v>
      </c>
      <c r="R8" s="28"/>
    </row>
    <row r="9" spans="1:18">
      <c r="A9" s="14" t="str">
        <f>Parameters!A104</f>
        <v>Aandelen ontwikkeld</v>
      </c>
      <c r="B9" s="81">
        <f>'Vertaling visies absoluut'!B9</f>
        <v>6.4356314621335148E-2</v>
      </c>
      <c r="C9" s="16">
        <f>'Vertaling visies absoluut'!C9</f>
        <v>0.19354582049076965</v>
      </c>
      <c r="D9" s="83">
        <f>'Vertaling visies absoluut'!D9</f>
        <v>9.1634717779999042E-2</v>
      </c>
      <c r="E9" s="83">
        <f>'Vertaling visies absoluut'!E9</f>
        <v>0.12602559041577072</v>
      </c>
      <c r="F9" s="83">
        <f>'Vertaling visies absoluut'!F9</f>
        <v>-2.0652245548069024E-2</v>
      </c>
      <c r="G9" s="83">
        <f>'Vertaling visies absoluut'!G9</f>
        <v>0.65128571710691474</v>
      </c>
      <c r="H9" s="83">
        <f>'Vertaling visies absoluut'!H9</f>
        <v>0.43704301175382876</v>
      </c>
      <c r="I9" s="83">
        <f>'Vertaling visies absoluut'!I9</f>
        <v>0.99999999999999978</v>
      </c>
      <c r="J9" s="83">
        <f>'Vertaling visies absoluut'!J9</f>
        <v>0.75270312398485772</v>
      </c>
      <c r="K9" s="83">
        <f>'Vertaling visies absoluut'!K9</f>
        <v>0.57172393447966696</v>
      </c>
      <c r="L9" s="83">
        <f>'Vertaling visies absoluut'!L9</f>
        <v>-3.5193060592075026E-2</v>
      </c>
      <c r="M9" s="84">
        <f>'Vertaling visies absoluut'!M9</f>
        <v>0.10395609042534409</v>
      </c>
      <c r="N9" s="28">
        <f t="shared" si="1"/>
        <v>3.4356314621335149E-2</v>
      </c>
      <c r="O9" s="219">
        <f t="shared" si="0"/>
        <v>0.17750997946749064</v>
      </c>
      <c r="R9" s="28"/>
    </row>
    <row r="10" spans="1:18">
      <c r="A10" s="14" t="str">
        <f>Parameters!A105</f>
        <v>Aandelen opkomend</v>
      </c>
      <c r="B10" s="81">
        <f>'Vertaling visies absoluut'!B10</f>
        <v>9.1561672924114379E-2</v>
      </c>
      <c r="C10" s="16">
        <f>'Vertaling visies absoluut'!C10</f>
        <v>0.34249727755342524</v>
      </c>
      <c r="D10" s="83">
        <f>'Vertaling visies absoluut'!D10</f>
        <v>-0.17471282183767073</v>
      </c>
      <c r="E10" s="83">
        <f>'Vertaling visies absoluut'!E10</f>
        <v>5.7716896337474455E-2</v>
      </c>
      <c r="F10" s="83">
        <f>'Vertaling visies absoluut'!F10</f>
        <v>-4.7238096976118265E-4</v>
      </c>
      <c r="G10" s="83">
        <f>'Vertaling visies absoluut'!G10</f>
        <v>0.66085351889108501</v>
      </c>
      <c r="H10" s="83">
        <f>'Vertaling visies absoluut'!H10</f>
        <v>0.47448318291761848</v>
      </c>
      <c r="I10" s="83">
        <f>'Vertaling visies absoluut'!I10</f>
        <v>0.75270312398485772</v>
      </c>
      <c r="J10" s="83">
        <f>'Vertaling visies absoluut'!J10</f>
        <v>1</v>
      </c>
      <c r="K10" s="83">
        <f>'Vertaling visies absoluut'!K10</f>
        <v>0.43308445119592953</v>
      </c>
      <c r="L10" s="83">
        <f>'Vertaling visies absoluut'!L10</f>
        <v>-0.33706927145387588</v>
      </c>
      <c r="M10" s="84">
        <f>'Vertaling visies absoluut'!M10</f>
        <v>0.21126029655546041</v>
      </c>
      <c r="N10" s="28">
        <f t="shared" si="1"/>
        <v>6.156167292411438E-2</v>
      </c>
      <c r="O10" s="219">
        <f t="shared" si="0"/>
        <v>0.17974353946364299</v>
      </c>
      <c r="R10" s="28"/>
    </row>
    <row r="11" spans="1:18">
      <c r="A11" s="14" t="str">
        <f>Parameters!A106</f>
        <v>Hedge funds</v>
      </c>
      <c r="B11" s="81">
        <f>'Vertaling visies absoluut'!B11</f>
        <v>5.1135067781966595E-2</v>
      </c>
      <c r="C11" s="16">
        <f>'Vertaling visies absoluut'!C11</f>
        <v>7.2522493236444621E-2</v>
      </c>
      <c r="D11" s="83">
        <f>'Vertaling visies absoluut'!D11</f>
        <v>-0.19467168407321447</v>
      </c>
      <c r="E11" s="83">
        <f>'Vertaling visies absoluut'!E11</f>
        <v>-0.14489467422899738</v>
      </c>
      <c r="F11" s="83">
        <f>'Vertaling visies absoluut'!F11</f>
        <v>3.5291346298508837E-2</v>
      </c>
      <c r="G11" s="83">
        <f>'Vertaling visies absoluut'!G11</f>
        <v>0.42475163042146646</v>
      </c>
      <c r="H11" s="83">
        <f>'Vertaling visies absoluut'!H11</f>
        <v>0.75975680806732326</v>
      </c>
      <c r="I11" s="83">
        <f>'Vertaling visies absoluut'!I11</f>
        <v>0.57172393447966696</v>
      </c>
      <c r="J11" s="83">
        <f>'Vertaling visies absoluut'!J11</f>
        <v>0.43308445119592953</v>
      </c>
      <c r="K11" s="83">
        <f>'Vertaling visies absoluut'!K11</f>
        <v>1.0000000000000002</v>
      </c>
      <c r="L11" s="83">
        <f>'Vertaling visies absoluut'!L11</f>
        <v>0.53144909307162091</v>
      </c>
      <c r="M11" s="84">
        <f>'Vertaling visies absoluut'!M11</f>
        <v>0.50768184408405947</v>
      </c>
      <c r="N11" s="28">
        <f t="shared" si="1"/>
        <v>2.1135067781966596E-2</v>
      </c>
      <c r="O11" s="219">
        <f t="shared" si="0"/>
        <v>0.29142776039235263</v>
      </c>
      <c r="R11" s="28"/>
    </row>
    <row r="12" spans="1:18">
      <c r="A12" s="14" t="str">
        <f>Parameters!A107</f>
        <v>Onroerend goed</v>
      </c>
      <c r="B12" s="81">
        <f>'Vertaling visies absoluut'!B12</f>
        <v>4.7615162118704327E-2</v>
      </c>
      <c r="C12" s="16">
        <f>'Vertaling visies absoluut'!C12</f>
        <v>4.976648454377966E-2</v>
      </c>
      <c r="D12" s="83">
        <f>'Vertaling visies absoluut'!D12</f>
        <v>-4.8441147957524994E-2</v>
      </c>
      <c r="E12" s="83">
        <f>'Vertaling visies absoluut'!E12</f>
        <v>-0.12202509544491509</v>
      </c>
      <c r="F12" s="83">
        <f>'Vertaling visies absoluut'!F12</f>
        <v>-0.14714896334501701</v>
      </c>
      <c r="G12" s="83">
        <f>'Vertaling visies absoluut'!G12</f>
        <v>-0.32361654199607626</v>
      </c>
      <c r="H12" s="83">
        <f>'Vertaling visies absoluut'!H12</f>
        <v>0.22497345871183871</v>
      </c>
      <c r="I12" s="83">
        <f>'Vertaling visies absoluut'!I12</f>
        <v>-3.5193060592075026E-2</v>
      </c>
      <c r="J12" s="83">
        <f>'Vertaling visies absoluut'!J12</f>
        <v>-0.33706927145387588</v>
      </c>
      <c r="K12" s="83">
        <f>'Vertaling visies absoluut'!K12</f>
        <v>0.53144909307162091</v>
      </c>
      <c r="L12" s="83">
        <f>'Vertaling visies absoluut'!L12</f>
        <v>1</v>
      </c>
      <c r="M12" s="84">
        <f>'Vertaling visies absoluut'!M12</f>
        <v>0.24828282028996507</v>
      </c>
      <c r="N12" s="28">
        <f t="shared" si="1"/>
        <v>1.7615162118704328E-2</v>
      </c>
      <c r="O12" s="219">
        <f>(B12-$B$4)/C12</f>
        <v>0.35395632784164693</v>
      </c>
      <c r="R12" s="28"/>
    </row>
    <row r="13" spans="1:18">
      <c r="A13" s="15" t="str">
        <f>Parameters!A108</f>
        <v>Commodities</v>
      </c>
      <c r="B13" s="85">
        <f>'Vertaling visies absoluut'!B13</f>
        <v>8.0977052013787992E-2</v>
      </c>
      <c r="C13" s="80">
        <f>'Vertaling visies absoluut'!C13</f>
        <v>0.25247140962754983</v>
      </c>
      <c r="D13" s="86">
        <f>'Vertaling visies absoluut'!D13</f>
        <v>-0.46979603223907912</v>
      </c>
      <c r="E13" s="86">
        <f>'Vertaling visies absoluut'!E13</f>
        <v>-8.9244037060686482E-2</v>
      </c>
      <c r="F13" s="86">
        <f>'Vertaling visies absoluut'!F13</f>
        <v>3.8849793092206202E-2</v>
      </c>
      <c r="G13" s="86">
        <f>'Vertaling visies absoluut'!G13</f>
        <v>-2.2300336358686713E-3</v>
      </c>
      <c r="H13" s="86">
        <f>'Vertaling visies absoluut'!H13</f>
        <v>0.50014707286156246</v>
      </c>
      <c r="I13" s="86">
        <f>'Vertaling visies absoluut'!I13</f>
        <v>0.10395609042534409</v>
      </c>
      <c r="J13" s="86">
        <f>'Vertaling visies absoluut'!J13</f>
        <v>0.21126029655546041</v>
      </c>
      <c r="K13" s="86">
        <f>'Vertaling visies absoluut'!K13</f>
        <v>0.50768184408405947</v>
      </c>
      <c r="L13" s="86">
        <f>'Vertaling visies absoluut'!L13</f>
        <v>0.24828282028996507</v>
      </c>
      <c r="M13" s="87">
        <f>'Vertaling visies absoluut'!M13</f>
        <v>1.0000000000000002</v>
      </c>
      <c r="N13" s="28">
        <f t="shared" si="1"/>
        <v>5.0977052013787993E-2</v>
      </c>
      <c r="O13" s="220">
        <f t="shared" si="0"/>
        <v>0.20191217725995281</v>
      </c>
      <c r="R13" s="28"/>
    </row>
    <row r="15" spans="1:18">
      <c r="A15" s="2" t="s">
        <v>125</v>
      </c>
    </row>
    <row r="16" spans="1:18">
      <c r="A16" s="88" t="str">
        <f>Parameters!A41</f>
        <v>Groei recessie</v>
      </c>
      <c r="B16" s="89" t="s">
        <v>116</v>
      </c>
      <c r="C16" s="17" t="s">
        <v>117</v>
      </c>
      <c r="D16" s="89" t="s">
        <v>118</v>
      </c>
      <c r="E16" s="89" t="s">
        <v>119</v>
      </c>
      <c r="F16" s="90" t="s">
        <v>73</v>
      </c>
      <c r="G16" s="89" t="s">
        <v>120</v>
      </c>
      <c r="H16" s="89" t="s">
        <v>0</v>
      </c>
      <c r="I16" s="89" t="s">
        <v>121</v>
      </c>
      <c r="J16" s="89" t="s">
        <v>122</v>
      </c>
      <c r="K16" s="89" t="s">
        <v>123</v>
      </c>
      <c r="L16" s="89" t="s">
        <v>1</v>
      </c>
      <c r="M16" s="8" t="s">
        <v>124</v>
      </c>
      <c r="O16" s="221" t="s">
        <v>203</v>
      </c>
    </row>
    <row r="17" spans="1:15">
      <c r="A17" s="14" t="str">
        <f>A4</f>
        <v>Nominale VPV</v>
      </c>
      <c r="B17" s="81">
        <v>2.5000000000000119E-2</v>
      </c>
      <c r="C17" s="16">
        <v>8.2284439513604188E-2</v>
      </c>
      <c r="D17" s="83">
        <v>1</v>
      </c>
      <c r="E17" s="83">
        <v>0.52016406962707096</v>
      </c>
      <c r="F17" s="83">
        <v>0.13446179255485641</v>
      </c>
      <c r="G17" s="83">
        <v>0.32303404970937177</v>
      </c>
      <c r="H17" s="83">
        <v>0.38904238396041924</v>
      </c>
      <c r="I17" s="83">
        <v>0.21869737874006454</v>
      </c>
      <c r="J17" s="83">
        <v>-7.6195754982743155E-2</v>
      </c>
      <c r="K17" s="83">
        <v>0.27246705924854453</v>
      </c>
      <c r="L17" s="83">
        <v>9.1177197180258351E-2</v>
      </c>
      <c r="M17" s="84">
        <v>-0.10286565806021597</v>
      </c>
      <c r="O17" s="219">
        <f>(B17-$B$17)/C17</f>
        <v>0</v>
      </c>
    </row>
    <row r="18" spans="1:15">
      <c r="A18" s="14" t="str">
        <f t="shared" ref="A18:A26" si="2">A5</f>
        <v>Reele VPV</v>
      </c>
      <c r="B18" s="81">
        <v>1.0000000000000078E-2</v>
      </c>
      <c r="C18" s="16">
        <v>8.8998480928335288E-2</v>
      </c>
      <c r="D18" s="83">
        <v>0.52016406962707096</v>
      </c>
      <c r="E18" s="83">
        <v>1</v>
      </c>
      <c r="F18" s="83">
        <v>8.2124134820961772E-2</v>
      </c>
      <c r="G18" s="83">
        <v>0.20980449038973092</v>
      </c>
      <c r="H18" s="83">
        <v>7.7141502574135448E-2</v>
      </c>
      <c r="I18" s="83">
        <v>0.13282180596227913</v>
      </c>
      <c r="J18" s="83">
        <v>-7.2413604737632503E-2</v>
      </c>
      <c r="K18" s="83">
        <v>-0.11601999301435773</v>
      </c>
      <c r="L18" s="83">
        <v>-8.5777303802926572E-2</v>
      </c>
      <c r="M18" s="84">
        <v>0.23367752650892037</v>
      </c>
      <c r="N18" s="28">
        <f>B18-$B$17</f>
        <v>-1.5000000000000041E-2</v>
      </c>
      <c r="O18" s="219">
        <f>(B18-$B$17)/C18</f>
        <v>-0.16854220255825006</v>
      </c>
    </row>
    <row r="19" spans="1:15">
      <c r="A19" s="14" t="str">
        <f t="shared" si="2"/>
        <v>Credits</v>
      </c>
      <c r="B19" s="81">
        <v>4.0000000000000008E-2</v>
      </c>
      <c r="C19" s="16">
        <v>0.14403679138809095</v>
      </c>
      <c r="D19" s="83">
        <v>0.13446179255485641</v>
      </c>
      <c r="E19" s="83">
        <v>8.2124134820961772E-2</v>
      </c>
      <c r="F19" s="83">
        <v>1</v>
      </c>
      <c r="G19" s="83">
        <v>0.19252798403310883</v>
      </c>
      <c r="H19" s="83">
        <v>-0.19397318974827171</v>
      </c>
      <c r="I19" s="83">
        <v>-4.5829430855055933E-2</v>
      </c>
      <c r="J19" s="83">
        <v>-4.2697740276267306E-2</v>
      </c>
      <c r="K19" s="83">
        <v>-0.14469851361945196</v>
      </c>
      <c r="L19" s="83">
        <v>-0.3836483811514253</v>
      </c>
      <c r="M19" s="84">
        <v>-0.12721930008553978</v>
      </c>
      <c r="N19" s="28">
        <f>B19-$B$17</f>
        <v>1.4999999999999888E-2</v>
      </c>
      <c r="O19" s="219">
        <f t="shared" ref="O19:O25" si="3">(B19-$B$17)/C19</f>
        <v>0.10414005932403808</v>
      </c>
    </row>
    <row r="20" spans="1:15">
      <c r="A20" s="14" t="str">
        <f t="shared" si="2"/>
        <v>High Yield</v>
      </c>
      <c r="B20" s="81">
        <v>5.4999999999999986E-2</v>
      </c>
      <c r="C20" s="16">
        <v>0.11195089183409801</v>
      </c>
      <c r="D20" s="83">
        <v>0.32303404970937177</v>
      </c>
      <c r="E20" s="83">
        <v>0.20980449038973092</v>
      </c>
      <c r="F20" s="83">
        <v>0.19252798403310883</v>
      </c>
      <c r="G20" s="83">
        <v>1</v>
      </c>
      <c r="H20" s="83">
        <v>0.55273068454463237</v>
      </c>
      <c r="I20" s="83">
        <v>0.53487654775118121</v>
      </c>
      <c r="J20" s="83">
        <v>0.50647088771096382</v>
      </c>
      <c r="K20" s="83">
        <v>0.49364452742897713</v>
      </c>
      <c r="L20" s="83">
        <v>-0.32113469066281125</v>
      </c>
      <c r="M20" s="84">
        <v>-0.3737902585643379</v>
      </c>
      <c r="N20" s="28">
        <f t="shared" ref="N20:N26" si="4">B20-$B$17</f>
        <v>2.9999999999999867E-2</v>
      </c>
      <c r="O20" s="219">
        <f t="shared" si="3"/>
        <v>0.26797464056344805</v>
      </c>
    </row>
    <row r="21" spans="1:15">
      <c r="A21" s="14" t="str">
        <f t="shared" si="2"/>
        <v>Emerging market debt</v>
      </c>
      <c r="B21" s="81">
        <v>4.9999999999999878E-2</v>
      </c>
      <c r="C21" s="16">
        <v>0.12351296147330995</v>
      </c>
      <c r="D21" s="83">
        <v>0.38904238396041935</v>
      </c>
      <c r="E21" s="83">
        <v>7.7141502574135504E-2</v>
      </c>
      <c r="F21" s="83">
        <v>-0.19397318974827171</v>
      </c>
      <c r="G21" s="83">
        <v>0.55273068454463237</v>
      </c>
      <c r="H21" s="83">
        <v>1</v>
      </c>
      <c r="I21" s="83">
        <v>0.27213030308381786</v>
      </c>
      <c r="J21" s="83">
        <v>0.3898858939854658</v>
      </c>
      <c r="K21" s="83">
        <v>0.76607468876436591</v>
      </c>
      <c r="L21" s="83">
        <v>0.20322658488820602</v>
      </c>
      <c r="M21" s="84">
        <v>0.14720358096022818</v>
      </c>
      <c r="N21" s="28">
        <f t="shared" si="4"/>
        <v>2.4999999999999759E-2</v>
      </c>
      <c r="O21" s="219">
        <f t="shared" si="3"/>
        <v>0.20240790684467586</v>
      </c>
    </row>
    <row r="22" spans="1:15">
      <c r="A22" s="14" t="str">
        <f t="shared" si="2"/>
        <v>Aandelen ontwikkeld</v>
      </c>
      <c r="B22" s="81">
        <v>5.00000000000001E-2</v>
      </c>
      <c r="C22" s="16">
        <v>0.15129450154258914</v>
      </c>
      <c r="D22" s="83">
        <v>0.21869737874006454</v>
      </c>
      <c r="E22" s="83">
        <v>0.13282180596227913</v>
      </c>
      <c r="F22" s="83">
        <v>-4.5829430855055968E-2</v>
      </c>
      <c r="G22" s="83">
        <v>0.53487654775118132</v>
      </c>
      <c r="H22" s="83">
        <v>0.27213030308381791</v>
      </c>
      <c r="I22" s="83">
        <v>1</v>
      </c>
      <c r="J22" s="83">
        <v>0.61521212442309692</v>
      </c>
      <c r="K22" s="83">
        <v>0.53100809693739237</v>
      </c>
      <c r="L22" s="83">
        <v>-0.13741532621382926</v>
      </c>
      <c r="M22" s="84">
        <v>-0.28263833473995309</v>
      </c>
      <c r="N22" s="28">
        <f t="shared" si="4"/>
        <v>2.4999999999999981E-2</v>
      </c>
      <c r="O22" s="219">
        <f t="shared" si="3"/>
        <v>0.16524063825916716</v>
      </c>
    </row>
    <row r="23" spans="1:15">
      <c r="A23" s="14" t="str">
        <f t="shared" si="2"/>
        <v>Aandelen opkomend</v>
      </c>
      <c r="B23" s="81">
        <v>3.9999999999999918E-2</v>
      </c>
      <c r="C23" s="16">
        <v>0.30743928719374491</v>
      </c>
      <c r="D23" s="83">
        <v>-7.6195754982743141E-2</v>
      </c>
      <c r="E23" s="83">
        <v>-7.2413604737632531E-2</v>
      </c>
      <c r="F23" s="83">
        <v>-4.2697740276267306E-2</v>
      </c>
      <c r="G23" s="83">
        <v>0.50647088771096382</v>
      </c>
      <c r="H23" s="83">
        <v>0.38988589398546569</v>
      </c>
      <c r="I23" s="83">
        <v>0.61521212442309692</v>
      </c>
      <c r="J23" s="83">
        <v>1</v>
      </c>
      <c r="K23" s="83">
        <v>0.39942147634863318</v>
      </c>
      <c r="L23" s="83">
        <v>-0.40516653020728083</v>
      </c>
      <c r="M23" s="84">
        <v>-0.2304009767195242</v>
      </c>
      <c r="N23" s="28">
        <f t="shared" si="4"/>
        <v>1.4999999999999798E-2</v>
      </c>
      <c r="O23" s="219">
        <f t="shared" si="3"/>
        <v>4.8790120927345762E-2</v>
      </c>
    </row>
    <row r="24" spans="1:15">
      <c r="A24" s="14" t="str">
        <f t="shared" si="2"/>
        <v>Hedge funds</v>
      </c>
      <c r="B24" s="81">
        <v>6.0000000000000046E-2</v>
      </c>
      <c r="C24" s="16">
        <v>4.5382959905780257E-2</v>
      </c>
      <c r="D24" s="83">
        <v>0.27246705924854464</v>
      </c>
      <c r="E24" s="83">
        <v>-0.11601999301435773</v>
      </c>
      <c r="F24" s="83">
        <v>-0.14469851361945199</v>
      </c>
      <c r="G24" s="83">
        <v>0.49364452742897713</v>
      </c>
      <c r="H24" s="83">
        <v>0.76607468876436591</v>
      </c>
      <c r="I24" s="83">
        <v>0.53100809693739237</v>
      </c>
      <c r="J24" s="83">
        <v>0.39942147634863318</v>
      </c>
      <c r="K24" s="83">
        <v>1</v>
      </c>
      <c r="L24" s="83">
        <v>0.29562287448383628</v>
      </c>
      <c r="M24" s="84">
        <v>-0.1692519899353192</v>
      </c>
      <c r="N24" s="28">
        <f t="shared" si="4"/>
        <v>3.4999999999999927E-2</v>
      </c>
      <c r="O24" s="219">
        <f>(B24-$B$17)/C24</f>
        <v>0.77121457200375576</v>
      </c>
    </row>
    <row r="25" spans="1:15">
      <c r="A25" s="14" t="str">
        <f t="shared" si="2"/>
        <v>Onroerend goed</v>
      </c>
      <c r="B25" s="81">
        <v>2.4999999999999956E-2</v>
      </c>
      <c r="C25" s="16">
        <v>3.2444616979797246E-2</v>
      </c>
      <c r="D25" s="83">
        <v>9.1177197180258379E-2</v>
      </c>
      <c r="E25" s="83">
        <v>-8.5777303802926572E-2</v>
      </c>
      <c r="F25" s="83">
        <v>-0.38364838115142536</v>
      </c>
      <c r="G25" s="83">
        <v>-0.32113469066281125</v>
      </c>
      <c r="H25" s="83">
        <v>0.20322658488820602</v>
      </c>
      <c r="I25" s="83">
        <v>-0.13741532621382926</v>
      </c>
      <c r="J25" s="83">
        <v>-0.40516653020728083</v>
      </c>
      <c r="K25" s="83">
        <v>0.29562287448383628</v>
      </c>
      <c r="L25" s="83">
        <v>1</v>
      </c>
      <c r="M25" s="84">
        <v>0.1232317328448177</v>
      </c>
      <c r="N25" s="28">
        <f t="shared" si="4"/>
        <v>-1.6306400674181987E-16</v>
      </c>
      <c r="O25" s="219">
        <f t="shared" si="3"/>
        <v>-5.0259186860907395E-15</v>
      </c>
    </row>
    <row r="26" spans="1:15">
      <c r="A26" s="15" t="str">
        <f t="shared" si="2"/>
        <v>Commodities</v>
      </c>
      <c r="B26" s="85">
        <v>0</v>
      </c>
      <c r="C26" s="80">
        <v>0.21461520563306455</v>
      </c>
      <c r="D26" s="86">
        <v>-0.10286565806021597</v>
      </c>
      <c r="E26" s="86">
        <v>0.23367752650892037</v>
      </c>
      <c r="F26" s="86">
        <v>-0.12721930008553972</v>
      </c>
      <c r="G26" s="86">
        <v>-0.3737902585643379</v>
      </c>
      <c r="H26" s="86">
        <v>0.14720358096022818</v>
      </c>
      <c r="I26" s="86">
        <v>-0.28263833473995315</v>
      </c>
      <c r="J26" s="86">
        <v>-0.2304009767195242</v>
      </c>
      <c r="K26" s="86">
        <v>-0.16925198993531931</v>
      </c>
      <c r="L26" s="86">
        <v>0.1232317328448177</v>
      </c>
      <c r="M26" s="87">
        <v>1</v>
      </c>
      <c r="N26" s="28">
        <f t="shared" si="4"/>
        <v>-2.5000000000000119E-2</v>
      </c>
      <c r="O26" s="220">
        <f>(B26-$B$17)/C26</f>
        <v>-0.11648755234400088</v>
      </c>
    </row>
    <row r="27" spans="1:15">
      <c r="A27" s="22"/>
      <c r="B27" s="81"/>
      <c r="C27" s="81"/>
      <c r="D27" s="83"/>
      <c r="E27" s="83"/>
      <c r="F27" s="83"/>
      <c r="G27" s="83"/>
      <c r="H27" s="83"/>
      <c r="I27" s="83"/>
      <c r="J27" s="83"/>
      <c r="K27" s="83"/>
      <c r="L27" s="83"/>
      <c r="M27" s="83"/>
    </row>
    <row r="29" spans="1:15">
      <c r="A29" s="88" t="str">
        <f>Parameters!A42</f>
        <v>Inflatie is een fiscaal verschijnsel</v>
      </c>
      <c r="B29" s="89" t="s">
        <v>116</v>
      </c>
      <c r="C29" s="17" t="s">
        <v>117</v>
      </c>
      <c r="D29" s="89" t="s">
        <v>118</v>
      </c>
      <c r="E29" s="89" t="s">
        <v>119</v>
      </c>
      <c r="F29" s="90" t="s">
        <v>73</v>
      </c>
      <c r="G29" s="89" t="s">
        <v>120</v>
      </c>
      <c r="H29" s="89" t="s">
        <v>0</v>
      </c>
      <c r="I29" s="89" t="s">
        <v>121</v>
      </c>
      <c r="J29" s="89" t="s">
        <v>122</v>
      </c>
      <c r="K29" s="89" t="s">
        <v>123</v>
      </c>
      <c r="L29" s="89" t="s">
        <v>1</v>
      </c>
      <c r="M29" s="8" t="s">
        <v>124</v>
      </c>
      <c r="O29" s="221" t="s">
        <v>203</v>
      </c>
    </row>
    <row r="30" spans="1:15">
      <c r="A30" s="14" t="str">
        <f>A17</f>
        <v>Nominale VPV</v>
      </c>
      <c r="B30" s="81">
        <v>-9.999999999999995E-2</v>
      </c>
      <c r="C30" s="16">
        <v>8.6979477341329908E-2</v>
      </c>
      <c r="D30" s="83">
        <v>1</v>
      </c>
      <c r="E30" s="83">
        <v>0.44647787881945766</v>
      </c>
      <c r="F30" s="83">
        <v>0.12476371362076351</v>
      </c>
      <c r="G30" s="83">
        <v>0.39473896463521979</v>
      </c>
      <c r="H30" s="83">
        <v>0.14329164688661464</v>
      </c>
      <c r="I30" s="83">
        <v>0.31280893869431281</v>
      </c>
      <c r="J30" s="83">
        <v>-5.3639971431398842E-2</v>
      </c>
      <c r="K30" s="83">
        <v>-4.5375987461387546E-2</v>
      </c>
      <c r="L30" s="83">
        <v>1.8874630580668544E-2</v>
      </c>
      <c r="M30" s="84">
        <v>-0.43049903922919336</v>
      </c>
      <c r="O30" s="219">
        <f>(B30-$B$30)/C30</f>
        <v>0</v>
      </c>
    </row>
    <row r="31" spans="1:15">
      <c r="A31" s="14" t="str">
        <f t="shared" ref="A31:A39" si="5">A18</f>
        <v>Reele VPV</v>
      </c>
      <c r="B31" s="81">
        <v>-3.8163916471489756E-17</v>
      </c>
      <c r="C31" s="16">
        <v>0.10896841546298597</v>
      </c>
      <c r="D31" s="83">
        <v>0.44647787881945766</v>
      </c>
      <c r="E31" s="83">
        <v>1</v>
      </c>
      <c r="F31" s="83">
        <v>8.4321923207799868E-2</v>
      </c>
      <c r="G31" s="83">
        <v>0.30748879816953062</v>
      </c>
      <c r="H31" s="83">
        <v>-1.3783474196812105E-2</v>
      </c>
      <c r="I31" s="83">
        <v>0.30597926550447924</v>
      </c>
      <c r="J31" s="83">
        <v>0.14739566742264482</v>
      </c>
      <c r="K31" s="83">
        <v>-0.1294232882487544</v>
      </c>
      <c r="L31" s="83">
        <v>-0.12641717828044782</v>
      </c>
      <c r="M31" s="84">
        <v>-1.952689911777282E-2</v>
      </c>
      <c r="O31" s="219">
        <f t="shared" ref="O31:O39" si="6">(B31-$B$30)/C31</f>
        <v>0.91769711044359981</v>
      </c>
    </row>
    <row r="32" spans="1:15">
      <c r="A32" s="14" t="str">
        <f t="shared" si="5"/>
        <v>Credits</v>
      </c>
      <c r="B32" s="81">
        <v>-6.2500000000000042E-2</v>
      </c>
      <c r="C32" s="16">
        <v>0.13990559436256109</v>
      </c>
      <c r="D32" s="83">
        <v>0.12476371362076351</v>
      </c>
      <c r="E32" s="83">
        <v>8.4321923207799868E-2</v>
      </c>
      <c r="F32" s="83">
        <v>1</v>
      </c>
      <c r="G32" s="83">
        <v>0.18030730071459058</v>
      </c>
      <c r="H32" s="83">
        <v>-0.25418969179515066</v>
      </c>
      <c r="I32" s="83">
        <v>-7.9795858053289384E-2</v>
      </c>
      <c r="J32" s="83">
        <v>-1.1299149052951601E-2</v>
      </c>
      <c r="K32" s="83">
        <v>-0.17485249114463275</v>
      </c>
      <c r="L32" s="83">
        <v>-0.28831149244548265</v>
      </c>
      <c r="M32" s="84">
        <v>-0.11650578645633478</v>
      </c>
      <c r="O32" s="219">
        <f t="shared" si="6"/>
        <v>0.26803788776894655</v>
      </c>
    </row>
    <row r="33" spans="1:15">
      <c r="A33" s="14" t="str">
        <f t="shared" si="5"/>
        <v>High Yield</v>
      </c>
      <c r="B33" s="81">
        <v>-6.8503612619949708E-2</v>
      </c>
      <c r="C33" s="16">
        <v>0.11885134697059349</v>
      </c>
      <c r="D33" s="83">
        <v>0.39473896463521979</v>
      </c>
      <c r="E33" s="83">
        <v>0.30748879816953062</v>
      </c>
      <c r="F33" s="83">
        <v>0.18030730071459058</v>
      </c>
      <c r="G33" s="83">
        <v>1</v>
      </c>
      <c r="H33" s="83">
        <v>0.46323608157717838</v>
      </c>
      <c r="I33" s="83">
        <v>0.59241684043745912</v>
      </c>
      <c r="J33" s="83">
        <v>0.53403538944587015</v>
      </c>
      <c r="K33" s="83">
        <v>0.24598097465652494</v>
      </c>
      <c r="L33" s="83">
        <v>-0.36278809960119057</v>
      </c>
      <c r="M33" s="84">
        <v>-0.24556869352982991</v>
      </c>
      <c r="O33" s="219">
        <f t="shared" si="6"/>
        <v>0.26500656646191112</v>
      </c>
    </row>
    <row r="34" spans="1:15">
      <c r="A34" s="14" t="str">
        <f t="shared" si="5"/>
        <v>Emerging market debt</v>
      </c>
      <c r="B34" s="81">
        <v>-1.8471737037218813E-2</v>
      </c>
      <c r="C34" s="16">
        <v>0.13434300064166035</v>
      </c>
      <c r="D34" s="83">
        <v>0.14329164688661464</v>
      </c>
      <c r="E34" s="83">
        <v>-1.3783474196812105E-2</v>
      </c>
      <c r="F34" s="83">
        <v>-0.25418969179515066</v>
      </c>
      <c r="G34" s="83">
        <v>0.46323608157717838</v>
      </c>
      <c r="H34" s="83">
        <v>1</v>
      </c>
      <c r="I34" s="83">
        <v>0.34598071876438846</v>
      </c>
      <c r="J34" s="83">
        <v>0.35502532656296076</v>
      </c>
      <c r="K34" s="83">
        <v>0.79192802286367414</v>
      </c>
      <c r="L34" s="83">
        <v>0.31095692213611359</v>
      </c>
      <c r="M34" s="84">
        <v>0.39954142389203889</v>
      </c>
      <c r="O34" s="219">
        <f t="shared" si="6"/>
        <v>0.60686647293404927</v>
      </c>
    </row>
    <row r="35" spans="1:15">
      <c r="A35" s="14" t="str">
        <f t="shared" si="5"/>
        <v>Aandelen ontwikkeld</v>
      </c>
      <c r="B35" s="81">
        <v>2.0816681711721685E-16</v>
      </c>
      <c r="C35" s="16">
        <v>0.15931815029652449</v>
      </c>
      <c r="D35" s="83">
        <v>0.31280893869431281</v>
      </c>
      <c r="E35" s="83">
        <v>0.30597926550447924</v>
      </c>
      <c r="F35" s="83">
        <v>-7.9795858053289384E-2</v>
      </c>
      <c r="G35" s="83">
        <v>0.59241684043745912</v>
      </c>
      <c r="H35" s="83">
        <v>0.34598071876438846</v>
      </c>
      <c r="I35" s="83">
        <v>1</v>
      </c>
      <c r="J35" s="83">
        <v>0.68294735384272309</v>
      </c>
      <c r="K35" s="83">
        <v>0.38647228003265582</v>
      </c>
      <c r="L35" s="83">
        <v>-9.8153053151787711E-2</v>
      </c>
      <c r="M35" s="84">
        <v>-9.0759698221048582E-2</v>
      </c>
      <c r="O35" s="219">
        <f t="shared" si="6"/>
        <v>0.62767487454429505</v>
      </c>
    </row>
    <row r="36" spans="1:15">
      <c r="A36" s="14" t="str">
        <f t="shared" si="5"/>
        <v>Aandelen opkomend</v>
      </c>
      <c r="B36" s="81">
        <v>2.1561672924113998E-2</v>
      </c>
      <c r="C36" s="16">
        <v>0.16249727755342519</v>
      </c>
      <c r="D36" s="83">
        <v>-5.3639971431398842E-2</v>
      </c>
      <c r="E36" s="83">
        <v>0.14739566742264482</v>
      </c>
      <c r="F36" s="83">
        <v>-1.1299149052951601E-2</v>
      </c>
      <c r="G36" s="83">
        <v>0.53403538944587015</v>
      </c>
      <c r="H36" s="83">
        <v>0.35502532656296076</v>
      </c>
      <c r="I36" s="83">
        <v>0.68294735384272309</v>
      </c>
      <c r="J36" s="83">
        <v>1</v>
      </c>
      <c r="K36" s="83">
        <v>0.24318658795406575</v>
      </c>
      <c r="L36" s="83">
        <v>-0.40601872314925519</v>
      </c>
      <c r="M36" s="84">
        <v>8.458865882345884E-2</v>
      </c>
      <c r="O36" s="219">
        <f t="shared" si="6"/>
        <v>0.74808436642359988</v>
      </c>
    </row>
    <row r="37" spans="1:15">
      <c r="A37" s="14" t="str">
        <f t="shared" si="5"/>
        <v>Hedge funds</v>
      </c>
      <c r="B37" s="81">
        <v>-4.0000000000000022E-2</v>
      </c>
      <c r="C37" s="16">
        <v>5.7887490060103547E-2</v>
      </c>
      <c r="D37" s="83">
        <v>-4.5375987461387546E-2</v>
      </c>
      <c r="E37" s="83">
        <v>-0.1294232882487544</v>
      </c>
      <c r="F37" s="83">
        <v>-0.17485249114463275</v>
      </c>
      <c r="G37" s="83">
        <v>0.24598097465652494</v>
      </c>
      <c r="H37" s="83">
        <v>0.79192802286367414</v>
      </c>
      <c r="I37" s="83">
        <v>0.38647228003265582</v>
      </c>
      <c r="J37" s="83">
        <v>0.24318658795406575</v>
      </c>
      <c r="K37" s="83">
        <v>1</v>
      </c>
      <c r="L37" s="83">
        <v>0.58642803030365875</v>
      </c>
      <c r="M37" s="84">
        <v>0.34742936858442752</v>
      </c>
      <c r="O37" s="219">
        <f t="shared" si="6"/>
        <v>1.0364933759902701</v>
      </c>
    </row>
    <row r="38" spans="1:15">
      <c r="A38" s="14" t="str">
        <f t="shared" si="5"/>
        <v>Onroerend goed</v>
      </c>
      <c r="B38" s="81">
        <v>-5.238483788129572E-2</v>
      </c>
      <c r="C38" s="16">
        <v>0.14976648454377967</v>
      </c>
      <c r="D38" s="83">
        <v>1.8874630580668544E-2</v>
      </c>
      <c r="E38" s="83">
        <v>-0.12641717828044782</v>
      </c>
      <c r="F38" s="83">
        <v>-0.28831149244548265</v>
      </c>
      <c r="G38" s="83">
        <v>-0.36278809960119057</v>
      </c>
      <c r="H38" s="83">
        <v>0.31095692213611359</v>
      </c>
      <c r="I38" s="83">
        <v>-9.8153053151787711E-2</v>
      </c>
      <c r="J38" s="83">
        <v>-0.40601872314925519</v>
      </c>
      <c r="K38" s="83">
        <v>0.58642803030365875</v>
      </c>
      <c r="L38" s="83">
        <v>1</v>
      </c>
      <c r="M38" s="84">
        <v>0.22312540192773261</v>
      </c>
      <c r="O38" s="219">
        <f t="shared" si="6"/>
        <v>0.31792935691687008</v>
      </c>
    </row>
    <row r="39" spans="1:15">
      <c r="A39" s="15" t="str">
        <f t="shared" si="5"/>
        <v>Commodities</v>
      </c>
      <c r="B39" s="85">
        <v>5.0000000000000218E-2</v>
      </c>
      <c r="C39" s="80">
        <v>0.15247140962754982</v>
      </c>
      <c r="D39" s="86">
        <v>-0.43049903922919336</v>
      </c>
      <c r="E39" s="86">
        <v>-1.952689911777282E-2</v>
      </c>
      <c r="F39" s="86">
        <v>-0.11650578645633478</v>
      </c>
      <c r="G39" s="86">
        <v>-0.24556869352982991</v>
      </c>
      <c r="H39" s="86">
        <v>0.39954142389203889</v>
      </c>
      <c r="I39" s="86">
        <v>-9.0759698221048582E-2</v>
      </c>
      <c r="J39" s="86">
        <v>8.458865882345884E-2</v>
      </c>
      <c r="K39" s="86">
        <v>0.34742936858442752</v>
      </c>
      <c r="L39" s="86">
        <v>0.22312540192773261</v>
      </c>
      <c r="M39" s="87">
        <v>1</v>
      </c>
      <c r="O39" s="220">
        <f t="shared" si="6"/>
        <v>0.98379099640000245</v>
      </c>
    </row>
    <row r="40" spans="1:15">
      <c r="A40" s="22"/>
      <c r="B40" s="81"/>
      <c r="C40" s="81"/>
      <c r="D40" s="83"/>
      <c r="E40" s="83"/>
      <c r="F40" s="83"/>
      <c r="G40" s="83"/>
      <c r="H40" s="83"/>
      <c r="I40" s="83"/>
      <c r="J40" s="83"/>
      <c r="K40" s="83"/>
      <c r="L40" s="83"/>
      <c r="M40" s="83"/>
    </row>
    <row r="42" spans="1:15">
      <c r="A42" s="88" t="str">
        <f>Parameters!A43</f>
        <v>Vermogenseffect &amp; innovatie</v>
      </c>
      <c r="B42" s="89" t="s">
        <v>116</v>
      </c>
      <c r="C42" s="17" t="s">
        <v>117</v>
      </c>
      <c r="D42" s="89" t="s">
        <v>118</v>
      </c>
      <c r="E42" s="89" t="s">
        <v>119</v>
      </c>
      <c r="F42" s="90" t="s">
        <v>73</v>
      </c>
      <c r="G42" s="89" t="s">
        <v>120</v>
      </c>
      <c r="H42" s="89" t="s">
        <v>0</v>
      </c>
      <c r="I42" s="89" t="s">
        <v>121</v>
      </c>
      <c r="J42" s="89" t="s">
        <v>122</v>
      </c>
      <c r="K42" s="89" t="s">
        <v>123</v>
      </c>
      <c r="L42" s="89" t="s">
        <v>1</v>
      </c>
      <c r="M42" s="8" t="s">
        <v>124</v>
      </c>
      <c r="O42" s="221" t="s">
        <v>203</v>
      </c>
    </row>
    <row r="43" spans="1:15">
      <c r="A43" s="14" t="str">
        <f>A17</f>
        <v>Nominale VPV</v>
      </c>
      <c r="B43" s="81">
        <v>-4.9999999999999975E-2</v>
      </c>
      <c r="C43" s="16">
        <v>8.3779626926755432E-2</v>
      </c>
      <c r="D43" s="83">
        <v>1</v>
      </c>
      <c r="E43" s="83">
        <v>0.36356395941164671</v>
      </c>
      <c r="F43" s="83">
        <v>0.19770591590777722</v>
      </c>
      <c r="G43" s="83">
        <v>0.23990617585831378</v>
      </c>
      <c r="H43" s="83">
        <v>-7.3357889322124489E-2</v>
      </c>
      <c r="I43" s="83">
        <v>7.7794040108081552E-2</v>
      </c>
      <c r="J43" s="83">
        <v>-0.29684548966761942</v>
      </c>
      <c r="K43" s="83">
        <v>-0.21164487982924918</v>
      </c>
      <c r="L43" s="83">
        <v>4.8029633528850771E-2</v>
      </c>
      <c r="M43" s="84">
        <v>-0.52530619108730725</v>
      </c>
      <c r="O43" s="219">
        <f>(B43-$B$43)/C43</f>
        <v>0</v>
      </c>
    </row>
    <row r="44" spans="1:15">
      <c r="A44" s="14" t="str">
        <f t="shared" ref="A44:A52" si="7">A18</f>
        <v>Reele VPV</v>
      </c>
      <c r="B44" s="81">
        <v>-4.9999999999999989E-2</v>
      </c>
      <c r="C44" s="16">
        <v>0.10342970304098825</v>
      </c>
      <c r="D44" s="83">
        <v>0.36356395941164671</v>
      </c>
      <c r="E44" s="83">
        <v>1</v>
      </c>
      <c r="F44" s="83">
        <v>9.5405718569428061E-2</v>
      </c>
      <c r="G44" s="83">
        <v>0.19061940988948001</v>
      </c>
      <c r="H44" s="83">
        <v>-0.11050815584965402</v>
      </c>
      <c r="I44" s="83">
        <v>9.8469115672903812E-2</v>
      </c>
      <c r="J44" s="83">
        <v>-5.9291804287521767E-2</v>
      </c>
      <c r="K44" s="83">
        <v>-0.17290430292907685</v>
      </c>
      <c r="L44" s="83">
        <v>-7.6193016480044728E-2</v>
      </c>
      <c r="M44" s="84">
        <v>-7.231060997995413E-2</v>
      </c>
      <c r="O44" s="219">
        <f t="shared" ref="O44:O52" si="8">(B44-$B$43)/C44</f>
        <v>-1.3417603840856835E-16</v>
      </c>
    </row>
    <row r="45" spans="1:15">
      <c r="A45" s="14" t="str">
        <f t="shared" si="7"/>
        <v>Credits</v>
      </c>
      <c r="B45" s="81">
        <v>1.5000000000000069E-2</v>
      </c>
      <c r="C45" s="16">
        <v>0.14464718023748876</v>
      </c>
      <c r="D45" s="83">
        <v>0.19770591590777722</v>
      </c>
      <c r="E45" s="83">
        <v>9.5405718569428061E-2</v>
      </c>
      <c r="F45" s="83">
        <v>1</v>
      </c>
      <c r="G45" s="83">
        <v>0.1479964056276101</v>
      </c>
      <c r="H45" s="83">
        <v>-0.36557661407257697</v>
      </c>
      <c r="I45" s="83">
        <v>-0.17045076253006095</v>
      </c>
      <c r="J45" s="83">
        <v>-8.7743919276774857E-2</v>
      </c>
      <c r="K45" s="83">
        <v>-0.36495490011390636</v>
      </c>
      <c r="L45" s="83">
        <v>-0.35360460641933389</v>
      </c>
      <c r="M45" s="84">
        <v>-0.24298972993039863</v>
      </c>
      <c r="O45" s="219">
        <f t="shared" si="8"/>
        <v>0.44936928527248088</v>
      </c>
    </row>
    <row r="46" spans="1:15">
      <c r="A46" s="14" t="str">
        <f t="shared" si="7"/>
        <v>High Yield</v>
      </c>
      <c r="B46" s="81">
        <v>5.6496387380050868E-2</v>
      </c>
      <c r="C46" s="16">
        <v>9.6868617082165279E-2</v>
      </c>
      <c r="D46" s="83">
        <v>0.23990617585831378</v>
      </c>
      <c r="E46" s="83">
        <v>0.19061940988948001</v>
      </c>
      <c r="F46" s="83">
        <v>0.1479964056276101</v>
      </c>
      <c r="G46" s="83">
        <v>1</v>
      </c>
      <c r="H46" s="83">
        <v>0.47688188083944766</v>
      </c>
      <c r="I46" s="83">
        <v>0.51169443296997497</v>
      </c>
      <c r="J46" s="83">
        <v>0.45867964598849736</v>
      </c>
      <c r="K46" s="83">
        <v>0.27365985894328215</v>
      </c>
      <c r="L46" s="83">
        <v>-0.32590742577961268</v>
      </c>
      <c r="M46" s="84">
        <v>-9.8347371833026831E-2</v>
      </c>
      <c r="O46" s="219">
        <f t="shared" si="8"/>
        <v>1.0993899839585732</v>
      </c>
    </row>
    <row r="47" spans="1:15">
      <c r="A47" s="14" t="str">
        <f t="shared" si="7"/>
        <v>Emerging market debt</v>
      </c>
      <c r="B47" s="81">
        <v>5.0000000000000086E-2</v>
      </c>
      <c r="C47" s="16">
        <v>0.15026895203342447</v>
      </c>
      <c r="D47" s="83">
        <v>-7.3357889322124489E-2</v>
      </c>
      <c r="E47" s="83">
        <v>-0.11050815584965402</v>
      </c>
      <c r="F47" s="83">
        <v>-0.36557661407257697</v>
      </c>
      <c r="G47" s="83">
        <v>0.47688188083944766</v>
      </c>
      <c r="H47" s="83">
        <v>1</v>
      </c>
      <c r="I47" s="83">
        <v>0.37643358006730171</v>
      </c>
      <c r="J47" s="83">
        <v>0.46379705839414215</v>
      </c>
      <c r="K47" s="83">
        <v>0.81593638957185965</v>
      </c>
      <c r="L47" s="83">
        <v>0.28291144717511929</v>
      </c>
      <c r="M47" s="84">
        <v>0.56233375311892753</v>
      </c>
      <c r="O47" s="219">
        <f t="shared" si="8"/>
        <v>0.66547346372494143</v>
      </c>
    </row>
    <row r="48" spans="1:15">
      <c r="A48" s="14" t="str">
        <f t="shared" si="7"/>
        <v>Aandelen ontwikkeld</v>
      </c>
      <c r="B48" s="81">
        <v>0.19999999999999998</v>
      </c>
      <c r="C48" s="16">
        <v>0.14251402915289357</v>
      </c>
      <c r="D48" s="83">
        <v>7.7794040108081552E-2</v>
      </c>
      <c r="E48" s="83">
        <v>9.8469115672903812E-2</v>
      </c>
      <c r="F48" s="83">
        <v>-0.17045076253006095</v>
      </c>
      <c r="G48" s="83">
        <v>0.51169443296997497</v>
      </c>
      <c r="H48" s="83">
        <v>0.37643358006730171</v>
      </c>
      <c r="I48" s="83">
        <v>1</v>
      </c>
      <c r="J48" s="83">
        <v>0.62822954207202264</v>
      </c>
      <c r="K48" s="83">
        <v>0.49908101780768988</v>
      </c>
      <c r="L48" s="83">
        <v>5.3578754416141371E-2</v>
      </c>
      <c r="M48" s="84">
        <v>8.3702336951742631E-2</v>
      </c>
      <c r="O48" s="219">
        <f t="shared" si="8"/>
        <v>1.754213262273232</v>
      </c>
    </row>
    <row r="49" spans="1:15">
      <c r="A49" s="14" t="str">
        <f t="shared" si="7"/>
        <v>Aandelen opkomend</v>
      </c>
      <c r="B49" s="81">
        <v>0.36156167292411434</v>
      </c>
      <c r="C49" s="16">
        <v>0.24249727755342518</v>
      </c>
      <c r="D49" s="83">
        <v>-0.29684548966761942</v>
      </c>
      <c r="E49" s="83">
        <v>-5.9291804287521767E-2</v>
      </c>
      <c r="F49" s="83">
        <v>-8.7743919276774857E-2</v>
      </c>
      <c r="G49" s="83">
        <v>0.45867964598849736</v>
      </c>
      <c r="H49" s="83">
        <v>0.46379705839414215</v>
      </c>
      <c r="I49" s="83">
        <v>0.62822954207202264</v>
      </c>
      <c r="J49" s="83">
        <v>1</v>
      </c>
      <c r="K49" s="83">
        <v>0.36516938170439023</v>
      </c>
      <c r="L49" s="83">
        <v>-0.30245086529985321</v>
      </c>
      <c r="M49" s="84">
        <v>0.35454741481854263</v>
      </c>
      <c r="O49" s="219">
        <f t="shared" si="8"/>
        <v>1.6971805913715554</v>
      </c>
    </row>
    <row r="50" spans="1:15">
      <c r="A50" s="14" t="str">
        <f t="shared" si="7"/>
        <v>Hedge funds</v>
      </c>
      <c r="B50" s="81">
        <v>6.0000000000000123E-2</v>
      </c>
      <c r="C50" s="16">
        <v>6.2837843277635516E-2</v>
      </c>
      <c r="D50" s="83">
        <v>-0.21164487982924918</v>
      </c>
      <c r="E50" s="83">
        <v>-0.17290430292907685</v>
      </c>
      <c r="F50" s="83">
        <v>-0.36495490011390636</v>
      </c>
      <c r="G50" s="83">
        <v>0.27365985894328215</v>
      </c>
      <c r="H50" s="83">
        <v>0.81593638957185965</v>
      </c>
      <c r="I50" s="83">
        <v>0.49908101780768988</v>
      </c>
      <c r="J50" s="83">
        <v>0.36516938170439023</v>
      </c>
      <c r="K50" s="83">
        <v>1</v>
      </c>
      <c r="L50" s="83">
        <v>0.56468307579523147</v>
      </c>
      <c r="M50" s="84">
        <v>0.47753191031129466</v>
      </c>
      <c r="O50" s="219">
        <f t="shared" si="8"/>
        <v>1.7505374828666338</v>
      </c>
    </row>
    <row r="51" spans="1:15">
      <c r="A51" s="14" t="str">
        <f t="shared" si="7"/>
        <v>Onroerend goed</v>
      </c>
      <c r="B51" s="81">
        <v>0.1</v>
      </c>
      <c r="C51" s="16">
        <v>0.14976648454377967</v>
      </c>
      <c r="D51" s="83">
        <v>4.8029633528850771E-2</v>
      </c>
      <c r="E51" s="83">
        <v>-7.6193016480044728E-2</v>
      </c>
      <c r="F51" s="83">
        <v>-0.35360460641933389</v>
      </c>
      <c r="G51" s="83">
        <v>-0.32590742577961268</v>
      </c>
      <c r="H51" s="83">
        <v>0.28291144717511929</v>
      </c>
      <c r="I51" s="83">
        <v>5.3578754416141371E-2</v>
      </c>
      <c r="J51" s="83">
        <v>-0.30245086529985321</v>
      </c>
      <c r="K51" s="83">
        <v>0.56468307579523147</v>
      </c>
      <c r="L51" s="83">
        <v>1</v>
      </c>
      <c r="M51" s="84">
        <v>0.16211672067234237</v>
      </c>
      <c r="O51" s="219">
        <f t="shared" si="8"/>
        <v>1.0015591970188233</v>
      </c>
    </row>
    <row r="52" spans="1:15">
      <c r="A52" s="15" t="str">
        <f t="shared" si="7"/>
        <v>Commodities</v>
      </c>
      <c r="B52" s="85">
        <v>0.30000000000000016</v>
      </c>
      <c r="C52" s="80">
        <v>0.2364114899348054</v>
      </c>
      <c r="D52" s="86">
        <v>-0.52530619108730725</v>
      </c>
      <c r="E52" s="86">
        <v>-7.231060997995413E-2</v>
      </c>
      <c r="F52" s="86">
        <v>-0.24298972993039863</v>
      </c>
      <c r="G52" s="86">
        <v>-9.8347371833026831E-2</v>
      </c>
      <c r="H52" s="86">
        <v>0.56233375311892753</v>
      </c>
      <c r="I52" s="86">
        <v>8.3702336951742631E-2</v>
      </c>
      <c r="J52" s="86">
        <v>0.35454741481854263</v>
      </c>
      <c r="K52" s="86">
        <v>0.47753191031129466</v>
      </c>
      <c r="L52" s="86">
        <v>0.16211672067234237</v>
      </c>
      <c r="M52" s="87">
        <v>1</v>
      </c>
      <c r="O52" s="220">
        <f t="shared" si="8"/>
        <v>1.4804694987393328</v>
      </c>
    </row>
    <row r="53" spans="1:15">
      <c r="A53" s="22"/>
      <c r="B53" s="81"/>
      <c r="C53" s="81"/>
      <c r="D53" s="83"/>
      <c r="E53" s="83"/>
      <c r="F53" s="83"/>
      <c r="G53" s="83"/>
      <c r="H53" s="83"/>
      <c r="I53" s="83"/>
      <c r="J53" s="83"/>
      <c r="K53" s="83"/>
      <c r="L53" s="83"/>
      <c r="M53" s="83"/>
    </row>
    <row r="55" spans="1:15">
      <c r="A55" s="88" t="str">
        <f>Parameters!A27</f>
        <v>Schuld deflatie</v>
      </c>
      <c r="B55" s="89" t="s">
        <v>116</v>
      </c>
      <c r="C55" s="17" t="s">
        <v>117</v>
      </c>
      <c r="D55" s="89" t="s">
        <v>118</v>
      </c>
      <c r="E55" s="89" t="s">
        <v>119</v>
      </c>
      <c r="F55" s="90" t="s">
        <v>73</v>
      </c>
      <c r="G55" s="89" t="s">
        <v>120</v>
      </c>
      <c r="H55" s="89" t="s">
        <v>0</v>
      </c>
      <c r="I55" s="89" t="s">
        <v>121</v>
      </c>
      <c r="J55" s="89" t="s">
        <v>122</v>
      </c>
      <c r="K55" s="89" t="s">
        <v>123</v>
      </c>
      <c r="L55" s="89" t="s">
        <v>1</v>
      </c>
      <c r="M55" s="8" t="s">
        <v>124</v>
      </c>
      <c r="O55" s="221" t="s">
        <v>203</v>
      </c>
    </row>
    <row r="56" spans="1:15">
      <c r="A56" s="14" t="str">
        <f>A43</f>
        <v>Nominale VPV</v>
      </c>
      <c r="B56" s="81">
        <v>9.9999999999999978E-2</v>
      </c>
      <c r="C56" s="16">
        <v>6.278198487999638E-2</v>
      </c>
      <c r="D56" s="83">
        <v>1</v>
      </c>
      <c r="E56" s="83">
        <v>9.9877491908342997E-2</v>
      </c>
      <c r="F56" s="83">
        <v>-0.35100218238506325</v>
      </c>
      <c r="G56" s="83">
        <v>-0.56332882643715232</v>
      </c>
      <c r="H56" s="83">
        <v>-0.30712689971531354</v>
      </c>
      <c r="I56" s="83">
        <v>-0.51444293528865725</v>
      </c>
      <c r="J56" s="83">
        <v>-0.62106428918392464</v>
      </c>
      <c r="K56" s="83">
        <v>-0.56947078770384896</v>
      </c>
      <c r="L56" s="83">
        <v>-0.31725862660871451</v>
      </c>
      <c r="M56" s="84">
        <v>-0.49058561691839803</v>
      </c>
      <c r="O56" s="219">
        <f>(B56-$B$56)/C56</f>
        <v>0</v>
      </c>
    </row>
    <row r="57" spans="1:15">
      <c r="A57" s="14" t="str">
        <f t="shared" ref="A57:A65" si="9">A44</f>
        <v>Reele VPV</v>
      </c>
      <c r="B57" s="81">
        <v>-1.0408340855860843E-17</v>
      </c>
      <c r="C57" s="16">
        <v>4.7617637708429375E-2</v>
      </c>
      <c r="D57" s="83">
        <v>9.9877491908342997E-2</v>
      </c>
      <c r="E57" s="83">
        <v>1</v>
      </c>
      <c r="F57" s="83">
        <v>-0.50763892868524696</v>
      </c>
      <c r="G57" s="83">
        <v>-0.38157631581869511</v>
      </c>
      <c r="H57" s="83">
        <v>-0.46484244214113157</v>
      </c>
      <c r="I57" s="83">
        <v>-0.43378053187871835</v>
      </c>
      <c r="J57" s="83">
        <v>-0.36679003495309848</v>
      </c>
      <c r="K57" s="83">
        <v>-0.45878156897895211</v>
      </c>
      <c r="L57" s="83">
        <v>-0.25453357613757527</v>
      </c>
      <c r="M57" s="84">
        <v>-0.4316186755007369</v>
      </c>
      <c r="O57" s="219">
        <f t="shared" ref="O57:O65" si="10">(B57-$B$56)/C57</f>
        <v>-2.1000621788992651</v>
      </c>
    </row>
    <row r="58" spans="1:15">
      <c r="A58" s="14" t="str">
        <f t="shared" si="9"/>
        <v>Credits</v>
      </c>
      <c r="B58" s="81">
        <v>-4.8572257327350599E-17</v>
      </c>
      <c r="C58" s="16">
        <v>0.10041038567587704</v>
      </c>
      <c r="D58" s="83">
        <v>-0.35100218238506325</v>
      </c>
      <c r="E58" s="83">
        <v>-0.50763892868524696</v>
      </c>
      <c r="F58" s="83">
        <v>1</v>
      </c>
      <c r="G58" s="83">
        <v>0.83457817860033645</v>
      </c>
      <c r="H58" s="83">
        <v>0.87409116616389027</v>
      </c>
      <c r="I58" s="83">
        <v>0.88606607622819966</v>
      </c>
      <c r="J58" s="83">
        <v>0.82459036474353009</v>
      </c>
      <c r="K58" s="83">
        <v>0.89744839036297208</v>
      </c>
      <c r="L58" s="83">
        <v>0.50108032792987411</v>
      </c>
      <c r="M58" s="84">
        <v>0.89585653852424796</v>
      </c>
      <c r="O58" s="219">
        <f t="shared" si="10"/>
        <v>-0.99591291604832866</v>
      </c>
    </row>
    <row r="59" spans="1:15">
      <c r="A59" s="14" t="str">
        <f t="shared" si="9"/>
        <v>High Yield</v>
      </c>
      <c r="B59" s="81">
        <v>-0.1000000000000003</v>
      </c>
      <c r="C59" s="16">
        <v>0.2218667877383276</v>
      </c>
      <c r="D59" s="83">
        <v>-0.56332882643715232</v>
      </c>
      <c r="E59" s="83">
        <v>-0.38157631581869511</v>
      </c>
      <c r="F59" s="83">
        <v>0.83457817860033645</v>
      </c>
      <c r="G59" s="83">
        <v>1</v>
      </c>
      <c r="H59" s="83">
        <v>0.92695587256775092</v>
      </c>
      <c r="I59" s="83">
        <v>0.96689549184976964</v>
      </c>
      <c r="J59" s="83">
        <v>0.98237398848218072</v>
      </c>
      <c r="K59" s="83">
        <v>0.94010403720414804</v>
      </c>
      <c r="L59" s="83">
        <v>0.33591710963927707</v>
      </c>
      <c r="M59" s="84">
        <v>0.89134689877896989</v>
      </c>
      <c r="O59" s="219">
        <f t="shared" si="10"/>
        <v>-0.90144181577948801</v>
      </c>
    </row>
    <row r="60" spans="1:15">
      <c r="A60" s="14" t="str">
        <f t="shared" si="9"/>
        <v>Emerging market debt</v>
      </c>
      <c r="B60" s="81">
        <v>-0.08</v>
      </c>
      <c r="C60" s="16">
        <v>0.12821530287470745</v>
      </c>
      <c r="D60" s="83">
        <v>-0.30712689971531354</v>
      </c>
      <c r="E60" s="83">
        <v>-0.46484244214113157</v>
      </c>
      <c r="F60" s="83">
        <v>0.87409116616389027</v>
      </c>
      <c r="G60" s="83">
        <v>0.92695587256775092</v>
      </c>
      <c r="H60" s="83">
        <v>1</v>
      </c>
      <c r="I60" s="83">
        <v>0.93245105038052445</v>
      </c>
      <c r="J60" s="83">
        <v>0.90175992585785503</v>
      </c>
      <c r="K60" s="83">
        <v>0.8874434496041671</v>
      </c>
      <c r="L60" s="83">
        <v>0.29879289715154606</v>
      </c>
      <c r="M60" s="84">
        <v>0.91686795609968563</v>
      </c>
      <c r="O60" s="219">
        <f t="shared" si="10"/>
        <v>-1.4038885840007473</v>
      </c>
    </row>
    <row r="61" spans="1:15">
      <c r="A61" s="14" t="str">
        <f t="shared" si="9"/>
        <v>Aandelen ontwikkeld</v>
      </c>
      <c r="B61" s="81">
        <v>-0.19999999999999987</v>
      </c>
      <c r="C61" s="16">
        <v>0.20792869523558111</v>
      </c>
      <c r="D61" s="83">
        <v>-0.51444293528865725</v>
      </c>
      <c r="E61" s="83">
        <v>-0.43378053187871835</v>
      </c>
      <c r="F61" s="83">
        <v>0.88606607622819966</v>
      </c>
      <c r="G61" s="83">
        <v>0.96689549184976964</v>
      </c>
      <c r="H61" s="83">
        <v>0.93245105038052445</v>
      </c>
      <c r="I61" s="83">
        <v>1</v>
      </c>
      <c r="J61" s="83">
        <v>0.96934497766265126</v>
      </c>
      <c r="K61" s="83">
        <v>0.95514653766346602</v>
      </c>
      <c r="L61" s="83">
        <v>0.40131975108808021</v>
      </c>
      <c r="M61" s="84">
        <v>0.9162478906330811</v>
      </c>
      <c r="O61" s="219">
        <f t="shared" si="10"/>
        <v>-1.4428023013374986</v>
      </c>
    </row>
    <row r="62" spans="1:15">
      <c r="A62" s="14" t="str">
        <f t="shared" si="9"/>
        <v>Aandelen opkomend</v>
      </c>
      <c r="B62" s="81">
        <v>-0.2200000000000002</v>
      </c>
      <c r="C62" s="16">
        <v>0.36408897808337332</v>
      </c>
      <c r="D62" s="83">
        <v>-0.62106428918392464</v>
      </c>
      <c r="E62" s="83">
        <v>-0.36679003495309848</v>
      </c>
      <c r="F62" s="83">
        <v>0.82459036474353009</v>
      </c>
      <c r="G62" s="83">
        <v>0.98237398848218072</v>
      </c>
      <c r="H62" s="83">
        <v>0.90175992585785503</v>
      </c>
      <c r="I62" s="83">
        <v>0.96934497766265126</v>
      </c>
      <c r="J62" s="83">
        <v>1</v>
      </c>
      <c r="K62" s="83">
        <v>0.94422005350754179</v>
      </c>
      <c r="L62" s="83">
        <v>0.37232862721771026</v>
      </c>
      <c r="M62" s="84">
        <v>0.88647127334626363</v>
      </c>
      <c r="O62" s="219">
        <f t="shared" si="10"/>
        <v>-0.878906034685628</v>
      </c>
    </row>
    <row r="63" spans="1:15">
      <c r="A63" s="14" t="str">
        <f t="shared" si="9"/>
        <v>Hedge funds</v>
      </c>
      <c r="B63" s="81">
        <v>-0.12000000000000006</v>
      </c>
      <c r="C63" s="16">
        <v>0.10933142096896906</v>
      </c>
      <c r="D63" s="83">
        <v>-0.56947078770384896</v>
      </c>
      <c r="E63" s="83">
        <v>-0.45878156897895211</v>
      </c>
      <c r="F63" s="83">
        <v>0.89744839036297208</v>
      </c>
      <c r="G63" s="83">
        <v>0.94010403720414804</v>
      </c>
      <c r="H63" s="83">
        <v>0.8874434496041671</v>
      </c>
      <c r="I63" s="83">
        <v>0.95514653766346602</v>
      </c>
      <c r="J63" s="83">
        <v>0.94422005350754179</v>
      </c>
      <c r="K63" s="83">
        <v>1</v>
      </c>
      <c r="L63" s="83">
        <v>0.61352650945037235</v>
      </c>
      <c r="M63" s="84">
        <v>0.88910144077657316</v>
      </c>
      <c r="O63" s="219">
        <f t="shared" si="10"/>
        <v>-2.0122303181483523</v>
      </c>
    </row>
    <row r="64" spans="1:15">
      <c r="A64" s="14" t="str">
        <f t="shared" si="9"/>
        <v>Onroerend goed</v>
      </c>
      <c r="B64" s="81">
        <v>-0.10000000000000002</v>
      </c>
      <c r="C64" s="16">
        <v>2.7406396901153356E-2</v>
      </c>
      <c r="D64" s="83">
        <v>-0.31725862660871451</v>
      </c>
      <c r="E64" s="83">
        <v>-0.25453357613757527</v>
      </c>
      <c r="F64" s="83">
        <v>0.50108032792987411</v>
      </c>
      <c r="G64" s="83">
        <v>0.33591710963927707</v>
      </c>
      <c r="H64" s="83">
        <v>0.29879289715154606</v>
      </c>
      <c r="I64" s="83">
        <v>0.40131975108808021</v>
      </c>
      <c r="J64" s="83">
        <v>0.37232862721771026</v>
      </c>
      <c r="K64" s="83">
        <v>0.61352650945037235</v>
      </c>
      <c r="L64" s="83">
        <v>1</v>
      </c>
      <c r="M64" s="84">
        <v>0.33246211687806798</v>
      </c>
      <c r="O64" s="219">
        <f t="shared" si="10"/>
        <v>-7.2975663572756373</v>
      </c>
    </row>
    <row r="65" spans="1:15">
      <c r="A65" s="15" t="str">
        <f t="shared" si="9"/>
        <v>Commodities</v>
      </c>
      <c r="B65" s="85">
        <v>-0.25000000000000011</v>
      </c>
      <c r="C65" s="80">
        <v>0.2040065170048318</v>
      </c>
      <c r="D65" s="86">
        <v>-0.49058561691839803</v>
      </c>
      <c r="E65" s="86">
        <v>-0.4316186755007369</v>
      </c>
      <c r="F65" s="86">
        <v>0.89585653852424796</v>
      </c>
      <c r="G65" s="86">
        <v>0.89134689877896989</v>
      </c>
      <c r="H65" s="86">
        <v>0.91686795609968563</v>
      </c>
      <c r="I65" s="86">
        <v>0.9162478906330811</v>
      </c>
      <c r="J65" s="86">
        <v>0.88647127334626363</v>
      </c>
      <c r="K65" s="86">
        <v>0.88910144077657316</v>
      </c>
      <c r="L65" s="86">
        <v>0.33246211687806798</v>
      </c>
      <c r="M65" s="87">
        <v>1</v>
      </c>
      <c r="O65" s="220">
        <f t="shared" si="10"/>
        <v>-1.7156314667717723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11"/>
  </sheetPr>
  <dimension ref="A1:M43"/>
  <sheetViews>
    <sheetView zoomScale="75" workbookViewId="0">
      <selection activeCell="B1" sqref="B1:K1"/>
    </sheetView>
  </sheetViews>
  <sheetFormatPr defaultRowHeight="12.75"/>
  <cols>
    <col min="1" max="1" width="20.85546875" customWidth="1"/>
    <col min="2" max="11" width="12.7109375" customWidth="1"/>
  </cols>
  <sheetData>
    <row r="1" spans="1:13">
      <c r="A1" s="9" t="s">
        <v>8</v>
      </c>
      <c r="B1" s="51" t="s">
        <v>77</v>
      </c>
      <c r="C1" s="51" t="s">
        <v>78</v>
      </c>
      <c r="D1" s="51" t="s">
        <v>73</v>
      </c>
      <c r="E1" s="51" t="s">
        <v>4</v>
      </c>
      <c r="F1" s="51" t="s">
        <v>175</v>
      </c>
      <c r="G1" s="51" t="s">
        <v>176</v>
      </c>
      <c r="H1" s="51" t="s">
        <v>177</v>
      </c>
      <c r="I1" s="51" t="s">
        <v>5</v>
      </c>
      <c r="J1" s="51" t="s">
        <v>178</v>
      </c>
      <c r="K1" s="52" t="s">
        <v>6</v>
      </c>
    </row>
    <row r="2" spans="1:13">
      <c r="A2" s="11">
        <v>1970</v>
      </c>
      <c r="B2" s="43"/>
      <c r="C2" s="44"/>
      <c r="D2" s="44"/>
      <c r="E2" s="44"/>
      <c r="F2" s="44"/>
      <c r="G2" s="37">
        <v>-3.8114983291821468E-2</v>
      </c>
      <c r="H2" s="44"/>
      <c r="I2" s="44"/>
      <c r="J2" s="44"/>
      <c r="K2" s="38">
        <v>0.14616651152129134</v>
      </c>
    </row>
    <row r="3" spans="1:13">
      <c r="A3" s="11">
        <v>1971</v>
      </c>
      <c r="B3" s="45">
        <f>HLOOKUP(Parameters!$F$2,'Verplichtingen Nominaal'!$B$1:$O$40,A3-1968)</f>
        <v>8.3824677184948349E-2</v>
      </c>
      <c r="C3" s="23">
        <f>HLOOKUP(Parameters!$F$2,'Verplichtingen Reeel'!$B$1:$O$40,A3-1968)</f>
        <v>2.8014132872727835E-2</v>
      </c>
      <c r="D3" s="23"/>
      <c r="E3" s="23"/>
      <c r="F3" s="23"/>
      <c r="G3" s="37">
        <v>0.15929027372578447</v>
      </c>
      <c r="H3" s="23"/>
      <c r="I3" s="23"/>
      <c r="J3" s="23"/>
      <c r="K3" s="38">
        <v>0.1045103007924062</v>
      </c>
      <c r="M3" s="38"/>
    </row>
    <row r="4" spans="1:13">
      <c r="A4" s="11">
        <v>1972</v>
      </c>
      <c r="B4" s="45">
        <f>HLOOKUP(Parameters!$F$2,'Verplichtingen Nominaal'!$B$1:$O$40,A4-1968)</f>
        <v>2.0267419396187698E-3</v>
      </c>
      <c r="C4" s="23">
        <f>HLOOKUP(Parameters!$F$2,'Verplichtingen Reeel'!$B$1:$O$40,A4-1968)</f>
        <v>-0.17380376588137422</v>
      </c>
      <c r="D4" s="23"/>
      <c r="E4" s="23"/>
      <c r="F4" s="23"/>
      <c r="G4" s="37">
        <v>0.34671926539336961</v>
      </c>
      <c r="H4" s="23"/>
      <c r="I4" s="23"/>
      <c r="J4" s="23"/>
      <c r="K4" s="38">
        <v>0.4144452688200535</v>
      </c>
      <c r="M4" s="38"/>
    </row>
    <row r="5" spans="1:13">
      <c r="A5" s="11">
        <v>1973</v>
      </c>
      <c r="B5" s="45">
        <f>HLOOKUP(Parameters!$F$2,'Verplichtingen Nominaal'!$B$1:$O$40,A5-1968)</f>
        <v>-4.1475709193550814E-2</v>
      </c>
      <c r="C5" s="23">
        <f>HLOOKUP(Parameters!$F$2,'Verplichtingen Reeel'!$B$1:$O$40,A5-1968)</f>
        <v>3.0636810299396111E-3</v>
      </c>
      <c r="D5" s="23"/>
      <c r="E5" s="23"/>
      <c r="F5" s="23"/>
      <c r="G5" s="37">
        <v>-0.21088057487982104</v>
      </c>
      <c r="H5" s="23"/>
      <c r="I5" s="23"/>
      <c r="J5" s="23"/>
      <c r="K5" s="38">
        <v>0.52979204036486993</v>
      </c>
      <c r="M5" s="38"/>
    </row>
    <row r="6" spans="1:13">
      <c r="A6" s="11">
        <v>1974</v>
      </c>
      <c r="B6" s="45">
        <f>HLOOKUP(Parameters!$F$2,'Verplichtingen Nominaal'!$B$1:$O$40,A6-1968)</f>
        <v>8.2844167413769015E-2</v>
      </c>
      <c r="C6" s="23">
        <f>HLOOKUP(Parameters!$F$2,'Verplichtingen Reeel'!$B$1:$O$40,A6-1968)</f>
        <v>-3.2576998873247817E-2</v>
      </c>
      <c r="D6" s="23"/>
      <c r="E6" s="23"/>
      <c r="F6" s="23"/>
      <c r="G6" s="37">
        <v>-0.3039720312824678</v>
      </c>
      <c r="H6" s="23"/>
      <c r="I6" s="23"/>
      <c r="J6" s="23"/>
      <c r="K6" s="38">
        <v>0.23762474245320275</v>
      </c>
      <c r="M6" s="38"/>
    </row>
    <row r="7" spans="1:13">
      <c r="A7" s="11">
        <v>1975</v>
      </c>
      <c r="B7" s="45">
        <f>HLOOKUP(Parameters!$F$2,'Verplichtingen Nominaal'!$B$1:$O$40,A7-1968)</f>
        <v>0.23180629742851239</v>
      </c>
      <c r="C7" s="23">
        <f>HLOOKUP(Parameters!$F$2,'Verplichtingen Reeel'!$B$1:$O$40,A7-1968)</f>
        <v>0.19700025934009771</v>
      </c>
      <c r="D7" s="23"/>
      <c r="E7" s="23"/>
      <c r="F7" s="23"/>
      <c r="G7" s="37">
        <v>0.46781699568186597</v>
      </c>
      <c r="H7" s="23"/>
      <c r="I7" s="23"/>
      <c r="J7" s="23"/>
      <c r="K7" s="38">
        <v>-0.11247538696473858</v>
      </c>
      <c r="M7" s="38"/>
    </row>
    <row r="8" spans="1:13">
      <c r="A8" s="11">
        <v>1976</v>
      </c>
      <c r="B8" s="45">
        <f>HLOOKUP(Parameters!$F$2,'Verplichtingen Nominaal'!$B$1:$O$40,A8-1968)</f>
        <v>0.17521907174637974</v>
      </c>
      <c r="C8" s="23">
        <f>HLOOKUP(Parameters!$F$2,'Verplichtingen Reeel'!$B$1:$O$40,A8-1968)</f>
        <v>0.15982186366485146</v>
      </c>
      <c r="D8" s="47">
        <v>7.5327742110451901E-2</v>
      </c>
      <c r="E8" s="23"/>
      <c r="F8" s="23"/>
      <c r="G8" s="37">
        <v>4.9630529669610138E-3</v>
      </c>
      <c r="H8" s="23"/>
      <c r="I8" s="23"/>
      <c r="J8" s="23"/>
      <c r="K8" s="38">
        <v>-0.31102131549503198</v>
      </c>
      <c r="M8" s="38"/>
    </row>
    <row r="9" spans="1:13">
      <c r="A9" s="11">
        <v>1977</v>
      </c>
      <c r="B9" s="45">
        <f>HLOOKUP(Parameters!$F$2,'Verplichtingen Nominaal'!$B$1:$O$40,A9-1968)</f>
        <v>0.10774734464199882</v>
      </c>
      <c r="C9" s="23">
        <f>HLOOKUP(Parameters!$F$2,'Verplichtingen Reeel'!$B$1:$O$40,A9-1968)</f>
        <v>-0.1352128616365274</v>
      </c>
      <c r="D9" s="47">
        <v>2.9519834685117985E-2</v>
      </c>
      <c r="E9" s="23"/>
      <c r="F9" s="23"/>
      <c r="G9" s="37">
        <v>1.4110466942497657E-2</v>
      </c>
      <c r="H9" s="23"/>
      <c r="I9" s="23"/>
      <c r="J9" s="38">
        <v>0.24675456494615552</v>
      </c>
      <c r="K9" s="38">
        <v>1.7426631818377336E-2</v>
      </c>
      <c r="M9" s="38"/>
    </row>
    <row r="10" spans="1:13">
      <c r="A10" s="11">
        <v>1978</v>
      </c>
      <c r="B10" s="45">
        <f>HLOOKUP(Parameters!$F$2,'Verplichtingen Nominaal'!$B$1:$O$40,A10-1968)</f>
        <v>9.5043690028747727E-2</v>
      </c>
      <c r="C10" s="23">
        <f>HLOOKUP(Parameters!$F$2,'Verplichtingen Reeel'!$B$1:$O$40,A10-1968)</f>
        <v>0.19540553279921741</v>
      </c>
      <c r="D10" s="47">
        <v>5.8539626469802597E-2</v>
      </c>
      <c r="E10" s="23"/>
      <c r="F10" s="23"/>
      <c r="G10" s="37">
        <v>0.10858048908878551</v>
      </c>
      <c r="H10" s="23"/>
      <c r="I10" s="23"/>
      <c r="J10" s="38">
        <v>0.16015749004646734</v>
      </c>
      <c r="K10" s="38">
        <v>0.19713128354627329</v>
      </c>
      <c r="M10" s="38"/>
    </row>
    <row r="11" spans="1:13">
      <c r="A11" s="11">
        <v>1979</v>
      </c>
      <c r="B11" s="45">
        <f>HLOOKUP(Parameters!$F$2,'Verplichtingen Nominaal'!$B$1:$O$40,A11-1968)</f>
        <v>-2.0796198946977172E-2</v>
      </c>
      <c r="C11" s="23">
        <f>HLOOKUP(Parameters!$F$2,'Verplichtingen Reeel'!$B$1:$O$40,A11-1968)</f>
        <v>-2.1301736365450425E-2</v>
      </c>
      <c r="D11" s="47">
        <v>-5.8323372555077246E-2</v>
      </c>
      <c r="E11" s="23"/>
      <c r="F11" s="23"/>
      <c r="G11" s="37">
        <v>0.10474539407108811</v>
      </c>
      <c r="H11" s="23"/>
      <c r="I11" s="23"/>
      <c r="J11" s="38">
        <v>8.6569079501682397E-2</v>
      </c>
      <c r="K11" s="38">
        <v>0.25293404931522323</v>
      </c>
      <c r="M11" s="38"/>
    </row>
    <row r="12" spans="1:13">
      <c r="A12" s="11">
        <v>1980</v>
      </c>
      <c r="B12" s="45">
        <f>HLOOKUP(Parameters!$F$2,'Verplichtingen Nominaal'!$B$1:$O$40,A12-1968)</f>
        <v>-2.9976512943740642E-3</v>
      </c>
      <c r="C12" s="23">
        <f>HLOOKUP(Parameters!$F$2,'Verplichtingen Reeel'!$B$1:$O$40,A12-1968)</f>
        <v>-0.11945193536407549</v>
      </c>
      <c r="D12" s="47">
        <v>-0.16228492263034711</v>
      </c>
      <c r="E12" s="37">
        <v>-5.4490530278754834E-2</v>
      </c>
      <c r="F12" s="23"/>
      <c r="G12" s="37">
        <v>0.23010377724528636</v>
      </c>
      <c r="H12" s="23"/>
      <c r="I12" s="23"/>
      <c r="J12" s="38">
        <v>0.14575230607884163</v>
      </c>
      <c r="K12" s="38">
        <v>8.4637172294200536E-2</v>
      </c>
      <c r="M12" s="38"/>
    </row>
    <row r="13" spans="1:13">
      <c r="A13" s="11">
        <v>1981</v>
      </c>
      <c r="B13" s="45">
        <f>HLOOKUP(Parameters!$F$2,'Verplichtingen Nominaal'!$B$1:$O$40,A13-1968)</f>
        <v>3.1714852718340125E-2</v>
      </c>
      <c r="C13" s="23">
        <f>HLOOKUP(Parameters!$F$2,'Verplichtingen Reeel'!$B$1:$O$40,A13-1968)</f>
        <v>-2.3967275390476141E-2</v>
      </c>
      <c r="D13" s="47">
        <v>-0.20492820159932135</v>
      </c>
      <c r="E13" s="37">
        <v>-3.4686114530154133E-2</v>
      </c>
      <c r="F13" s="23"/>
      <c r="G13" s="37">
        <v>2.0892663634890542E-3</v>
      </c>
      <c r="H13" s="23"/>
      <c r="I13" s="23"/>
      <c r="J13" s="38">
        <v>8.0045638797900387E-3</v>
      </c>
      <c r="K13" s="38">
        <v>-0.35255346339228211</v>
      </c>
      <c r="M13" s="38"/>
    </row>
    <row r="14" spans="1:13">
      <c r="A14" s="11">
        <v>1982</v>
      </c>
      <c r="B14" s="45">
        <f>HLOOKUP(Parameters!$F$2,'Verplichtingen Nominaal'!$B$1:$O$40,A14-1968)</f>
        <v>0.27851160476463943</v>
      </c>
      <c r="C14" s="23">
        <f>HLOOKUP(Parameters!$F$2,'Verplichtingen Reeel'!$B$1:$O$40,A14-1968)</f>
        <v>-6.6475657108585398E-2</v>
      </c>
      <c r="D14" s="47">
        <v>0.23563298346962946</v>
      </c>
      <c r="E14" s="37">
        <v>0.27783119122464528</v>
      </c>
      <c r="F14" s="23"/>
      <c r="G14" s="37">
        <v>0.13464183270496241</v>
      </c>
      <c r="H14" s="23"/>
      <c r="I14" s="23"/>
      <c r="J14" s="38">
        <v>5.4449618083036139E-2</v>
      </c>
      <c r="K14" s="38">
        <v>4.5688531076031658E-2</v>
      </c>
      <c r="M14" s="38"/>
    </row>
    <row r="15" spans="1:13">
      <c r="A15" s="11">
        <v>1983</v>
      </c>
      <c r="B15" s="45">
        <f>HLOOKUP(Parameters!$F$2,'Verplichtingen Nominaal'!$B$1:$O$40,A15-1968)</f>
        <v>4.407265927542714E-2</v>
      </c>
      <c r="C15" s="23">
        <f>HLOOKUP(Parameters!$F$2,'Verplichtingen Reeel'!$B$1:$O$40,A15-1968)</f>
        <v>-9.9199744077041289E-3</v>
      </c>
      <c r="D15" s="47">
        <v>-0.1019342123447653</v>
      </c>
      <c r="E15" s="37">
        <v>0.17514759810903513</v>
      </c>
      <c r="F15" s="23"/>
      <c r="G15" s="37">
        <v>0.30780704121454339</v>
      </c>
      <c r="H15" s="23"/>
      <c r="I15" s="23"/>
      <c r="J15" s="38">
        <v>3.9978433903063347E-2</v>
      </c>
      <c r="K15" s="38">
        <v>0.16029734741677171</v>
      </c>
      <c r="M15" s="38"/>
    </row>
    <row r="16" spans="1:13">
      <c r="A16" s="11">
        <v>1984</v>
      </c>
      <c r="B16" s="45">
        <f>HLOOKUP(Parameters!$F$2,'Verplichtingen Nominaal'!$B$1:$O$40,A16-1968)</f>
        <v>9.8384264819260034E-2</v>
      </c>
      <c r="C16" s="23">
        <f>HLOOKUP(Parameters!$F$2,'Verplichtingen Reeel'!$B$1:$O$40,A16-1968)</f>
        <v>-9.6231514721882364E-2</v>
      </c>
      <c r="D16" s="47">
        <v>2.6757636570710064E-3</v>
      </c>
      <c r="E16" s="37">
        <v>8.9170845676759591E-2</v>
      </c>
      <c r="F16" s="23"/>
      <c r="G16" s="37">
        <v>0.15580144756230666</v>
      </c>
      <c r="H16" s="23"/>
      <c r="I16" s="23"/>
      <c r="J16" s="38">
        <v>8.7022198371355108E-3</v>
      </c>
      <c r="K16" s="38">
        <v>9.4447515608780952E-3</v>
      </c>
      <c r="M16" s="38"/>
    </row>
    <row r="17" spans="1:13">
      <c r="A17" s="11">
        <v>1985</v>
      </c>
      <c r="B17" s="45">
        <f>HLOOKUP(Parameters!$F$2,'Verplichtingen Nominaal'!$B$1:$O$40,A17-1968)</f>
        <v>0.13377908542821065</v>
      </c>
      <c r="C17" s="23">
        <f>HLOOKUP(Parameters!$F$2,'Verplichtingen Reeel'!$B$1:$O$40,A17-1968)</f>
        <v>6.4104263998234004E-2</v>
      </c>
      <c r="D17" s="47">
        <v>0.42069710619992073</v>
      </c>
      <c r="E17" s="37">
        <v>0.147029980205169</v>
      </c>
      <c r="F17" s="23"/>
      <c r="G17" s="37">
        <v>0.27728047999747307</v>
      </c>
      <c r="H17" s="23"/>
      <c r="I17" s="23"/>
      <c r="J17" s="38">
        <v>2.4439025898871342E-2</v>
      </c>
      <c r="K17" s="38">
        <v>3.3792981307086079E-2</v>
      </c>
      <c r="M17" s="38"/>
    </row>
    <row r="18" spans="1:13">
      <c r="A18" s="11">
        <v>1986</v>
      </c>
      <c r="B18" s="45">
        <f>HLOOKUP(Parameters!$F$2,'Verplichtingen Nominaal'!$B$1:$O$40,A18-1968)</f>
        <v>0.10258397864433814</v>
      </c>
      <c r="C18" s="23">
        <f>HLOOKUP(Parameters!$F$2,'Verplichtingen Reeel'!$B$1:$O$40,A18-1968)</f>
        <v>3.4965771032459257E-2</v>
      </c>
      <c r="D18" s="47">
        <v>0.35366804442323341</v>
      </c>
      <c r="E18" s="37">
        <v>0.11223788162598614</v>
      </c>
      <c r="F18" s="23"/>
      <c r="G18" s="37">
        <v>0.24753385259022276</v>
      </c>
      <c r="H18" s="23"/>
      <c r="I18" s="23"/>
      <c r="J18" s="38">
        <v>7.5303326418219213E-2</v>
      </c>
      <c r="K18" s="38">
        <v>-1.3333531706986035E-3</v>
      </c>
      <c r="M18" s="38"/>
    </row>
    <row r="19" spans="1:13">
      <c r="A19" s="11">
        <v>1987</v>
      </c>
      <c r="B19" s="45">
        <f>HLOOKUP(Parameters!$F$2,'Verplichtingen Nominaal'!$B$1:$O$40,A19-1968)</f>
        <v>-1.9856700664953226E-2</v>
      </c>
      <c r="C19" s="23">
        <f>HLOOKUP(Parameters!$F$2,'Verplichtingen Reeel'!$B$1:$O$40,A19-1968)</f>
        <v>-0.1401106176938168</v>
      </c>
      <c r="D19" s="47">
        <v>0.20665974371170526</v>
      </c>
      <c r="E19" s="37">
        <v>2.6512089627531266E-2</v>
      </c>
      <c r="F19" s="23"/>
      <c r="G19" s="37">
        <v>-4.6574441418061704E-2</v>
      </c>
      <c r="H19" s="23"/>
      <c r="I19" s="23"/>
      <c r="J19" s="38">
        <v>4.7398511855136272E-2</v>
      </c>
      <c r="K19" s="38">
        <v>0.18265366937077276</v>
      </c>
      <c r="M19" s="38"/>
    </row>
    <row r="20" spans="1:13">
      <c r="A20" s="11">
        <v>1988</v>
      </c>
      <c r="B20" s="45">
        <f>HLOOKUP(Parameters!$F$2,'Verplichtingen Nominaal'!$B$1:$O$40,A20-1968)</f>
        <v>0.13144538402802955</v>
      </c>
      <c r="C20" s="23">
        <f>HLOOKUP(Parameters!$F$2,'Verplichtingen Reeel'!$B$1:$O$40,A20-1968)</f>
        <v>0.16922612223661351</v>
      </c>
      <c r="D20" s="47">
        <v>-4.3915673443030712E-2</v>
      </c>
      <c r="E20" s="37">
        <v>0.1443819961336309</v>
      </c>
      <c r="F20" s="23"/>
      <c r="G20" s="37">
        <v>0.25126021469889787</v>
      </c>
      <c r="H20" s="37">
        <v>0.45015641295680509</v>
      </c>
      <c r="I20" s="23"/>
      <c r="J20" s="38">
        <v>8.3343126477621918E-2</v>
      </c>
      <c r="K20" s="38">
        <v>0.30906517623024088</v>
      </c>
      <c r="M20" s="38"/>
    </row>
    <row r="21" spans="1:13">
      <c r="A21" s="11">
        <v>1989</v>
      </c>
      <c r="B21" s="45">
        <f>HLOOKUP(Parameters!$F$2,'Verplichtingen Nominaal'!$B$1:$O$40,A21-1968)</f>
        <v>5.4409508832732337E-2</v>
      </c>
      <c r="C21" s="23">
        <f>HLOOKUP(Parameters!$F$2,'Verplichtingen Reeel'!$B$1:$O$40,A21-1968)</f>
        <v>0.23460233155563515</v>
      </c>
      <c r="D21" s="47">
        <v>0.14324284303000101</v>
      </c>
      <c r="E21" s="37">
        <v>-2.0943730329223587E-2</v>
      </c>
      <c r="F21" s="23"/>
      <c r="G21" s="37">
        <v>0.2547074148466047</v>
      </c>
      <c r="H21" s="37">
        <v>0.57714881755017378</v>
      </c>
      <c r="I21" s="23"/>
      <c r="J21" s="38">
        <v>8.5415623544638844E-2</v>
      </c>
      <c r="K21" s="38">
        <v>0.32248746645094228</v>
      </c>
      <c r="M21" s="38"/>
    </row>
    <row r="22" spans="1:13">
      <c r="A22" s="11">
        <v>1990</v>
      </c>
      <c r="B22" s="45">
        <f>HLOOKUP(Parameters!$F$2,'Verplichtingen Nominaal'!$B$1:$O$40,A22-1968)</f>
        <v>-5.7661536619125479E-2</v>
      </c>
      <c r="C22" s="23">
        <f>HLOOKUP(Parameters!$F$2,'Verplichtingen Reeel'!$B$1:$O$40,A22-1968)</f>
        <v>-2.5281440841028558E-2</v>
      </c>
      <c r="D22" s="47">
        <v>0.20549116853450666</v>
      </c>
      <c r="E22" s="37">
        <v>-2.1283169985484851E-2</v>
      </c>
      <c r="F22" s="23"/>
      <c r="G22" s="37">
        <v>-0.13917865317154154</v>
      </c>
      <c r="H22" s="37">
        <v>-7.5884129102330111E-2</v>
      </c>
      <c r="I22" s="48">
        <v>0.14163104341891652</v>
      </c>
      <c r="J22" s="38">
        <v>0.13555911270437304</v>
      </c>
      <c r="K22" s="38">
        <v>0.27372136295105798</v>
      </c>
      <c r="M22" s="38"/>
    </row>
    <row r="23" spans="1:13">
      <c r="A23" s="11">
        <v>1991</v>
      </c>
      <c r="B23" s="45">
        <f>HLOOKUP(Parameters!$F$2,'Verplichtingen Nominaal'!$B$1:$O$40,A23-1968)</f>
        <v>0.19429548099011404</v>
      </c>
      <c r="C23" s="23">
        <f>HLOOKUP(Parameters!$F$2,'Verplichtingen Reeel'!$B$1:$O$40,A23-1968)</f>
        <v>0.21924811141187989</v>
      </c>
      <c r="D23" s="47">
        <v>0.17377740603455405</v>
      </c>
      <c r="E23" s="37">
        <v>0.39894454485671571</v>
      </c>
      <c r="F23" s="23"/>
      <c r="G23" s="37">
        <v>0.19158869347629293</v>
      </c>
      <c r="H23" s="37">
        <v>0.60909799033196932</v>
      </c>
      <c r="I23" s="48">
        <v>0.11771815908141714</v>
      </c>
      <c r="J23" s="38">
        <v>9.8585498128891585E-2</v>
      </c>
      <c r="K23" s="38">
        <v>-6.0111223451169704E-2</v>
      </c>
      <c r="M23" s="38"/>
    </row>
    <row r="24" spans="1:13">
      <c r="A24" s="11">
        <v>1992</v>
      </c>
      <c r="B24" s="45">
        <f>HLOOKUP(Parameters!$F$2,'Verplichtingen Nominaal'!$B$1:$O$40,A24-1968)</f>
        <v>0.11702038901327662</v>
      </c>
      <c r="C24" s="23">
        <f>HLOOKUP(Parameters!$F$2,'Verplichtingen Reeel'!$B$1:$O$40,A24-1968)</f>
        <v>-3.5241725728349452E-2</v>
      </c>
      <c r="D24" s="47">
        <v>1.6190401172772928E-2</v>
      </c>
      <c r="E24" s="37">
        <v>0.17979306266007722</v>
      </c>
      <c r="F24" s="23"/>
      <c r="G24" s="37">
        <v>1.7415504267448909E-2</v>
      </c>
      <c r="H24" s="37">
        <v>0.11547601828447118</v>
      </c>
      <c r="I24" s="48">
        <v>7.2659912041928454E-2</v>
      </c>
      <c r="J24" s="38">
        <v>8.2995399062421496E-2</v>
      </c>
      <c r="K24" s="38">
        <v>4.1115468969268987E-2</v>
      </c>
      <c r="M24" s="38"/>
    </row>
    <row r="25" spans="1:13">
      <c r="A25" s="11">
        <v>1993</v>
      </c>
      <c r="B25" s="45">
        <f>HLOOKUP(Parameters!$F$2,'Verplichtingen Nominaal'!$B$1:$O$40,A25-1968)</f>
        <v>0.14871336447935898</v>
      </c>
      <c r="C25" s="23">
        <f>HLOOKUP(Parameters!$F$2,'Verplichtingen Reeel'!$B$1:$O$40,A25-1968)</f>
        <v>-3.1729619092559641E-2</v>
      </c>
      <c r="D25" s="47">
        <v>5.4243502047755077E-2</v>
      </c>
      <c r="E25" s="37">
        <v>0.17822400451031861</v>
      </c>
      <c r="F25" s="23"/>
      <c r="G25" s="37">
        <v>0.22669160376910505</v>
      </c>
      <c r="H25" s="37">
        <v>0.79881999657501856</v>
      </c>
      <c r="I25" s="48">
        <v>0.16348621246524586</v>
      </c>
      <c r="J25" s="38">
        <v>8.6681339873951185E-2</v>
      </c>
      <c r="K25" s="38">
        <v>-0.1315379131504083</v>
      </c>
      <c r="M25" s="38"/>
    </row>
    <row r="26" spans="1:13">
      <c r="A26" s="11">
        <v>1994</v>
      </c>
      <c r="B26" s="45">
        <f>HLOOKUP(Parameters!$F$2,'Verplichtingen Nominaal'!$B$1:$O$40,A26-1968)</f>
        <v>-6.2614306737250713E-2</v>
      </c>
      <c r="C26" s="23">
        <f>HLOOKUP(Parameters!$F$2,'Verplichtingen Reeel'!$B$1:$O$40,A26-1968)</f>
        <v>7.7133776973398516E-2</v>
      </c>
      <c r="D26" s="47">
        <v>7.9752227723821068E-2</v>
      </c>
      <c r="E26" s="37">
        <v>3.2498554204758445E-3</v>
      </c>
      <c r="F26" s="38">
        <v>-0.1566771594938049</v>
      </c>
      <c r="G26" s="37">
        <v>-3.8856342497547713E-3</v>
      </c>
      <c r="H26" s="37">
        <v>-5.2877409808135156E-2</v>
      </c>
      <c r="I26" s="48">
        <v>-1.1695196493188176E-2</v>
      </c>
      <c r="J26" s="38">
        <v>2.6107513538799532E-2</v>
      </c>
      <c r="K26" s="38">
        <v>5.9782181602622275E-2</v>
      </c>
      <c r="M26" s="38"/>
    </row>
    <row r="27" spans="1:13">
      <c r="A27" s="11">
        <v>1995</v>
      </c>
      <c r="B27" s="45">
        <f>HLOOKUP(Parameters!$F$2,'Verplichtingen Nominaal'!$B$1:$O$40,A27-1968)</f>
        <v>0.23528181217160088</v>
      </c>
      <c r="C27" s="23">
        <f>HLOOKUP(Parameters!$F$2,'Verplichtingen Reeel'!$B$1:$O$40,A27-1968)</f>
        <v>0.11732376620240356</v>
      </c>
      <c r="D27" s="47">
        <v>0.27651826812110558</v>
      </c>
      <c r="E27" s="37">
        <v>0.16685879858805008</v>
      </c>
      <c r="F27" s="38">
        <v>0.2252355945007023</v>
      </c>
      <c r="G27" s="37">
        <v>0.19318017354586253</v>
      </c>
      <c r="H27" s="37">
        <v>-7.0281745614160895E-2</v>
      </c>
      <c r="I27" s="48">
        <v>0.13061957781303857</v>
      </c>
      <c r="J27" s="38">
        <v>0.108</v>
      </c>
      <c r="K27" s="38">
        <v>0.16565641078947957</v>
      </c>
      <c r="M27" s="38"/>
    </row>
    <row r="28" spans="1:13">
      <c r="A28" s="11">
        <v>1996</v>
      </c>
      <c r="B28" s="45">
        <f>HLOOKUP(Parameters!$F$2,'Verplichtingen Nominaal'!$B$1:$O$40,A28-1968)</f>
        <v>8.4535212845127189E-2</v>
      </c>
      <c r="C28" s="23">
        <f>HLOOKUP(Parameters!$F$2,'Verplichtingen Reeel'!$B$1:$O$40,A28-1968)</f>
        <v>4.037187799592161E-2</v>
      </c>
      <c r="D28" s="47">
        <v>-2.857793549431753E-2</v>
      </c>
      <c r="E28" s="37">
        <v>0.13927397960440591</v>
      </c>
      <c r="F28" s="38">
        <v>0.44177423453562314</v>
      </c>
      <c r="G28" s="37">
        <v>0.19959691129254442</v>
      </c>
      <c r="H28" s="37">
        <v>8.2736390840743135E-2</v>
      </c>
      <c r="I28" s="48">
        <v>0.15653740877042099</v>
      </c>
      <c r="J28" s="38">
        <v>0.11899999999999999</v>
      </c>
      <c r="K28" s="38">
        <v>0.3836466603434866</v>
      </c>
      <c r="M28" s="38"/>
    </row>
    <row r="29" spans="1:13">
      <c r="A29" s="11">
        <v>1997</v>
      </c>
      <c r="B29" s="45">
        <f>HLOOKUP(Parameters!$F$2,'Verplichtingen Nominaal'!$B$1:$O$40,A29-1968)</f>
        <v>0.12645935509971454</v>
      </c>
      <c r="C29" s="23">
        <f>HLOOKUP(Parameters!$F$2,'Verplichtingen Reeel'!$B$1:$O$40,A29-1968)</f>
        <v>0.10753358328588408</v>
      </c>
      <c r="D29" s="47">
        <v>-6.0868908281961676E-2</v>
      </c>
      <c r="E29" s="37">
        <v>0.16425765357309363</v>
      </c>
      <c r="F29" s="38">
        <v>0.16136305054362754</v>
      </c>
      <c r="G29" s="37">
        <v>0.28497754749131654</v>
      </c>
      <c r="H29" s="37">
        <v>-0.12699668613255255</v>
      </c>
      <c r="I29" s="48">
        <v>0.14952470121623729</v>
      </c>
      <c r="J29" s="38">
        <v>0.127</v>
      </c>
      <c r="K29" s="38">
        <v>-0.15613575159187454</v>
      </c>
      <c r="M29" s="38"/>
    </row>
    <row r="30" spans="1:13">
      <c r="A30" s="11">
        <v>1998</v>
      </c>
      <c r="B30" s="45">
        <f>HLOOKUP(Parameters!$F$2,'Verplichtingen Nominaal'!$B$1:$O$40,A30-1968)</f>
        <v>0.20875557334352482</v>
      </c>
      <c r="C30" s="23">
        <f>HLOOKUP(Parameters!$F$2,'Verplichtingen Reeel'!$B$1:$O$40,A30-1968)</f>
        <v>-9.3109073538667915E-4</v>
      </c>
      <c r="D30" s="47">
        <v>0.14187404013920379</v>
      </c>
      <c r="E30" s="37">
        <v>9.1654332857051823E-3</v>
      </c>
      <c r="F30" s="38">
        <v>-0.15100941242266608</v>
      </c>
      <c r="G30" s="37">
        <v>0.17455249715769355</v>
      </c>
      <c r="H30" s="37">
        <v>-0.2527355237307406</v>
      </c>
      <c r="I30" s="48">
        <v>-1.6075477397340499E-2</v>
      </c>
      <c r="J30" s="38">
        <v>0.13700000000000001</v>
      </c>
      <c r="K30" s="38">
        <v>-0.34906270666798189</v>
      </c>
      <c r="M30" s="38"/>
    </row>
    <row r="31" spans="1:13">
      <c r="A31" s="11">
        <v>1999</v>
      </c>
      <c r="B31" s="45">
        <f>HLOOKUP(Parameters!$F$2,'Verplichtingen Nominaal'!$B$1:$O$40,A31-1968)</f>
        <v>-6.7668270198394942E-2</v>
      </c>
      <c r="C31" s="23">
        <f>HLOOKUP(Parameters!$F$2,'Verplichtingen Reeel'!$B$1:$O$40,A31-1968)</f>
        <v>4.3629021477134908E-3</v>
      </c>
      <c r="D31" s="47">
        <v>-0.18117720013148875</v>
      </c>
      <c r="E31" s="37">
        <v>3.9194705394333673E-2</v>
      </c>
      <c r="F31" s="38">
        <v>0.31407350918671428</v>
      </c>
      <c r="G31" s="37">
        <v>0.35142141001807137</v>
      </c>
      <c r="H31" s="37">
        <v>0.78769080894169241</v>
      </c>
      <c r="I31" s="48">
        <v>0.18929886760590486</v>
      </c>
      <c r="J31" s="38">
        <v>0.158</v>
      </c>
      <c r="K31" s="38">
        <v>0.48913224909613062</v>
      </c>
      <c r="M31" s="38"/>
    </row>
    <row r="32" spans="1:13">
      <c r="A32" s="11">
        <v>2000</v>
      </c>
      <c r="B32" s="45">
        <f>HLOOKUP(Parameters!$F$2,'Verplichtingen Nominaal'!$B$1:$O$40,A32-1968)</f>
        <v>8.0733823485355294E-2</v>
      </c>
      <c r="C32" s="23">
        <f>HLOOKUP(Parameters!$F$2,'Verplichtingen Reeel'!$B$1:$O$40,A32-1968)</f>
        <v>5.3780108174557133E-2</v>
      </c>
      <c r="D32" s="47">
        <v>7.9707360873734201E-3</v>
      </c>
      <c r="E32" s="37">
        <v>-7.2778644108482227E-2</v>
      </c>
      <c r="F32" s="38">
        <v>0.14905817360930074</v>
      </c>
      <c r="G32" s="37">
        <v>-0.11130363991632877</v>
      </c>
      <c r="H32" s="37">
        <v>-0.34498355299817107</v>
      </c>
      <c r="I32" s="48">
        <v>5.7706662341663773E-2</v>
      </c>
      <c r="J32" s="38">
        <v>0.161</v>
      </c>
      <c r="K32" s="38">
        <v>0.51299955720188606</v>
      </c>
      <c r="M32" s="38"/>
    </row>
    <row r="33" spans="1:13">
      <c r="A33" s="11">
        <v>2001</v>
      </c>
      <c r="B33" s="45">
        <f>HLOOKUP(Parameters!$F$2,'Verplichtingen Nominaal'!$B$1:$O$40,A33-1968)</f>
        <v>9.7275280926120408E-2</v>
      </c>
      <c r="C33" s="23">
        <f>HLOOKUP(Parameters!$F$2,'Verplichtingen Reeel'!$B$1:$O$40,A33-1968)</f>
        <v>6.0052365863502814E-2</v>
      </c>
      <c r="D33" s="47">
        <v>4.0884402473854387E-2</v>
      </c>
      <c r="E33" s="37">
        <v>3.8482579501950775E-2</v>
      </c>
      <c r="F33" s="38">
        <v>-1.7023906432739322E-2</v>
      </c>
      <c r="G33" s="37">
        <v>-0.1600262445441322</v>
      </c>
      <c r="H33" s="37">
        <v>-3.3732871390363517E-2</v>
      </c>
      <c r="I33" s="48">
        <v>3.1068799151873883E-2</v>
      </c>
      <c r="J33" s="38">
        <v>0.114</v>
      </c>
      <c r="K33" s="38">
        <v>-0.34542408267650193</v>
      </c>
      <c r="M33" s="38"/>
    </row>
    <row r="34" spans="1:13">
      <c r="A34" s="11">
        <v>2002</v>
      </c>
      <c r="B34" s="45">
        <f>HLOOKUP(Parameters!$F$2,'Verplichtingen Nominaal'!$B$1:$O$40,A34-1968)</f>
        <v>7.9484980397115823E-2</v>
      </c>
      <c r="C34" s="23">
        <f>HLOOKUP(Parameters!$F$2,'Verplichtingen Reeel'!$B$1:$O$40,A34-1968)</f>
        <v>6.9522764290821104E-2</v>
      </c>
      <c r="D34" s="47">
        <v>0.29425008446335332</v>
      </c>
      <c r="E34" s="37">
        <v>2.1478237661229249E-2</v>
      </c>
      <c r="F34" s="38">
        <v>0.15836518362060747</v>
      </c>
      <c r="G34" s="37">
        <v>-0.21295989787753355</v>
      </c>
      <c r="H34" s="37">
        <v>-1.3361926378797073E-2</v>
      </c>
      <c r="I34" s="48">
        <v>3.5823040259035821E-2</v>
      </c>
      <c r="J34" s="38">
        <v>8.7999999999999995E-2</v>
      </c>
      <c r="K34" s="38">
        <v>0.30967225753658423</v>
      </c>
      <c r="M34" s="38"/>
    </row>
    <row r="35" spans="1:13">
      <c r="A35" s="11">
        <v>2003</v>
      </c>
      <c r="B35" s="45">
        <f>HLOOKUP(Parameters!$F$2,'Verplichtingen Nominaal'!$B$1:$O$40,A35-1968)</f>
        <v>3.8166235546964522E-2</v>
      </c>
      <c r="C35" s="23">
        <f>HLOOKUP(Parameters!$F$2,'Verplichtingen Reeel'!$B$1:$O$40,A35-1968)</f>
        <v>7.8426914327969777E-2</v>
      </c>
      <c r="D35" s="47">
        <v>0.29436339525278821</v>
      </c>
      <c r="E35" s="37">
        <v>0.28343648682868139</v>
      </c>
      <c r="F35" s="38">
        <v>0.28907771346305355</v>
      </c>
      <c r="G35" s="37">
        <v>0.24268030392293696</v>
      </c>
      <c r="H35" s="37">
        <v>0.51744510474112837</v>
      </c>
      <c r="I35" s="48">
        <v>9.0095686775804928E-2</v>
      </c>
      <c r="J35" s="38">
        <v>7.0999999999999994E-2</v>
      </c>
      <c r="K35" s="38">
        <v>0.22161303530348286</v>
      </c>
      <c r="M35" s="38"/>
    </row>
    <row r="36" spans="1:13">
      <c r="A36" s="11">
        <v>2004</v>
      </c>
      <c r="B36" s="45">
        <f>HLOOKUP(Parameters!$F$2,'Verplichtingen Nominaal'!$B$1:$O$40,A36-1968)</f>
        <v>0.14293529199171096</v>
      </c>
      <c r="C36" s="23">
        <f>HLOOKUP(Parameters!$F$2,'Verplichtingen Reeel'!$B$1:$O$40,A36-1968)</f>
        <v>0.19852932040815849</v>
      </c>
      <c r="D36" s="47">
        <v>0.13911170054690092</v>
      </c>
      <c r="E36" s="37">
        <v>0.11562533491070948</v>
      </c>
      <c r="F36" s="38">
        <v>0.12400024015448663</v>
      </c>
      <c r="G36" s="37">
        <v>0.11821025431438584</v>
      </c>
      <c r="H36" s="37">
        <v>0.25558809894782608</v>
      </c>
      <c r="I36" s="48">
        <v>5.8236175421725989E-2</v>
      </c>
      <c r="J36" s="38">
        <v>7.8E-2</v>
      </c>
      <c r="K36" s="38">
        <v>0.17508909319715049</v>
      </c>
      <c r="M36" s="38"/>
    </row>
    <row r="37" spans="1:13">
      <c r="A37" s="11">
        <v>2005</v>
      </c>
      <c r="B37" s="45">
        <f>HLOOKUP(Parameters!$F$2,'Verplichtingen Nominaal'!$B$1:$O$40,A37-1968)</f>
        <v>9.0342617783065488E-2</v>
      </c>
      <c r="C37" s="23">
        <f>HLOOKUP(Parameters!$F$2,'Verplichtingen Reeel'!$B$1:$O$40,A37-1968)</f>
        <v>4.5919746475149167E-2</v>
      </c>
      <c r="D37" s="47">
        <v>-0.11763420374898559</v>
      </c>
      <c r="E37" s="37">
        <v>4.6612990800280918E-2</v>
      </c>
      <c r="F37" s="38">
        <v>0.15170813594139376</v>
      </c>
      <c r="G37" s="37">
        <v>0.21247211901586294</v>
      </c>
      <c r="H37" s="37">
        <v>0.41308513049392059</v>
      </c>
      <c r="I37" s="48">
        <v>5.1741650964531427E-2</v>
      </c>
      <c r="J37" s="38">
        <v>0.10199999999999999</v>
      </c>
      <c r="K37" s="38">
        <v>0.30950403306784213</v>
      </c>
      <c r="M37" s="38"/>
    </row>
    <row r="38" spans="1:13">
      <c r="A38" s="11">
        <v>2006</v>
      </c>
      <c r="B38" s="45">
        <f>HLOOKUP(Parameters!$F$2,'Verplichtingen Nominaal'!$B$1:$O$40,A38-1968)</f>
        <v>-5.275856364487181E-2</v>
      </c>
      <c r="C38" s="23">
        <f>HLOOKUP(Parameters!$F$2,'Verplichtingen Reeel'!$B$1:$O$40,A38-1968)</f>
        <v>-7.9196165613677844E-2</v>
      </c>
      <c r="D38" s="47">
        <v>0.13920463402080574</v>
      </c>
      <c r="E38" s="37">
        <v>9.6406055717823902E-2</v>
      </c>
      <c r="F38" s="38">
        <v>8.4948933603290033E-2</v>
      </c>
      <c r="G38" s="37">
        <v>0.13853103492670851</v>
      </c>
      <c r="H38" s="37">
        <v>0.2826446115735215</v>
      </c>
      <c r="I38" s="48">
        <v>9.2003366887293714E-2</v>
      </c>
      <c r="J38" s="38">
        <v>0.125</v>
      </c>
      <c r="K38" s="38">
        <v>-0.14386079454399459</v>
      </c>
      <c r="M38" s="38"/>
    </row>
    <row r="39" spans="1:13">
      <c r="A39" s="11">
        <v>2007</v>
      </c>
      <c r="B39" s="45">
        <f>HLOOKUP(Parameters!$F$2,'Verplichtingen Nominaal'!$B$1:$O$40,A39-1968)</f>
        <v>-2.8513173660361504E-2</v>
      </c>
      <c r="C39" s="23">
        <f>HLOOKUP(Parameters!$F$2,'Verplichtingen Reeel'!$B$1:$O$40,A39-1968)</f>
        <v>-7.3951029657141162E-2</v>
      </c>
      <c r="D39" s="47">
        <v>0.14621511201394499</v>
      </c>
      <c r="E39" s="37">
        <v>1.6878366173860737E-2</v>
      </c>
      <c r="F39" s="38">
        <v>5.5289635612908783E-2</v>
      </c>
      <c r="G39" s="37">
        <v>3.0667815911639744E-2</v>
      </c>
      <c r="H39" s="37">
        <v>0.3558723415156908</v>
      </c>
      <c r="I39" s="48">
        <v>7.6716885142879443E-2</v>
      </c>
      <c r="J39" s="38">
        <v>6.3E-2</v>
      </c>
      <c r="K39" s="38">
        <v>0.29177981135175179</v>
      </c>
      <c r="M39" s="38"/>
    </row>
    <row r="40" spans="1:13">
      <c r="A40" s="11">
        <v>2008</v>
      </c>
      <c r="B40" s="45">
        <f>HLOOKUP(Parameters!$F$2,'Verplichtingen Nominaal'!$B$1:$O$40,A40-1968)</f>
        <v>0.2130714816273665</v>
      </c>
      <c r="C40" s="23">
        <f>HLOOKUP(Parameters!$F$2,'Verplichtingen Reeel'!$B$1:$O$40,A40-1968)</f>
        <v>0.10286645338691357</v>
      </c>
      <c r="D40" s="47">
        <v>-7.5208414512974886E-2</v>
      </c>
      <c r="E40" s="37">
        <v>-0.27026814277046363</v>
      </c>
      <c r="F40" s="38">
        <v>-9.4767579994026407E-2</v>
      </c>
      <c r="G40" s="37">
        <v>-0.40801246973867283</v>
      </c>
      <c r="H40" s="37">
        <v>-0.5520456168828628</v>
      </c>
      <c r="I40" s="48">
        <v>-0.19112223056867816</v>
      </c>
      <c r="J40" s="46">
        <v>3.3000000000000002E-2</v>
      </c>
      <c r="K40" s="38">
        <v>-0.48165038152589057</v>
      </c>
      <c r="M40" s="38"/>
    </row>
    <row r="41" spans="1:13">
      <c r="A41" s="11">
        <v>2009</v>
      </c>
      <c r="B41" s="45">
        <f>HLOOKUP(Parameters!$F$2,'Verplichtingen Nominaal'!$B$1:$O$41,A41-1968)</f>
        <v>3.0662162873240639E-4</v>
      </c>
      <c r="C41" s="23">
        <f>HLOOKUP(Parameters!$F$2,'Verplichtingen Reeel'!$B$1:$O$41,A41-1968)</f>
        <v>8.3231386375289373E-2</v>
      </c>
      <c r="D41" s="47">
        <v>0.10442678774120329</v>
      </c>
      <c r="E41" s="37">
        <v>0.56809086730234393</v>
      </c>
      <c r="F41" s="38">
        <v>0.26227276583907888</v>
      </c>
      <c r="G41" s="37">
        <v>0.25591175119937115</v>
      </c>
      <c r="H41" s="37">
        <v>0.77650164300268099</v>
      </c>
      <c r="I41" s="48">
        <v>9.6538503463936332E-2</v>
      </c>
      <c r="J41" s="47">
        <v>-2E-3</v>
      </c>
      <c r="K41" s="38">
        <v>0.14152035913264371</v>
      </c>
      <c r="M41" s="38"/>
    </row>
    <row r="43" spans="1:13">
      <c r="G43" s="38"/>
      <c r="H43" s="38"/>
      <c r="I43" s="28"/>
      <c r="J43" s="2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11"/>
  </sheetPr>
  <dimension ref="A1:E41"/>
  <sheetViews>
    <sheetView zoomScale="75" workbookViewId="0">
      <selection activeCell="C1" sqref="C1:C2"/>
    </sheetView>
  </sheetViews>
  <sheetFormatPr defaultRowHeight="12.75"/>
  <cols>
    <col min="1" max="1" width="20.85546875" customWidth="1"/>
    <col min="2" max="2" width="13" customWidth="1"/>
    <col min="3" max="3" width="16.5703125" customWidth="1"/>
    <col min="4" max="4" width="13.7109375" customWidth="1"/>
    <col min="5" max="5" width="14.42578125" customWidth="1"/>
  </cols>
  <sheetData>
    <row r="1" spans="1:5">
      <c r="A1" s="9" t="s">
        <v>8</v>
      </c>
      <c r="B1" s="70" t="s">
        <v>100</v>
      </c>
      <c r="C1" s="52" t="s">
        <v>99</v>
      </c>
    </row>
    <row r="2" spans="1:5">
      <c r="A2" s="11">
        <v>1970</v>
      </c>
      <c r="B2" s="63">
        <v>5.5702917771883076E-2</v>
      </c>
      <c r="C2" s="16">
        <v>-1.5537402002834266E-3</v>
      </c>
      <c r="D2" s="212">
        <v>0.05</v>
      </c>
      <c r="E2" s="212">
        <v>6.3899999999999998E-2</v>
      </c>
    </row>
    <row r="3" spans="1:5">
      <c r="A3" s="11">
        <v>1971</v>
      </c>
      <c r="B3" s="63">
        <v>3.2663316582914659E-2</v>
      </c>
      <c r="C3" s="16">
        <v>4.4548548537260757E-2</v>
      </c>
      <c r="D3" s="212">
        <v>4.5999999999999999E-2</v>
      </c>
      <c r="E3" s="212">
        <v>5.9299999999999999E-2</v>
      </c>
    </row>
    <row r="4" spans="1:5">
      <c r="A4" s="11">
        <v>1972</v>
      </c>
      <c r="B4" s="63">
        <v>3.4063260340632562E-2</v>
      </c>
      <c r="C4" s="16">
        <v>6.9335064224706366E-2</v>
      </c>
      <c r="D4" s="212">
        <v>5.5199999999999999E-2</v>
      </c>
      <c r="E4" s="212">
        <v>6.3600000000000004E-2</v>
      </c>
    </row>
    <row r="5" spans="1:5">
      <c r="A5" s="11">
        <v>1973</v>
      </c>
      <c r="B5" s="63">
        <v>8.9411764705882302E-2</v>
      </c>
      <c r="C5" s="16">
        <v>4.1750358499002882E-2</v>
      </c>
      <c r="D5" s="212">
        <v>7.2700000000000001E-2</v>
      </c>
      <c r="E5" s="212">
        <v>6.7400000000000002E-2</v>
      </c>
    </row>
    <row r="6" spans="1:5">
      <c r="A6" s="11">
        <v>1974</v>
      </c>
      <c r="B6" s="63">
        <v>0.12095032397408212</v>
      </c>
      <c r="C6" s="16">
        <v>-1.9929134573646534E-2</v>
      </c>
      <c r="D6" s="212">
        <v>7.3099999999999998E-2</v>
      </c>
      <c r="E6" s="212">
        <v>7.4299999999999991E-2</v>
      </c>
    </row>
    <row r="7" spans="1:5">
      <c r="A7" s="11">
        <v>1975</v>
      </c>
      <c r="B7" s="63">
        <v>7.1290944123314048E-2</v>
      </c>
      <c r="C7" s="16">
        <v>2.5373377225328397E-2</v>
      </c>
      <c r="D7" s="212">
        <v>6.6000000000000003E-2</v>
      </c>
      <c r="E7" s="212">
        <v>0.08</v>
      </c>
    </row>
    <row r="8" spans="1:5">
      <c r="A8" s="11">
        <v>1976</v>
      </c>
      <c r="B8" s="63">
        <v>5.0359712230215736E-2</v>
      </c>
      <c r="C8" s="16">
        <v>4.2990964761303152E-2</v>
      </c>
      <c r="D8" s="212">
        <v>4.8899999999999999E-2</v>
      </c>
      <c r="E8" s="212">
        <v>6.8699999999999997E-2</v>
      </c>
    </row>
    <row r="9" spans="1:5">
      <c r="A9" s="11">
        <v>1977</v>
      </c>
      <c r="B9" s="63">
        <v>6.6780821917808098E-2</v>
      </c>
      <c r="C9" s="16">
        <v>4.9945882682439047E-2</v>
      </c>
      <c r="D9" s="212">
        <v>6.9599999999999995E-2</v>
      </c>
      <c r="E9" s="212">
        <v>7.690000000000001E-2</v>
      </c>
    </row>
    <row r="10" spans="1:5">
      <c r="A10" s="11">
        <v>1978</v>
      </c>
      <c r="B10" s="63">
        <v>8.9887640449438422E-2</v>
      </c>
      <c r="C10" s="16">
        <v>6.7041437823817551E-2</v>
      </c>
      <c r="D10" s="212">
        <v>0.10300000000000001</v>
      </c>
      <c r="E10" s="212">
        <v>9.01E-2</v>
      </c>
    </row>
    <row r="11" spans="1:5">
      <c r="A11" s="11">
        <v>1979</v>
      </c>
      <c r="B11" s="63">
        <v>0.13254786450662737</v>
      </c>
      <c r="C11" s="16">
        <v>1.2598040446186509E-2</v>
      </c>
      <c r="D11" s="212">
        <v>0.1198</v>
      </c>
      <c r="E11" s="212">
        <v>0.10390000000000001</v>
      </c>
    </row>
    <row r="12" spans="1:5">
      <c r="A12" s="11">
        <v>1980</v>
      </c>
      <c r="B12" s="63">
        <v>0.12353706111833551</v>
      </c>
      <c r="C12" s="16">
        <v>-1.0247058533880971E-3</v>
      </c>
      <c r="D12" s="212">
        <v>0.14880000000000002</v>
      </c>
      <c r="E12" s="212">
        <v>0.12839999999999999</v>
      </c>
    </row>
    <row r="13" spans="1:5">
      <c r="A13" s="11">
        <v>1981</v>
      </c>
      <c r="B13" s="63">
        <v>8.9120370370370239E-2</v>
      </c>
      <c r="C13" s="16">
        <v>1.2170049596665899E-2</v>
      </c>
      <c r="D13" s="212">
        <v>0.1285</v>
      </c>
      <c r="E13" s="212">
        <v>0.13720000000000002</v>
      </c>
    </row>
    <row r="14" spans="1:5">
      <c r="A14" s="11">
        <v>1982</v>
      </c>
      <c r="B14" s="63">
        <v>3.8257173219978791E-2</v>
      </c>
      <c r="C14" s="16">
        <v>-1.4115889977299956E-2</v>
      </c>
      <c r="D14" s="212">
        <v>8.9099999999999999E-2</v>
      </c>
      <c r="E14" s="212">
        <v>0.10539999999999999</v>
      </c>
    </row>
    <row r="15" spans="1:5">
      <c r="A15" s="11">
        <v>1983</v>
      </c>
      <c r="B15" s="63">
        <v>3.7871033776867957E-2</v>
      </c>
      <c r="C15" s="16">
        <v>7.7426830620536347E-2</v>
      </c>
      <c r="D15" s="212">
        <v>0.1011</v>
      </c>
      <c r="E15" s="212">
        <v>0.1183</v>
      </c>
    </row>
    <row r="16" spans="1:5">
      <c r="A16" s="11">
        <v>1984</v>
      </c>
      <c r="B16" s="63">
        <v>4.0433925049309538E-2</v>
      </c>
      <c r="C16" s="16">
        <v>5.5598116471327508E-2</v>
      </c>
      <c r="D16" s="212">
        <v>9.3299999999999994E-2</v>
      </c>
      <c r="E16" s="212">
        <v>0.115</v>
      </c>
    </row>
    <row r="17" spans="1:5">
      <c r="A17" s="11">
        <v>1985</v>
      </c>
      <c r="B17" s="63">
        <v>3.7914691943127909E-2</v>
      </c>
      <c r="C17" s="16">
        <v>4.1731763189234217E-2</v>
      </c>
      <c r="D17" s="212">
        <v>7.6700000000000004E-2</v>
      </c>
      <c r="E17" s="212">
        <v>9.2600000000000002E-2</v>
      </c>
    </row>
    <row r="18" spans="1:5">
      <c r="A18" s="11">
        <v>1986</v>
      </c>
      <c r="B18" s="63">
        <v>1.1872146118721449E-2</v>
      </c>
      <c r="C18" s="16">
        <v>2.8384607179095633E-2</v>
      </c>
      <c r="D18" s="212">
        <v>5.8700000000000002E-2</v>
      </c>
      <c r="E18" s="212">
        <v>7.1099999999999997E-2</v>
      </c>
    </row>
    <row r="19" spans="1:5">
      <c r="A19" s="11">
        <v>1987</v>
      </c>
      <c r="B19" s="63">
        <v>4.3321299638989119E-2</v>
      </c>
      <c r="C19" s="16">
        <v>4.2590201330591659E-2</v>
      </c>
      <c r="D19" s="212">
        <v>7.17E-2</v>
      </c>
      <c r="E19" s="212">
        <v>8.9900000000000008E-2</v>
      </c>
    </row>
    <row r="20" spans="1:5">
      <c r="A20" s="11">
        <v>1988</v>
      </c>
      <c r="B20" s="63">
        <v>4.4117647058823595E-2</v>
      </c>
      <c r="C20" s="16">
        <v>3.7002974783394427E-2</v>
      </c>
      <c r="D20" s="212">
        <v>8.9900000000000008E-2</v>
      </c>
      <c r="E20" s="212">
        <v>9.11E-2</v>
      </c>
    </row>
    <row r="21" spans="1:5">
      <c r="A21" s="11">
        <v>1989</v>
      </c>
      <c r="B21" s="63">
        <v>4.6396023198011616E-2</v>
      </c>
      <c r="C21" s="16">
        <v>2.7244148590294559E-2</v>
      </c>
      <c r="D21" s="212">
        <v>7.7199999999999991E-2</v>
      </c>
      <c r="E21" s="212">
        <v>7.8399999999999997E-2</v>
      </c>
    </row>
    <row r="22" spans="1:5">
      <c r="A22" s="11">
        <v>1990</v>
      </c>
      <c r="B22" s="63">
        <v>6.2549485352335621E-2</v>
      </c>
      <c r="C22" s="16">
        <v>5.5593057859852912E-3</v>
      </c>
      <c r="D22" s="212">
        <v>7.0499999999999993E-2</v>
      </c>
      <c r="E22" s="212">
        <v>8.0799999999999997E-2</v>
      </c>
    </row>
    <row r="23" spans="1:5">
      <c r="A23" s="11">
        <v>1991</v>
      </c>
      <c r="B23" s="63">
        <v>2.9806259314456129E-2</v>
      </c>
      <c r="C23" s="16">
        <v>1.0036721115793235E-2</v>
      </c>
      <c r="D23" s="212">
        <v>4.3799999999999999E-2</v>
      </c>
      <c r="E23" s="212">
        <v>7.0900000000000005E-2</v>
      </c>
    </row>
    <row r="24" spans="1:5">
      <c r="A24" s="11">
        <v>1992</v>
      </c>
      <c r="B24" s="63">
        <v>2.9667149059334541E-2</v>
      </c>
      <c r="C24" s="16">
        <v>4.3124057044661601E-2</v>
      </c>
      <c r="D24" s="212">
        <v>3.7100000000000001E-2</v>
      </c>
      <c r="E24" s="212">
        <v>6.7699999999999996E-2</v>
      </c>
    </row>
    <row r="25" spans="1:5">
      <c r="A25" s="11">
        <v>1993</v>
      </c>
      <c r="B25" s="63">
        <v>2.8109627547435068E-2</v>
      </c>
      <c r="C25" s="16">
        <v>2.6939832358641169E-2</v>
      </c>
      <c r="D25" s="212">
        <v>3.61E-2</v>
      </c>
      <c r="E25" s="212">
        <v>5.7699999999999994E-2</v>
      </c>
    </row>
    <row r="26" spans="1:5">
      <c r="A26" s="11">
        <v>1994</v>
      </c>
      <c r="B26" s="63">
        <v>2.5974025974025761E-2</v>
      </c>
      <c r="C26" s="16">
        <v>4.1580356902179982E-2</v>
      </c>
      <c r="D26" s="212">
        <v>7.1399999999999991E-2</v>
      </c>
      <c r="E26" s="212">
        <v>7.8100000000000003E-2</v>
      </c>
    </row>
    <row r="27" spans="1:5">
      <c r="A27" s="11">
        <v>1995</v>
      </c>
      <c r="B27" s="63">
        <v>2.5316455696202667E-2</v>
      </c>
      <c r="C27" s="16">
        <v>2.0114559522302011E-2</v>
      </c>
      <c r="D27" s="212">
        <v>5.3099999999999994E-2</v>
      </c>
      <c r="E27" s="212">
        <v>5.7099999999999998E-2</v>
      </c>
    </row>
    <row r="28" spans="1:5">
      <c r="A28" s="11">
        <v>1996</v>
      </c>
      <c r="B28" s="63">
        <v>3.378817413905133E-2</v>
      </c>
      <c r="C28" s="16">
        <v>4.4443682272144569E-2</v>
      </c>
      <c r="D28" s="212">
        <v>5.4699999999999999E-2</v>
      </c>
      <c r="E28" s="212">
        <v>6.3E-2</v>
      </c>
    </row>
    <row r="29" spans="1:5">
      <c r="A29" s="11">
        <v>1997</v>
      </c>
      <c r="B29" s="63">
        <v>1.6970458830924073E-2</v>
      </c>
      <c r="C29" s="16">
        <v>4.3410771253832969E-2</v>
      </c>
      <c r="D29" s="212">
        <v>5.5300000000000002E-2</v>
      </c>
      <c r="E29" s="212">
        <v>5.8099999999999999E-2</v>
      </c>
    </row>
    <row r="30" spans="1:5">
      <c r="A30" s="11">
        <v>1998</v>
      </c>
      <c r="B30" s="63">
        <v>1.606922126081578E-2</v>
      </c>
      <c r="C30" s="16">
        <v>4.9825884510085849E-2</v>
      </c>
      <c r="D30" s="212">
        <v>4.5199999999999997E-2</v>
      </c>
      <c r="E30" s="212">
        <v>4.6500000000000007E-2</v>
      </c>
    </row>
    <row r="31" spans="1:5">
      <c r="A31" s="11">
        <v>1999</v>
      </c>
      <c r="B31" s="63">
        <v>2.6763990267639981E-2</v>
      </c>
      <c r="C31" s="16">
        <v>4.8220355315094166E-2</v>
      </c>
      <c r="D31" s="212">
        <v>5.8400000000000001E-2</v>
      </c>
      <c r="E31" s="212">
        <v>6.2800000000000009E-2</v>
      </c>
    </row>
    <row r="32" spans="1:5">
      <c r="A32" s="11">
        <v>2000</v>
      </c>
      <c r="B32" s="63">
        <v>3.4360189573459543E-2</v>
      </c>
      <c r="C32" s="16">
        <v>2.9079590864710347E-2</v>
      </c>
      <c r="D32" s="212">
        <v>5.5999999999999994E-2</v>
      </c>
      <c r="E32" s="212">
        <v>5.2400000000000002E-2</v>
      </c>
    </row>
    <row r="33" spans="1:5">
      <c r="A33" s="11">
        <v>2001</v>
      </c>
      <c r="B33" s="63">
        <v>1.6036655211913109E-2</v>
      </c>
      <c r="C33" s="16">
        <v>4.0216880361487739E-3</v>
      </c>
      <c r="D33" s="212">
        <v>2.2200000000000001E-2</v>
      </c>
      <c r="E33" s="212">
        <v>5.0900000000000001E-2</v>
      </c>
    </row>
    <row r="34" spans="1:5">
      <c r="A34" s="11">
        <v>2002</v>
      </c>
      <c r="B34" s="63">
        <v>2.4802705749718212E-2</v>
      </c>
      <c r="C34" s="16">
        <v>1.9217358539376672E-2</v>
      </c>
      <c r="D34" s="212">
        <v>1.4499999999999999E-2</v>
      </c>
      <c r="E34" s="212">
        <v>4.0300000000000002E-2</v>
      </c>
    </row>
    <row r="35" spans="1:5">
      <c r="A35" s="11">
        <v>2003</v>
      </c>
      <c r="B35" s="63">
        <v>2.0352035203520247E-2</v>
      </c>
      <c r="C35" s="16">
        <v>3.8279139333435852E-2</v>
      </c>
      <c r="D35" s="212">
        <v>1.3100000000000001E-2</v>
      </c>
      <c r="E35" s="212">
        <v>4.2699999999999995E-2</v>
      </c>
    </row>
    <row r="36" spans="1:5">
      <c r="A36" s="11">
        <v>2004</v>
      </c>
      <c r="B36" s="63">
        <v>3.3423180592991875E-2</v>
      </c>
      <c r="C36" s="16">
        <v>3.0513209658504348E-2</v>
      </c>
      <c r="D36" s="212">
        <v>2.6699999999999998E-2</v>
      </c>
      <c r="E36" s="212">
        <v>4.2300000000000004E-2</v>
      </c>
    </row>
    <row r="37" spans="1:5">
      <c r="A37" s="11">
        <v>2005</v>
      </c>
      <c r="B37" s="63">
        <v>3.3385498174230532E-2</v>
      </c>
      <c r="C37" s="16">
        <v>2.7269082201355488E-2</v>
      </c>
      <c r="D37" s="212">
        <v>4.3499999999999997E-2</v>
      </c>
      <c r="E37" s="212">
        <v>4.4699999999999997E-2</v>
      </c>
    </row>
    <row r="38" spans="1:5">
      <c r="A38" s="11">
        <v>2006</v>
      </c>
      <c r="B38" s="63">
        <v>2.5239777889954462E-2</v>
      </c>
      <c r="C38" s="16">
        <v>2.4471516662210036E-2</v>
      </c>
      <c r="D38" s="212">
        <v>4.9400000000000006E-2</v>
      </c>
      <c r="E38" s="212">
        <v>4.5599999999999995E-2</v>
      </c>
    </row>
    <row r="39" spans="1:5">
      <c r="A39" s="11">
        <v>2007</v>
      </c>
      <c r="B39" s="63">
        <v>4.1033973412112346E-2</v>
      </c>
      <c r="C39" s="16">
        <v>2.3184782353199207E-2</v>
      </c>
      <c r="D39" s="212">
        <v>3.2599999999999997E-2</v>
      </c>
      <c r="E39" s="212">
        <v>4.0999999999999995E-2</v>
      </c>
    </row>
    <row r="40" spans="1:5">
      <c r="A40" s="11">
        <v>2008</v>
      </c>
      <c r="B40" s="63">
        <v>-4.4931278791493501E-4</v>
      </c>
      <c r="C40" s="16">
        <v>-2.7674137171373125E-2</v>
      </c>
      <c r="D40" s="212">
        <v>4.8999999999999998E-3</v>
      </c>
      <c r="E40" s="212">
        <v>2.4199999999999999E-2</v>
      </c>
    </row>
    <row r="41" spans="1:5">
      <c r="A41" s="11">
        <v>2009</v>
      </c>
      <c r="B41" s="63">
        <v>2.7846256488390564E-2</v>
      </c>
      <c r="C41" s="16">
        <v>1.9507198315487084E-3</v>
      </c>
      <c r="D41" s="212">
        <v>3.7000000000000002E-3</v>
      </c>
      <c r="E41" s="212">
        <v>3.5900000000000001E-2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3" enableFormatConditionsCalculation="0">
    <tabColor indexed="11"/>
  </sheetPr>
  <dimension ref="A1:S41"/>
  <sheetViews>
    <sheetView zoomScale="75" workbookViewId="0">
      <selection activeCell="H22" sqref="H22"/>
    </sheetView>
  </sheetViews>
  <sheetFormatPr defaultRowHeight="12.75"/>
  <cols>
    <col min="1" max="1" width="9.140625" style="40"/>
    <col min="2" max="7" width="9.140625" style="39"/>
    <col min="8" max="16" width="9.140625" style="40"/>
    <col min="17" max="17" width="9.85546875" style="40" bestFit="1" customWidth="1"/>
    <col min="18" max="16384" width="9.140625" style="40"/>
  </cols>
  <sheetData>
    <row r="1" spans="1:19">
      <c r="B1" s="39" t="s">
        <v>60</v>
      </c>
      <c r="C1" s="39" t="s">
        <v>61</v>
      </c>
      <c r="D1" s="39" t="s">
        <v>62</v>
      </c>
      <c r="E1" s="39" t="s">
        <v>63</v>
      </c>
      <c r="F1" s="39" t="s">
        <v>64</v>
      </c>
      <c r="G1" s="39" t="s">
        <v>59</v>
      </c>
      <c r="H1" s="40" t="s">
        <v>65</v>
      </c>
      <c r="I1" s="40" t="s">
        <v>66</v>
      </c>
      <c r="J1" s="40" t="s">
        <v>67</v>
      </c>
      <c r="K1" s="40" t="s">
        <v>68</v>
      </c>
      <c r="L1" s="40" t="s">
        <v>69</v>
      </c>
      <c r="M1" s="40" t="s">
        <v>70</v>
      </c>
      <c r="N1" s="40" t="s">
        <v>71</v>
      </c>
      <c r="O1" s="40" t="s">
        <v>58</v>
      </c>
    </row>
    <row r="2" spans="1:19">
      <c r="A2" s="31">
        <v>1970</v>
      </c>
    </row>
    <row r="3" spans="1:19">
      <c r="A3" s="31">
        <v>1971</v>
      </c>
      <c r="B3" s="41">
        <v>8.2796274998829869E-2</v>
      </c>
      <c r="C3" s="41">
        <v>8.3824677184948349E-2</v>
      </c>
      <c r="D3" s="42">
        <v>8.4754476317459845E-2</v>
      </c>
      <c r="E3" s="42">
        <v>8.2633408239175102E-2</v>
      </c>
      <c r="F3" s="42">
        <v>8.3883771132295129E-2</v>
      </c>
      <c r="G3" s="42">
        <v>8.3994988945600799E-2</v>
      </c>
      <c r="H3" s="41">
        <v>8.3850467091960285E-2</v>
      </c>
      <c r="I3" s="41">
        <v>8.4182877000046064E-2</v>
      </c>
      <c r="J3" s="41">
        <v>8.2977918639341827E-2</v>
      </c>
      <c r="K3" s="41">
        <v>8.260906606677762E-2</v>
      </c>
      <c r="L3" s="41">
        <v>8.3088455477188752E-2</v>
      </c>
      <c r="M3" s="41">
        <v>8.3026755288574394E-2</v>
      </c>
      <c r="N3" s="41">
        <v>8.2384970809127295E-2</v>
      </c>
      <c r="O3" s="41">
        <v>8.5301446120478866E-2</v>
      </c>
      <c r="P3" s="41"/>
      <c r="Q3" s="41"/>
      <c r="R3" s="41"/>
      <c r="S3" s="41"/>
    </row>
    <row r="4" spans="1:19">
      <c r="A4" s="31">
        <v>1972</v>
      </c>
      <c r="B4" s="41">
        <v>-4.7517249715055887E-2</v>
      </c>
      <c r="C4" s="41">
        <v>2.0267419396187698E-3</v>
      </c>
      <c r="D4" s="42">
        <v>-3.0941504432877555E-2</v>
      </c>
      <c r="E4" s="42">
        <v>-1.2135564169403338E-2</v>
      </c>
      <c r="F4" s="42">
        <v>1.0591733477501579E-2</v>
      </c>
      <c r="G4" s="42">
        <v>-1.2525827052390078E-2</v>
      </c>
      <c r="H4" s="41">
        <v>-5.6603653861555768E-3</v>
      </c>
      <c r="I4" s="41">
        <v>-2.3543523863059111E-2</v>
      </c>
      <c r="J4" s="41">
        <v>-2.1798108683560359E-3</v>
      </c>
      <c r="K4" s="41">
        <v>-1.6113995456470635E-2</v>
      </c>
      <c r="L4" s="41">
        <v>-1.0776557271227518E-3</v>
      </c>
      <c r="M4" s="41">
        <v>-1.3632347215873971E-3</v>
      </c>
      <c r="N4" s="41">
        <v>-1.8159551625220378E-2</v>
      </c>
      <c r="O4" s="41">
        <v>1.2979891799068419E-3</v>
      </c>
      <c r="P4" s="41"/>
      <c r="Q4" s="41"/>
      <c r="R4" s="41"/>
      <c r="S4" s="41"/>
    </row>
    <row r="5" spans="1:19">
      <c r="A5" s="31">
        <v>1973</v>
      </c>
      <c r="B5" s="41">
        <v>-0.14401331472088769</v>
      </c>
      <c r="C5" s="41">
        <v>-4.1475709193550814E-2</v>
      </c>
      <c r="D5" s="42">
        <v>-0.10991620533027384</v>
      </c>
      <c r="E5" s="42">
        <v>-7.0580653982137018E-2</v>
      </c>
      <c r="F5" s="42">
        <v>-2.4580820307558229E-2</v>
      </c>
      <c r="G5" s="42">
        <v>-7.0866555609838594E-2</v>
      </c>
      <c r="H5" s="41">
        <v>-5.7169296173137728E-2</v>
      </c>
      <c r="I5" s="41">
        <v>-9.5069216056506312E-2</v>
      </c>
      <c r="J5" s="41">
        <v>-4.9934175400060433E-2</v>
      </c>
      <c r="K5" s="41">
        <v>-7.7765945426318109E-2</v>
      </c>
      <c r="L5" s="41">
        <v>-4.7891665895831985E-2</v>
      </c>
      <c r="M5" s="41">
        <v>-4.7992176642752994E-2</v>
      </c>
      <c r="N5" s="41">
        <v>-8.2597538804047133E-2</v>
      </c>
      <c r="O5" s="41">
        <v>-4.2898447408134616E-2</v>
      </c>
      <c r="P5" s="41"/>
      <c r="Q5" s="41"/>
      <c r="R5" s="41"/>
      <c r="S5" s="41"/>
    </row>
    <row r="6" spans="1:19">
      <c r="A6" s="31">
        <v>1974</v>
      </c>
      <c r="B6" s="41">
        <v>7.4335102560628377E-2</v>
      </c>
      <c r="C6" s="41">
        <v>8.2844167413769015E-2</v>
      </c>
      <c r="D6" s="42">
        <v>7.826764353200287E-2</v>
      </c>
      <c r="E6" s="42">
        <v>8.0144630176848322E-2</v>
      </c>
      <c r="F6" s="42">
        <v>8.4725508984981712E-2</v>
      </c>
      <c r="G6" s="42">
        <v>8.0679109456931228E-2</v>
      </c>
      <c r="H6" s="41">
        <v>8.1860721151964549E-2</v>
      </c>
      <c r="I6" s="41">
        <v>8.0169067161593416E-2</v>
      </c>
      <c r="J6" s="41">
        <v>8.1624574096828467E-2</v>
      </c>
      <c r="K6" s="41">
        <v>7.899268820572912E-2</v>
      </c>
      <c r="L6" s="41">
        <v>8.2197209649413558E-2</v>
      </c>
      <c r="M6" s="41">
        <v>8.1659079481400887E-2</v>
      </c>
      <c r="N6" s="41">
        <v>7.8713154931875584E-2</v>
      </c>
      <c r="O6" s="41">
        <v>8.3203321440420475E-2</v>
      </c>
      <c r="P6" s="41"/>
      <c r="Q6" s="41"/>
      <c r="R6" s="41"/>
      <c r="S6" s="41"/>
    </row>
    <row r="7" spans="1:19">
      <c r="A7" s="31">
        <v>1975</v>
      </c>
      <c r="B7" s="41">
        <v>0.35798277983305421</v>
      </c>
      <c r="C7" s="41">
        <v>0.23180629742851239</v>
      </c>
      <c r="D7" s="42">
        <v>0.31859839380105404</v>
      </c>
      <c r="E7" s="42">
        <v>0.26158512919019589</v>
      </c>
      <c r="F7" s="42">
        <v>0.21300974809584414</v>
      </c>
      <c r="G7" s="42">
        <v>0.26667091617602479</v>
      </c>
      <c r="H7" s="41">
        <v>0.24985796569624599</v>
      </c>
      <c r="I7" s="41">
        <v>0.29609757171579387</v>
      </c>
      <c r="J7" s="41">
        <v>0.2389086558248438</v>
      </c>
      <c r="K7" s="41">
        <v>0.27070025583019747</v>
      </c>
      <c r="L7" s="41">
        <v>0.23682251870719065</v>
      </c>
      <c r="M7" s="41">
        <v>0.2370084902505655</v>
      </c>
      <c r="N7" s="41">
        <v>0.27565975133224402</v>
      </c>
      <c r="O7" s="41">
        <v>0.23835275065451972</v>
      </c>
      <c r="P7" s="41"/>
      <c r="Q7" s="41"/>
      <c r="R7" s="41"/>
      <c r="S7" s="41"/>
    </row>
    <row r="8" spans="1:19">
      <c r="A8" s="31">
        <v>1976</v>
      </c>
      <c r="B8" s="41">
        <v>0.25003024754028769</v>
      </c>
      <c r="C8" s="41">
        <v>0.17521907174637974</v>
      </c>
      <c r="D8" s="42">
        <v>0.22818468137995968</v>
      </c>
      <c r="E8" s="42">
        <v>0.19328881370511311</v>
      </c>
      <c r="F8" s="42">
        <v>0.16254123603477705</v>
      </c>
      <c r="G8" s="42">
        <v>0.19721390741122757</v>
      </c>
      <c r="H8" s="41">
        <v>0.18644827362174413</v>
      </c>
      <c r="I8" s="41">
        <v>0.21426836678843264</v>
      </c>
      <c r="J8" s="41">
        <v>0.17942085399186938</v>
      </c>
      <c r="K8" s="41">
        <v>0.19948663550590864</v>
      </c>
      <c r="L8" s="41">
        <v>0.17777493603413902</v>
      </c>
      <c r="M8" s="41">
        <v>0.17840123579425096</v>
      </c>
      <c r="N8" s="41">
        <v>0.20204605499551279</v>
      </c>
      <c r="O8" s="41">
        <v>0.18013626093828841</v>
      </c>
      <c r="P8" s="41"/>
      <c r="Q8" s="41"/>
      <c r="R8" s="41"/>
      <c r="S8" s="41"/>
    </row>
    <row r="9" spans="1:19">
      <c r="A9" s="31">
        <v>1977</v>
      </c>
      <c r="B9" s="41">
        <v>5.2470633071994018E-2</v>
      </c>
      <c r="C9" s="41">
        <v>0.10774734464199882</v>
      </c>
      <c r="D9" s="42">
        <v>7.8489276687786019E-2</v>
      </c>
      <c r="E9" s="42">
        <v>8.7684172323857779E-2</v>
      </c>
      <c r="F9" s="42">
        <v>0.1143757939199213</v>
      </c>
      <c r="G9" s="42">
        <v>9.5340590258276459E-2</v>
      </c>
      <c r="H9" s="41">
        <v>0.100445319110246</v>
      </c>
      <c r="I9" s="41">
        <v>7.853500246782745E-2</v>
      </c>
      <c r="J9" s="41">
        <v>0.10060834601896702</v>
      </c>
      <c r="K9" s="41">
        <v>8.6862133120727325E-2</v>
      </c>
      <c r="L9" s="41">
        <v>0.10157562275817256</v>
      </c>
      <c r="M9" s="41">
        <v>0.10249111117645868</v>
      </c>
      <c r="N9" s="41">
        <v>8.2392310569796817E-2</v>
      </c>
      <c r="O9" s="41">
        <v>0.1150987275683342</v>
      </c>
      <c r="P9" s="41"/>
      <c r="Q9" s="41"/>
      <c r="R9" s="41"/>
      <c r="S9" s="41"/>
    </row>
    <row r="10" spans="1:19">
      <c r="A10" s="31">
        <v>1978</v>
      </c>
      <c r="B10" s="41">
        <v>0.18784236750282959</v>
      </c>
      <c r="C10" s="41">
        <v>9.5043690028747727E-2</v>
      </c>
      <c r="D10" s="42">
        <v>0.15312383789488232</v>
      </c>
      <c r="E10" s="42">
        <v>0.12182042817343575</v>
      </c>
      <c r="F10" s="42">
        <v>8.1656146780976491E-2</v>
      </c>
      <c r="G10" s="42">
        <v>0.11918149321264632</v>
      </c>
      <c r="H10" s="41">
        <v>0.10809822982474049</v>
      </c>
      <c r="I10" s="41">
        <v>0.14352372716450626</v>
      </c>
      <c r="J10" s="41">
        <v>0.10287474435837493</v>
      </c>
      <c r="K10" s="41">
        <v>0.12665273892034201</v>
      </c>
      <c r="L10" s="41">
        <v>0.10114439055630105</v>
      </c>
      <c r="M10" s="41">
        <v>0.10083064769679394</v>
      </c>
      <c r="N10" s="41">
        <v>0.1317548979672703</v>
      </c>
      <c r="O10" s="41">
        <v>9.3632812740304203E-2</v>
      </c>
      <c r="P10" s="41"/>
      <c r="Q10" s="41"/>
      <c r="R10" s="41"/>
      <c r="S10" s="41"/>
    </row>
    <row r="11" spans="1:19">
      <c r="A11" s="31">
        <v>1979</v>
      </c>
      <c r="B11" s="41">
        <v>-5.0850424936298003E-2</v>
      </c>
      <c r="C11" s="41">
        <v>-2.0796198946977172E-2</v>
      </c>
      <c r="D11" s="42">
        <v>-4.149035734603744E-2</v>
      </c>
      <c r="E11" s="42">
        <v>-2.8741635985004295E-2</v>
      </c>
      <c r="F11" s="42">
        <v>-1.6049296689065778E-2</v>
      </c>
      <c r="G11" s="42">
        <v>-2.9996352247605305E-2</v>
      </c>
      <c r="H11" s="41">
        <v>-2.5737762629174175E-2</v>
      </c>
      <c r="I11" s="41">
        <v>-3.6812069473937614E-2</v>
      </c>
      <c r="J11" s="41">
        <v>-2.2824465718216565E-2</v>
      </c>
      <c r="K11" s="41">
        <v>-3.1108287907989734E-2</v>
      </c>
      <c r="L11" s="41">
        <v>-2.2556506035225805E-2</v>
      </c>
      <c r="M11" s="41">
        <v>-2.2316622031858524E-2</v>
      </c>
      <c r="N11" s="41">
        <v>-3.2247687005086262E-2</v>
      </c>
      <c r="O11" s="41">
        <v>-2.2007202151342938E-2</v>
      </c>
      <c r="P11" s="41"/>
      <c r="Q11" s="41"/>
      <c r="R11" s="41"/>
      <c r="S11" s="41"/>
    </row>
    <row r="12" spans="1:19">
      <c r="A12" s="31">
        <v>1980</v>
      </c>
      <c r="B12" s="41">
        <v>-4.339104558743663E-2</v>
      </c>
      <c r="C12" s="41">
        <v>-2.9976512943740642E-3</v>
      </c>
      <c r="D12" s="42">
        <v>-3.1341605862337377E-2</v>
      </c>
      <c r="E12" s="42">
        <v>-1.3409511415128408E-2</v>
      </c>
      <c r="F12" s="42">
        <v>4.5078301129905353E-3</v>
      </c>
      <c r="G12" s="42">
        <v>-1.5400723510156717E-2</v>
      </c>
      <c r="H12" s="41">
        <v>-9.3469510140024095E-3</v>
      </c>
      <c r="I12" s="41">
        <v>-2.3355841479853451E-2</v>
      </c>
      <c r="J12" s="41">
        <v>-5.8247435563936623E-3</v>
      </c>
      <c r="K12" s="41">
        <v>-1.7311696545838688E-2</v>
      </c>
      <c r="L12" s="41">
        <v>-4.8173953393741177E-3</v>
      </c>
      <c r="M12" s="41">
        <v>-5.3440165232140017E-3</v>
      </c>
      <c r="N12" s="41">
        <v>-1.8598936591616894E-2</v>
      </c>
      <c r="O12" s="41">
        <v>-5.4326038143141988E-3</v>
      </c>
      <c r="P12" s="41"/>
      <c r="Q12" s="41"/>
      <c r="R12" s="41"/>
      <c r="S12" s="41"/>
    </row>
    <row r="13" spans="1:19">
      <c r="A13" s="31">
        <v>1981</v>
      </c>
      <c r="B13" s="41">
        <v>7.6150836008006366E-3</v>
      </c>
      <c r="C13" s="41">
        <v>3.1714852718340125E-2</v>
      </c>
      <c r="D13" s="42">
        <v>1.4952100790947572E-2</v>
      </c>
      <c r="E13" s="42">
        <v>2.5745666608807179E-2</v>
      </c>
      <c r="F13" s="42">
        <v>3.6117243998470716E-2</v>
      </c>
      <c r="G13" s="42">
        <v>2.4316518724625195E-2</v>
      </c>
      <c r="H13" s="41">
        <v>2.7970566882863101E-2</v>
      </c>
      <c r="I13" s="41">
        <v>2.0224830182125564E-2</v>
      </c>
      <c r="J13" s="41">
        <v>3.0037676029684428E-2</v>
      </c>
      <c r="K13" s="41">
        <v>2.3184700149037639E-2</v>
      </c>
      <c r="L13" s="41">
        <v>3.061186807846741E-2</v>
      </c>
      <c r="M13" s="41">
        <v>3.0260673492721664E-2</v>
      </c>
      <c r="N13" s="41">
        <v>2.2534218734771991E-2</v>
      </c>
      <c r="O13" s="41">
        <v>3.0153728658947766E-2</v>
      </c>
      <c r="P13" s="41"/>
      <c r="Q13" s="41"/>
      <c r="R13" s="41"/>
      <c r="S13" s="41"/>
    </row>
    <row r="14" spans="1:19">
      <c r="A14" s="31">
        <v>1982</v>
      </c>
      <c r="B14" s="41">
        <v>0.41975758838984317</v>
      </c>
      <c r="C14" s="41">
        <v>0.27851160476463943</v>
      </c>
      <c r="D14" s="42">
        <v>0.37612261762178056</v>
      </c>
      <c r="E14" s="42">
        <v>0.31279720765998592</v>
      </c>
      <c r="F14" s="42">
        <v>0.25667887387881749</v>
      </c>
      <c r="G14" s="42">
        <v>0.31880642039370954</v>
      </c>
      <c r="H14" s="41">
        <v>0.29942799877748044</v>
      </c>
      <c r="I14" s="41">
        <v>0.3518985662768282</v>
      </c>
      <c r="J14" s="41">
        <v>0.28669333845555983</v>
      </c>
      <c r="K14" s="41">
        <v>0.32347636344208064</v>
      </c>
      <c r="L14" s="41">
        <v>0.2843589971043568</v>
      </c>
      <c r="M14" s="41">
        <v>0.284583544641413</v>
      </c>
      <c r="N14" s="41">
        <v>0.32873060583342101</v>
      </c>
      <c r="O14" s="41">
        <v>0.28571770492385595</v>
      </c>
      <c r="P14" s="41"/>
      <c r="Q14" s="41"/>
      <c r="R14" s="41"/>
      <c r="S14" s="41"/>
    </row>
    <row r="15" spans="1:19">
      <c r="A15" s="31">
        <v>1983</v>
      </c>
      <c r="B15" s="41">
        <v>3.8004447921266248E-2</v>
      </c>
      <c r="C15" s="41">
        <v>4.407265927542714E-2</v>
      </c>
      <c r="D15" s="42">
        <v>3.9480686998176112E-2</v>
      </c>
      <c r="E15" s="42">
        <v>4.2510712045494253E-2</v>
      </c>
      <c r="F15" s="42">
        <v>4.5796297047102065E-2</v>
      </c>
      <c r="G15" s="42">
        <v>4.1780737619876385E-2</v>
      </c>
      <c r="H15" s="41">
        <v>4.297091571884027E-2</v>
      </c>
      <c r="I15" s="41">
        <v>4.1735836367736014E-2</v>
      </c>
      <c r="J15" s="41">
        <v>4.347782939724943E-2</v>
      </c>
      <c r="K15" s="41">
        <v>4.1311151739751556E-2</v>
      </c>
      <c r="L15" s="41">
        <v>4.3772886464413165E-2</v>
      </c>
      <c r="M15" s="41">
        <v>4.3408179010810941E-2</v>
      </c>
      <c r="N15" s="41">
        <v>4.1334255517518008E-2</v>
      </c>
      <c r="O15" s="41">
        <v>4.3246403190147921E-2</v>
      </c>
      <c r="P15" s="41"/>
      <c r="Q15" s="41"/>
      <c r="R15" s="41"/>
      <c r="S15" s="41"/>
    </row>
    <row r="16" spans="1:19">
      <c r="A16" s="31">
        <v>1984</v>
      </c>
      <c r="B16" s="41">
        <v>5.1920645511186525E-2</v>
      </c>
      <c r="C16" s="41">
        <v>9.8384264819260034E-2</v>
      </c>
      <c r="D16" s="42">
        <v>7.3191705285604869E-2</v>
      </c>
      <c r="E16" s="42">
        <v>8.2129504544311199E-2</v>
      </c>
      <c r="F16" s="42">
        <v>0.10442226844006956</v>
      </c>
      <c r="G16" s="42">
        <v>8.7525763609622165E-2</v>
      </c>
      <c r="H16" s="41">
        <v>9.2200522251043429E-2</v>
      </c>
      <c r="I16" s="41">
        <v>7.4544540667012896E-2</v>
      </c>
      <c r="J16" s="41">
        <v>9.2584881595818222E-2</v>
      </c>
      <c r="K16" s="41">
        <v>8.064264706810359E-2</v>
      </c>
      <c r="L16" s="41">
        <v>9.3546171044759194E-2</v>
      </c>
      <c r="M16" s="41">
        <v>9.3942741694448245E-2</v>
      </c>
      <c r="N16" s="41">
        <v>7.7353945737172955E-2</v>
      </c>
      <c r="O16" s="41">
        <v>0.10368139744345264</v>
      </c>
      <c r="P16" s="41"/>
      <c r="Q16" s="41"/>
      <c r="R16" s="41"/>
      <c r="S16" s="41"/>
    </row>
    <row r="17" spans="1:19">
      <c r="A17" s="31">
        <v>1985</v>
      </c>
      <c r="B17" s="41">
        <v>0.18041082708114836</v>
      </c>
      <c r="C17" s="41">
        <v>0.13377908542821065</v>
      </c>
      <c r="D17" s="42">
        <v>0.16714407948669072</v>
      </c>
      <c r="E17" s="42">
        <v>0.14527128488435703</v>
      </c>
      <c r="F17" s="42">
        <v>0.1256788877550698</v>
      </c>
      <c r="G17" s="42">
        <v>0.14780078377305292</v>
      </c>
      <c r="H17" s="41">
        <v>0.14101740343958566</v>
      </c>
      <c r="I17" s="41">
        <v>0.15857905820608684</v>
      </c>
      <c r="J17" s="41">
        <v>0.13644374690694194</v>
      </c>
      <c r="K17" s="41">
        <v>0.14913686649245059</v>
      </c>
      <c r="L17" s="41">
        <v>0.13547386543728082</v>
      </c>
      <c r="M17" s="41">
        <v>0.13578768953017253</v>
      </c>
      <c r="N17" s="41">
        <v>0.15077828269944865</v>
      </c>
      <c r="O17" s="41">
        <v>0.13699970744164636</v>
      </c>
      <c r="P17" s="41"/>
      <c r="Q17" s="41"/>
      <c r="R17" s="41"/>
      <c r="S17" s="41"/>
    </row>
    <row r="18" spans="1:19">
      <c r="A18" s="31">
        <v>1986</v>
      </c>
      <c r="B18" s="41">
        <v>0.12678806325539518</v>
      </c>
      <c r="C18" s="41">
        <v>0.10258397864433814</v>
      </c>
      <c r="D18" s="42">
        <v>0.1208580669429847</v>
      </c>
      <c r="E18" s="42">
        <v>0.10825950365389077</v>
      </c>
      <c r="F18" s="42">
        <v>9.7954839398708374E-2</v>
      </c>
      <c r="G18" s="42">
        <v>0.11033737136356433</v>
      </c>
      <c r="H18" s="41">
        <v>0.10653481981224279</v>
      </c>
      <c r="I18" s="41">
        <v>0.11574699410144211</v>
      </c>
      <c r="J18" s="41">
        <v>0.10372411608504355</v>
      </c>
      <c r="K18" s="41">
        <v>0.11055117347660726</v>
      </c>
      <c r="L18" s="41">
        <v>0.10316522906214545</v>
      </c>
      <c r="M18" s="41">
        <v>0.10344892147367844</v>
      </c>
      <c r="N18" s="41">
        <v>0.11123422755454583</v>
      </c>
      <c r="O18" s="41">
        <v>0.1051147522266867</v>
      </c>
      <c r="P18" s="41"/>
      <c r="Q18" s="41"/>
      <c r="R18" s="41"/>
      <c r="S18" s="41"/>
    </row>
    <row r="19" spans="1:19">
      <c r="A19" s="31">
        <v>1987</v>
      </c>
      <c r="B19" s="41">
        <v>-0.11862790685234349</v>
      </c>
      <c r="C19" s="41">
        <v>-1.9856700664953226E-2</v>
      </c>
      <c r="D19" s="42">
        <v>-8.3616530112209334E-2</v>
      </c>
      <c r="E19" s="42">
        <v>-5.041172584702238E-2</v>
      </c>
      <c r="F19" s="42">
        <v>-3.2836889768743248E-3</v>
      </c>
      <c r="G19" s="42">
        <v>-4.7429259554099518E-2</v>
      </c>
      <c r="H19" s="41">
        <v>-3.481480800836665E-2</v>
      </c>
      <c r="I19" s="41">
        <v>-7.2361774291477762E-2</v>
      </c>
      <c r="J19" s="41">
        <v>-2.9331736005909596E-2</v>
      </c>
      <c r="K19" s="41">
        <v>-5.6326223000748694E-2</v>
      </c>
      <c r="L19" s="41">
        <v>-2.7007815146674066E-2</v>
      </c>
      <c r="M19" s="41">
        <v>-2.7118451593171992E-2</v>
      </c>
      <c r="N19" s="41">
        <v>-6.1781518056136769E-2</v>
      </c>
      <c r="O19" s="41">
        <v>-1.8411899876544902E-2</v>
      </c>
      <c r="P19" s="41"/>
      <c r="Q19" s="41"/>
      <c r="R19" s="41"/>
      <c r="S19" s="41"/>
    </row>
    <row r="20" spans="1:19">
      <c r="A20" s="31">
        <v>1988</v>
      </c>
      <c r="B20" s="41">
        <v>0.24909746255094548</v>
      </c>
      <c r="C20" s="41">
        <v>0.13144538402802955</v>
      </c>
      <c r="D20" s="42">
        <v>0.20808029037589021</v>
      </c>
      <c r="E20" s="42">
        <v>0.16336428438059161</v>
      </c>
      <c r="F20" s="42">
        <v>0.11292677070484289</v>
      </c>
      <c r="G20" s="42">
        <v>0.16297839527235686</v>
      </c>
      <c r="H20" s="41">
        <v>0.1480080313935393</v>
      </c>
      <c r="I20" s="41">
        <v>0.19109895414671549</v>
      </c>
      <c r="J20" s="41">
        <v>0.14056515358276003</v>
      </c>
      <c r="K20" s="41">
        <v>0.17119614966907157</v>
      </c>
      <c r="L20" s="41">
        <v>0.13782492522129963</v>
      </c>
      <c r="M20" s="41">
        <v>0.13847119784963821</v>
      </c>
      <c r="N20" s="41">
        <v>0.17685832439455029</v>
      </c>
      <c r="O20" s="41">
        <v>0.1332254849253289</v>
      </c>
      <c r="P20" s="41"/>
      <c r="Q20" s="41"/>
      <c r="R20" s="41"/>
      <c r="S20" s="41"/>
    </row>
    <row r="21" spans="1:19">
      <c r="A21" s="31">
        <v>1989</v>
      </c>
      <c r="B21" s="41">
        <v>0.11567419329872546</v>
      </c>
      <c r="C21" s="41">
        <v>5.4409508832732337E-2</v>
      </c>
      <c r="D21" s="42">
        <v>9.1248290206637786E-2</v>
      </c>
      <c r="E21" s="42">
        <v>7.3165830354102207E-2</v>
      </c>
      <c r="F21" s="42">
        <v>4.5833471556555011E-2</v>
      </c>
      <c r="G21" s="42">
        <v>6.9792913682056354E-2</v>
      </c>
      <c r="H21" s="41">
        <v>6.2802597472613311E-2</v>
      </c>
      <c r="I21" s="41">
        <v>8.6766007343757362E-2</v>
      </c>
      <c r="J21" s="41">
        <v>6.0162947281216773E-2</v>
      </c>
      <c r="K21" s="41">
        <v>7.5890591913565855E-2</v>
      </c>
      <c r="L21" s="41">
        <v>5.8901387355414031E-2</v>
      </c>
      <c r="M21" s="41">
        <v>5.8673497267818023E-2</v>
      </c>
      <c r="N21" s="41">
        <v>7.9477185116340804E-2</v>
      </c>
      <c r="O21" s="41">
        <v>5.1621925865975887E-2</v>
      </c>
      <c r="P21" s="41"/>
      <c r="Q21" s="41"/>
      <c r="R21" s="41"/>
      <c r="S21" s="41"/>
    </row>
    <row r="22" spans="1:19">
      <c r="A22" s="31">
        <v>1990</v>
      </c>
      <c r="B22" s="41">
        <v>-0.13837702738110907</v>
      </c>
      <c r="C22" s="41">
        <v>-5.7661536619125479E-2</v>
      </c>
      <c r="D22" s="42">
        <v>-0.11318041070515426</v>
      </c>
      <c r="E22" s="42">
        <v>-8.0237447917429261E-2</v>
      </c>
      <c r="F22" s="42">
        <v>-4.3073304712776456E-2</v>
      </c>
      <c r="G22" s="42">
        <v>-8.2187900646750175E-2</v>
      </c>
      <c r="H22" s="41">
        <v>-7.0550466824451069E-2</v>
      </c>
      <c r="I22" s="41">
        <v>-0.10028729922590163</v>
      </c>
      <c r="J22" s="41">
        <v>-6.3985459935305827E-2</v>
      </c>
      <c r="K22" s="41">
        <v>-8.6963977310119261E-2</v>
      </c>
      <c r="L22" s="41">
        <v>-6.2148962457637083E-2</v>
      </c>
      <c r="M22" s="41">
        <v>-6.2691924108066607E-2</v>
      </c>
      <c r="N22" s="41">
        <v>-9.009798748751989E-2</v>
      </c>
      <c r="O22" s="41">
        <v>-6.0343002275784978E-2</v>
      </c>
      <c r="P22" s="41"/>
      <c r="Q22" s="41"/>
      <c r="R22" s="41"/>
      <c r="S22" s="41"/>
    </row>
    <row r="23" spans="1:19">
      <c r="A23" s="31">
        <v>1991</v>
      </c>
      <c r="B23" s="41">
        <v>0.32071418471253782</v>
      </c>
      <c r="C23" s="41">
        <v>0.19429548099011404</v>
      </c>
      <c r="D23" s="42">
        <v>0.27739212811352498</v>
      </c>
      <c r="E23" s="42">
        <v>0.22789062326086221</v>
      </c>
      <c r="F23" s="42">
        <v>0.17506844949301467</v>
      </c>
      <c r="G23" s="42">
        <v>0.22891740342458117</v>
      </c>
      <c r="H23" s="41">
        <v>0.21245380615514417</v>
      </c>
      <c r="I23" s="41">
        <v>0.26004651227315073</v>
      </c>
      <c r="J23" s="41">
        <v>0.20332028876104297</v>
      </c>
      <c r="K23" s="41">
        <v>0.23641737810275631</v>
      </c>
      <c r="L23" s="41">
        <v>0.20083535169041769</v>
      </c>
      <c r="M23" s="41">
        <v>0.20110067537868234</v>
      </c>
      <c r="N23" s="41">
        <v>0.24186299120360755</v>
      </c>
      <c r="O23" s="41">
        <v>0.19635465727286125</v>
      </c>
      <c r="P23" s="41"/>
      <c r="Q23" s="41"/>
      <c r="R23" s="41"/>
      <c r="S23" s="41"/>
    </row>
    <row r="24" spans="1:19">
      <c r="A24" s="31">
        <v>1992</v>
      </c>
      <c r="B24" s="41">
        <v>8.4707896217733725E-2</v>
      </c>
      <c r="C24" s="41">
        <v>0.11702038901327662</v>
      </c>
      <c r="D24" s="42">
        <v>0.1009210252423499</v>
      </c>
      <c r="E24" s="42">
        <v>0.1052070390359266</v>
      </c>
      <c r="F24" s="42">
        <v>0.12083631018653078</v>
      </c>
      <c r="G24" s="42">
        <v>0.10997528670788773</v>
      </c>
      <c r="H24" s="41">
        <v>0.11299109896439656</v>
      </c>
      <c r="I24" s="41">
        <v>0.10073467219680457</v>
      </c>
      <c r="J24" s="41">
        <v>0.11262225395341664</v>
      </c>
      <c r="K24" s="41">
        <v>0.1043764176544193</v>
      </c>
      <c r="L24" s="41">
        <v>0.11334796141352048</v>
      </c>
      <c r="M24" s="41">
        <v>0.11362535007897233</v>
      </c>
      <c r="N24" s="41">
        <v>0.10204437313393121</v>
      </c>
      <c r="O24" s="41">
        <v>0.12209808633559716</v>
      </c>
      <c r="P24" s="41"/>
      <c r="Q24" s="41"/>
      <c r="R24" s="41"/>
      <c r="S24" s="41"/>
    </row>
    <row r="25" spans="1:19">
      <c r="A25" s="31">
        <v>1993</v>
      </c>
      <c r="B25" s="41">
        <v>0.14813391040047191</v>
      </c>
      <c r="C25" s="41">
        <v>0.14871336447935898</v>
      </c>
      <c r="D25" s="42">
        <v>0.15423931319354553</v>
      </c>
      <c r="E25" s="42">
        <v>0.1456646156369176</v>
      </c>
      <c r="F25" s="42">
        <v>0.14697577415460517</v>
      </c>
      <c r="G25" s="42">
        <v>0.15121529262555655</v>
      </c>
      <c r="H25" s="41">
        <v>0.14968396556219282</v>
      </c>
      <c r="I25" s="41">
        <v>0.14905911614843581</v>
      </c>
      <c r="J25" s="41">
        <v>0.14678367339196677</v>
      </c>
      <c r="K25" s="41">
        <v>0.14755298171282324</v>
      </c>
      <c r="L25" s="41">
        <v>0.1468079078833926</v>
      </c>
      <c r="M25" s="41">
        <v>0.14731394884404658</v>
      </c>
      <c r="N25" s="41">
        <v>0.14634842122695962</v>
      </c>
      <c r="O25" s="41">
        <v>0.15464333172715694</v>
      </c>
      <c r="P25" s="41"/>
      <c r="Q25" s="41"/>
      <c r="R25" s="41"/>
      <c r="S25" s="41"/>
    </row>
    <row r="26" spans="1:19">
      <c r="A26" s="31">
        <v>1994</v>
      </c>
      <c r="B26" s="41">
        <v>-9.5304024086349762E-2</v>
      </c>
      <c r="C26" s="41">
        <v>-6.2614306737250713E-2</v>
      </c>
      <c r="D26" s="42">
        <v>-8.8387445230913977E-2</v>
      </c>
      <c r="E26" s="42">
        <v>-6.9955115719284408E-2</v>
      </c>
      <c r="F26" s="42">
        <v>-5.5088168530383418E-2</v>
      </c>
      <c r="G26" s="42">
        <v>-7.4123588751683789E-2</v>
      </c>
      <c r="H26" s="41">
        <v>-6.83053349214338E-2</v>
      </c>
      <c r="I26" s="41">
        <v>-7.9229413143739727E-2</v>
      </c>
      <c r="J26" s="41">
        <v>-6.4213678596358834E-2</v>
      </c>
      <c r="K26" s="41">
        <v>-7.4318280774796214E-2</v>
      </c>
      <c r="L26" s="41">
        <v>-6.3177271032097984E-2</v>
      </c>
      <c r="M26" s="41">
        <v>-6.4127994099096225E-2</v>
      </c>
      <c r="N26" s="41">
        <v>-7.4727036875690073E-2</v>
      </c>
      <c r="O26" s="41">
        <v>-6.7459097980156674E-2</v>
      </c>
      <c r="P26" s="41"/>
      <c r="Q26" s="41"/>
      <c r="R26" s="41"/>
      <c r="S26" s="41"/>
    </row>
    <row r="27" spans="1:19">
      <c r="A27" s="31">
        <v>1995</v>
      </c>
      <c r="B27" s="41">
        <v>0.32083809215431952</v>
      </c>
      <c r="C27" s="41">
        <v>0.23528181217160088</v>
      </c>
      <c r="D27" s="42">
        <v>0.29771746325740039</v>
      </c>
      <c r="E27" s="42">
        <v>0.25561170440615988</v>
      </c>
      <c r="F27" s="42">
        <v>0.2200974092541364</v>
      </c>
      <c r="G27" s="42">
        <v>0.2618726695461755</v>
      </c>
      <c r="H27" s="41">
        <v>0.24891038260197323</v>
      </c>
      <c r="I27" s="41">
        <v>0.28076398828181098</v>
      </c>
      <c r="J27" s="41">
        <v>0.23969271848149809</v>
      </c>
      <c r="K27" s="41">
        <v>0.2633743210805255</v>
      </c>
      <c r="L27" s="41">
        <v>0.23801185724579915</v>
      </c>
      <c r="M27" s="41">
        <v>0.23864162982198189</v>
      </c>
      <c r="N27" s="41">
        <v>0.26590992432261568</v>
      </c>
      <c r="O27" s="41">
        <v>0.24249788794507915</v>
      </c>
      <c r="P27" s="41"/>
      <c r="Q27" s="41"/>
      <c r="R27" s="41"/>
      <c r="S27" s="41"/>
    </row>
    <row r="28" spans="1:19">
      <c r="A28" s="31">
        <v>1996</v>
      </c>
      <c r="B28" s="41">
        <v>0.10192119666240192</v>
      </c>
      <c r="C28" s="41">
        <v>8.4535212845127189E-2</v>
      </c>
      <c r="D28" s="42">
        <v>9.7856560748573074E-2</v>
      </c>
      <c r="E28" s="42">
        <v>8.8539174703583801E-2</v>
      </c>
      <c r="F28" s="42">
        <v>8.1151778499522209E-2</v>
      </c>
      <c r="G28" s="42">
        <v>9.0260243563883388E-2</v>
      </c>
      <c r="H28" s="41">
        <v>8.7442843853889535E-2</v>
      </c>
      <c r="I28" s="41">
        <v>9.4230156117698638E-2</v>
      </c>
      <c r="J28" s="41">
        <v>8.5232651723281483E-2</v>
      </c>
      <c r="K28" s="41">
        <v>9.0199150816194215E-2</v>
      </c>
      <c r="L28" s="41">
        <v>8.4843920982430862E-2</v>
      </c>
      <c r="M28" s="41">
        <v>8.5025082398728802E-2</v>
      </c>
      <c r="N28" s="41">
        <v>9.0642146548458105E-2</v>
      </c>
      <c r="O28" s="41">
        <v>8.6539715996348229E-2</v>
      </c>
      <c r="P28" s="41"/>
      <c r="Q28" s="41"/>
      <c r="R28" s="41"/>
      <c r="S28" s="41"/>
    </row>
    <row r="29" spans="1:19">
      <c r="A29" s="31">
        <v>1997</v>
      </c>
      <c r="B29" s="41">
        <v>0.20657574008456756</v>
      </c>
      <c r="C29" s="41">
        <v>0.12645935509971454</v>
      </c>
      <c r="D29" s="42">
        <v>0.17964095115342221</v>
      </c>
      <c r="E29" s="42">
        <v>0.14918911060487261</v>
      </c>
      <c r="F29" s="42">
        <v>0.112841169794148</v>
      </c>
      <c r="G29" s="42">
        <v>0.14957287052831167</v>
      </c>
      <c r="H29" s="41">
        <v>0.1386252861408111</v>
      </c>
      <c r="I29" s="41">
        <v>0.16910878421871042</v>
      </c>
      <c r="J29" s="41">
        <v>0.13279962136904935</v>
      </c>
      <c r="K29" s="41">
        <v>0.15504292499508454</v>
      </c>
      <c r="L29" s="41">
        <v>0.13089715788527131</v>
      </c>
      <c r="M29" s="41">
        <v>0.13136438522082694</v>
      </c>
      <c r="N29" s="41">
        <v>0.15841940975654975</v>
      </c>
      <c r="O29" s="41">
        <v>0.12757531774213415</v>
      </c>
      <c r="P29" s="41"/>
      <c r="Q29" s="41"/>
      <c r="R29" s="41"/>
      <c r="S29" s="41"/>
    </row>
    <row r="30" spans="1:19">
      <c r="A30" s="31">
        <v>1998</v>
      </c>
      <c r="B30" s="41">
        <v>0.3263218320598712</v>
      </c>
      <c r="C30" s="41">
        <v>0.20875557334352482</v>
      </c>
      <c r="D30" s="42">
        <v>0.28756385228483988</v>
      </c>
      <c r="E30" s="42">
        <v>0.24272860938201959</v>
      </c>
      <c r="F30" s="42">
        <v>0.18824914975612952</v>
      </c>
      <c r="G30" s="42">
        <v>0.2439347761004162</v>
      </c>
      <c r="H30" s="41">
        <v>0.22741644492257843</v>
      </c>
      <c r="I30" s="41">
        <v>0.27248433120946741</v>
      </c>
      <c r="J30" s="41">
        <v>0.21819610290106822</v>
      </c>
      <c r="K30" s="41">
        <v>0.25177562281725796</v>
      </c>
      <c r="L30" s="41">
        <v>0.21557944646339278</v>
      </c>
      <c r="M30" s="41">
        <v>0.21612136167230309</v>
      </c>
      <c r="N30" s="41">
        <v>0.25637506627574647</v>
      </c>
      <c r="O30" s="41">
        <v>0.21046441715754891</v>
      </c>
      <c r="P30" s="41"/>
      <c r="Q30" s="41"/>
      <c r="R30" s="41"/>
      <c r="S30" s="41"/>
    </row>
    <row r="31" spans="1:19">
      <c r="A31" s="31">
        <v>1999</v>
      </c>
      <c r="B31" s="41">
        <v>-0.12340004537929751</v>
      </c>
      <c r="C31" s="41">
        <v>-6.7668270198394942E-2</v>
      </c>
      <c r="D31" s="42">
        <v>-0.10565482534902054</v>
      </c>
      <c r="E31" s="42">
        <v>-8.4981364216988736E-2</v>
      </c>
      <c r="F31" s="42">
        <v>-5.6861051692709261E-2</v>
      </c>
      <c r="G31" s="42">
        <v>-8.5316207794367868E-2</v>
      </c>
      <c r="H31" s="41">
        <v>-7.71421939682186E-2</v>
      </c>
      <c r="I31" s="41">
        <v>-9.8633017456912678E-2</v>
      </c>
      <c r="J31" s="41">
        <v>-7.2751202899791562E-2</v>
      </c>
      <c r="K31" s="41">
        <v>-8.9524234141945755E-2</v>
      </c>
      <c r="L31" s="41">
        <v>-7.1371142617684638E-2</v>
      </c>
      <c r="M31" s="41">
        <v>-7.1721871163557313E-2</v>
      </c>
      <c r="N31" s="41">
        <v>-9.1714717914901558E-2</v>
      </c>
      <c r="O31" s="41">
        <v>-6.8188897699302614E-2</v>
      </c>
      <c r="P31" s="41"/>
      <c r="Q31" s="41"/>
      <c r="R31" s="41"/>
      <c r="S31" s="41"/>
    </row>
    <row r="32" spans="1:19">
      <c r="A32" s="31">
        <v>2000</v>
      </c>
      <c r="B32" s="41">
        <v>0.11417493730884958</v>
      </c>
      <c r="C32" s="41">
        <v>8.0733823485355294E-2</v>
      </c>
      <c r="D32" s="42">
        <v>0.1035661519068492</v>
      </c>
      <c r="E32" s="42">
        <v>9.0595813169451214E-2</v>
      </c>
      <c r="F32" s="42">
        <v>7.4444054473459961E-2</v>
      </c>
      <c r="G32" s="42">
        <v>9.0918987054939726E-2</v>
      </c>
      <c r="H32" s="41">
        <v>8.6103364176164821E-2</v>
      </c>
      <c r="I32" s="41">
        <v>9.9111425497319189E-2</v>
      </c>
      <c r="J32" s="41">
        <v>8.3492509814216589E-2</v>
      </c>
      <c r="K32" s="41">
        <v>9.3229675623584612E-2</v>
      </c>
      <c r="L32" s="41">
        <v>8.2575056286832579E-2</v>
      </c>
      <c r="M32" s="41">
        <v>8.2901314391189779E-2</v>
      </c>
      <c r="N32" s="41">
        <v>9.4551288671165107E-2</v>
      </c>
      <c r="O32" s="41">
        <v>8.1389396229040525E-2</v>
      </c>
      <c r="P32" s="41"/>
      <c r="Q32" s="41"/>
      <c r="R32" s="41"/>
      <c r="S32" s="41"/>
    </row>
    <row r="33" spans="1:19">
      <c r="A33" s="31">
        <v>2001</v>
      </c>
      <c r="B33" s="41">
        <v>0.11629346445744231</v>
      </c>
      <c r="C33" s="41">
        <v>9.7275280926120408E-2</v>
      </c>
      <c r="D33" s="42">
        <v>0.11112444422362043</v>
      </c>
      <c r="E33" s="42">
        <v>0.10238426584350221</v>
      </c>
      <c r="F33" s="42">
        <v>9.3861496979189052E-2</v>
      </c>
      <c r="G33" s="42">
        <v>0.10353752438795472</v>
      </c>
      <c r="H33" s="41">
        <v>0.1006294475562414</v>
      </c>
      <c r="I33" s="41">
        <v>0.10832885804061876</v>
      </c>
      <c r="J33" s="41">
        <v>9.838073898893275E-2</v>
      </c>
      <c r="K33" s="41">
        <v>0.10393201695466185</v>
      </c>
      <c r="L33" s="41">
        <v>9.8134765030090901E-2</v>
      </c>
      <c r="M33" s="41">
        <v>9.8053990658110768E-2</v>
      </c>
      <c r="N33" s="41">
        <v>0.10455240520912035</v>
      </c>
      <c r="O33" s="41">
        <v>9.8482022858097831E-2</v>
      </c>
      <c r="P33" s="41"/>
      <c r="Q33" s="41"/>
      <c r="R33" s="41"/>
      <c r="S33" s="41"/>
    </row>
    <row r="34" spans="1:19">
      <c r="A34" s="31">
        <v>2002</v>
      </c>
      <c r="B34" s="41">
        <v>8.8626046091799249E-2</v>
      </c>
      <c r="C34" s="41">
        <v>7.9484980397115823E-2</v>
      </c>
      <c r="D34" s="42">
        <v>8.7506723951058629E-2</v>
      </c>
      <c r="E34" s="42">
        <v>8.1537576045370763E-2</v>
      </c>
      <c r="F34" s="42">
        <v>7.7074019350568124E-2</v>
      </c>
      <c r="G34" s="42">
        <v>8.3157520313782304E-2</v>
      </c>
      <c r="H34" s="41">
        <v>8.1356136702756765E-2</v>
      </c>
      <c r="I34" s="41">
        <v>8.4953867883592576E-2</v>
      </c>
      <c r="J34" s="41">
        <v>7.9731057449040438E-2</v>
      </c>
      <c r="K34" s="41">
        <v>8.2729228734400556E-2</v>
      </c>
      <c r="L34" s="41">
        <v>7.9479823959172885E-2</v>
      </c>
      <c r="M34" s="41">
        <v>7.9675400090022969E-2</v>
      </c>
      <c r="N34" s="41">
        <v>8.2833031454093764E-2</v>
      </c>
      <c r="O34" s="41">
        <v>8.1422412925249071E-2</v>
      </c>
      <c r="P34" s="41"/>
      <c r="Q34" s="41"/>
      <c r="R34" s="41"/>
      <c r="S34" s="41"/>
    </row>
    <row r="35" spans="1:19">
      <c r="A35" s="31">
        <v>2003</v>
      </c>
      <c r="B35" s="41">
        <v>3.8971606158252507E-2</v>
      </c>
      <c r="C35" s="41">
        <v>3.8166235546964522E-2</v>
      </c>
      <c r="D35" s="42">
        <v>3.9201394561361486E-2</v>
      </c>
      <c r="E35" s="42">
        <v>3.8091375397633825E-2</v>
      </c>
      <c r="F35" s="42">
        <v>3.8004730209879885E-2</v>
      </c>
      <c r="G35" s="42">
        <v>3.8583275383061152E-2</v>
      </c>
      <c r="H35" s="41">
        <v>3.8369013181392825E-2</v>
      </c>
      <c r="I35" s="41">
        <v>3.8888845779555668E-2</v>
      </c>
      <c r="J35" s="41">
        <v>3.795830408183451E-2</v>
      </c>
      <c r="K35" s="41">
        <v>3.8177721140233233E-2</v>
      </c>
      <c r="L35" s="41">
        <v>3.7988026372995642E-2</v>
      </c>
      <c r="M35" s="41">
        <v>3.7952837878563364E-2</v>
      </c>
      <c r="N35" s="41">
        <v>3.8144625608058695E-2</v>
      </c>
      <c r="O35" s="41">
        <v>3.8692695045177618E-2</v>
      </c>
      <c r="P35" s="41"/>
      <c r="Q35" s="41"/>
      <c r="R35" s="41"/>
      <c r="S35" s="41"/>
    </row>
    <row r="36" spans="1:19">
      <c r="A36" s="31">
        <v>2004</v>
      </c>
      <c r="B36" s="41">
        <v>0.22390838803420515</v>
      </c>
      <c r="C36" s="41">
        <v>0.14293529199171096</v>
      </c>
      <c r="D36" s="42">
        <v>0.19651963981759468</v>
      </c>
      <c r="E36" s="42">
        <v>0.16738603106968183</v>
      </c>
      <c r="F36" s="42">
        <v>0.12878785661275136</v>
      </c>
      <c r="G36" s="42">
        <v>0.16737704637733089</v>
      </c>
      <c r="H36" s="41">
        <v>0.15603120196781123</v>
      </c>
      <c r="I36" s="41">
        <v>0.18756813109805925</v>
      </c>
      <c r="J36" s="41">
        <v>0.14990363180290647</v>
      </c>
      <c r="K36" s="41">
        <v>0.1734569349868709</v>
      </c>
      <c r="L36" s="41">
        <v>0.14811650029064186</v>
      </c>
      <c r="M36" s="41">
        <v>0.14836942109274973</v>
      </c>
      <c r="N36" s="41">
        <v>0.17663090190932479</v>
      </c>
      <c r="O36" s="41">
        <v>0.14282170970253524</v>
      </c>
      <c r="P36" s="41"/>
      <c r="Q36" s="41"/>
      <c r="R36" s="41"/>
      <c r="S36" s="41"/>
    </row>
    <row r="37" spans="1:19">
      <c r="A37" s="31">
        <v>2005</v>
      </c>
      <c r="B37" s="41">
        <v>0.15156096848623482</v>
      </c>
      <c r="C37" s="41">
        <v>9.0342617783065488E-2</v>
      </c>
      <c r="D37" s="42">
        <v>0.12955116299544062</v>
      </c>
      <c r="E37" s="42">
        <v>0.10976620076400576</v>
      </c>
      <c r="F37" s="42">
        <v>8.0102085250340058E-2</v>
      </c>
      <c r="G37" s="42">
        <v>0.10854017843599886</v>
      </c>
      <c r="H37" s="41">
        <v>0.10022331092406171</v>
      </c>
      <c r="I37" s="41">
        <v>0.12439353726622196</v>
      </c>
      <c r="J37" s="41">
        <v>9.6124946550889101E-2</v>
      </c>
      <c r="K37" s="41">
        <v>0.11404785369822727</v>
      </c>
      <c r="L37" s="41">
        <v>9.4824055696651713E-2</v>
      </c>
      <c r="M37" s="41">
        <v>9.4860938976441683E-2</v>
      </c>
      <c r="N37" s="41">
        <v>0.11649971084258422</v>
      </c>
      <c r="O37" s="41">
        <v>8.8481616777544778E-2</v>
      </c>
      <c r="P37" s="41"/>
      <c r="Q37" s="41"/>
      <c r="R37" s="41"/>
      <c r="S37" s="41"/>
    </row>
    <row r="38" spans="1:19">
      <c r="A38" s="31">
        <v>2006</v>
      </c>
      <c r="B38" s="41">
        <v>-9.3860849924563519E-2</v>
      </c>
      <c r="C38" s="41">
        <v>-5.275856364487181E-2</v>
      </c>
      <c r="D38" s="42">
        <v>-8.0128653260148119E-2</v>
      </c>
      <c r="E38" s="42">
        <v>-6.6018534029163564E-2</v>
      </c>
      <c r="F38" s="42">
        <v>-4.5261520331746449E-2</v>
      </c>
      <c r="G38" s="42">
        <v>-6.5840337787426886E-2</v>
      </c>
      <c r="H38" s="41">
        <v>-5.990881301100414E-2</v>
      </c>
      <c r="I38" s="41">
        <v>-7.6115246375965298E-2</v>
      </c>
      <c r="J38" s="41">
        <v>-5.668285907792317E-2</v>
      </c>
      <c r="K38" s="41">
        <v>-6.9206894190893833E-2</v>
      </c>
      <c r="L38" s="41">
        <v>-5.5857603645400149E-2</v>
      </c>
      <c r="M38" s="41">
        <v>-5.5856202829313334E-2</v>
      </c>
      <c r="N38" s="41">
        <v>-7.0738656543020681E-2</v>
      </c>
      <c r="O38" s="41">
        <v>-5.2086386671161299E-2</v>
      </c>
      <c r="P38" s="41"/>
      <c r="Q38" s="41"/>
      <c r="R38" s="41"/>
      <c r="S38" s="41"/>
    </row>
    <row r="39" spans="1:19">
      <c r="A39" s="31">
        <v>2007</v>
      </c>
      <c r="B39" s="41">
        <v>-8.129223372991265E-2</v>
      </c>
      <c r="C39" s="41">
        <v>-2.8513173660361504E-2</v>
      </c>
      <c r="D39" s="42">
        <v>-6.2436339215471606E-2</v>
      </c>
      <c r="E39" s="42">
        <v>-4.5650001813473097E-2</v>
      </c>
      <c r="F39" s="42">
        <v>-1.9576607768168455E-2</v>
      </c>
      <c r="G39" s="42">
        <v>-4.4428313141712021E-2</v>
      </c>
      <c r="H39" s="41">
        <v>-3.7224046488629627E-2</v>
      </c>
      <c r="I39" s="41">
        <v>-5.8044581424655614E-2</v>
      </c>
      <c r="J39" s="41">
        <v>-3.3724984764776714E-2</v>
      </c>
      <c r="K39" s="41">
        <v>-4.9287280071974443E-2</v>
      </c>
      <c r="L39" s="41">
        <v>-3.2677919281470784E-2</v>
      </c>
      <c r="M39" s="41">
        <v>-3.2577876052816174E-2</v>
      </c>
      <c r="N39" s="41">
        <v>-5.1514755235733317E-2</v>
      </c>
      <c r="O39" s="41">
        <v>-2.6634565428685503E-2</v>
      </c>
      <c r="P39" s="41"/>
      <c r="Q39" s="41"/>
      <c r="R39" s="41"/>
      <c r="S39" s="41"/>
    </row>
    <row r="40" spans="1:19">
      <c r="A40" s="31">
        <v>2008</v>
      </c>
      <c r="B40" s="41">
        <v>0.35480207985669754</v>
      </c>
      <c r="C40" s="41">
        <v>0.2130714816273665</v>
      </c>
      <c r="D40" s="42">
        <v>0.30300317009888794</v>
      </c>
      <c r="E40" s="42">
        <v>0.25606953590875864</v>
      </c>
      <c r="F40" s="42">
        <v>0.19124782321023925</v>
      </c>
      <c r="G40" s="42">
        <v>0.25414743889355107</v>
      </c>
      <c r="H40" s="41">
        <v>0.23533564895837261</v>
      </c>
      <c r="I40" s="41">
        <v>0.2908799747480722</v>
      </c>
      <c r="J40" s="41">
        <v>0.22541803343464734</v>
      </c>
      <c r="K40" s="41">
        <v>0.26569102770753361</v>
      </c>
      <c r="L40" s="41">
        <v>0.22298987072911983</v>
      </c>
      <c r="M40" s="41">
        <v>0.22256313909342768</v>
      </c>
      <c r="N40" s="41">
        <v>0.27129499857588985</v>
      </c>
      <c r="O40" s="41">
        <v>0.20950884088763463</v>
      </c>
      <c r="P40" s="41"/>
      <c r="Q40" s="41"/>
      <c r="R40" s="41"/>
      <c r="S40" s="41"/>
    </row>
    <row r="41" spans="1:19">
      <c r="A41" s="31">
        <v>2009</v>
      </c>
      <c r="B41" s="122">
        <v>-6.4208494813452477E-2</v>
      </c>
      <c r="C41" s="122">
        <v>3.0662162873240639E-4</v>
      </c>
      <c r="D41" s="122">
        <v>-3.9290468839391357E-2</v>
      </c>
      <c r="E41" s="122">
        <v>-2.2257914656444666E-2</v>
      </c>
      <c r="F41" s="122">
        <v>1.0319480988377983E-2</v>
      </c>
      <c r="G41" s="122">
        <v>-1.8626654786215169E-2</v>
      </c>
      <c r="H41" s="122">
        <v>-1.0152744750817955E-2</v>
      </c>
      <c r="I41" s="122">
        <v>-3.6506583232174039E-2</v>
      </c>
      <c r="J41" s="122">
        <v>-6.9266278696871186E-3</v>
      </c>
      <c r="K41" s="122">
        <v>-2.6174292253864362E-2</v>
      </c>
      <c r="L41" s="122">
        <v>-5.655150434222489E-3</v>
      </c>
      <c r="M41" s="122">
        <v>-5.3353517137855189E-3</v>
      </c>
      <c r="N41" s="122">
        <v>-2.9019332872362913E-2</v>
      </c>
      <c r="O41" s="122">
        <v>6.0922214569454347E-3</v>
      </c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2" enableFormatConditionsCalculation="0">
    <tabColor indexed="11"/>
  </sheetPr>
  <dimension ref="A1:O41"/>
  <sheetViews>
    <sheetView zoomScale="75" workbookViewId="0">
      <selection activeCell="B1" sqref="B1:O1"/>
    </sheetView>
  </sheetViews>
  <sheetFormatPr defaultRowHeight="12.75"/>
  <cols>
    <col min="1" max="2" width="9.140625" style="39"/>
    <col min="3" max="3" width="11" style="39" customWidth="1"/>
    <col min="4" max="5" width="9.140625" style="39"/>
    <col min="6" max="6" width="12.42578125" style="39" customWidth="1"/>
    <col min="7" max="12" width="9.140625" style="39"/>
    <col min="13" max="13" width="12.42578125" style="39" customWidth="1"/>
    <col min="14" max="14" width="14.7109375" style="39" customWidth="1"/>
    <col min="15" max="16384" width="9.140625" style="39"/>
  </cols>
  <sheetData>
    <row r="1" spans="1:15">
      <c r="B1" s="39" t="s">
        <v>60</v>
      </c>
      <c r="C1" s="39" t="s">
        <v>61</v>
      </c>
      <c r="D1" s="39" t="s">
        <v>62</v>
      </c>
      <c r="E1" s="39" t="s">
        <v>63</v>
      </c>
      <c r="F1" s="39" t="s">
        <v>64</v>
      </c>
      <c r="G1" s="39" t="s">
        <v>59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58</v>
      </c>
    </row>
    <row r="2" spans="1:15">
      <c r="A2" s="31">
        <v>1970</v>
      </c>
    </row>
    <row r="3" spans="1:15">
      <c r="A3" s="31">
        <v>1971</v>
      </c>
      <c r="B3" s="42">
        <v>5.5542431680257742E-2</v>
      </c>
      <c r="C3" s="42">
        <v>2.8014132872727835E-2</v>
      </c>
      <c r="D3" s="42">
        <v>4.4858080684336478E-2</v>
      </c>
      <c r="E3" s="42">
        <v>3.7648409424440227E-2</v>
      </c>
      <c r="F3" s="42">
        <v>2.3931487778427147E-2</v>
      </c>
      <c r="G3" s="42">
        <v>3.6515860595688052E-2</v>
      </c>
      <c r="H3" s="42">
        <v>3.2774484627760038E-2</v>
      </c>
      <c r="I3" s="42">
        <v>4.3732571810628229E-2</v>
      </c>
      <c r="J3" s="42">
        <v>3.1083444872842168E-2</v>
      </c>
      <c r="K3" s="42">
        <v>3.9742654205375476E-2</v>
      </c>
      <c r="L3" s="42">
        <v>3.0606084718544001E-2</v>
      </c>
      <c r="M3" s="42">
        <v>3.0538152356956706E-2</v>
      </c>
      <c r="N3" s="42">
        <v>4.0424330980871455E-2</v>
      </c>
      <c r="O3" s="42">
        <v>2.5374143654642658E-2</v>
      </c>
    </row>
    <row r="4" spans="1:15">
      <c r="A4" s="31">
        <v>1972</v>
      </c>
      <c r="B4" s="42">
        <v>-0.2133030496325079</v>
      </c>
      <c r="C4" s="42">
        <v>-0.17380376588137422</v>
      </c>
      <c r="D4" s="42">
        <v>-0.20205253139243787</v>
      </c>
      <c r="E4" s="42">
        <v>-0.18736112551128306</v>
      </c>
      <c r="F4" s="42">
        <v>-0.16539266359602067</v>
      </c>
      <c r="G4" s="42">
        <v>-0.18847583093317305</v>
      </c>
      <c r="H4" s="42">
        <v>-0.18201721686305744</v>
      </c>
      <c r="I4" s="42">
        <v>-0.1979623223722928</v>
      </c>
      <c r="J4" s="42">
        <v>-0.17765652115717978</v>
      </c>
      <c r="K4" s="42">
        <v>-0.19112856437402378</v>
      </c>
      <c r="L4" s="42">
        <v>-0.1769673073273082</v>
      </c>
      <c r="M4" s="42">
        <v>-0.17693309013046499</v>
      </c>
      <c r="N4" s="42">
        <v>-0.19200853245041494</v>
      </c>
      <c r="O4" s="42">
        <v>-0.17381687028489182</v>
      </c>
    </row>
    <row r="5" spans="1:15">
      <c r="A5" s="31">
        <v>1973</v>
      </c>
      <c r="B5" s="42">
        <v>-0.16276906396986188</v>
      </c>
      <c r="C5" s="42">
        <v>3.0636810299396111E-3</v>
      </c>
      <c r="D5" s="42">
        <v>-0.10028093621962554</v>
      </c>
      <c r="E5" s="42">
        <v>-5.8145294433747094E-2</v>
      </c>
      <c r="F5" s="42">
        <v>3.061128375927314E-2</v>
      </c>
      <c r="G5" s="42">
        <v>-4.8850557343827504E-2</v>
      </c>
      <c r="H5" s="42">
        <v>-2.6161949504596781E-2</v>
      </c>
      <c r="I5" s="42">
        <v>-9.3801638759100248E-2</v>
      </c>
      <c r="J5" s="42">
        <v>-1.7264131886831676E-2</v>
      </c>
      <c r="K5" s="42">
        <v>-6.9604272982337068E-2</v>
      </c>
      <c r="L5" s="42">
        <v>-1.3735795219807296E-2</v>
      </c>
      <c r="M5" s="42">
        <v>-1.3364770878087724E-2</v>
      </c>
      <c r="N5" s="42">
        <v>-7.5415337485469941E-2</v>
      </c>
      <c r="O5" s="42">
        <v>2.0564265922144477E-2</v>
      </c>
    </row>
    <row r="6" spans="1:15">
      <c r="A6" s="31">
        <v>1974</v>
      </c>
      <c r="B6" s="42">
        <v>-1.4442864759834612E-2</v>
      </c>
      <c r="C6" s="42">
        <v>-3.2576998873247817E-2</v>
      </c>
      <c r="D6" s="42">
        <v>-2.2351022934813936E-2</v>
      </c>
      <c r="E6" s="42">
        <v>-2.6137594651345821E-2</v>
      </c>
      <c r="F6" s="42">
        <v>-3.5217019778499829E-2</v>
      </c>
      <c r="G6" s="42">
        <v>-2.7788017378540461E-2</v>
      </c>
      <c r="H6" s="42">
        <v>-2.9950036523907552E-2</v>
      </c>
      <c r="I6" s="42">
        <v>-2.2741384833182901E-2</v>
      </c>
      <c r="J6" s="42">
        <v>-3.0369543413652163E-2</v>
      </c>
      <c r="K6" s="42">
        <v>-2.5142399018272626E-2</v>
      </c>
      <c r="L6" s="42">
        <v>-3.0871913738844101E-2</v>
      </c>
      <c r="M6" s="42">
        <v>-3.0814063839238952E-2</v>
      </c>
      <c r="N6" s="42">
        <v>-2.4322887656678508E-2</v>
      </c>
      <c r="O6" s="42">
        <v>-3.4763701854804083E-2</v>
      </c>
    </row>
    <row r="7" spans="1:15">
      <c r="A7" s="31">
        <v>1975</v>
      </c>
      <c r="B7" s="42">
        <v>0.34022152050773902</v>
      </c>
      <c r="C7" s="42">
        <v>0.19700025934009771</v>
      </c>
      <c r="D7" s="42">
        <v>0.28709331490663587</v>
      </c>
      <c r="E7" s="42">
        <v>0.24345800712344368</v>
      </c>
      <c r="F7" s="42">
        <v>0.1741448820161961</v>
      </c>
      <c r="G7" s="42">
        <v>0.24022433992085701</v>
      </c>
      <c r="H7" s="42">
        <v>0.22070149438879777</v>
      </c>
      <c r="I7" s="42">
        <v>0.27714667427992062</v>
      </c>
      <c r="J7" s="42">
        <v>0.21101643989571722</v>
      </c>
      <c r="K7" s="42">
        <v>0.25403839683556889</v>
      </c>
      <c r="L7" s="42">
        <v>0.20833371775810847</v>
      </c>
      <c r="M7" s="42">
        <v>0.20817618749192646</v>
      </c>
      <c r="N7" s="42">
        <v>0.25879380999650659</v>
      </c>
      <c r="O7" s="42">
        <v>0.19007767468513653</v>
      </c>
    </row>
    <row r="8" spans="1:15">
      <c r="A8" s="31">
        <v>1976</v>
      </c>
      <c r="B8" s="42">
        <v>0.25054934983676241</v>
      </c>
      <c r="C8" s="42">
        <v>0.15982186366485146</v>
      </c>
      <c r="D8" s="42">
        <v>0.21753545375585709</v>
      </c>
      <c r="E8" s="42">
        <v>0.19034176305083517</v>
      </c>
      <c r="F8" s="42">
        <v>0.14499554893883246</v>
      </c>
      <c r="G8" s="42">
        <v>0.18849020391081867</v>
      </c>
      <c r="H8" s="42">
        <v>0.17571858204600282</v>
      </c>
      <c r="I8" s="42">
        <v>0.21174555761452557</v>
      </c>
      <c r="J8" s="42">
        <v>0.16911773359944512</v>
      </c>
      <c r="K8" s="42">
        <v>0.19749393192194839</v>
      </c>
      <c r="L8" s="42">
        <v>0.16750413203494099</v>
      </c>
      <c r="M8" s="42">
        <v>0.16735664003019562</v>
      </c>
      <c r="N8" s="42">
        <v>0.19999381705110136</v>
      </c>
      <c r="O8" s="42">
        <v>0.15456521049515382</v>
      </c>
    </row>
    <row r="9" spans="1:15">
      <c r="A9" s="31">
        <v>1977</v>
      </c>
      <c r="B9" s="42">
        <v>-0.21891865353103759</v>
      </c>
      <c r="C9" s="42">
        <v>-0.1352128616365274</v>
      </c>
      <c r="D9" s="42">
        <v>-0.1890940072608599</v>
      </c>
      <c r="E9" s="42">
        <v>-0.16515456009654361</v>
      </c>
      <c r="F9" s="42">
        <v>-0.12071369732769358</v>
      </c>
      <c r="G9" s="42">
        <v>-0.16258684909748458</v>
      </c>
      <c r="H9" s="42">
        <v>-0.15060505690872841</v>
      </c>
      <c r="I9" s="42">
        <v>-0.18450045476922083</v>
      </c>
      <c r="J9" s="42">
        <v>-0.14468632004367821</v>
      </c>
      <c r="K9" s="42">
        <v>-0.17160913839467434</v>
      </c>
      <c r="L9" s="42">
        <v>-0.14311925714306323</v>
      </c>
      <c r="M9" s="42">
        <v>-0.1428950281132873</v>
      </c>
      <c r="N9" s="42">
        <v>-0.17408264400737425</v>
      </c>
      <c r="O9" s="42">
        <v>-0.12887511950199454</v>
      </c>
    </row>
    <row r="10" spans="1:15">
      <c r="A10" s="31">
        <v>1978</v>
      </c>
      <c r="B10" s="42">
        <v>0.31086302390434933</v>
      </c>
      <c r="C10" s="42">
        <v>0.19540553279921741</v>
      </c>
      <c r="D10" s="42">
        <v>0.26884511788902549</v>
      </c>
      <c r="E10" s="42">
        <v>0.23380743864219988</v>
      </c>
      <c r="F10" s="42">
        <v>0.17649717635072401</v>
      </c>
      <c r="G10" s="42">
        <v>0.23157935078679212</v>
      </c>
      <c r="H10" s="42">
        <v>0.21539402697600374</v>
      </c>
      <c r="I10" s="42">
        <v>0.26112958005799197</v>
      </c>
      <c r="J10" s="42">
        <v>0.20703886784145933</v>
      </c>
      <c r="K10" s="42">
        <v>0.24282543291319428</v>
      </c>
      <c r="L10" s="42">
        <v>0.20494801420082939</v>
      </c>
      <c r="M10" s="42">
        <v>0.20479556179863859</v>
      </c>
      <c r="N10" s="42">
        <v>0.24616320536163772</v>
      </c>
      <c r="O10" s="42">
        <v>0.18929556091210956</v>
      </c>
    </row>
    <row r="11" spans="1:15">
      <c r="A11" s="31">
        <v>1979</v>
      </c>
      <c r="B11" s="42">
        <v>-9.113650942279955E-2</v>
      </c>
      <c r="C11" s="42">
        <v>-2.1301736365450425E-2</v>
      </c>
      <c r="D11" s="42">
        <v>-6.3642563601981159E-2</v>
      </c>
      <c r="E11" s="42">
        <v>-4.6644641495113326E-2</v>
      </c>
      <c r="F11" s="42">
        <v>-1.0775980666891543E-2</v>
      </c>
      <c r="G11" s="42">
        <v>-4.2558799174194591E-2</v>
      </c>
      <c r="H11" s="42">
        <v>-3.3303906400916572E-2</v>
      </c>
      <c r="I11" s="42">
        <v>-6.1544239731821208E-2</v>
      </c>
      <c r="J11" s="42">
        <v>-2.9663984640297021E-2</v>
      </c>
      <c r="K11" s="42">
        <v>-5.1419402774402476E-2</v>
      </c>
      <c r="L11" s="42">
        <v>-2.8382081543614532E-2</v>
      </c>
      <c r="M11" s="42">
        <v>-2.8079849529772993E-2</v>
      </c>
      <c r="N11" s="42">
        <v>-5.3676176306204242E-2</v>
      </c>
      <c r="O11" s="42">
        <v>-1.3453381061825238E-2</v>
      </c>
    </row>
    <row r="12" spans="1:15">
      <c r="A12" s="31">
        <v>1980</v>
      </c>
      <c r="B12" s="42">
        <v>-8.1420319009344336E-2</v>
      </c>
      <c r="C12" s="42">
        <v>-0.11945193536407549</v>
      </c>
      <c r="D12" s="42">
        <v>-9.9680374673231584E-2</v>
      </c>
      <c r="E12" s="42">
        <v>-0.10566575349759638</v>
      </c>
      <c r="F12" s="42">
        <v>-0.12354333049242908</v>
      </c>
      <c r="G12" s="42">
        <v>-0.1099491187462945</v>
      </c>
      <c r="H12" s="42">
        <v>-0.11412947762569967</v>
      </c>
      <c r="I12" s="42">
        <v>-9.9130407746346572E-2</v>
      </c>
      <c r="J12" s="42">
        <v>-0.11455960788537395</v>
      </c>
      <c r="K12" s="42">
        <v>-0.10365430813452671</v>
      </c>
      <c r="L12" s="42">
        <v>-0.11535725857112321</v>
      </c>
      <c r="M12" s="42">
        <v>-0.11546212334689461</v>
      </c>
      <c r="N12" s="42">
        <v>-0.10224776323425498</v>
      </c>
      <c r="O12" s="42">
        <v>-0.12607339207960949</v>
      </c>
    </row>
    <row r="13" spans="1:15">
      <c r="A13" s="31">
        <v>1981</v>
      </c>
      <c r="B13" s="42">
        <v>-8.6627628568241216E-2</v>
      </c>
      <c r="C13" s="42">
        <v>-2.3967275390476141E-2</v>
      </c>
      <c r="D13" s="42">
        <v>-6.317724944411289E-2</v>
      </c>
      <c r="E13" s="42">
        <v>-4.608105241608039E-2</v>
      </c>
      <c r="F13" s="42">
        <v>-1.3725807308989172E-2</v>
      </c>
      <c r="G13" s="42">
        <v>-4.3549989592871326E-2</v>
      </c>
      <c r="H13" s="42">
        <v>-3.4899782985795678E-2</v>
      </c>
      <c r="I13" s="42">
        <v>-6.0029630343351216E-2</v>
      </c>
      <c r="J13" s="42">
        <v>-3.106865502158928E-2</v>
      </c>
      <c r="K13" s="42">
        <v>-5.0708426524781858E-2</v>
      </c>
      <c r="L13" s="42">
        <v>-2.9836484198664123E-2</v>
      </c>
      <c r="M13" s="42">
        <v>-2.9724804201675125E-2</v>
      </c>
      <c r="N13" s="42">
        <v>-5.2686888361768609E-2</v>
      </c>
      <c r="O13" s="42">
        <v>-1.8680487695235067E-2</v>
      </c>
    </row>
    <row r="14" spans="1:15">
      <c r="A14" s="31">
        <v>1982</v>
      </c>
      <c r="B14" s="42">
        <v>-0.11113301471134354</v>
      </c>
      <c r="C14" s="42">
        <v>-6.6475657108585398E-2</v>
      </c>
      <c r="D14" s="42">
        <v>-9.5895446592109135E-2</v>
      </c>
      <c r="E14" s="42">
        <v>-8.1550003868337953E-2</v>
      </c>
      <c r="F14" s="42">
        <v>-5.8417376969054351E-2</v>
      </c>
      <c r="G14" s="42">
        <v>-8.1004732249209704E-2</v>
      </c>
      <c r="H14" s="42">
        <v>-7.4516845598444154E-2</v>
      </c>
      <c r="I14" s="42">
        <v>-9.2357211371867864E-2</v>
      </c>
      <c r="J14" s="42">
        <v>-7.104302260627135E-2</v>
      </c>
      <c r="K14" s="42">
        <v>-8.508064002922551E-2</v>
      </c>
      <c r="L14" s="42">
        <v>-7.0184454139358338E-2</v>
      </c>
      <c r="M14" s="42">
        <v>-7.0129992451565329E-2</v>
      </c>
      <c r="N14" s="42">
        <v>-8.6537269096673308E-2</v>
      </c>
      <c r="O14" s="42">
        <v>-6.473658108827697E-2</v>
      </c>
    </row>
    <row r="15" spans="1:15">
      <c r="A15" s="31">
        <v>1983</v>
      </c>
      <c r="B15" s="42">
        <v>-4.9825429665949605E-2</v>
      </c>
      <c r="C15" s="42">
        <v>-9.9199744077041289E-3</v>
      </c>
      <c r="D15" s="42">
        <v>-3.5169374820767818E-2</v>
      </c>
      <c r="E15" s="42">
        <v>-2.3482310348339995E-2</v>
      </c>
      <c r="F15" s="42">
        <v>-3.1689316618671798E-3</v>
      </c>
      <c r="G15" s="42">
        <v>-2.2163899829705732E-2</v>
      </c>
      <c r="H15" s="42">
        <v>-1.6677224518663422E-2</v>
      </c>
      <c r="I15" s="42">
        <v>-3.2511138693780896E-2</v>
      </c>
      <c r="J15" s="42">
        <v>-1.4194564950033772E-2</v>
      </c>
      <c r="K15" s="42">
        <v>-2.6360002966011424E-2</v>
      </c>
      <c r="L15" s="42">
        <v>-1.336635112730665E-2</v>
      </c>
      <c r="M15" s="42">
        <v>-1.3335844407897226E-2</v>
      </c>
      <c r="N15" s="42">
        <v>-2.7841898730057817E-2</v>
      </c>
      <c r="O15" s="42">
        <v>-7.5409397874148659E-3</v>
      </c>
    </row>
    <row r="16" spans="1:15">
      <c r="A16" s="31">
        <v>1984</v>
      </c>
      <c r="B16" s="42">
        <v>-0.20836945471307397</v>
      </c>
      <c r="C16" s="42">
        <v>-9.6231514721882364E-2</v>
      </c>
      <c r="D16" s="42">
        <v>-0.16915101423212436</v>
      </c>
      <c r="E16" s="42">
        <v>-0.13442874919131401</v>
      </c>
      <c r="F16" s="42">
        <v>-7.5925691459115152E-2</v>
      </c>
      <c r="G16" s="42">
        <v>-0.13113335163887629</v>
      </c>
      <c r="H16" s="42">
        <v>-0.11547193853856853</v>
      </c>
      <c r="I16" s="42">
        <v>-0.16045478988782261</v>
      </c>
      <c r="J16" s="42">
        <v>-0.10815345155122766</v>
      </c>
      <c r="K16" s="42">
        <v>-0.14227924533749114</v>
      </c>
      <c r="L16" s="42">
        <v>-0.10562931824010283</v>
      </c>
      <c r="M16" s="42">
        <v>-0.10562182889346468</v>
      </c>
      <c r="N16" s="42">
        <v>-0.14699024637077243</v>
      </c>
      <c r="O16" s="42">
        <v>-9.1244613411659029E-2</v>
      </c>
    </row>
    <row r="17" spans="1:15">
      <c r="A17" s="31">
        <v>1985</v>
      </c>
      <c r="B17" s="42">
        <v>7.1448590147313293E-2</v>
      </c>
      <c r="C17" s="42">
        <v>6.4104263998234004E-2</v>
      </c>
      <c r="D17" s="42">
        <v>7.0405418579288587E-2</v>
      </c>
      <c r="E17" s="42">
        <v>6.5719202414427802E-2</v>
      </c>
      <c r="F17" s="42">
        <v>6.2306649405373629E-2</v>
      </c>
      <c r="G17" s="42">
        <v>6.6987467812614193E-2</v>
      </c>
      <c r="H17" s="42">
        <v>6.5574408312950361E-2</v>
      </c>
      <c r="I17" s="42">
        <v>6.8529406776186547E-2</v>
      </c>
      <c r="J17" s="42">
        <v>6.4260007771977531E-2</v>
      </c>
      <c r="K17" s="42">
        <v>6.6611844028769657E-2</v>
      </c>
      <c r="L17" s="42">
        <v>6.4093363352627608E-2</v>
      </c>
      <c r="M17" s="42">
        <v>6.4199401106468296E-2</v>
      </c>
      <c r="N17" s="42">
        <v>6.6697985075190286E-2</v>
      </c>
      <c r="O17" s="42">
        <v>6.5559870875028986E-2</v>
      </c>
    </row>
    <row r="18" spans="1:15">
      <c r="A18" s="31">
        <v>1986</v>
      </c>
      <c r="B18" s="42">
        <v>1.3436478150399072E-2</v>
      </c>
      <c r="C18" s="42">
        <v>3.4965771032459257E-2</v>
      </c>
      <c r="D18" s="42">
        <v>2.2779200532432296E-2</v>
      </c>
      <c r="E18" s="42">
        <v>2.7301441460074592E-2</v>
      </c>
      <c r="F18" s="42">
        <v>3.8071037932615771E-2</v>
      </c>
      <c r="G18" s="42">
        <v>2.9398748244782259E-2</v>
      </c>
      <c r="H18" s="42">
        <v>3.1836024484754609E-2</v>
      </c>
      <c r="I18" s="42">
        <v>2.3416560566095878E-2</v>
      </c>
      <c r="J18" s="42">
        <v>3.2286401694467719E-2</v>
      </c>
      <c r="K18" s="42">
        <v>2.6301098049564726E-2</v>
      </c>
      <c r="L18" s="42">
        <v>3.2768231227858338E-2</v>
      </c>
      <c r="M18" s="42">
        <v>3.2857013378959007E-2</v>
      </c>
      <c r="N18" s="42">
        <v>2.5060594491617103E-2</v>
      </c>
      <c r="O18" s="42">
        <v>3.7337091064976229E-2</v>
      </c>
    </row>
    <row r="19" spans="1:15">
      <c r="A19" s="31">
        <v>1987</v>
      </c>
      <c r="B19" s="42">
        <v>-0.24785699368927613</v>
      </c>
      <c r="C19" s="42">
        <v>-0.1401106176938168</v>
      </c>
      <c r="D19" s="42">
        <v>-0.21243072992491985</v>
      </c>
      <c r="E19" s="42">
        <v>-0.17410930795146989</v>
      </c>
      <c r="F19" s="42">
        <v>-0.12013680364351181</v>
      </c>
      <c r="G19" s="42">
        <v>-0.17319959984373623</v>
      </c>
      <c r="H19" s="42">
        <v>-0.15804136291361012</v>
      </c>
      <c r="I19" s="42">
        <v>-0.20012085509623262</v>
      </c>
      <c r="J19" s="42">
        <v>-0.15023342358278888</v>
      </c>
      <c r="K19" s="42">
        <v>-0.18188455209370474</v>
      </c>
      <c r="L19" s="42">
        <v>-0.14773400473535125</v>
      </c>
      <c r="M19" s="42">
        <v>-0.14799740097046057</v>
      </c>
      <c r="N19" s="42">
        <v>-0.18678060007065447</v>
      </c>
      <c r="O19" s="42">
        <v>-0.13980765347173757</v>
      </c>
    </row>
    <row r="20" spans="1:15">
      <c r="A20" s="31">
        <v>1988</v>
      </c>
      <c r="B20" s="42">
        <v>0.31431129599316865</v>
      </c>
      <c r="C20" s="42">
        <v>0.16922612223661351</v>
      </c>
      <c r="D20" s="42">
        <v>0.26313785052034788</v>
      </c>
      <c r="E20" s="42">
        <v>0.21043881164127504</v>
      </c>
      <c r="F20" s="42">
        <v>0.14573626835086523</v>
      </c>
      <c r="G20" s="42">
        <v>0.20977224450442813</v>
      </c>
      <c r="H20" s="42">
        <v>0.19060552366000966</v>
      </c>
      <c r="I20" s="42">
        <v>0.24528310414688234</v>
      </c>
      <c r="J20" s="42">
        <v>0.18097535573632684</v>
      </c>
      <c r="K20" s="42">
        <v>0.2205670674616429</v>
      </c>
      <c r="L20" s="42">
        <v>0.17764621792578866</v>
      </c>
      <c r="M20" s="42">
        <v>0.17832417454759106</v>
      </c>
      <c r="N20" s="42">
        <v>0.22689681707949685</v>
      </c>
      <c r="O20" s="42">
        <v>0.1696903396368242</v>
      </c>
    </row>
    <row r="21" spans="1:15">
      <c r="A21" s="31">
        <v>1989</v>
      </c>
      <c r="B21" s="42">
        <v>0.40758651216833541</v>
      </c>
      <c r="C21" s="42">
        <v>0.23460233155563515</v>
      </c>
      <c r="D21" s="42">
        <v>0.34579639401867973</v>
      </c>
      <c r="E21" s="42">
        <v>0.28592202265127981</v>
      </c>
      <c r="F21" s="42">
        <v>0.20674474670621354</v>
      </c>
      <c r="G21" s="42">
        <v>0.28451806636407906</v>
      </c>
      <c r="H21" s="42">
        <v>0.26132304017011759</v>
      </c>
      <c r="I21" s="42">
        <v>0.32803095836277463</v>
      </c>
      <c r="J21" s="42">
        <v>0.24933597096328136</v>
      </c>
      <c r="K21" s="42">
        <v>0.29814723890475575</v>
      </c>
      <c r="L21" s="42">
        <v>0.24581615315638244</v>
      </c>
      <c r="M21" s="42">
        <v>0.24604063548387478</v>
      </c>
      <c r="N21" s="42">
        <v>0.30513236624285744</v>
      </c>
      <c r="O21" s="42">
        <v>0.23262946191729467</v>
      </c>
    </row>
    <row r="22" spans="1:15">
      <c r="A22" s="31">
        <v>1990</v>
      </c>
      <c r="B22" s="42">
        <v>-5.0011115058715555E-2</v>
      </c>
      <c r="C22" s="42">
        <v>-2.5281440841028558E-2</v>
      </c>
      <c r="D22" s="42">
        <v>-4.197619407030579E-2</v>
      </c>
      <c r="E22" s="42">
        <v>-3.3025908516441022E-2</v>
      </c>
      <c r="F22" s="42">
        <v>-2.0742008875452335E-2</v>
      </c>
      <c r="G22" s="42">
        <v>-3.3242970631354334E-2</v>
      </c>
      <c r="H22" s="42">
        <v>-2.9613058011332821E-2</v>
      </c>
      <c r="I22" s="42">
        <v>-3.9215516592075589E-2</v>
      </c>
      <c r="J22" s="42">
        <v>-2.7522541895592632E-2</v>
      </c>
      <c r="K22" s="42">
        <v>-3.5046794423068489E-2</v>
      </c>
      <c r="L22" s="42">
        <v>-2.70607603309783E-2</v>
      </c>
      <c r="M22" s="42">
        <v>-2.7056277341707822E-2</v>
      </c>
      <c r="N22" s="42">
        <v>-3.592733207976153E-2</v>
      </c>
      <c r="O22" s="42">
        <v>-2.5253734723670387E-2</v>
      </c>
    </row>
    <row r="23" spans="1:15">
      <c r="A23" s="31">
        <v>1991</v>
      </c>
      <c r="B23" s="42">
        <v>0.37203767477322103</v>
      </c>
      <c r="C23" s="42">
        <v>0.21924811141187989</v>
      </c>
      <c r="D23" s="42">
        <v>0.31639847354041101</v>
      </c>
      <c r="E23" s="42">
        <v>0.26666500488685307</v>
      </c>
      <c r="F23" s="42">
        <v>0.19486442783003358</v>
      </c>
      <c r="G23" s="42">
        <v>0.26428356289786958</v>
      </c>
      <c r="H23" s="42">
        <v>0.2436733964208378</v>
      </c>
      <c r="I23" s="42">
        <v>0.30350565673536661</v>
      </c>
      <c r="J23" s="42">
        <v>0.23316847134058821</v>
      </c>
      <c r="K23" s="42">
        <v>0.27756327546557519</v>
      </c>
      <c r="L23" s="42">
        <v>0.23025618847644594</v>
      </c>
      <c r="M23" s="42">
        <v>0.23015731974263245</v>
      </c>
      <c r="N23" s="42">
        <v>0.28327955887697898</v>
      </c>
      <c r="O23" s="42">
        <v>0.21469886385160414</v>
      </c>
    </row>
    <row r="24" spans="1:15">
      <c r="A24" s="31">
        <v>1992</v>
      </c>
      <c r="B24" s="42">
        <v>-0.12316853962976665</v>
      </c>
      <c r="C24" s="42">
        <v>-3.5241725728349452E-2</v>
      </c>
      <c r="D24" s="42">
        <v>-9.0904597258004177E-2</v>
      </c>
      <c r="E24" s="42">
        <v>-6.5626569044758387E-2</v>
      </c>
      <c r="F24" s="42">
        <v>-2.0129560767123397E-2</v>
      </c>
      <c r="G24" s="42">
        <v>-6.2075875480061861E-2</v>
      </c>
      <c r="H24" s="42">
        <v>-5.0089506437967779E-2</v>
      </c>
      <c r="I24" s="42">
        <v>-8.5348525499970504E-2</v>
      </c>
      <c r="J24" s="42">
        <v>-4.4924705671786157E-2</v>
      </c>
      <c r="K24" s="42">
        <v>-7.1635571218848712E-2</v>
      </c>
      <c r="L24" s="42">
        <v>-4.2992145739540549E-2</v>
      </c>
      <c r="M24" s="42">
        <v>-4.2922187830504221E-2</v>
      </c>
      <c r="N24" s="42">
        <v>-7.5206756854641163E-2</v>
      </c>
      <c r="O24" s="42">
        <v>-2.9605041494166394E-2</v>
      </c>
    </row>
    <row r="25" spans="1:15">
      <c r="A25" s="31">
        <v>1993</v>
      </c>
      <c r="B25" s="42">
        <v>-8.0831707180794909E-2</v>
      </c>
      <c r="C25" s="42">
        <v>-3.1729619092559641E-2</v>
      </c>
      <c r="D25" s="42">
        <v>-6.3155895759720942E-2</v>
      </c>
      <c r="E25" s="42">
        <v>-4.7959385135631853E-2</v>
      </c>
      <c r="F25" s="42">
        <v>-2.329157172734872E-2</v>
      </c>
      <c r="G25" s="42">
        <v>-4.6499040447110389E-2</v>
      </c>
      <c r="H25" s="42">
        <v>-3.9837914061285472E-2</v>
      </c>
      <c r="I25" s="42">
        <v>-5.9232232052414617E-2</v>
      </c>
      <c r="J25" s="42">
        <v>-3.6766137371873613E-2</v>
      </c>
      <c r="K25" s="42">
        <v>-5.1309756317544718E-2</v>
      </c>
      <c r="L25" s="42">
        <v>-3.5726806822600758E-2</v>
      </c>
      <c r="M25" s="42">
        <v>-3.5686262785456301E-2</v>
      </c>
      <c r="N25" s="42">
        <v>-5.3437269151541691E-2</v>
      </c>
      <c r="O25" s="42">
        <v>-2.9715966302939517E-2</v>
      </c>
    </row>
    <row r="26" spans="1:15">
      <c r="A26" s="31">
        <v>1994</v>
      </c>
      <c r="B26" s="42">
        <v>0.13203485650248997</v>
      </c>
      <c r="C26" s="42">
        <v>7.7133776973398516E-2</v>
      </c>
      <c r="D26" s="42">
        <v>0.11232353405893959</v>
      </c>
      <c r="E26" s="42">
        <v>9.43253753794321E-2</v>
      </c>
      <c r="F26" s="42">
        <v>6.7928066558295919E-2</v>
      </c>
      <c r="G26" s="42">
        <v>9.3228142153239449E-2</v>
      </c>
      <c r="H26" s="42">
        <v>8.5819150557783108E-2</v>
      </c>
      <c r="I26" s="42">
        <v>0.10741581945427849</v>
      </c>
      <c r="J26" s="42">
        <v>8.2233476847132753E-2</v>
      </c>
      <c r="K26" s="42">
        <v>9.8105094722595057E-2</v>
      </c>
      <c r="L26" s="42">
        <v>8.0997886246122086E-2</v>
      </c>
      <c r="M26" s="42">
        <v>8.1102463287282794E-2</v>
      </c>
      <c r="N26" s="42">
        <v>0.10039642429981049</v>
      </c>
      <c r="O26" s="42">
        <v>7.572297145459525E-2</v>
      </c>
    </row>
    <row r="27" spans="1:15">
      <c r="A27" s="31">
        <v>1995</v>
      </c>
      <c r="B27" s="42">
        <v>0.15075786821043738</v>
      </c>
      <c r="C27" s="42">
        <v>0.11732376620240356</v>
      </c>
      <c r="D27" s="42">
        <v>0.14091719818512433</v>
      </c>
      <c r="E27" s="42">
        <v>0.12721043285483014</v>
      </c>
      <c r="F27" s="42">
        <v>0.11092066473451864</v>
      </c>
      <c r="G27" s="42">
        <v>0.12838334216836872</v>
      </c>
      <c r="H27" s="42">
        <v>0.12326703790724776</v>
      </c>
      <c r="I27" s="42">
        <v>0.13654129718013774</v>
      </c>
      <c r="J27" s="42">
        <v>0.11987739494140705</v>
      </c>
      <c r="K27" s="42">
        <v>0.13005993573720362</v>
      </c>
      <c r="L27" s="42">
        <v>0.11922737819565195</v>
      </c>
      <c r="M27" s="42">
        <v>0.11929111011113187</v>
      </c>
      <c r="N27" s="42">
        <v>0.13114332036915824</v>
      </c>
      <c r="O27" s="42">
        <v>0.11844009529206084</v>
      </c>
    </row>
    <row r="28" spans="1:15">
      <c r="A28" s="31">
        <v>1996</v>
      </c>
      <c r="B28" s="42">
        <v>5.3283479684556392E-2</v>
      </c>
      <c r="C28" s="42">
        <v>4.037187799592161E-2</v>
      </c>
      <c r="D28" s="42">
        <v>4.918407544967611E-2</v>
      </c>
      <c r="E28" s="42">
        <v>4.4366615432833878E-2</v>
      </c>
      <c r="F28" s="42">
        <v>3.7914548849698894E-2</v>
      </c>
      <c r="G28" s="42">
        <v>4.4492100966028868E-2</v>
      </c>
      <c r="H28" s="42">
        <v>4.2579447168356918E-2</v>
      </c>
      <c r="I28" s="42">
        <v>4.7761286541731916E-2</v>
      </c>
      <c r="J28" s="42">
        <v>4.1472024022307923E-2</v>
      </c>
      <c r="K28" s="42">
        <v>4.5390341832155116E-2</v>
      </c>
      <c r="L28" s="42">
        <v>4.1153311182325618E-2</v>
      </c>
      <c r="M28" s="42">
        <v>4.1224591329753993E-2</v>
      </c>
      <c r="N28" s="42">
        <v>4.584564393651238E-2</v>
      </c>
      <c r="O28" s="42">
        <v>4.0456914251645305E-2</v>
      </c>
    </row>
    <row r="29" spans="1:15">
      <c r="A29" s="31">
        <v>1997</v>
      </c>
      <c r="B29" s="42">
        <v>0.16731609556977101</v>
      </c>
      <c r="C29" s="42">
        <v>0.10753358328588408</v>
      </c>
      <c r="D29" s="42">
        <v>0.14644977847154281</v>
      </c>
      <c r="E29" s="42">
        <v>0.12654804321541058</v>
      </c>
      <c r="F29" s="42">
        <v>9.7235343163914814E-2</v>
      </c>
      <c r="G29" s="42">
        <v>0.12589012326505739</v>
      </c>
      <c r="H29" s="42">
        <v>0.11751697060992126</v>
      </c>
      <c r="I29" s="42">
        <v>0.14118671930127882</v>
      </c>
      <c r="J29" s="42">
        <v>0.11311090599298611</v>
      </c>
      <c r="K29" s="42">
        <v>0.13099054156430615</v>
      </c>
      <c r="L29" s="42">
        <v>0.11187751825210979</v>
      </c>
      <c r="M29" s="42">
        <v>0.11191376166351551</v>
      </c>
      <c r="N29" s="42">
        <v>0.13318544358209161</v>
      </c>
      <c r="O29" s="42">
        <v>0.10607114806766085</v>
      </c>
    </row>
    <row r="30" spans="1:15">
      <c r="A30" s="31">
        <v>1998</v>
      </c>
      <c r="B30" s="42">
        <v>-3.1861938476633711E-2</v>
      </c>
      <c r="C30" s="42">
        <v>-9.3109073538667915E-4</v>
      </c>
      <c r="D30" s="42">
        <v>-1.9910340474080516E-2</v>
      </c>
      <c r="E30" s="42">
        <v>-1.1582111434762059E-2</v>
      </c>
      <c r="F30" s="42">
        <v>3.9932711562597947E-3</v>
      </c>
      <c r="G30" s="42">
        <v>-1.0024149928315868E-2</v>
      </c>
      <c r="H30" s="42">
        <v>-5.9830773934024025E-3</v>
      </c>
      <c r="I30" s="42">
        <v>-1.8289817585799222E-2</v>
      </c>
      <c r="J30" s="42">
        <v>-4.3718956558972417E-3</v>
      </c>
      <c r="K30" s="42">
        <v>-1.3582364246646304E-2</v>
      </c>
      <c r="L30" s="42">
        <v>-3.7507577808968667E-3</v>
      </c>
      <c r="M30" s="42">
        <v>-3.6609240749424119E-3</v>
      </c>
      <c r="N30" s="42">
        <v>-1.4872184189455042E-2</v>
      </c>
      <c r="O30" s="42">
        <v>1.4364033373549714E-3</v>
      </c>
    </row>
    <row r="31" spans="1:15">
      <c r="A31" s="31">
        <v>1999</v>
      </c>
      <c r="B31" s="42">
        <v>-2.3024745075475861E-3</v>
      </c>
      <c r="C31" s="42">
        <v>4.3629021477134908E-3</v>
      </c>
      <c r="D31" s="42">
        <v>2.8438821670184592E-4</v>
      </c>
      <c r="E31" s="42">
        <v>2.0979288775957289E-3</v>
      </c>
      <c r="F31" s="42">
        <v>5.356576575879457E-3</v>
      </c>
      <c r="G31" s="42">
        <v>2.3873729503936271E-3</v>
      </c>
      <c r="H31" s="42">
        <v>3.2458409712048915E-3</v>
      </c>
      <c r="I31" s="42">
        <v>6.5882763820804551E-4</v>
      </c>
      <c r="J31" s="42">
        <v>3.6276466627162304E-3</v>
      </c>
      <c r="K31" s="42">
        <v>1.6594071580855623E-3</v>
      </c>
      <c r="L31" s="42">
        <v>3.705328988375561E-3</v>
      </c>
      <c r="M31" s="42">
        <v>3.7774052721362352E-3</v>
      </c>
      <c r="N31" s="42">
        <v>1.3778615022244701E-3</v>
      </c>
      <c r="O31" s="42">
        <v>4.8451422609366102E-3</v>
      </c>
    </row>
    <row r="32" spans="1:15">
      <c r="A32" s="31">
        <v>2000</v>
      </c>
      <c r="B32" s="42">
        <v>5.3772146165053089E-2</v>
      </c>
      <c r="C32" s="42">
        <v>5.3780108174557133E-2</v>
      </c>
      <c r="D32" s="42">
        <v>5.5250573194241773E-2</v>
      </c>
      <c r="E32" s="42">
        <v>5.324319108349209E-2</v>
      </c>
      <c r="F32" s="42">
        <v>5.3151855836997927E-2</v>
      </c>
      <c r="G32" s="42">
        <v>5.4508008212371728E-2</v>
      </c>
      <c r="H32" s="42">
        <v>5.4109007619003995E-2</v>
      </c>
      <c r="I32" s="42">
        <v>5.415343020082368E-2</v>
      </c>
      <c r="J32" s="42">
        <v>5.3338958598631775E-2</v>
      </c>
      <c r="K32" s="42">
        <v>5.3600158645857113E-2</v>
      </c>
      <c r="L32" s="42">
        <v>5.3329468608259045E-2</v>
      </c>
      <c r="M32" s="42">
        <v>5.3415609563446334E-2</v>
      </c>
      <c r="N32" s="42">
        <v>5.3423810067053587E-2</v>
      </c>
      <c r="O32" s="42">
        <v>5.5326638815210986E-2</v>
      </c>
    </row>
    <row r="33" spans="1:15">
      <c r="A33" s="31">
        <v>2001</v>
      </c>
      <c r="B33" s="42">
        <v>8.316595080397704E-2</v>
      </c>
      <c r="C33" s="42">
        <v>6.0052365863502814E-2</v>
      </c>
      <c r="D33" s="42">
        <v>7.5789442951733774E-2</v>
      </c>
      <c r="E33" s="42">
        <v>6.7248450659992548E-2</v>
      </c>
      <c r="F33" s="42">
        <v>5.567528675438773E-2</v>
      </c>
      <c r="G33" s="42">
        <v>6.7496175653348534E-2</v>
      </c>
      <c r="H33" s="42">
        <v>6.4062574765504102E-2</v>
      </c>
      <c r="I33" s="42">
        <v>7.3245228833188458E-2</v>
      </c>
      <c r="J33" s="42">
        <v>6.2062074751495021E-2</v>
      </c>
      <c r="K33" s="42">
        <v>6.9125614822836232E-2</v>
      </c>
      <c r="L33" s="42">
        <v>6.1534923715173974E-2</v>
      </c>
      <c r="M33" s="42">
        <v>6.1626066742562755E-2</v>
      </c>
      <c r="N33" s="42">
        <v>6.9918588513180557E-2</v>
      </c>
      <c r="O33" s="42">
        <v>6.01556832408318E-2</v>
      </c>
    </row>
    <row r="34" spans="1:15">
      <c r="A34" s="31">
        <v>2002</v>
      </c>
      <c r="B34" s="42">
        <v>9.108403354008536E-2</v>
      </c>
      <c r="C34" s="42">
        <v>6.9522764290821104E-2</v>
      </c>
      <c r="D34" s="42">
        <v>8.4648866424997693E-2</v>
      </c>
      <c r="E34" s="42">
        <v>7.6141683284019712E-2</v>
      </c>
      <c r="F34" s="42">
        <v>6.5229256709575523E-2</v>
      </c>
      <c r="G34" s="42">
        <v>7.6747711750214595E-2</v>
      </c>
      <c r="H34" s="42">
        <v>7.3410585803253964E-2</v>
      </c>
      <c r="I34" s="42">
        <v>8.1978185962528483E-2</v>
      </c>
      <c r="J34" s="42">
        <v>7.1300375403730049E-2</v>
      </c>
      <c r="K34" s="42">
        <v>7.8020283429112922E-2</v>
      </c>
      <c r="L34" s="42">
        <v>7.0819505587584541E-2</v>
      </c>
      <c r="M34" s="42">
        <v>7.091638322953879E-2</v>
      </c>
      <c r="N34" s="42">
        <v>7.8694768694760955E-2</v>
      </c>
      <c r="O34" s="42">
        <v>7.0036303482840179E-2</v>
      </c>
    </row>
    <row r="35" spans="1:15">
      <c r="A35" s="31">
        <v>2003</v>
      </c>
      <c r="B35" s="42">
        <v>0.1332404529965239</v>
      </c>
      <c r="C35" s="42">
        <v>7.8426914327969777E-2</v>
      </c>
      <c r="D35" s="42">
        <v>0.11358289932783838</v>
      </c>
      <c r="E35" s="42">
        <v>9.6286678513551105E-2</v>
      </c>
      <c r="F35" s="42">
        <v>6.9073726241435929E-2</v>
      </c>
      <c r="G35" s="42">
        <v>9.5193089606134207E-2</v>
      </c>
      <c r="H35" s="42">
        <v>8.7583002191282511E-2</v>
      </c>
      <c r="I35" s="42">
        <v>0.10930835163582013</v>
      </c>
      <c r="J35" s="42">
        <v>8.3801374566438214E-2</v>
      </c>
      <c r="K35" s="42">
        <v>0.1003223815784017</v>
      </c>
      <c r="L35" s="42">
        <v>8.2640540177825322E-2</v>
      </c>
      <c r="M35" s="42">
        <v>8.2681251264341907E-2</v>
      </c>
      <c r="N35" s="42">
        <v>0.10230596446842272</v>
      </c>
      <c r="O35" s="42">
        <v>7.6331475281016262E-2</v>
      </c>
    </row>
    <row r="36" spans="1:15">
      <c r="A36" s="31">
        <v>2004</v>
      </c>
      <c r="B36" s="42">
        <v>0.34700947848569191</v>
      </c>
      <c r="C36" s="42">
        <v>0.19852932040815849</v>
      </c>
      <c r="D36" s="42">
        <v>0.29156490755751835</v>
      </c>
      <c r="E36" s="42">
        <v>0.24709497115744339</v>
      </c>
      <c r="F36" s="42">
        <v>0.17497604204190925</v>
      </c>
      <c r="G36" s="42">
        <v>0.24349075109857968</v>
      </c>
      <c r="H36" s="42">
        <v>0.22324093458790348</v>
      </c>
      <c r="I36" s="42">
        <v>0.28176159813388635</v>
      </c>
      <c r="J36" s="42">
        <v>0.21327173280075729</v>
      </c>
      <c r="K36" s="42">
        <v>0.25815837176706491</v>
      </c>
      <c r="L36" s="42">
        <v>0.2105164826010579</v>
      </c>
      <c r="M36" s="42">
        <v>0.21033921422564728</v>
      </c>
      <c r="N36" s="42">
        <v>0.26290746582236263</v>
      </c>
      <c r="O36" s="42">
        <v>0.1906447854370544</v>
      </c>
    </row>
    <row r="37" spans="1:15">
      <c r="A37" s="31">
        <v>2005</v>
      </c>
      <c r="B37" s="42">
        <v>8.9656256244012036E-2</v>
      </c>
      <c r="C37" s="42">
        <v>4.5919746475149167E-2</v>
      </c>
      <c r="D37" s="42">
        <v>7.2913064303601158E-2</v>
      </c>
      <c r="E37" s="42">
        <v>6.1002364015168432E-2</v>
      </c>
      <c r="F37" s="42">
        <v>3.9182426649855245E-2</v>
      </c>
      <c r="G37" s="42">
        <v>5.9374395090147754E-2</v>
      </c>
      <c r="H37" s="42">
        <v>5.3413243454603458E-2</v>
      </c>
      <c r="I37" s="42">
        <v>7.0816433412782195E-2</v>
      </c>
      <c r="J37" s="42">
        <v>5.0674871350041811E-2</v>
      </c>
      <c r="K37" s="42">
        <v>6.4288063170471116E-2</v>
      </c>
      <c r="L37" s="42">
        <v>4.9876970462951635E-2</v>
      </c>
      <c r="M37" s="42">
        <v>4.9793252876401663E-2</v>
      </c>
      <c r="N37" s="42">
        <v>6.5507815865406355E-2</v>
      </c>
      <c r="O37" s="42">
        <v>4.2294484577527387E-2</v>
      </c>
    </row>
    <row r="38" spans="1:15">
      <c r="A38" s="31">
        <v>2006</v>
      </c>
      <c r="B38" s="42">
        <v>-0.13062849988578271</v>
      </c>
      <c r="C38" s="42">
        <v>-7.9196165613677844E-2</v>
      </c>
      <c r="D38" s="42">
        <v>-0.11226734486665518</v>
      </c>
      <c r="E38" s="42">
        <v>-9.7322982553565293E-2</v>
      </c>
      <c r="F38" s="42">
        <v>-7.0417345396349779E-2</v>
      </c>
      <c r="G38" s="42">
        <v>-9.5977697405728118E-2</v>
      </c>
      <c r="H38" s="42">
        <v>-8.8605185222325022E-2</v>
      </c>
      <c r="I38" s="42">
        <v>-0.1092870910644434</v>
      </c>
      <c r="J38" s="42">
        <v>-8.4876761692833425E-2</v>
      </c>
      <c r="K38" s="42">
        <v>-0.10138625412608097</v>
      </c>
      <c r="L38" s="42">
        <v>-8.3944371428161468E-2</v>
      </c>
      <c r="M38" s="42">
        <v>-8.3819475654081294E-2</v>
      </c>
      <c r="N38" s="42">
        <v>-0.10281575194889955</v>
      </c>
      <c r="O38" s="42">
        <v>-7.5539377563015306E-2</v>
      </c>
    </row>
    <row r="39" spans="1:15">
      <c r="A39" s="31">
        <v>2007</v>
      </c>
      <c r="B39" s="42">
        <v>-0.12973976581741695</v>
      </c>
      <c r="C39" s="42">
        <v>-7.3951029657141162E-2</v>
      </c>
      <c r="D39" s="42">
        <v>-0.10996147091333908</v>
      </c>
      <c r="E39" s="42">
        <v>-9.3328431768701328E-2</v>
      </c>
      <c r="F39" s="42">
        <v>-6.4254000711235576E-2</v>
      </c>
      <c r="G39" s="42">
        <v>-9.193750561548493E-2</v>
      </c>
      <c r="H39" s="42">
        <v>-8.3978397249458561E-2</v>
      </c>
      <c r="I39" s="42">
        <v>-0.10639257085485759</v>
      </c>
      <c r="J39" s="42">
        <v>-7.998452705054046E-2</v>
      </c>
      <c r="K39" s="42">
        <v>-9.7623737394083379E-2</v>
      </c>
      <c r="L39" s="42">
        <v>-7.8920963788298423E-2</v>
      </c>
      <c r="M39" s="42">
        <v>-7.8811823852919349E-2</v>
      </c>
      <c r="N39" s="42">
        <v>-9.9380696708412167E-2</v>
      </c>
      <c r="O39" s="42">
        <v>-7.0539581337000321E-2</v>
      </c>
    </row>
    <row r="40" spans="1:15">
      <c r="A40" s="31">
        <v>2008</v>
      </c>
      <c r="B40" s="42">
        <v>0.20140223927400128</v>
      </c>
      <c r="C40" s="42">
        <v>0.10286645338691357</v>
      </c>
      <c r="D40" s="42">
        <v>0.16315751347517754</v>
      </c>
      <c r="E40" s="42">
        <v>0.13578980142227043</v>
      </c>
      <c r="F40" s="42">
        <v>8.8121201212279648E-2</v>
      </c>
      <c r="G40" s="42">
        <v>0.1321667135550631</v>
      </c>
      <c r="H40" s="42">
        <v>0.11906760309419305</v>
      </c>
      <c r="I40" s="42">
        <v>0.15806235341381242</v>
      </c>
      <c r="J40" s="42">
        <v>0.11311310738274995</v>
      </c>
      <c r="K40" s="42">
        <v>0.1428674497166498</v>
      </c>
      <c r="L40" s="42">
        <v>0.1113394088096035</v>
      </c>
      <c r="M40" s="42">
        <v>0.11111459930371984</v>
      </c>
      <c r="N40" s="42">
        <v>0.14596174635085973</v>
      </c>
      <c r="O40" s="42">
        <v>9.5585213132810556E-2</v>
      </c>
    </row>
    <row r="41" spans="1:15">
      <c r="A41" s="54">
        <v>2009</v>
      </c>
      <c r="B41" s="123">
        <v>9.5292217799544332E-2</v>
      </c>
      <c r="C41" s="123">
        <v>8.3231386375289373E-2</v>
      </c>
      <c r="D41" s="123">
        <v>8.9993750323115185E-2</v>
      </c>
      <c r="E41" s="123">
        <v>8.523149985528522E-2</v>
      </c>
      <c r="F41" s="123">
        <v>8.3043336115166788E-2</v>
      </c>
      <c r="G41" s="123">
        <v>8.6661981599322369E-2</v>
      </c>
      <c r="H41" s="123">
        <v>8.5100856972885497E-2</v>
      </c>
      <c r="I41" s="123">
        <v>8.8663308544752129E-2</v>
      </c>
      <c r="J41" s="123">
        <v>8.3507822130560738E-2</v>
      </c>
      <c r="K41" s="123">
        <v>8.717708268787705E-2</v>
      </c>
      <c r="L41" s="123">
        <v>8.3655835142579571E-2</v>
      </c>
      <c r="M41" s="123">
        <v>8.3680302546740304E-2</v>
      </c>
      <c r="N41" s="123">
        <v>8.6519774665890781E-2</v>
      </c>
      <c r="O41" s="123">
        <v>8.3537119780865199E-2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2"/>
  </sheetPr>
  <dimension ref="A1:CX151"/>
  <sheetViews>
    <sheetView topLeftCell="A10" workbookViewId="0">
      <selection activeCell="CX28" sqref="C28:CX28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Parameters!A40</f>
        <v>Basis</v>
      </c>
      <c r="C2" s="2" t="s">
        <v>129</v>
      </c>
      <c r="D2" s="1">
        <v>1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0.44477333531646007</v>
      </c>
      <c r="D4" s="95">
        <v>0.55657511436146745</v>
      </c>
      <c r="E4" s="95">
        <v>0.58094681231274625</v>
      </c>
      <c r="F4" s="95">
        <v>0.58005742646889513</v>
      </c>
      <c r="G4" s="95">
        <v>0.54669811684554637</v>
      </c>
      <c r="H4" s="95">
        <v>0.5369337642965567</v>
      </c>
      <c r="I4" s="95">
        <v>0.68122087400412856</v>
      </c>
      <c r="J4" s="95">
        <v>0.53485685947500783</v>
      </c>
      <c r="K4" s="95">
        <v>0.62143845016330501</v>
      </c>
      <c r="L4" s="95">
        <v>0.52026838896524064</v>
      </c>
      <c r="M4" s="95">
        <v>0.59450799129343412</v>
      </c>
      <c r="N4" s="95">
        <v>0.44468525858888003</v>
      </c>
      <c r="O4" s="95">
        <v>0.48481805233421638</v>
      </c>
      <c r="P4" s="95">
        <v>0.57762849978253528</v>
      </c>
      <c r="Q4" s="95">
        <v>0.57050359159033937</v>
      </c>
      <c r="R4" s="95">
        <v>0.5452082071936295</v>
      </c>
      <c r="S4" s="95">
        <v>0.43946674126497848</v>
      </c>
      <c r="T4" s="95">
        <v>0.71645128194742025</v>
      </c>
      <c r="U4" s="95">
        <v>0.66958111880617011</v>
      </c>
      <c r="V4" s="95">
        <v>0.66799687242036998</v>
      </c>
      <c r="W4" s="95">
        <v>0.6209421697669939</v>
      </c>
      <c r="X4" s="95">
        <v>0.64524317122679475</v>
      </c>
      <c r="Y4" s="95">
        <v>0.51095522171438612</v>
      </c>
      <c r="Z4" s="95">
        <v>0.62761543508656059</v>
      </c>
      <c r="AA4" s="95">
        <v>0.61495224738544385</v>
      </c>
      <c r="AB4" s="95">
        <v>0.72423243698740081</v>
      </c>
      <c r="AC4" s="95">
        <v>0.56775711557179442</v>
      </c>
      <c r="AD4" s="95">
        <v>0.54718580070435496</v>
      </c>
      <c r="AE4" s="95">
        <v>0.71101811764353018</v>
      </c>
      <c r="AF4" s="95">
        <v>0.66713441440262466</v>
      </c>
      <c r="AG4" s="95">
        <v>0.59212476383319634</v>
      </c>
      <c r="AH4" s="95">
        <v>0.65626868543606431</v>
      </c>
      <c r="AI4" s="95">
        <v>0.67678063113788012</v>
      </c>
      <c r="AJ4" s="95">
        <v>0.70299077656103137</v>
      </c>
      <c r="AK4" s="95">
        <v>0.52870051191275991</v>
      </c>
      <c r="AL4" s="95">
        <v>0.64669787675619006</v>
      </c>
      <c r="AM4" s="95">
        <v>0.54038176830823315</v>
      </c>
      <c r="AN4" s="95">
        <v>0.56530205366630171</v>
      </c>
      <c r="AO4" s="95">
        <v>0.59720380544230833</v>
      </c>
      <c r="AP4" s="95">
        <v>0.6282125668906271</v>
      </c>
      <c r="AQ4" s="95">
        <v>0.67028253169337315</v>
      </c>
      <c r="AR4" s="95">
        <v>0.53062058036853743</v>
      </c>
      <c r="AS4" s="95">
        <v>0.60851923236437011</v>
      </c>
      <c r="AT4" s="95">
        <v>0.58893440655765217</v>
      </c>
      <c r="AU4" s="95">
        <v>0.68234925031884852</v>
      </c>
      <c r="AV4" s="95">
        <v>0.70094543463552506</v>
      </c>
      <c r="AW4" s="95">
        <v>0.72510841793866931</v>
      </c>
      <c r="AX4" s="95">
        <v>0.62343215601318347</v>
      </c>
      <c r="AY4" s="95">
        <v>0.7058248196893433</v>
      </c>
      <c r="AZ4" s="95">
        <v>0.59103922006269749</v>
      </c>
      <c r="BA4" s="95">
        <v>0.57252689132680123</v>
      </c>
      <c r="BB4" s="95">
        <v>0.43323316597007111</v>
      </c>
      <c r="BC4" s="95">
        <v>0.70100985012890571</v>
      </c>
      <c r="BD4" s="95">
        <v>0.67793567424518408</v>
      </c>
      <c r="BE4" s="95">
        <v>0.75516340321147402</v>
      </c>
      <c r="BF4" s="95">
        <v>0.57745644877937385</v>
      </c>
      <c r="BG4" s="95">
        <v>0.46872610008539828</v>
      </c>
      <c r="BH4" s="95">
        <v>0.55956930749405287</v>
      </c>
      <c r="BI4" s="95">
        <v>0.71044744887367284</v>
      </c>
      <c r="BJ4" s="95">
        <v>0.61823867860970094</v>
      </c>
      <c r="BK4" s="95">
        <v>0.63297465322684254</v>
      </c>
      <c r="BL4" s="95">
        <v>0.59806964032341592</v>
      </c>
      <c r="BM4" s="95">
        <v>0.63799848377950141</v>
      </c>
      <c r="BN4" s="95">
        <v>0.58198238439626349</v>
      </c>
      <c r="BO4" s="95">
        <v>0.68898318601611042</v>
      </c>
      <c r="BP4" s="95">
        <v>0.63253368324376003</v>
      </c>
      <c r="BQ4" s="95">
        <v>0.70400429534789011</v>
      </c>
      <c r="BR4" s="95">
        <v>0.63955238595036834</v>
      </c>
      <c r="BS4" s="95">
        <v>0.71863288840815165</v>
      </c>
      <c r="BT4" s="95">
        <v>0.76837184926520496</v>
      </c>
      <c r="BU4" s="95">
        <v>0.64127856031162966</v>
      </c>
      <c r="BV4" s="95">
        <v>0.65565685169167276</v>
      </c>
      <c r="BW4" s="95">
        <v>0.65752340852339297</v>
      </c>
      <c r="BX4" s="95">
        <v>0.44779460955743267</v>
      </c>
      <c r="BY4" s="95">
        <v>0.55413616049900882</v>
      </c>
      <c r="BZ4" s="95">
        <v>0.54345175270837998</v>
      </c>
      <c r="CA4" s="95">
        <v>0.67669309463287231</v>
      </c>
      <c r="CB4" s="95">
        <v>0.5964412394430566</v>
      </c>
      <c r="CC4" s="95">
        <v>0.73226702133985333</v>
      </c>
      <c r="CD4" s="95">
        <v>0.55739669134813818</v>
      </c>
      <c r="CE4" s="95">
        <v>0.71958376015073366</v>
      </c>
      <c r="CF4" s="95">
        <v>0.53901256533038844</v>
      </c>
      <c r="CG4" s="95">
        <v>0.58457060035845376</v>
      </c>
      <c r="CH4" s="95">
        <v>0.74867234979520858</v>
      </c>
      <c r="CI4" s="95">
        <v>0.67772725293333291</v>
      </c>
      <c r="CJ4" s="95">
        <v>0.59854434708787352</v>
      </c>
      <c r="CK4" s="95">
        <v>0.73997574328283189</v>
      </c>
      <c r="CL4" s="95">
        <v>0.58644473213400938</v>
      </c>
      <c r="CM4" s="95">
        <v>0.72934477552309573</v>
      </c>
      <c r="CN4" s="95">
        <v>0.43485926274860004</v>
      </c>
      <c r="CO4" s="95">
        <v>0.60054007451628422</v>
      </c>
      <c r="CP4" s="95">
        <v>0.6895881803251025</v>
      </c>
      <c r="CQ4" s="95">
        <v>0.70921884023449289</v>
      </c>
      <c r="CR4" s="95">
        <v>0.69093771796189618</v>
      </c>
      <c r="CS4" s="95">
        <v>0.66193882463214837</v>
      </c>
      <c r="CT4" s="95">
        <v>0.65690823312442204</v>
      </c>
      <c r="CU4" s="95">
        <v>0.621815093383144</v>
      </c>
      <c r="CV4" s="95">
        <v>0.63051922410267236</v>
      </c>
      <c r="CW4" s="95">
        <v>0.53313686329721544</v>
      </c>
      <c r="CX4" s="95">
        <v>0.52752748996516563</v>
      </c>
    </row>
    <row r="5" spans="1:102" s="95" customFormat="1">
      <c r="A5" s="306" t="str">
        <f>Parameters!A51</f>
        <v>Reele matching</v>
      </c>
      <c r="B5" s="307"/>
      <c r="C5" s="95">
        <v>6.1254956801745945E-3</v>
      </c>
      <c r="D5" s="95">
        <v>2.4089699369180621E-4</v>
      </c>
      <c r="E5" s="95">
        <v>3.2702001362168484E-2</v>
      </c>
      <c r="F5" s="95">
        <v>1.6387926051117049E-2</v>
      </c>
      <c r="G5" s="95">
        <v>7.3755235812193486E-9</v>
      </c>
      <c r="H5" s="95">
        <v>3.6989308449833134E-3</v>
      </c>
      <c r="I5" s="95">
        <v>1.8087893006982389E-8</v>
      </c>
      <c r="J5" s="95">
        <v>3.9053608295443044E-3</v>
      </c>
      <c r="K5" s="95">
        <v>1.188908699507535E-3</v>
      </c>
      <c r="L5" s="95">
        <v>6.4087235954781066E-2</v>
      </c>
      <c r="M5" s="95">
        <v>1.8069446554565686E-4</v>
      </c>
      <c r="N5" s="95">
        <v>5.3809887317593855E-4</v>
      </c>
      <c r="O5" s="95">
        <v>2.7532599546886562E-2</v>
      </c>
      <c r="P5" s="95">
        <v>2.8038401954978566E-2</v>
      </c>
      <c r="Q5" s="95">
        <v>8.1811897019329234E-3</v>
      </c>
      <c r="R5" s="95">
        <v>4.769945334487698E-6</v>
      </c>
      <c r="S5" s="95">
        <v>2.8856972246009801E-2</v>
      </c>
      <c r="T5" s="95">
        <v>1.1474248518035657E-2</v>
      </c>
      <c r="U5" s="95">
        <v>6.6300272819915526E-4</v>
      </c>
      <c r="V5" s="95">
        <v>3.1584344532048459E-4</v>
      </c>
      <c r="W5" s="95">
        <v>8.6775379013091649E-10</v>
      </c>
      <c r="X5" s="95">
        <v>1.9312692041545887E-6</v>
      </c>
      <c r="Y5" s="95">
        <v>2.0571748452214385E-4</v>
      </c>
      <c r="Z5" s="95">
        <v>8.7348111801862762E-7</v>
      </c>
      <c r="AA5" s="95">
        <v>1.9406653974127969E-2</v>
      </c>
      <c r="AB5" s="95">
        <v>2.432497652696609E-8</v>
      </c>
      <c r="AC5" s="95">
        <v>3.3836614084223678E-2</v>
      </c>
      <c r="AD5" s="95">
        <v>8.4950904876288924E-2</v>
      </c>
      <c r="AE5" s="95">
        <v>1.5129085800499505E-6</v>
      </c>
      <c r="AF5" s="95">
        <v>1.1958338754369701E-14</v>
      </c>
      <c r="AG5" s="95">
        <v>5.0474232496275875E-2</v>
      </c>
      <c r="AH5" s="95">
        <v>1.2318230736360158E-2</v>
      </c>
      <c r="AI5" s="95">
        <v>5.1630119406695388E-2</v>
      </c>
      <c r="AJ5" s="95">
        <v>5.5482074071176037E-2</v>
      </c>
      <c r="AK5" s="95">
        <v>0.11977790566505228</v>
      </c>
      <c r="AL5" s="95">
        <v>3.2675819823786963E-5</v>
      </c>
      <c r="AM5" s="95">
        <v>8.071854794987339E-2</v>
      </c>
      <c r="AN5" s="95">
        <v>1.3182136927312535E-4</v>
      </c>
      <c r="AO5" s="95">
        <v>1.2070188795092583E-5</v>
      </c>
      <c r="AP5" s="95">
        <v>7.5712495135704322E-3</v>
      </c>
      <c r="AQ5" s="95">
        <v>6.328175671268213E-2</v>
      </c>
      <c r="AR5" s="95">
        <v>1.3225584705391029E-2</v>
      </c>
      <c r="AS5" s="95">
        <v>3.4187087388111862E-3</v>
      </c>
      <c r="AT5" s="95">
        <v>1.3862354275367555E-2</v>
      </c>
      <c r="AU5" s="95">
        <v>4.3289922326694236E-2</v>
      </c>
      <c r="AV5" s="95">
        <v>2.2546487206810586E-2</v>
      </c>
      <c r="AW5" s="95">
        <v>1.9054734260495082E-6</v>
      </c>
      <c r="AX5" s="95">
        <v>2.684917573927597E-2</v>
      </c>
      <c r="AY5" s="95">
        <v>2.3738068897818083E-10</v>
      </c>
      <c r="AZ5" s="95">
        <v>6.5546962844519685E-3</v>
      </c>
      <c r="BA5" s="95">
        <v>2.5854810372316867E-8</v>
      </c>
      <c r="BB5" s="95">
        <v>9.4297046684091723E-2</v>
      </c>
      <c r="BC5" s="95">
        <v>3.1477088484978978E-5</v>
      </c>
      <c r="BD5" s="95">
        <v>6.6882032419039936E-3</v>
      </c>
      <c r="BE5" s="95">
        <v>3.9651674176091427E-4</v>
      </c>
      <c r="BF5" s="95">
        <v>2.0156359828312986E-2</v>
      </c>
      <c r="BG5" s="95">
        <v>0.1100163235586108</v>
      </c>
      <c r="BH5" s="95">
        <v>2.6341980471098397E-2</v>
      </c>
      <c r="BI5" s="95">
        <v>5.2268524790700473E-7</v>
      </c>
      <c r="BJ5" s="95">
        <v>1.4608135371637714E-7</v>
      </c>
      <c r="BK5" s="95">
        <v>4.2464049343695117E-5</v>
      </c>
      <c r="BL5" s="95">
        <v>9.9415672418315615E-2</v>
      </c>
      <c r="BM5" s="95">
        <v>6.6936455398219907E-2</v>
      </c>
      <c r="BN5" s="95">
        <v>3.0856328856837791E-2</v>
      </c>
      <c r="BO5" s="95">
        <v>1.1945277150195348E-2</v>
      </c>
      <c r="BP5" s="95">
        <v>1.336784518316569E-7</v>
      </c>
      <c r="BQ5" s="95">
        <v>8.6870559435621929E-6</v>
      </c>
      <c r="BR5" s="95">
        <v>1.9790328291242231E-2</v>
      </c>
      <c r="BS5" s="95">
        <v>1.5074814609782193E-3</v>
      </c>
      <c r="BT5" s="95">
        <v>2.018695239193094E-2</v>
      </c>
      <c r="BU5" s="95">
        <v>2.9879795289645881E-2</v>
      </c>
      <c r="BV5" s="95">
        <v>1.0204430903629812E-2</v>
      </c>
      <c r="BW5" s="95">
        <v>2.5598291262743503E-2</v>
      </c>
      <c r="BX5" s="95">
        <v>0.1317361142684402</v>
      </c>
      <c r="BY5" s="95">
        <v>2.9005880008408199E-2</v>
      </c>
      <c r="BZ5" s="95">
        <v>4.6929331863706278E-2</v>
      </c>
      <c r="CA5" s="95">
        <v>8.8325956990654656E-3</v>
      </c>
      <c r="CB5" s="95">
        <v>1.639023554459488E-3</v>
      </c>
      <c r="CC5" s="95">
        <v>4.8412925413933875E-5</v>
      </c>
      <c r="CD5" s="95">
        <v>1.2392337068600573E-2</v>
      </c>
      <c r="CE5" s="95">
        <v>2.7170487274479624E-4</v>
      </c>
      <c r="CF5" s="95">
        <v>7.7329027868388758E-2</v>
      </c>
      <c r="CG5" s="95">
        <v>1.2571941879033656E-2</v>
      </c>
      <c r="CH5" s="95">
        <v>1.2858188981813973E-3</v>
      </c>
      <c r="CI5" s="95">
        <v>7.6310317949114456E-3</v>
      </c>
      <c r="CJ5" s="95">
        <v>2.1254441931826257E-2</v>
      </c>
      <c r="CK5" s="95">
        <v>1.8469670257910301E-2</v>
      </c>
      <c r="CL5" s="95">
        <v>5.9670581854295249E-4</v>
      </c>
      <c r="CM5" s="95">
        <v>6.233268235429635E-7</v>
      </c>
      <c r="CN5" s="95">
        <v>0.11392361552891782</v>
      </c>
      <c r="CO5" s="95">
        <v>1.7838725293374423E-5</v>
      </c>
      <c r="CP5" s="95">
        <v>4.8584762168727355E-3</v>
      </c>
      <c r="CQ5" s="95">
        <v>2.8068265699004015E-4</v>
      </c>
      <c r="CR5" s="95">
        <v>1.0196518625512577E-5</v>
      </c>
      <c r="CS5" s="95">
        <v>6.9141822680236817E-2</v>
      </c>
      <c r="CT5" s="95">
        <v>8.2494820737448932E-2</v>
      </c>
      <c r="CU5" s="95">
        <v>3.7222290429547319E-2</v>
      </c>
      <c r="CV5" s="95">
        <v>1.1163556873838677E-4</v>
      </c>
      <c r="CW5" s="95">
        <v>3.8519103994993459E-6</v>
      </c>
      <c r="CX5" s="95">
        <v>4.3323442738311013E-2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0.2661274745485121</v>
      </c>
      <c r="D7" s="95">
        <v>0.1541227183474094</v>
      </c>
      <c r="E7" s="95">
        <v>0.13965881873715466</v>
      </c>
      <c r="F7" s="95">
        <v>8.8998036183003139E-4</v>
      </c>
      <c r="G7" s="95">
        <v>1.2612213396830862E-3</v>
      </c>
      <c r="H7" s="95">
        <v>0.18643946564435804</v>
      </c>
      <c r="I7" s="95">
        <v>4.3320833338227334E-5</v>
      </c>
      <c r="J7" s="95">
        <v>7.7272984494372934E-2</v>
      </c>
      <c r="K7" s="95">
        <v>1.3059023274641902E-2</v>
      </c>
      <c r="L7" s="95">
        <v>4.5967111054397242E-2</v>
      </c>
      <c r="M7" s="95">
        <v>2.4545420773969115E-12</v>
      </c>
      <c r="N7" s="95">
        <v>9.5412177841374984E-2</v>
      </c>
      <c r="O7" s="95">
        <v>0.10382943749370196</v>
      </c>
      <c r="P7" s="95">
        <v>0.16639574247881098</v>
      </c>
      <c r="Q7" s="95">
        <v>4.7246114866619027E-3</v>
      </c>
      <c r="R7" s="95">
        <v>9.9593303571265807E-2</v>
      </c>
      <c r="S7" s="95">
        <v>0.11652530449555226</v>
      </c>
      <c r="T7" s="95">
        <v>2.4470624748609945E-2</v>
      </c>
      <c r="U7" s="95">
        <v>5.0936600520169665E-5</v>
      </c>
      <c r="V7" s="95">
        <v>4.054398978841094E-3</v>
      </c>
      <c r="W7" s="95">
        <v>0.1528828566160787</v>
      </c>
      <c r="X7" s="95">
        <v>4.4234498279117007E-5</v>
      </c>
      <c r="Y7" s="95">
        <v>0.20685083990066847</v>
      </c>
      <c r="Z7" s="95">
        <v>6.0770809221114637E-4</v>
      </c>
      <c r="AA7" s="95">
        <v>1.9053901753326392E-4</v>
      </c>
      <c r="AB7" s="95">
        <v>0.10637147329952173</v>
      </c>
      <c r="AC7" s="95">
        <v>6.7835231114761071E-2</v>
      </c>
      <c r="AD7" s="95">
        <v>8.4284191328906868E-2</v>
      </c>
      <c r="AE7" s="95">
        <v>1.2810505419042238E-4</v>
      </c>
      <c r="AF7" s="95">
        <v>4.9455403293786079E-4</v>
      </c>
      <c r="AG7" s="95">
        <v>6.4955218878132312E-2</v>
      </c>
      <c r="AH7" s="95">
        <v>9.0509043209227133E-2</v>
      </c>
      <c r="AI7" s="95">
        <v>6.3200634143156613E-10</v>
      </c>
      <c r="AJ7" s="95">
        <v>5.7727350081927488E-3</v>
      </c>
      <c r="AK7" s="95">
        <v>5.6522090591855992E-2</v>
      </c>
      <c r="AL7" s="95">
        <v>6.79287591620353E-3</v>
      </c>
      <c r="AM7" s="95">
        <v>3.3036029401801753E-2</v>
      </c>
      <c r="AN7" s="95">
        <v>1.1964436905650298E-3</v>
      </c>
      <c r="AO7" s="95">
        <v>0.16414059009661316</v>
      </c>
      <c r="AP7" s="95">
        <v>0.10000562457711641</v>
      </c>
      <c r="AQ7" s="95">
        <v>6.7994023662788349E-3</v>
      </c>
      <c r="AR7" s="95">
        <v>0.21161837481803975</v>
      </c>
      <c r="AS7" s="95">
        <v>1.5478148192850452E-3</v>
      </c>
      <c r="AT7" s="95">
        <v>9.3448694503353927E-2</v>
      </c>
      <c r="AU7" s="95">
        <v>1.0142194035464875E-4</v>
      </c>
      <c r="AV7" s="95">
        <v>0.12786748758850558</v>
      </c>
      <c r="AW7" s="95">
        <v>2.0145295401826995E-3</v>
      </c>
      <c r="AX7" s="95">
        <v>0.11847226912926348</v>
      </c>
      <c r="AY7" s="95">
        <v>3.0706197108771347E-2</v>
      </c>
      <c r="AZ7" s="95">
        <v>9.3942898442415365E-2</v>
      </c>
      <c r="BA7" s="95">
        <v>0.11064342615761906</v>
      </c>
      <c r="BB7" s="95">
        <v>0.23094284353664507</v>
      </c>
      <c r="BC7" s="95">
        <v>0.11944174579508099</v>
      </c>
      <c r="BD7" s="95">
        <v>8.5184362959295781E-2</v>
      </c>
      <c r="BE7" s="95">
        <v>2.3491321399742342E-2</v>
      </c>
      <c r="BF7" s="95">
        <v>0.13979629456731593</v>
      </c>
      <c r="BG7" s="95">
        <v>6.1253853947018877E-2</v>
      </c>
      <c r="BH7" s="95">
        <v>0.14936479611485864</v>
      </c>
      <c r="BI7" s="95">
        <v>5.3478206531144736E-4</v>
      </c>
      <c r="BJ7" s="95">
        <v>9.2180969950752655E-3</v>
      </c>
      <c r="BK7" s="95">
        <v>1.3325699218499307E-4</v>
      </c>
      <c r="BL7" s="95">
        <v>8.9958930533877837E-2</v>
      </c>
      <c r="BM7" s="95">
        <v>1.4677697303569786E-2</v>
      </c>
      <c r="BN7" s="95">
        <v>0.11026022367642815</v>
      </c>
      <c r="BO7" s="95">
        <v>4.2933918323007506E-3</v>
      </c>
      <c r="BP7" s="95">
        <v>2.8358760995788275E-2</v>
      </c>
      <c r="BQ7" s="95">
        <v>9.3344204066054842E-2</v>
      </c>
      <c r="BR7" s="95">
        <v>3.528679831205383E-4</v>
      </c>
      <c r="BS7" s="95">
        <v>6.9491588252300118E-5</v>
      </c>
      <c r="BT7" s="95">
        <v>9.3049378083447803E-4</v>
      </c>
      <c r="BU7" s="95">
        <v>1.6003092552734396E-2</v>
      </c>
      <c r="BV7" s="95">
        <v>7.5338476583386826E-2</v>
      </c>
      <c r="BW7" s="95">
        <v>7.1736706913523185E-2</v>
      </c>
      <c r="BX7" s="95">
        <v>9.590201066414912E-2</v>
      </c>
      <c r="BY7" s="95">
        <v>1.7248974538244682E-2</v>
      </c>
      <c r="BZ7" s="95">
        <v>7.0475531532372735E-8</v>
      </c>
      <c r="CA7" s="95">
        <v>3.3640799087520528E-4</v>
      </c>
      <c r="CB7" s="95">
        <v>0.12979367852583168</v>
      </c>
      <c r="CC7" s="95">
        <v>6.6740170538919993E-2</v>
      </c>
      <c r="CD7" s="95">
        <v>0.21076147082151447</v>
      </c>
      <c r="CE7" s="95">
        <v>2.2125140477368471E-3</v>
      </c>
      <c r="CF7" s="95">
        <v>9.7945749254242515E-2</v>
      </c>
      <c r="CG7" s="95">
        <v>0.12300090409645235</v>
      </c>
      <c r="CH7" s="95">
        <v>3.1097707248342076E-5</v>
      </c>
      <c r="CI7" s="95">
        <v>2.4079937135129879E-2</v>
      </c>
      <c r="CJ7" s="95">
        <v>0.16467800504130606</v>
      </c>
      <c r="CK7" s="95">
        <v>2.3216048248960602E-2</v>
      </c>
      <c r="CL7" s="95">
        <v>8.9738913534685175E-2</v>
      </c>
      <c r="CM7" s="95">
        <v>3.3385362325547688E-2</v>
      </c>
      <c r="CN7" s="95">
        <v>0.10739628130752465</v>
      </c>
      <c r="CO7" s="95">
        <v>0.16557536842966189</v>
      </c>
      <c r="CP7" s="95">
        <v>3.0313561547577479E-2</v>
      </c>
      <c r="CQ7" s="95">
        <v>5.3104269535553549E-2</v>
      </c>
      <c r="CR7" s="95">
        <v>1.5854735864718709E-3</v>
      </c>
      <c r="CS7" s="95">
        <v>6.4339363513721531E-3</v>
      </c>
      <c r="CT7" s="95">
        <v>2.0042616575710572E-5</v>
      </c>
      <c r="CU7" s="95">
        <v>7.7259849420387883E-2</v>
      </c>
      <c r="CV7" s="95">
        <v>2.315249784038052E-2</v>
      </c>
      <c r="CW7" s="95">
        <v>0.10191451602012762</v>
      </c>
      <c r="CX7" s="95">
        <v>9.196163561823463E-2</v>
      </c>
    </row>
    <row r="8" spans="1:102" s="95" customFormat="1">
      <c r="A8" s="306" t="str">
        <f>Parameters!A54</f>
        <v>Emerging market debt</v>
      </c>
      <c r="B8" s="307"/>
      <c r="C8" s="95">
        <v>9.7495614848022038E-5</v>
      </c>
      <c r="D8" s="95">
        <v>1.1547794223983093E-2</v>
      </c>
      <c r="E8" s="95">
        <v>4.9786967394662169E-3</v>
      </c>
      <c r="F8" s="95">
        <v>3.5051618502498494E-2</v>
      </c>
      <c r="G8" s="95">
        <v>0.10993979730788804</v>
      </c>
      <c r="H8" s="95">
        <v>0.1313662876860629</v>
      </c>
      <c r="I8" s="95">
        <v>4.7559094288166459E-7</v>
      </c>
      <c r="J8" s="95">
        <v>3.1313755741210064E-2</v>
      </c>
      <c r="K8" s="95">
        <v>8.3379308668225904E-2</v>
      </c>
      <c r="L8" s="95">
        <v>0.16416215135855558</v>
      </c>
      <c r="M8" s="95">
        <v>1.3988176040575474E-6</v>
      </c>
      <c r="N8" s="95">
        <v>5.9189643619587048E-3</v>
      </c>
      <c r="O8" s="95">
        <v>8.8576804075386515E-5</v>
      </c>
      <c r="P8" s="95">
        <v>8.3161586832736707E-6</v>
      </c>
      <c r="Q8" s="95">
        <v>7.1932807514578578E-8</v>
      </c>
      <c r="R8" s="95">
        <v>1.8999051493583364E-7</v>
      </c>
      <c r="S8" s="95">
        <v>5.2579505944161116E-2</v>
      </c>
      <c r="T8" s="95">
        <v>6.6104307240788553E-15</v>
      </c>
      <c r="U8" s="95">
        <v>6.3689518279581747E-2</v>
      </c>
      <c r="V8" s="95">
        <v>0.12087607862149244</v>
      </c>
      <c r="W8" s="95">
        <v>7.3028154907658142E-7</v>
      </c>
      <c r="X8" s="95">
        <v>0.11088080105955325</v>
      </c>
      <c r="Y8" s="95">
        <v>2.3848473291262398E-2</v>
      </c>
      <c r="Z8" s="95">
        <v>2.880768427499366E-2</v>
      </c>
      <c r="AA8" s="95">
        <v>2.8368045097162411E-3</v>
      </c>
      <c r="AB8" s="95">
        <v>4.7707266894365177E-3</v>
      </c>
      <c r="AC8" s="95">
        <v>9.4233094583729485E-2</v>
      </c>
      <c r="AD8" s="95">
        <v>4.3281790669402437E-2</v>
      </c>
      <c r="AE8" s="95">
        <v>7.8824551785458324E-4</v>
      </c>
      <c r="AF8" s="95">
        <v>2.8079767513226422E-2</v>
      </c>
      <c r="AG8" s="95">
        <v>9.7197640964895887E-2</v>
      </c>
      <c r="AH8" s="95">
        <v>6.8863347964664716E-13</v>
      </c>
      <c r="AI8" s="95">
        <v>1.5106063795321071E-2</v>
      </c>
      <c r="AJ8" s="95">
        <v>1.3325319976051936E-2</v>
      </c>
      <c r="AK8" s="95">
        <v>5.7171731685240992E-2</v>
      </c>
      <c r="AL8" s="95">
        <v>2.5986538387601271E-3</v>
      </c>
      <c r="AM8" s="95">
        <v>1.8376647723711748E-4</v>
      </c>
      <c r="AN8" s="95">
        <v>0.18285272910191847</v>
      </c>
      <c r="AO8" s="95">
        <v>0.15416792923618328</v>
      </c>
      <c r="AP8" s="95">
        <v>0.11315523492316502</v>
      </c>
      <c r="AQ8" s="95">
        <v>5.8958841899381456E-2</v>
      </c>
      <c r="AR8" s="95">
        <v>6.7276578439922612E-3</v>
      </c>
      <c r="AS8" s="95">
        <v>3.4182593317749747E-2</v>
      </c>
      <c r="AT8" s="95">
        <v>1.1065631298755339E-12</v>
      </c>
      <c r="AU8" s="95">
        <v>0.13540905728584537</v>
      </c>
      <c r="AV8" s="95">
        <v>3.7958536147015688E-10</v>
      </c>
      <c r="AW8" s="95">
        <v>6.118240566256232E-2</v>
      </c>
      <c r="AX8" s="95">
        <v>3.4656432225505696E-9</v>
      </c>
      <c r="AY8" s="95">
        <v>2.8822438825068402E-3</v>
      </c>
      <c r="AZ8" s="95">
        <v>7.0936833540421514E-3</v>
      </c>
      <c r="BA8" s="95">
        <v>0.18452913181059802</v>
      </c>
      <c r="BB8" s="95">
        <v>3.5873811429084389E-8</v>
      </c>
      <c r="BC8" s="95">
        <v>4.4117642925243207E-2</v>
      </c>
      <c r="BD8" s="95">
        <v>0.14181050241917953</v>
      </c>
      <c r="BE8" s="95">
        <v>2.1855091047216252E-2</v>
      </c>
      <c r="BF8" s="95">
        <v>2.626897545988802E-2</v>
      </c>
      <c r="BG8" s="95">
        <v>0.11155140244999485</v>
      </c>
      <c r="BH8" s="95">
        <v>4.2284703637450335E-2</v>
      </c>
      <c r="BI8" s="95">
        <v>0.1118736438689536</v>
      </c>
      <c r="BJ8" s="95">
        <v>1.0020976149996117E-2</v>
      </c>
      <c r="BK8" s="95">
        <v>7.4083296610953479E-4</v>
      </c>
      <c r="BL8" s="95">
        <v>1.3827428216850419E-2</v>
      </c>
      <c r="BM8" s="95">
        <v>5.4935200103201305E-2</v>
      </c>
      <c r="BN8" s="95">
        <v>9.9492846558066103E-2</v>
      </c>
      <c r="BO8" s="95">
        <v>0.14951688533031829</v>
      </c>
      <c r="BP8" s="95">
        <v>2.3046370849937118E-4</v>
      </c>
      <c r="BQ8" s="95">
        <v>3.9514028441670943E-2</v>
      </c>
      <c r="BR8" s="95">
        <v>5.8733279872017848E-7</v>
      </c>
      <c r="BS8" s="95">
        <v>3.2653901545081292E-2</v>
      </c>
      <c r="BT8" s="95">
        <v>3.7841521667025098E-2</v>
      </c>
      <c r="BU8" s="95">
        <v>2.4260705719252978E-4</v>
      </c>
      <c r="BV8" s="95">
        <v>0.13220245653965151</v>
      </c>
      <c r="BW8" s="95">
        <v>0.12215358189380049</v>
      </c>
      <c r="BX8" s="95">
        <v>5.6638937323456019E-2</v>
      </c>
      <c r="BY8" s="95">
        <v>8.2487164750306161E-4</v>
      </c>
      <c r="BZ8" s="95">
        <v>0.14292430459898212</v>
      </c>
      <c r="CA8" s="95">
        <v>5.7902388409309736E-4</v>
      </c>
      <c r="CB8" s="95">
        <v>0.17661249662735248</v>
      </c>
      <c r="CC8" s="95">
        <v>2.8319943304276407E-5</v>
      </c>
      <c r="CD8" s="95">
        <v>1.9555306883637345E-2</v>
      </c>
      <c r="CE8" s="95">
        <v>2.475654223065961E-3</v>
      </c>
      <c r="CF8" s="95">
        <v>1.1907258126320852E-2</v>
      </c>
      <c r="CG8" s="95">
        <v>2.8517860205243158E-5</v>
      </c>
      <c r="CH8" s="95">
        <v>9.7699387154269735E-3</v>
      </c>
      <c r="CI8" s="95">
        <v>2.7941998161147397E-2</v>
      </c>
      <c r="CJ8" s="95">
        <v>3.5854559575401269E-2</v>
      </c>
      <c r="CK8" s="95">
        <v>1.1664224480507984E-3</v>
      </c>
      <c r="CL8" s="95">
        <v>9.0029229820785505E-5</v>
      </c>
      <c r="CM8" s="95">
        <v>8.8091987713639325E-2</v>
      </c>
      <c r="CN8" s="95">
        <v>1.4191618453862829E-2</v>
      </c>
      <c r="CO8" s="95">
        <v>3.7616287034539912E-8</v>
      </c>
      <c r="CP8" s="95">
        <v>1.5050807255397544E-7</v>
      </c>
      <c r="CQ8" s="95">
        <v>7.7776719066672106E-2</v>
      </c>
      <c r="CR8" s="95">
        <v>9.0345524466541316E-2</v>
      </c>
      <c r="CS8" s="95">
        <v>1.0017427144462764E-2</v>
      </c>
      <c r="CT8" s="95">
        <v>3.9419816544420011E-11</v>
      </c>
      <c r="CU8" s="95">
        <v>5.1329221081792761E-2</v>
      </c>
      <c r="CV8" s="95">
        <v>1.0597726207050576E-2</v>
      </c>
      <c r="CW8" s="95">
        <v>8.0095131637098755E-13</v>
      </c>
      <c r="CX8" s="95">
        <v>1.9198738068657754E-13</v>
      </c>
    </row>
    <row r="9" spans="1:102" s="95" customFormat="1">
      <c r="A9" s="306" t="str">
        <f>Parameters!A55</f>
        <v>Aandelen ontwikkeld</v>
      </c>
      <c r="B9" s="307"/>
      <c r="C9" s="95">
        <v>2.4268202976100742E-6</v>
      </c>
      <c r="D9" s="95">
        <v>8.8994674893600568E-5</v>
      </c>
      <c r="E9" s="95">
        <v>5.5843018910400909E-2</v>
      </c>
      <c r="F9" s="95">
        <v>0.10495446199121719</v>
      </c>
      <c r="G9" s="95">
        <v>0.16702715410176808</v>
      </c>
      <c r="H9" s="95">
        <v>4.563218627567589E-2</v>
      </c>
      <c r="I9" s="95">
        <v>9.7017392326913102E-2</v>
      </c>
      <c r="J9" s="95">
        <v>0.10642493664839899</v>
      </c>
      <c r="K9" s="95">
        <v>0.15278588410628186</v>
      </c>
      <c r="L9" s="95">
        <v>2.6587700356438176E-2</v>
      </c>
      <c r="M9" s="95">
        <v>6.6043317974206858E-2</v>
      </c>
      <c r="N9" s="95">
        <v>8.2807594878927453E-4</v>
      </c>
      <c r="O9" s="95">
        <v>1.4921411279509085E-5</v>
      </c>
      <c r="P9" s="95">
        <v>4.9379673939428691E-4</v>
      </c>
      <c r="Q9" s="95">
        <v>0.20410882616540116</v>
      </c>
      <c r="R9" s="95">
        <v>0.12499683901537066</v>
      </c>
      <c r="S9" s="95">
        <v>4.3820880186852421E-4</v>
      </c>
      <c r="T9" s="95">
        <v>7.8638635602224963E-2</v>
      </c>
      <c r="U9" s="95">
        <v>0.11966627753861855</v>
      </c>
      <c r="V9" s="95">
        <v>9.8706769494752752E-2</v>
      </c>
      <c r="W9" s="95">
        <v>6.7240460841224287E-2</v>
      </c>
      <c r="X9" s="95">
        <v>7.1996165375827745E-2</v>
      </c>
      <c r="Y9" s="95">
        <v>1.0830053970004748E-2</v>
      </c>
      <c r="Z9" s="95">
        <v>8.8178773778631189E-2</v>
      </c>
      <c r="AA9" s="95">
        <v>0.13060175023388204</v>
      </c>
      <c r="AB9" s="95">
        <v>9.3135402065296091E-5</v>
      </c>
      <c r="AC9" s="95">
        <v>5.8258365130584147E-2</v>
      </c>
      <c r="AD9" s="95">
        <v>1.6112973274166682E-2</v>
      </c>
      <c r="AE9" s="95">
        <v>4.7571024743124307E-7</v>
      </c>
      <c r="AF9" s="95">
        <v>9.5377700688217215E-2</v>
      </c>
      <c r="AG9" s="95">
        <v>7.8861282436211211E-2</v>
      </c>
      <c r="AH9" s="95">
        <v>0.1306334410582016</v>
      </c>
      <c r="AI9" s="95">
        <v>8.8191225306789689E-2</v>
      </c>
      <c r="AJ9" s="95">
        <v>8.4034605324087158E-2</v>
      </c>
      <c r="AK9" s="95">
        <v>0.12779641947584414</v>
      </c>
      <c r="AL9" s="95">
        <v>8.7983899300888929E-2</v>
      </c>
      <c r="AM9" s="95">
        <v>5.3971822373525165E-2</v>
      </c>
      <c r="AN9" s="95">
        <v>7.9828883884968518E-2</v>
      </c>
      <c r="AO9" s="95">
        <v>1.4342458222423423E-7</v>
      </c>
      <c r="AP9" s="95">
        <v>4.0007567300637537E-3</v>
      </c>
      <c r="AQ9" s="95">
        <v>4.1890790868257029E-3</v>
      </c>
      <c r="AR9" s="95">
        <v>2.0620850311622582E-2</v>
      </c>
      <c r="AS9" s="95">
        <v>8.6200682390177169E-2</v>
      </c>
      <c r="AT9" s="95">
        <v>0.13787091707835775</v>
      </c>
      <c r="AU9" s="95">
        <v>1.4896797679488257E-3</v>
      </c>
      <c r="AV9" s="95">
        <v>1.9364719878154166E-2</v>
      </c>
      <c r="AW9" s="95">
        <v>0.13645960481040439</v>
      </c>
      <c r="AX9" s="95">
        <v>7.977555639647917E-3</v>
      </c>
      <c r="AY9" s="95">
        <v>1.747272616772958E-3</v>
      </c>
      <c r="AZ9" s="95">
        <v>0.1100816401557748</v>
      </c>
      <c r="BA9" s="95">
        <v>2.4796962101258007E-5</v>
      </c>
      <c r="BB9" s="95">
        <v>8.0879806872316912E-9</v>
      </c>
      <c r="BC9" s="95">
        <v>1.6438904010686634E-4</v>
      </c>
      <c r="BD9" s="95">
        <v>1.0208811613465636E-5</v>
      </c>
      <c r="BE9" s="95">
        <v>1.0803914750101085E-2</v>
      </c>
      <c r="BF9" s="95">
        <v>0.10389916099383946</v>
      </c>
      <c r="BG9" s="95">
        <v>8.6163897840772538E-2</v>
      </c>
      <c r="BH9" s="95">
        <v>5.4856802785040452E-2</v>
      </c>
      <c r="BI9" s="95">
        <v>0.10015829260198683</v>
      </c>
      <c r="BJ9" s="95">
        <v>0.10885933976494748</v>
      </c>
      <c r="BK9" s="95">
        <v>0.16426613237892465</v>
      </c>
      <c r="BL9" s="95">
        <v>0.14123114642263221</v>
      </c>
      <c r="BM9" s="95">
        <v>0.13064711015525085</v>
      </c>
      <c r="BN9" s="95">
        <v>7.3110113043237571E-2</v>
      </c>
      <c r="BO9" s="95">
        <v>5.2939632737607223E-4</v>
      </c>
      <c r="BP9" s="95">
        <v>3.8575887879761052E-2</v>
      </c>
      <c r="BQ9" s="95">
        <v>2.7596635524636412E-2</v>
      </c>
      <c r="BR9" s="95">
        <v>0.16769239089204124</v>
      </c>
      <c r="BS9" s="95">
        <v>6.9233256725516765E-2</v>
      </c>
      <c r="BT9" s="95">
        <v>6.0461109551680622E-3</v>
      </c>
      <c r="BU9" s="95">
        <v>3.5367009927237542E-3</v>
      </c>
      <c r="BV9" s="95">
        <v>4.2860337128605378E-3</v>
      </c>
      <c r="BW9" s="95">
        <v>1.6980416232819689E-2</v>
      </c>
      <c r="BX9" s="95">
        <v>1.8576993770325317E-2</v>
      </c>
      <c r="BY9" s="95">
        <v>8.9645196441848346E-2</v>
      </c>
      <c r="BZ9" s="95">
        <v>3.2109650328577391E-2</v>
      </c>
      <c r="CA9" s="95">
        <v>3.989893475631108E-2</v>
      </c>
      <c r="CB9" s="95">
        <v>4.2145771179589016E-5</v>
      </c>
      <c r="CC9" s="95">
        <v>4.6973241268858941E-2</v>
      </c>
      <c r="CD9" s="95">
        <v>4.6423457669123487E-3</v>
      </c>
      <c r="CE9" s="95">
        <v>0.13480072538633711</v>
      </c>
      <c r="CF9" s="95">
        <v>0.1557724483640113</v>
      </c>
      <c r="CG9" s="95">
        <v>0.10096827562138873</v>
      </c>
      <c r="CH9" s="95">
        <v>1.411043671708517E-2</v>
      </c>
      <c r="CI9" s="95">
        <v>2.7201845904516889E-8</v>
      </c>
      <c r="CJ9" s="95">
        <v>2.8611314205447567E-2</v>
      </c>
      <c r="CK9" s="95">
        <v>6.909047617357271E-2</v>
      </c>
      <c r="CL9" s="95">
        <v>6.5838422911249833E-2</v>
      </c>
      <c r="CM9" s="95">
        <v>2.5326756263084823E-10</v>
      </c>
      <c r="CN9" s="95">
        <v>6.0622784556346142E-2</v>
      </c>
      <c r="CO9" s="95">
        <v>5.6734951170879108E-2</v>
      </c>
      <c r="CP9" s="95">
        <v>9.8904372590288558E-2</v>
      </c>
      <c r="CQ9" s="95">
        <v>6.5223052982514199E-2</v>
      </c>
      <c r="CR9" s="95">
        <v>6.828234848395133E-2</v>
      </c>
      <c r="CS9" s="95">
        <v>1.5724457825760957E-2</v>
      </c>
      <c r="CT9" s="95">
        <v>0.10760247359636146</v>
      </c>
      <c r="CU9" s="95">
        <v>0.16168255047676219</v>
      </c>
      <c r="CV9" s="95">
        <v>6.062366059711834E-4</v>
      </c>
      <c r="CW9" s="95">
        <v>1.8445173544080007E-3</v>
      </c>
      <c r="CX9" s="95">
        <v>4.7402807490088031E-2</v>
      </c>
    </row>
    <row r="10" spans="1:102" s="95" customFormat="1">
      <c r="A10" s="306" t="str">
        <f>Parameters!A56</f>
        <v>Aandelen opkomend</v>
      </c>
      <c r="B10" s="307"/>
      <c r="C10" s="95">
        <v>2.0113538378218217E-20</v>
      </c>
      <c r="D10" s="95">
        <v>1.9943264703935613E-2</v>
      </c>
      <c r="E10" s="95">
        <v>1.3048653359565857E-2</v>
      </c>
      <c r="F10" s="95">
        <v>2.2142532381637238E-5</v>
      </c>
      <c r="G10" s="95">
        <v>3.8948425620815717E-11</v>
      </c>
      <c r="H10" s="95">
        <v>4.1966478286980662E-7</v>
      </c>
      <c r="I10" s="95">
        <v>5.1945148830141903E-2</v>
      </c>
      <c r="J10" s="95">
        <v>1.5912603186564907E-10</v>
      </c>
      <c r="K10" s="95">
        <v>1.4458982790468767E-2</v>
      </c>
      <c r="L10" s="95">
        <v>4.0218912558736511E-2</v>
      </c>
      <c r="M10" s="95">
        <v>5.7654815209158841E-2</v>
      </c>
      <c r="N10" s="95">
        <v>1.8455590440486884E-10</v>
      </c>
      <c r="O10" s="95">
        <v>3.1033801575659315E-2</v>
      </c>
      <c r="P10" s="95">
        <v>4.9003595623550878E-3</v>
      </c>
      <c r="Q10" s="95">
        <v>4.672714587569648E-3</v>
      </c>
      <c r="R10" s="95">
        <v>1.1755116550023121E-15</v>
      </c>
      <c r="S10" s="95">
        <v>5.218217266535633E-9</v>
      </c>
      <c r="T10" s="95">
        <v>2.3184889027818258E-2</v>
      </c>
      <c r="U10" s="95">
        <v>8.7500267877452729E-6</v>
      </c>
      <c r="V10" s="95">
        <v>1.895584929153718E-3</v>
      </c>
      <c r="W10" s="95">
        <v>9.6575517996456011E-7</v>
      </c>
      <c r="X10" s="95">
        <v>2.7895101695296871E-6</v>
      </c>
      <c r="Y10" s="95">
        <v>6.8412207921272564E-3</v>
      </c>
      <c r="Z10" s="95">
        <v>1.9766945847193069E-7</v>
      </c>
      <c r="AA10" s="95">
        <v>4.9366099447750979E-2</v>
      </c>
      <c r="AB10" s="95">
        <v>1.753165245167752E-2</v>
      </c>
      <c r="AC10" s="95">
        <v>3.2758753772505575E-2</v>
      </c>
      <c r="AD10" s="95">
        <v>6.3783912107661073E-2</v>
      </c>
      <c r="AE10" s="95">
        <v>0.13356310049337422</v>
      </c>
      <c r="AF10" s="95">
        <v>5.171906091861174E-4</v>
      </c>
      <c r="AG10" s="95">
        <v>5.5323520544472461E-4</v>
      </c>
      <c r="AH10" s="95">
        <v>3.1136242442189495E-2</v>
      </c>
      <c r="AI10" s="95">
        <v>4.7458553211673214E-2</v>
      </c>
      <c r="AJ10" s="95">
        <v>6.0018691349646706E-2</v>
      </c>
      <c r="AK10" s="95">
        <v>4.7646685090284082E-8</v>
      </c>
      <c r="AL10" s="95">
        <v>1.1427353573080834E-6</v>
      </c>
      <c r="AM10" s="95">
        <v>3.4138646637181564E-3</v>
      </c>
      <c r="AN10" s="95">
        <v>9.8125769576837035E-4</v>
      </c>
      <c r="AO10" s="95">
        <v>1.9343210116327145E-2</v>
      </c>
      <c r="AP10" s="95">
        <v>1.2497329332909153E-2</v>
      </c>
      <c r="AQ10" s="95">
        <v>0.10036449790214039</v>
      </c>
      <c r="AR10" s="95">
        <v>7.3994400041731086E-13</v>
      </c>
      <c r="AS10" s="95">
        <v>4.8837594373373259E-7</v>
      </c>
      <c r="AT10" s="95">
        <v>1.3639886306013597E-15</v>
      </c>
      <c r="AU10" s="95">
        <v>7.0434144306980015E-2</v>
      </c>
      <c r="AV10" s="95">
        <v>1.6391883175963951E-2</v>
      </c>
      <c r="AW10" s="95">
        <v>5.1726001667255453E-2</v>
      </c>
      <c r="AX10" s="95">
        <v>1.0979218255909815E-4</v>
      </c>
      <c r="AY10" s="95">
        <v>7.3719595674064234E-2</v>
      </c>
      <c r="AZ10" s="95">
        <v>1.1527977360606208E-3</v>
      </c>
      <c r="BA10" s="95">
        <v>3.8667328312383849E-9</v>
      </c>
      <c r="BB10" s="95">
        <v>6.649038367805611E-3</v>
      </c>
      <c r="BC10" s="95">
        <v>1.9722190774866813E-13</v>
      </c>
      <c r="BD10" s="95">
        <v>6.6486833834795089E-2</v>
      </c>
      <c r="BE10" s="95">
        <v>9.6072007916591262E-2</v>
      </c>
      <c r="BF10" s="95">
        <v>6.8897853648250901E-3</v>
      </c>
      <c r="BG10" s="95">
        <v>3.3742976105358615E-3</v>
      </c>
      <c r="BH10" s="95">
        <v>1.7049527383410333E-3</v>
      </c>
      <c r="BI10" s="95">
        <v>6.2331369215302475E-2</v>
      </c>
      <c r="BJ10" s="95">
        <v>3.7939742475597248E-2</v>
      </c>
      <c r="BK10" s="95">
        <v>7.371506634066696E-6</v>
      </c>
      <c r="BL10" s="95">
        <v>2.984509627515061E-3</v>
      </c>
      <c r="BM10" s="95">
        <v>1.2846360419796692E-2</v>
      </c>
      <c r="BN10" s="95">
        <v>4.6428672192585126E-3</v>
      </c>
      <c r="BO10" s="95">
        <v>7.0710351677645888E-2</v>
      </c>
      <c r="BP10" s="95">
        <v>6.238752602274366E-2</v>
      </c>
      <c r="BQ10" s="95">
        <v>9.91624724679938E-4</v>
      </c>
      <c r="BR10" s="95">
        <v>3.2274469702958351E-2</v>
      </c>
      <c r="BS10" s="95">
        <v>9.1851211626762755E-2</v>
      </c>
      <c r="BT10" s="95">
        <v>6.7521801792287853E-2</v>
      </c>
      <c r="BU10" s="95">
        <v>2.8199016387399939E-2</v>
      </c>
      <c r="BV10" s="95">
        <v>2.4136238173463078E-2</v>
      </c>
      <c r="BW10" s="95">
        <v>1.0688718886386064E-3</v>
      </c>
      <c r="BX10" s="95">
        <v>1.4982266047917223E-2</v>
      </c>
      <c r="BY10" s="95">
        <v>1.896285872932368E-2</v>
      </c>
      <c r="BZ10" s="95">
        <v>2.5438051146832799E-4</v>
      </c>
      <c r="CA10" s="95">
        <v>9.069083480961046E-2</v>
      </c>
      <c r="CB10" s="95">
        <v>1.1348184324777209E-6</v>
      </c>
      <c r="CC10" s="95">
        <v>8.4513256885201596E-5</v>
      </c>
      <c r="CD10" s="95">
        <v>7.2414087132707567E-4</v>
      </c>
      <c r="CE10" s="95">
        <v>7.1265730773021979E-2</v>
      </c>
      <c r="CF10" s="95">
        <v>7.1348670189448507E-7</v>
      </c>
      <c r="CG10" s="95">
        <v>4.7355588526402745E-8</v>
      </c>
      <c r="CH10" s="95">
        <v>0.10583153926759233</v>
      </c>
      <c r="CI10" s="95">
        <v>4.0036396963266135E-2</v>
      </c>
      <c r="CJ10" s="95">
        <v>1.05589089705518E-3</v>
      </c>
      <c r="CK10" s="95">
        <v>4.783366251000272E-2</v>
      </c>
      <c r="CL10" s="95">
        <v>1.5106009237506138E-2</v>
      </c>
      <c r="CM10" s="95">
        <v>9.5242027302056609E-2</v>
      </c>
      <c r="CN10" s="95">
        <v>1.0405023167336959E-6</v>
      </c>
      <c r="CO10" s="95">
        <v>3.3394796672730083E-3</v>
      </c>
      <c r="CP10" s="95">
        <v>6.4627116795156925E-2</v>
      </c>
      <c r="CQ10" s="95">
        <v>6.3773687180526169E-3</v>
      </c>
      <c r="CR10" s="95">
        <v>5.3525723432060662E-2</v>
      </c>
      <c r="CS10" s="95">
        <v>0.1113591042547426</v>
      </c>
      <c r="CT10" s="95">
        <v>3.6208683882688539E-2</v>
      </c>
      <c r="CU10" s="95">
        <v>1.4310641446416061E-3</v>
      </c>
      <c r="CV10" s="95">
        <v>1.772240386625374E-2</v>
      </c>
      <c r="CW10" s="95">
        <v>7.7485875723127462E-3</v>
      </c>
      <c r="CX10" s="95">
        <v>1.9204415556478715E-9</v>
      </c>
    </row>
    <row r="11" spans="1:102" s="95" customFormat="1">
      <c r="A11" s="306" t="str">
        <f>Parameters!A57</f>
        <v>Hedge funds</v>
      </c>
      <c r="B11" s="307"/>
      <c r="C11" s="95">
        <v>4.1581841559457447E-2</v>
      </c>
      <c r="D11" s="95">
        <v>3.1352797834238435E-3</v>
      </c>
      <c r="E11" s="95">
        <v>4.8809373681987824E-3</v>
      </c>
      <c r="F11" s="95">
        <v>1.6908951770982845E-2</v>
      </c>
      <c r="G11" s="95">
        <v>4.4341345572538341E-4</v>
      </c>
      <c r="H11" s="95">
        <v>1.4954008623352803E-13</v>
      </c>
      <c r="I11" s="95">
        <v>4.3984051136549514E-12</v>
      </c>
      <c r="J11" s="95">
        <v>8.1029143114829297E-2</v>
      </c>
      <c r="K11" s="95">
        <v>4.6101569596388481E-6</v>
      </c>
      <c r="L11" s="95">
        <v>5.2291612801715661E-12</v>
      </c>
      <c r="M11" s="95">
        <v>0.17642286148601941</v>
      </c>
      <c r="N11" s="95">
        <v>0.18540385161374393</v>
      </c>
      <c r="O11" s="95">
        <v>0.14226538502202626</v>
      </c>
      <c r="P11" s="95">
        <v>5.5625415564987027E-2</v>
      </c>
      <c r="Q11" s="95">
        <v>9.0047857764713506E-10</v>
      </c>
      <c r="R11" s="95">
        <v>0.10383689913319058</v>
      </c>
      <c r="S11" s="95">
        <v>0.12809589131923013</v>
      </c>
      <c r="T11" s="95">
        <v>1.0930938201960084E-3</v>
      </c>
      <c r="U11" s="95">
        <v>5.0065274198806825E-2</v>
      </c>
      <c r="V11" s="95">
        <v>3.4515807676495584E-2</v>
      </c>
      <c r="W11" s="95">
        <v>0.10215755164225675</v>
      </c>
      <c r="X11" s="95">
        <v>6.6493888177184533E-4</v>
      </c>
      <c r="Y11" s="95">
        <v>3.7559565177962845E-3</v>
      </c>
      <c r="Z11" s="95">
        <v>1.3320069251529087E-10</v>
      </c>
      <c r="AA11" s="95">
        <v>5.1372546325841043E-6</v>
      </c>
      <c r="AB11" s="95">
        <v>1.3651187264158909E-2</v>
      </c>
      <c r="AC11" s="95">
        <v>6.3900380774947169E-2</v>
      </c>
      <c r="AD11" s="95">
        <v>3.0711029414611422E-2</v>
      </c>
      <c r="AE11" s="95">
        <v>1.7919570350495719E-2</v>
      </c>
      <c r="AF11" s="95">
        <v>3.5086528425163729E-2</v>
      </c>
      <c r="AG11" s="95">
        <v>6.6627517794653882E-2</v>
      </c>
      <c r="AH11" s="95">
        <v>3.122777215830914E-9</v>
      </c>
      <c r="AI11" s="95">
        <v>5.2605015636725649E-2</v>
      </c>
      <c r="AJ11" s="95">
        <v>6.9496168404745177E-3</v>
      </c>
      <c r="AK11" s="95">
        <v>4.9976970471893219E-5</v>
      </c>
      <c r="AL11" s="95">
        <v>4.0112224606749322E-5</v>
      </c>
      <c r="AM11" s="95">
        <v>3.8297181858853294E-2</v>
      </c>
      <c r="AN11" s="95">
        <v>3.4451392453730419E-2</v>
      </c>
      <c r="AO11" s="95">
        <v>8.2339255153606374E-3</v>
      </c>
      <c r="AP11" s="95">
        <v>4.1173588292355803E-7</v>
      </c>
      <c r="AQ11" s="95">
        <v>3.2379620754504241E-4</v>
      </c>
      <c r="AR11" s="95">
        <v>7.3076058848881659E-2</v>
      </c>
      <c r="AS11" s="95">
        <v>0.16026833987258254</v>
      </c>
      <c r="AT11" s="95">
        <v>0.16495709918838256</v>
      </c>
      <c r="AU11" s="95">
        <v>2.0565094314775302E-2</v>
      </c>
      <c r="AV11" s="95">
        <v>5.1182000267943303E-4</v>
      </c>
      <c r="AW11" s="95">
        <v>7.1238697655157243E-4</v>
      </c>
      <c r="AX11" s="95">
        <v>0.13666485555935654</v>
      </c>
      <c r="AY11" s="95">
        <v>0.13340812148734998</v>
      </c>
      <c r="AZ11" s="95">
        <v>0.18416202528279024</v>
      </c>
      <c r="BA11" s="95">
        <v>0.13063945919475117</v>
      </c>
      <c r="BB11" s="95">
        <v>9.4166802408351285E-14</v>
      </c>
      <c r="BC11" s="95">
        <v>1.7993051870058823E-2</v>
      </c>
      <c r="BD11" s="95">
        <v>3.5997204438570195E-3</v>
      </c>
      <c r="BE11" s="95">
        <v>2.9997550914318646E-2</v>
      </c>
      <c r="BF11" s="95">
        <v>1.8510779314371106E-3</v>
      </c>
      <c r="BG11" s="95">
        <v>1.8519391538916422E-2</v>
      </c>
      <c r="BH11" s="95">
        <v>0.16587495968137464</v>
      </c>
      <c r="BI11" s="95">
        <v>5.5956026949585723E-3</v>
      </c>
      <c r="BJ11" s="95">
        <v>4.56310627171971E-2</v>
      </c>
      <c r="BK11" s="95">
        <v>2.1983688399173359E-2</v>
      </c>
      <c r="BL11" s="95">
        <v>5.0310921888641459E-4</v>
      </c>
      <c r="BM11" s="95">
        <v>7.3292862187330178E-3</v>
      </c>
      <c r="BN11" s="95">
        <v>9.7849386414572706E-2</v>
      </c>
      <c r="BO11" s="95">
        <v>3.6560604560935579E-2</v>
      </c>
      <c r="BP11" s="95">
        <v>0.10491679110346369</v>
      </c>
      <c r="BQ11" s="95">
        <v>5.4624795679206154E-6</v>
      </c>
      <c r="BR11" s="95">
        <v>6.109489043329018E-2</v>
      </c>
      <c r="BS11" s="95">
        <v>3.1907175650034902E-3</v>
      </c>
      <c r="BT11" s="95">
        <v>2.1371947000157487E-4</v>
      </c>
      <c r="BU11" s="95">
        <v>0.11715029462185574</v>
      </c>
      <c r="BV11" s="95">
        <v>5.1525345031347203E-2</v>
      </c>
      <c r="BW11" s="95">
        <v>1.5994433129483403E-6</v>
      </c>
      <c r="BX11" s="95">
        <v>0.14587596685371806</v>
      </c>
      <c r="BY11" s="95">
        <v>0.1616052030632541</v>
      </c>
      <c r="BZ11" s="95">
        <v>1.6933082490571715E-4</v>
      </c>
      <c r="CA11" s="95">
        <v>5.3465041380389086E-2</v>
      </c>
      <c r="CB11" s="95">
        <v>1.1296757590655766E-3</v>
      </c>
      <c r="CC11" s="95">
        <v>8.5897032795613192E-8</v>
      </c>
      <c r="CD11" s="95">
        <v>0.17969339276287302</v>
      </c>
      <c r="CE11" s="95">
        <v>1.8413788891089997E-8</v>
      </c>
      <c r="CF11" s="95">
        <v>1.353409762036204E-3</v>
      </c>
      <c r="CG11" s="95">
        <v>8.4047179767176045E-2</v>
      </c>
      <c r="CH11" s="95">
        <v>1.832329874536969E-4</v>
      </c>
      <c r="CI11" s="95">
        <v>0.13272309904777702</v>
      </c>
      <c r="CJ11" s="95">
        <v>8.3759371312247342E-3</v>
      </c>
      <c r="CK11" s="95">
        <v>2.7336577703115067E-2</v>
      </c>
      <c r="CL11" s="95">
        <v>3.61052211423716E-2</v>
      </c>
      <c r="CM11" s="95">
        <v>5.3859183691765171E-2</v>
      </c>
      <c r="CN11" s="95">
        <v>5.0598010161691929E-2</v>
      </c>
      <c r="CO11" s="95">
        <v>0.17378792894232309</v>
      </c>
      <c r="CP11" s="95">
        <v>6.6729911446407313E-3</v>
      </c>
      <c r="CQ11" s="95">
        <v>1.3908766742471657E-2</v>
      </c>
      <c r="CR11" s="95">
        <v>9.423904019005043E-2</v>
      </c>
      <c r="CS11" s="95">
        <v>1.303928133708126E-2</v>
      </c>
      <c r="CT11" s="95">
        <v>5.9373170496239011E-2</v>
      </c>
      <c r="CU11" s="95">
        <v>4.9108401603598209E-2</v>
      </c>
      <c r="CV11" s="95">
        <v>7.2301401869818205E-2</v>
      </c>
      <c r="CW11" s="95">
        <v>0.15553198148579594</v>
      </c>
      <c r="CX11" s="95">
        <v>0.19642734306543544</v>
      </c>
    </row>
    <row r="12" spans="1:102" s="95" customFormat="1">
      <c r="A12" s="306" t="str">
        <f>Parameters!A58</f>
        <v>Onroerend goed</v>
      </c>
      <c r="B12" s="307"/>
      <c r="C12" s="95">
        <v>0.24105009744217631</v>
      </c>
      <c r="D12" s="95">
        <v>0.2032604198137116</v>
      </c>
      <c r="E12" s="95">
        <v>0.101698691490647</v>
      </c>
      <c r="F12" s="95">
        <v>0.16956577515621157</v>
      </c>
      <c r="G12" s="95">
        <v>0.17463028953491699</v>
      </c>
      <c r="H12" s="95">
        <v>9.5791598119930446E-2</v>
      </c>
      <c r="I12" s="95">
        <v>0.1049413155197486</v>
      </c>
      <c r="J12" s="95">
        <v>0.1573173915058764</v>
      </c>
      <c r="K12" s="95">
        <v>9.2277401776657594E-2</v>
      </c>
      <c r="L12" s="95">
        <v>0.13870849964540066</v>
      </c>
      <c r="M12" s="95">
        <v>0.10518888330877316</v>
      </c>
      <c r="N12" s="95">
        <v>0.26549355365734195</v>
      </c>
      <c r="O12" s="95">
        <v>0.21041715044094811</v>
      </c>
      <c r="P12" s="95">
        <v>9.143637509040399E-2</v>
      </c>
      <c r="Q12" s="95">
        <v>0.19961594897609014</v>
      </c>
      <c r="R12" s="95">
        <v>0.12635973794342908</v>
      </c>
      <c r="S12" s="95">
        <v>0.23403487731972616</v>
      </c>
      <c r="T12" s="95">
        <v>2.7554681092721769E-2</v>
      </c>
      <c r="U12" s="95">
        <v>1.6347700036336031E-2</v>
      </c>
      <c r="V12" s="95">
        <v>1.3084980370798688E-5</v>
      </c>
      <c r="W12" s="95">
        <v>6.5711302659409105E-3</v>
      </c>
      <c r="X12" s="95">
        <v>8.918939490089875E-2</v>
      </c>
      <c r="Y12" s="95">
        <v>0.23671251632923168</v>
      </c>
      <c r="Z12" s="95">
        <v>0.16955346847737632</v>
      </c>
      <c r="AA12" s="95">
        <v>0.17392324277166443</v>
      </c>
      <c r="AB12" s="95">
        <v>7.9856079000637469E-5</v>
      </c>
      <c r="AC12" s="95">
        <v>8.1416771928829623E-2</v>
      </c>
      <c r="AD12" s="95">
        <v>0.12167781874442757</v>
      </c>
      <c r="AE12" s="95">
        <v>0.13657715364033352</v>
      </c>
      <c r="AF12" s="95">
        <v>7.9912671702218649E-2</v>
      </c>
      <c r="AG12" s="95">
        <v>4.4886231797092882E-7</v>
      </c>
      <c r="AH12" s="95">
        <v>5.6676106429436622E-2</v>
      </c>
      <c r="AI12" s="95">
        <v>3.0835786854245449E-11</v>
      </c>
      <c r="AJ12" s="95">
        <v>9.1048377345018803E-4</v>
      </c>
      <c r="AK12" s="95">
        <v>6.5371269995902981E-2</v>
      </c>
      <c r="AL12" s="95">
        <v>0.16473219225149399</v>
      </c>
      <c r="AM12" s="95">
        <v>0.17037866046654934</v>
      </c>
      <c r="AN12" s="95">
        <v>0.13489137658230183</v>
      </c>
      <c r="AO12" s="95">
        <v>5.6898131528947876E-2</v>
      </c>
      <c r="AP12" s="95">
        <v>7.8334793446893175E-2</v>
      </c>
      <c r="AQ12" s="95">
        <v>6.4764842111893831E-2</v>
      </c>
      <c r="AR12" s="95">
        <v>0.13760814593016427</v>
      </c>
      <c r="AS12" s="95">
        <v>5.7661936266355365E-2</v>
      </c>
      <c r="AT12" s="95">
        <v>2.0198537586344994E-6</v>
      </c>
      <c r="AU12" s="95">
        <v>1.2915287553867969E-3</v>
      </c>
      <c r="AV12" s="95">
        <v>2.2769715439047446E-3</v>
      </c>
      <c r="AW12" s="95">
        <v>4.2664453992542429E-5</v>
      </c>
      <c r="AX12" s="95">
        <v>4.7398278265785104E-7</v>
      </c>
      <c r="AY12" s="95">
        <v>7.0488700224431832E-3</v>
      </c>
      <c r="AZ12" s="95">
        <v>1.1485114358947182E-3</v>
      </c>
      <c r="BA12" s="95">
        <v>4.5906225804132585E-5</v>
      </c>
      <c r="BB12" s="95">
        <v>0.23487780856325544</v>
      </c>
      <c r="BC12" s="95">
        <v>1.6701401196897868E-3</v>
      </c>
      <c r="BD12" s="95">
        <v>1.4561954144250053E-2</v>
      </c>
      <c r="BE12" s="95">
        <v>2.0006907401393187E-2</v>
      </c>
      <c r="BF12" s="95">
        <v>0.12342204242465621</v>
      </c>
      <c r="BG12" s="95">
        <v>0.14039431130563951</v>
      </c>
      <c r="BH12" s="95">
        <v>1.1056477185294841E-13</v>
      </c>
      <c r="BI12" s="95">
        <v>8.0312002896148534E-3</v>
      </c>
      <c r="BJ12" s="95">
        <v>0.16970898611702617</v>
      </c>
      <c r="BK12" s="95">
        <v>0.14228817577288255</v>
      </c>
      <c r="BL12" s="95">
        <v>4.5272906288680696E-7</v>
      </c>
      <c r="BM12" s="95">
        <v>1.6391232105013292E-2</v>
      </c>
      <c r="BN12" s="95">
        <v>1.110143482180465E-5</v>
      </c>
      <c r="BO12" s="95">
        <v>1.8457125989741831E-2</v>
      </c>
      <c r="BP12" s="95">
        <v>0.13293580644105102</v>
      </c>
      <c r="BQ12" s="95">
        <v>2.7980300693363772E-2</v>
      </c>
      <c r="BR12" s="95">
        <v>7.9241968306776295E-2</v>
      </c>
      <c r="BS12" s="95">
        <v>8.2401159800061977E-2</v>
      </c>
      <c r="BT12" s="95">
        <v>5.7229413118868421E-6</v>
      </c>
      <c r="BU12" s="95">
        <v>8.014095289921784E-2</v>
      </c>
      <c r="BV12" s="95">
        <v>5.519942821277983E-3</v>
      </c>
      <c r="BW12" s="95">
        <v>2.1716443836361565E-2</v>
      </c>
      <c r="BX12" s="95">
        <v>8.3443201489002333E-2</v>
      </c>
      <c r="BY12" s="95">
        <v>0.12844631799363551</v>
      </c>
      <c r="BZ12" s="95">
        <v>0.19360627895458715</v>
      </c>
      <c r="CA12" s="95">
        <v>0.12950405127907555</v>
      </c>
      <c r="CB12" s="95">
        <v>7.7201105281528473E-2</v>
      </c>
      <c r="CC12" s="95">
        <v>2.5567096451173464E-2</v>
      </c>
      <c r="CD12" s="95">
        <v>1.4834314400427508E-2</v>
      </c>
      <c r="CE12" s="95">
        <v>6.9389885131741894E-2</v>
      </c>
      <c r="CF12" s="95">
        <v>0.11663306830499387</v>
      </c>
      <c r="CG12" s="95">
        <v>9.0794995574236745E-2</v>
      </c>
      <c r="CH12" s="95">
        <v>9.2854675207707127E-2</v>
      </c>
      <c r="CI12" s="95">
        <v>2.8271461638623409E-2</v>
      </c>
      <c r="CJ12" s="95">
        <v>0.10442782406745492</v>
      </c>
      <c r="CK12" s="95">
        <v>4.0302851367075737E-5</v>
      </c>
      <c r="CL12" s="95">
        <v>0.1978708576446728</v>
      </c>
      <c r="CM12" s="95">
        <v>7.5999973768898742E-5</v>
      </c>
      <c r="CN12" s="95">
        <v>0.21840734168877066</v>
      </c>
      <c r="CO12" s="95">
        <v>3.4614148360040083E-9</v>
      </c>
      <c r="CP12" s="95">
        <v>0.1045892033486476</v>
      </c>
      <c r="CQ12" s="95">
        <v>1.2126458752838793E-3</v>
      </c>
      <c r="CR12" s="95">
        <v>4.7988798786382866E-5</v>
      </c>
      <c r="CS12" s="95">
        <v>0.11130170647108417</v>
      </c>
      <c r="CT12" s="95">
        <v>5.9333765022897484E-5</v>
      </c>
      <c r="CU12" s="95">
        <v>1.5567916249075105E-12</v>
      </c>
      <c r="CV12" s="95">
        <v>0.17780398064179617</v>
      </c>
      <c r="CW12" s="95">
        <v>0.19981964727512427</v>
      </c>
      <c r="CX12" s="95">
        <v>8.8335256044581298E-2</v>
      </c>
    </row>
    <row r="13" spans="1:102" s="96" customFormat="1">
      <c r="A13" s="310" t="str">
        <f>Parameters!A59</f>
        <v>Commodities</v>
      </c>
      <c r="B13" s="311"/>
      <c r="C13" s="96">
        <v>2.4183301807413019E-4</v>
      </c>
      <c r="D13" s="96">
        <v>5.1085517097483657E-2</v>
      </c>
      <c r="E13" s="96">
        <v>6.6242369719651834E-2</v>
      </c>
      <c r="F13" s="96">
        <v>7.6161717164866E-2</v>
      </c>
      <c r="G13" s="96">
        <v>2.2624640082976644E-26</v>
      </c>
      <c r="H13" s="96">
        <v>1.373474675004762E-4</v>
      </c>
      <c r="I13" s="96">
        <v>6.4831454802495442E-2</v>
      </c>
      <c r="J13" s="96">
        <v>7.879568031634171E-3</v>
      </c>
      <c r="K13" s="96">
        <v>2.1407430363951787E-2</v>
      </c>
      <c r="L13" s="96">
        <v>1.0122106458496802E-10</v>
      </c>
      <c r="M13" s="96">
        <v>3.7442803242040704E-8</v>
      </c>
      <c r="N13" s="96">
        <v>1.7200189301793561E-3</v>
      </c>
      <c r="O13" s="96">
        <v>7.537120655231674E-8</v>
      </c>
      <c r="P13" s="96">
        <v>7.5473092667851335E-2</v>
      </c>
      <c r="Q13" s="96">
        <v>8.1930446587186855E-3</v>
      </c>
      <c r="R13" s="96">
        <v>5.3207263751510761E-8</v>
      </c>
      <c r="S13" s="96">
        <v>2.4933902561494077E-6</v>
      </c>
      <c r="T13" s="96">
        <v>0.11713254524296658</v>
      </c>
      <c r="U13" s="96">
        <v>7.9927421784979691E-2</v>
      </c>
      <c r="V13" s="96">
        <v>7.1625559453203064E-2</v>
      </c>
      <c r="W13" s="96">
        <v>5.0204133963022861E-2</v>
      </c>
      <c r="X13" s="96">
        <v>8.1976573277500908E-2</v>
      </c>
      <c r="Y13" s="96">
        <v>1.0264801591084545E-15</v>
      </c>
      <c r="Z13" s="96">
        <v>8.5235859006449796E-2</v>
      </c>
      <c r="AA13" s="96">
        <v>8.7175254052486873E-3</v>
      </c>
      <c r="AB13" s="96">
        <v>0.13326950750176186</v>
      </c>
      <c r="AC13" s="96">
        <v>3.6730386248543943E-6</v>
      </c>
      <c r="AD13" s="96">
        <v>8.0115788801800505E-3</v>
      </c>
      <c r="AE13" s="96">
        <v>3.7186813938771613E-6</v>
      </c>
      <c r="AF13" s="96">
        <v>9.3397172626413533E-2</v>
      </c>
      <c r="AG13" s="96">
        <v>4.9205659528871626E-2</v>
      </c>
      <c r="AH13" s="96">
        <v>2.2458247565054802E-2</v>
      </c>
      <c r="AI13" s="96">
        <v>6.8228390842073008E-2</v>
      </c>
      <c r="AJ13" s="96">
        <v>7.0515697095889604E-2</v>
      </c>
      <c r="AK13" s="96">
        <v>4.4610046056186792E-2</v>
      </c>
      <c r="AL13" s="96">
        <v>9.1120571156675503E-2</v>
      </c>
      <c r="AM13" s="96">
        <v>7.9618358500208833E-2</v>
      </c>
      <c r="AN13" s="96">
        <v>3.6404155517275717E-4</v>
      </c>
      <c r="AO13" s="96">
        <v>1.9445088214525646E-7</v>
      </c>
      <c r="AP13" s="96">
        <v>5.6222032849771952E-2</v>
      </c>
      <c r="AQ13" s="96">
        <v>3.1035252019879601E-2</v>
      </c>
      <c r="AR13" s="96">
        <v>6.502747172631277E-3</v>
      </c>
      <c r="AS13" s="96">
        <v>4.8200203854725031E-2</v>
      </c>
      <c r="AT13" s="96">
        <v>9.2450854201957646E-4</v>
      </c>
      <c r="AU13" s="96">
        <v>4.5069900983166447E-2</v>
      </c>
      <c r="AV13" s="96">
        <v>0.11009519558887114</v>
      </c>
      <c r="AW13" s="96">
        <v>2.2752083476955617E-2</v>
      </c>
      <c r="AX13" s="96">
        <v>8.6493718288287669E-2</v>
      </c>
      <c r="AY13" s="96">
        <v>4.4662879281367661E-2</v>
      </c>
      <c r="AZ13" s="96">
        <v>4.8245272458724642E-3</v>
      </c>
      <c r="BA13" s="96">
        <v>1.5903586007820153E-3</v>
      </c>
      <c r="BB13" s="96">
        <v>5.2916244642295966E-8</v>
      </c>
      <c r="BC13" s="96">
        <v>0.11557170303223244</v>
      </c>
      <c r="BD13" s="96">
        <v>3.7225398999207859E-3</v>
      </c>
      <c r="BE13" s="96">
        <v>4.2213286617402354E-2</v>
      </c>
      <c r="BF13" s="96">
        <v>2.5985465035135047E-4</v>
      </c>
      <c r="BG13" s="96">
        <v>4.2166311277522096E-7</v>
      </c>
      <c r="BH13" s="96">
        <v>2.4970776729711666E-6</v>
      </c>
      <c r="BI13" s="96">
        <v>1.027137704951526E-3</v>
      </c>
      <c r="BJ13" s="96">
        <v>3.8297108910605984E-4</v>
      </c>
      <c r="BK13" s="96">
        <v>3.7563424707904511E-2</v>
      </c>
      <c r="BL13" s="96">
        <v>5.4009110509443542E-2</v>
      </c>
      <c r="BM13" s="96">
        <v>5.8238174516713884E-2</v>
      </c>
      <c r="BN13" s="96">
        <v>1.7947484005137449E-3</v>
      </c>
      <c r="BO13" s="96">
        <v>1.9003781115376064E-2</v>
      </c>
      <c r="BP13" s="96">
        <v>6.0946926481020045E-5</v>
      </c>
      <c r="BQ13" s="96">
        <v>0.10655476166619229</v>
      </c>
      <c r="BR13" s="96">
        <v>1.1110740408681025E-7</v>
      </c>
      <c r="BS13" s="96">
        <v>4.5989128019138884E-4</v>
      </c>
      <c r="BT13" s="96">
        <v>9.8881827736235217E-2</v>
      </c>
      <c r="BU13" s="96">
        <v>8.3568979887600134E-2</v>
      </c>
      <c r="BV13" s="96">
        <v>4.1130224542710273E-2</v>
      </c>
      <c r="BW13" s="96">
        <v>8.3220680005407013E-2</v>
      </c>
      <c r="BX13" s="96">
        <v>5.0499000255592097E-3</v>
      </c>
      <c r="BY13" s="96">
        <v>1.2453707877373358E-4</v>
      </c>
      <c r="BZ13" s="96">
        <v>4.0554899733861657E-2</v>
      </c>
      <c r="CA13" s="96">
        <v>1.5567707789370415E-8</v>
      </c>
      <c r="CB13" s="96">
        <v>1.7139500219093731E-2</v>
      </c>
      <c r="CC13" s="96">
        <v>0.12829113837855793</v>
      </c>
      <c r="CD13" s="96">
        <v>7.6569432271728982E-11</v>
      </c>
      <c r="CE13" s="96">
        <v>7.0008288739053817E-9</v>
      </c>
      <c r="CF13" s="96">
        <v>4.5759502916213205E-5</v>
      </c>
      <c r="CG13" s="96">
        <v>4.01753748746501E-3</v>
      </c>
      <c r="CH13" s="96">
        <v>2.7260910704096579E-2</v>
      </c>
      <c r="CI13" s="96">
        <v>6.158879512396593E-2</v>
      </c>
      <c r="CJ13" s="96">
        <v>3.7197680062410518E-2</v>
      </c>
      <c r="CK13" s="96">
        <v>7.2871096524188772E-2</v>
      </c>
      <c r="CL13" s="96">
        <v>8.2091083471413969E-3</v>
      </c>
      <c r="CM13" s="96">
        <v>3.9890035570626088E-8</v>
      </c>
      <c r="CN13" s="96">
        <v>4.5051968938264962E-8</v>
      </c>
      <c r="CO13" s="96">
        <v>4.317470583302801E-6</v>
      </c>
      <c r="CP13" s="96">
        <v>4.4594752364098076E-4</v>
      </c>
      <c r="CQ13" s="96">
        <v>7.2897654187968897E-2</v>
      </c>
      <c r="CR13" s="96">
        <v>1.0259865616166306E-3</v>
      </c>
      <c r="CS13" s="96">
        <v>1.0434393031109857E-3</v>
      </c>
      <c r="CT13" s="96">
        <v>5.7333241741821556E-2</v>
      </c>
      <c r="CU13" s="96">
        <v>1.5152945856886815E-4</v>
      </c>
      <c r="CV13" s="96">
        <v>6.7184893297318804E-2</v>
      </c>
      <c r="CW13" s="96">
        <v>3.5083815461097395E-8</v>
      </c>
      <c r="CX13" s="96">
        <v>5.0220231575501557E-3</v>
      </c>
    </row>
    <row r="15" spans="1:102" s="94" customFormat="1">
      <c r="A15" s="303" t="s">
        <v>140</v>
      </c>
      <c r="B15" s="304"/>
    </row>
    <row r="16" spans="1:102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>
      <c r="A17" s="306" t="s">
        <v>4</v>
      </c>
      <c r="B17" s="307"/>
      <c r="C17" s="126">
        <v>0.48466018572049496</v>
      </c>
      <c r="D17" s="126">
        <v>0.34776237927431169</v>
      </c>
      <c r="E17" s="126">
        <v>0.36148153203713035</v>
      </c>
      <c r="F17" s="126">
        <v>2.2053527753615209E-3</v>
      </c>
      <c r="G17" s="126">
        <v>2.7822989647150031E-3</v>
      </c>
      <c r="H17" s="126">
        <v>0.40586141780770302</v>
      </c>
      <c r="I17" s="126">
        <v>1.3589608686254517E-4</v>
      </c>
      <c r="J17" s="126">
        <v>0.16753394430394608</v>
      </c>
      <c r="K17" s="126">
        <v>3.4605114020161601E-2</v>
      </c>
      <c r="L17" s="126">
        <v>0.11059240497493134</v>
      </c>
      <c r="M17" s="126">
        <v>6.0559426572960328E-12</v>
      </c>
      <c r="N17" s="126">
        <v>0.17198304781703067</v>
      </c>
      <c r="O17" s="126">
        <v>0.2129182329356597</v>
      </c>
      <c r="P17" s="126">
        <v>0.42196747676516461</v>
      </c>
      <c r="Q17" s="126">
        <v>1.1213958757894838E-2</v>
      </c>
      <c r="R17" s="126">
        <v>0.21898888614879708</v>
      </c>
      <c r="S17" s="126">
        <v>0.21916588619184266</v>
      </c>
      <c r="T17" s="126">
        <v>8.9940907687786578E-2</v>
      </c>
      <c r="U17" s="126">
        <v>1.5446760420824031E-4</v>
      </c>
      <c r="V17" s="126">
        <v>1.2223558673414061E-2</v>
      </c>
      <c r="W17" s="126">
        <v>0.40332330523837773</v>
      </c>
      <c r="X17" s="126">
        <v>1.2469031038146017E-4</v>
      </c>
      <c r="Y17" s="126">
        <v>0.42314711832088192</v>
      </c>
      <c r="Z17" s="126">
        <v>1.6319406735393882E-3</v>
      </c>
      <c r="AA17" s="126">
        <v>5.2110941095448384E-4</v>
      </c>
      <c r="AB17" s="126">
        <v>0.38572876925886013</v>
      </c>
      <c r="AC17" s="126">
        <v>0.17026647461193939</v>
      </c>
      <c r="AD17" s="126">
        <v>0.229118242041362</v>
      </c>
      <c r="AE17" s="126">
        <v>4.4330019521801047E-4</v>
      </c>
      <c r="AF17" s="126">
        <v>1.4857469631482916E-3</v>
      </c>
      <c r="AG17" s="126">
        <v>0.18174324697199695</v>
      </c>
      <c r="AH17" s="126">
        <v>0.27310039230773492</v>
      </c>
      <c r="AI17" s="126">
        <v>2.3270668581279596E-9</v>
      </c>
      <c r="AJ17" s="126">
        <v>2.3900977688442543E-2</v>
      </c>
      <c r="AK17" s="126">
        <v>0.16079266087272917</v>
      </c>
      <c r="AL17" s="126">
        <v>1.9228597224403812E-2</v>
      </c>
      <c r="AM17" s="126">
        <v>8.7189382359859333E-2</v>
      </c>
      <c r="AN17" s="126">
        <v>2.7531913369063759E-3</v>
      </c>
      <c r="AO17" s="126">
        <v>0.40751504383097842</v>
      </c>
      <c r="AP17" s="126">
        <v>0.27457765217841062</v>
      </c>
      <c r="AQ17" s="126">
        <v>2.5519861153752928E-2</v>
      </c>
      <c r="AR17" s="126">
        <v>0.46391887695592088</v>
      </c>
      <c r="AS17" s="126">
        <v>3.9885754966233157E-3</v>
      </c>
      <c r="AT17" s="126">
        <v>0.23526669797390293</v>
      </c>
      <c r="AU17" s="126">
        <v>3.6966625787149184E-4</v>
      </c>
      <c r="AV17" s="126">
        <v>0.46243671591972707</v>
      </c>
      <c r="AW17" s="126">
        <v>7.3285019837348812E-3</v>
      </c>
      <c r="AX17" s="126">
        <v>0.33876449811196663</v>
      </c>
      <c r="AY17" s="126">
        <v>0.10438065203571123</v>
      </c>
      <c r="AZ17" s="126">
        <v>0.23345297762311779</v>
      </c>
      <c r="BA17" s="126">
        <v>0.25883132904680639</v>
      </c>
      <c r="BB17" s="126">
        <v>0.48879917768710179</v>
      </c>
      <c r="BC17" s="126">
        <v>0.3995259434468193</v>
      </c>
      <c r="BD17" s="126">
        <v>0.27010403413089162</v>
      </c>
      <c r="BE17" s="126">
        <v>9.6102576121101277E-2</v>
      </c>
      <c r="BF17" s="126">
        <v>0.34741735710722338</v>
      </c>
      <c r="BG17" s="126">
        <v>0.14540712709996523</v>
      </c>
      <c r="BH17" s="126">
        <v>0.36070723923111542</v>
      </c>
      <c r="BI17" s="126">
        <v>1.8469290931604353E-3</v>
      </c>
      <c r="BJ17" s="126">
        <v>2.4146240087445751E-2</v>
      </c>
      <c r="BK17" s="126">
        <v>3.6311500742469352E-4</v>
      </c>
      <c r="BL17" s="126">
        <v>0.29737045612293339</v>
      </c>
      <c r="BM17" s="126">
        <v>4.9743935329606269E-2</v>
      </c>
      <c r="BN17" s="126">
        <v>0.28479144855334992</v>
      </c>
      <c r="BO17" s="126">
        <v>1.4355735345982413E-2</v>
      </c>
      <c r="BP17" s="126">
        <v>7.7173798030239604E-2</v>
      </c>
      <c r="BQ17" s="126">
        <v>0.31536587254448512</v>
      </c>
      <c r="BR17" s="126">
        <v>1.0358445213786186E-3</v>
      </c>
      <c r="BS17" s="126">
        <v>2.4830872612746586E-4</v>
      </c>
      <c r="BT17" s="126">
        <v>4.4007212791408222E-3</v>
      </c>
      <c r="BU17" s="126">
        <v>4.8665042354947154E-2</v>
      </c>
      <c r="BV17" s="126">
        <v>0.22547065831984806</v>
      </c>
      <c r="BW17" s="126">
        <v>0.22638567192864748</v>
      </c>
      <c r="BX17" s="126">
        <v>0.22808327765768449</v>
      </c>
      <c r="BY17" s="126">
        <v>4.1378541888083049E-2</v>
      </c>
      <c r="BZ17" s="126">
        <v>1.720514577769181E-7</v>
      </c>
      <c r="CA17" s="126">
        <v>1.0697471320639661E-3</v>
      </c>
      <c r="CB17" s="126">
        <v>0.32293432388723292</v>
      </c>
      <c r="CC17" s="126">
        <v>0.24932393974876191</v>
      </c>
      <c r="CD17" s="126">
        <v>0.48990259371087325</v>
      </c>
      <c r="CE17" s="126">
        <v>7.897759090400509E-3</v>
      </c>
      <c r="CF17" s="126">
        <v>0.25529415625444424</v>
      </c>
      <c r="CG17" s="126">
        <v>0.30532115448378322</v>
      </c>
      <c r="CH17" s="126">
        <v>1.2437001875181814E-4</v>
      </c>
      <c r="CI17" s="126">
        <v>7.6531292471286136E-2</v>
      </c>
      <c r="CJ17" s="126">
        <v>0.43313382568326075</v>
      </c>
      <c r="CK17" s="126">
        <v>9.6110980914354827E-2</v>
      </c>
      <c r="CL17" s="126">
        <v>0.21730730824361599</v>
      </c>
      <c r="CM17" s="126">
        <v>0.12335043329647717</v>
      </c>
      <c r="CN17" s="126">
        <v>0.23801464115002713</v>
      </c>
      <c r="CO17" s="126">
        <v>0.41451658179875228</v>
      </c>
      <c r="CP17" s="126">
        <v>9.9208737841030278E-2</v>
      </c>
      <c r="CQ17" s="126">
        <v>0.18280269300802679</v>
      </c>
      <c r="CR17" s="126">
        <v>5.1301177398847958E-3</v>
      </c>
      <c r="CS17" s="126">
        <v>2.3925151860848082E-2</v>
      </c>
      <c r="CT17" s="126">
        <v>7.6910404641069763E-5</v>
      </c>
      <c r="CU17" s="126">
        <v>0.22659331478717018</v>
      </c>
      <c r="CV17" s="126">
        <v>6.2681191557540927E-2</v>
      </c>
      <c r="CW17" s="126">
        <v>0.21829814537253889</v>
      </c>
      <c r="CX17" s="126">
        <v>0.21428832689200081</v>
      </c>
    </row>
    <row r="18" spans="1:102">
      <c r="A18" s="306" t="s">
        <v>175</v>
      </c>
      <c r="B18" s="307"/>
      <c r="C18" s="126">
        <v>1.775549212998023E-4</v>
      </c>
      <c r="D18" s="126">
        <v>2.6056433715698317E-2</v>
      </c>
      <c r="E18" s="126">
        <v>1.2886453868105946E-2</v>
      </c>
      <c r="F18" s="126">
        <v>8.6857179619611979E-2</v>
      </c>
      <c r="G18" s="126">
        <v>0.24253108840322637</v>
      </c>
      <c r="H18" s="126">
        <v>0.2859722193910586</v>
      </c>
      <c r="I18" s="126">
        <v>1.4919137769183809E-6</v>
      </c>
      <c r="J18" s="126">
        <v>6.7890700024369893E-2</v>
      </c>
      <c r="K18" s="126">
        <v>0.22094688268065182</v>
      </c>
      <c r="L18" s="126">
        <v>0.39495819311152086</v>
      </c>
      <c r="M18" s="126">
        <v>3.45121775511486E-6</v>
      </c>
      <c r="N18" s="126">
        <v>1.0669094385230673E-2</v>
      </c>
      <c r="O18" s="126">
        <v>1.8164036190568224E-4</v>
      </c>
      <c r="P18" s="126">
        <v>2.1089172377151199E-5</v>
      </c>
      <c r="Q18" s="126">
        <v>1.7073394057592628E-7</v>
      </c>
      <c r="R18" s="126">
        <v>4.1775711571674898E-7</v>
      </c>
      <c r="S18" s="126">
        <v>9.8893833109195473E-2</v>
      </c>
      <c r="T18" s="126">
        <v>2.4296402140883545E-14</v>
      </c>
      <c r="U18" s="126">
        <v>0.19314141896706127</v>
      </c>
      <c r="V18" s="126">
        <v>0.36442783429872544</v>
      </c>
      <c r="W18" s="126">
        <v>1.9265702816360942E-6</v>
      </c>
      <c r="X18" s="126">
        <v>0.31255608263534301</v>
      </c>
      <c r="Y18" s="126">
        <v>4.8785940411922836E-2</v>
      </c>
      <c r="Z18" s="126">
        <v>7.7360219949990178E-2</v>
      </c>
      <c r="AA18" s="126">
        <v>7.7584399572815975E-3</v>
      </c>
      <c r="AB18" s="126">
        <v>1.7299812414979666E-2</v>
      </c>
      <c r="AC18" s="126">
        <v>0.23652512924148783</v>
      </c>
      <c r="AD18" s="126">
        <v>0.11765726922475209</v>
      </c>
      <c r="AE18" s="126">
        <v>2.7276784210656315E-3</v>
      </c>
      <c r="AF18" s="126">
        <v>8.4357676876791604E-2</v>
      </c>
      <c r="AG18" s="126">
        <v>0.27195682151608652</v>
      </c>
      <c r="AH18" s="126">
        <v>2.0778705285061187E-12</v>
      </c>
      <c r="AI18" s="126">
        <v>5.5620993193253719E-2</v>
      </c>
      <c r="AJ18" s="126">
        <v>5.5171106067916163E-2</v>
      </c>
      <c r="AK18" s="126">
        <v>0.16264074396597367</v>
      </c>
      <c r="AL18" s="126">
        <v>7.356010709981607E-3</v>
      </c>
      <c r="AM18" s="126">
        <v>4.8500034474111383E-4</v>
      </c>
      <c r="AN18" s="126">
        <v>0.42077078400182982</v>
      </c>
      <c r="AO18" s="126">
        <v>0.3827557242424629</v>
      </c>
      <c r="AP18" s="126">
        <v>0.31068151284771495</v>
      </c>
      <c r="AQ18" s="126">
        <v>0.22128730997305751</v>
      </c>
      <c r="AR18" s="126">
        <v>1.4748660054743601E-2</v>
      </c>
      <c r="AS18" s="126">
        <v>8.808537844416918E-2</v>
      </c>
      <c r="AT18" s="126">
        <v>2.7858864701008778E-12</v>
      </c>
      <c r="AU18" s="126">
        <v>0.49354369787967245</v>
      </c>
      <c r="AV18" s="126">
        <v>1.372782176923301E-9</v>
      </c>
      <c r="AW18" s="126">
        <v>0.2225707651956777</v>
      </c>
      <c r="AX18" s="126">
        <v>9.9098033282498103E-9</v>
      </c>
      <c r="AY18" s="126">
        <v>9.7977126479157767E-3</v>
      </c>
      <c r="AZ18" s="126">
        <v>1.7628171248429143E-2</v>
      </c>
      <c r="BA18" s="126">
        <v>0.43167427196578595</v>
      </c>
      <c r="BB18" s="126">
        <v>7.5928265446580967E-8</v>
      </c>
      <c r="BC18" s="126">
        <v>0.14757104222670855</v>
      </c>
      <c r="BD18" s="126">
        <v>0.44965516504304687</v>
      </c>
      <c r="BE18" s="126">
        <v>8.940878698384909E-2</v>
      </c>
      <c r="BF18" s="126">
        <v>6.5282832112508016E-2</v>
      </c>
      <c r="BG18" s="126">
        <v>0.26480568827971995</v>
      </c>
      <c r="BH18" s="126">
        <v>0.10211508405931083</v>
      </c>
      <c r="BI18" s="126">
        <v>0.38636801983833668</v>
      </c>
      <c r="BJ18" s="126">
        <v>2.6249332824079093E-2</v>
      </c>
      <c r="BK18" s="126">
        <v>2.0187125912002695E-3</v>
      </c>
      <c r="BL18" s="126">
        <v>4.5708287231176349E-2</v>
      </c>
      <c r="BM18" s="126">
        <v>0.18617995621070635</v>
      </c>
      <c r="BN18" s="126">
        <v>0.25698035925556828</v>
      </c>
      <c r="BO18" s="126">
        <v>0.49993686097069312</v>
      </c>
      <c r="BP18" s="126">
        <v>6.2716984341001198E-4</v>
      </c>
      <c r="BQ18" s="126">
        <v>0.133499194534209</v>
      </c>
      <c r="BR18" s="126">
        <v>1.7241163576250149E-6</v>
      </c>
      <c r="BS18" s="126">
        <v>0.11667957086133296</v>
      </c>
      <c r="BT18" s="126">
        <v>0.17896948165069917</v>
      </c>
      <c r="BU18" s="126">
        <v>7.377625715141048E-4</v>
      </c>
      <c r="BV18" s="126">
        <v>0.39565141557520367</v>
      </c>
      <c r="BW18" s="126">
        <v>0.38549052368482822</v>
      </c>
      <c r="BX18" s="126">
        <v>0.13470410451583231</v>
      </c>
      <c r="BY18" s="126">
        <v>1.978783489002176E-3</v>
      </c>
      <c r="BZ18" s="126">
        <v>0.34892017730595837</v>
      </c>
      <c r="CA18" s="126">
        <v>1.8412438354798377E-3</v>
      </c>
      <c r="CB18" s="126">
        <v>0.43942230342935584</v>
      </c>
      <c r="CC18" s="126">
        <v>1.0579595138981831E-4</v>
      </c>
      <c r="CD18" s="126">
        <v>4.5455156133442989E-2</v>
      </c>
      <c r="CE18" s="126">
        <v>8.8370605668728845E-3</v>
      </c>
      <c r="CF18" s="126">
        <v>3.1036093345636284E-2</v>
      </c>
      <c r="CG18" s="126">
        <v>7.0788959359552507E-5</v>
      </c>
      <c r="CH18" s="126">
        <v>3.9073216926837816E-2</v>
      </c>
      <c r="CI18" s="126">
        <v>8.8805764795090558E-2</v>
      </c>
      <c r="CJ18" s="126">
        <v>9.430416984458008E-2</v>
      </c>
      <c r="CK18" s="126">
        <v>4.828815155813797E-3</v>
      </c>
      <c r="CL18" s="126">
        <v>2.180103237826593E-4</v>
      </c>
      <c r="CM18" s="126">
        <v>0.32547751761586113</v>
      </c>
      <c r="CN18" s="126">
        <v>3.1451861577609388E-2</v>
      </c>
      <c r="CO18" s="126">
        <v>9.4172067194536213E-8</v>
      </c>
      <c r="CP18" s="126">
        <v>4.9257543985818414E-7</v>
      </c>
      <c r="CQ18" s="126">
        <v>0.26773353297322972</v>
      </c>
      <c r="CR18" s="126">
        <v>0.29233106230194678</v>
      </c>
      <c r="CS18" s="126">
        <v>3.7250674019356715E-2</v>
      </c>
      <c r="CT18" s="126">
        <v>1.5126737718378934E-10</v>
      </c>
      <c r="CU18" s="126">
        <v>0.15054207894039312</v>
      </c>
      <c r="CV18" s="126">
        <v>2.869142288828699E-2</v>
      </c>
      <c r="CW18" s="126">
        <v>1.7156161234475075E-12</v>
      </c>
      <c r="CX18" s="126">
        <v>4.4736758230892917E-13</v>
      </c>
    </row>
    <row r="19" spans="1:102">
      <c r="A19" s="306" t="s">
        <v>176</v>
      </c>
      <c r="B19" s="307"/>
      <c r="C19" s="126">
        <v>4.4196232581599167E-6</v>
      </c>
      <c r="D19" s="126">
        <v>2.0080751375004929E-4</v>
      </c>
      <c r="E19" s="126">
        <v>0.14453953006219897</v>
      </c>
      <c r="F19" s="126">
        <v>0.26007496790486562</v>
      </c>
      <c r="G19" s="126">
        <v>0.36846782029030301</v>
      </c>
      <c r="H19" s="126">
        <v>9.9337035511780761E-2</v>
      </c>
      <c r="I19" s="126">
        <v>0.30434049760537918</v>
      </c>
      <c r="J19" s="126">
        <v>0.23073768310711801</v>
      </c>
      <c r="K19" s="126">
        <v>0.40486741075312632</v>
      </c>
      <c r="L19" s="126">
        <v>6.3967424920214927E-2</v>
      </c>
      <c r="M19" s="126">
        <v>0.16294466908203281</v>
      </c>
      <c r="N19" s="126">
        <v>1.4926294391217774E-3</v>
      </c>
      <c r="O19" s="126">
        <v>3.0598649084774313E-5</v>
      </c>
      <c r="P19" s="126">
        <v>1.2522325454547396E-3</v>
      </c>
      <c r="Q19" s="126">
        <v>0.48445633364835627</v>
      </c>
      <c r="R19" s="126">
        <v>0.27484697832630212</v>
      </c>
      <c r="S19" s="126">
        <v>8.2420226932122321E-4</v>
      </c>
      <c r="T19" s="126">
        <v>0.28903349783887211</v>
      </c>
      <c r="U19" s="126">
        <v>0.36289353838188176</v>
      </c>
      <c r="V19" s="126">
        <v>0.29758985109234271</v>
      </c>
      <c r="W19" s="126">
        <v>0.17738839731610634</v>
      </c>
      <c r="X19" s="126">
        <v>0.20294621972066137</v>
      </c>
      <c r="Y19" s="126">
        <v>2.2154641145609031E-2</v>
      </c>
      <c r="Z19" s="126">
        <v>0.23679547683590535</v>
      </c>
      <c r="AA19" s="126">
        <v>0.3571856411095512</v>
      </c>
      <c r="AB19" s="126">
        <v>3.3773156372402414E-4</v>
      </c>
      <c r="AC19" s="126">
        <v>0.14622853470725788</v>
      </c>
      <c r="AD19" s="126">
        <v>4.3801524964864363E-2</v>
      </c>
      <c r="AE19" s="126">
        <v>1.646168036742804E-6</v>
      </c>
      <c r="AF19" s="126">
        <v>0.28653518061067051</v>
      </c>
      <c r="AG19" s="126">
        <v>0.22065210121488624</v>
      </c>
      <c r="AH19" s="126">
        <v>0.39417104342858805</v>
      </c>
      <c r="AI19" s="126">
        <v>0.32472281389497437</v>
      </c>
      <c r="AJ19" s="126">
        <v>0.34793026599308247</v>
      </c>
      <c r="AK19" s="126">
        <v>0.36355212842196638</v>
      </c>
      <c r="AL19" s="126">
        <v>0.2490560673799016</v>
      </c>
      <c r="AM19" s="126">
        <v>0.14244356669954558</v>
      </c>
      <c r="AN19" s="126">
        <v>0.1836978984303102</v>
      </c>
      <c r="AO19" s="126">
        <v>3.5608300711692506E-7</v>
      </c>
      <c r="AP19" s="126">
        <v>1.098456606338967E-2</v>
      </c>
      <c r="AQ19" s="126">
        <v>1.5722663684100913E-2</v>
      </c>
      <c r="AR19" s="126">
        <v>4.5205912419797094E-2</v>
      </c>
      <c r="AS19" s="126">
        <v>0.22213117828428816</v>
      </c>
      <c r="AT19" s="126">
        <v>0.34710421135412273</v>
      </c>
      <c r="AU19" s="126">
        <v>5.4296372492865013E-3</v>
      </c>
      <c r="AV19" s="126">
        <v>7.0033107195922262E-2</v>
      </c>
      <c r="AW19" s="126">
        <v>0.49641589493000515</v>
      </c>
      <c r="AX19" s="126">
        <v>2.2811351992228165E-2</v>
      </c>
      <c r="AY19" s="126">
        <v>5.939565045350626E-3</v>
      </c>
      <c r="AZ19" s="126">
        <v>0.27355858827109719</v>
      </c>
      <c r="BA19" s="126">
        <v>5.8008242151220941E-5</v>
      </c>
      <c r="BB19" s="126">
        <v>1.7118514038044667E-8</v>
      </c>
      <c r="BC19" s="126">
        <v>5.4987212304893841E-4</v>
      </c>
      <c r="BD19" s="126">
        <v>3.2370274363582096E-5</v>
      </c>
      <c r="BE19" s="126">
        <v>4.4198622206448823E-2</v>
      </c>
      <c r="BF19" s="126">
        <v>0.25820692908821108</v>
      </c>
      <c r="BG19" s="126">
        <v>0.20453969893222351</v>
      </c>
      <c r="BH19" s="126">
        <v>0.13247596756615726</v>
      </c>
      <c r="BI19" s="126">
        <v>0.34590775668618023</v>
      </c>
      <c r="BJ19" s="126">
        <v>0.2851503683601444</v>
      </c>
      <c r="BK19" s="126">
        <v>0.44761251849053968</v>
      </c>
      <c r="BL19" s="126">
        <v>0.46685715560665564</v>
      </c>
      <c r="BM19" s="126">
        <v>0.4427739082057604</v>
      </c>
      <c r="BN19" s="126">
        <v>0.18883632105250311</v>
      </c>
      <c r="BO19" s="126">
        <v>1.7701327681692923E-3</v>
      </c>
      <c r="BP19" s="126">
        <v>0.10497806235300569</v>
      </c>
      <c r="BQ19" s="126">
        <v>9.3235966052701139E-2</v>
      </c>
      <c r="BR19" s="126">
        <v>0.49226127813093867</v>
      </c>
      <c r="BS19" s="126">
        <v>0.24738565077478797</v>
      </c>
      <c r="BT19" s="126">
        <v>2.8594763000557438E-2</v>
      </c>
      <c r="BU19" s="126">
        <v>1.0755027694836185E-2</v>
      </c>
      <c r="BV19" s="126">
        <v>1.2827108891034134E-2</v>
      </c>
      <c r="BW19" s="126">
        <v>5.3586554274494262E-2</v>
      </c>
      <c r="BX19" s="126">
        <v>4.4181572407283563E-2</v>
      </c>
      <c r="BY19" s="126">
        <v>0.21504974152579018</v>
      </c>
      <c r="BZ19" s="126">
        <v>7.8389080970622665E-2</v>
      </c>
      <c r="CA19" s="126">
        <v>0.12687502136001402</v>
      </c>
      <c r="CB19" s="126">
        <v>1.048611633106451E-4</v>
      </c>
      <c r="CC19" s="126">
        <v>0.17547982693708236</v>
      </c>
      <c r="CD19" s="126">
        <v>1.0790858610201409E-2</v>
      </c>
      <c r="CE19" s="126">
        <v>0.48118277730327486</v>
      </c>
      <c r="CF19" s="126">
        <v>0.40601859780103428</v>
      </c>
      <c r="CG19" s="126">
        <v>0.25063027548793748</v>
      </c>
      <c r="CH19" s="126">
        <v>5.6432304320241683E-2</v>
      </c>
      <c r="CI19" s="126">
        <v>8.6453399483354194E-8</v>
      </c>
      <c r="CJ19" s="126">
        <v>7.5253085416737475E-2</v>
      </c>
      <c r="CK19" s="126">
        <v>0.28602427793365853</v>
      </c>
      <c r="CL19" s="126">
        <v>0.15943106394216175</v>
      </c>
      <c r="CM19" s="126">
        <v>9.3575930929919285E-10</v>
      </c>
      <c r="CN19" s="126">
        <v>0.13435390998666885</v>
      </c>
      <c r="CO19" s="126">
        <v>0.14203548662410154</v>
      </c>
      <c r="CP19" s="126">
        <v>0.32368938094724348</v>
      </c>
      <c r="CQ19" s="126">
        <v>0.22451960709913052</v>
      </c>
      <c r="CR19" s="126">
        <v>0.22094123186121545</v>
      </c>
      <c r="CS19" s="126">
        <v>5.8472763929440862E-2</v>
      </c>
      <c r="CT19" s="126">
        <v>0.41290765371949867</v>
      </c>
      <c r="CU19" s="126">
        <v>0.4741943626686087</v>
      </c>
      <c r="CV19" s="126">
        <v>1.6412757314589891E-3</v>
      </c>
      <c r="CW19" s="126">
        <v>3.950906439031769E-3</v>
      </c>
      <c r="CX19" s="126">
        <v>0.11045767334112545</v>
      </c>
    </row>
    <row r="20" spans="1:102">
      <c r="A20" s="306" t="s">
        <v>177</v>
      </c>
      <c r="B20" s="307"/>
      <c r="C20" s="126">
        <v>3.6629931811518202E-20</v>
      </c>
      <c r="D20" s="126">
        <v>4.4999966638952206E-2</v>
      </c>
      <c r="E20" s="126">
        <v>3.3774073489155537E-2</v>
      </c>
      <c r="F20" s="126">
        <v>5.4868733441448672E-5</v>
      </c>
      <c r="G20" s="126">
        <v>8.5921606995093038E-11</v>
      </c>
      <c r="H20" s="126">
        <v>9.1357129345353222E-7</v>
      </c>
      <c r="I20" s="126">
        <v>0.16295029235459432</v>
      </c>
      <c r="J20" s="126">
        <v>3.449978273044304E-10</v>
      </c>
      <c r="K20" s="126">
        <v>3.8314867625002115E-2</v>
      </c>
      <c r="L20" s="126">
        <v>9.6762797646419652E-2</v>
      </c>
      <c r="M20" s="126">
        <v>0.14224822545879917</v>
      </c>
      <c r="N20" s="126">
        <v>3.3266704156933941E-10</v>
      </c>
      <c r="O20" s="126">
        <v>6.3639583843128095E-2</v>
      </c>
      <c r="P20" s="126">
        <v>1.2426954734327639E-2</v>
      </c>
      <c r="Q20" s="126">
        <v>1.109078044202143E-2</v>
      </c>
      <c r="R20" s="126">
        <v>2.584751973807967E-15</v>
      </c>
      <c r="S20" s="126">
        <v>9.8146511310383214E-9</v>
      </c>
      <c r="T20" s="126">
        <v>8.5215231945438244E-2</v>
      </c>
      <c r="U20" s="126">
        <v>2.6534862178832252E-5</v>
      </c>
      <c r="V20" s="126">
        <v>5.7149761833683735E-3</v>
      </c>
      <c r="W20" s="126">
        <v>2.5477779514058721E-6</v>
      </c>
      <c r="X20" s="126">
        <v>7.8632041140410877E-6</v>
      </c>
      <c r="Y20" s="126">
        <v>1.3994832534282568E-2</v>
      </c>
      <c r="Z20" s="126">
        <v>5.3082200703157269E-7</v>
      </c>
      <c r="AA20" s="126">
        <v>0.13501244699053272</v>
      </c>
      <c r="AB20" s="126">
        <v>6.357402519205356E-2</v>
      </c>
      <c r="AC20" s="126">
        <v>8.2224493465481427E-2</v>
      </c>
      <c r="AD20" s="126">
        <v>0.17339025957547369</v>
      </c>
      <c r="AE20" s="126">
        <v>0.46218745151635238</v>
      </c>
      <c r="AF20" s="126">
        <v>1.5537521196670491E-3</v>
      </c>
      <c r="AG20" s="126">
        <v>1.5479397085149985E-3</v>
      </c>
      <c r="AH20" s="126">
        <v>9.3949949358030652E-2</v>
      </c>
      <c r="AI20" s="126">
        <v>0.17474385789140909</v>
      </c>
      <c r="AJ20" s="126">
        <v>0.24849666593071648</v>
      </c>
      <c r="AK20" s="126">
        <v>1.3554412438055932E-7</v>
      </c>
      <c r="AL20" s="126">
        <v>3.2347415425840587E-6</v>
      </c>
      <c r="AM20" s="126">
        <v>9.0099432915960922E-3</v>
      </c>
      <c r="AN20" s="126">
        <v>2.2580169953391976E-3</v>
      </c>
      <c r="AO20" s="126">
        <v>4.8023764955073905E-2</v>
      </c>
      <c r="AP20" s="126">
        <v>3.4312943509337189E-2</v>
      </c>
      <c r="AQ20" s="126">
        <v>0.37669311407886086</v>
      </c>
      <c r="AR20" s="126">
        <v>1.6221369717021725E-12</v>
      </c>
      <c r="AS20" s="126">
        <v>1.2584995944259169E-6</v>
      </c>
      <c r="AT20" s="126">
        <v>3.4339816398827295E-15</v>
      </c>
      <c r="AU20" s="126">
        <v>0.25672084818429042</v>
      </c>
      <c r="AV20" s="126">
        <v>5.9281751495944814E-2</v>
      </c>
      <c r="AW20" s="126">
        <v>0.1881700408298688</v>
      </c>
      <c r="AX20" s="126">
        <v>3.1394430016925537E-4</v>
      </c>
      <c r="AY20" s="126">
        <v>0.25059760533061071</v>
      </c>
      <c r="AZ20" s="126">
        <v>2.8647621964262389E-3</v>
      </c>
      <c r="BA20" s="126">
        <v>9.0455586249887031E-9</v>
      </c>
      <c r="BB20" s="126">
        <v>1.4072938727272874E-2</v>
      </c>
      <c r="BC20" s="126">
        <v>6.5969622460854268E-13</v>
      </c>
      <c r="BD20" s="126">
        <v>0.21081758918534821</v>
      </c>
      <c r="BE20" s="126">
        <v>0.393028867844468</v>
      </c>
      <c r="BF20" s="126">
        <v>1.712227802526595E-2</v>
      </c>
      <c r="BG20" s="126">
        <v>8.0100579785996624E-3</v>
      </c>
      <c r="BH20" s="126">
        <v>4.1173610600560113E-3</v>
      </c>
      <c r="BI20" s="126">
        <v>0.21526828719138538</v>
      </c>
      <c r="BJ20" s="126">
        <v>9.9380830030434561E-2</v>
      </c>
      <c r="BK20" s="126">
        <v>2.0086786008529965E-5</v>
      </c>
      <c r="BL20" s="126">
        <v>9.8656685219619435E-3</v>
      </c>
      <c r="BM20" s="126">
        <v>4.3537382514882712E-2</v>
      </c>
      <c r="BN20" s="126">
        <v>1.1992075081343872E-2</v>
      </c>
      <c r="BO20" s="126">
        <v>0.2364329030648141</v>
      </c>
      <c r="BP20" s="126">
        <v>0.16977759830905848</v>
      </c>
      <c r="BQ20" s="126">
        <v>3.3502304686649268E-3</v>
      </c>
      <c r="BR20" s="126">
        <v>9.4741756751531653E-2</v>
      </c>
      <c r="BS20" s="126">
        <v>0.32820457735833702</v>
      </c>
      <c r="BT20" s="126">
        <v>0.31934080170505513</v>
      </c>
      <c r="BU20" s="126">
        <v>8.5752570782088325E-2</v>
      </c>
      <c r="BV20" s="126">
        <v>7.2234185732598238E-2</v>
      </c>
      <c r="BW20" s="126">
        <v>3.3731305927771531E-3</v>
      </c>
      <c r="BX20" s="126">
        <v>3.5632249243611018E-2</v>
      </c>
      <c r="BY20" s="126">
        <v>4.5489976375660567E-2</v>
      </c>
      <c r="BZ20" s="126">
        <v>6.2101749183771429E-4</v>
      </c>
      <c r="CA20" s="126">
        <v>0.28838869192633737</v>
      </c>
      <c r="CB20" s="126">
        <v>2.8234951608527428E-6</v>
      </c>
      <c r="CC20" s="126">
        <v>3.1571957334645761E-4</v>
      </c>
      <c r="CD20" s="126">
        <v>1.6832226957441238E-3</v>
      </c>
      <c r="CE20" s="126">
        <v>0.25438915229595543</v>
      </c>
      <c r="CF20" s="126">
        <v>1.8596926047919223E-6</v>
      </c>
      <c r="CG20" s="126">
        <v>1.1754924133567657E-7</v>
      </c>
      <c r="CH20" s="126">
        <v>0.42325533577546814</v>
      </c>
      <c r="CI20" s="126">
        <v>0.12724440218833263</v>
      </c>
      <c r="CJ20" s="126">
        <v>2.77718972628388E-3</v>
      </c>
      <c r="CK20" s="126">
        <v>0.19802423630681362</v>
      </c>
      <c r="CL20" s="126">
        <v>3.6579963768302977E-2</v>
      </c>
      <c r="CM20" s="126">
        <v>0.35189509765342536</v>
      </c>
      <c r="CN20" s="126">
        <v>2.3059903240410494E-6</v>
      </c>
      <c r="CO20" s="126">
        <v>8.3603600571330993E-3</v>
      </c>
      <c r="CP20" s="126">
        <v>0.21150845892817077</v>
      </c>
      <c r="CQ20" s="126">
        <v>2.1953040427091411E-2</v>
      </c>
      <c r="CR20" s="126">
        <v>0.17319321221240255</v>
      </c>
      <c r="CS20" s="126">
        <v>0.41409851370608042</v>
      </c>
      <c r="CT20" s="126">
        <v>0.13894515810440913</v>
      </c>
      <c r="CU20" s="126">
        <v>4.1971291769284415E-3</v>
      </c>
      <c r="CV20" s="126">
        <v>4.7980196316584435E-2</v>
      </c>
      <c r="CW20" s="126">
        <v>1.6597265653094134E-2</v>
      </c>
      <c r="CX20" s="126">
        <v>4.4749987871252448E-9</v>
      </c>
    </row>
    <row r="21" spans="1:102">
      <c r="A21" s="306" t="s">
        <v>5</v>
      </c>
      <c r="B21" s="307"/>
      <c r="C21" s="126">
        <v>7.5727104414892568E-2</v>
      </c>
      <c r="D21" s="126">
        <v>7.0744428132677789E-3</v>
      </c>
      <c r="E21" s="126">
        <v>1.2633421459438311E-2</v>
      </c>
      <c r="F21" s="126">
        <v>4.1900029838762683E-2</v>
      </c>
      <c r="G21" s="126">
        <v>9.7818579498142391E-4</v>
      </c>
      <c r="H21" s="126">
        <v>3.255348925618556E-13</v>
      </c>
      <c r="I21" s="126">
        <v>1.3797658016298326E-11</v>
      </c>
      <c r="J21" s="126">
        <v>0.17567759338433261</v>
      </c>
      <c r="K21" s="126">
        <v>1.2216457837924986E-5</v>
      </c>
      <c r="L21" s="126">
        <v>1.2580854195766194E-11</v>
      </c>
      <c r="M21" s="126">
        <v>0.43527741587077617</v>
      </c>
      <c r="N21" s="126">
        <v>0.33419548949569039</v>
      </c>
      <c r="O21" s="126">
        <v>0.29173705567497149</v>
      </c>
      <c r="P21" s="126">
        <v>0.14106200014679016</v>
      </c>
      <c r="Q21" s="126">
        <v>2.1373037043596794E-9</v>
      </c>
      <c r="R21" s="126">
        <v>0.22831983744821757</v>
      </c>
      <c r="S21" s="126">
        <v>0.24092835165759746</v>
      </c>
      <c r="T21" s="126">
        <v>4.0176273138234405E-3</v>
      </c>
      <c r="U21" s="126">
        <v>0.15182526671476737</v>
      </c>
      <c r="V21" s="126">
        <v>0.10406129305372815</v>
      </c>
      <c r="W21" s="126">
        <v>0.26950386914134872</v>
      </c>
      <c r="X21" s="126">
        <v>1.8743613871161442E-3</v>
      </c>
      <c r="Y21" s="126">
        <v>7.6834214345333973E-3</v>
      </c>
      <c r="Z21" s="126">
        <v>3.5769743836781134E-10</v>
      </c>
      <c r="AA21" s="126">
        <v>1.4049992333154222E-5</v>
      </c>
      <c r="AB21" s="126">
        <v>4.9502516971812183E-2</v>
      </c>
      <c r="AC21" s="126">
        <v>0.16038999767693388</v>
      </c>
      <c r="AD21" s="126">
        <v>8.3484897461940058E-2</v>
      </c>
      <c r="AE21" s="126">
        <v>6.2009645792660134E-2</v>
      </c>
      <c r="AF21" s="126">
        <v>0.10540749763060402</v>
      </c>
      <c r="AG21" s="126">
        <v>0.18642230186928871</v>
      </c>
      <c r="AH21" s="126">
        <v>9.422612951079513E-9</v>
      </c>
      <c r="AI21" s="126">
        <v>0.19369329140312513</v>
      </c>
      <c r="AJ21" s="126">
        <v>2.8773646601077434E-2</v>
      </c>
      <c r="AK21" s="126">
        <v>1.4217326323898193E-4</v>
      </c>
      <c r="AL21" s="126">
        <v>1.1354569408491052E-4</v>
      </c>
      <c r="AM21" s="126">
        <v>0.10107472637781696</v>
      </c>
      <c r="AN21" s="126">
        <v>7.9277675995915883E-2</v>
      </c>
      <c r="AO21" s="126">
        <v>2.0442527441373183E-2</v>
      </c>
      <c r="AP21" s="126">
        <v>1.1304711362867161E-6</v>
      </c>
      <c r="AQ21" s="126">
        <v>1.2152883170500671E-3</v>
      </c>
      <c r="AR21" s="126">
        <v>0.16020047022234285</v>
      </c>
      <c r="AS21" s="126">
        <v>0.41299667462516881</v>
      </c>
      <c r="AT21" s="126">
        <v>0.41529646015559346</v>
      </c>
      <c r="AU21" s="126">
        <v>7.4956379571659654E-2</v>
      </c>
      <c r="AV21" s="126">
        <v>1.8510128387192871E-3</v>
      </c>
      <c r="AW21" s="126">
        <v>2.5915377594173277E-3</v>
      </c>
      <c r="AX21" s="126">
        <v>0.39078513092878797</v>
      </c>
      <c r="AY21" s="126">
        <v>0.45349890311656904</v>
      </c>
      <c r="AZ21" s="126">
        <v>0.45765218957689513</v>
      </c>
      <c r="BA21" s="126">
        <v>0.30560862062571831</v>
      </c>
      <c r="BB21" s="126">
        <v>1.9930756406107154E-13</v>
      </c>
      <c r="BC21" s="126">
        <v>6.018574976462595E-2</v>
      </c>
      <c r="BD21" s="126">
        <v>1.1414055113540321E-2</v>
      </c>
      <c r="BE21" s="126">
        <v>0.12271944481682237</v>
      </c>
      <c r="BF21" s="126">
        <v>4.6002406911416199E-3</v>
      </c>
      <c r="BG21" s="126">
        <v>4.3962156595769554E-2</v>
      </c>
      <c r="BH21" s="126">
        <v>0.40057831778668473</v>
      </c>
      <c r="BI21" s="126">
        <v>1.9325033656592789E-2</v>
      </c>
      <c r="BJ21" s="126">
        <v>0.11952777199061568</v>
      </c>
      <c r="BK21" s="126">
        <v>5.9903852288712811E-2</v>
      </c>
      <c r="BL21" s="126">
        <v>1.6630902236389297E-3</v>
      </c>
      <c r="BM21" s="126">
        <v>2.4839559784909711E-2</v>
      </c>
      <c r="BN21" s="126">
        <v>0.25273546132865393</v>
      </c>
      <c r="BO21" s="126">
        <v>0.12224702139162752</v>
      </c>
      <c r="BP21" s="126">
        <v>0.28551413962697642</v>
      </c>
      <c r="BQ21" s="126">
        <v>1.84551322969625E-5</v>
      </c>
      <c r="BR21" s="126">
        <v>0.17934414729242457</v>
      </c>
      <c r="BS21" s="126">
        <v>1.1401135503221463E-2</v>
      </c>
      <c r="BT21" s="126">
        <v>1.0107749656952673E-3</v>
      </c>
      <c r="BU21" s="126">
        <v>0.35625139521504634</v>
      </c>
      <c r="BV21" s="126">
        <v>0.15420345607223196</v>
      </c>
      <c r="BW21" s="126">
        <v>5.0475002922852834E-6</v>
      </c>
      <c r="BX21" s="126">
        <v>0.34693609050594931</v>
      </c>
      <c r="BY21" s="126">
        <v>0.38767450490801864</v>
      </c>
      <c r="BZ21" s="126">
        <v>4.1338624396488959E-4</v>
      </c>
      <c r="CA21" s="126">
        <v>0.17001401938626762</v>
      </c>
      <c r="CB21" s="126">
        <v>2.8106998862277681E-3</v>
      </c>
      <c r="CC21" s="126">
        <v>3.2088900067826304E-7</v>
      </c>
      <c r="CD21" s="126">
        <v>0.41768668079655402</v>
      </c>
      <c r="CE21" s="126">
        <v>6.5729602373407784E-8</v>
      </c>
      <c r="CF21" s="126">
        <v>3.5276426582707952E-3</v>
      </c>
      <c r="CG21" s="126">
        <v>0.20862758811510554</v>
      </c>
      <c r="CH21" s="126">
        <v>7.3280933232731764E-4</v>
      </c>
      <c r="CI21" s="126">
        <v>0.42182295800524794</v>
      </c>
      <c r="CJ21" s="126">
        <v>2.2030274731709685E-2</v>
      </c>
      <c r="CK21" s="126">
        <v>0.1131693589586461</v>
      </c>
      <c r="CL21" s="126">
        <v>8.7430615225319405E-2</v>
      </c>
      <c r="CM21" s="126">
        <v>0.198996002517244</v>
      </c>
      <c r="CN21" s="126">
        <v>0.11213672470702894</v>
      </c>
      <c r="CO21" s="126">
        <v>0.4350766599299985</v>
      </c>
      <c r="CP21" s="126">
        <v>2.1839038215457872E-2</v>
      </c>
      <c r="CQ21" s="126">
        <v>4.7878636485942878E-2</v>
      </c>
      <c r="CR21" s="126">
        <v>0.30492931323095956</v>
      </c>
      <c r="CS21" s="126">
        <v>4.8487701635322962E-2</v>
      </c>
      <c r="CT21" s="126">
        <v>0.22783525047437941</v>
      </c>
      <c r="CU21" s="126">
        <v>0.14402869778726829</v>
      </c>
      <c r="CV21" s="126">
        <v>0.19574294107379725</v>
      </c>
      <c r="CW21" s="126">
        <v>0.33314531070097897</v>
      </c>
      <c r="CX21" s="126">
        <v>0.45771354998591374</v>
      </c>
    </row>
    <row r="22" spans="1:102">
      <c r="A22" s="306" t="s">
        <v>178</v>
      </c>
      <c r="B22" s="307"/>
      <c r="C22" s="126">
        <v>0.43899031917868453</v>
      </c>
      <c r="D22" s="126">
        <v>0.45863664983754771</v>
      </c>
      <c r="E22" s="126">
        <v>0.26322862486327459</v>
      </c>
      <c r="F22" s="126">
        <v>0.42018045440703367</v>
      </c>
      <c r="G22" s="126">
        <v>0.38524060646085234</v>
      </c>
      <c r="H22" s="126">
        <v>0.20852942102495875</v>
      </c>
      <c r="I22" s="126">
        <v>0.32919759456144093</v>
      </c>
      <c r="J22" s="126">
        <v>0.34107655190290775</v>
      </c>
      <c r="K22" s="126">
        <v>0.24452594522641</v>
      </c>
      <c r="L22" s="126">
        <v>0.33371917909080401</v>
      </c>
      <c r="M22" s="126">
        <v>0.25952614598422513</v>
      </c>
      <c r="N22" s="126">
        <v>0.47855935758719942</v>
      </c>
      <c r="O22" s="126">
        <v>0.43149273397499721</v>
      </c>
      <c r="P22" s="126">
        <v>0.2318759837642129</v>
      </c>
      <c r="Q22" s="126">
        <v>0.47379240082605822</v>
      </c>
      <c r="R22" s="126">
        <v>0.27784376332576077</v>
      </c>
      <c r="S22" s="126">
        <v>0.44018302728000835</v>
      </c>
      <c r="T22" s="126">
        <v>0.10127624668298126</v>
      </c>
      <c r="U22" s="126">
        <v>4.9575158788381951E-2</v>
      </c>
      <c r="V22" s="126">
        <v>3.9449749799573891E-5</v>
      </c>
      <c r="W22" s="126">
        <v>1.7335429469810787E-2</v>
      </c>
      <c r="X22" s="126">
        <v>0.25141131391961347</v>
      </c>
      <c r="Y22" s="126">
        <v>0.48423404615276788</v>
      </c>
      <c r="Z22" s="126">
        <v>0.45531926445331905</v>
      </c>
      <c r="AA22" s="126">
        <v>0.47566655777582778</v>
      </c>
      <c r="AB22" s="126">
        <v>2.8957751655859306E-4</v>
      </c>
      <c r="AC22" s="126">
        <v>0.2043561509675407</v>
      </c>
      <c r="AD22" s="126">
        <v>0.33076912154686866</v>
      </c>
      <c r="AE22" s="126">
        <v>0.47261740962291093</v>
      </c>
      <c r="AF22" s="126">
        <v>0.24007489857747422</v>
      </c>
      <c r="AG22" s="126">
        <v>1.2559067080424744E-6</v>
      </c>
      <c r="AH22" s="126">
        <v>0.17101348496827457</v>
      </c>
      <c r="AI22" s="126">
        <v>1.1353831904641143E-10</v>
      </c>
      <c r="AJ22" s="126">
        <v>3.7696953565403142E-3</v>
      </c>
      <c r="AK22" s="126">
        <v>0.18596659000410995</v>
      </c>
      <c r="AL22" s="126">
        <v>0.46630749829261636</v>
      </c>
      <c r="AM22" s="126">
        <v>0.44966693765469379</v>
      </c>
      <c r="AN22" s="126">
        <v>0.31040472055511537</v>
      </c>
      <c r="AO22" s="126">
        <v>0.14126210068010717</v>
      </c>
      <c r="AP22" s="126">
        <v>0.21507773947196993</v>
      </c>
      <c r="AQ22" s="126">
        <v>0.24307868387627088</v>
      </c>
      <c r="AR22" s="126">
        <v>0.30167047911033396</v>
      </c>
      <c r="AS22" s="126">
        <v>0.14858947156616262</v>
      </c>
      <c r="AT22" s="126">
        <v>5.0851895439487395E-6</v>
      </c>
      <c r="AU22" s="126">
        <v>4.7074094645378076E-3</v>
      </c>
      <c r="AV22" s="126">
        <v>8.2347378748421907E-3</v>
      </c>
      <c r="AW22" s="126">
        <v>1.5520573388611456E-4</v>
      </c>
      <c r="AX22" s="126">
        <v>1.3553259396560231E-6</v>
      </c>
      <c r="AY22" s="126">
        <v>2.3961470919087652E-2</v>
      </c>
      <c r="AZ22" s="126">
        <v>2.8541105180843172E-3</v>
      </c>
      <c r="BA22" s="126">
        <v>1.0738974604311118E-4</v>
      </c>
      <c r="BB22" s="126">
        <v>0.49712767853943263</v>
      </c>
      <c r="BC22" s="126">
        <v>5.5865250676445316E-3</v>
      </c>
      <c r="BD22" s="126">
        <v>4.6173293108624204E-2</v>
      </c>
      <c r="BE22" s="126">
        <v>8.1847900710740856E-2</v>
      </c>
      <c r="BF22" s="126">
        <v>0.30672458036648609</v>
      </c>
      <c r="BG22" s="126">
        <v>0.3332742701510415</v>
      </c>
      <c r="BH22" s="126">
        <v>2.6700745188060944E-13</v>
      </c>
      <c r="BI22" s="126">
        <v>2.773663970808311E-2</v>
      </c>
      <c r="BJ22" s="126">
        <v>0.44454228741224616</v>
      </c>
      <c r="BK22" s="126">
        <v>0.38772428489523486</v>
      </c>
      <c r="BL22" s="126">
        <v>1.4965523392928513E-6</v>
      </c>
      <c r="BM22" s="126">
        <v>5.5551247102366745E-2</v>
      </c>
      <c r="BN22" s="126">
        <v>2.8673927899878222E-5</v>
      </c>
      <c r="BO22" s="126">
        <v>6.1714752882034804E-2</v>
      </c>
      <c r="BP22" s="126">
        <v>0.36176337459850044</v>
      </c>
      <c r="BQ22" s="126">
        <v>9.4532189014921802E-2</v>
      </c>
      <c r="BR22" s="126">
        <v>0.23261492303140843</v>
      </c>
      <c r="BS22" s="126">
        <v>0.29443746410130289</v>
      </c>
      <c r="BT22" s="126">
        <v>2.7066349210747272E-5</v>
      </c>
      <c r="BU22" s="126">
        <v>0.24370682443749722</v>
      </c>
      <c r="BV22" s="126">
        <v>1.6519913837439001E-2</v>
      </c>
      <c r="BW22" s="126">
        <v>6.8532442334186247E-2</v>
      </c>
      <c r="BX22" s="126">
        <v>0.19845255341426257</v>
      </c>
      <c r="BY22" s="126">
        <v>0.30812969998218503</v>
      </c>
      <c r="BZ22" s="126">
        <v>0.47264975239811302</v>
      </c>
      <c r="CA22" s="126">
        <v>0.41181122685592725</v>
      </c>
      <c r="CB22" s="126">
        <v>0.19208090117020385</v>
      </c>
      <c r="CC22" s="126">
        <v>9.5512030665636821E-2</v>
      </c>
      <c r="CD22" s="126">
        <v>3.4481487875202957E-2</v>
      </c>
      <c r="CE22" s="126">
        <v>0.24769316002383313</v>
      </c>
      <c r="CF22" s="126">
        <v>0.30400237877603081</v>
      </c>
      <c r="CG22" s="126">
        <v>0.22537747241546913</v>
      </c>
      <c r="CH22" s="126">
        <v>0.37135656350974877</v>
      </c>
      <c r="CI22" s="126">
        <v>8.9852871588261496E-2</v>
      </c>
      <c r="CJ22" s="126">
        <v>0.27466462770647437</v>
      </c>
      <c r="CK22" s="126">
        <v>1.6684780015085112E-4</v>
      </c>
      <c r="CL22" s="126">
        <v>0.47915426832084418</v>
      </c>
      <c r="CM22" s="126">
        <v>2.8080059768411601E-4</v>
      </c>
      <c r="CN22" s="126">
        <v>0.48404045674290841</v>
      </c>
      <c r="CO22" s="126">
        <v>8.665623755609482E-9</v>
      </c>
      <c r="CP22" s="126">
        <v>0.34229441630382762</v>
      </c>
      <c r="CQ22" s="126">
        <v>4.1743335066224112E-3</v>
      </c>
      <c r="CR22" s="126">
        <v>1.5527738214650639E-4</v>
      </c>
      <c r="CS22" s="126">
        <v>0.4138850750558502</v>
      </c>
      <c r="CT22" s="126">
        <v>2.2768403813699218E-4</v>
      </c>
      <c r="CU22" s="126">
        <v>4.5658718903432036E-12</v>
      </c>
      <c r="CV22" s="126">
        <v>0.48137205096132951</v>
      </c>
      <c r="CW22" s="126">
        <v>0.42800829668405371</v>
      </c>
      <c r="CX22" s="126">
        <v>0.20583816388337969</v>
      </c>
    </row>
    <row r="23" spans="1:102">
      <c r="A23" s="306" t="s">
        <v>6</v>
      </c>
      <c r="B23" s="307"/>
      <c r="C23" s="126">
        <v>4.4041614136983907E-4</v>
      </c>
      <c r="D23" s="126">
        <v>0.1152693202064721</v>
      </c>
      <c r="E23" s="126">
        <v>0.17145636422069604</v>
      </c>
      <c r="F23" s="126">
        <v>0.18872714672092294</v>
      </c>
      <c r="G23" s="126">
        <v>4.9910757691217692E-26</v>
      </c>
      <c r="H23" s="126">
        <v>2.9899269287960215E-4</v>
      </c>
      <c r="I23" s="126">
        <v>0.20337422746414802</v>
      </c>
      <c r="J23" s="126">
        <v>1.7083526932327602E-2</v>
      </c>
      <c r="K23" s="126">
        <v>5.6727563236809928E-2</v>
      </c>
      <c r="L23" s="126">
        <v>2.4352805103038144E-10</v>
      </c>
      <c r="M23" s="126">
        <v>9.2380355362532935E-8</v>
      </c>
      <c r="N23" s="126">
        <v>3.1003809430598271E-3</v>
      </c>
      <c r="O23" s="126">
        <v>1.5456025286009397E-7</v>
      </c>
      <c r="P23" s="126">
        <v>0.19139426287167252</v>
      </c>
      <c r="Q23" s="126">
        <v>1.9446353454424619E-2</v>
      </c>
      <c r="R23" s="126">
        <v>1.1699380386183243E-7</v>
      </c>
      <c r="S23" s="126">
        <v>4.689677383610261E-6</v>
      </c>
      <c r="T23" s="126">
        <v>0.43051648853107372</v>
      </c>
      <c r="U23" s="126">
        <v>0.24238361468152025</v>
      </c>
      <c r="V23" s="126">
        <v>0.2159430369486213</v>
      </c>
      <c r="W23" s="126">
        <v>0.13244452448612304</v>
      </c>
      <c r="X23" s="126">
        <v>0.23107946882277025</v>
      </c>
      <c r="Y23" s="126">
        <v>2.099832524484225E-15</v>
      </c>
      <c r="Z23" s="126">
        <v>0.22889256690754117</v>
      </c>
      <c r="AA23" s="126">
        <v>2.3841754763518821E-2</v>
      </c>
      <c r="AB23" s="126">
        <v>0.48326756708201163</v>
      </c>
      <c r="AC23" s="126">
        <v>9.219329358654698E-6</v>
      </c>
      <c r="AD23" s="126">
        <v>2.1778685184738827E-2</v>
      </c>
      <c r="AE23" s="126">
        <v>1.2868283755681642E-5</v>
      </c>
      <c r="AF23" s="126">
        <v>0.28058524722164385</v>
      </c>
      <c r="AG23" s="126">
        <v>0.13767633281251823</v>
      </c>
      <c r="AH23" s="126">
        <v>6.7765120512680674E-2</v>
      </c>
      <c r="AI23" s="126">
        <v>0.25121904117663219</v>
      </c>
      <c r="AJ23" s="126">
        <v>0.29195764236222421</v>
      </c>
      <c r="AK23" s="126">
        <v>0.12690556792785709</v>
      </c>
      <c r="AL23" s="126">
        <v>0.2579350459574688</v>
      </c>
      <c r="AM23" s="126">
        <v>0.21013044327174688</v>
      </c>
      <c r="AN23" s="126">
        <v>8.3771268458294665E-4</v>
      </c>
      <c r="AO23" s="126">
        <v>4.8276699696129376E-7</v>
      </c>
      <c r="AP23" s="126">
        <v>0.15436445545804103</v>
      </c>
      <c r="AQ23" s="126">
        <v>0.11648307891690639</v>
      </c>
      <c r="AR23" s="126">
        <v>1.4255601235239352E-2</v>
      </c>
      <c r="AS23" s="126">
        <v>0.12420746308399326</v>
      </c>
      <c r="AT23" s="126">
        <v>2.3275453240473747E-3</v>
      </c>
      <c r="AU23" s="126">
        <v>0.16427236139268114</v>
      </c>
      <c r="AV23" s="126">
        <v>0.39816267330206184</v>
      </c>
      <c r="AW23" s="126">
        <v>8.2768053567409669E-2</v>
      </c>
      <c r="AX23" s="126">
        <v>0.24732370943110477</v>
      </c>
      <c r="AY23" s="126">
        <v>0.15182409090475463</v>
      </c>
      <c r="AZ23" s="126">
        <v>1.1989200565949966E-2</v>
      </c>
      <c r="BA23" s="126">
        <v>3.7203713279361666E-3</v>
      </c>
      <c r="BB23" s="126">
        <v>1.1199921362074836E-7</v>
      </c>
      <c r="BC23" s="126">
        <v>0.38658086737049258</v>
      </c>
      <c r="BD23" s="126">
        <v>1.1803493144184945E-2</v>
      </c>
      <c r="BE23" s="126">
        <v>0.17269380131656925</v>
      </c>
      <c r="BF23" s="126">
        <v>6.4578260916362364E-4</v>
      </c>
      <c r="BG23" s="126">
        <v>1.0009626804169032E-6</v>
      </c>
      <c r="BH23" s="126">
        <v>6.030296408468672E-6</v>
      </c>
      <c r="BI23" s="126">
        <v>3.5473338262609925E-3</v>
      </c>
      <c r="BJ23" s="126">
        <v>1.0031692950340882E-3</v>
      </c>
      <c r="BK23" s="126">
        <v>0.10235742994087879</v>
      </c>
      <c r="BL23" s="126">
        <v>0.17853384574129413</v>
      </c>
      <c r="BM23" s="126">
        <v>0.19737401085176737</v>
      </c>
      <c r="BN23" s="126">
        <v>4.63566080068082E-3</v>
      </c>
      <c r="BO23" s="126">
        <v>6.3542593576678422E-2</v>
      </c>
      <c r="BP23" s="126">
        <v>1.6585723880915135E-4</v>
      </c>
      <c r="BQ23" s="126">
        <v>0.35999809225272061</v>
      </c>
      <c r="BR23" s="126">
        <v>3.2615596005662104E-7</v>
      </c>
      <c r="BS23" s="126">
        <v>1.6432926748896615E-3</v>
      </c>
      <c r="BT23" s="126">
        <v>0.46765639104964085</v>
      </c>
      <c r="BU23" s="126">
        <v>0.25413137694407018</v>
      </c>
      <c r="BV23" s="126">
        <v>0.12309326157164462</v>
      </c>
      <c r="BW23" s="126">
        <v>0.26262662968477407</v>
      </c>
      <c r="BX23" s="126">
        <v>1.2010152255376475E-2</v>
      </c>
      <c r="BY23" s="126">
        <v>2.987518312600418E-4</v>
      </c>
      <c r="BZ23" s="126">
        <v>9.9006413538045304E-2</v>
      </c>
      <c r="CA23" s="126">
        <v>4.9503909574688705E-8</v>
      </c>
      <c r="CB23" s="126">
        <v>4.2644086968507841E-2</v>
      </c>
      <c r="CC23" s="126">
        <v>0.47926236623478158</v>
      </c>
      <c r="CD23" s="126">
        <v>1.7798112398188815E-10</v>
      </c>
      <c r="CE23" s="126">
        <v>2.4990060486070548E-8</v>
      </c>
      <c r="CF23" s="126">
        <v>1.192714719787742E-4</v>
      </c>
      <c r="CG23" s="126">
        <v>9.9726029891033449E-3</v>
      </c>
      <c r="CH23" s="126">
        <v>0.10902540011662394</v>
      </c>
      <c r="CI23" s="126">
        <v>0.1957426244983814</v>
      </c>
      <c r="CJ23" s="126">
        <v>9.7836826890953452E-2</v>
      </c>
      <c r="CK23" s="126">
        <v>0.3016754829305619</v>
      </c>
      <c r="CL23" s="126">
        <v>1.9878770175972747E-2</v>
      </c>
      <c r="CM23" s="126">
        <v>1.4738354863033211E-7</v>
      </c>
      <c r="CN23" s="126">
        <v>9.9845433095009794E-8</v>
      </c>
      <c r="CO23" s="126">
        <v>1.0808752323372359E-5</v>
      </c>
      <c r="CP23" s="126">
        <v>1.4594751888298101E-3</v>
      </c>
      <c r="CQ23" s="126">
        <v>0.25093815649995588</v>
      </c>
      <c r="CR23" s="126">
        <v>3.3197852714440443E-3</v>
      </c>
      <c r="CS23" s="126">
        <v>3.8801197931004876E-3</v>
      </c>
      <c r="CT23" s="126">
        <v>0.22000734310766687</v>
      </c>
      <c r="CU23" s="126">
        <v>4.4441663506483985E-4</v>
      </c>
      <c r="CV23" s="126">
        <v>0.18189092147100158</v>
      </c>
      <c r="CW23" s="126">
        <v>7.5148586745360248E-8</v>
      </c>
      <c r="CX23" s="126">
        <v>1.1702281422133809E-2</v>
      </c>
    </row>
    <row r="24" spans="1:102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125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7" spans="1:102" s="94" customFormat="1">
      <c r="A27" s="303" t="s">
        <v>131</v>
      </c>
      <c r="B27" s="304"/>
    </row>
    <row r="28" spans="1:102" s="95" customFormat="1">
      <c r="A28" s="308" t="str">
        <f t="shared" ref="A28:A37" si="0">A4</f>
        <v>Nominale matching</v>
      </c>
      <c r="B28" s="309"/>
      <c r="C28" s="97">
        <v>0.03</v>
      </c>
      <c r="D28" s="97">
        <v>0.03</v>
      </c>
      <c r="E28" s="97">
        <v>0.03</v>
      </c>
      <c r="F28" s="97">
        <v>0.03</v>
      </c>
      <c r="G28" s="97">
        <v>0.03</v>
      </c>
      <c r="H28" s="97">
        <v>0.03</v>
      </c>
      <c r="I28" s="97">
        <v>0.03</v>
      </c>
      <c r="J28" s="97">
        <v>0.03</v>
      </c>
      <c r="K28" s="97">
        <v>0.03</v>
      </c>
      <c r="L28" s="97">
        <v>0.03</v>
      </c>
      <c r="M28" s="97">
        <v>0.03</v>
      </c>
      <c r="N28" s="97">
        <v>0.03</v>
      </c>
      <c r="O28" s="97">
        <v>0.03</v>
      </c>
      <c r="P28" s="97">
        <v>0.03</v>
      </c>
      <c r="Q28" s="97">
        <v>0.03</v>
      </c>
      <c r="R28" s="97">
        <v>0.03</v>
      </c>
      <c r="S28" s="97">
        <v>0.03</v>
      </c>
      <c r="T28" s="97">
        <v>0.03</v>
      </c>
      <c r="U28" s="97">
        <v>0.03</v>
      </c>
      <c r="V28" s="97">
        <v>0.03</v>
      </c>
      <c r="W28" s="97">
        <v>0.03</v>
      </c>
      <c r="X28" s="97">
        <v>0.03</v>
      </c>
      <c r="Y28" s="97">
        <v>0.03</v>
      </c>
      <c r="Z28" s="97">
        <v>0.03</v>
      </c>
      <c r="AA28" s="97">
        <v>0.03</v>
      </c>
      <c r="AB28" s="97">
        <v>0.03</v>
      </c>
      <c r="AC28" s="97">
        <v>0.03</v>
      </c>
      <c r="AD28" s="97">
        <v>0.03</v>
      </c>
      <c r="AE28" s="97">
        <v>0.03</v>
      </c>
      <c r="AF28" s="97">
        <v>0.03</v>
      </c>
      <c r="AG28" s="97">
        <v>0.03</v>
      </c>
      <c r="AH28" s="97">
        <v>0.03</v>
      </c>
      <c r="AI28" s="97">
        <v>0.03</v>
      </c>
      <c r="AJ28" s="97">
        <v>0.03</v>
      </c>
      <c r="AK28" s="97">
        <v>0.03</v>
      </c>
      <c r="AL28" s="97">
        <v>0.03</v>
      </c>
      <c r="AM28" s="97">
        <v>0.03</v>
      </c>
      <c r="AN28" s="97">
        <v>0.03</v>
      </c>
      <c r="AO28" s="97">
        <v>0.03</v>
      </c>
      <c r="AP28" s="97">
        <v>0.03</v>
      </c>
      <c r="AQ28" s="97">
        <v>0.03</v>
      </c>
      <c r="AR28" s="97">
        <v>0.03</v>
      </c>
      <c r="AS28" s="97">
        <v>0.03</v>
      </c>
      <c r="AT28" s="97">
        <v>0.03</v>
      </c>
      <c r="AU28" s="97">
        <v>0.03</v>
      </c>
      <c r="AV28" s="97">
        <v>0.03</v>
      </c>
      <c r="AW28" s="97">
        <v>0.03</v>
      </c>
      <c r="AX28" s="97">
        <v>0.03</v>
      </c>
      <c r="AY28" s="97">
        <v>0.03</v>
      </c>
      <c r="AZ28" s="97">
        <v>0.03</v>
      </c>
      <c r="BA28" s="97">
        <v>0.03</v>
      </c>
      <c r="BB28" s="97">
        <v>0.03</v>
      </c>
      <c r="BC28" s="97">
        <v>0.03</v>
      </c>
      <c r="BD28" s="97">
        <v>0.03</v>
      </c>
      <c r="BE28" s="97">
        <v>0.03</v>
      </c>
      <c r="BF28" s="97">
        <v>0.03</v>
      </c>
      <c r="BG28" s="97">
        <v>0.03</v>
      </c>
      <c r="BH28" s="97">
        <v>0.03</v>
      </c>
      <c r="BI28" s="97">
        <v>0.03</v>
      </c>
      <c r="BJ28" s="97">
        <v>0.03</v>
      </c>
      <c r="BK28" s="97">
        <v>0.03</v>
      </c>
      <c r="BL28" s="97">
        <v>0.03</v>
      </c>
      <c r="BM28" s="97">
        <v>0.03</v>
      </c>
      <c r="BN28" s="97">
        <v>0.03</v>
      </c>
      <c r="BO28" s="97">
        <v>0.03</v>
      </c>
      <c r="BP28" s="97">
        <v>0.03</v>
      </c>
      <c r="BQ28" s="97">
        <v>0.03</v>
      </c>
      <c r="BR28" s="97">
        <v>0.03</v>
      </c>
      <c r="BS28" s="97">
        <v>0.03</v>
      </c>
      <c r="BT28" s="97">
        <v>0.03</v>
      </c>
      <c r="BU28" s="97">
        <v>0.03</v>
      </c>
      <c r="BV28" s="97">
        <v>0.03</v>
      </c>
      <c r="BW28" s="97">
        <v>0.03</v>
      </c>
      <c r="BX28" s="97">
        <v>0.03</v>
      </c>
      <c r="BY28" s="97">
        <v>0.03</v>
      </c>
      <c r="BZ28" s="97">
        <v>0.03</v>
      </c>
      <c r="CA28" s="97">
        <v>0.03</v>
      </c>
      <c r="CB28" s="97">
        <v>0.03</v>
      </c>
      <c r="CC28" s="97">
        <v>0.03</v>
      </c>
      <c r="CD28" s="97">
        <v>0.03</v>
      </c>
      <c r="CE28" s="97">
        <v>0.03</v>
      </c>
      <c r="CF28" s="97">
        <v>0.03</v>
      </c>
      <c r="CG28" s="97">
        <v>0.03</v>
      </c>
      <c r="CH28" s="97">
        <v>0.03</v>
      </c>
      <c r="CI28" s="97">
        <v>0.03</v>
      </c>
      <c r="CJ28" s="97">
        <v>0.03</v>
      </c>
      <c r="CK28" s="97">
        <v>0.03</v>
      </c>
      <c r="CL28" s="97">
        <v>0.03</v>
      </c>
      <c r="CM28" s="97">
        <v>0.03</v>
      </c>
      <c r="CN28" s="97">
        <v>0.03</v>
      </c>
      <c r="CO28" s="97">
        <v>0.03</v>
      </c>
      <c r="CP28" s="97">
        <v>0.03</v>
      </c>
      <c r="CQ28" s="97">
        <v>0.03</v>
      </c>
      <c r="CR28" s="97">
        <v>0.03</v>
      </c>
      <c r="CS28" s="97">
        <v>0.03</v>
      </c>
      <c r="CT28" s="97">
        <v>0.03</v>
      </c>
      <c r="CU28" s="97">
        <v>0.03</v>
      </c>
      <c r="CV28" s="97">
        <v>0.03</v>
      </c>
      <c r="CW28" s="97">
        <v>0.03</v>
      </c>
      <c r="CX28" s="97">
        <v>0.03</v>
      </c>
    </row>
    <row r="29" spans="1:102" s="95" customFormat="1">
      <c r="A29" s="306" t="str">
        <f t="shared" si="0"/>
        <v>Reele matching</v>
      </c>
      <c r="B29" s="307"/>
      <c r="C29" s="97">
        <v>3.7798466135550227E-2</v>
      </c>
      <c r="D29" s="97">
        <v>3.8828434625916196E-2</v>
      </c>
      <c r="E29" s="97">
        <v>3.9183687865353936E-2</v>
      </c>
      <c r="F29" s="97">
        <v>3.7809529089210515E-2</v>
      </c>
      <c r="G29" s="97">
        <v>3.5817873650364207E-2</v>
      </c>
      <c r="H29" s="97">
        <v>3.6120243820345468E-2</v>
      </c>
      <c r="I29" s="97">
        <v>3.7872644720151206E-2</v>
      </c>
      <c r="J29" s="97">
        <v>3.7363487756858958E-2</v>
      </c>
      <c r="K29" s="97">
        <v>3.6331678225877323E-2</v>
      </c>
      <c r="L29" s="97">
        <v>3.7870456356111984E-2</v>
      </c>
      <c r="M29" s="97">
        <v>3.6896012972682517E-2</v>
      </c>
      <c r="N29" s="97">
        <v>3.7145797510366431E-2</v>
      </c>
      <c r="O29" s="97">
        <v>3.8593294095032621E-2</v>
      </c>
      <c r="P29" s="97">
        <v>3.9362907841746751E-2</v>
      </c>
      <c r="Q29" s="97">
        <v>3.6844693272334396E-2</v>
      </c>
      <c r="R29" s="97">
        <v>3.703708494785312E-2</v>
      </c>
      <c r="S29" s="97">
        <v>3.7940286544830892E-2</v>
      </c>
      <c r="T29" s="97">
        <v>3.8522356948702909E-2</v>
      </c>
      <c r="U29" s="97">
        <v>3.6922091420571436E-2</v>
      </c>
      <c r="V29" s="97">
        <v>3.6290935295019804E-2</v>
      </c>
      <c r="W29" s="97">
        <v>3.7752615357728427E-2</v>
      </c>
      <c r="X29" s="97">
        <v>3.6841604104094761E-2</v>
      </c>
      <c r="Y29" s="97">
        <v>3.8516324297344334E-2</v>
      </c>
      <c r="Z29" s="97">
        <v>3.7956530694663169E-2</v>
      </c>
      <c r="AA29" s="97">
        <v>3.789389733218089E-2</v>
      </c>
      <c r="AB29" s="97">
        <v>3.8399437369800546E-2</v>
      </c>
      <c r="AC29" s="97">
        <v>3.7551273644011722E-2</v>
      </c>
      <c r="AD29" s="97">
        <v>3.969913950853924E-2</v>
      </c>
      <c r="AE29" s="97">
        <v>3.7020148975692085E-2</v>
      </c>
      <c r="AF29" s="97">
        <v>3.7806780188132542E-2</v>
      </c>
      <c r="AG29" s="97">
        <v>3.8106499210826816E-2</v>
      </c>
      <c r="AH29" s="97">
        <v>3.7396416390989687E-2</v>
      </c>
      <c r="AI29" s="97">
        <v>3.8852405027909355E-2</v>
      </c>
      <c r="AJ29" s="97">
        <v>3.9015167910902676E-2</v>
      </c>
      <c r="AK29" s="97">
        <v>4.0235563289071241E-2</v>
      </c>
      <c r="AL29" s="97">
        <v>3.8519199343009569E-2</v>
      </c>
      <c r="AM29" s="97">
        <v>4.0366118732379372E-2</v>
      </c>
      <c r="AN29" s="97">
        <v>3.5628583505587591E-2</v>
      </c>
      <c r="AO29" s="97">
        <v>3.5958893077080598E-2</v>
      </c>
      <c r="AP29" s="97">
        <v>3.7762925341509268E-2</v>
      </c>
      <c r="AQ29" s="97">
        <v>3.8861298848753972E-2</v>
      </c>
      <c r="AR29" s="97">
        <v>3.8573403509932311E-2</v>
      </c>
      <c r="AS29" s="97">
        <v>3.7281160184178222E-2</v>
      </c>
      <c r="AT29" s="97">
        <v>3.6706880826819999E-2</v>
      </c>
      <c r="AU29" s="97">
        <v>3.7550893707918934E-2</v>
      </c>
      <c r="AV29" s="97">
        <v>3.9569224363105622E-2</v>
      </c>
      <c r="AW29" s="97">
        <v>3.5896346656936071E-2</v>
      </c>
      <c r="AX29" s="97">
        <v>3.9031361767060686E-2</v>
      </c>
      <c r="AY29" s="97">
        <v>3.7954267333460245E-2</v>
      </c>
      <c r="AZ29" s="97">
        <v>3.6858388603379859E-2</v>
      </c>
      <c r="BA29" s="97">
        <v>3.5251686982879095E-2</v>
      </c>
      <c r="BB29" s="97">
        <v>4.1128681014580878E-2</v>
      </c>
      <c r="BC29" s="97">
        <v>3.8155376857380484E-2</v>
      </c>
      <c r="BD29" s="97">
        <v>3.5981316745616429E-2</v>
      </c>
      <c r="BE29" s="97">
        <v>3.75648373413668E-2</v>
      </c>
      <c r="BF29" s="97">
        <v>3.8188858250827545E-2</v>
      </c>
      <c r="BG29" s="97">
        <v>3.9883722498601143E-2</v>
      </c>
      <c r="BH29" s="97">
        <v>3.7406090635852429E-2</v>
      </c>
      <c r="BI29" s="97">
        <v>3.5395688190499139E-2</v>
      </c>
      <c r="BJ29" s="97">
        <v>3.7718218549737406E-2</v>
      </c>
      <c r="BK29" s="97">
        <v>3.7778764239205558E-2</v>
      </c>
      <c r="BL29" s="97">
        <v>3.9869753307523029E-2</v>
      </c>
      <c r="BM29" s="97">
        <v>3.9157029651854879E-2</v>
      </c>
      <c r="BN29" s="97">
        <v>3.7078198378437066E-2</v>
      </c>
      <c r="BO29" s="97">
        <v>3.6435391492038116E-2</v>
      </c>
      <c r="BP29" s="97">
        <v>3.8094205766491848E-2</v>
      </c>
      <c r="BQ29" s="97">
        <v>3.8627089797692298E-2</v>
      </c>
      <c r="BR29" s="97">
        <v>3.7007061477167362E-2</v>
      </c>
      <c r="BS29" s="97">
        <v>3.6733083802365903E-2</v>
      </c>
      <c r="BT29" s="97">
        <v>3.8745838271854696E-2</v>
      </c>
      <c r="BU29" s="97">
        <v>3.9277790808320931E-2</v>
      </c>
      <c r="BV29" s="97">
        <v>3.7081285024381502E-2</v>
      </c>
      <c r="BW29" s="97">
        <v>3.7967849289300491E-2</v>
      </c>
      <c r="BX29" s="97">
        <v>4.0418234146544975E-2</v>
      </c>
      <c r="BY29" s="97">
        <v>3.8364515632760873E-2</v>
      </c>
      <c r="BZ29" s="97">
        <v>3.8176471196440076E-2</v>
      </c>
      <c r="CA29" s="97">
        <v>3.8051770453013986E-2</v>
      </c>
      <c r="CB29" s="97">
        <v>3.6337047531739934E-2</v>
      </c>
      <c r="CC29" s="97">
        <v>3.895588311402258E-2</v>
      </c>
      <c r="CD29" s="97">
        <v>3.7453612514515858E-2</v>
      </c>
      <c r="CE29" s="97">
        <v>3.6236182067919197E-2</v>
      </c>
      <c r="CF29" s="97">
        <v>3.9344748610631364E-2</v>
      </c>
      <c r="CG29" s="97">
        <v>3.8236685380450469E-2</v>
      </c>
      <c r="CH29" s="97">
        <v>3.8119797087859682E-2</v>
      </c>
      <c r="CI29" s="97">
        <v>3.8525572589799995E-2</v>
      </c>
      <c r="CJ29" s="97">
        <v>3.9726959593966882E-2</v>
      </c>
      <c r="CK29" s="97">
        <v>3.9097499249499047E-2</v>
      </c>
      <c r="CL29" s="97">
        <v>3.92750747796448E-2</v>
      </c>
      <c r="CM29" s="97">
        <v>3.6090934562904693E-2</v>
      </c>
      <c r="CN29" s="97">
        <v>4.1554417533586685E-2</v>
      </c>
      <c r="CO29" s="97">
        <v>3.7159105185063303E-2</v>
      </c>
      <c r="CP29" s="97">
        <v>3.7537038705302499E-2</v>
      </c>
      <c r="CQ29" s="97">
        <v>3.789188752989283E-2</v>
      </c>
      <c r="CR29" s="97">
        <v>3.6185769791898158E-2</v>
      </c>
      <c r="CS29" s="97">
        <v>3.942784226220105E-2</v>
      </c>
      <c r="CT29" s="97">
        <v>4.0167734260104671E-2</v>
      </c>
      <c r="CU29" s="97">
        <v>3.7015892829784305E-2</v>
      </c>
      <c r="CV29" s="97">
        <v>3.8820825864179294E-2</v>
      </c>
      <c r="CW29" s="97">
        <v>3.8559759524268024E-2</v>
      </c>
      <c r="CX29" s="97">
        <v>3.9298511252169072E-2</v>
      </c>
    </row>
    <row r="30" spans="1:102" s="95" customFormat="1">
      <c r="A30" s="306" t="str">
        <f t="shared" si="0"/>
        <v>Credits</v>
      </c>
      <c r="B30" s="307"/>
      <c r="C30" s="97">
        <v>4.0969660978462899E-2</v>
      </c>
      <c r="D30" s="97">
        <v>4.1845497061749476E-2</v>
      </c>
      <c r="E30" s="97">
        <v>4.0717360581991047E-2</v>
      </c>
      <c r="F30" s="97">
        <v>3.8507519183575777E-2</v>
      </c>
      <c r="G30" s="97">
        <v>3.5494267159650567E-2</v>
      </c>
      <c r="H30" s="97">
        <v>3.8176182791169286E-2</v>
      </c>
      <c r="I30" s="97">
        <v>3.8321335623474895E-2</v>
      </c>
      <c r="J30" s="97">
        <v>3.864926418914915E-2</v>
      </c>
      <c r="K30" s="97">
        <v>3.6196556669958975E-2</v>
      </c>
      <c r="L30" s="97">
        <v>3.7353833042190095E-2</v>
      </c>
      <c r="M30" s="97">
        <v>3.7903475241497869E-2</v>
      </c>
      <c r="N30" s="97">
        <v>3.9979063748731197E-2</v>
      </c>
      <c r="O30" s="97">
        <v>4.0481700227508424E-2</v>
      </c>
      <c r="P30" s="97">
        <v>4.2267493420632012E-2</v>
      </c>
      <c r="Q30" s="97">
        <v>3.5891104435588926E-2</v>
      </c>
      <c r="R30" s="97">
        <v>3.8376031765395294E-2</v>
      </c>
      <c r="S30" s="97">
        <v>4.0055692017177208E-2</v>
      </c>
      <c r="T30" s="97">
        <v>3.9849925790112345E-2</v>
      </c>
      <c r="U30" s="97">
        <v>3.8054553984671995E-2</v>
      </c>
      <c r="V30" s="97">
        <v>3.748633334355183E-2</v>
      </c>
      <c r="W30" s="97">
        <v>4.0651847097993285E-2</v>
      </c>
      <c r="X30" s="97">
        <v>3.8265217432628951E-2</v>
      </c>
      <c r="Y30" s="97">
        <v>4.1613821431185492E-2</v>
      </c>
      <c r="Z30" s="97">
        <v>3.9275608265782913E-2</v>
      </c>
      <c r="AA30" s="97">
        <v>3.6851001280019356E-2</v>
      </c>
      <c r="AB30" s="97">
        <v>4.1731881819598207E-2</v>
      </c>
      <c r="AC30" s="97">
        <v>3.79563785770793E-2</v>
      </c>
      <c r="AD30" s="97">
        <v>3.897441513389701E-2</v>
      </c>
      <c r="AE30" s="97">
        <v>3.7030387215235591E-2</v>
      </c>
      <c r="AF30" s="97">
        <v>3.9314408388449358E-2</v>
      </c>
      <c r="AG30" s="97">
        <v>3.8663120419421521E-2</v>
      </c>
      <c r="AH30" s="97">
        <v>3.7535118659866709E-2</v>
      </c>
      <c r="AI30" s="97">
        <v>3.8411167935309042E-2</v>
      </c>
      <c r="AJ30" s="97">
        <v>3.8174223363192171E-2</v>
      </c>
      <c r="AK30" s="97">
        <v>3.8169355258119916E-2</v>
      </c>
      <c r="AL30" s="97">
        <v>3.9984778452959051E-2</v>
      </c>
      <c r="AM30" s="97">
        <v>4.0292952119754595E-2</v>
      </c>
      <c r="AN30" s="97">
        <v>3.6367923506535893E-2</v>
      </c>
      <c r="AO30" s="97">
        <v>3.8386587876587434E-2</v>
      </c>
      <c r="AP30" s="97">
        <v>4.0280271345868424E-2</v>
      </c>
      <c r="AQ30" s="97">
        <v>3.7868415142382525E-2</v>
      </c>
      <c r="AR30" s="97">
        <v>4.1652238734531458E-2</v>
      </c>
      <c r="AS30" s="97">
        <v>3.904691900364321E-2</v>
      </c>
      <c r="AT30" s="97">
        <v>3.7757864366576417E-2</v>
      </c>
      <c r="AU30" s="97">
        <v>3.7597413811407694E-2</v>
      </c>
      <c r="AV30" s="97">
        <v>4.2162247781825223E-2</v>
      </c>
      <c r="AW30" s="97">
        <v>3.5412412427742894E-2</v>
      </c>
      <c r="AX30" s="97">
        <v>4.2134394506466256E-2</v>
      </c>
      <c r="AY30" s="97">
        <v>4.0029166727133719E-2</v>
      </c>
      <c r="AZ30" s="97">
        <v>3.8584700525511002E-2</v>
      </c>
      <c r="BA30" s="97">
        <v>3.8009737817395806E-2</v>
      </c>
      <c r="BB30" s="97">
        <v>4.1683062146130087E-2</v>
      </c>
      <c r="BC30" s="97">
        <v>4.1807232346647023E-2</v>
      </c>
      <c r="BD30" s="97">
        <v>3.7100078585755425E-2</v>
      </c>
      <c r="BE30" s="97">
        <v>3.8528201315707195E-2</v>
      </c>
      <c r="BF30" s="97">
        <v>3.8890515521819255E-2</v>
      </c>
      <c r="BG30" s="97">
        <v>3.8039826150908354E-2</v>
      </c>
      <c r="BH30" s="97">
        <v>3.9460291079432053E-2</v>
      </c>
      <c r="BI30" s="97">
        <v>3.4991734407037449E-2</v>
      </c>
      <c r="BJ30" s="97">
        <v>3.775775996301578E-2</v>
      </c>
      <c r="BK30" s="97">
        <v>3.777166935781321E-2</v>
      </c>
      <c r="BL30" s="97">
        <v>3.8341709683661955E-2</v>
      </c>
      <c r="BM30" s="97">
        <v>3.788578685370201E-2</v>
      </c>
      <c r="BN30" s="97">
        <v>3.8169479707078777E-2</v>
      </c>
      <c r="BO30" s="97">
        <v>3.7148344242161201E-2</v>
      </c>
      <c r="BP30" s="97">
        <v>3.9280038054322994E-2</v>
      </c>
      <c r="BQ30" s="97">
        <v>4.1800176778079651E-2</v>
      </c>
      <c r="BR30" s="97">
        <v>3.5941442530584254E-2</v>
      </c>
      <c r="BS30" s="97">
        <v>3.6215973210040435E-2</v>
      </c>
      <c r="BT30" s="97">
        <v>3.9797236136394229E-2</v>
      </c>
      <c r="BU30" s="97">
        <v>4.1175410761992139E-2</v>
      </c>
      <c r="BV30" s="97">
        <v>3.9269267093078167E-2</v>
      </c>
      <c r="BW30" s="97">
        <v>3.9906070260872992E-2</v>
      </c>
      <c r="BX30" s="97">
        <v>3.9713958637715707E-2</v>
      </c>
      <c r="BY30" s="97">
        <v>3.8834207565644208E-2</v>
      </c>
      <c r="BZ30" s="97">
        <v>3.8371550826138724E-2</v>
      </c>
      <c r="CA30" s="97">
        <v>3.7992749533537436E-2</v>
      </c>
      <c r="CB30" s="97">
        <v>3.9023726504251004E-2</v>
      </c>
      <c r="CC30" s="97">
        <v>4.1858567298997368E-2</v>
      </c>
      <c r="CD30" s="97">
        <v>4.0999706159595653E-2</v>
      </c>
      <c r="CE30" s="97">
        <v>3.5241686213471055E-2</v>
      </c>
      <c r="CF30" s="97">
        <v>3.76205418459057E-2</v>
      </c>
      <c r="CG30" s="97">
        <v>3.9725508782341837E-2</v>
      </c>
      <c r="CH30" s="97">
        <v>3.8354574611126138E-2</v>
      </c>
      <c r="CI30" s="97">
        <v>4.1045520433743564E-2</v>
      </c>
      <c r="CJ30" s="97">
        <v>4.2312432316087098E-2</v>
      </c>
      <c r="CK30" s="97">
        <v>3.9763224100958276E-2</v>
      </c>
      <c r="CL30" s="97">
        <v>4.105611004483127E-2</v>
      </c>
      <c r="CM30" s="97">
        <v>3.6915543903688439E-2</v>
      </c>
      <c r="CN30" s="97">
        <v>4.0301606522034641E-2</v>
      </c>
      <c r="CO30" s="97">
        <v>4.0197385951074943E-2</v>
      </c>
      <c r="CP30" s="97">
        <v>3.7072560214090493E-2</v>
      </c>
      <c r="CQ30" s="97">
        <v>3.9961239677688797E-2</v>
      </c>
      <c r="CR30" s="97">
        <v>3.6750457069039191E-2</v>
      </c>
      <c r="CS30" s="97">
        <v>3.7629863548061061E-2</v>
      </c>
      <c r="CT30" s="97">
        <v>3.8602104315813075E-2</v>
      </c>
      <c r="CU30" s="97">
        <v>3.6372408213907401E-2</v>
      </c>
      <c r="CV30" s="97">
        <v>4.1559853453519265E-2</v>
      </c>
      <c r="CW30" s="97">
        <v>4.1954329928764807E-2</v>
      </c>
      <c r="CX30" s="97">
        <v>4.0957676598343443E-2</v>
      </c>
    </row>
    <row r="31" spans="1:102" s="95" customFormat="1">
      <c r="A31" s="306" t="str">
        <f t="shared" si="0"/>
        <v>High Yield</v>
      </c>
      <c r="B31" s="307"/>
      <c r="C31" s="97">
        <v>5.359278329995501E-2</v>
      </c>
      <c r="D31" s="97">
        <v>5.221626979720366E-2</v>
      </c>
      <c r="E31" s="97">
        <v>5.2722705121637417E-2</v>
      </c>
      <c r="F31" s="97">
        <v>4.5140484678383719E-2</v>
      </c>
      <c r="G31" s="97">
        <v>4.8907463506586216E-2</v>
      </c>
      <c r="H31" s="97">
        <v>5.4751352249227461E-2</v>
      </c>
      <c r="I31" s="97">
        <v>4.9591652910324233E-2</v>
      </c>
      <c r="J31" s="97">
        <v>5.1494041660762227E-2</v>
      </c>
      <c r="K31" s="97">
        <v>5.1053360854011784E-2</v>
      </c>
      <c r="L31" s="97">
        <v>5.1066753393194289E-2</v>
      </c>
      <c r="M31" s="97">
        <v>4.9615945239980183E-2</v>
      </c>
      <c r="N31" s="97">
        <v>4.5877931991786393E-2</v>
      </c>
      <c r="O31" s="97">
        <v>5.0274381056634426E-2</v>
      </c>
      <c r="P31" s="97">
        <v>5.2002332801160983E-2</v>
      </c>
      <c r="Q31" s="97">
        <v>4.8345861085925299E-2</v>
      </c>
      <c r="R31" s="97">
        <v>5.24968932316731E-2</v>
      </c>
      <c r="S31" s="97">
        <v>4.8563284572004185E-2</v>
      </c>
      <c r="T31" s="97">
        <v>4.821081779733391E-2</v>
      </c>
      <c r="U31" s="97">
        <v>4.8300207014526454E-2</v>
      </c>
      <c r="V31" s="97">
        <v>4.8778002441674906E-2</v>
      </c>
      <c r="W31" s="97">
        <v>5.4799807764249836E-2</v>
      </c>
      <c r="X31" s="97">
        <v>4.6340193853457265E-2</v>
      </c>
      <c r="Y31" s="97">
        <v>5.6096287277120592E-2</v>
      </c>
      <c r="Z31" s="97">
        <v>4.4999348241192172E-2</v>
      </c>
      <c r="AA31" s="97">
        <v>5.0597068313357974E-2</v>
      </c>
      <c r="AB31" s="97">
        <v>4.9196648785323219E-2</v>
      </c>
      <c r="AC31" s="97">
        <v>5.3340426790997653E-2</v>
      </c>
      <c r="AD31" s="97">
        <v>5.2944226031592337E-2</v>
      </c>
      <c r="AE31" s="97">
        <v>5.1162302441264185E-2</v>
      </c>
      <c r="AF31" s="97">
        <v>4.6511172763200007E-2</v>
      </c>
      <c r="AG31" s="97">
        <v>5.1660602909269326E-2</v>
      </c>
      <c r="AH31" s="97">
        <v>5.4462998987735586E-2</v>
      </c>
      <c r="AI31" s="97">
        <v>5.0225105428306042E-2</v>
      </c>
      <c r="AJ31" s="97">
        <v>5.0870986073115659E-2</v>
      </c>
      <c r="AK31" s="97">
        <v>5.0817052069295862E-2</v>
      </c>
      <c r="AL31" s="97">
        <v>4.5267953280494065E-2</v>
      </c>
      <c r="AM31" s="97">
        <v>4.5292875406076342E-2</v>
      </c>
      <c r="AN31" s="97">
        <v>4.9289314894615854E-2</v>
      </c>
      <c r="AO31" s="97">
        <v>5.5805922137952421E-2</v>
      </c>
      <c r="AP31" s="97">
        <v>5.247046572645267E-2</v>
      </c>
      <c r="AQ31" s="97">
        <v>5.1459876898832788E-2</v>
      </c>
      <c r="AR31" s="97">
        <v>5.659636539509523E-2</v>
      </c>
      <c r="AS31" s="97">
        <v>4.7811441970562772E-2</v>
      </c>
      <c r="AT31" s="97">
        <v>5.3239013038792339E-2</v>
      </c>
      <c r="AU31" s="97">
        <v>5.0717433648175422E-2</v>
      </c>
      <c r="AV31" s="97">
        <v>5.2703552589955516E-2</v>
      </c>
      <c r="AW31" s="97">
        <v>5.2288006478944757E-2</v>
      </c>
      <c r="AX31" s="97">
        <v>5.0791145086806627E-2</v>
      </c>
      <c r="AY31" s="97">
        <v>5.2595620731809588E-2</v>
      </c>
      <c r="AZ31" s="97">
        <v>5.3679760850226632E-2</v>
      </c>
      <c r="BA31" s="97">
        <v>5.2236937477978043E-2</v>
      </c>
      <c r="BB31" s="97">
        <v>5.4627285938729273E-2</v>
      </c>
      <c r="BC31" s="97">
        <v>5.0266362839201516E-2</v>
      </c>
      <c r="BD31" s="97">
        <v>5.4821191732230032E-2</v>
      </c>
      <c r="BE31" s="97">
        <v>5.3296293596572383E-2</v>
      </c>
      <c r="BF31" s="97">
        <v>5.6807787068980695E-2</v>
      </c>
      <c r="BG31" s="97">
        <v>5.1683509862377047E-2</v>
      </c>
      <c r="BH31" s="97">
        <v>5.528150623169157E-2</v>
      </c>
      <c r="BI31" s="97">
        <v>5.2877312814172156E-2</v>
      </c>
      <c r="BJ31" s="97">
        <v>5.1835764160417193E-2</v>
      </c>
      <c r="BK31" s="97">
        <v>4.9434485334147543E-2</v>
      </c>
      <c r="BL31" s="97">
        <v>5.2786742629795616E-2</v>
      </c>
      <c r="BM31" s="97">
        <v>5.1196919128316011E-2</v>
      </c>
      <c r="BN31" s="97">
        <v>5.5113622172693597E-2</v>
      </c>
      <c r="BO31" s="97">
        <v>5.2177943487513312E-2</v>
      </c>
      <c r="BP31" s="97">
        <v>5.313032567005381E-2</v>
      </c>
      <c r="BQ31" s="97">
        <v>5.100968952056114E-2</v>
      </c>
      <c r="BR31" s="97">
        <v>5.1168538411055772E-2</v>
      </c>
      <c r="BS31" s="97">
        <v>5.307544066435782E-2</v>
      </c>
      <c r="BT31" s="97">
        <v>4.9706014295522086E-2</v>
      </c>
      <c r="BU31" s="97">
        <v>4.6522828815839953E-2</v>
      </c>
      <c r="BV31" s="97">
        <v>5.3352821118863608E-2</v>
      </c>
      <c r="BW31" s="97">
        <v>5.0133705965054128E-2</v>
      </c>
      <c r="BX31" s="97">
        <v>5.1028444322101262E-2</v>
      </c>
      <c r="BY31" s="97">
        <v>5.0135346189518863E-2</v>
      </c>
      <c r="BZ31" s="97">
        <v>4.5381498267787014E-2</v>
      </c>
      <c r="CA31" s="97">
        <v>5.2724461288184074E-2</v>
      </c>
      <c r="CB31" s="97">
        <v>5.4365800318282323E-2</v>
      </c>
      <c r="CC31" s="97">
        <v>4.8643107774780509E-2</v>
      </c>
      <c r="CD31" s="97">
        <v>5.6465769095832119E-2</v>
      </c>
      <c r="CE31" s="97">
        <v>5.2161306319543105E-2</v>
      </c>
      <c r="CF31" s="97">
        <v>5.3885821253588165E-2</v>
      </c>
      <c r="CG31" s="97">
        <v>5.618732723340332E-2</v>
      </c>
      <c r="CH31" s="97">
        <v>5.324373073492604E-2</v>
      </c>
      <c r="CI31" s="97">
        <v>5.0502996097800561E-2</v>
      </c>
      <c r="CJ31" s="97">
        <v>5.7578607322730832E-2</v>
      </c>
      <c r="CK31" s="97">
        <v>5.3070416153955663E-2</v>
      </c>
      <c r="CL31" s="97">
        <v>5.5130503006533695E-2</v>
      </c>
      <c r="CM31" s="97">
        <v>5.4272503985569362E-2</v>
      </c>
      <c r="CN31" s="97">
        <v>5.1322974811365912E-2</v>
      </c>
      <c r="CO31" s="97">
        <v>5.6977413084414008E-2</v>
      </c>
      <c r="CP31" s="97">
        <v>5.4494538377831858E-2</v>
      </c>
      <c r="CQ31" s="97">
        <v>5.333653076801359E-2</v>
      </c>
      <c r="CR31" s="97">
        <v>5.3830382313922134E-2</v>
      </c>
      <c r="CS31" s="97">
        <v>5.2335658228366812E-2</v>
      </c>
      <c r="CT31" s="97">
        <v>5.1033627108191704E-2</v>
      </c>
      <c r="CU31" s="97">
        <v>5.4533265620136627E-2</v>
      </c>
      <c r="CV31" s="97">
        <v>4.5577176143140385E-2</v>
      </c>
      <c r="CW31" s="97">
        <v>5.1274893982809377E-2</v>
      </c>
      <c r="CX31" s="97">
        <v>5.2612777233034175E-2</v>
      </c>
    </row>
    <row r="32" spans="1:102" s="95" customFormat="1">
      <c r="A32" s="306" t="str">
        <f t="shared" si="0"/>
        <v>Emerging market debt</v>
      </c>
      <c r="B32" s="307"/>
      <c r="C32" s="97">
        <v>5.1056591935593185E-2</v>
      </c>
      <c r="D32" s="97">
        <v>5.4664897869710904E-2</v>
      </c>
      <c r="E32" s="97">
        <v>5.3201112832220836E-2</v>
      </c>
      <c r="F32" s="97">
        <v>5.2271708629750127E-2</v>
      </c>
      <c r="G32" s="97">
        <v>5.266381876318478E-2</v>
      </c>
      <c r="H32" s="97">
        <v>5.4196901685587939E-2</v>
      </c>
      <c r="I32" s="97">
        <v>5.2494557592907665E-2</v>
      </c>
      <c r="J32" s="97">
        <v>5.3197156016994096E-2</v>
      </c>
      <c r="K32" s="97">
        <v>5.3313425053074369E-2</v>
      </c>
      <c r="L32" s="97">
        <v>5.4935961612816664E-2</v>
      </c>
      <c r="M32" s="97">
        <v>5.1466283861054993E-2</v>
      </c>
      <c r="N32" s="97">
        <v>5.0976218971051243E-2</v>
      </c>
      <c r="O32" s="97">
        <v>5.2300916994243253E-2</v>
      </c>
      <c r="P32" s="97">
        <v>5.4019664987821056E-2</v>
      </c>
      <c r="Q32" s="97">
        <v>4.8883697385371572E-2</v>
      </c>
      <c r="R32" s="97">
        <v>5.143628453902184E-2</v>
      </c>
      <c r="S32" s="97">
        <v>5.2836992638026395E-2</v>
      </c>
      <c r="T32" s="97">
        <v>5.3377823951670976E-2</v>
      </c>
      <c r="U32" s="97">
        <v>5.4429256326732442E-2</v>
      </c>
      <c r="V32" s="97">
        <v>5.5636469243302497E-2</v>
      </c>
      <c r="W32" s="97">
        <v>5.3861103934946794E-2</v>
      </c>
      <c r="X32" s="97">
        <v>5.5651111670188214E-2</v>
      </c>
      <c r="Y32" s="97">
        <v>5.4600417556815009E-2</v>
      </c>
      <c r="Z32" s="97">
        <v>5.3662972338750121E-2</v>
      </c>
      <c r="AA32" s="97">
        <v>5.0647593525578044E-2</v>
      </c>
      <c r="AB32" s="97">
        <v>5.4273189514241121E-2</v>
      </c>
      <c r="AC32" s="97">
        <v>5.4477412074607282E-2</v>
      </c>
      <c r="AD32" s="97">
        <v>5.2084799185870348E-2</v>
      </c>
      <c r="AE32" s="97">
        <v>4.9907127847635582E-2</v>
      </c>
      <c r="AF32" s="97">
        <v>5.4278812025197992E-2</v>
      </c>
      <c r="AG32" s="97">
        <v>5.500221713094447E-2</v>
      </c>
      <c r="AH32" s="97">
        <v>5.0684704541915482E-2</v>
      </c>
      <c r="AI32" s="97">
        <v>5.2340513790637991E-2</v>
      </c>
      <c r="AJ32" s="97">
        <v>5.1833579762396428E-2</v>
      </c>
      <c r="AK32" s="97">
        <v>5.1672255241387882E-2</v>
      </c>
      <c r="AL32" s="97">
        <v>5.3653838922674633E-2</v>
      </c>
      <c r="AM32" s="97">
        <v>5.1432937389065188E-2</v>
      </c>
      <c r="AN32" s="97">
        <v>5.7272925931522028E-2</v>
      </c>
      <c r="AO32" s="97">
        <v>5.6182080195523079E-2</v>
      </c>
      <c r="AP32" s="97">
        <v>5.8142540348818564E-2</v>
      </c>
      <c r="AQ32" s="97">
        <v>5.2475360347397179E-2</v>
      </c>
      <c r="AR32" s="97">
        <v>5.3853442415029623E-2</v>
      </c>
      <c r="AS32" s="97">
        <v>5.4357438840054173E-2</v>
      </c>
      <c r="AT32" s="97">
        <v>5.0669969701451309E-2</v>
      </c>
      <c r="AU32" s="97">
        <v>5.53740149207161E-2</v>
      </c>
      <c r="AV32" s="97">
        <v>5.4982375040240491E-2</v>
      </c>
      <c r="AW32" s="97">
        <v>5.1519415474757149E-2</v>
      </c>
      <c r="AX32" s="97">
        <v>5.4604566060107246E-2</v>
      </c>
      <c r="AY32" s="97">
        <v>5.4654339269627095E-2</v>
      </c>
      <c r="AZ32" s="97">
        <v>5.2300554225096899E-2</v>
      </c>
      <c r="BA32" s="97">
        <v>5.6573040911770796E-2</v>
      </c>
      <c r="BB32" s="97">
        <v>5.1032810250827725E-2</v>
      </c>
      <c r="BC32" s="97">
        <v>5.6076045750448791E-2</v>
      </c>
      <c r="BD32" s="97">
        <v>5.4981299865083232E-2</v>
      </c>
      <c r="BE32" s="97">
        <v>5.3552807736814312E-2</v>
      </c>
      <c r="BF32" s="97">
        <v>5.3082008989610241E-2</v>
      </c>
      <c r="BG32" s="97">
        <v>5.3807107588248054E-2</v>
      </c>
      <c r="BH32" s="97">
        <v>5.3446317999641849E-2</v>
      </c>
      <c r="BI32" s="97">
        <v>5.2884589374301308E-2</v>
      </c>
      <c r="BJ32" s="97">
        <v>5.3085139076271728E-2</v>
      </c>
      <c r="BK32" s="97">
        <v>5.2675974544204418E-2</v>
      </c>
      <c r="BL32" s="97">
        <v>5.0529847882667546E-2</v>
      </c>
      <c r="BM32" s="97">
        <v>5.3434593372072042E-2</v>
      </c>
      <c r="BN32" s="97">
        <v>5.4809164145486228E-2</v>
      </c>
      <c r="BO32" s="97">
        <v>5.6692970136717286E-2</v>
      </c>
      <c r="BP32" s="97">
        <v>5.4090211581415137E-2</v>
      </c>
      <c r="BQ32" s="97">
        <v>5.7165890000137276E-2</v>
      </c>
      <c r="BR32" s="97">
        <v>4.9525861237159505E-2</v>
      </c>
      <c r="BS32" s="97">
        <v>5.1488079343753906E-2</v>
      </c>
      <c r="BT32" s="97">
        <v>5.5224676230146E-2</v>
      </c>
      <c r="BU32" s="97">
        <v>5.407528610932627E-2</v>
      </c>
      <c r="BV32" s="97">
        <v>5.8250704632845152E-2</v>
      </c>
      <c r="BW32" s="97">
        <v>5.748706556669464E-2</v>
      </c>
      <c r="BX32" s="97">
        <v>5.2151954386936983E-2</v>
      </c>
      <c r="BY32" s="97">
        <v>5.2605537703405161E-2</v>
      </c>
      <c r="BZ32" s="97">
        <v>5.5883465572713752E-2</v>
      </c>
      <c r="CA32" s="97">
        <v>5.2441893331003728E-2</v>
      </c>
      <c r="CB32" s="97">
        <v>5.9046641153305907E-2</v>
      </c>
      <c r="CC32" s="97">
        <v>5.5458537006376263E-2</v>
      </c>
      <c r="CD32" s="97">
        <v>5.3493175810188823E-2</v>
      </c>
      <c r="CE32" s="97">
        <v>4.8763248839779477E-2</v>
      </c>
      <c r="CF32" s="97">
        <v>4.9986047408952947E-2</v>
      </c>
      <c r="CG32" s="97">
        <v>5.3510780085277793E-2</v>
      </c>
      <c r="CH32" s="97">
        <v>5.3501033930913725E-2</v>
      </c>
      <c r="CI32" s="97">
        <v>5.679347469144834E-2</v>
      </c>
      <c r="CJ32" s="97">
        <v>5.7441696370545511E-2</v>
      </c>
      <c r="CK32" s="97">
        <v>5.4867132706010117E-2</v>
      </c>
      <c r="CL32" s="97">
        <v>5.6012488876477695E-2</v>
      </c>
      <c r="CM32" s="97">
        <v>5.3762995223046561E-2</v>
      </c>
      <c r="CN32" s="97">
        <v>5.1600771405318269E-2</v>
      </c>
      <c r="CO32" s="97">
        <v>5.327323011967848E-2</v>
      </c>
      <c r="CP32" s="97">
        <v>5.1429542335313175E-2</v>
      </c>
      <c r="CQ32" s="97">
        <v>5.8816172732709796E-2</v>
      </c>
      <c r="CR32" s="97">
        <v>5.5454750088131749E-2</v>
      </c>
      <c r="CS32" s="97">
        <v>5.0390447231861361E-2</v>
      </c>
      <c r="CT32" s="97">
        <v>5.1944395452050582E-2</v>
      </c>
      <c r="CU32" s="97">
        <v>5.1223103656460253E-2</v>
      </c>
      <c r="CV32" s="97">
        <v>5.5282896571461682E-2</v>
      </c>
      <c r="CW32" s="97">
        <v>5.509676716377547E-2</v>
      </c>
      <c r="CX32" s="97">
        <v>5.4019185373481521E-2</v>
      </c>
    </row>
    <row r="33" spans="1:102" s="95" customFormat="1">
      <c r="A33" s="306" t="str">
        <f t="shared" si="0"/>
        <v>Aandelen ontwikkeld</v>
      </c>
      <c r="B33" s="307"/>
      <c r="C33" s="97">
        <v>5.4750304653406148E-2</v>
      </c>
      <c r="D33" s="97">
        <v>5.5833270331717332E-2</v>
      </c>
      <c r="E33" s="97">
        <v>5.8530384279412859E-2</v>
      </c>
      <c r="F33" s="97">
        <v>5.5267630110393158E-2</v>
      </c>
      <c r="G33" s="97">
        <v>6.1612421222245452E-2</v>
      </c>
      <c r="H33" s="97">
        <v>5.774182382173336E-2</v>
      </c>
      <c r="I33" s="97">
        <v>6.1550657783812746E-2</v>
      </c>
      <c r="J33" s="97">
        <v>6.1443782369682814E-2</v>
      </c>
      <c r="K33" s="97">
        <v>6.3663686351760312E-2</v>
      </c>
      <c r="L33" s="97">
        <v>5.6672146863327492E-2</v>
      </c>
      <c r="M33" s="97">
        <v>6.0365789178905158E-2</v>
      </c>
      <c r="N33" s="97">
        <v>5.0663408421743154E-2</v>
      </c>
      <c r="O33" s="97">
        <v>5.5654549247846428E-2</v>
      </c>
      <c r="P33" s="97">
        <v>5.4520482752493063E-2</v>
      </c>
      <c r="Q33" s="97">
        <v>6.387780637570846E-2</v>
      </c>
      <c r="R33" s="97">
        <v>6.2818197675359344E-2</v>
      </c>
      <c r="S33" s="97">
        <v>5.2375657718851047E-2</v>
      </c>
      <c r="T33" s="97">
        <v>5.7402777499281826E-2</v>
      </c>
      <c r="U33" s="97">
        <v>5.9030773435717387E-2</v>
      </c>
      <c r="V33" s="97">
        <v>5.7745408577032309E-2</v>
      </c>
      <c r="W33" s="97">
        <v>6.0828568544788797E-2</v>
      </c>
      <c r="X33" s="97">
        <v>5.4440774188319996E-2</v>
      </c>
      <c r="Y33" s="97">
        <v>5.8772539032788701E-2</v>
      </c>
      <c r="Z33" s="97">
        <v>5.5219035340132464E-2</v>
      </c>
      <c r="AA33" s="97">
        <v>6.4637858418954669E-2</v>
      </c>
      <c r="AB33" s="97">
        <v>5.2444814676972401E-2</v>
      </c>
      <c r="AC33" s="97">
        <v>6.0787828422312187E-2</v>
      </c>
      <c r="AD33" s="97">
        <v>5.8834244947539673E-2</v>
      </c>
      <c r="AE33" s="97">
        <v>6.0190209348349177E-2</v>
      </c>
      <c r="AF33" s="97">
        <v>5.6931337702772623E-2</v>
      </c>
      <c r="AG33" s="97">
        <v>5.8677589142503386E-2</v>
      </c>
      <c r="AH33" s="97">
        <v>6.5345089144519752E-2</v>
      </c>
      <c r="AI33" s="97">
        <v>6.0667469640071359E-2</v>
      </c>
      <c r="AJ33" s="97">
        <v>6.1133182023403135E-2</v>
      </c>
      <c r="AK33" s="97">
        <v>6.0009434069241072E-2</v>
      </c>
      <c r="AL33" s="97">
        <v>5.5981960626670893E-2</v>
      </c>
      <c r="AM33" s="97">
        <v>5.2718426109326921E-2</v>
      </c>
      <c r="AN33" s="97">
        <v>5.8048162286045812E-2</v>
      </c>
      <c r="AO33" s="97">
        <v>5.7148190399017473E-2</v>
      </c>
      <c r="AP33" s="97">
        <v>5.565527813786033E-2</v>
      </c>
      <c r="AQ33" s="97">
        <v>5.8750708062501794E-2</v>
      </c>
      <c r="AR33" s="97">
        <v>5.93856770167175E-2</v>
      </c>
      <c r="AS33" s="97">
        <v>5.80699974952672E-2</v>
      </c>
      <c r="AT33" s="97">
        <v>6.3502694194535136E-2</v>
      </c>
      <c r="AU33" s="97">
        <v>5.6543009918566964E-2</v>
      </c>
      <c r="AV33" s="97">
        <v>5.6584813766056494E-2</v>
      </c>
      <c r="AW33" s="97">
        <v>6.4749190410802612E-2</v>
      </c>
      <c r="AX33" s="97">
        <v>5.4422318358971974E-2</v>
      </c>
      <c r="AY33" s="97">
        <v>6.0247255776237955E-2</v>
      </c>
      <c r="AZ33" s="97">
        <v>6.314810190389672E-2</v>
      </c>
      <c r="BA33" s="97">
        <v>5.4251753213635262E-2</v>
      </c>
      <c r="BB33" s="97">
        <v>5.5850139922813152E-2</v>
      </c>
      <c r="BC33" s="97">
        <v>5.248134587975152E-2</v>
      </c>
      <c r="BD33" s="97">
        <v>5.8854709780517878E-2</v>
      </c>
      <c r="BE33" s="97">
        <v>6.1467170529766482E-2</v>
      </c>
      <c r="BF33" s="97">
        <v>6.5490696685519156E-2</v>
      </c>
      <c r="BG33" s="97">
        <v>5.9418130715844106E-2</v>
      </c>
      <c r="BH33" s="97">
        <v>6.048222902088695E-2</v>
      </c>
      <c r="BI33" s="97">
        <v>6.361041236280908E-2</v>
      </c>
      <c r="BJ33" s="97">
        <v>6.5913992053317355E-2</v>
      </c>
      <c r="BK33" s="97">
        <v>6.5326892189068592E-2</v>
      </c>
      <c r="BL33" s="97">
        <v>6.2201836781509576E-2</v>
      </c>
      <c r="BM33" s="97">
        <v>6.2550619246292544E-2</v>
      </c>
      <c r="BN33" s="97">
        <v>6.1401075346352384E-2</v>
      </c>
      <c r="BO33" s="97">
        <v>5.832314525423378E-2</v>
      </c>
      <c r="BP33" s="97">
        <v>6.3665916414416199E-2</v>
      </c>
      <c r="BQ33" s="97">
        <v>5.5628582863790382E-2</v>
      </c>
      <c r="BR33" s="97">
        <v>6.6043373579445619E-2</v>
      </c>
      <c r="BS33" s="97">
        <v>6.4683921154413293E-2</v>
      </c>
      <c r="BT33" s="97">
        <v>5.680110931236812E-2</v>
      </c>
      <c r="BU33" s="97">
        <v>5.309207885024067E-2</v>
      </c>
      <c r="BV33" s="97">
        <v>5.7145627392992004E-2</v>
      </c>
      <c r="BW33" s="97">
        <v>5.3645229591888777E-2</v>
      </c>
      <c r="BX33" s="97">
        <v>5.5466098686988249E-2</v>
      </c>
      <c r="BY33" s="97">
        <v>6.1748771771523915E-2</v>
      </c>
      <c r="BZ33" s="97">
        <v>5.1655524064736828E-2</v>
      </c>
      <c r="CA33" s="97">
        <v>6.4155514512239498E-2</v>
      </c>
      <c r="CB33" s="97">
        <v>5.565440288898213E-2</v>
      </c>
      <c r="CC33" s="97">
        <v>5.5146991399341191E-2</v>
      </c>
      <c r="CD33" s="97">
        <v>5.8202240998255349E-2</v>
      </c>
      <c r="CE33" s="97">
        <v>6.6004679903273661E-2</v>
      </c>
      <c r="CF33" s="97">
        <v>6.5057552738131061E-2</v>
      </c>
      <c r="CG33" s="97">
        <v>6.5641455431459231E-2</v>
      </c>
      <c r="CH33" s="97">
        <v>6.3363698966512838E-2</v>
      </c>
      <c r="CI33" s="97">
        <v>5.7306716593037682E-2</v>
      </c>
      <c r="CJ33" s="97">
        <v>6.130344026341801E-2</v>
      </c>
      <c r="CK33" s="97">
        <v>6.3749247523524705E-2</v>
      </c>
      <c r="CL33" s="97">
        <v>6.5329244471398179E-2</v>
      </c>
      <c r="CM33" s="97">
        <v>6.0829353018486867E-2</v>
      </c>
      <c r="CN33" s="97">
        <v>5.8147772139265898E-2</v>
      </c>
      <c r="CO33" s="97">
        <v>6.2653163687605928E-2</v>
      </c>
      <c r="CP33" s="97">
        <v>6.7523415846299423E-2</v>
      </c>
      <c r="CQ33" s="97">
        <v>6.1329270834439981E-2</v>
      </c>
      <c r="CR33" s="97">
        <v>6.4282612806666736E-2</v>
      </c>
      <c r="CS33" s="97">
        <v>6.1384610911181893E-2</v>
      </c>
      <c r="CT33" s="97">
        <v>6.2755271160587572E-2</v>
      </c>
      <c r="CU33" s="97">
        <v>6.5816313992503719E-2</v>
      </c>
      <c r="CV33" s="97">
        <v>5.2231065705566529E-2</v>
      </c>
      <c r="CW33" s="97">
        <v>5.6769619721473097E-2</v>
      </c>
      <c r="CX33" s="97">
        <v>5.9911611878092741E-2</v>
      </c>
    </row>
    <row r="34" spans="1:102" s="95" customFormat="1">
      <c r="A34" s="306" t="str">
        <f t="shared" si="0"/>
        <v>Aandelen opkomend</v>
      </c>
      <c r="B34" s="307"/>
      <c r="C34" s="97">
        <v>7.490537687962362E-2</v>
      </c>
      <c r="D34" s="97">
        <v>7.8399099576616976E-2</v>
      </c>
      <c r="E34" s="97">
        <v>8.1199318086801364E-2</v>
      </c>
      <c r="F34" s="97">
        <v>6.9884497690801309E-2</v>
      </c>
      <c r="G34" s="97">
        <v>7.8774920928382244E-2</v>
      </c>
      <c r="H34" s="97">
        <v>8.078281578510739E-2</v>
      </c>
      <c r="I34" s="97">
        <v>8.5640910432673079E-2</v>
      </c>
      <c r="J34" s="97">
        <v>8.0258633287140196E-2</v>
      </c>
      <c r="K34" s="97">
        <v>8.4801000106443619E-2</v>
      </c>
      <c r="L34" s="97">
        <v>8.1338463417203508E-2</v>
      </c>
      <c r="M34" s="97">
        <v>8.3349719708425918E-2</v>
      </c>
      <c r="N34" s="97">
        <v>6.3979418718237702E-2</v>
      </c>
      <c r="O34" s="97">
        <v>7.6447733101207449E-2</v>
      </c>
      <c r="P34" s="97">
        <v>7.5908500481199542E-2</v>
      </c>
      <c r="Q34" s="97">
        <v>7.9785580764604819E-2</v>
      </c>
      <c r="R34" s="97">
        <v>8.2002383709399593E-2</v>
      </c>
      <c r="S34" s="97">
        <v>6.8816762576160234E-2</v>
      </c>
      <c r="T34" s="97">
        <v>7.8401597726166783E-2</v>
      </c>
      <c r="U34" s="97">
        <v>7.7309827490269309E-2</v>
      </c>
      <c r="V34" s="97">
        <v>7.7248878747909699E-2</v>
      </c>
      <c r="W34" s="97">
        <v>8.3585806582737565E-2</v>
      </c>
      <c r="X34" s="97">
        <v>7.1518522588233199E-2</v>
      </c>
      <c r="Y34" s="97">
        <v>8.2152730907231825E-2</v>
      </c>
      <c r="Z34" s="97">
        <v>6.9920876616892114E-2</v>
      </c>
      <c r="AA34" s="97">
        <v>8.8187512970739387E-2</v>
      </c>
      <c r="AB34" s="97">
        <v>7.4177551429047139E-2</v>
      </c>
      <c r="AC34" s="97">
        <v>8.6106499899998357E-2</v>
      </c>
      <c r="AD34" s="97">
        <v>8.6764436490528646E-2</v>
      </c>
      <c r="AE34" s="97">
        <v>9.3216331265060987E-2</v>
      </c>
      <c r="AF34" s="97">
        <v>7.3477134279252634E-2</v>
      </c>
      <c r="AG34" s="97">
        <v>8.0158322655883713E-2</v>
      </c>
      <c r="AH34" s="97">
        <v>9.0673980912090862E-2</v>
      </c>
      <c r="AI34" s="97">
        <v>8.5442449809211896E-2</v>
      </c>
      <c r="AJ34" s="97">
        <v>8.8013541762377842E-2</v>
      </c>
      <c r="AK34" s="97">
        <v>8.0160126459330877E-2</v>
      </c>
      <c r="AL34" s="97">
        <v>7.0793479860205621E-2</v>
      </c>
      <c r="AM34" s="97">
        <v>6.7991002688592442E-2</v>
      </c>
      <c r="AN34" s="97">
        <v>7.7010340413583039E-2</v>
      </c>
      <c r="AO34" s="97">
        <v>8.3968000881162019E-2</v>
      </c>
      <c r="AP34" s="97">
        <v>7.9716446896989673E-2</v>
      </c>
      <c r="AQ34" s="97">
        <v>9.0266392771332971E-2</v>
      </c>
      <c r="AR34" s="97">
        <v>8.2637530604860482E-2</v>
      </c>
      <c r="AS34" s="97">
        <v>7.4862902333088635E-2</v>
      </c>
      <c r="AT34" s="97">
        <v>8.3814635242166757E-2</v>
      </c>
      <c r="AU34" s="97">
        <v>8.5372070763717625E-2</v>
      </c>
      <c r="AV34" s="97">
        <v>8.1242988012597328E-2</v>
      </c>
      <c r="AW34" s="97">
        <v>9.1245375546927576E-2</v>
      </c>
      <c r="AX34" s="97">
        <v>7.4698274237816109E-2</v>
      </c>
      <c r="AY34" s="97">
        <v>9.0170569836389741E-2</v>
      </c>
      <c r="AZ34" s="97">
        <v>8.4141989327841588E-2</v>
      </c>
      <c r="BA34" s="97">
        <v>7.6076611520239895E-2</v>
      </c>
      <c r="BB34" s="97">
        <v>7.817867083337772E-2</v>
      </c>
      <c r="BC34" s="97">
        <v>7.3482581245292333E-2</v>
      </c>
      <c r="BD34" s="97">
        <v>9.019046457071643E-2</v>
      </c>
      <c r="BE34" s="97">
        <v>9.4955238335721823E-2</v>
      </c>
      <c r="BF34" s="97">
        <v>8.9889339670241764E-2</v>
      </c>
      <c r="BG34" s="97">
        <v>8.0390097075117628E-2</v>
      </c>
      <c r="BH34" s="97">
        <v>8.3530866110795798E-2</v>
      </c>
      <c r="BI34" s="97">
        <v>9.2109897439697636E-2</v>
      </c>
      <c r="BJ34" s="97">
        <v>8.9567670523733878E-2</v>
      </c>
      <c r="BK34" s="97">
        <v>8.247112537415395E-2</v>
      </c>
      <c r="BL34" s="97">
        <v>8.4176910491572665E-2</v>
      </c>
      <c r="BM34" s="97">
        <v>8.4841304946428261E-2</v>
      </c>
      <c r="BN34" s="97">
        <v>8.5442413393372801E-2</v>
      </c>
      <c r="BO34" s="97">
        <v>8.8648898265884873E-2</v>
      </c>
      <c r="BP34" s="97">
        <v>9.1841632848589927E-2</v>
      </c>
      <c r="BQ34" s="97">
        <v>7.7285634101991699E-2</v>
      </c>
      <c r="BR34" s="97">
        <v>8.7997347719992389E-2</v>
      </c>
      <c r="BS34" s="97">
        <v>9.6347132805540081E-2</v>
      </c>
      <c r="BT34" s="97">
        <v>8.5468206394994306E-2</v>
      </c>
      <c r="BU34" s="97">
        <v>7.2728250703684424E-2</v>
      </c>
      <c r="BV34" s="97">
        <v>8.3561700307326833E-2</v>
      </c>
      <c r="BW34" s="97">
        <v>7.5093621144649264E-2</v>
      </c>
      <c r="BX34" s="97">
        <v>7.6732654022736782E-2</v>
      </c>
      <c r="BY34" s="97">
        <v>8.1379489377927966E-2</v>
      </c>
      <c r="BZ34" s="97">
        <v>6.7610038822676966E-2</v>
      </c>
      <c r="CA34" s="97">
        <v>9.5537745038459368E-2</v>
      </c>
      <c r="CB34" s="97">
        <v>7.9801172070175952E-2</v>
      </c>
      <c r="CC34" s="97">
        <v>7.4459783773194954E-2</v>
      </c>
      <c r="CD34" s="97">
        <v>8.1872472292526213E-2</v>
      </c>
      <c r="CE34" s="97">
        <v>9.3420729815386586E-2</v>
      </c>
      <c r="CF34" s="97">
        <v>8.6077609268420258E-2</v>
      </c>
      <c r="CG34" s="97">
        <v>8.833891551188558E-2</v>
      </c>
      <c r="CH34" s="97">
        <v>9.8620287644304527E-2</v>
      </c>
      <c r="CI34" s="97">
        <v>8.2401450929749445E-2</v>
      </c>
      <c r="CJ34" s="97">
        <v>8.7018559218591945E-2</v>
      </c>
      <c r="CK34" s="97">
        <v>9.235847641539599E-2</v>
      </c>
      <c r="CL34" s="97">
        <v>8.9049712001733367E-2</v>
      </c>
      <c r="CM34" s="97">
        <v>9.4645841219390986E-2</v>
      </c>
      <c r="CN34" s="97">
        <v>7.7013073160830697E-2</v>
      </c>
      <c r="CO34" s="97">
        <v>8.6709197696846679E-2</v>
      </c>
      <c r="CP34" s="97">
        <v>9.7214141031523135E-2</v>
      </c>
      <c r="CQ34" s="97">
        <v>8.5773068344133521E-2</v>
      </c>
      <c r="CR34" s="97">
        <v>9.3246076513387996E-2</v>
      </c>
      <c r="CS34" s="97">
        <v>9.4440374268884894E-2</v>
      </c>
      <c r="CT34" s="97">
        <v>8.7173292654425444E-2</v>
      </c>
      <c r="CU34" s="97">
        <v>8.8200637048130498E-2</v>
      </c>
      <c r="CV34" s="97">
        <v>6.9493452657370544E-2</v>
      </c>
      <c r="CW34" s="97">
        <v>7.5795540508524939E-2</v>
      </c>
      <c r="CX34" s="97">
        <v>7.9806750608214266E-2</v>
      </c>
    </row>
    <row r="35" spans="1:102" s="95" customFormat="1">
      <c r="A35" s="306" t="str">
        <f t="shared" si="0"/>
        <v>Hedge funds</v>
      </c>
      <c r="B35" s="307"/>
      <c r="C35" s="97">
        <v>4.9278693852195146E-2</v>
      </c>
      <c r="D35" s="97">
        <v>5.1978836825130409E-2</v>
      </c>
      <c r="E35" s="97">
        <v>5.0117044035505154E-2</v>
      </c>
      <c r="F35" s="97">
        <v>5.088733070923545E-2</v>
      </c>
      <c r="G35" s="97">
        <v>5.0198531769398744E-2</v>
      </c>
      <c r="H35" s="97">
        <v>4.8501938547581766E-2</v>
      </c>
      <c r="I35" s="97">
        <v>5.0054454936224527E-2</v>
      </c>
      <c r="J35" s="97">
        <v>5.1738641110952374E-2</v>
      </c>
      <c r="K35" s="97">
        <v>4.9830484513860712E-2</v>
      </c>
      <c r="L35" s="97">
        <v>4.9906493484258074E-2</v>
      </c>
      <c r="M35" s="97">
        <v>5.0292083744513473E-2</v>
      </c>
      <c r="N35" s="97">
        <v>5.1450305636220321E-2</v>
      </c>
      <c r="O35" s="97">
        <v>5.1689007282059919E-2</v>
      </c>
      <c r="P35" s="97">
        <v>5.0806641936966976E-2</v>
      </c>
      <c r="Q35" s="97">
        <v>4.930065438953006E-2</v>
      </c>
      <c r="R35" s="97">
        <v>5.0394022211488212E-2</v>
      </c>
      <c r="S35" s="97">
        <v>5.1688739723808025E-2</v>
      </c>
      <c r="T35" s="97">
        <v>4.9926110191201856E-2</v>
      </c>
      <c r="U35" s="97">
        <v>5.057353875172034E-2</v>
      </c>
      <c r="V35" s="97">
        <v>5.0181663722662376E-2</v>
      </c>
      <c r="W35" s="97">
        <v>5.019082475976569E-2</v>
      </c>
      <c r="X35" s="97">
        <v>5.1154416516747625E-2</v>
      </c>
      <c r="Y35" s="97">
        <v>5.2187318228286039E-2</v>
      </c>
      <c r="Z35" s="97">
        <v>5.2098486872097588E-2</v>
      </c>
      <c r="AA35" s="97">
        <v>4.9823486622040405E-2</v>
      </c>
      <c r="AB35" s="97">
        <v>4.9389549065943131E-2</v>
      </c>
      <c r="AC35" s="97">
        <v>5.0230793835386034E-2</v>
      </c>
      <c r="AD35" s="97">
        <v>4.8998202644363796E-2</v>
      </c>
      <c r="AE35" s="97">
        <v>4.7002253617484419E-2</v>
      </c>
      <c r="AF35" s="97">
        <v>5.1700927281672276E-2</v>
      </c>
      <c r="AG35" s="97">
        <v>5.0189868667434828E-2</v>
      </c>
      <c r="AH35" s="97">
        <v>4.7798542439410494E-2</v>
      </c>
      <c r="AI35" s="97">
        <v>4.9080569827631967E-2</v>
      </c>
      <c r="AJ35" s="97">
        <v>4.8150416926271519E-2</v>
      </c>
      <c r="AK35" s="97">
        <v>4.9100882674352725E-2</v>
      </c>
      <c r="AL35" s="97">
        <v>5.2596290866230071E-2</v>
      </c>
      <c r="AM35" s="97">
        <v>5.0972003878132235E-2</v>
      </c>
      <c r="AN35" s="97">
        <v>5.222888370692795E-2</v>
      </c>
      <c r="AO35" s="97">
        <v>4.8817598309235398E-2</v>
      </c>
      <c r="AP35" s="97">
        <v>5.1796538977121206E-2</v>
      </c>
      <c r="AQ35" s="97">
        <v>4.7962503176802174E-2</v>
      </c>
      <c r="AR35" s="97">
        <v>5.1194638081031328E-2</v>
      </c>
      <c r="AS35" s="97">
        <v>5.2380389484893999E-2</v>
      </c>
      <c r="AT35" s="97">
        <v>4.872095275127613E-2</v>
      </c>
      <c r="AU35" s="97">
        <v>4.8749467737480887E-2</v>
      </c>
      <c r="AV35" s="97">
        <v>5.0041023554369464E-2</v>
      </c>
      <c r="AW35" s="97">
        <v>4.7011772262782525E-2</v>
      </c>
      <c r="AX35" s="97">
        <v>5.1155813520328997E-2</v>
      </c>
      <c r="AY35" s="97">
        <v>5.0695569305106887E-2</v>
      </c>
      <c r="AZ35" s="97">
        <v>5.0011413177651107E-2</v>
      </c>
      <c r="BA35" s="97">
        <v>4.9706225172042533E-2</v>
      </c>
      <c r="BB35" s="97">
        <v>4.9866149239806659E-2</v>
      </c>
      <c r="BC35" s="97">
        <v>5.034198606550358E-2</v>
      </c>
      <c r="BD35" s="97">
        <v>4.7480649252510734E-2</v>
      </c>
      <c r="BE35" s="97">
        <v>4.8510236016974476E-2</v>
      </c>
      <c r="BF35" s="97">
        <v>5.0293189583844419E-2</v>
      </c>
      <c r="BG35" s="97">
        <v>5.088443614593359E-2</v>
      </c>
      <c r="BH35" s="97">
        <v>4.9736620976590179E-2</v>
      </c>
      <c r="BI35" s="97">
        <v>4.7181451606027623E-2</v>
      </c>
      <c r="BJ35" s="97">
        <v>5.2257856974573386E-2</v>
      </c>
      <c r="BK35" s="97">
        <v>5.2314747984961565E-2</v>
      </c>
      <c r="BL35" s="97">
        <v>4.7683837475921254E-2</v>
      </c>
      <c r="BM35" s="97">
        <v>4.9837207798491559E-2</v>
      </c>
      <c r="BN35" s="97">
        <v>4.969840787799587E-2</v>
      </c>
      <c r="BO35" s="97">
        <v>4.952818351467534E-2</v>
      </c>
      <c r="BP35" s="97">
        <v>5.2381211018065657E-2</v>
      </c>
      <c r="BQ35" s="97">
        <v>5.177936525570262E-2</v>
      </c>
      <c r="BR35" s="97">
        <v>4.8496420246241505E-2</v>
      </c>
      <c r="BS35" s="97">
        <v>4.7789283506781542E-2</v>
      </c>
      <c r="BT35" s="97">
        <v>4.9700360059226914E-2</v>
      </c>
      <c r="BU35" s="97">
        <v>5.2047521646525582E-2</v>
      </c>
      <c r="BV35" s="97">
        <v>5.1026110233909211E-2</v>
      </c>
      <c r="BW35" s="97">
        <v>5.0889827763428042E-2</v>
      </c>
      <c r="BX35" s="97">
        <v>5.0019854776004007E-2</v>
      </c>
      <c r="BY35" s="97">
        <v>5.2516001185056324E-2</v>
      </c>
      <c r="BZ35" s="97">
        <v>5.2418530531000325E-2</v>
      </c>
      <c r="CA35" s="97">
        <v>5.0297541658551173E-2</v>
      </c>
      <c r="CB35" s="97">
        <v>5.1242079259306905E-2</v>
      </c>
      <c r="CC35" s="97">
        <v>5.1399014324199598E-2</v>
      </c>
      <c r="CD35" s="97">
        <v>4.9727895008789991E-2</v>
      </c>
      <c r="CE35" s="97">
        <v>4.6366547707434168E-2</v>
      </c>
      <c r="CF35" s="97">
        <v>4.8832764473892898E-2</v>
      </c>
      <c r="CG35" s="97">
        <v>5.1630854543059768E-2</v>
      </c>
      <c r="CH35" s="97">
        <v>4.952056274968647E-2</v>
      </c>
      <c r="CI35" s="97">
        <v>5.290236453421715E-2</v>
      </c>
      <c r="CJ35" s="97">
        <v>5.302185463933265E-2</v>
      </c>
      <c r="CK35" s="97">
        <v>5.0713889854744523E-2</v>
      </c>
      <c r="CL35" s="97">
        <v>5.516364946869607E-2</v>
      </c>
      <c r="CM35" s="97">
        <v>4.7429170444340654E-2</v>
      </c>
      <c r="CN35" s="97">
        <v>5.1797187820755895E-2</v>
      </c>
      <c r="CO35" s="97">
        <v>5.0087585308052893E-2</v>
      </c>
      <c r="CP35" s="97">
        <v>4.9076090997852581E-2</v>
      </c>
      <c r="CQ35" s="97">
        <v>5.2494455112989294E-2</v>
      </c>
      <c r="CR35" s="97">
        <v>5.0143894725420968E-2</v>
      </c>
      <c r="CS35" s="97">
        <v>4.7721909384736527E-2</v>
      </c>
      <c r="CT35" s="97">
        <v>4.9582150380329149E-2</v>
      </c>
      <c r="CU35" s="97">
        <v>4.7826602128216156E-2</v>
      </c>
      <c r="CV35" s="97">
        <v>5.4051832749093434E-2</v>
      </c>
      <c r="CW35" s="97">
        <v>5.4912663841546971E-2</v>
      </c>
      <c r="CX35" s="97">
        <v>5.3158470149827358E-2</v>
      </c>
    </row>
    <row r="36" spans="1:102" s="95" customFormat="1">
      <c r="A36" s="306" t="str">
        <f t="shared" si="0"/>
        <v>Onroerend goed</v>
      </c>
      <c r="B36" s="307"/>
      <c r="C36" s="97">
        <v>4.1872702943194957E-2</v>
      </c>
      <c r="D36" s="97">
        <v>4.44326325656264E-2</v>
      </c>
      <c r="E36" s="97">
        <v>4.2032510775890625E-2</v>
      </c>
      <c r="F36" s="97">
        <v>4.4873330810894139E-2</v>
      </c>
      <c r="G36" s="97">
        <v>4.2571752424770432E-2</v>
      </c>
      <c r="H36" s="97">
        <v>3.9537320146046682E-2</v>
      </c>
      <c r="I36" s="97">
        <v>4.2239082285602053E-2</v>
      </c>
      <c r="J36" s="97">
        <v>4.3810807262322969E-2</v>
      </c>
      <c r="K36" s="97">
        <v>4.1281483893341221E-2</v>
      </c>
      <c r="L36" s="97">
        <v>4.1965792215727743E-2</v>
      </c>
      <c r="M36" s="97">
        <v>4.2714360597516439E-2</v>
      </c>
      <c r="N36" s="97">
        <v>4.6179753899503143E-2</v>
      </c>
      <c r="O36" s="97">
        <v>4.4870084992769239E-2</v>
      </c>
      <c r="P36" s="97">
        <v>4.319714583556427E-2</v>
      </c>
      <c r="Q36" s="97">
        <v>4.2237241580709052E-2</v>
      </c>
      <c r="R36" s="97">
        <v>4.2184242247963244E-2</v>
      </c>
      <c r="S36" s="97">
        <v>4.5462965036909345E-2</v>
      </c>
      <c r="T36" s="97">
        <v>4.2523785580154481E-2</v>
      </c>
      <c r="U36" s="97">
        <v>4.2780176393312316E-2</v>
      </c>
      <c r="V36" s="97">
        <v>4.2092442605690568E-2</v>
      </c>
      <c r="W36" s="97">
        <v>4.106802952131372E-2</v>
      </c>
      <c r="X36" s="97">
        <v>4.4211722743975224E-2</v>
      </c>
      <c r="Y36" s="97">
        <v>4.377956540283845E-2</v>
      </c>
      <c r="Z36" s="97">
        <v>4.6062173060391329E-2</v>
      </c>
      <c r="AA36" s="97">
        <v>4.1992111279557487E-2</v>
      </c>
      <c r="AB36" s="97">
        <v>4.2008165684289417E-2</v>
      </c>
      <c r="AC36" s="97">
        <v>4.1423770160520221E-2</v>
      </c>
      <c r="AD36" s="97">
        <v>4.0941675972247078E-2</v>
      </c>
      <c r="AE36" s="97">
        <v>3.9030935777277322E-2</v>
      </c>
      <c r="AF36" s="97">
        <v>4.4824642013111399E-2</v>
      </c>
      <c r="AG36" s="97">
        <v>4.1714762220718141E-2</v>
      </c>
      <c r="AH36" s="97">
        <v>3.862829137342122E-2</v>
      </c>
      <c r="AI36" s="97">
        <v>4.1000728140767016E-2</v>
      </c>
      <c r="AJ36" s="97">
        <v>3.988113097065344E-2</v>
      </c>
      <c r="AK36" s="97">
        <v>4.1418597556071808E-2</v>
      </c>
      <c r="AL36" s="97">
        <v>4.6539666531371517E-2</v>
      </c>
      <c r="AM36" s="97">
        <v>4.5544684330295078E-2</v>
      </c>
      <c r="AN36" s="97">
        <v>4.4252821775952869E-2</v>
      </c>
      <c r="AO36" s="97">
        <v>3.9294223347941894E-2</v>
      </c>
      <c r="AP36" s="97">
        <v>4.3249638664510856E-2</v>
      </c>
      <c r="AQ36" s="97">
        <v>3.9774691085403074E-2</v>
      </c>
      <c r="AR36" s="97">
        <v>4.2389298843935469E-2</v>
      </c>
      <c r="AS36" s="97">
        <v>4.5118140660996092E-2</v>
      </c>
      <c r="AT36" s="97">
        <v>3.9938706743241535E-2</v>
      </c>
      <c r="AU36" s="97">
        <v>4.0312933155113147E-2</v>
      </c>
      <c r="AV36" s="97">
        <v>4.1624034710399264E-2</v>
      </c>
      <c r="AW36" s="97">
        <v>3.7817292353432286E-2</v>
      </c>
      <c r="AX36" s="97">
        <v>4.349602868495183E-2</v>
      </c>
      <c r="AY36" s="97">
        <v>4.1879107070848104E-2</v>
      </c>
      <c r="AZ36" s="97">
        <v>4.1052246410384283E-2</v>
      </c>
      <c r="BA36" s="97">
        <v>4.103036021769333E-2</v>
      </c>
      <c r="BB36" s="97">
        <v>4.2528889714225998E-2</v>
      </c>
      <c r="BC36" s="97">
        <v>4.2562060847668309E-2</v>
      </c>
      <c r="BD36" s="97">
        <v>3.7871621200071266E-2</v>
      </c>
      <c r="BE36" s="97">
        <v>3.935693479102223E-2</v>
      </c>
      <c r="BF36" s="97">
        <v>4.0813629049690145E-2</v>
      </c>
      <c r="BG36" s="97">
        <v>4.3085420955069766E-2</v>
      </c>
      <c r="BH36" s="97">
        <v>4.0552557293627584E-2</v>
      </c>
      <c r="BI36" s="97">
        <v>3.7744664774694556E-2</v>
      </c>
      <c r="BJ36" s="97">
        <v>4.3950911789074135E-2</v>
      </c>
      <c r="BK36" s="97">
        <v>4.4584594841102193E-2</v>
      </c>
      <c r="BL36" s="97">
        <v>3.9266170302719602E-2</v>
      </c>
      <c r="BM36" s="97">
        <v>4.1394819928367507E-2</v>
      </c>
      <c r="BN36" s="97">
        <v>4.0192531142718299E-2</v>
      </c>
      <c r="BO36" s="97">
        <v>4.0444070960991653E-2</v>
      </c>
      <c r="BP36" s="97">
        <v>4.3774451849021227E-2</v>
      </c>
      <c r="BQ36" s="97">
        <v>4.3619133056362516E-2</v>
      </c>
      <c r="BR36" s="97">
        <v>4.0193759002630246E-2</v>
      </c>
      <c r="BS36" s="97">
        <v>3.8742801493308741E-2</v>
      </c>
      <c r="BT36" s="97">
        <v>4.1617066132418432E-2</v>
      </c>
      <c r="BU36" s="97">
        <v>4.5699013109099747E-2</v>
      </c>
      <c r="BV36" s="97">
        <v>4.1808972193098259E-2</v>
      </c>
      <c r="BW36" s="97">
        <v>4.2889680551909504E-2</v>
      </c>
      <c r="BX36" s="97">
        <v>4.2804480214197971E-2</v>
      </c>
      <c r="BY36" s="97">
        <v>4.5005192858342077E-2</v>
      </c>
      <c r="BZ36" s="97">
        <v>4.6416511746327063E-2</v>
      </c>
      <c r="CA36" s="97">
        <v>4.1710768584905758E-2</v>
      </c>
      <c r="CB36" s="97">
        <v>4.2039784539901384E-2</v>
      </c>
      <c r="CC36" s="97">
        <v>4.4003303265771399E-2</v>
      </c>
      <c r="CD36" s="97">
        <v>4.0569529082717486E-2</v>
      </c>
      <c r="CE36" s="97">
        <v>3.7632812350040852E-2</v>
      </c>
      <c r="CF36" s="97">
        <v>4.0390952330434916E-2</v>
      </c>
      <c r="CG36" s="97">
        <v>4.2261151907976649E-2</v>
      </c>
      <c r="CH36" s="97">
        <v>4.0524249336948023E-2</v>
      </c>
      <c r="CI36" s="97">
        <v>4.4800964746425323E-2</v>
      </c>
      <c r="CJ36" s="97">
        <v>4.3460987238122882E-2</v>
      </c>
      <c r="CK36" s="97">
        <v>4.1518821794917837E-2</v>
      </c>
      <c r="CL36" s="97">
        <v>4.6407155040657989E-2</v>
      </c>
      <c r="CM36" s="97">
        <v>3.7858405265167219E-2</v>
      </c>
      <c r="CN36" s="97">
        <v>4.5007643454336339E-2</v>
      </c>
      <c r="CO36" s="97">
        <v>4.0401133433107778E-2</v>
      </c>
      <c r="CP36" s="97">
        <v>3.9795683703011765E-2</v>
      </c>
      <c r="CQ36" s="97">
        <v>4.2989839009810522E-2</v>
      </c>
      <c r="CR36" s="97">
        <v>4.0385426707826647E-2</v>
      </c>
      <c r="CS36" s="97">
        <v>3.9578164977554488E-2</v>
      </c>
      <c r="CT36" s="97">
        <v>4.1380311558165524E-2</v>
      </c>
      <c r="CU36" s="97">
        <v>3.8401760889134544E-2</v>
      </c>
      <c r="CV36" s="97">
        <v>4.8251510960852104E-2</v>
      </c>
      <c r="CW36" s="97">
        <v>4.7780039339222966E-2</v>
      </c>
      <c r="CX36" s="97">
        <v>4.5191934948110996E-2</v>
      </c>
    </row>
    <row r="37" spans="1:102" s="96" customFormat="1">
      <c r="A37" s="310" t="str">
        <f t="shared" si="0"/>
        <v>Commodities</v>
      </c>
      <c r="B37" s="311"/>
      <c r="C37" s="98">
        <v>6.2542734389789037E-2</v>
      </c>
      <c r="D37" s="98">
        <v>7.5394242746422022E-2</v>
      </c>
      <c r="E37" s="98">
        <v>7.2684946239859896E-2</v>
      </c>
      <c r="F37" s="98">
        <v>7.6609498513333082E-2</v>
      </c>
      <c r="G37" s="98">
        <v>6.6015898127860878E-2</v>
      </c>
      <c r="H37" s="98">
        <v>6.3048177599996369E-2</v>
      </c>
      <c r="I37" s="98">
        <v>7.2626177791830088E-2</v>
      </c>
      <c r="J37" s="98">
        <v>6.8504383396369911E-2</v>
      </c>
      <c r="K37" s="98">
        <v>6.7223448290274213E-2</v>
      </c>
      <c r="L37" s="98">
        <v>6.893826867279032E-2</v>
      </c>
      <c r="M37" s="98">
        <v>6.5431879525634923E-2</v>
      </c>
      <c r="N37" s="98">
        <v>6.9155830558270695E-2</v>
      </c>
      <c r="O37" s="98">
        <v>6.8911287085945586E-2</v>
      </c>
      <c r="P37" s="98">
        <v>7.6043312587456779E-2</v>
      </c>
      <c r="Q37" s="98">
        <v>6.2610847662083996E-2</v>
      </c>
      <c r="R37" s="98">
        <v>6.3592754786349792E-2</v>
      </c>
      <c r="S37" s="98">
        <v>7.0190083914451668E-2</v>
      </c>
      <c r="T37" s="98">
        <v>7.9624205857728517E-2</v>
      </c>
      <c r="U37" s="98">
        <v>7.6607608894248905E-2</v>
      </c>
      <c r="V37" s="98">
        <v>7.6046064062923968E-2</v>
      </c>
      <c r="W37" s="98">
        <v>6.9840613946836771E-2</v>
      </c>
      <c r="X37" s="98">
        <v>8.0181275325399551E-2</v>
      </c>
      <c r="Y37" s="98">
        <v>6.8096490612911439E-2</v>
      </c>
      <c r="Z37" s="98">
        <v>8.1175805342869195E-2</v>
      </c>
      <c r="AA37" s="98">
        <v>6.4670840038960453E-2</v>
      </c>
      <c r="AB37" s="98">
        <v>8.1024260398640913E-2</v>
      </c>
      <c r="AC37" s="98">
        <v>6.6877024203538193E-2</v>
      </c>
      <c r="AD37" s="98">
        <v>6.573169063303716E-2</v>
      </c>
      <c r="AE37" s="98">
        <v>5.9721987440541233E-2</v>
      </c>
      <c r="AF37" s="98">
        <v>8.1102927607010267E-2</v>
      </c>
      <c r="AG37" s="98">
        <v>7.3068176877339797E-2</v>
      </c>
      <c r="AH37" s="98">
        <v>6.1139481697808334E-2</v>
      </c>
      <c r="AI37" s="98">
        <v>7.2004774597867527E-2</v>
      </c>
      <c r="AJ37" s="98">
        <v>7.0488872999499311E-2</v>
      </c>
      <c r="AK37" s="98">
        <v>6.9808041366609536E-2</v>
      </c>
      <c r="AL37" s="98">
        <v>8.292962256078687E-2</v>
      </c>
      <c r="AM37" s="98">
        <v>7.8313044168692642E-2</v>
      </c>
      <c r="AN37" s="98">
        <v>7.3041848797443437E-2</v>
      </c>
      <c r="AO37" s="98">
        <v>6.4871521712145191E-2</v>
      </c>
      <c r="AP37" s="98">
        <v>7.8872231627683628E-2</v>
      </c>
      <c r="AQ37" s="98">
        <v>6.7386135296802541E-2</v>
      </c>
      <c r="AR37" s="98">
        <v>6.6631840253103286E-2</v>
      </c>
      <c r="AS37" s="98">
        <v>7.6403426433085939E-2</v>
      </c>
      <c r="AT37" s="98">
        <v>6.0448722481423536E-2</v>
      </c>
      <c r="AU37" s="98">
        <v>7.2081759323257708E-2</v>
      </c>
      <c r="AV37" s="98">
        <v>7.9863209741246527E-2</v>
      </c>
      <c r="AW37" s="98">
        <v>6.1477892415540074E-2</v>
      </c>
      <c r="AX37" s="98">
        <v>7.8597062560267633E-2</v>
      </c>
      <c r="AY37" s="98">
        <v>7.2581737648615585E-2</v>
      </c>
      <c r="AZ37" s="98">
        <v>6.3756407436844464E-2</v>
      </c>
      <c r="BA37" s="98">
        <v>6.8111049880350202E-2</v>
      </c>
      <c r="BB37" s="98">
        <v>6.4946962862973523E-2</v>
      </c>
      <c r="BC37" s="98">
        <v>8.2244530462126347E-2</v>
      </c>
      <c r="BD37" s="98">
        <v>6.3119328367814351E-2</v>
      </c>
      <c r="BE37" s="98">
        <v>6.8191223474914228E-2</v>
      </c>
      <c r="BF37" s="98">
        <v>6.3440377463331449E-2</v>
      </c>
      <c r="BG37" s="98">
        <v>6.959252049239345E-2</v>
      </c>
      <c r="BH37" s="98">
        <v>6.397650720294823E-2</v>
      </c>
      <c r="BI37" s="98">
        <v>6.0652565104681463E-2</v>
      </c>
      <c r="BJ37" s="98">
        <v>6.8067486955355805E-2</v>
      </c>
      <c r="BK37" s="98">
        <v>7.2890290310573105E-2</v>
      </c>
      <c r="BL37" s="98">
        <v>6.6411466349108716E-2</v>
      </c>
      <c r="BM37" s="98">
        <v>7.2913976191740643E-2</v>
      </c>
      <c r="BN37" s="98">
        <v>6.5373546274150179E-2</v>
      </c>
      <c r="BO37" s="98">
        <v>7.0415693282306679E-2</v>
      </c>
      <c r="BP37" s="98">
        <v>6.9014593921640069E-2</v>
      </c>
      <c r="BQ37" s="98">
        <v>8.4713837252354998E-2</v>
      </c>
      <c r="BR37" s="98">
        <v>6.0205168283284177E-2</v>
      </c>
      <c r="BS37" s="98">
        <v>6.0559198025468206E-2</v>
      </c>
      <c r="BT37" s="98">
        <v>7.9947895214883949E-2</v>
      </c>
      <c r="BU37" s="98">
        <v>8.1753083212607297E-2</v>
      </c>
      <c r="BV37" s="98">
        <v>7.5608151989163097E-2</v>
      </c>
      <c r="BW37" s="98">
        <v>8.124220102502569E-2</v>
      </c>
      <c r="BX37" s="98">
        <v>6.8436792949981673E-2</v>
      </c>
      <c r="BY37" s="98">
        <v>6.956672486870541E-2</v>
      </c>
      <c r="BZ37" s="98">
        <v>8.0051949684413162E-2</v>
      </c>
      <c r="CA37" s="98">
        <v>6.533707439796943E-2</v>
      </c>
      <c r="CB37" s="98">
        <v>7.3319097893972479E-2</v>
      </c>
      <c r="CC37" s="98">
        <v>8.6212631327449898E-2</v>
      </c>
      <c r="CD37" s="98">
        <v>6.3505808648946879E-2</v>
      </c>
      <c r="CE37" s="98">
        <v>5.6122663044189586E-2</v>
      </c>
      <c r="CF37" s="98">
        <v>6.1207837132048665E-2</v>
      </c>
      <c r="CG37" s="98">
        <v>6.6039702457572888E-2</v>
      </c>
      <c r="CH37" s="98">
        <v>6.8350271584902728E-2</v>
      </c>
      <c r="CI37" s="98">
        <v>8.0926199535064969E-2</v>
      </c>
      <c r="CJ37" s="98">
        <v>7.6061737432522369E-2</v>
      </c>
      <c r="CK37" s="98">
        <v>7.6466512451923832E-2</v>
      </c>
      <c r="CL37" s="98">
        <v>7.4325811155716376E-2</v>
      </c>
      <c r="CM37" s="98">
        <v>6.1754349027048662E-2</v>
      </c>
      <c r="CN37" s="98">
        <v>6.9641290879478873E-2</v>
      </c>
      <c r="CO37" s="98">
        <v>6.2787789650399051E-2</v>
      </c>
      <c r="CP37" s="98">
        <v>6.1300026214216034E-2</v>
      </c>
      <c r="CQ37" s="98">
        <v>8.1985071650763214E-2</v>
      </c>
      <c r="CR37" s="98">
        <v>6.6455384994016625E-2</v>
      </c>
      <c r="CS37" s="98">
        <v>6.2105713019302053E-2</v>
      </c>
      <c r="CT37" s="98">
        <v>7.1908419473935586E-2</v>
      </c>
      <c r="CU37" s="98">
        <v>5.9385941653550572E-2</v>
      </c>
      <c r="CV37" s="98">
        <v>8.4667866814693238E-2</v>
      </c>
      <c r="CW37" s="98">
        <v>7.4466373895057461E-2</v>
      </c>
      <c r="CX37" s="98">
        <v>7.157961717176857E-2</v>
      </c>
    </row>
    <row r="38" spans="1:102" s="101" customFormat="1">
      <c r="A38" s="58" t="s">
        <v>132</v>
      </c>
      <c r="B38" s="99"/>
      <c r="C38" s="100">
        <v>2.9704015750859085</v>
      </c>
      <c r="D38" s="100">
        <v>3.4560712297656417</v>
      </c>
      <c r="E38" s="100">
        <v>3.2232273505721318</v>
      </c>
      <c r="F38" s="100">
        <v>3.0566817464791001</v>
      </c>
      <c r="G38" s="100">
        <v>3.1050931207200527</v>
      </c>
      <c r="H38" s="100">
        <v>3.0452318856873282</v>
      </c>
      <c r="I38" s="100">
        <v>3.3258779319015459</v>
      </c>
      <c r="J38" s="100">
        <v>3.3660764207465381</v>
      </c>
      <c r="K38" s="100">
        <v>3.2929446456131988</v>
      </c>
      <c r="L38" s="100">
        <v>3.0439986455808863</v>
      </c>
      <c r="M38" s="100">
        <v>3.0730762325484142</v>
      </c>
      <c r="N38" s="100">
        <v>2.9348700407689714</v>
      </c>
      <c r="O38" s="100">
        <v>3.1764179615900487</v>
      </c>
      <c r="P38" s="100">
        <v>3.2947459001374786</v>
      </c>
      <c r="Q38" s="100">
        <v>3.1959228842204368</v>
      </c>
      <c r="R38" s="100">
        <v>3.262599057449258</v>
      </c>
      <c r="S38" s="100">
        <v>3.0625080568580807</v>
      </c>
      <c r="T38" s="100">
        <v>3.3300251212394878</v>
      </c>
      <c r="U38" s="100">
        <v>3.2621033807624453</v>
      </c>
      <c r="V38" s="100">
        <v>3.2015788187945082</v>
      </c>
      <c r="W38" s="100">
        <v>3.3733628208250148</v>
      </c>
      <c r="X38" s="100">
        <v>3.2929428054163097</v>
      </c>
      <c r="Y38" s="100">
        <v>3.7803214414057131</v>
      </c>
      <c r="Z38" s="100">
        <v>3.4617893962234856</v>
      </c>
      <c r="AA38" s="100">
        <v>3.4306812530833781</v>
      </c>
      <c r="AB38" s="100">
        <v>3.2952921592846147</v>
      </c>
      <c r="AC38" s="100">
        <v>3.2700707111118912</v>
      </c>
      <c r="AD38" s="100">
        <v>3.1270194787937649</v>
      </c>
      <c r="AE38" s="100">
        <v>3.1874746814012416</v>
      </c>
      <c r="AF38" s="100">
        <v>3.467765916947815</v>
      </c>
      <c r="AG38" s="100">
        <v>3.1906874797653528</v>
      </c>
      <c r="AH38" s="100">
        <v>3.3723391228337802</v>
      </c>
      <c r="AI38" s="100">
        <v>3.1949505062725696</v>
      </c>
      <c r="AJ38" s="100">
        <v>3.2260638747082515</v>
      </c>
      <c r="AK38" s="100">
        <v>3.0702494208764133</v>
      </c>
      <c r="AL38" s="100">
        <v>3.677890746430756</v>
      </c>
      <c r="AM38" s="100">
        <v>3.1547374020800896</v>
      </c>
      <c r="AN38" s="100">
        <v>3.4659261797100021</v>
      </c>
      <c r="AO38" s="100">
        <v>3.3462685298154011</v>
      </c>
      <c r="AP38" s="100">
        <v>3.6646183623503199</v>
      </c>
      <c r="AQ38" s="100">
        <v>3.1812839274154681</v>
      </c>
      <c r="AR38" s="100">
        <v>3.6328157136921311</v>
      </c>
      <c r="AS38" s="100">
        <v>3.3709787265153741</v>
      </c>
      <c r="AT38" s="100">
        <v>3.1279153749577038</v>
      </c>
      <c r="AU38" s="100">
        <v>3.1746193664093507</v>
      </c>
      <c r="AV38" s="100">
        <v>3.6079070931650632</v>
      </c>
      <c r="AW38" s="100">
        <v>3.2671943590349666</v>
      </c>
      <c r="AX38" s="100">
        <v>3.3407361870833294</v>
      </c>
      <c r="AY38" s="100">
        <v>3.5289715564113613</v>
      </c>
      <c r="AZ38" s="100">
        <v>3.2823949633859937</v>
      </c>
      <c r="BA38" s="100">
        <v>3.0925185876941059</v>
      </c>
      <c r="BB38" s="100">
        <v>3.357344551566626</v>
      </c>
      <c r="BC38" s="100">
        <v>3.5184104415281303</v>
      </c>
      <c r="BD38" s="100">
        <v>3.2816354617830181</v>
      </c>
      <c r="BE38" s="100">
        <v>3.5402775356939702</v>
      </c>
      <c r="BF38" s="100">
        <v>3.764873156121979</v>
      </c>
      <c r="BG38" s="100">
        <v>3.2706680517669278</v>
      </c>
      <c r="BH38" s="100">
        <v>3.258221976606877</v>
      </c>
      <c r="BI38" s="100">
        <v>3.2829442683942265</v>
      </c>
      <c r="BJ38" s="100">
        <v>3.9017274487257851</v>
      </c>
      <c r="BK38" s="100">
        <v>3.8731573839192235</v>
      </c>
      <c r="BL38" s="100">
        <v>3.1498867228932879</v>
      </c>
      <c r="BM38" s="100">
        <v>3.4177716801855071</v>
      </c>
      <c r="BN38" s="100">
        <v>3.3421893082488321</v>
      </c>
      <c r="BO38" s="100">
        <v>3.4155942277109621</v>
      </c>
      <c r="BP38" s="100">
        <v>3.8707407608037201</v>
      </c>
      <c r="BQ38" s="100">
        <v>3.8686838237409638</v>
      </c>
      <c r="BR38" s="100">
        <v>3.3589943438991048</v>
      </c>
      <c r="BS38" s="100">
        <v>3.5356390585527251</v>
      </c>
      <c r="BT38" s="100">
        <v>3.5950543247522795</v>
      </c>
      <c r="BU38" s="100">
        <v>3.4483139334955921</v>
      </c>
      <c r="BV38" s="100">
        <v>3.6075320159465871</v>
      </c>
      <c r="BW38" s="100">
        <v>3.5341900793828418</v>
      </c>
      <c r="BX38" s="100">
        <v>2.9729135337036579</v>
      </c>
      <c r="BY38" s="100">
        <v>3.541912479352519</v>
      </c>
      <c r="BZ38" s="100">
        <v>3.4440666038588454</v>
      </c>
      <c r="CA38" s="100">
        <v>3.7622592422268464</v>
      </c>
      <c r="CB38" s="100">
        <v>3.6980444176394331</v>
      </c>
      <c r="CC38" s="100">
        <v>3.8249733578866691</v>
      </c>
      <c r="CD38" s="100">
        <v>3.3546042104042968</v>
      </c>
      <c r="CE38" s="100">
        <v>3.3673138615402718</v>
      </c>
      <c r="CF38" s="100">
        <v>3.4209343819215206</v>
      </c>
      <c r="CG38" s="100">
        <v>3.8823916124252404</v>
      </c>
      <c r="CH38" s="100">
        <v>3.8985510824660885</v>
      </c>
      <c r="CI38" s="100">
        <v>3.7704808029575179</v>
      </c>
      <c r="CJ38" s="100">
        <v>4.2211828843629196</v>
      </c>
      <c r="CK38" s="100">
        <v>3.9139329587252951</v>
      </c>
      <c r="CL38" s="100">
        <v>4.5105535094692222</v>
      </c>
      <c r="CM38" s="100">
        <v>3.4060602601384611</v>
      </c>
      <c r="CN38" s="100">
        <v>3.4742728653604984</v>
      </c>
      <c r="CO38" s="100">
        <v>3.5653417462169292</v>
      </c>
      <c r="CP38" s="100">
        <v>3.8593989446693753</v>
      </c>
      <c r="CQ38" s="100">
        <v>4.1239723989340211</v>
      </c>
      <c r="CR38" s="100">
        <v>3.6666407694597907</v>
      </c>
      <c r="CS38" s="100">
        <v>3.4062349650893244</v>
      </c>
      <c r="CT38" s="100">
        <v>3.4511282929612594</v>
      </c>
      <c r="CU38" s="100">
        <v>3.3814142720069982</v>
      </c>
      <c r="CV38" s="100">
        <v>3.9272274316605884</v>
      </c>
      <c r="CW38" s="100">
        <v>4.0177734400880789</v>
      </c>
      <c r="CX38" s="100">
        <v>3.6659663396854953</v>
      </c>
    </row>
    <row r="40" spans="1:102">
      <c r="A40" s="124" t="s">
        <v>133</v>
      </c>
      <c r="B40" s="124"/>
    </row>
    <row r="41" spans="1:102" s="104" customFormat="1">
      <c r="A41" s="108" t="str">
        <f>Parameters!A40</f>
        <v>Basis</v>
      </c>
      <c r="B41" s="102" t="s">
        <v>29</v>
      </c>
      <c r="C41" s="103">
        <v>1.2191385943394591E-2</v>
      </c>
      <c r="D41" s="103">
        <v>1.1871755099308504E-2</v>
      </c>
      <c r="E41" s="103">
        <v>1.1825826202628597E-2</v>
      </c>
      <c r="F41" s="103">
        <v>1.1787451744087404E-2</v>
      </c>
      <c r="G41" s="103">
        <v>1.1773879555707077E-2</v>
      </c>
      <c r="H41" s="103">
        <v>1.1687057412125633E-2</v>
      </c>
      <c r="I41" s="103">
        <v>1.1685625508503715E-2</v>
      </c>
      <c r="J41" s="103">
        <v>1.1419928031583872E-2</v>
      </c>
      <c r="K41" s="103">
        <v>1.141407075822529E-2</v>
      </c>
      <c r="L41" s="103">
        <v>1.1405670753589274E-2</v>
      </c>
      <c r="M41" s="103">
        <v>1.1399999272720261E-2</v>
      </c>
      <c r="N41" s="103">
        <v>1.1396463971616878E-2</v>
      </c>
      <c r="O41" s="103">
        <v>1.1377784788173034E-2</v>
      </c>
      <c r="P41" s="103">
        <v>1.1361455302780684E-2</v>
      </c>
      <c r="Q41" s="103">
        <v>1.1359198805704195E-2</v>
      </c>
      <c r="R41" s="103">
        <v>1.1353748402835274E-2</v>
      </c>
      <c r="S41" s="103">
        <v>1.1327402885067542E-2</v>
      </c>
      <c r="T41" s="103">
        <v>1.1256972051943669E-2</v>
      </c>
      <c r="U41" s="103">
        <v>1.1223317559544196E-2</v>
      </c>
      <c r="V41" s="103">
        <v>1.1202939831548395E-2</v>
      </c>
      <c r="W41" s="103">
        <v>1.1195173698895238E-2</v>
      </c>
      <c r="X41" s="103">
        <v>1.1180404957192759E-2</v>
      </c>
      <c r="Y41" s="103">
        <v>1.1155808039250197E-2</v>
      </c>
      <c r="Z41" s="103">
        <v>1.1141614412390269E-2</v>
      </c>
      <c r="AA41" s="103">
        <v>1.1114547020374756E-2</v>
      </c>
      <c r="AB41" s="103">
        <v>1.1111108559776237E-2</v>
      </c>
      <c r="AC41" s="103">
        <v>1.1100351037802256E-2</v>
      </c>
      <c r="AD41" s="103">
        <v>1.1062504887180403E-2</v>
      </c>
      <c r="AE41" s="103">
        <v>1.1031438960954652E-2</v>
      </c>
      <c r="AF41" s="103">
        <v>1.0977020114378311E-2</v>
      </c>
      <c r="AG41" s="103">
        <v>1.0959548812910586E-2</v>
      </c>
      <c r="AH41" s="103">
        <v>1.094625956793681E-2</v>
      </c>
      <c r="AI41" s="103">
        <v>1.0942183863660734E-2</v>
      </c>
      <c r="AJ41" s="103">
        <v>1.0846025902105334E-2</v>
      </c>
      <c r="AK41" s="103">
        <v>1.0831585291923237E-2</v>
      </c>
      <c r="AL41" s="103">
        <v>1.0819487461423232E-2</v>
      </c>
      <c r="AM41" s="103">
        <v>1.0814017030596106E-2</v>
      </c>
      <c r="AN41" s="103">
        <v>1.080832457942307E-2</v>
      </c>
      <c r="AO41" s="103">
        <v>1.0806049626764026E-2</v>
      </c>
      <c r="AP41" s="103">
        <v>1.0804329635466936E-2</v>
      </c>
      <c r="AQ41" s="103">
        <v>1.0796535277728486E-2</v>
      </c>
      <c r="AR41" s="103">
        <v>1.07940000707117E-2</v>
      </c>
      <c r="AS41" s="103">
        <v>1.0769495036236296E-2</v>
      </c>
      <c r="AT41" s="103">
        <v>1.0746333186574576E-2</v>
      </c>
      <c r="AU41" s="103">
        <v>1.0737003892918109E-2</v>
      </c>
      <c r="AV41" s="103">
        <v>1.0725693739241881E-2</v>
      </c>
      <c r="AW41" s="103">
        <v>1.0724671044615332E-2</v>
      </c>
      <c r="AX41" s="103">
        <v>1.0717549741468557E-2</v>
      </c>
      <c r="AY41" s="103">
        <v>1.0708934300646802E-2</v>
      </c>
      <c r="AZ41" s="103">
        <v>1.0688746425234423E-2</v>
      </c>
      <c r="BA41" s="103">
        <v>1.0670694847570664E-2</v>
      </c>
      <c r="BB41" s="103">
        <v>1.066589157324312E-2</v>
      </c>
      <c r="BC41" s="103">
        <v>1.0641995876992884E-2</v>
      </c>
      <c r="BD41" s="103">
        <v>1.0634811262888563E-2</v>
      </c>
      <c r="BE41" s="103">
        <v>1.0626083073878426E-2</v>
      </c>
      <c r="BF41" s="103">
        <v>1.0621174608967379E-2</v>
      </c>
      <c r="BG41" s="103">
        <v>1.0614770814619236E-2</v>
      </c>
      <c r="BH41" s="103">
        <v>1.0574910364488536E-2</v>
      </c>
      <c r="BI41" s="103">
        <v>1.0572371202599684E-2</v>
      </c>
      <c r="BJ41" s="103">
        <v>1.0559114746955079E-2</v>
      </c>
      <c r="BK41" s="103">
        <v>1.0553145251922115E-2</v>
      </c>
      <c r="BL41" s="103">
        <v>1.0550183887909103E-2</v>
      </c>
      <c r="BM41" s="103">
        <v>1.053808767055214E-2</v>
      </c>
      <c r="BN41" s="103">
        <v>1.0518226664881246E-2</v>
      </c>
      <c r="BO41" s="103">
        <v>1.0518011134169588E-2</v>
      </c>
      <c r="BP41" s="103">
        <v>1.0485740499095619E-2</v>
      </c>
      <c r="BQ41" s="103">
        <v>1.0455528107868976E-2</v>
      </c>
      <c r="BR41" s="103">
        <v>1.0444638629133779E-2</v>
      </c>
      <c r="BS41" s="103">
        <v>1.044359608353039E-2</v>
      </c>
      <c r="BT41" s="103">
        <v>1.0438323590513601E-2</v>
      </c>
      <c r="BU41" s="103">
        <v>1.0435722248663189E-2</v>
      </c>
      <c r="BV41" s="103">
        <v>1.041934245761781E-2</v>
      </c>
      <c r="BW41" s="103">
        <v>1.041538939859688E-2</v>
      </c>
      <c r="BX41" s="103">
        <v>1.0414552838541081E-2</v>
      </c>
      <c r="BY41" s="103">
        <v>1.0410669972108997E-2</v>
      </c>
      <c r="BZ41" s="103">
        <v>1.0391718785029484E-2</v>
      </c>
      <c r="CA41" s="103">
        <v>1.0389356885056936E-2</v>
      </c>
      <c r="CB41" s="103">
        <v>1.0383311126617532E-2</v>
      </c>
      <c r="CC41" s="103">
        <v>1.0378429322971259E-2</v>
      </c>
      <c r="CD41" s="103">
        <v>1.0366400007225307E-2</v>
      </c>
      <c r="CE41" s="103">
        <v>1.0365106998683222E-2</v>
      </c>
      <c r="CF41" s="103">
        <v>1.0348346056187183E-2</v>
      </c>
      <c r="CG41" s="103">
        <v>1.0309250516977557E-2</v>
      </c>
      <c r="CH41" s="103">
        <v>1.0289156350793773E-2</v>
      </c>
      <c r="CI41" s="103">
        <v>1.0286725814017364E-2</v>
      </c>
      <c r="CJ41" s="103">
        <v>1.0275280242991047E-2</v>
      </c>
      <c r="CK41" s="103">
        <v>1.0257723033984721E-2</v>
      </c>
      <c r="CL41" s="103">
        <v>1.023915178204628E-2</v>
      </c>
      <c r="CM41" s="103">
        <v>1.0224435733424913E-2</v>
      </c>
      <c r="CN41" s="103">
        <v>1.0221607376194647E-2</v>
      </c>
      <c r="CO41" s="103">
        <v>1.0215177698647359E-2</v>
      </c>
      <c r="CP41" s="103">
        <v>1.018587001377212E-2</v>
      </c>
      <c r="CQ41" s="103">
        <v>1.0135208959674812E-2</v>
      </c>
      <c r="CR41" s="103">
        <v>1.0124677682347857E-2</v>
      </c>
      <c r="CS41" s="103">
        <v>1.012128334309979E-2</v>
      </c>
      <c r="CT41" s="103">
        <v>1.0105003452238047E-2</v>
      </c>
      <c r="CU41" s="103">
        <v>1.0097331171139501E-2</v>
      </c>
      <c r="CV41" s="103">
        <v>1.009147447880003E-2</v>
      </c>
      <c r="CW41" s="103">
        <v>1.0047789569133044E-2</v>
      </c>
      <c r="CX41" s="103">
        <v>1.0028790009397569E-2</v>
      </c>
    </row>
    <row r="42" spans="1:102" s="23" customFormat="1">
      <c r="B42" s="14" t="s">
        <v>30</v>
      </c>
      <c r="C42" s="105">
        <v>5.9536735985515857E-2</v>
      </c>
      <c r="D42" s="105">
        <v>5.6322794740217855E-2</v>
      </c>
      <c r="E42" s="105">
        <v>5.8371159462347187E-2</v>
      </c>
      <c r="F42" s="105">
        <v>5.9787817712402935E-2</v>
      </c>
      <c r="G42" s="105">
        <v>5.9072043125658218E-2</v>
      </c>
      <c r="H42" s="105">
        <v>5.9525646332403558E-2</v>
      </c>
      <c r="I42" s="105">
        <v>5.8518207368336475E-2</v>
      </c>
      <c r="J42" s="105">
        <v>5.68180981374845E-2</v>
      </c>
      <c r="K42" s="105">
        <v>5.8175287727730611E-2</v>
      </c>
      <c r="L42" s="105">
        <v>5.9434504389307176E-2</v>
      </c>
      <c r="M42" s="105">
        <v>5.9767584204185244E-2</v>
      </c>
      <c r="N42" s="105">
        <v>5.9877179625943015E-2</v>
      </c>
      <c r="O42" s="105">
        <v>5.7969183498972843E-2</v>
      </c>
      <c r="P42" s="105">
        <v>5.7759260537284453E-2</v>
      </c>
      <c r="Q42" s="105">
        <v>5.849763918007763E-2</v>
      </c>
      <c r="R42" s="105">
        <v>5.7728397065876187E-2</v>
      </c>
      <c r="S42" s="105">
        <v>5.8650361460452237E-2</v>
      </c>
      <c r="T42" s="105">
        <v>5.8864854002851803E-2</v>
      </c>
      <c r="U42" s="105">
        <v>5.88983204630893E-2</v>
      </c>
      <c r="V42" s="105">
        <v>5.9372189401153394E-2</v>
      </c>
      <c r="W42" s="105">
        <v>5.7544880093502775E-2</v>
      </c>
      <c r="X42" s="105">
        <v>5.8408066476422923E-2</v>
      </c>
      <c r="Y42" s="105">
        <v>5.3667918263768488E-2</v>
      </c>
      <c r="Z42" s="105">
        <v>5.6949016698794062E-2</v>
      </c>
      <c r="AA42" s="105">
        <v>5.7057528432002437E-2</v>
      </c>
      <c r="AB42" s="105">
        <v>5.921734250260504E-2</v>
      </c>
      <c r="AC42" s="105">
        <v>5.7872114189783948E-2</v>
      </c>
      <c r="AD42" s="105">
        <v>5.8939795132713996E-2</v>
      </c>
      <c r="AE42" s="105">
        <v>5.9935564641653533E-2</v>
      </c>
      <c r="AF42" s="105">
        <v>5.7308485252584578E-2</v>
      </c>
      <c r="AG42" s="105">
        <v>5.8753419021679625E-2</v>
      </c>
      <c r="AH42" s="105">
        <v>5.7905588017642985E-2</v>
      </c>
      <c r="AI42" s="105">
        <v>5.9536265103069932E-2</v>
      </c>
      <c r="AJ42" s="105">
        <v>5.9559210029777106E-2</v>
      </c>
      <c r="AK42" s="105">
        <v>5.9342634349752621E-2</v>
      </c>
      <c r="AL42" s="105">
        <v>5.563583419208714E-2</v>
      </c>
      <c r="AM42" s="105">
        <v>5.8638818934794723E-2</v>
      </c>
      <c r="AN42" s="105">
        <v>5.6327981165863079E-2</v>
      </c>
      <c r="AO42" s="105">
        <v>5.7527301966895962E-2</v>
      </c>
      <c r="AP42" s="105">
        <v>5.5534085287232499E-2</v>
      </c>
      <c r="AQ42" s="105">
        <v>5.9593119331973636E-2</v>
      </c>
      <c r="AR42" s="105">
        <v>5.4829239842423882E-2</v>
      </c>
      <c r="AS42" s="105">
        <v>5.7443660397016094E-2</v>
      </c>
      <c r="AT42" s="105">
        <v>5.9239764927104817E-2</v>
      </c>
      <c r="AU42" s="105">
        <v>5.9755426522362279E-2</v>
      </c>
      <c r="AV42" s="105">
        <v>5.6695145812631659E-2</v>
      </c>
      <c r="AW42" s="105">
        <v>5.9446901181690083E-2</v>
      </c>
      <c r="AX42" s="105">
        <v>5.7825616068423229E-2</v>
      </c>
      <c r="AY42" s="105">
        <v>5.7289236121042399E-2</v>
      </c>
      <c r="AZ42" s="105">
        <v>5.7974039621005245E-2</v>
      </c>
      <c r="BA42" s="105">
        <v>5.9402177154620997E-2</v>
      </c>
      <c r="BB42" s="105">
        <v>5.6173562054721807E-2</v>
      </c>
      <c r="BC42" s="105">
        <v>5.7310259950325057E-2</v>
      </c>
      <c r="BD42" s="105">
        <v>5.8829741057530582E-2</v>
      </c>
      <c r="BE42" s="105">
        <v>5.7774406411831528E-2</v>
      </c>
      <c r="BF42" s="105">
        <v>5.4374699894916757E-2</v>
      </c>
      <c r="BG42" s="105">
        <v>5.7149858395750534E-2</v>
      </c>
      <c r="BH42" s="105">
        <v>5.7892910954425142E-2</v>
      </c>
      <c r="BI42" s="105">
        <v>5.9163402929362431E-2</v>
      </c>
      <c r="BJ42" s="105">
        <v>5.3916272980053317E-2</v>
      </c>
      <c r="BK42" s="105">
        <v>5.4244484508857424E-2</v>
      </c>
      <c r="BL42" s="105">
        <v>5.9207525147644047E-2</v>
      </c>
      <c r="BM42" s="105">
        <v>5.7413006211752486E-2</v>
      </c>
      <c r="BN42" s="105">
        <v>5.7425959199693656E-2</v>
      </c>
      <c r="BO42" s="105">
        <v>5.7923265718805274E-2</v>
      </c>
      <c r="BP42" s="105">
        <v>5.4254712191573719E-2</v>
      </c>
      <c r="BQ42" s="105">
        <v>5.5053776205571205E-2</v>
      </c>
      <c r="BR42" s="105">
        <v>5.7840803453877376E-2</v>
      </c>
      <c r="BS42" s="105">
        <v>5.7385842817493191E-2</v>
      </c>
      <c r="BT42" s="105">
        <v>5.7561459898169756E-2</v>
      </c>
      <c r="BU42" s="105">
        <v>5.7191659155487198E-2</v>
      </c>
      <c r="BV42" s="105">
        <v>5.6204708032263968E-2</v>
      </c>
      <c r="BW42" s="105">
        <v>5.6737956162588213E-2</v>
      </c>
      <c r="BX42" s="105">
        <v>5.9663980670091842E-2</v>
      </c>
      <c r="BY42" s="105">
        <v>5.5681692310576944E-2</v>
      </c>
      <c r="BZ42" s="105">
        <v>5.6314583061436704E-2</v>
      </c>
      <c r="CA42" s="105">
        <v>5.5409112904430062E-2</v>
      </c>
      <c r="CB42" s="105">
        <v>5.4993656796221105E-2</v>
      </c>
      <c r="CC42" s="105">
        <v>5.5650613550231279E-2</v>
      </c>
      <c r="CD42" s="105">
        <v>5.7102870111585366E-2</v>
      </c>
      <c r="CE42" s="105">
        <v>5.8615244746183043E-2</v>
      </c>
      <c r="CF42" s="105">
        <v>5.6480446663216305E-2</v>
      </c>
      <c r="CG42" s="105">
        <v>5.3697529514325222E-2</v>
      </c>
      <c r="CH42" s="105">
        <v>5.5403215369313322E-2</v>
      </c>
      <c r="CI42" s="105">
        <v>5.5368013026786608E-2</v>
      </c>
      <c r="CJ42" s="105">
        <v>5.1882950786534564E-2</v>
      </c>
      <c r="CK42" s="105">
        <v>5.5209505398893501E-2</v>
      </c>
      <c r="CL42" s="105">
        <v>5.0264786961840988E-2</v>
      </c>
      <c r="CM42" s="105">
        <v>5.843537267871058E-2</v>
      </c>
      <c r="CN42" s="105">
        <v>5.5318831967029004E-2</v>
      </c>
      <c r="CO42" s="105">
        <v>5.5940716488266908E-2</v>
      </c>
      <c r="CP42" s="105">
        <v>5.4946127784726816E-2</v>
      </c>
      <c r="CQ42" s="105">
        <v>5.3642695577158561E-2</v>
      </c>
      <c r="CR42" s="105">
        <v>5.6186719311415396E-2</v>
      </c>
      <c r="CS42" s="105">
        <v>5.7744627578187054E-2</v>
      </c>
      <c r="CT42" s="105">
        <v>5.7376855336733271E-2</v>
      </c>
      <c r="CU42" s="105">
        <v>5.7502852258882312E-2</v>
      </c>
      <c r="CV42" s="105">
        <v>5.3889931514092222E-2</v>
      </c>
      <c r="CW42" s="105">
        <v>5.239038235913962E-2</v>
      </c>
      <c r="CX42" s="105">
        <v>5.4588823830280582E-2</v>
      </c>
    </row>
    <row r="43" spans="1:102" s="23" customFormat="1">
      <c r="B43" s="56" t="s">
        <v>56</v>
      </c>
      <c r="C43" s="105">
        <v>9.8934407098231258E-2</v>
      </c>
      <c r="D43" s="105">
        <v>9.7762421469645547E-2</v>
      </c>
      <c r="E43" s="105">
        <v>9.5931882691195125E-2</v>
      </c>
      <c r="F43" s="105">
        <v>9.9794544299658935E-2</v>
      </c>
      <c r="G43" s="105">
        <v>0.1060017565155352</v>
      </c>
      <c r="H43" s="105">
        <v>0.1049662824755991</v>
      </c>
      <c r="I43" s="105">
        <v>0.10091769701411878</v>
      </c>
      <c r="J43" s="105">
        <v>0.10172195647010429</v>
      </c>
      <c r="K43" s="105">
        <v>0.10503779261091792</v>
      </c>
      <c r="L43" s="105">
        <v>9.9274904561969191E-2</v>
      </c>
      <c r="M43" s="105">
        <v>0.10285096509185747</v>
      </c>
      <c r="N43" s="105">
        <v>0.10104389838954084</v>
      </c>
      <c r="O43" s="105">
        <v>9.7179835240713663E-2</v>
      </c>
      <c r="P43" s="105">
        <v>9.5638746775640007E-2</v>
      </c>
      <c r="Q43" s="105">
        <v>0.10311527236264842</v>
      </c>
      <c r="R43" s="105">
        <v>0.1025326941047954</v>
      </c>
      <c r="S43" s="105">
        <v>9.8734804654666178E-2</v>
      </c>
      <c r="T43" s="105">
        <v>9.9200571121573433E-2</v>
      </c>
      <c r="U43" s="105">
        <v>0.10353378623732214</v>
      </c>
      <c r="V43" s="105">
        <v>0.10530592392044566</v>
      </c>
      <c r="W43" s="105">
        <v>0.10104067249655214</v>
      </c>
      <c r="X43" s="105">
        <v>0.10368396955774818</v>
      </c>
      <c r="Y43" s="105">
        <v>9.9341900861776744E-2</v>
      </c>
      <c r="Z43" s="105">
        <v>0.10070051376379312</v>
      </c>
      <c r="AA43" s="105">
        <v>0.10073627125070343</v>
      </c>
      <c r="AB43" s="105">
        <v>9.9513965046225811E-2</v>
      </c>
      <c r="AC43" s="105">
        <v>0.10111845451054689</v>
      </c>
      <c r="AD43" s="105">
        <v>9.3619631469921805E-2</v>
      </c>
      <c r="AE43" s="105">
        <v>0.10335189367460462</v>
      </c>
      <c r="AF43" s="105">
        <v>0.10137038471127617</v>
      </c>
      <c r="AG43" s="105">
        <v>9.9321654482611668E-2</v>
      </c>
      <c r="AH43" s="105">
        <v>0.10227762978051308</v>
      </c>
      <c r="AI43" s="105">
        <v>9.7453813591649854E-2</v>
      </c>
      <c r="AJ43" s="105">
        <v>9.7224059586365943E-2</v>
      </c>
      <c r="AK43" s="105">
        <v>9.1368194203981346E-2</v>
      </c>
      <c r="AL43" s="105">
        <v>9.9784104356029898E-2</v>
      </c>
      <c r="AM43" s="105">
        <v>9.1438002516810488E-2</v>
      </c>
      <c r="AN43" s="105">
        <v>0.10686002218127465</v>
      </c>
      <c r="AO43" s="105">
        <v>0.10602854171128662</v>
      </c>
      <c r="AP43" s="105">
        <v>0.10169327087999722</v>
      </c>
      <c r="AQ43" s="105">
        <v>9.7337667719866072E-2</v>
      </c>
      <c r="AR43" s="105">
        <v>9.8896131332039269E-2</v>
      </c>
      <c r="AS43" s="105">
        <v>0.10234276608728478</v>
      </c>
      <c r="AT43" s="105">
        <v>0.1035138788705172</v>
      </c>
      <c r="AU43" s="105">
        <v>0.10152757550673573</v>
      </c>
      <c r="AV43" s="105">
        <v>9.6973868810567201E-2</v>
      </c>
      <c r="AW43" s="105">
        <v>0.10685824875201078</v>
      </c>
      <c r="AX43" s="105">
        <v>9.7114205559970232E-2</v>
      </c>
      <c r="AY43" s="105">
        <v>0.10133238633956762</v>
      </c>
      <c r="AZ43" s="105">
        <v>0.10332605030568923</v>
      </c>
      <c r="BA43" s="105">
        <v>0.10782584650696331</v>
      </c>
      <c r="BB43" s="105">
        <v>8.9555520261657334E-2</v>
      </c>
      <c r="BC43" s="105">
        <v>0.10071152845215567</v>
      </c>
      <c r="BD43" s="105">
        <v>0.1063474873140042</v>
      </c>
      <c r="BE43" s="105">
        <v>0.10275443564871503</v>
      </c>
      <c r="BF43" s="105">
        <v>0.1005019735684041</v>
      </c>
      <c r="BG43" s="105">
        <v>9.3361808072438005E-2</v>
      </c>
      <c r="BH43" s="105">
        <v>0.1014873004266884</v>
      </c>
      <c r="BI43" s="105">
        <v>0.10820065378018832</v>
      </c>
      <c r="BJ43" s="105">
        <v>0.10219996306040684</v>
      </c>
      <c r="BK43" s="105">
        <v>0.10207783491108008</v>
      </c>
      <c r="BL43" s="105">
        <v>9.3450371867134174E-2</v>
      </c>
      <c r="BM43" s="105">
        <v>9.7118227936433155E-2</v>
      </c>
      <c r="BN43" s="105">
        <v>0.10274361980345233</v>
      </c>
      <c r="BO43" s="105">
        <v>0.10526651816644261</v>
      </c>
      <c r="BP43" s="105">
        <v>0.10126943571972834</v>
      </c>
      <c r="BQ43" s="105">
        <v>0.10032513880724477</v>
      </c>
      <c r="BR43" s="105">
        <v>0.10328415296955291</v>
      </c>
      <c r="BS43" s="105">
        <v>0.10477889684127201</v>
      </c>
      <c r="BT43" s="105">
        <v>9.9709652460278422E-2</v>
      </c>
      <c r="BU43" s="105">
        <v>9.6871063694845438E-2</v>
      </c>
      <c r="BV43" s="105">
        <v>0.1035727380405355</v>
      </c>
      <c r="BW43" s="105">
        <v>0.1010166421153514</v>
      </c>
      <c r="BX43" s="105">
        <v>8.969501981747488E-2</v>
      </c>
      <c r="BY43" s="105">
        <v>9.9355240706215445E-2</v>
      </c>
      <c r="BZ43" s="105">
        <v>9.9585939468906329E-2</v>
      </c>
      <c r="CA43" s="105">
        <v>0.10141036136973282</v>
      </c>
      <c r="CB43" s="105">
        <v>0.10531493783795949</v>
      </c>
      <c r="CC43" s="105">
        <v>9.9540543667582165E-2</v>
      </c>
      <c r="CD43" s="105">
        <v>0.10154360517583579</v>
      </c>
      <c r="CE43" s="105">
        <v>0.10595269084630446</v>
      </c>
      <c r="CF43" s="105">
        <v>9.6025749541827229E-2</v>
      </c>
      <c r="CG43" s="105">
        <v>0.10067026546819866</v>
      </c>
      <c r="CH43" s="105">
        <v>0.1019713026133723</v>
      </c>
      <c r="CI43" s="105">
        <v>0.10018742332312734</v>
      </c>
      <c r="CJ43" s="105">
        <v>9.7864065469765643E-2</v>
      </c>
      <c r="CK43" s="105">
        <v>9.9466022441127747E-2</v>
      </c>
      <c r="CL43" s="105">
        <v>9.953951329652215E-2</v>
      </c>
      <c r="CM43" s="105">
        <v>0.10645347043186448</v>
      </c>
      <c r="CN43" s="105">
        <v>8.8898443526995663E-2</v>
      </c>
      <c r="CO43" s="105">
        <v>0.1029931881411381</v>
      </c>
      <c r="CP43" s="105">
        <v>0.10299244501812926</v>
      </c>
      <c r="CQ43" s="105">
        <v>0.10268588994914601</v>
      </c>
      <c r="CR43" s="105">
        <v>0.10619342592012813</v>
      </c>
      <c r="CS43" s="105">
        <v>9.640010444735983E-2</v>
      </c>
      <c r="CT43" s="105">
        <v>9.4307307522286332E-2</v>
      </c>
      <c r="CU43" s="105">
        <v>0.10320404463464472</v>
      </c>
      <c r="CV43" s="105">
        <v>9.9529704233933064E-2</v>
      </c>
      <c r="CW43" s="105">
        <v>9.9889847757207412E-2</v>
      </c>
      <c r="CX43" s="105">
        <v>9.6959950026491534E-2</v>
      </c>
    </row>
    <row r="44" spans="1:102" s="106" customFormat="1">
      <c r="B44" s="109" t="s">
        <v>114</v>
      </c>
      <c r="C44" s="107">
        <v>0.48531933046146708</v>
      </c>
      <c r="D44" s="107">
        <v>0.48674453520683941</v>
      </c>
      <c r="E44" s="107">
        <v>0.48752328180888799</v>
      </c>
      <c r="F44" s="107">
        <v>0.48807476357134283</v>
      </c>
      <c r="G44" s="107">
        <v>0.48802192755188761</v>
      </c>
      <c r="H44" s="107">
        <v>0.48869481508743667</v>
      </c>
      <c r="I44" s="107">
        <v>0.48850999832403103</v>
      </c>
      <c r="J44" s="107">
        <v>0.49003116282739084</v>
      </c>
      <c r="K44" s="107">
        <v>0.49030383710212411</v>
      </c>
      <c r="L44" s="107">
        <v>0.4905655944056953</v>
      </c>
      <c r="M44" s="107">
        <v>0.49065600795533576</v>
      </c>
      <c r="N44" s="107">
        <v>0.4906966556376729</v>
      </c>
      <c r="O44" s="107">
        <v>0.49051901671344084</v>
      </c>
      <c r="P44" s="107">
        <v>0.49059732089384228</v>
      </c>
      <c r="Q44" s="107">
        <v>0.49073136809303075</v>
      </c>
      <c r="R44" s="107">
        <v>0.49064554001568428</v>
      </c>
      <c r="S44" s="107">
        <v>0.49097171926677013</v>
      </c>
      <c r="T44" s="107">
        <v>0.49148182392947659</v>
      </c>
      <c r="U44" s="107">
        <v>0.49171456832176202</v>
      </c>
      <c r="V44" s="107">
        <v>0.49191758410125375</v>
      </c>
      <c r="W44" s="107">
        <v>0.49171479647646382</v>
      </c>
      <c r="X44" s="107">
        <v>0.49193807602238876</v>
      </c>
      <c r="Y44" s="107">
        <v>0.49140892607204778</v>
      </c>
      <c r="Z44" s="107">
        <v>0.49200323759555376</v>
      </c>
      <c r="AA44" s="107">
        <v>0.49220766010900019</v>
      </c>
      <c r="AB44" s="107">
        <v>0.49251499382032204</v>
      </c>
      <c r="AC44" s="107">
        <v>0.49241517075088354</v>
      </c>
      <c r="AD44" s="107">
        <v>0.49280867595863376</v>
      </c>
      <c r="AE44" s="107">
        <v>0.4931348890419337</v>
      </c>
      <c r="AF44" s="107">
        <v>0.49319898702169829</v>
      </c>
      <c r="AG44" s="107">
        <v>0.49348484596789871</v>
      </c>
      <c r="AH44" s="107">
        <v>0.49348100654954258</v>
      </c>
      <c r="AI44" s="107">
        <v>0.49368685137035651</v>
      </c>
      <c r="AJ44" s="107">
        <v>0.49433330038428575</v>
      </c>
      <c r="AK44" s="107">
        <v>0.49440969079364727</v>
      </c>
      <c r="AL44" s="107">
        <v>0.49412399615922381</v>
      </c>
      <c r="AM44" s="107">
        <v>0.49446210911879235</v>
      </c>
      <c r="AN44" s="107">
        <v>0.4942752469248563</v>
      </c>
      <c r="AO44" s="107">
        <v>0.49441036266979882</v>
      </c>
      <c r="AP44" s="107">
        <v>0.49422210919689241</v>
      </c>
      <c r="AQ44" s="107">
        <v>0.49466780490832551</v>
      </c>
      <c r="AR44" s="107">
        <v>0.49422298888559757</v>
      </c>
      <c r="AS44" s="107">
        <v>0.49465606958896552</v>
      </c>
      <c r="AT44" s="107">
        <v>0.49497405184681287</v>
      </c>
      <c r="AU44" s="107">
        <v>0.49507970109873806</v>
      </c>
      <c r="AV44" s="107">
        <v>0.49489370728675075</v>
      </c>
      <c r="AW44" s="107">
        <v>0.49513692466173115</v>
      </c>
      <c r="AX44" s="107">
        <v>0.49504970974112561</v>
      </c>
      <c r="AY44" s="107">
        <v>0.49506335452103067</v>
      </c>
      <c r="AZ44" s="107">
        <v>0.49526057511423216</v>
      </c>
      <c r="BA44" s="107">
        <v>0.49549574005722358</v>
      </c>
      <c r="BB44" s="107">
        <v>0.49527097674607218</v>
      </c>
      <c r="BC44" s="107">
        <v>0.49553109787183913</v>
      </c>
      <c r="BD44" s="107">
        <v>0.49569523622483569</v>
      </c>
      <c r="BE44" s="107">
        <v>0.49567687257696197</v>
      </c>
      <c r="BF44" s="107">
        <v>0.49544259691736214</v>
      </c>
      <c r="BG44" s="107">
        <v>0.49570859232904696</v>
      </c>
      <c r="BH44" s="107">
        <v>0.49603833563737487</v>
      </c>
      <c r="BI44" s="107">
        <v>0.49614052776528073</v>
      </c>
      <c r="BJ44" s="107">
        <v>0.49586302053008446</v>
      </c>
      <c r="BK44" s="107">
        <v>0.49593195131567847</v>
      </c>
      <c r="BL44" s="107">
        <v>0.49629289595319043</v>
      </c>
      <c r="BM44" s="107">
        <v>0.49626107751724591</v>
      </c>
      <c r="BN44" s="107">
        <v>0.49639989084591329</v>
      </c>
      <c r="BO44" s="107">
        <v>0.49643228354039254</v>
      </c>
      <c r="BP44" s="107">
        <v>0.49642833173735457</v>
      </c>
      <c r="BQ44" s="107">
        <v>0.4966990938485607</v>
      </c>
      <c r="BR44" s="107">
        <v>0.49693324796668309</v>
      </c>
      <c r="BS44" s="107">
        <v>0.49691618242347219</v>
      </c>
      <c r="BT44" s="107">
        <v>0.49696213190033145</v>
      </c>
      <c r="BU44" s="107">
        <v>0.49696063467147111</v>
      </c>
      <c r="BV44" s="107">
        <v>0.49702352542909245</v>
      </c>
      <c r="BW44" s="107">
        <v>0.4970792935672082</v>
      </c>
      <c r="BX44" s="107">
        <v>0.49722812118424858</v>
      </c>
      <c r="BY44" s="107">
        <v>0.49705770203663069</v>
      </c>
      <c r="BZ44" s="107">
        <v>0.49722501851763501</v>
      </c>
      <c r="CA44" s="107">
        <v>0.49719667691538799</v>
      </c>
      <c r="CB44" s="107">
        <v>0.49721935609155832</v>
      </c>
      <c r="CC44" s="107">
        <v>0.49728717647595461</v>
      </c>
      <c r="CD44" s="107">
        <v>0.49744020832713559</v>
      </c>
      <c r="CE44" s="107">
        <v>0.49751505470298923</v>
      </c>
      <c r="CF44" s="107">
        <v>0.49753951859094581</v>
      </c>
      <c r="CG44" s="107">
        <v>0.49770245622876691</v>
      </c>
      <c r="CH44" s="107">
        <v>0.49791787950381627</v>
      </c>
      <c r="CI44" s="107">
        <v>0.49793406819960573</v>
      </c>
      <c r="CJ44" s="107">
        <v>0.49788330441973855</v>
      </c>
      <c r="CK44" s="107">
        <v>0.49813770761512854</v>
      </c>
      <c r="CL44" s="107">
        <v>0.49810190387542813</v>
      </c>
      <c r="CM44" s="107">
        <v>0.49846776568608753</v>
      </c>
      <c r="CN44" s="107">
        <v>0.49840184052327957</v>
      </c>
      <c r="CO44" s="107">
        <v>0.49846545994595526</v>
      </c>
      <c r="CP44" s="107">
        <v>0.49865047331410373</v>
      </c>
      <c r="CQ44" s="107">
        <v>0.49899444811623356</v>
      </c>
      <c r="CR44" s="107">
        <v>0.49911475240586989</v>
      </c>
      <c r="CS44" s="107">
        <v>0.49916208624203312</v>
      </c>
      <c r="CT44" s="107">
        <v>0.49926990956445311</v>
      </c>
      <c r="CU44" s="107">
        <v>0.49932473782947995</v>
      </c>
      <c r="CV44" s="107">
        <v>0.49932282304650782</v>
      </c>
      <c r="CW44" s="107">
        <v>0.49963609204233927</v>
      </c>
      <c r="CX44" s="107">
        <v>0.49978959884709906</v>
      </c>
    </row>
    <row r="45" spans="1:102" s="104" customFormat="1">
      <c r="A45" s="88" t="str">
        <f>Parameters!A41</f>
        <v>Groei recessie</v>
      </c>
      <c r="B45" s="102" t="s">
        <v>29</v>
      </c>
      <c r="C45" s="103">
        <v>9.3437584912604635E-3</v>
      </c>
      <c r="D45" s="103">
        <v>4.0427336535305324E-3</v>
      </c>
      <c r="E45" s="103">
        <v>3.9302807982178906E-3</v>
      </c>
      <c r="F45" s="103">
        <v>1.9691350532794619E-3</v>
      </c>
      <c r="G45" s="103">
        <v>6.9775297863335977E-3</v>
      </c>
      <c r="H45" s="103">
        <v>9.9592344639888516E-3</v>
      </c>
      <c r="I45" s="103">
        <v>1.5851369141718008E-3</v>
      </c>
      <c r="J45" s="103">
        <v>8.3421072427432592E-3</v>
      </c>
      <c r="K45" s="103">
        <v>5.9599272253611155E-3</v>
      </c>
      <c r="L45" s="103">
        <v>5.789734771218507E-3</v>
      </c>
      <c r="M45" s="103">
        <v>8.6880289469636642E-3</v>
      </c>
      <c r="N45" s="103">
        <v>9.4691041959071316E-3</v>
      </c>
      <c r="O45" s="103">
        <v>8.1492752021172111E-3</v>
      </c>
      <c r="P45" s="103">
        <v>4.7174166890051258E-3</v>
      </c>
      <c r="Q45" s="103">
        <v>4.9870075853883679E-3</v>
      </c>
      <c r="R45" s="103">
        <v>9.7469434225851484E-3</v>
      </c>
      <c r="S45" s="103">
        <v>8.8716413595169956E-3</v>
      </c>
      <c r="T45" s="103">
        <v>-1.4311107206506021E-5</v>
      </c>
      <c r="U45" s="103">
        <v>4.3297082552831538E-3</v>
      </c>
      <c r="V45" s="103">
        <v>5.0523135768760861E-3</v>
      </c>
      <c r="W45" s="103">
        <v>8.5879409082664643E-3</v>
      </c>
      <c r="X45" s="103">
        <v>2.547122598371818E-3</v>
      </c>
      <c r="Y45" s="103">
        <v>7.303479406288579E-3</v>
      </c>
      <c r="Z45" s="103">
        <v>8.1198608643279517E-4</v>
      </c>
      <c r="AA45" s="103">
        <v>3.5733133900011801E-3</v>
      </c>
      <c r="AB45" s="103">
        <v>7.2176903987519162E-4</v>
      </c>
      <c r="AC45" s="103">
        <v>8.0675970227823725E-3</v>
      </c>
      <c r="AD45" s="103">
        <v>4.5704865044338527E-3</v>
      </c>
      <c r="AE45" s="103">
        <v>2.6540769913326284E-3</v>
      </c>
      <c r="AF45" s="103">
        <v>2.0021303643821963E-3</v>
      </c>
      <c r="AG45" s="103">
        <v>6.7031363266002279E-3</v>
      </c>
      <c r="AH45" s="103">
        <v>5.7019214185073091E-3</v>
      </c>
      <c r="AI45" s="103">
        <v>2.6553245298211697E-3</v>
      </c>
      <c r="AJ45" s="103">
        <v>1.1555736039456583E-3</v>
      </c>
      <c r="AK45" s="103">
        <v>3.409696669069102E-3</v>
      </c>
      <c r="AL45" s="103">
        <v>1.9126675865464295E-4</v>
      </c>
      <c r="AM45" s="103">
        <v>5.353427565853758E-4</v>
      </c>
      <c r="AN45" s="103">
        <v>7.81237287728773E-3</v>
      </c>
      <c r="AO45" s="103">
        <v>9.3565691500960089E-3</v>
      </c>
      <c r="AP45" s="103">
        <v>4.5974233154458333E-3</v>
      </c>
      <c r="AQ45" s="103">
        <v>1.5743727802524522E-3</v>
      </c>
      <c r="AR45" s="103">
        <v>9.2289735582568155E-3</v>
      </c>
      <c r="AS45" s="103">
        <v>7.409129831005939E-3</v>
      </c>
      <c r="AT45" s="103">
        <v>1.1792684205999604E-2</v>
      </c>
      <c r="AU45" s="103">
        <v>3.4257051906976996E-3</v>
      </c>
      <c r="AV45" s="103">
        <v>1.4933573840079227E-3</v>
      </c>
      <c r="AW45" s="103">
        <v>5.2334790481924735E-3</v>
      </c>
      <c r="AX45" s="103">
        <v>5.9734432855296799E-3</v>
      </c>
      <c r="AY45" s="103">
        <v>5.6954300273184101E-3</v>
      </c>
      <c r="AZ45" s="103">
        <v>1.1991699266542831E-2</v>
      </c>
      <c r="BA45" s="103">
        <v>1.2465772781021562E-2</v>
      </c>
      <c r="BB45" s="103">
        <v>5.6135649574969694E-3</v>
      </c>
      <c r="BC45" s="103">
        <v>2.430295256308071E-3</v>
      </c>
      <c r="BD45" s="103">
        <v>7.0309548464789779E-3</v>
      </c>
      <c r="BE45" s="103">
        <v>2.9509292711137136E-3</v>
      </c>
      <c r="BF45" s="103">
        <v>7.3073849927518123E-3</v>
      </c>
      <c r="BG45" s="103">
        <v>5.8290358987428178E-3</v>
      </c>
      <c r="BH45" s="103">
        <v>1.2345487289922913E-2</v>
      </c>
      <c r="BI45" s="103">
        <v>6.4219722233833914E-3</v>
      </c>
      <c r="BJ45" s="103">
        <v>5.405157671513703E-3</v>
      </c>
      <c r="BK45" s="103">
        <v>3.9589889315241817E-3</v>
      </c>
      <c r="BL45" s="103">
        <v>3.7961459000662983E-3</v>
      </c>
      <c r="BM45" s="103">
        <v>3.0691079056298243E-3</v>
      </c>
      <c r="BN45" s="103">
        <v>1.0609538590258899E-2</v>
      </c>
      <c r="BO45" s="103">
        <v>5.5659615460714245E-3</v>
      </c>
      <c r="BP45" s="103">
        <v>6.4272965202036925E-3</v>
      </c>
      <c r="BQ45" s="103">
        <v>1.8291589313004051E-3</v>
      </c>
      <c r="BR45" s="103">
        <v>6.5284910037703833E-3</v>
      </c>
      <c r="BS45" s="103">
        <v>4.0045974896695839E-3</v>
      </c>
      <c r="BT45" s="103">
        <v>-6.2943714197064384E-4</v>
      </c>
      <c r="BU45" s="103">
        <v>2.5603996088711571E-3</v>
      </c>
      <c r="BV45" s="103">
        <v>6.6564751253912436E-3</v>
      </c>
      <c r="BW45" s="103">
        <v>3.18204885034035E-3</v>
      </c>
      <c r="BX45" s="103">
        <v>7.9855622132022543E-3</v>
      </c>
      <c r="BY45" s="103">
        <v>8.2816442994393669E-3</v>
      </c>
      <c r="BZ45" s="103">
        <v>2.6677808026964495E-3</v>
      </c>
      <c r="CA45" s="103">
        <v>4.1211908515154149E-3</v>
      </c>
      <c r="CB45" s="103">
        <v>7.8966592307877226E-3</v>
      </c>
      <c r="CC45" s="103">
        <v>-2.9489801624080878E-5</v>
      </c>
      <c r="CD45" s="103">
        <v>1.3042031242736346E-2</v>
      </c>
      <c r="CE45" s="103">
        <v>4.5631957696332E-3</v>
      </c>
      <c r="CF45" s="103">
        <v>6.0166657782585965E-3</v>
      </c>
      <c r="CG45" s="103">
        <v>8.8675813967462394E-3</v>
      </c>
      <c r="CH45" s="103">
        <v>1.4910185095298402E-3</v>
      </c>
      <c r="CI45" s="103">
        <v>5.0126178142270569E-3</v>
      </c>
      <c r="CJ45" s="103">
        <v>5.6122245282713848E-3</v>
      </c>
      <c r="CK45" s="103">
        <v>2.0283666032950738E-3</v>
      </c>
      <c r="CL45" s="103">
        <v>5.6164732921561876E-3</v>
      </c>
      <c r="CM45" s="103">
        <v>6.5175520605284419E-3</v>
      </c>
      <c r="CN45" s="103">
        <v>5.1543391184418787E-3</v>
      </c>
      <c r="CO45" s="103">
        <v>1.2517929962915394E-2</v>
      </c>
      <c r="CP45" s="103">
        <v>4.5009555345319795E-3</v>
      </c>
      <c r="CQ45" s="103">
        <v>3.9239381594994502E-3</v>
      </c>
      <c r="CR45" s="103">
        <v>8.0887106776693085E-3</v>
      </c>
      <c r="CS45" s="103">
        <v>1.9001133026343656E-3</v>
      </c>
      <c r="CT45" s="103">
        <v>2.6411009903932001E-3</v>
      </c>
      <c r="CU45" s="103">
        <v>8.8212271969636095E-3</v>
      </c>
      <c r="CV45" s="103">
        <v>2.0897622630103056E-3</v>
      </c>
      <c r="CW45" s="103">
        <v>8.6633379243201639E-3</v>
      </c>
      <c r="CX45" s="103">
        <v>1.0043474071887439E-2</v>
      </c>
    </row>
    <row r="46" spans="1:102" s="23" customFormat="1">
      <c r="B46" s="14" t="s">
        <v>30</v>
      </c>
      <c r="C46" s="105">
        <v>4.604819913112583E-2</v>
      </c>
      <c r="D46" s="105">
        <v>4.0320001822254176E-2</v>
      </c>
      <c r="E46" s="105">
        <v>3.9501446452187866E-2</v>
      </c>
      <c r="F46" s="105">
        <v>4.0954932593684712E-2</v>
      </c>
      <c r="G46" s="105">
        <v>4.3032194585802333E-2</v>
      </c>
      <c r="H46" s="105">
        <v>4.3468402818443191E-2</v>
      </c>
      <c r="I46" s="105">
        <v>4.1953354243810158E-2</v>
      </c>
      <c r="J46" s="105">
        <v>4.1047417466290835E-2</v>
      </c>
      <c r="K46" s="105">
        <v>4.1487590966481101E-2</v>
      </c>
      <c r="L46" s="105">
        <v>4.4114726381451273E-2</v>
      </c>
      <c r="M46" s="105">
        <v>4.552510113162947E-2</v>
      </c>
      <c r="N46" s="105">
        <v>4.4654951271236559E-2</v>
      </c>
      <c r="O46" s="105">
        <v>4.3852151038013536E-2</v>
      </c>
      <c r="P46" s="105">
        <v>3.9116850911052582E-2</v>
      </c>
      <c r="Q46" s="105">
        <v>4.4611864453032883E-2</v>
      </c>
      <c r="R46" s="105">
        <v>4.2644504879379964E-2</v>
      </c>
      <c r="S46" s="105">
        <v>4.3314742360830744E-2</v>
      </c>
      <c r="T46" s="105">
        <v>4.0764694809303136E-2</v>
      </c>
      <c r="U46" s="105">
        <v>3.8868741102717819E-2</v>
      </c>
      <c r="V46" s="105">
        <v>3.9123541118643058E-2</v>
      </c>
      <c r="W46" s="105">
        <v>3.8151650405666634E-2</v>
      </c>
      <c r="X46" s="105">
        <v>3.9435874264783843E-2</v>
      </c>
      <c r="Y46" s="105">
        <v>4.19034376594246E-2</v>
      </c>
      <c r="Z46" s="105">
        <v>3.9852825523960606E-2</v>
      </c>
      <c r="AA46" s="105">
        <v>4.437536682719799E-2</v>
      </c>
      <c r="AB46" s="105">
        <v>4.1171369340490434E-2</v>
      </c>
      <c r="AC46" s="105">
        <v>4.2504183522234118E-2</v>
      </c>
      <c r="AD46" s="105">
        <v>4.4541324828354906E-2</v>
      </c>
      <c r="AE46" s="105">
        <v>5.2241886027914033E-2</v>
      </c>
      <c r="AF46" s="105">
        <v>3.9089456080850647E-2</v>
      </c>
      <c r="AG46" s="105">
        <v>3.847961927783411E-2</v>
      </c>
      <c r="AH46" s="105">
        <v>4.2532337391567074E-2</v>
      </c>
      <c r="AI46" s="105">
        <v>4.1330426983360077E-2</v>
      </c>
      <c r="AJ46" s="105">
        <v>4.2402184022627694E-2</v>
      </c>
      <c r="AK46" s="105">
        <v>4.0348026174410613E-2</v>
      </c>
      <c r="AL46" s="105">
        <v>3.9616532936183751E-2</v>
      </c>
      <c r="AM46" s="105">
        <v>4.1371668290623956E-2</v>
      </c>
      <c r="AN46" s="105">
        <v>4.0413576785824884E-2</v>
      </c>
      <c r="AO46" s="105">
        <v>4.3306992146712936E-2</v>
      </c>
      <c r="AP46" s="105">
        <v>3.8407720530168769E-2</v>
      </c>
      <c r="AQ46" s="105">
        <v>4.6394976856750918E-2</v>
      </c>
      <c r="AR46" s="105">
        <v>4.078447584549906E-2</v>
      </c>
      <c r="AS46" s="105">
        <v>3.8107247193686578E-2</v>
      </c>
      <c r="AT46" s="105">
        <v>4.2705589800870525E-2</v>
      </c>
      <c r="AU46" s="105">
        <v>4.3945996832327763E-2</v>
      </c>
      <c r="AV46" s="105">
        <v>3.8729907090664283E-2</v>
      </c>
      <c r="AW46" s="105">
        <v>4.4646828055439486E-2</v>
      </c>
      <c r="AX46" s="105">
        <v>3.7866615195607814E-2</v>
      </c>
      <c r="AY46" s="105">
        <v>4.1925653000181196E-2</v>
      </c>
      <c r="AZ46" s="105">
        <v>4.1154705599649982E-2</v>
      </c>
      <c r="BA46" s="105">
        <v>4.2592221891034399E-2</v>
      </c>
      <c r="BB46" s="105">
        <v>4.3686321770067399E-2</v>
      </c>
      <c r="BC46" s="105">
        <v>3.9400264029778184E-2</v>
      </c>
      <c r="BD46" s="105">
        <v>4.6153259907757635E-2</v>
      </c>
      <c r="BE46" s="105">
        <v>4.4833613609098842E-2</v>
      </c>
      <c r="BF46" s="105">
        <v>4.0811943660142416E-2</v>
      </c>
      <c r="BG46" s="105">
        <v>4.0823808744893955E-2</v>
      </c>
      <c r="BH46" s="105">
        <v>4.1081898327224441E-2</v>
      </c>
      <c r="BI46" s="105">
        <v>4.6353858813304137E-2</v>
      </c>
      <c r="BJ46" s="105">
        <v>4.2035188501763188E-2</v>
      </c>
      <c r="BK46" s="105">
        <v>3.9343052197669884E-2</v>
      </c>
      <c r="BL46" s="105">
        <v>4.0301958388076209E-2</v>
      </c>
      <c r="BM46" s="105">
        <v>3.9134333963301925E-2</v>
      </c>
      <c r="BN46" s="105">
        <v>4.0692729776138928E-2</v>
      </c>
      <c r="BO46" s="105">
        <v>4.4489894752412378E-2</v>
      </c>
      <c r="BP46" s="105">
        <v>4.2903442384187279E-2</v>
      </c>
      <c r="BQ46" s="105">
        <v>3.7954572012817468E-2</v>
      </c>
      <c r="BR46" s="105">
        <v>4.4616182182950277E-2</v>
      </c>
      <c r="BS46" s="105">
        <v>4.7456049962920646E-2</v>
      </c>
      <c r="BT46" s="105">
        <v>4.1998767832297043E-2</v>
      </c>
      <c r="BU46" s="105">
        <v>3.9541473027182042E-2</v>
      </c>
      <c r="BV46" s="105">
        <v>3.9239067134225439E-2</v>
      </c>
      <c r="BW46" s="105">
        <v>3.869912492622523E-2</v>
      </c>
      <c r="BX46" s="105">
        <v>4.1874079121441289E-2</v>
      </c>
      <c r="BY46" s="105">
        <v>4.1105407980053431E-2</v>
      </c>
      <c r="BZ46" s="105">
        <v>3.9507821736915964E-2</v>
      </c>
      <c r="CA46" s="105">
        <v>4.5854867789044657E-2</v>
      </c>
      <c r="CB46" s="105">
        <v>3.9969650281124702E-2</v>
      </c>
      <c r="CC46" s="105">
        <v>3.9651510296838464E-2</v>
      </c>
      <c r="CD46" s="105">
        <v>4.1432955211933464E-2</v>
      </c>
      <c r="CE46" s="105">
        <v>4.7627704443395175E-2</v>
      </c>
      <c r="CF46" s="105">
        <v>4.2207042297460168E-2</v>
      </c>
      <c r="CG46" s="105">
        <v>3.9608434288768909E-2</v>
      </c>
      <c r="CH46" s="105">
        <v>4.5435837362300245E-2</v>
      </c>
      <c r="CI46" s="105">
        <v>3.8245632584654861E-2</v>
      </c>
      <c r="CJ46" s="105">
        <v>3.6638134493870711E-2</v>
      </c>
      <c r="CK46" s="105">
        <v>3.9153102974936412E-2</v>
      </c>
      <c r="CL46" s="105">
        <v>3.8477938577294993E-2</v>
      </c>
      <c r="CM46" s="105">
        <v>4.8051651054187593E-2</v>
      </c>
      <c r="CN46" s="105">
        <v>4.1511040641545364E-2</v>
      </c>
      <c r="CO46" s="105">
        <v>4.0685641483513023E-2</v>
      </c>
      <c r="CP46" s="105">
        <v>4.4364696062804292E-2</v>
      </c>
      <c r="CQ46" s="105">
        <v>3.6318094029792712E-2</v>
      </c>
      <c r="CR46" s="105">
        <v>4.3132734286703202E-2</v>
      </c>
      <c r="CS46" s="105">
        <v>4.8222053499077974E-2</v>
      </c>
      <c r="CT46" s="105">
        <v>4.0221267257082555E-2</v>
      </c>
      <c r="CU46" s="105">
        <v>4.205123989427613E-2</v>
      </c>
      <c r="CV46" s="105">
        <v>3.868134282622783E-2</v>
      </c>
      <c r="CW46" s="105">
        <v>3.9819199820374587E-2</v>
      </c>
      <c r="CX46" s="105">
        <v>3.8943390627853687E-2</v>
      </c>
    </row>
    <row r="47" spans="1:102" s="23" customFormat="1">
      <c r="B47" s="56" t="s">
        <v>56</v>
      </c>
      <c r="C47" s="105">
        <v>8.1753193986804404E-2</v>
      </c>
      <c r="D47" s="105">
        <v>7.7360000561749284E-2</v>
      </c>
      <c r="E47" s="105">
        <v>7.4489815412577848E-2</v>
      </c>
      <c r="F47" s="105">
        <v>7.6182839790213619E-2</v>
      </c>
      <c r="G47" s="105">
        <v>8.6080742617516415E-2</v>
      </c>
      <c r="H47" s="105">
        <v>8.6678074131367203E-2</v>
      </c>
      <c r="I47" s="105">
        <v>8.0128923501732979E-2</v>
      </c>
      <c r="J47" s="105">
        <v>8.2445526868825836E-2</v>
      </c>
      <c r="K47" s="105">
        <v>8.4805867788248501E-2</v>
      </c>
      <c r="L47" s="105">
        <v>8.3318851178155753E-2</v>
      </c>
      <c r="M47" s="105">
        <v>8.6599993184435953E-2</v>
      </c>
      <c r="N47" s="105">
        <v>8.2285843658753355E-2</v>
      </c>
      <c r="O47" s="105">
        <v>8.0842034147189101E-2</v>
      </c>
      <c r="P47" s="105">
        <v>7.3987682335873384E-2</v>
      </c>
      <c r="Q47" s="105">
        <v>8.3278879507887635E-2</v>
      </c>
      <c r="R47" s="105">
        <v>8.3906882182306186E-2</v>
      </c>
      <c r="S47" s="105">
        <v>8.0846394817722336E-2</v>
      </c>
      <c r="T47" s="105">
        <v>7.5583095988060706E-2</v>
      </c>
      <c r="U47" s="105">
        <v>8.0009371897293971E-2</v>
      </c>
      <c r="V47" s="105">
        <v>8.234210496322017E-2</v>
      </c>
      <c r="W47" s="105">
        <v>7.9744731098452301E-2</v>
      </c>
      <c r="X47" s="105">
        <v>8.006400756818724E-2</v>
      </c>
      <c r="Y47" s="105">
        <v>8.1912207834546363E-2</v>
      </c>
      <c r="Z47" s="105">
        <v>7.6787566412763353E-2</v>
      </c>
      <c r="AA47" s="105">
        <v>8.3249900942384575E-2</v>
      </c>
      <c r="AB47" s="105">
        <v>7.5640781697336762E-2</v>
      </c>
      <c r="AC47" s="105">
        <v>8.4432538680384403E-2</v>
      </c>
      <c r="AD47" s="105">
        <v>7.9003591916459906E-2</v>
      </c>
      <c r="AE47" s="105">
        <v>9.108990894622776E-2</v>
      </c>
      <c r="AF47" s="105">
        <v>7.7412279311845564E-2</v>
      </c>
      <c r="AG47" s="105">
        <v>7.8542743909203835E-2</v>
      </c>
      <c r="AH47" s="105">
        <v>8.3222728648304697E-2</v>
      </c>
      <c r="AI47" s="105">
        <v>7.7493946647170117E-2</v>
      </c>
      <c r="AJ47" s="105">
        <v>7.7767831698634979E-2</v>
      </c>
      <c r="AK47" s="105">
        <v>7.1572012176311373E-2</v>
      </c>
      <c r="AL47" s="105">
        <v>7.5891823043892359E-2</v>
      </c>
      <c r="AM47" s="105">
        <v>6.9574009034168202E-2</v>
      </c>
      <c r="AN47" s="105">
        <v>8.7452638477862055E-2</v>
      </c>
      <c r="AO47" s="105">
        <v>8.8844531387784462E-2</v>
      </c>
      <c r="AP47" s="105">
        <v>8.0891097252154973E-2</v>
      </c>
      <c r="AQ47" s="105">
        <v>8.2606665441500041E-2</v>
      </c>
      <c r="AR47" s="105">
        <v>8.1075050741051966E-2</v>
      </c>
      <c r="AS47" s="105">
        <v>8.0510848550455122E-2</v>
      </c>
      <c r="AT47" s="105">
        <v>8.5145332842332333E-2</v>
      </c>
      <c r="AU47" s="105">
        <v>8.4349277188013994E-2</v>
      </c>
      <c r="AV47" s="105">
        <v>7.417281991821513E-2</v>
      </c>
      <c r="AW47" s="105">
        <v>8.8309874119486792E-2</v>
      </c>
      <c r="AX47" s="105">
        <v>7.4834453425129621E-2</v>
      </c>
      <c r="AY47" s="105">
        <v>8.375121948457051E-2</v>
      </c>
      <c r="AZ47" s="105">
        <v>8.4820958473839997E-2</v>
      </c>
      <c r="BA47" s="105">
        <v>8.9809390203922868E-2</v>
      </c>
      <c r="BB47" s="105">
        <v>7.4090835346862075E-2</v>
      </c>
      <c r="BC47" s="105">
        <v>7.7094607971339768E-2</v>
      </c>
      <c r="BD47" s="105">
        <v>9.0871684371901407E-2</v>
      </c>
      <c r="BE47" s="105">
        <v>8.6116639137654494E-2</v>
      </c>
      <c r="BF47" s="105">
        <v>8.2456943995406581E-2</v>
      </c>
      <c r="BG47" s="105">
        <v>7.6445044905208148E-2</v>
      </c>
      <c r="BH47" s="105">
        <v>8.4013134403033499E-2</v>
      </c>
      <c r="BI47" s="105">
        <v>9.1694912962054315E-2</v>
      </c>
      <c r="BJ47" s="105">
        <v>8.4630277023082637E-2</v>
      </c>
      <c r="BK47" s="105">
        <v>8.0570728903389427E-2</v>
      </c>
      <c r="BL47" s="105">
        <v>7.301788952792046E-2</v>
      </c>
      <c r="BM47" s="105">
        <v>7.6348180721003647E-2</v>
      </c>
      <c r="BN47" s="105">
        <v>8.4958086023302792E-2</v>
      </c>
      <c r="BO47" s="105">
        <v>8.913483552640443E-2</v>
      </c>
      <c r="BP47" s="105">
        <v>8.5494017014978829E-2</v>
      </c>
      <c r="BQ47" s="105">
        <v>7.6888568805903348E-2</v>
      </c>
      <c r="BR47" s="105">
        <v>8.5689651887027415E-2</v>
      </c>
      <c r="BS47" s="105">
        <v>8.9849526476992514E-2</v>
      </c>
      <c r="BT47" s="105">
        <v>7.9453760806061952E-2</v>
      </c>
      <c r="BU47" s="105">
        <v>7.5384762503436162E-2</v>
      </c>
      <c r="BV47" s="105">
        <v>8.4240236326288367E-2</v>
      </c>
      <c r="BW47" s="105">
        <v>7.8900995130813209E-2</v>
      </c>
      <c r="BX47" s="105">
        <v>7.4043959856095048E-2</v>
      </c>
      <c r="BY47" s="105">
        <v>8.1812965652546102E-2</v>
      </c>
      <c r="BZ47" s="105">
        <v>7.8568127218640579E-2</v>
      </c>
      <c r="CA47" s="105">
        <v>8.6963495152982268E-2</v>
      </c>
      <c r="CB47" s="105">
        <v>8.6357951068754948E-2</v>
      </c>
      <c r="CC47" s="105">
        <v>7.5358753823427646E-2</v>
      </c>
      <c r="CD47" s="105">
        <v>8.4369935770458052E-2</v>
      </c>
      <c r="CE47" s="105">
        <v>8.9583386889468597E-2</v>
      </c>
      <c r="CF47" s="105">
        <v>7.838710118224794E-2</v>
      </c>
      <c r="CG47" s="105">
        <v>8.2298014472922246E-2</v>
      </c>
      <c r="CH47" s="105">
        <v>8.6521851023018376E-2</v>
      </c>
      <c r="CI47" s="105">
        <v>8.0208070375143603E-2</v>
      </c>
      <c r="CJ47" s="105">
        <v>7.8044071928587477E-2</v>
      </c>
      <c r="CK47" s="105">
        <v>7.9136260048441862E-2</v>
      </c>
      <c r="CL47" s="105">
        <v>8.1128096544240816E-2</v>
      </c>
      <c r="CM47" s="105">
        <v>9.2496225334630755E-2</v>
      </c>
      <c r="CN47" s="105">
        <v>7.258453706662911E-2</v>
      </c>
      <c r="CO47" s="105">
        <v>8.5312088998710872E-2</v>
      </c>
      <c r="CP47" s="105">
        <v>8.6746979341205441E-2</v>
      </c>
      <c r="CQ47" s="105">
        <v>8.0585489568065147E-2</v>
      </c>
      <c r="CR47" s="105">
        <v>8.9818373003580088E-2</v>
      </c>
      <c r="CS47" s="105">
        <v>8.4127218475080132E-2</v>
      </c>
      <c r="CT47" s="105">
        <v>7.5110759198250304E-2</v>
      </c>
      <c r="CU47" s="105">
        <v>8.4835969569106592E-2</v>
      </c>
      <c r="CV47" s="105">
        <v>7.7687992102039499E-2</v>
      </c>
      <c r="CW47" s="105">
        <v>8.2076444569779708E-2</v>
      </c>
      <c r="CX47" s="105">
        <v>7.9333201165920547E-2</v>
      </c>
    </row>
    <row r="48" spans="1:102" s="23" customFormat="1">
      <c r="A48" s="106"/>
      <c r="B48" s="56" t="s">
        <v>114</v>
      </c>
      <c r="C48" s="105">
        <v>0.50568520870188227</v>
      </c>
      <c r="D48" s="105">
        <v>0.55872982856704756</v>
      </c>
      <c r="E48" s="105">
        <v>0.56106035804462573</v>
      </c>
      <c r="F48" s="105">
        <v>0.57773025513310872</v>
      </c>
      <c r="G48" s="105">
        <v>0.5279976534720765</v>
      </c>
      <c r="H48" s="105">
        <v>0.50037413598061298</v>
      </c>
      <c r="I48" s="105">
        <v>0.57948518965884477</v>
      </c>
      <c r="J48" s="105">
        <v>0.51610877795516508</v>
      </c>
      <c r="K48" s="105">
        <v>0.53878779340557725</v>
      </c>
      <c r="L48" s="105">
        <v>0.53801692875854989</v>
      </c>
      <c r="M48" s="105">
        <v>0.51149537883889651</v>
      </c>
      <c r="N48" s="105">
        <v>0.50474285129480223</v>
      </c>
      <c r="O48" s="105">
        <v>0.51683185958998745</v>
      </c>
      <c r="P48" s="105">
        <v>0.55371233924647623</v>
      </c>
      <c r="Q48" s="105">
        <v>0.54473459913389644</v>
      </c>
      <c r="R48" s="105">
        <v>0.50236734781789505</v>
      </c>
      <c r="S48" s="105">
        <v>0.51039135954133064</v>
      </c>
      <c r="T48" s="105">
        <v>0.59702781407299554</v>
      </c>
      <c r="U48" s="105">
        <v>0.5579931563378443</v>
      </c>
      <c r="V48" s="105">
        <v>0.55031734333631088</v>
      </c>
      <c r="W48" s="105">
        <v>0.51476217882595077</v>
      </c>
      <c r="X48" s="105">
        <v>0.57494859485761096</v>
      </c>
      <c r="Y48" s="105">
        <v>0.52565455580215037</v>
      </c>
      <c r="Z48" s="105">
        <v>0.59116725609888199</v>
      </c>
      <c r="AA48" s="105">
        <v>0.55757569289975595</v>
      </c>
      <c r="AB48" s="105">
        <v>0.58914898066286059</v>
      </c>
      <c r="AC48" s="105">
        <v>0.51813119775537131</v>
      </c>
      <c r="AD48" s="105">
        <v>0.54851023428883106</v>
      </c>
      <c r="AE48" s="105">
        <v>0.55591242340867009</v>
      </c>
      <c r="AF48" s="105">
        <v>0.58105934059277164</v>
      </c>
      <c r="AG48" s="105">
        <v>0.53413887515597369</v>
      </c>
      <c r="AH48" s="105">
        <v>0.54024635019628453</v>
      </c>
      <c r="AI48" s="105">
        <v>0.57052316436672712</v>
      </c>
      <c r="AJ48" s="105">
        <v>0.58261358410220088</v>
      </c>
      <c r="AK48" s="105">
        <v>0.56487323156944391</v>
      </c>
      <c r="AL48" s="105">
        <v>0.59777491641843283</v>
      </c>
      <c r="AM48" s="105">
        <v>0.59047672759636627</v>
      </c>
      <c r="AN48" s="105">
        <v>0.52158460099684323</v>
      </c>
      <c r="AO48" s="105">
        <v>0.50592704120731768</v>
      </c>
      <c r="AP48" s="105">
        <v>0.55593223581997409</v>
      </c>
      <c r="AQ48" s="105">
        <v>0.57205420814954544</v>
      </c>
      <c r="AR48" s="105">
        <v>0.50754151473953424</v>
      </c>
      <c r="AS48" s="105">
        <v>0.52710276848081161</v>
      </c>
      <c r="AT48" s="105">
        <v>0.48325822112203592</v>
      </c>
      <c r="AU48" s="105">
        <v>0.55945965966233802</v>
      </c>
      <c r="AV48" s="105">
        <v>0.5869242902936096</v>
      </c>
      <c r="AW48" s="105">
        <v>0.54251053663439275</v>
      </c>
      <c r="AX48" s="105">
        <v>0.54234182521851992</v>
      </c>
      <c r="AY48" s="105">
        <v>0.54088815585966077</v>
      </c>
      <c r="AZ48" s="105">
        <v>0.48070055463081657</v>
      </c>
      <c r="BA48" s="105">
        <v>0.47691710453826813</v>
      </c>
      <c r="BB48" s="105">
        <v>0.53998959840357064</v>
      </c>
      <c r="BC48" s="105">
        <v>0.57617714815472676</v>
      </c>
      <c r="BD48" s="105">
        <v>0.52564631808274598</v>
      </c>
      <c r="BE48" s="105">
        <v>0.56246716704338073</v>
      </c>
      <c r="BF48" s="105">
        <v>0.52630159407475785</v>
      </c>
      <c r="BG48" s="105">
        <v>0.54068908702970053</v>
      </c>
      <c r="BH48" s="105">
        <v>0.47723557110603998</v>
      </c>
      <c r="BI48" s="105">
        <v>0.53076357349846792</v>
      </c>
      <c r="BJ48" s="105">
        <v>0.54352146474951502</v>
      </c>
      <c r="BK48" s="105">
        <v>0.5610165698629469</v>
      </c>
      <c r="BL48" s="105">
        <v>0.56116923393016449</v>
      </c>
      <c r="BM48" s="105">
        <v>0.57028710169726182</v>
      </c>
      <c r="BN48" s="105">
        <v>0.49402444556110753</v>
      </c>
      <c r="BO48" s="105">
        <v>0.53969443741979373</v>
      </c>
      <c r="BP48" s="105">
        <v>0.53318281316843907</v>
      </c>
      <c r="BQ48" s="105">
        <v>0.58522529199381301</v>
      </c>
      <c r="BR48" s="105">
        <v>0.53100972538624081</v>
      </c>
      <c r="BS48" s="105">
        <v>0.55026697781992351</v>
      </c>
      <c r="BT48" s="105">
        <v>0.59990038162454895</v>
      </c>
      <c r="BU48" s="105">
        <v>0.57461920032325309</v>
      </c>
      <c r="BV48" s="105">
        <v>0.53395241462817655</v>
      </c>
      <c r="BW48" s="105">
        <v>0.56992311774360793</v>
      </c>
      <c r="BX48" s="105">
        <v>0.51918453018070754</v>
      </c>
      <c r="BY48" s="105">
        <v>0.51667238360053624</v>
      </c>
      <c r="BZ48" s="105">
        <v>0.57361648031973766</v>
      </c>
      <c r="CA48" s="105">
        <v>0.55100650602415902</v>
      </c>
      <c r="CB48" s="105">
        <v>0.5209840325370324</v>
      </c>
      <c r="CC48" s="105">
        <v>0.59984306910691632</v>
      </c>
      <c r="CD48" s="105">
        <v>0.47073572411668552</v>
      </c>
      <c r="CE48" s="105">
        <v>0.54544140342408165</v>
      </c>
      <c r="CF48" s="105">
        <v>0.53759478260180538</v>
      </c>
      <c r="CG48" s="105">
        <v>0.51140434175077221</v>
      </c>
      <c r="CH48" s="105">
        <v>0.57427735934633661</v>
      </c>
      <c r="CI48" s="105">
        <v>0.55187658566486719</v>
      </c>
      <c r="CJ48" s="105">
        <v>0.54766328415502108</v>
      </c>
      <c r="CK48" s="105">
        <v>0.58066756852286416</v>
      </c>
      <c r="CL48" s="105">
        <v>0.54535063002124429</v>
      </c>
      <c r="CM48" s="105">
        <v>0.52888725932261704</v>
      </c>
      <c r="CN48" s="105">
        <v>0.54646372789942887</v>
      </c>
      <c r="CO48" s="105">
        <v>0.47532623715927391</v>
      </c>
      <c r="CP48" s="105">
        <v>0.54932292846589337</v>
      </c>
      <c r="CQ48" s="105">
        <v>0.5664334822223851</v>
      </c>
      <c r="CR48" s="105">
        <v>0.51767206916169972</v>
      </c>
      <c r="CS48" s="105">
        <v>0.56669679129965944</v>
      </c>
      <c r="CT48" s="105">
        <v>0.57258545352077994</v>
      </c>
      <c r="CU48" s="105">
        <v>0.51118161393595085</v>
      </c>
      <c r="CV48" s="105">
        <v>0.58101762559250747</v>
      </c>
      <c r="CW48" s="105">
        <v>0.51338929181822102</v>
      </c>
      <c r="CX48" s="105">
        <v>0.4995546447935022</v>
      </c>
    </row>
    <row r="49" spans="1:102" s="104" customFormat="1">
      <c r="A49" s="88" t="str">
        <f>Parameters!A42</f>
        <v>Inflatie is een fiscaal verschijnsel</v>
      </c>
      <c r="B49" s="102" t="s">
        <v>29</v>
      </c>
      <c r="C49" s="103">
        <v>2.3011619843743905E-2</v>
      </c>
      <c r="D49" s="103">
        <v>2.5782328426480497E-2</v>
      </c>
      <c r="E49" s="103">
        <v>3.0316982294652371E-2</v>
      </c>
      <c r="F49" s="103">
        <v>3.5535355779127795E-2</v>
      </c>
      <c r="G49" s="103">
        <v>3.4047295127727681E-2</v>
      </c>
      <c r="H49" s="103">
        <v>2.6097132201221257E-2</v>
      </c>
      <c r="I49" s="103">
        <v>3.0739199429477809E-2</v>
      </c>
      <c r="J49" s="103">
        <v>2.9554182625485877E-2</v>
      </c>
      <c r="K49" s="103">
        <v>3.1969414285489259E-2</v>
      </c>
      <c r="L49" s="103">
        <v>3.539285261931277E-2</v>
      </c>
      <c r="M49" s="103">
        <v>2.9225094113592361E-2</v>
      </c>
      <c r="N49" s="103">
        <v>2.7648071836883503E-2</v>
      </c>
      <c r="O49" s="103">
        <v>2.8359727768082234E-2</v>
      </c>
      <c r="P49" s="103">
        <v>2.7702705198795693E-2</v>
      </c>
      <c r="Q49" s="103">
        <v>3.2679541172068345E-2</v>
      </c>
      <c r="R49" s="103">
        <v>2.7883866991941217E-2</v>
      </c>
      <c r="S49" s="103">
        <v>2.9716096768863998E-2</v>
      </c>
      <c r="T49" s="103">
        <v>3.1547906608338103E-2</v>
      </c>
      <c r="U49" s="103">
        <v>3.2999519914922101E-2</v>
      </c>
      <c r="V49" s="103">
        <v>3.2930612835790581E-2</v>
      </c>
      <c r="W49" s="103">
        <v>2.5512439409952729E-2</v>
      </c>
      <c r="X49" s="103">
        <v>3.2824610917233377E-2</v>
      </c>
      <c r="Y49" s="103">
        <v>2.1891048406548742E-2</v>
      </c>
      <c r="Z49" s="103">
        <v>3.2044464571710132E-2</v>
      </c>
      <c r="AA49" s="103">
        <v>3.0828467537006011E-2</v>
      </c>
      <c r="AB49" s="103">
        <v>2.6693058884404205E-2</v>
      </c>
      <c r="AC49" s="103">
        <v>3.0722178662063712E-2</v>
      </c>
      <c r="AD49" s="103">
        <v>3.2881511290472017E-2</v>
      </c>
      <c r="AE49" s="103">
        <v>2.388352726859435E-2</v>
      </c>
      <c r="AF49" s="103">
        <v>3.1825334377561895E-2</v>
      </c>
      <c r="AG49" s="103">
        <v>3.4349534628094737E-2</v>
      </c>
      <c r="AH49" s="103">
        <v>2.6998228103690635E-2</v>
      </c>
      <c r="AI49" s="103">
        <v>3.4373406321643742E-2</v>
      </c>
      <c r="AJ49" s="103">
        <v>3.3553535363127815E-2</v>
      </c>
      <c r="AK49" s="103">
        <v>4.1005961087200532E-2</v>
      </c>
      <c r="AL49" s="103">
        <v>3.0741853656892248E-2</v>
      </c>
      <c r="AM49" s="103">
        <v>3.7292722099460704E-2</v>
      </c>
      <c r="AN49" s="103">
        <v>3.1605267433012507E-2</v>
      </c>
      <c r="AO49" s="103">
        <v>2.3294771884025227E-2</v>
      </c>
      <c r="AP49" s="103">
        <v>2.7214816046579063E-2</v>
      </c>
      <c r="AQ49" s="103">
        <v>3.1727032456543403E-2</v>
      </c>
      <c r="AR49" s="103">
        <v>2.2510561853772249E-2</v>
      </c>
      <c r="AS49" s="103">
        <v>3.1389309926560284E-2</v>
      </c>
      <c r="AT49" s="103">
        <v>2.8152821825970592E-2</v>
      </c>
      <c r="AU49" s="103">
        <v>3.2138799434494394E-2</v>
      </c>
      <c r="AV49" s="103">
        <v>2.6864516310785722E-2</v>
      </c>
      <c r="AW49" s="103">
        <v>2.8443183200099229E-2</v>
      </c>
      <c r="AX49" s="103">
        <v>2.8401440069686566E-2</v>
      </c>
      <c r="AY49" s="103">
        <v>2.5377875549444269E-2</v>
      </c>
      <c r="AZ49" s="103">
        <v>2.7169054430235023E-2</v>
      </c>
      <c r="BA49" s="103">
        <v>2.661079771978845E-2</v>
      </c>
      <c r="BB49" s="103">
        <v>2.8695594762212069E-2</v>
      </c>
      <c r="BC49" s="103">
        <v>2.5873267461100219E-2</v>
      </c>
      <c r="BD49" s="103">
        <v>2.4464389599303926E-2</v>
      </c>
      <c r="BE49" s="103">
        <v>2.4404894708434988E-2</v>
      </c>
      <c r="BF49" s="103">
        <v>2.5814631536806389E-2</v>
      </c>
      <c r="BG49" s="103">
        <v>3.8848199222829199E-2</v>
      </c>
      <c r="BH49" s="103">
        <v>2.6431857292114985E-2</v>
      </c>
      <c r="BI49" s="103">
        <v>2.760290832646984E-2</v>
      </c>
      <c r="BJ49" s="103">
        <v>2.7481326996199068E-2</v>
      </c>
      <c r="BK49" s="103">
        <v>3.0224961241361273E-2</v>
      </c>
      <c r="BL49" s="103">
        <v>3.651976608174351E-2</v>
      </c>
      <c r="BM49" s="103">
        <v>3.6217002023647443E-2</v>
      </c>
      <c r="BN49" s="103">
        <v>2.8686020612540764E-2</v>
      </c>
      <c r="BO49" s="103">
        <v>2.8091256754864326E-2</v>
      </c>
      <c r="BP49" s="103">
        <v>2.4987431496765529E-2</v>
      </c>
      <c r="BQ49" s="103">
        <v>2.6358419683308841E-2</v>
      </c>
      <c r="BR49" s="103">
        <v>3.0121601658712256E-2</v>
      </c>
      <c r="BS49" s="103">
        <v>2.5088036698595141E-2</v>
      </c>
      <c r="BT49" s="103">
        <v>2.8791200068801495E-2</v>
      </c>
      <c r="BU49" s="103">
        <v>3.0673677294474004E-2</v>
      </c>
      <c r="BV49" s="103">
        <v>2.7058101791902118E-2</v>
      </c>
      <c r="BW49" s="103">
        <v>3.0123451022601562E-2</v>
      </c>
      <c r="BX49" s="103">
        <v>3.7974025764957967E-2</v>
      </c>
      <c r="BY49" s="103">
        <v>3.0611780212568128E-2</v>
      </c>
      <c r="BZ49" s="103">
        <v>3.4899182817800176E-2</v>
      </c>
      <c r="CA49" s="103">
        <v>2.5329746306422474E-2</v>
      </c>
      <c r="CB49" s="103">
        <v>2.4969845651001549E-2</v>
      </c>
      <c r="CC49" s="103">
        <v>2.7277879486240619E-2</v>
      </c>
      <c r="CD49" s="103">
        <v>2.1511973053367151E-2</v>
      </c>
      <c r="CE49" s="103">
        <v>2.5745959253768456E-2</v>
      </c>
      <c r="CF49" s="103">
        <v>3.3007520655210197E-2</v>
      </c>
      <c r="CG49" s="103">
        <v>2.5199116484775665E-2</v>
      </c>
      <c r="CH49" s="103">
        <v>2.3723611119541264E-2</v>
      </c>
      <c r="CI49" s="103">
        <v>2.7214346334984457E-2</v>
      </c>
      <c r="CJ49" s="103">
        <v>2.4279409688742072E-2</v>
      </c>
      <c r="CK49" s="103">
        <v>2.7969850892722206E-2</v>
      </c>
      <c r="CL49" s="103">
        <v>2.4132948623505741E-2</v>
      </c>
      <c r="CM49" s="103">
        <v>2.3046523329474971E-2</v>
      </c>
      <c r="CN49" s="103">
        <v>3.5429767724064226E-2</v>
      </c>
      <c r="CO49" s="103">
        <v>2.1724184258055439E-2</v>
      </c>
      <c r="CP49" s="103">
        <v>2.4634548733167304E-2</v>
      </c>
      <c r="CQ49" s="103">
        <v>2.7166125086135078E-2</v>
      </c>
      <c r="CR49" s="103">
        <v>2.6562106741690957E-2</v>
      </c>
      <c r="CS49" s="103">
        <v>2.9281497818683392E-2</v>
      </c>
      <c r="CT49" s="103">
        <v>3.557715057165893E-2</v>
      </c>
      <c r="CU49" s="103">
        <v>2.9651868537490682E-2</v>
      </c>
      <c r="CV49" s="103">
        <v>2.6701369999898916E-2</v>
      </c>
      <c r="CW49" s="103">
        <v>2.3183076322083065E-2</v>
      </c>
      <c r="CX49" s="103">
        <v>2.8714126150761216E-2</v>
      </c>
    </row>
    <row r="50" spans="1:102" s="23" customFormat="1">
      <c r="B50" s="14" t="s">
        <v>30</v>
      </c>
      <c r="C50" s="105">
        <v>5.3383670921843318E-2</v>
      </c>
      <c r="D50" s="105">
        <v>4.9520445779165687E-2</v>
      </c>
      <c r="E50" s="105">
        <v>4.357334081735393E-2</v>
      </c>
      <c r="F50" s="105">
        <v>5.3025991201931369E-2</v>
      </c>
      <c r="G50" s="105">
        <v>5.4300033732057433E-2</v>
      </c>
      <c r="H50" s="105">
        <v>4.8683019922938893E-2</v>
      </c>
      <c r="I50" s="105">
        <v>4.3546612589284835E-2</v>
      </c>
      <c r="J50" s="105">
        <v>4.9533790755281693E-2</v>
      </c>
      <c r="K50" s="105">
        <v>4.6536426814868297E-2</v>
      </c>
      <c r="L50" s="105">
        <v>5.1950191783296608E-2</v>
      </c>
      <c r="M50" s="105">
        <v>4.7201435622534399E-2</v>
      </c>
      <c r="N50" s="105">
        <v>6.4448678019377786E-2</v>
      </c>
      <c r="O50" s="105">
        <v>5.424761825661796E-2</v>
      </c>
      <c r="P50" s="105">
        <v>4.4409678367608306E-2</v>
      </c>
      <c r="Q50" s="105">
        <v>5.1891260551071794E-2</v>
      </c>
      <c r="R50" s="105">
        <v>4.6880788119638771E-2</v>
      </c>
      <c r="S50" s="105">
        <v>6.0073076288460842E-2</v>
      </c>
      <c r="T50" s="105">
        <v>4.2124692437717687E-2</v>
      </c>
      <c r="U50" s="105">
        <v>4.4801992717099538E-2</v>
      </c>
      <c r="V50" s="105">
        <v>4.6056017458387492E-2</v>
      </c>
      <c r="W50" s="105">
        <v>4.2299091499835129E-2</v>
      </c>
      <c r="X50" s="105">
        <v>4.888448375475473E-2</v>
      </c>
      <c r="Y50" s="105">
        <v>5.026577105645149E-2</v>
      </c>
      <c r="Z50" s="105">
        <v>5.1198711496354105E-2</v>
      </c>
      <c r="AA50" s="105">
        <v>4.6603492744110624E-2</v>
      </c>
      <c r="AB50" s="105">
        <v>4.2112040585481895E-2</v>
      </c>
      <c r="AC50" s="105">
        <v>4.5841895909490511E-2</v>
      </c>
      <c r="AD50" s="105">
        <v>4.4624401556997768E-2</v>
      </c>
      <c r="AE50" s="105">
        <v>4.1187103888543089E-2</v>
      </c>
      <c r="AF50" s="105">
        <v>4.5518246159639036E-2</v>
      </c>
      <c r="AG50" s="105">
        <v>4.5553067343018686E-2</v>
      </c>
      <c r="AH50" s="105">
        <v>4.1214598097944616E-2</v>
      </c>
      <c r="AI50" s="105">
        <v>4.2502369774810256E-2</v>
      </c>
      <c r="AJ50" s="105">
        <v>4.1648096790239314E-2</v>
      </c>
      <c r="AK50" s="105">
        <v>4.6620001143826272E-2</v>
      </c>
      <c r="AL50" s="105">
        <v>4.9219929465377336E-2</v>
      </c>
      <c r="AM50" s="105">
        <v>5.1971289274742476E-2</v>
      </c>
      <c r="AN50" s="105">
        <v>5.4131236153793089E-2</v>
      </c>
      <c r="AO50" s="105">
        <v>4.6629811547417369E-2</v>
      </c>
      <c r="AP50" s="105">
        <v>4.5455420488118611E-2</v>
      </c>
      <c r="AQ50" s="105">
        <v>4.1635507414191607E-2</v>
      </c>
      <c r="AR50" s="105">
        <v>4.4741820987548919E-2</v>
      </c>
      <c r="AS50" s="105">
        <v>4.6797997259471591E-2</v>
      </c>
      <c r="AT50" s="105">
        <v>4.474487852337504E-2</v>
      </c>
      <c r="AU50" s="105">
        <v>4.4492036647715553E-2</v>
      </c>
      <c r="AV50" s="105">
        <v>4.0343848523508481E-2</v>
      </c>
      <c r="AW50" s="105">
        <v>4.2689444949154151E-2</v>
      </c>
      <c r="AX50" s="105">
        <v>4.3249671693370011E-2</v>
      </c>
      <c r="AY50" s="105">
        <v>4.0598567144680159E-2</v>
      </c>
      <c r="AZ50" s="105">
        <v>4.4042990858908573E-2</v>
      </c>
      <c r="BA50" s="105">
        <v>5.0575239177677769E-2</v>
      </c>
      <c r="BB50" s="105">
        <v>5.0099274049266701E-2</v>
      </c>
      <c r="BC50" s="105">
        <v>4.2391255517298616E-2</v>
      </c>
      <c r="BD50" s="105">
        <v>4.3478666917093046E-2</v>
      </c>
      <c r="BE50" s="105">
        <v>3.888731768500428E-2</v>
      </c>
      <c r="BF50" s="105">
        <v>4.2655686814463925E-2</v>
      </c>
      <c r="BG50" s="105">
        <v>5.0646115051624967E-2</v>
      </c>
      <c r="BH50" s="105">
        <v>4.4709493088712263E-2</v>
      </c>
      <c r="BI50" s="105">
        <v>4.304774635018583E-2</v>
      </c>
      <c r="BJ50" s="105">
        <v>4.6428472496695537E-2</v>
      </c>
      <c r="BK50" s="105">
        <v>4.6356495335914585E-2</v>
      </c>
      <c r="BL50" s="105">
        <v>4.4457053407002303E-2</v>
      </c>
      <c r="BM50" s="105">
        <v>4.3381195011402376E-2</v>
      </c>
      <c r="BN50" s="105">
        <v>4.5119735299490045E-2</v>
      </c>
      <c r="BO50" s="105">
        <v>4.426062442898783E-2</v>
      </c>
      <c r="BP50" s="105">
        <v>4.3688505173641215E-2</v>
      </c>
      <c r="BQ50" s="105">
        <v>4.1088006040736751E-2</v>
      </c>
      <c r="BR50" s="105">
        <v>4.38207632383893E-2</v>
      </c>
      <c r="BS50" s="105">
        <v>3.971530452955678E-2</v>
      </c>
      <c r="BT50" s="105">
        <v>4.0887400278304863E-2</v>
      </c>
      <c r="BU50" s="105">
        <v>4.6215092830028982E-2</v>
      </c>
      <c r="BV50" s="105">
        <v>4.4365872146482833E-2</v>
      </c>
      <c r="BW50" s="105">
        <v>4.4787879259595299E-2</v>
      </c>
      <c r="BX50" s="105">
        <v>4.93664486959184E-2</v>
      </c>
      <c r="BY50" s="105">
        <v>4.7848045780648781E-2</v>
      </c>
      <c r="BZ50" s="105">
        <v>5.7579567330421987E-2</v>
      </c>
      <c r="CA50" s="105">
        <v>4.1549048863813387E-2</v>
      </c>
      <c r="CB50" s="105">
        <v>4.8108655190711183E-2</v>
      </c>
      <c r="CC50" s="105">
        <v>4.0604262206112227E-2</v>
      </c>
      <c r="CD50" s="105">
        <v>4.4309278722296092E-2</v>
      </c>
      <c r="CE50" s="105">
        <v>4.0815112127787559E-2</v>
      </c>
      <c r="CF50" s="105">
        <v>4.4650885006332915E-2</v>
      </c>
      <c r="CG50" s="105">
        <v>4.2092997802218965E-2</v>
      </c>
      <c r="CH50" s="105">
        <v>3.8523763898402008E-2</v>
      </c>
      <c r="CI50" s="105">
        <v>4.2599849256386858E-2</v>
      </c>
      <c r="CJ50" s="105">
        <v>4.1396152837559097E-2</v>
      </c>
      <c r="CK50" s="105">
        <v>3.907244622159723E-2</v>
      </c>
      <c r="CL50" s="105">
        <v>4.6380746408848261E-2</v>
      </c>
      <c r="CM50" s="105">
        <v>4.070914407750318E-2</v>
      </c>
      <c r="CN50" s="105">
        <v>5.2474973826668499E-2</v>
      </c>
      <c r="CO50" s="105">
        <v>4.2413390228008503E-2</v>
      </c>
      <c r="CP50" s="105">
        <v>3.9583191056322631E-2</v>
      </c>
      <c r="CQ50" s="105">
        <v>4.0829781136510167E-2</v>
      </c>
      <c r="CR50" s="105">
        <v>4.1990425120265275E-2</v>
      </c>
      <c r="CS50" s="105">
        <v>4.0070192322652985E-2</v>
      </c>
      <c r="CT50" s="105">
        <v>4.2072277952525827E-2</v>
      </c>
      <c r="CU50" s="105">
        <v>4.4340320819373384E-2</v>
      </c>
      <c r="CV50" s="105">
        <v>5.1552087116554665E-2</v>
      </c>
      <c r="CW50" s="105">
        <v>5.2246538828375953E-2</v>
      </c>
      <c r="CX50" s="105">
        <v>4.5584889835109145E-2</v>
      </c>
    </row>
    <row r="51" spans="1:102" s="23" customFormat="1">
      <c r="B51" s="56" t="s">
        <v>56</v>
      </c>
      <c r="C51" s="105">
        <v>0.10603077563647442</v>
      </c>
      <c r="D51" s="105">
        <v>0.10392060791567005</v>
      </c>
      <c r="E51" s="105">
        <v>9.5874792360216801E-2</v>
      </c>
      <c r="F51" s="105">
        <v>0.10318210443765788</v>
      </c>
      <c r="G51" s="105">
        <v>0.10860713155757579</v>
      </c>
      <c r="H51" s="105">
        <v>0.10527789894474567</v>
      </c>
      <c r="I51" s="105">
        <v>9.9969250422177275E-2</v>
      </c>
      <c r="J51" s="105">
        <v>0.10454802629321285</v>
      </c>
      <c r="K51" s="105">
        <v>0.1035110350909328</v>
      </c>
      <c r="L51" s="105">
        <v>0.1021737849531282</v>
      </c>
      <c r="M51" s="105">
        <v>0.10331252557617671</v>
      </c>
      <c r="N51" s="105">
        <v>0.11350714976690215</v>
      </c>
      <c r="O51" s="105">
        <v>0.1049466489334924</v>
      </c>
      <c r="P51" s="105">
        <v>9.6836269699730762E-2</v>
      </c>
      <c r="Q51" s="105">
        <v>0.105281605994916</v>
      </c>
      <c r="R51" s="105">
        <v>0.10306525918298493</v>
      </c>
      <c r="S51" s="105">
        <v>0.10889082141447905</v>
      </c>
      <c r="T51" s="105">
        <v>9.6159574332176645E-2</v>
      </c>
      <c r="U51" s="105">
        <v>0.10024349492619426</v>
      </c>
      <c r="V51" s="105">
        <v>0.10196448815575024</v>
      </c>
      <c r="W51" s="105">
        <v>9.8723913372319325E-2</v>
      </c>
      <c r="X51" s="105">
        <v>0.10394988512744774</v>
      </c>
      <c r="Y51" s="105">
        <v>0.10676802074189348</v>
      </c>
      <c r="Z51" s="105">
        <v>0.10447702361509968</v>
      </c>
      <c r="AA51" s="105">
        <v>0.1020600352791797</v>
      </c>
      <c r="AB51" s="105">
        <v>9.7018428006792751E-2</v>
      </c>
      <c r="AC51" s="105">
        <v>0.10080637223550493</v>
      </c>
      <c r="AD51" s="105">
        <v>9.4230812974860328E-2</v>
      </c>
      <c r="AE51" s="105">
        <v>0.10247294672421453</v>
      </c>
      <c r="AF51" s="105">
        <v>0.10074051747770371</v>
      </c>
      <c r="AG51" s="105">
        <v>9.6582960110909666E-2</v>
      </c>
      <c r="AH51" s="105">
        <v>9.8829439812424813E-2</v>
      </c>
      <c r="AI51" s="105">
        <v>9.3434674910148008E-2</v>
      </c>
      <c r="AJ51" s="105">
        <v>9.2832574819528529E-2</v>
      </c>
      <c r="AK51" s="105">
        <v>8.9295929327952661E-2</v>
      </c>
      <c r="AL51" s="105">
        <v>0.1032527966191666</v>
      </c>
      <c r="AM51" s="105">
        <v>9.6083083807104577E-2</v>
      </c>
      <c r="AN51" s="105">
        <v>0.11040465988154645</v>
      </c>
      <c r="AO51" s="105">
        <v>0.10591295067387449</v>
      </c>
      <c r="AP51" s="105">
        <v>0.1027435104720817</v>
      </c>
      <c r="AQ51" s="105">
        <v>9.5118533518009224E-2</v>
      </c>
      <c r="AR51" s="105">
        <v>0.10160789659204002</v>
      </c>
      <c r="AS51" s="105">
        <v>0.10197767693319862</v>
      </c>
      <c r="AT51" s="105">
        <v>9.9792277619023304E-2</v>
      </c>
      <c r="AU51" s="105">
        <v>9.874999393354629E-2</v>
      </c>
      <c r="AV51" s="105">
        <v>9.4696927351582652E-2</v>
      </c>
      <c r="AW51" s="105">
        <v>0.10166839867809882</v>
      </c>
      <c r="AX51" s="105">
        <v>9.571669228354715E-2</v>
      </c>
      <c r="AY51" s="105">
        <v>9.9439543645763281E-2</v>
      </c>
      <c r="AZ51" s="105">
        <v>0.10040442727203486</v>
      </c>
      <c r="BA51" s="105">
        <v>0.10739942256195091</v>
      </c>
      <c r="BB51" s="105">
        <v>9.6701371645405446E-2</v>
      </c>
      <c r="BC51" s="105">
        <v>9.8752580278121477E-2</v>
      </c>
      <c r="BD51" s="105">
        <v>0.10367885240413105</v>
      </c>
      <c r="BE51" s="105">
        <v>9.9705716381889187E-2</v>
      </c>
      <c r="BF51" s="105">
        <v>0.10057915550397155</v>
      </c>
      <c r="BG51" s="105">
        <v>9.6056849246369536E-2</v>
      </c>
      <c r="BH51" s="105">
        <v>9.9499906476538336E-2</v>
      </c>
      <c r="BI51" s="105">
        <v>0.10361219067955657</v>
      </c>
      <c r="BJ51" s="105">
        <v>0.10483630957507188</v>
      </c>
      <c r="BK51" s="105">
        <v>0.10313748036068818</v>
      </c>
      <c r="BL51" s="105">
        <v>8.9137624601719659E-2</v>
      </c>
      <c r="BM51" s="105">
        <v>9.3517604422206108E-2</v>
      </c>
      <c r="BN51" s="105">
        <v>0.10034831208688402</v>
      </c>
      <c r="BO51" s="105">
        <v>0.10337759767871953</v>
      </c>
      <c r="BP51" s="105">
        <v>0.1033543588105021</v>
      </c>
      <c r="BQ51" s="105">
        <v>9.8885504024218543E-2</v>
      </c>
      <c r="BR51" s="105">
        <v>0.10041556977992232</v>
      </c>
      <c r="BS51" s="105">
        <v>0.1019911219516406</v>
      </c>
      <c r="BT51" s="105">
        <v>9.6983725287583131E-2</v>
      </c>
      <c r="BU51" s="105">
        <v>9.8379407469238497E-2</v>
      </c>
      <c r="BV51" s="105">
        <v>0.10235047660664309</v>
      </c>
      <c r="BW51" s="105">
        <v>9.9716947906055634E-2</v>
      </c>
      <c r="BX51" s="105">
        <v>9.1183572317191958E-2</v>
      </c>
      <c r="BY51" s="105">
        <v>0.10166022569527963</v>
      </c>
      <c r="BZ51" s="105">
        <v>0.10704919634566427</v>
      </c>
      <c r="CA51" s="105">
        <v>0.10191197440026435</v>
      </c>
      <c r="CB51" s="105">
        <v>0.10694015791835784</v>
      </c>
      <c r="CC51" s="105">
        <v>9.7448735492623936E-2</v>
      </c>
      <c r="CD51" s="105">
        <v>0.1008943022335721</v>
      </c>
      <c r="CE51" s="105">
        <v>0.1017585221787343</v>
      </c>
      <c r="CF51" s="105">
        <v>9.4939091442494294E-2</v>
      </c>
      <c r="CG51" s="105">
        <v>0.10043765179826267</v>
      </c>
      <c r="CH51" s="105">
        <v>0.10097737428503699</v>
      </c>
      <c r="CI51" s="105">
        <v>9.9943500797353382E-2</v>
      </c>
      <c r="CJ51" s="105">
        <v>9.9416224229812208E-2</v>
      </c>
      <c r="CK51" s="105">
        <v>9.6363808017256261E-2</v>
      </c>
      <c r="CL51" s="105">
        <v>0.1049579027264904</v>
      </c>
      <c r="CM51" s="105">
        <v>0.10289791480290238</v>
      </c>
      <c r="CN51" s="105">
        <v>9.6147637485888851E-2</v>
      </c>
      <c r="CO51" s="105">
        <v>0.10106850860258637</v>
      </c>
      <c r="CP51" s="105">
        <v>0.10130332710816482</v>
      </c>
      <c r="CQ51" s="105">
        <v>0.10034363127108789</v>
      </c>
      <c r="CR51" s="105">
        <v>0.10307167082886071</v>
      </c>
      <c r="CS51" s="105">
        <v>9.5115574461770103E-2</v>
      </c>
      <c r="CT51" s="105">
        <v>9.053251757766935E-2</v>
      </c>
      <c r="CU51" s="105">
        <v>9.8944271179356141E-2</v>
      </c>
      <c r="CV51" s="105">
        <v>0.10618302128934853</v>
      </c>
      <c r="CW51" s="105">
        <v>0.10799470997955263</v>
      </c>
      <c r="CX51" s="105">
        <v>9.8752072336890068E-2</v>
      </c>
    </row>
    <row r="52" spans="1:102" s="23" customFormat="1">
      <c r="A52" s="106"/>
      <c r="B52" s="56" t="s">
        <v>114</v>
      </c>
      <c r="C52" s="105">
        <v>0.40371693824768906</v>
      </c>
      <c r="D52" s="105">
        <v>0.37497576412928241</v>
      </c>
      <c r="E52" s="105">
        <v>0.32051079077418176</v>
      </c>
      <c r="F52" s="105">
        <v>0.31505820526914841</v>
      </c>
      <c r="G52" s="105">
        <v>0.32893361933362003</v>
      </c>
      <c r="H52" s="105">
        <v>0.37045372577656399</v>
      </c>
      <c r="I52" s="105">
        <v>0.31694711712572532</v>
      </c>
      <c r="J52" s="105">
        <v>0.34650834457563695</v>
      </c>
      <c r="K52" s="105">
        <v>0.3184310253493795</v>
      </c>
      <c r="L52" s="105">
        <v>0.31249438252016765</v>
      </c>
      <c r="M52" s="105">
        <v>0.34189422514073364</v>
      </c>
      <c r="N52" s="105">
        <v>0.39210709529059112</v>
      </c>
      <c r="O52" s="105">
        <v>0.36751467963844286</v>
      </c>
      <c r="P52" s="105">
        <v>0.34508562223086603</v>
      </c>
      <c r="Q52" s="105">
        <v>0.33103428910785304</v>
      </c>
      <c r="R52" s="105">
        <v>0.35142526404956087</v>
      </c>
      <c r="S52" s="105">
        <v>0.37137951201770703</v>
      </c>
      <c r="T52" s="105">
        <v>0.30449113453673737</v>
      </c>
      <c r="U52" s="105">
        <v>0.30385000273860641</v>
      </c>
      <c r="V52" s="105">
        <v>0.30928245389861064</v>
      </c>
      <c r="W52" s="105">
        <v>0.3569093880639933</v>
      </c>
      <c r="X52" s="105">
        <v>0.32028245276390976</v>
      </c>
      <c r="Y52" s="105">
        <v>0.40649770670731555</v>
      </c>
      <c r="Z52" s="105">
        <v>0.3333916985496751</v>
      </c>
      <c r="AA52" s="105">
        <v>0.32746304503744855</v>
      </c>
      <c r="AB52" s="105">
        <v>0.3459063317389921</v>
      </c>
      <c r="AC52" s="105">
        <v>0.3256215916088035</v>
      </c>
      <c r="AD52" s="105">
        <v>0.30406036585189966</v>
      </c>
      <c r="AE52" s="105">
        <v>0.3680266653228903</v>
      </c>
      <c r="AF52" s="105">
        <v>0.31579667684505031</v>
      </c>
      <c r="AG52" s="105">
        <v>0.29648704318535785</v>
      </c>
      <c r="AH52" s="105">
        <v>0.34001132637767906</v>
      </c>
      <c r="AI52" s="105">
        <v>0.28316665865816892</v>
      </c>
      <c r="AJ52" s="105">
        <v>0.28585431809564205</v>
      </c>
      <c r="AK52" s="105">
        <v>0.25300013817781969</v>
      </c>
      <c r="AL52" s="105">
        <v>0.33672724219611339</v>
      </c>
      <c r="AM52" s="105">
        <v>0.29973946312953997</v>
      </c>
      <c r="AN52" s="105">
        <v>0.34489961327815921</v>
      </c>
      <c r="AO52" s="105">
        <v>0.38777873255962364</v>
      </c>
      <c r="AP52" s="105">
        <v>0.3524483966617814</v>
      </c>
      <c r="AQ52" s="105">
        <v>0.30089120895741261</v>
      </c>
      <c r="AR52" s="105">
        <v>0.38988578361303283</v>
      </c>
      <c r="AS52" s="105">
        <v>0.32381536300044167</v>
      </c>
      <c r="AT52" s="105">
        <v>0.34248296137443751</v>
      </c>
      <c r="AU52" s="105">
        <v>0.3093864719389211</v>
      </c>
      <c r="AV52" s="105">
        <v>0.33796642168567104</v>
      </c>
      <c r="AW52" s="105">
        <v>0.33285927432761747</v>
      </c>
      <c r="AX52" s="105">
        <v>0.33524702431163234</v>
      </c>
      <c r="AY52" s="105">
        <v>0.35242607486792998</v>
      </c>
      <c r="AZ52" s="105">
        <v>0.34833301563848784</v>
      </c>
      <c r="BA52" s="105">
        <v>0.37129050188177321</v>
      </c>
      <c r="BB52" s="105">
        <v>0.35451059985873234</v>
      </c>
      <c r="BC52" s="105">
        <v>0.35403598696251143</v>
      </c>
      <c r="BD52" s="105">
        <v>0.36968873414385889</v>
      </c>
      <c r="BE52" s="105">
        <v>0.35553234936880324</v>
      </c>
      <c r="BF52" s="105">
        <v>0.35541156147266945</v>
      </c>
      <c r="BG52" s="105">
        <v>0.28447336166794823</v>
      </c>
      <c r="BH52" s="105">
        <v>0.35661371661872793</v>
      </c>
      <c r="BI52" s="105">
        <v>0.3413006867974645</v>
      </c>
      <c r="BJ52" s="105">
        <v>0.35326454624178472</v>
      </c>
      <c r="BK52" s="105">
        <v>0.33131249609683766</v>
      </c>
      <c r="BL52" s="105">
        <v>0.2754121114371762</v>
      </c>
      <c r="BM52" s="105">
        <v>0.27280872737415818</v>
      </c>
      <c r="BN52" s="105">
        <v>0.33938470716540892</v>
      </c>
      <c r="BO52" s="105">
        <v>0.34136383569350276</v>
      </c>
      <c r="BP52" s="105">
        <v>0.36577964953408626</v>
      </c>
      <c r="BQ52" s="105">
        <v>0.34526671580403046</v>
      </c>
      <c r="BR52" s="105">
        <v>0.32305259017378102</v>
      </c>
      <c r="BS52" s="105">
        <v>0.35200802454706875</v>
      </c>
      <c r="BT52" s="105">
        <v>0.32290737812510728</v>
      </c>
      <c r="BU52" s="105">
        <v>0.32731621915230324</v>
      </c>
      <c r="BV52" s="105">
        <v>0.35030875875719569</v>
      </c>
      <c r="BW52" s="105">
        <v>0.32660556052004858</v>
      </c>
      <c r="BX52" s="105">
        <v>0.28547236737905701</v>
      </c>
      <c r="BY52" s="105">
        <v>0.33331569857372001</v>
      </c>
      <c r="BZ52" s="105">
        <v>0.33271414024096968</v>
      </c>
      <c r="CA52" s="105">
        <v>0.35608048106069612</v>
      </c>
      <c r="CB52" s="105">
        <v>0.37783667840760232</v>
      </c>
      <c r="CC52" s="105">
        <v>0.33522923689026796</v>
      </c>
      <c r="CD52" s="105">
        <v>0.3975053482144732</v>
      </c>
      <c r="CE52" s="105">
        <v>0.34982703419901345</v>
      </c>
      <c r="CF52" s="105">
        <v>0.30318015231974332</v>
      </c>
      <c r="CG52" s="105">
        <v>0.35901825166373658</v>
      </c>
      <c r="CH52" s="105">
        <v>0.36083133804547463</v>
      </c>
      <c r="CI52" s="105">
        <v>0.34307177387761212</v>
      </c>
      <c r="CJ52" s="105">
        <v>0.36506773482990962</v>
      </c>
      <c r="CK52" s="105">
        <v>0.32279002386208511</v>
      </c>
      <c r="CL52" s="105">
        <v>0.38029128793202965</v>
      </c>
      <c r="CM52" s="105">
        <v>0.37430171550612906</v>
      </c>
      <c r="CN52" s="105">
        <v>0.31397738379656159</v>
      </c>
      <c r="CO52" s="105">
        <v>0.39111025948703509</v>
      </c>
      <c r="CP52" s="105">
        <v>0.35579696347166251</v>
      </c>
      <c r="CQ52" s="105">
        <v>0.33708513960882491</v>
      </c>
      <c r="CR52" s="105">
        <v>0.34663335186522598</v>
      </c>
      <c r="CS52" s="105">
        <v>0.31518965208400163</v>
      </c>
      <c r="CT52" s="105">
        <v>0.27161576334711612</v>
      </c>
      <c r="CU52" s="105">
        <v>0.32880859555096409</v>
      </c>
      <c r="CV52" s="105">
        <v>0.37298007725791066</v>
      </c>
      <c r="CW52" s="105">
        <v>0.40039516661694741</v>
      </c>
      <c r="CX52" s="105">
        <v>0.34070730284788331</v>
      </c>
    </row>
    <row r="53" spans="1:102" s="104" customFormat="1">
      <c r="A53" s="88" t="str">
        <f>Parameters!A43</f>
        <v>Vermogenseffect &amp; innovatie</v>
      </c>
      <c r="B53" s="102" t="s">
        <v>29</v>
      </c>
      <c r="C53" s="103">
        <v>6.9168129632744879E-2</v>
      </c>
      <c r="D53" s="103">
        <v>7.4512298925786716E-2</v>
      </c>
      <c r="E53" s="103">
        <v>7.367864590486603E-2</v>
      </c>
      <c r="F53" s="103">
        <v>8.3799122035040946E-2</v>
      </c>
      <c r="G53" s="103">
        <v>7.9128402698990713E-2</v>
      </c>
      <c r="H53" s="103">
        <v>5.881678894328779E-2</v>
      </c>
      <c r="I53" s="103">
        <v>8.4069848015216192E-2</v>
      </c>
      <c r="J53" s="103">
        <v>7.3235566772020977E-2</v>
      </c>
      <c r="K53" s="103">
        <v>7.5210621852028051E-2</v>
      </c>
      <c r="L53" s="103">
        <v>6.5317309409230959E-2</v>
      </c>
      <c r="M53" s="103">
        <v>7.542434193994485E-2</v>
      </c>
      <c r="N53" s="103">
        <v>7.1780431103194611E-2</v>
      </c>
      <c r="O53" s="103">
        <v>7.1054162622170236E-2</v>
      </c>
      <c r="P53" s="103">
        <v>6.6111460839001226E-2</v>
      </c>
      <c r="Q53" s="103">
        <v>8.6263436098509588E-2</v>
      </c>
      <c r="R53" s="103">
        <v>7.22315940091868E-2</v>
      </c>
      <c r="S53" s="103">
        <v>6.6973681239302085E-2</v>
      </c>
      <c r="T53" s="103">
        <v>7.70575370672337E-2</v>
      </c>
      <c r="U53" s="103">
        <v>7.2228479744278595E-2</v>
      </c>
      <c r="V53" s="103">
        <v>6.6843876584784842E-2</v>
      </c>
      <c r="W53" s="103">
        <v>6.2886504735830559E-2</v>
      </c>
      <c r="X53" s="103">
        <v>7.1236333478903624E-2</v>
      </c>
      <c r="Y53" s="103">
        <v>6.5856844937971726E-2</v>
      </c>
      <c r="Z53" s="103">
        <v>8.0255832880248248E-2</v>
      </c>
      <c r="AA53" s="103">
        <v>8.241178960651524E-2</v>
      </c>
      <c r="AB53" s="103">
        <v>6.7201826994813377E-2</v>
      </c>
      <c r="AC53" s="103">
        <v>6.3937198535440734E-2</v>
      </c>
      <c r="AD53" s="103">
        <v>6.8017336503267578E-2</v>
      </c>
      <c r="AE53" s="103">
        <v>7.7521066607900826E-2</v>
      </c>
      <c r="AF53" s="103">
        <v>7.5453355274931896E-2</v>
      </c>
      <c r="AG53" s="103">
        <v>6.1131346386082024E-2</v>
      </c>
      <c r="AH53" s="103">
        <v>7.1473533375395359E-2</v>
      </c>
      <c r="AI53" s="103">
        <v>7.2757022847281014E-2</v>
      </c>
      <c r="AJ53" s="103">
        <v>7.3238876172909625E-2</v>
      </c>
      <c r="AK53" s="103">
        <v>6.9110400188037907E-2</v>
      </c>
      <c r="AL53" s="103">
        <v>7.9586168347437508E-2</v>
      </c>
      <c r="AM53" s="103">
        <v>7.6070480427443757E-2</v>
      </c>
      <c r="AN53" s="103">
        <v>6.2924533072588995E-2</v>
      </c>
      <c r="AO53" s="103">
        <v>5.0298652156521802E-2</v>
      </c>
      <c r="AP53" s="103">
        <v>5.953734798271796E-2</v>
      </c>
      <c r="AQ53" s="103">
        <v>6.9586128515362194E-2</v>
      </c>
      <c r="AR53" s="103">
        <v>5.9320120657290733E-2</v>
      </c>
      <c r="AS53" s="103">
        <v>6.8282346787818027E-2</v>
      </c>
      <c r="AT53" s="103">
        <v>6.2888839518182596E-2</v>
      </c>
      <c r="AU53" s="103">
        <v>6.1142476034821348E-2</v>
      </c>
      <c r="AV53" s="103">
        <v>6.4136040749298143E-2</v>
      </c>
      <c r="AW53" s="103">
        <v>6.9784113119462393E-2</v>
      </c>
      <c r="AX53" s="103">
        <v>5.9962450787635319E-2</v>
      </c>
      <c r="AY53" s="103">
        <v>6.5699533343068689E-2</v>
      </c>
      <c r="AZ53" s="103">
        <v>6.0827489075818919E-2</v>
      </c>
      <c r="BA53" s="103">
        <v>4.5176091141688982E-2</v>
      </c>
      <c r="BB53" s="103">
        <v>6.2562763296480334E-2</v>
      </c>
      <c r="BC53" s="103">
        <v>5.985282876711602E-2</v>
      </c>
      <c r="BD53" s="103">
        <v>5.4502013257167282E-2</v>
      </c>
      <c r="BE53" s="103">
        <v>6.8003201982309053E-2</v>
      </c>
      <c r="BF53" s="103">
        <v>6.5132933789600209E-2</v>
      </c>
      <c r="BG53" s="103">
        <v>6.3704587780407579E-2</v>
      </c>
      <c r="BH53" s="103">
        <v>5.2798294991396981E-2</v>
      </c>
      <c r="BI53" s="103">
        <v>6.4116787021904612E-2</v>
      </c>
      <c r="BJ53" s="103">
        <v>7.5422975165930495E-2</v>
      </c>
      <c r="BK53" s="103">
        <v>7.806647234681327E-2</v>
      </c>
      <c r="BL53" s="103">
        <v>6.6457738918674431E-2</v>
      </c>
      <c r="BM53" s="103">
        <v>6.8653756253041084E-2</v>
      </c>
      <c r="BN53" s="103">
        <v>5.3273214270800603E-2</v>
      </c>
      <c r="BO53" s="103">
        <v>5.8084497754673114E-2</v>
      </c>
      <c r="BP53" s="103">
        <v>6.9865987928740048E-2</v>
      </c>
      <c r="BQ53" s="103">
        <v>6.2691309531753836E-2</v>
      </c>
      <c r="BR53" s="103">
        <v>7.3850442446672576E-2</v>
      </c>
      <c r="BS53" s="103">
        <v>7.12556581064335E-2</v>
      </c>
      <c r="BT53" s="103">
        <v>6.7817167126696748E-2</v>
      </c>
      <c r="BU53" s="103">
        <v>6.8375160160834697E-2</v>
      </c>
      <c r="BV53" s="103">
        <v>5.3139938196381381E-2</v>
      </c>
      <c r="BW53" s="103">
        <v>5.6924949595157495E-2</v>
      </c>
      <c r="BX53" s="103">
        <v>5.7017787918221964E-2</v>
      </c>
      <c r="BY53" s="103">
        <v>6.9222233625184121E-2</v>
      </c>
      <c r="BZ53" s="103">
        <v>6.5678326957070543E-2</v>
      </c>
      <c r="CA53" s="103">
        <v>7.2700101698730701E-2</v>
      </c>
      <c r="CB53" s="103">
        <v>4.9198066223480739E-2</v>
      </c>
      <c r="CC53" s="103">
        <v>6.7625484133301494E-2</v>
      </c>
      <c r="CD53" s="103">
        <v>4.7850901390704685E-2</v>
      </c>
      <c r="CE53" s="103">
        <v>7.3922102146675078E-2</v>
      </c>
      <c r="CF53" s="103">
        <v>6.8224851147818413E-2</v>
      </c>
      <c r="CG53" s="103">
        <v>6.2614669343002846E-2</v>
      </c>
      <c r="CH53" s="103">
        <v>7.1553795849605917E-2</v>
      </c>
      <c r="CI53" s="103">
        <v>6.2232417876299101E-2</v>
      </c>
      <c r="CJ53" s="103">
        <v>5.8315176067168933E-2</v>
      </c>
      <c r="CK53" s="103">
        <v>6.8066141479171532E-2</v>
      </c>
      <c r="CL53" s="103">
        <v>6.8767924076505685E-2</v>
      </c>
      <c r="CM53" s="103">
        <v>5.7498511566516253E-2</v>
      </c>
      <c r="CN53" s="103">
        <v>6.6339500331940873E-2</v>
      </c>
      <c r="CO53" s="103">
        <v>5.2309505787359274E-2</v>
      </c>
      <c r="CP53" s="103">
        <v>7.1130928457778089E-2</v>
      </c>
      <c r="CQ53" s="103">
        <v>5.9589568739497945E-2</v>
      </c>
      <c r="CR53" s="103">
        <v>5.9035711094349394E-2</v>
      </c>
      <c r="CS53" s="103">
        <v>6.9943968065183951E-2</v>
      </c>
      <c r="CT53" s="103">
        <v>6.8411442811408291E-2</v>
      </c>
      <c r="CU53" s="103">
        <v>5.9825385220726696E-2</v>
      </c>
      <c r="CV53" s="103">
        <v>6.9109315290466017E-2</v>
      </c>
      <c r="CW53" s="103">
        <v>6.1585156114513651E-2</v>
      </c>
      <c r="CX53" s="103">
        <v>5.8259288882851604E-2</v>
      </c>
    </row>
    <row r="54" spans="1:102" s="23" customFormat="1">
      <c r="B54" s="14" t="s">
        <v>30</v>
      </c>
      <c r="C54" s="105">
        <v>5.6155130404295171E-2</v>
      </c>
      <c r="D54" s="105">
        <v>5.567919278571723E-2</v>
      </c>
      <c r="E54" s="105">
        <v>5.2008318039301386E-2</v>
      </c>
      <c r="F54" s="105">
        <v>6.1666331628035191E-2</v>
      </c>
      <c r="G54" s="105">
        <v>6.0838953116507381E-2</v>
      </c>
      <c r="H54" s="105">
        <v>5.4427130973727623E-2</v>
      </c>
      <c r="I54" s="105">
        <v>5.3549550547676246E-2</v>
      </c>
      <c r="J54" s="105">
        <v>5.4968075076779588E-2</v>
      </c>
      <c r="K54" s="105">
        <v>5.4212394936471356E-2</v>
      </c>
      <c r="L54" s="105">
        <v>6.0328392589724514E-2</v>
      </c>
      <c r="M54" s="105">
        <v>5.4125750347249986E-2</v>
      </c>
      <c r="N54" s="105">
        <v>6.6435622439972128E-2</v>
      </c>
      <c r="O54" s="105">
        <v>5.8004332507284324E-2</v>
      </c>
      <c r="P54" s="105">
        <v>5.2322961254487092E-2</v>
      </c>
      <c r="Q54" s="105">
        <v>5.7310473682577412E-2</v>
      </c>
      <c r="R54" s="105">
        <v>5.1646206678889861E-2</v>
      </c>
      <c r="S54" s="105">
        <v>6.3347731780761016E-2</v>
      </c>
      <c r="T54" s="105">
        <v>5.4198945226487362E-2</v>
      </c>
      <c r="U54" s="105">
        <v>5.5228906917355651E-2</v>
      </c>
      <c r="V54" s="105">
        <v>5.720107700776525E-2</v>
      </c>
      <c r="W54" s="105">
        <v>4.8727510047395985E-2</v>
      </c>
      <c r="X54" s="105">
        <v>5.950172764543056E-2</v>
      </c>
      <c r="Y54" s="105">
        <v>5.3374833730452168E-2</v>
      </c>
      <c r="Z54" s="105">
        <v>5.950840627580864E-2</v>
      </c>
      <c r="AA54" s="105">
        <v>5.3256726440804002E-2</v>
      </c>
      <c r="AB54" s="105">
        <v>5.4633473643510795E-2</v>
      </c>
      <c r="AC54" s="105">
        <v>5.3304036675913553E-2</v>
      </c>
      <c r="AD54" s="105">
        <v>5.2499568743124274E-2</v>
      </c>
      <c r="AE54" s="105">
        <v>5.0960354825863453E-2</v>
      </c>
      <c r="AF54" s="105">
        <v>5.5431098463619904E-2</v>
      </c>
      <c r="AG54" s="105">
        <v>5.4709051300431043E-2</v>
      </c>
      <c r="AH54" s="105">
        <v>4.7159775110625725E-2</v>
      </c>
      <c r="AI54" s="105">
        <v>5.3170775926078356E-2</v>
      </c>
      <c r="AJ54" s="105">
        <v>5.2624291784240933E-2</v>
      </c>
      <c r="AK54" s="105">
        <v>5.4412371315043666E-2</v>
      </c>
      <c r="AL54" s="105">
        <v>5.7290009705323372E-2</v>
      </c>
      <c r="AM54" s="105">
        <v>5.9637443122741329E-2</v>
      </c>
      <c r="AN54" s="105">
        <v>6.0999140395797048E-2</v>
      </c>
      <c r="AO54" s="105">
        <v>5.3157344640798895E-2</v>
      </c>
      <c r="AP54" s="105">
        <v>5.4518211746989766E-2</v>
      </c>
      <c r="AQ54" s="105">
        <v>5.3254140451765034E-2</v>
      </c>
      <c r="AR54" s="105">
        <v>4.8246048174253438E-2</v>
      </c>
      <c r="AS54" s="105">
        <v>5.4498901300648626E-2</v>
      </c>
      <c r="AT54" s="105">
        <v>4.8873844786374993E-2</v>
      </c>
      <c r="AU54" s="105">
        <v>5.7298083229645497E-2</v>
      </c>
      <c r="AV54" s="105">
        <v>5.089823748967582E-2</v>
      </c>
      <c r="AW54" s="105">
        <v>5.0919619236227232E-2</v>
      </c>
      <c r="AX54" s="105">
        <v>5.2229801597147026E-2</v>
      </c>
      <c r="AY54" s="105">
        <v>5.065242935374388E-2</v>
      </c>
      <c r="AZ54" s="105">
        <v>4.8776026980410246E-2</v>
      </c>
      <c r="BA54" s="105">
        <v>5.78464709634956E-2</v>
      </c>
      <c r="BB54" s="105">
        <v>5.3109884902238086E-2</v>
      </c>
      <c r="BC54" s="105">
        <v>5.3634932313494685E-2</v>
      </c>
      <c r="BD54" s="105">
        <v>5.3063379167802155E-2</v>
      </c>
      <c r="BE54" s="105">
        <v>5.0180712041090196E-2</v>
      </c>
      <c r="BF54" s="105">
        <v>4.7057851049233976E-2</v>
      </c>
      <c r="BG54" s="105">
        <v>5.7010337183842193E-2</v>
      </c>
      <c r="BH54" s="105">
        <v>4.9361640836414353E-2</v>
      </c>
      <c r="BI54" s="105">
        <v>5.2040512623464888E-2</v>
      </c>
      <c r="BJ54" s="105">
        <v>5.1971606480232503E-2</v>
      </c>
      <c r="BK54" s="105">
        <v>5.244903857399081E-2</v>
      </c>
      <c r="BL54" s="105">
        <v>5.0606698174217653E-2</v>
      </c>
      <c r="BM54" s="105">
        <v>5.2172899018502285E-2</v>
      </c>
      <c r="BN54" s="105">
        <v>5.107325540911814E-2</v>
      </c>
      <c r="BO54" s="105">
        <v>5.5470250992275705E-2</v>
      </c>
      <c r="BP54" s="105">
        <v>4.9725255221098434E-2</v>
      </c>
      <c r="BQ54" s="105">
        <v>5.170263519458039E-2</v>
      </c>
      <c r="BR54" s="105">
        <v>4.9459470221840877E-2</v>
      </c>
      <c r="BS54" s="105">
        <v>4.8621788122683925E-2</v>
      </c>
      <c r="BT54" s="105">
        <v>5.412791543286493E-2</v>
      </c>
      <c r="BU54" s="105">
        <v>5.4962857103251495E-2</v>
      </c>
      <c r="BV54" s="105">
        <v>5.398113043026341E-2</v>
      </c>
      <c r="BW54" s="105">
        <v>5.5781997068354648E-2</v>
      </c>
      <c r="BX54" s="105">
        <v>5.5504774931241826E-2</v>
      </c>
      <c r="BY54" s="105">
        <v>5.285758688919269E-2</v>
      </c>
      <c r="BZ54" s="105">
        <v>6.4283743476012428E-2</v>
      </c>
      <c r="CA54" s="105">
        <v>4.9054525133147474E-2</v>
      </c>
      <c r="CB54" s="105">
        <v>5.5084986220303785E-2</v>
      </c>
      <c r="CC54" s="105">
        <v>5.1821712799901561E-2</v>
      </c>
      <c r="CD54" s="105">
        <v>4.768854623483218E-2</v>
      </c>
      <c r="CE54" s="105">
        <v>4.7846409009558361E-2</v>
      </c>
      <c r="CF54" s="105">
        <v>4.8819912605061785E-2</v>
      </c>
      <c r="CG54" s="105">
        <v>4.622259398162807E-2</v>
      </c>
      <c r="CH54" s="105">
        <v>4.8357457271970619E-2</v>
      </c>
      <c r="CI54" s="105">
        <v>5.1866783330205564E-2</v>
      </c>
      <c r="CJ54" s="105">
        <v>4.7076002228513138E-2</v>
      </c>
      <c r="CK54" s="105">
        <v>4.8987821002412085E-2</v>
      </c>
      <c r="CL54" s="105">
        <v>5.0521662353981631E-2</v>
      </c>
      <c r="CM54" s="105">
        <v>5.1037252776101494E-2</v>
      </c>
      <c r="CN54" s="105">
        <v>5.6503307133527469E-2</v>
      </c>
      <c r="CO54" s="105">
        <v>4.5843228309641486E-2</v>
      </c>
      <c r="CP54" s="105">
        <v>4.6238166559874117E-2</v>
      </c>
      <c r="CQ54" s="105">
        <v>5.0429453127428532E-2</v>
      </c>
      <c r="CR54" s="105">
        <v>5.0440718314353733E-2</v>
      </c>
      <c r="CS54" s="105">
        <v>4.9078897257007266E-2</v>
      </c>
      <c r="CT54" s="105">
        <v>5.0674843958398413E-2</v>
      </c>
      <c r="CU54" s="105">
        <v>4.8109653302362068E-2</v>
      </c>
      <c r="CV54" s="105">
        <v>5.7038283863818567E-2</v>
      </c>
      <c r="CW54" s="105">
        <v>5.4567510923758319E-2</v>
      </c>
      <c r="CX54" s="105">
        <v>4.9917492676539353E-2</v>
      </c>
    </row>
    <row r="55" spans="1:102" s="23" customFormat="1">
      <c r="B55" s="56" t="s">
        <v>56</v>
      </c>
      <c r="C55" s="105">
        <v>0.10515238929117061</v>
      </c>
      <c r="D55" s="105">
        <v>0.10379072203144164</v>
      </c>
      <c r="E55" s="105">
        <v>9.7184086848766019E-2</v>
      </c>
      <c r="F55" s="105">
        <v>0.10467749361929755</v>
      </c>
      <c r="G55" s="105">
        <v>0.1106020396009942</v>
      </c>
      <c r="H55" s="105">
        <v>0.10608263176148618</v>
      </c>
      <c r="I55" s="105">
        <v>0.10245957183064995</v>
      </c>
      <c r="J55" s="105">
        <v>0.10559444861557621</v>
      </c>
      <c r="K55" s="105">
        <v>0.10587502404561404</v>
      </c>
      <c r="L55" s="105">
        <v>0.10364225413225379</v>
      </c>
      <c r="M55" s="105">
        <v>0.10483752342272888</v>
      </c>
      <c r="N55" s="105">
        <v>0.11162905929957295</v>
      </c>
      <c r="O55" s="105">
        <v>0.10419979713544743</v>
      </c>
      <c r="P55" s="105">
        <v>9.7227687764349174E-2</v>
      </c>
      <c r="Q55" s="105">
        <v>0.107557613292527</v>
      </c>
      <c r="R55" s="105">
        <v>0.10437272183921624</v>
      </c>
      <c r="S55" s="105">
        <v>0.10763327220945519</v>
      </c>
      <c r="T55" s="105">
        <v>9.8845334751029218E-2</v>
      </c>
      <c r="U55" s="105">
        <v>0.10273416444088229</v>
      </c>
      <c r="V55" s="105">
        <v>0.10464103525670579</v>
      </c>
      <c r="W55" s="105">
        <v>9.9783461850335778E-2</v>
      </c>
      <c r="X55" s="105">
        <v>0.10589817219311666</v>
      </c>
      <c r="Y55" s="105">
        <v>0.10630963024325352</v>
      </c>
      <c r="Z55" s="105">
        <v>0.10564995605974434</v>
      </c>
      <c r="AA55" s="105">
        <v>0.10425485561443966</v>
      </c>
      <c r="AB55" s="105">
        <v>9.9104839221228716E-2</v>
      </c>
      <c r="AC55" s="105">
        <v>0.10241928246744875</v>
      </c>
      <c r="AD55" s="105">
        <v>9.5712657531628539E-2</v>
      </c>
      <c r="AE55" s="105">
        <v>0.10512734053986882</v>
      </c>
      <c r="AF55" s="105">
        <v>0.10259496145037675</v>
      </c>
      <c r="AG55" s="105">
        <v>9.8561565430918555E-2</v>
      </c>
      <c r="AH55" s="105">
        <v>0.10097489951172119</v>
      </c>
      <c r="AI55" s="105">
        <v>9.6363689968011756E-2</v>
      </c>
      <c r="AJ55" s="105">
        <v>9.6038901733034435E-2</v>
      </c>
      <c r="AK55" s="105">
        <v>9.1356781813050097E-2</v>
      </c>
      <c r="AL55" s="105">
        <v>0.10435599012401341</v>
      </c>
      <c r="AM55" s="105">
        <v>9.6676385921256186E-2</v>
      </c>
      <c r="AN55" s="105">
        <v>0.11155693232426589</v>
      </c>
      <c r="AO55" s="105">
        <v>0.10681388255805624</v>
      </c>
      <c r="AP55" s="105">
        <v>0.10380209282739666</v>
      </c>
      <c r="AQ55" s="105">
        <v>9.8072478552781547E-2</v>
      </c>
      <c r="AR55" s="105">
        <v>0.10147359670312865</v>
      </c>
      <c r="AS55" s="105">
        <v>0.10317897450194036</v>
      </c>
      <c r="AT55" s="105">
        <v>0.10131561239647037</v>
      </c>
      <c r="AU55" s="105">
        <v>0.10192038669949693</v>
      </c>
      <c r="AV55" s="105">
        <v>9.64322360648458E-2</v>
      </c>
      <c r="AW55" s="105">
        <v>0.10475503315826185</v>
      </c>
      <c r="AX55" s="105">
        <v>9.6608055930472503E-2</v>
      </c>
      <c r="AY55" s="105">
        <v>0.10147341014013839</v>
      </c>
      <c r="AZ55" s="105">
        <v>0.10172932750005127</v>
      </c>
      <c r="BA55" s="105">
        <v>0.10831022867734605</v>
      </c>
      <c r="BB55" s="105">
        <v>9.6032622397472719E-2</v>
      </c>
      <c r="BC55" s="105">
        <v>0.10033764562517922</v>
      </c>
      <c r="BD55" s="105">
        <v>0.106084099636616</v>
      </c>
      <c r="BE55" s="105">
        <v>0.10260893453612467</v>
      </c>
      <c r="BF55" s="105">
        <v>0.10184960955196058</v>
      </c>
      <c r="BG55" s="105">
        <v>9.7246073288250939E-2</v>
      </c>
      <c r="BH55" s="105">
        <v>0.10027814065471087</v>
      </c>
      <c r="BI55" s="105">
        <v>0.10677730089900007</v>
      </c>
      <c r="BJ55" s="105">
        <v>0.10639854387253476</v>
      </c>
      <c r="BK55" s="105">
        <v>0.10495155737906438</v>
      </c>
      <c r="BL55" s="105">
        <v>9.103589252305673E-2</v>
      </c>
      <c r="BM55" s="105">
        <v>9.5991503888558927E-2</v>
      </c>
      <c r="BN55" s="105">
        <v>0.10169972591213659</v>
      </c>
      <c r="BO55" s="105">
        <v>0.10601444145593071</v>
      </c>
      <c r="BP55" s="105">
        <v>0.10447749142886897</v>
      </c>
      <c r="BQ55" s="105">
        <v>0.10044848624398688</v>
      </c>
      <c r="BR55" s="105">
        <v>0.10290658284604233</v>
      </c>
      <c r="BS55" s="105">
        <v>0.10493335878107939</v>
      </c>
      <c r="BT55" s="105">
        <v>9.990602757487492E-2</v>
      </c>
      <c r="BU55" s="105">
        <v>9.8977178895202439E-2</v>
      </c>
      <c r="BV55" s="105">
        <v>0.10398828617460555</v>
      </c>
      <c r="BW55" s="105">
        <v>0.10150465112626521</v>
      </c>
      <c r="BX55" s="105">
        <v>9.1598376880714691E-2</v>
      </c>
      <c r="BY55" s="105">
        <v>0.10255626531893934</v>
      </c>
      <c r="BZ55" s="105">
        <v>0.10718440266731566</v>
      </c>
      <c r="CA55" s="105">
        <v>0.10385259245963022</v>
      </c>
      <c r="CB55" s="105">
        <v>0.10757524860657257</v>
      </c>
      <c r="CC55" s="105">
        <v>9.9295327885490878E-2</v>
      </c>
      <c r="CD55" s="105">
        <v>0.10084718388683586</v>
      </c>
      <c r="CE55" s="105">
        <v>0.10485456214914771</v>
      </c>
      <c r="CF55" s="105">
        <v>9.6663247625660073E-2</v>
      </c>
      <c r="CG55" s="105">
        <v>0.10152849451740181</v>
      </c>
      <c r="CH55" s="105">
        <v>0.10339083884009648</v>
      </c>
      <c r="CI55" s="105">
        <v>0.10109050346599728</v>
      </c>
      <c r="CJ55" s="105">
        <v>9.9823836731230062E-2</v>
      </c>
      <c r="CK55" s="105">
        <v>9.8811699087274232E-2</v>
      </c>
      <c r="CL55" s="105">
        <v>0.10547404774614612</v>
      </c>
      <c r="CM55" s="105">
        <v>0.1058526189216951</v>
      </c>
      <c r="CN55" s="105">
        <v>9.6245493773109689E-2</v>
      </c>
      <c r="CO55" s="105">
        <v>0.10174698500168849</v>
      </c>
      <c r="CP55" s="105">
        <v>0.10371013215137698</v>
      </c>
      <c r="CQ55" s="105">
        <v>0.10223391168588319</v>
      </c>
      <c r="CR55" s="105">
        <v>0.10554060498621738</v>
      </c>
      <c r="CS55" s="105">
        <v>9.7634206085369185E-2</v>
      </c>
      <c r="CT55" s="105">
        <v>9.3024751336728773E-2</v>
      </c>
      <c r="CU55" s="105">
        <v>0.10072777677068623</v>
      </c>
      <c r="CV55" s="105">
        <v>0.10554929469672882</v>
      </c>
      <c r="CW55" s="105">
        <v>0.10692039921788349</v>
      </c>
      <c r="CX55" s="105">
        <v>9.8931206926932622E-2</v>
      </c>
    </row>
    <row r="56" spans="1:102" s="23" customFormat="1">
      <c r="A56" s="106"/>
      <c r="B56" s="56" t="s">
        <v>114</v>
      </c>
      <c r="C56" s="105">
        <v>0.14602046674061833</v>
      </c>
      <c r="D56" s="105">
        <v>0.12330089632247715</v>
      </c>
      <c r="E56" s="105">
        <v>0.11040191243947327</v>
      </c>
      <c r="F56" s="105">
        <v>0.11570219679529063</v>
      </c>
      <c r="G56" s="105">
        <v>0.12792548600438192</v>
      </c>
      <c r="H56" s="105">
        <v>0.18488077104986969</v>
      </c>
      <c r="I56" s="105">
        <v>8.3301460897494586E-2</v>
      </c>
      <c r="J56" s="105">
        <v>0.12498848210475781</v>
      </c>
      <c r="K56" s="105">
        <v>0.11451275033551236</v>
      </c>
      <c r="L56" s="105">
        <v>0.17958793951603733</v>
      </c>
      <c r="M56" s="105">
        <v>0.11338001675949419</v>
      </c>
      <c r="N56" s="105">
        <v>0.17620384869244374</v>
      </c>
      <c r="O56" s="105">
        <v>0.1462669126945883</v>
      </c>
      <c r="P56" s="105">
        <v>0.14176884314038907</v>
      </c>
      <c r="Q56" s="105">
        <v>9.1642755046017391E-2</v>
      </c>
      <c r="R56" s="105">
        <v>0.11410944374103299</v>
      </c>
      <c r="S56" s="105">
        <v>0.18422515166460243</v>
      </c>
      <c r="T56" s="105">
        <v>0.10799751154681564</v>
      </c>
      <c r="U56" s="105">
        <v>0.12992674413389124</v>
      </c>
      <c r="V56" s="105">
        <v>0.16017099308617791</v>
      </c>
      <c r="W56" s="105">
        <v>0.1388828722295854</v>
      </c>
      <c r="X56" s="105">
        <v>0.15170408170376681</v>
      </c>
      <c r="Y56" s="105">
        <v>0.14766477042135009</v>
      </c>
      <c r="Z56" s="105">
        <v>0.1188801357862635</v>
      </c>
      <c r="AA56" s="105">
        <v>8.6966544737051163E-2</v>
      </c>
      <c r="AB56" s="105">
        <v>0.14754734056515365</v>
      </c>
      <c r="AC56" s="105">
        <v>0.15579812064843868</v>
      </c>
      <c r="AD56" s="105">
        <v>0.13455786999386868</v>
      </c>
      <c r="AE56" s="105">
        <v>9.2590143172953762E-2</v>
      </c>
      <c r="AF56" s="105">
        <v>0.11883996586340223</v>
      </c>
      <c r="AG56" s="105">
        <v>0.17499598130427568</v>
      </c>
      <c r="AH56" s="105">
        <v>9.619928551416182E-2</v>
      </c>
      <c r="AI56" s="105">
        <v>0.1189421190146642</v>
      </c>
      <c r="AJ56" s="105">
        <v>0.11473891568472036</v>
      </c>
      <c r="AK56" s="105">
        <v>0.13866403506174041</v>
      </c>
      <c r="AL56" s="105">
        <v>0.11225360789311319</v>
      </c>
      <c r="AM56" s="105">
        <v>0.13395917613847902</v>
      </c>
      <c r="AN56" s="105">
        <v>0.19279913717473848</v>
      </c>
      <c r="AO56" s="105">
        <v>0.22419517031321554</v>
      </c>
      <c r="AP56" s="105">
        <v>0.18177047964111762</v>
      </c>
      <c r="AQ56" s="105">
        <v>0.13159111801778978</v>
      </c>
      <c r="AR56" s="105">
        <v>0.15332836370389852</v>
      </c>
      <c r="AS56" s="105">
        <v>0.14243968517287245</v>
      </c>
      <c r="AT56" s="105">
        <v>0.13959290268142727</v>
      </c>
      <c r="AU56" s="105">
        <v>0.1860440918486953</v>
      </c>
      <c r="AV56" s="105">
        <v>0.14375196451050834</v>
      </c>
      <c r="AW56" s="105">
        <v>0.12017989285502577</v>
      </c>
      <c r="AX56" s="105">
        <v>0.16938738553593538</v>
      </c>
      <c r="AY56" s="105">
        <v>0.13574409051488714</v>
      </c>
      <c r="AZ56" s="105">
        <v>0.14869220480752932</v>
      </c>
      <c r="BA56" s="105">
        <v>0.2715625701416165</v>
      </c>
      <c r="BB56" s="105">
        <v>0.16116080081005427</v>
      </c>
      <c r="BC56" s="105">
        <v>0.17631907291983923</v>
      </c>
      <c r="BD56" s="105">
        <v>0.20083070172205289</v>
      </c>
      <c r="BE56" s="105">
        <v>0.1238638155747751</v>
      </c>
      <c r="BF56" s="105">
        <v>0.12067903395839628</v>
      </c>
      <c r="BG56" s="105">
        <v>0.17309250260536763</v>
      </c>
      <c r="BH56" s="105">
        <v>0.19296127924689122</v>
      </c>
      <c r="BI56" s="105">
        <v>0.14919381540849666</v>
      </c>
      <c r="BJ56" s="105">
        <v>0.10404740798984186</v>
      </c>
      <c r="BK56" s="105">
        <v>9.7184227623096406E-2</v>
      </c>
      <c r="BL56" s="105">
        <v>0.13229286092279463</v>
      </c>
      <c r="BM56" s="105">
        <v>0.13046009845566428</v>
      </c>
      <c r="BN56" s="105">
        <v>0.19842026452315875</v>
      </c>
      <c r="BO56" s="105">
        <v>0.19301155440563364</v>
      </c>
      <c r="BP56" s="105">
        <v>0.11430730162766242</v>
      </c>
      <c r="BQ56" s="105">
        <v>0.1540724494963113</v>
      </c>
      <c r="BR56" s="105">
        <v>9.8357915999721046E-2</v>
      </c>
      <c r="BS56" s="105">
        <v>0.10386360071309922</v>
      </c>
      <c r="BT56" s="105">
        <v>0.1427246181873372</v>
      </c>
      <c r="BU56" s="105">
        <v>0.14409882177174596</v>
      </c>
      <c r="BV56" s="105">
        <v>0.21209679132367912</v>
      </c>
      <c r="BW56" s="105">
        <v>0.2001122586099647</v>
      </c>
      <c r="BX56" s="105">
        <v>0.19847123353518206</v>
      </c>
      <c r="BY56" s="105">
        <v>0.13126928206876406</v>
      </c>
      <c r="BZ56" s="105">
        <v>0.19320837894551049</v>
      </c>
      <c r="CA56" s="105">
        <v>0.10059446079080429</v>
      </c>
      <c r="CB56" s="105">
        <v>0.23835855853364085</v>
      </c>
      <c r="CC56" s="105">
        <v>0.1330701558452049</v>
      </c>
      <c r="CD56" s="105">
        <v>0.21368198382413617</v>
      </c>
      <c r="CE56" s="105">
        <v>9.0777028633136858E-2</v>
      </c>
      <c r="CF56" s="105">
        <v>0.11650411084029659</v>
      </c>
      <c r="CG56" s="105">
        <v>0.1274999170783537</v>
      </c>
      <c r="CH56" s="105">
        <v>0.1015282746903086</v>
      </c>
      <c r="CI56" s="105">
        <v>0.15695549527014435</v>
      </c>
      <c r="CJ56" s="105">
        <v>0.15236971859461082</v>
      </c>
      <c r="CK56" s="105">
        <v>0.11794588791774067</v>
      </c>
      <c r="CL56" s="105">
        <v>0.12236966136366811</v>
      </c>
      <c r="CM56" s="105">
        <v>0.17601381143520517</v>
      </c>
      <c r="CN56" s="105">
        <v>0.15935775979760797</v>
      </c>
      <c r="CO56" s="105">
        <v>0.17802516755034128</v>
      </c>
      <c r="CP56" s="105">
        <v>9.3069412705391749E-2</v>
      </c>
      <c r="CQ56" s="105">
        <v>0.16271874624662375</v>
      </c>
      <c r="CR56" s="105">
        <v>0.16548911529587065</v>
      </c>
      <c r="CS56" s="105">
        <v>0.11097114766987014</v>
      </c>
      <c r="CT56" s="105">
        <v>0.12452264442175133</v>
      </c>
      <c r="CU56" s="105">
        <v>0.15017970762324304</v>
      </c>
      <c r="CV56" s="105">
        <v>0.15002888835486539</v>
      </c>
      <c r="CW56" s="105">
        <v>0.17224123377973394</v>
      </c>
      <c r="CX56" s="105">
        <v>0.1668267352761765</v>
      </c>
    </row>
    <row r="57" spans="1:102" s="104" customFormat="1">
      <c r="A57" s="88" t="str">
        <f>Parameters!A44</f>
        <v>Schuld deflatie</v>
      </c>
      <c r="B57" s="102" t="s">
        <v>29</v>
      </c>
      <c r="C57" s="103">
        <v>-0.11129898792232373</v>
      </c>
      <c r="D57" s="103">
        <v>-9.8557555936110403E-2</v>
      </c>
      <c r="E57" s="103">
        <v>-9.7624977965944354E-2</v>
      </c>
      <c r="F57" s="103">
        <v>-0.10390922964421637</v>
      </c>
      <c r="G57" s="103">
        <v>-0.10517316363114569</v>
      </c>
      <c r="H57" s="103">
        <v>-9.4199899409938753E-2</v>
      </c>
      <c r="I57" s="103">
        <v>-8.9415689191336772E-2</v>
      </c>
      <c r="J57" s="103">
        <v>-0.10545682865819656</v>
      </c>
      <c r="K57" s="103">
        <v>-9.41507060272401E-2</v>
      </c>
      <c r="L57" s="103">
        <v>-9.3739395142282633E-2</v>
      </c>
      <c r="M57" s="103">
        <v>-9.8131676787067135E-2</v>
      </c>
      <c r="N57" s="103">
        <v>-0.11493964659649469</v>
      </c>
      <c r="O57" s="103">
        <v>-0.10685222537871519</v>
      </c>
      <c r="P57" s="103">
        <v>-9.4741188557720929E-2</v>
      </c>
      <c r="Q57" s="103">
        <v>-0.10728172635694849</v>
      </c>
      <c r="R57" s="103">
        <v>-0.10553430763222094</v>
      </c>
      <c r="S57" s="103">
        <v>-0.11077547774481608</v>
      </c>
      <c r="T57" s="103">
        <v>-8.380011266512187E-2</v>
      </c>
      <c r="U57" s="103">
        <v>-8.9701782109153902E-2</v>
      </c>
      <c r="V57" s="103">
        <v>-8.5483816811448177E-2</v>
      </c>
      <c r="W57" s="103">
        <v>-9.2109484456237525E-2</v>
      </c>
      <c r="X57" s="103">
        <v>-8.8243292654593269E-2</v>
      </c>
      <c r="Y57" s="103">
        <v>-9.9290485465257233E-2</v>
      </c>
      <c r="Z57" s="103">
        <v>-9.5503951900905798E-2</v>
      </c>
      <c r="AA57" s="103">
        <v>-9.5303987548302382E-2</v>
      </c>
      <c r="AB57" s="103">
        <v>-7.7434657341188748E-2</v>
      </c>
      <c r="AC57" s="103">
        <v>-9.2215699122595945E-2</v>
      </c>
      <c r="AD57" s="103">
        <v>-9.2283437758767323E-2</v>
      </c>
      <c r="AE57" s="103">
        <v>-7.4167029109527549E-2</v>
      </c>
      <c r="AF57" s="103">
        <v>-9.0322661173598731E-2</v>
      </c>
      <c r="AG57" s="103">
        <v>-9.1249586917933515E-2</v>
      </c>
      <c r="AH57" s="103">
        <v>-8.7682870235234009E-2</v>
      </c>
      <c r="AI57" s="103">
        <v>-8.497924841097329E-2</v>
      </c>
      <c r="AJ57" s="103">
        <v>-7.9909181276714397E-2</v>
      </c>
      <c r="AK57" s="103">
        <v>-0.10061082653026204</v>
      </c>
      <c r="AL57" s="103">
        <v>-9.307259896632962E-2</v>
      </c>
      <c r="AM57" s="103">
        <v>-0.10236365962302843</v>
      </c>
      <c r="AN57" s="103">
        <v>-9.2113625942113586E-2</v>
      </c>
      <c r="AO57" s="103">
        <v>-7.9960580542292214E-2</v>
      </c>
      <c r="AP57" s="103">
        <v>-8.1670325327193177E-2</v>
      </c>
      <c r="AQ57" s="103">
        <v>-7.5560552536141842E-2</v>
      </c>
      <c r="AR57" s="103">
        <v>-9.6917790582997043E-2</v>
      </c>
      <c r="AS57" s="103">
        <v>-9.6326155006681208E-2</v>
      </c>
      <c r="AT57" s="103">
        <v>-9.8051793233817228E-2</v>
      </c>
      <c r="AU57" s="103">
        <v>-7.2265828885246963E-2</v>
      </c>
      <c r="AV57" s="103">
        <v>-7.7984278051937625E-2</v>
      </c>
      <c r="AW57" s="103">
        <v>-7.703461869385772E-2</v>
      </c>
      <c r="AX57" s="103">
        <v>-8.914693663442505E-2</v>
      </c>
      <c r="AY57" s="103">
        <v>-7.7166064225260358E-2</v>
      </c>
      <c r="AZ57" s="103">
        <v>-9.6548232028375869E-2</v>
      </c>
      <c r="BA57" s="103">
        <v>-8.4657859647177203E-2</v>
      </c>
      <c r="BB57" s="103">
        <v>-0.10472155477047375</v>
      </c>
      <c r="BC57" s="103">
        <v>-7.6624584803135942E-2</v>
      </c>
      <c r="BD57" s="103">
        <v>-6.9517651113591206E-2</v>
      </c>
      <c r="BE57" s="103">
        <v>-6.80315422984826E-2</v>
      </c>
      <c r="BF57" s="103">
        <v>-9.32603848514406E-2</v>
      </c>
      <c r="BG57" s="103">
        <v>-0.10241387615564615</v>
      </c>
      <c r="BH57" s="103">
        <v>-9.3614394743713997E-2</v>
      </c>
      <c r="BI57" s="103">
        <v>-7.3434561355038452E-2</v>
      </c>
      <c r="BJ57" s="103">
        <v>-9.2560600138200805E-2</v>
      </c>
      <c r="BK57" s="103">
        <v>-9.5887691583232598E-2</v>
      </c>
      <c r="BL57" s="103">
        <v>-9.2760640687507515E-2</v>
      </c>
      <c r="BM57" s="103">
        <v>-8.8096539869996146E-2</v>
      </c>
      <c r="BN57" s="103">
        <v>-8.8622388662905491E-2</v>
      </c>
      <c r="BO57" s="103">
        <v>-7.0138458467732312E-2</v>
      </c>
      <c r="BP57" s="103">
        <v>-8.6940210480979607E-2</v>
      </c>
      <c r="BQ57" s="103">
        <v>-7.7269973674939624E-2</v>
      </c>
      <c r="BR57" s="103">
        <v>-9.197456816248166E-2</v>
      </c>
      <c r="BS57" s="103">
        <v>-7.354786525246218E-2</v>
      </c>
      <c r="BT57" s="103">
        <v>-6.7093880334852113E-2</v>
      </c>
      <c r="BU57" s="103">
        <v>-8.7367361208903135E-2</v>
      </c>
      <c r="BV57" s="103">
        <v>-7.5729129974644566E-2</v>
      </c>
      <c r="BW57" s="103">
        <v>-7.780185777076698E-2</v>
      </c>
      <c r="BX57" s="103">
        <v>-0.10346526355889124</v>
      </c>
      <c r="BY57" s="103">
        <v>-0.1007465297811922</v>
      </c>
      <c r="BZ57" s="103">
        <v>-9.3086342450785065E-2</v>
      </c>
      <c r="CA57" s="103">
        <v>-7.970863784138546E-2</v>
      </c>
      <c r="CB57" s="103">
        <v>-7.9613469126770961E-2</v>
      </c>
      <c r="CC57" s="103">
        <v>-7.7492326233058309E-2</v>
      </c>
      <c r="CD57" s="103">
        <v>-9.1035321233832969E-2</v>
      </c>
      <c r="CE57" s="103">
        <v>-7.803852604791392E-2</v>
      </c>
      <c r="CF57" s="103">
        <v>-9.9837701560040543E-2</v>
      </c>
      <c r="CG57" s="103">
        <v>-9.4208522846474588E-2</v>
      </c>
      <c r="CH57" s="103">
        <v>-6.8145179026014829E-2</v>
      </c>
      <c r="CI57" s="103">
        <v>-7.9829757875946317E-2</v>
      </c>
      <c r="CJ57" s="103">
        <v>-8.6183604277912149E-2</v>
      </c>
      <c r="CK57" s="103">
        <v>-7.4261039019929781E-2</v>
      </c>
      <c r="CL57" s="103">
        <v>-9.2999616481291791E-2</v>
      </c>
      <c r="CM57" s="103">
        <v>-6.4875375767339954E-2</v>
      </c>
      <c r="CN57" s="103">
        <v>-0.10842632380525273</v>
      </c>
      <c r="CO57" s="103">
        <v>-8.9440839348482723E-2</v>
      </c>
      <c r="CP57" s="103">
        <v>-7.9442556529017438E-2</v>
      </c>
      <c r="CQ57" s="103">
        <v>-7.5073042313531457E-2</v>
      </c>
      <c r="CR57" s="103">
        <v>-7.5294526714713372E-2</v>
      </c>
      <c r="CS57" s="103">
        <v>-7.5850544078010895E-2</v>
      </c>
      <c r="CT57" s="103">
        <v>-8.526161039733908E-2</v>
      </c>
      <c r="CU57" s="103">
        <v>-8.8233048054671026E-2</v>
      </c>
      <c r="CV57" s="103">
        <v>-8.738411125499243E-2</v>
      </c>
      <c r="CW57" s="103">
        <v>-9.7597169285907531E-2</v>
      </c>
      <c r="CX57" s="103">
        <v>-9.9584289047534913E-2</v>
      </c>
    </row>
    <row r="58" spans="1:102" s="23" customFormat="1">
      <c r="B58" s="14" t="s">
        <v>30</v>
      </c>
      <c r="C58" s="105">
        <v>9.156941002035833E-2</v>
      </c>
      <c r="D58" s="105">
        <v>7.6153645651765772E-2</v>
      </c>
      <c r="E58" s="105">
        <v>8.0770601923439017E-2</v>
      </c>
      <c r="F58" s="105">
        <v>6.4629116730576974E-2</v>
      </c>
      <c r="G58" s="105">
        <v>7.0608064699923617E-2</v>
      </c>
      <c r="H58" s="105">
        <v>8.7438803923118771E-2</v>
      </c>
      <c r="I58" s="105">
        <v>6.8799921127100205E-2</v>
      </c>
      <c r="J58" s="105">
        <v>7.6229757318027544E-2</v>
      </c>
      <c r="K58" s="105">
        <v>7.2325334391563148E-2</v>
      </c>
      <c r="L58" s="105">
        <v>7.2143775004806551E-2</v>
      </c>
      <c r="M58" s="105">
        <v>7.4693907542359161E-2</v>
      </c>
      <c r="N58" s="105">
        <v>7.3017335689731414E-2</v>
      </c>
      <c r="O58" s="105">
        <v>7.6680646981548417E-2</v>
      </c>
      <c r="P58" s="105">
        <v>7.9324846741939611E-2</v>
      </c>
      <c r="Q58" s="105">
        <v>6.9384399287783532E-2</v>
      </c>
      <c r="R58" s="105">
        <v>8.1310897470512788E-2</v>
      </c>
      <c r="S58" s="105">
        <v>7.4863778784699062E-2</v>
      </c>
      <c r="T58" s="105">
        <v>6.7757942879924732E-2</v>
      </c>
      <c r="U58" s="105">
        <v>6.9295489417257813E-2</v>
      </c>
      <c r="V58" s="105">
        <v>6.9725947210957429E-2</v>
      </c>
      <c r="W58" s="105">
        <v>8.5487819559121131E-2</v>
      </c>
      <c r="X58" s="105">
        <v>6.2438066516352947E-2</v>
      </c>
      <c r="Y58" s="105">
        <v>7.9376547902628602E-2</v>
      </c>
      <c r="Z58" s="105">
        <v>5.9256216042344809E-2</v>
      </c>
      <c r="AA58" s="105">
        <v>6.7884189165645578E-2</v>
      </c>
      <c r="AB58" s="105">
        <v>7.1966196886251055E-2</v>
      </c>
      <c r="AC58" s="105">
        <v>7.7034539697391005E-2</v>
      </c>
      <c r="AD58" s="105">
        <v>7.6664208332558936E-2</v>
      </c>
      <c r="AE58" s="105">
        <v>6.8445885240608906E-2</v>
      </c>
      <c r="AF58" s="105">
        <v>6.3025851183554735E-2</v>
      </c>
      <c r="AG58" s="105">
        <v>7.6430636843432431E-2</v>
      </c>
      <c r="AH58" s="105">
        <v>7.9265889385368715E-2</v>
      </c>
      <c r="AI58" s="105">
        <v>7.1126475295518812E-2</v>
      </c>
      <c r="AJ58" s="105">
        <v>7.0524557192765333E-2</v>
      </c>
      <c r="AK58" s="105">
        <v>7.4463684604477193E-2</v>
      </c>
      <c r="AL58" s="105">
        <v>5.8114732215257446E-2</v>
      </c>
      <c r="AM58" s="105">
        <v>6.2827663046622406E-2</v>
      </c>
      <c r="AN58" s="105">
        <v>6.4241357354450829E-2</v>
      </c>
      <c r="AO58" s="105">
        <v>8.1290993787585711E-2</v>
      </c>
      <c r="AP58" s="105">
        <v>7.0033069838325912E-2</v>
      </c>
      <c r="AQ58" s="105">
        <v>6.8458766380090408E-2</v>
      </c>
      <c r="AR58" s="105">
        <v>8.3918569857963463E-2</v>
      </c>
      <c r="AS58" s="105">
        <v>6.8205178751815976E-2</v>
      </c>
      <c r="AT58" s="105">
        <v>8.5301902513455014E-2</v>
      </c>
      <c r="AU58" s="105">
        <v>6.7974156365356447E-2</v>
      </c>
      <c r="AV58" s="105">
        <v>7.403975844224174E-2</v>
      </c>
      <c r="AW58" s="105">
        <v>7.3036296676643978E-2</v>
      </c>
      <c r="AX58" s="105">
        <v>7.6458982362041267E-2</v>
      </c>
      <c r="AY58" s="105">
        <v>7.2450038542741332E-2</v>
      </c>
      <c r="AZ58" s="105">
        <v>8.3892659802002501E-2</v>
      </c>
      <c r="BA58" s="105">
        <v>7.957564991773837E-2</v>
      </c>
      <c r="BB58" s="105">
        <v>8.1786875234169679E-2</v>
      </c>
      <c r="BC58" s="105">
        <v>7.0949285417103311E-2</v>
      </c>
      <c r="BD58" s="105">
        <v>7.6480946173992551E-2</v>
      </c>
      <c r="BE58" s="105">
        <v>7.0039581566418249E-2</v>
      </c>
      <c r="BF58" s="105">
        <v>7.8731380273234286E-2</v>
      </c>
      <c r="BG58" s="105">
        <v>7.1915447789333176E-2</v>
      </c>
      <c r="BH58" s="105">
        <v>8.6941036172841893E-2</v>
      </c>
      <c r="BI58" s="105">
        <v>7.2075282747460473E-2</v>
      </c>
      <c r="BJ58" s="105">
        <v>6.5744555476089372E-2</v>
      </c>
      <c r="BK58" s="105">
        <v>6.3729132330255386E-2</v>
      </c>
      <c r="BL58" s="105">
        <v>7.8875663049749023E-2</v>
      </c>
      <c r="BM58" s="105">
        <v>6.9658956427497531E-2</v>
      </c>
      <c r="BN58" s="105">
        <v>8.180819989928402E-2</v>
      </c>
      <c r="BO58" s="105">
        <v>6.7665487707970776E-2</v>
      </c>
      <c r="BP58" s="105">
        <v>6.8614669229500311E-2</v>
      </c>
      <c r="BQ58" s="105">
        <v>6.739749563121375E-2</v>
      </c>
      <c r="BR58" s="105">
        <v>7.125753755953633E-2</v>
      </c>
      <c r="BS58" s="105">
        <v>6.8036524404876675E-2</v>
      </c>
      <c r="BT58" s="105">
        <v>6.2845201036602572E-2</v>
      </c>
      <c r="BU58" s="105">
        <v>6.2341152575525229E-2</v>
      </c>
      <c r="BV58" s="105">
        <v>7.1641715242263412E-2</v>
      </c>
      <c r="BW58" s="105">
        <v>6.6720012353384081E-2</v>
      </c>
      <c r="BX58" s="105">
        <v>7.8431002972061278E-2</v>
      </c>
      <c r="BY58" s="105">
        <v>6.9644483173494337E-2</v>
      </c>
      <c r="BZ58" s="105">
        <v>5.5392453450412903E-2</v>
      </c>
      <c r="CA58" s="105">
        <v>6.5875868917951094E-2</v>
      </c>
      <c r="CB58" s="105">
        <v>7.2372250840965935E-2</v>
      </c>
      <c r="CC58" s="105">
        <v>6.4196484407819748E-2</v>
      </c>
      <c r="CD58" s="105">
        <v>8.9369685975198232E-2</v>
      </c>
      <c r="CE58" s="105">
        <v>7.0153525755062007E-2</v>
      </c>
      <c r="CF58" s="105">
        <v>7.6701477394118117E-2</v>
      </c>
      <c r="CG58" s="105">
        <v>7.7993144466165301E-2</v>
      </c>
      <c r="CH58" s="105">
        <v>6.355153132680956E-2</v>
      </c>
      <c r="CI58" s="105">
        <v>6.6027915917755753E-2</v>
      </c>
      <c r="CJ58" s="105">
        <v>7.4619534468259682E-2</v>
      </c>
      <c r="CK58" s="105">
        <v>6.7551439593179455E-2</v>
      </c>
      <c r="CL58" s="105">
        <v>6.7201475840297814E-2</v>
      </c>
      <c r="CM58" s="105">
        <v>7.241907471523483E-2</v>
      </c>
      <c r="CN58" s="105">
        <v>7.1651858290806961E-2</v>
      </c>
      <c r="CO58" s="105">
        <v>8.6403359201482871E-2</v>
      </c>
      <c r="CP58" s="105">
        <v>6.8696293382345688E-2</v>
      </c>
      <c r="CQ58" s="105">
        <v>6.704572350087179E-2</v>
      </c>
      <c r="CR58" s="105">
        <v>7.0270628463396601E-2</v>
      </c>
      <c r="CS58" s="105">
        <v>6.6342031073743979E-2</v>
      </c>
      <c r="CT58" s="105">
        <v>6.8465238751605803E-2</v>
      </c>
      <c r="CU58" s="105">
        <v>7.8925596572494636E-2</v>
      </c>
      <c r="CV58" s="105">
        <v>5.5803454938364964E-2</v>
      </c>
      <c r="CW58" s="105">
        <v>6.829910469761169E-2</v>
      </c>
      <c r="CX58" s="105">
        <v>7.4994815879262419E-2</v>
      </c>
    </row>
    <row r="59" spans="1:102" s="23" customFormat="1">
      <c r="B59" s="56" t="s">
        <v>56</v>
      </c>
      <c r="C59" s="105">
        <v>8.7556150767324009E-2</v>
      </c>
      <c r="D59" s="105">
        <v>7.9929933561142585E-2</v>
      </c>
      <c r="E59" s="105">
        <v>8.4151613418170026E-2</v>
      </c>
      <c r="F59" s="105">
        <v>7.5713821166112777E-2</v>
      </c>
      <c r="G59" s="105">
        <v>8.0503071537353157E-2</v>
      </c>
      <c r="H59" s="105">
        <v>9.0993765085203279E-2</v>
      </c>
      <c r="I59" s="105">
        <v>8.0140338953446355E-2</v>
      </c>
      <c r="J59" s="105">
        <v>8.117772844496883E-2</v>
      </c>
      <c r="K59" s="105">
        <v>8.3342389422415106E-2</v>
      </c>
      <c r="L59" s="105">
        <v>7.7587224982231764E-2</v>
      </c>
      <c r="M59" s="105">
        <v>8.0193546663925572E-2</v>
      </c>
      <c r="N59" s="105">
        <v>7.4047486564660286E-2</v>
      </c>
      <c r="O59" s="105">
        <v>7.6344171439743161E-2</v>
      </c>
      <c r="P59" s="105">
        <v>8.2726899666417594E-2</v>
      </c>
      <c r="Q59" s="105">
        <v>7.7765422750897803E-2</v>
      </c>
      <c r="R59" s="105">
        <v>8.4703980677757265E-2</v>
      </c>
      <c r="S59" s="105">
        <v>7.5341541785423641E-2</v>
      </c>
      <c r="T59" s="105">
        <v>8.1585270215773623E-2</v>
      </c>
      <c r="U59" s="105">
        <v>8.3528256027982056E-2</v>
      </c>
      <c r="V59" s="105">
        <v>8.4845702787654714E-2</v>
      </c>
      <c r="W59" s="105">
        <v>9.0236624248775585E-2</v>
      </c>
      <c r="X59" s="105">
        <v>7.9214069140954357E-2</v>
      </c>
      <c r="Y59" s="105">
        <v>8.0716857071854692E-2</v>
      </c>
      <c r="Z59" s="105">
        <v>7.4636625533633968E-2</v>
      </c>
      <c r="AA59" s="105">
        <v>7.6301713832329671E-2</v>
      </c>
      <c r="AB59" s="105">
        <v>8.425859885829072E-2</v>
      </c>
      <c r="AC59" s="105">
        <v>8.2402862515824793E-2</v>
      </c>
      <c r="AD59" s="105">
        <v>7.7377851929988639E-2</v>
      </c>
      <c r="AE59" s="105">
        <v>7.7358311552882864E-2</v>
      </c>
      <c r="AF59" s="105">
        <v>7.8577328825997689E-2</v>
      </c>
      <c r="AG59" s="105">
        <v>8.4021331355786585E-2</v>
      </c>
      <c r="AH59" s="105">
        <v>8.6097013246634838E-2</v>
      </c>
      <c r="AI59" s="105">
        <v>8.0669029209604559E-2</v>
      </c>
      <c r="AJ59" s="105">
        <v>8.0652334959052469E-2</v>
      </c>
      <c r="AK59" s="105">
        <v>7.7642299735883505E-2</v>
      </c>
      <c r="AL59" s="105">
        <v>7.4077326878757149E-2</v>
      </c>
      <c r="AM59" s="105">
        <v>6.9308024848706129E-2</v>
      </c>
      <c r="AN59" s="105">
        <v>7.8293650336439272E-2</v>
      </c>
      <c r="AO59" s="105">
        <v>8.8277542088982225E-2</v>
      </c>
      <c r="AP59" s="105">
        <v>8.132435277414779E-2</v>
      </c>
      <c r="AQ59" s="105">
        <v>7.6722191918892055E-2</v>
      </c>
      <c r="AR59" s="105">
        <v>8.464173465261661E-2</v>
      </c>
      <c r="AS59" s="105">
        <v>7.9248568560219224E-2</v>
      </c>
      <c r="AT59" s="105">
        <v>8.9177268423569073E-2</v>
      </c>
      <c r="AU59" s="105">
        <v>8.0516917661299883E-2</v>
      </c>
      <c r="AV59" s="105">
        <v>8.3885394364106788E-2</v>
      </c>
      <c r="AW59" s="105">
        <v>8.6045894907880088E-2</v>
      </c>
      <c r="AX59" s="105">
        <v>8.2986891443673827E-2</v>
      </c>
      <c r="AY59" s="105">
        <v>8.2011425878346464E-2</v>
      </c>
      <c r="AZ59" s="105">
        <v>8.8323011435803109E-2</v>
      </c>
      <c r="BA59" s="105">
        <v>8.7841888425256975E-2</v>
      </c>
      <c r="BB59" s="105">
        <v>7.6375669699086976E-2</v>
      </c>
      <c r="BC59" s="105">
        <v>8.3955175479268576E-2</v>
      </c>
      <c r="BD59" s="105">
        <v>8.6412028312229411E-2</v>
      </c>
      <c r="BE59" s="105">
        <v>8.2062188071828066E-2</v>
      </c>
      <c r="BF59" s="105">
        <v>8.3273094365375569E-2</v>
      </c>
      <c r="BG59" s="105">
        <v>7.4211944568643703E-2</v>
      </c>
      <c r="BH59" s="105">
        <v>8.9175720486295226E-2</v>
      </c>
      <c r="BI59" s="105">
        <v>8.5370282659507607E-2</v>
      </c>
      <c r="BJ59" s="105">
        <v>7.5861993534160566E-2</v>
      </c>
      <c r="BK59" s="105">
        <v>7.6930744615948898E-2</v>
      </c>
      <c r="BL59" s="105">
        <v>8.2939969127246965E-2</v>
      </c>
      <c r="BM59" s="105">
        <v>7.9903732380384548E-2</v>
      </c>
      <c r="BN59" s="105">
        <v>8.7389109215057478E-2</v>
      </c>
      <c r="BO59" s="105">
        <v>8.1513954342079198E-2</v>
      </c>
      <c r="BP59" s="105">
        <v>7.6716673669585969E-2</v>
      </c>
      <c r="BQ59" s="105">
        <v>8.189979829475276E-2</v>
      </c>
      <c r="BR59" s="105">
        <v>8.0282154686123569E-2</v>
      </c>
      <c r="BS59" s="105">
        <v>7.9915061340098098E-2</v>
      </c>
      <c r="BT59" s="105">
        <v>7.9454872640282115E-2</v>
      </c>
      <c r="BU59" s="105">
        <v>7.3797023067278131E-2</v>
      </c>
      <c r="BV59" s="105">
        <v>8.3588501826925413E-2</v>
      </c>
      <c r="BW59" s="105">
        <v>8.0951006147824106E-2</v>
      </c>
      <c r="BX59" s="105">
        <v>7.5535646595045636E-2</v>
      </c>
      <c r="BY59" s="105">
        <v>7.5434189859762885E-2</v>
      </c>
      <c r="BZ59" s="105">
        <v>6.9722656113988327E-2</v>
      </c>
      <c r="CA59" s="105">
        <v>7.567223248942509E-2</v>
      </c>
      <c r="CB59" s="105">
        <v>8.3266082414065662E-2</v>
      </c>
      <c r="CC59" s="105">
        <v>8.0602811398802876E-2</v>
      </c>
      <c r="CD59" s="105">
        <v>9.0247442806843534E-2</v>
      </c>
      <c r="CE59" s="105">
        <v>8.1699119583361984E-2</v>
      </c>
      <c r="CF59" s="105">
        <v>7.9275905780763309E-2</v>
      </c>
      <c r="CG59" s="105">
        <v>8.2944879100212685E-2</v>
      </c>
      <c r="CH59" s="105">
        <v>7.7070730618316499E-2</v>
      </c>
      <c r="CI59" s="105">
        <v>7.8290226554829423E-2</v>
      </c>
      <c r="CJ59" s="105">
        <v>8.0994471909581478E-2</v>
      </c>
      <c r="CK59" s="105">
        <v>8.0989968655869091E-2</v>
      </c>
      <c r="CL59" s="105">
        <v>7.5122735329670828E-2</v>
      </c>
      <c r="CM59" s="105">
        <v>8.3888915814120363E-2</v>
      </c>
      <c r="CN59" s="105">
        <v>6.9496361944776458E-2</v>
      </c>
      <c r="CO59" s="105">
        <v>8.9709853643495832E-2</v>
      </c>
      <c r="CP59" s="105">
        <v>7.9121435891830003E-2</v>
      </c>
      <c r="CQ59" s="105">
        <v>8.2919005363389447E-2</v>
      </c>
      <c r="CR59" s="105">
        <v>8.3014877665855358E-2</v>
      </c>
      <c r="CS59" s="105">
        <v>7.2957055067158882E-2</v>
      </c>
      <c r="CT59" s="105">
        <v>7.7238481682431581E-2</v>
      </c>
      <c r="CU59" s="105">
        <v>8.6208354324056533E-2</v>
      </c>
      <c r="CV59" s="105">
        <v>7.0760109239431948E-2</v>
      </c>
      <c r="CW59" s="105">
        <v>7.3543162580055776E-2</v>
      </c>
      <c r="CX59" s="105">
        <v>7.7690013519965101E-2</v>
      </c>
    </row>
    <row r="60" spans="1:102" s="23" customFormat="1">
      <c r="A60" s="106"/>
      <c r="B60" s="56" t="s">
        <v>114</v>
      </c>
      <c r="C60" s="105">
        <v>0.90735921071219738</v>
      </c>
      <c r="D60" s="105">
        <v>0.92299465281311277</v>
      </c>
      <c r="E60" s="105">
        <v>0.90864827032434803</v>
      </c>
      <c r="F60" s="105">
        <v>0.96100810909185541</v>
      </c>
      <c r="G60" s="105">
        <v>0.94857188699391748</v>
      </c>
      <c r="H60" s="105">
        <v>0.88330848018100072</v>
      </c>
      <c r="I60" s="105">
        <v>0.92577065537050651</v>
      </c>
      <c r="J60" s="105">
        <v>0.93506186776898526</v>
      </c>
      <c r="K60" s="105">
        <v>0.92507065123993815</v>
      </c>
      <c r="L60" s="105">
        <v>0.92477637855679595</v>
      </c>
      <c r="M60" s="105">
        <v>0.92614447080691897</v>
      </c>
      <c r="N60" s="105">
        <v>0.95646827288552361</v>
      </c>
      <c r="O60" s="105">
        <v>0.93623085202348411</v>
      </c>
      <c r="P60" s="105">
        <v>0.90665063834199311</v>
      </c>
      <c r="Q60" s="105">
        <v>0.95451647101342785</v>
      </c>
      <c r="R60" s="105">
        <v>0.92232646382553485</v>
      </c>
      <c r="S60" s="105">
        <v>0.94665705391468702</v>
      </c>
      <c r="T60" s="105">
        <v>0.91687299948575651</v>
      </c>
      <c r="U60" s="105">
        <v>0.92489524013845559</v>
      </c>
      <c r="V60" s="105">
        <v>0.91456533771628745</v>
      </c>
      <c r="W60" s="105">
        <v>0.88384570940014384</v>
      </c>
      <c r="X60" s="105">
        <v>0.94219288799139389</v>
      </c>
      <c r="Y60" s="105">
        <v>0.9157224105773788</v>
      </c>
      <c r="Z60" s="105">
        <v>0.96250051356805499</v>
      </c>
      <c r="AA60" s="105">
        <v>0.93957670674479432</v>
      </c>
      <c r="AB60" s="105">
        <v>0.88780563401819135</v>
      </c>
      <c r="AC60" s="105">
        <v>0.90772604363280052</v>
      </c>
      <c r="AD60" s="105">
        <v>0.90892667542057759</v>
      </c>
      <c r="AE60" s="105">
        <v>0.89059286944181082</v>
      </c>
      <c r="AF60" s="105">
        <v>0.94428180700709141</v>
      </c>
      <c r="AG60" s="105">
        <v>0.90736883592755224</v>
      </c>
      <c r="AH60" s="105">
        <v>0.8910897586324128</v>
      </c>
      <c r="AI60" s="105">
        <v>0.90912026139700086</v>
      </c>
      <c r="AJ60" s="105">
        <v>0.89882121353702049</v>
      </c>
      <c r="AK60" s="105">
        <v>0.93128544184393292</v>
      </c>
      <c r="AL60" s="105">
        <v>0.96193577250134688</v>
      </c>
      <c r="AM60" s="105">
        <v>0.96314767362171239</v>
      </c>
      <c r="AN60" s="105">
        <v>0.94402971413280268</v>
      </c>
      <c r="AO60" s="105">
        <v>0.86577709962572147</v>
      </c>
      <c r="AP60" s="105">
        <v>0.90472565847632569</v>
      </c>
      <c r="AQ60" s="105">
        <v>0.89431579035830144</v>
      </c>
      <c r="AR60" s="105">
        <v>0.89867997386276011</v>
      </c>
      <c r="AS60" s="105">
        <v>0.94049188690318364</v>
      </c>
      <c r="AT60" s="105">
        <v>0.89736844438148899</v>
      </c>
      <c r="AU60" s="105">
        <v>0.88690881084580231</v>
      </c>
      <c r="AV60" s="105">
        <v>0.88264991594129871</v>
      </c>
      <c r="AW60" s="105">
        <v>0.88330320371996907</v>
      </c>
      <c r="AX60" s="105">
        <v>0.90263857957113058</v>
      </c>
      <c r="AY60" s="105">
        <v>0.88553498671590292</v>
      </c>
      <c r="AZ60" s="105">
        <v>0.89796735288832119</v>
      </c>
      <c r="BA60" s="105">
        <v>0.88288499864131254</v>
      </c>
      <c r="BB60" s="105">
        <v>0.91964520881257161</v>
      </c>
      <c r="BC60" s="105">
        <v>0.88894500192084513</v>
      </c>
      <c r="BD60" s="105">
        <v>0.85076159956385022</v>
      </c>
      <c r="BE60" s="105">
        <v>0.86738321675774421</v>
      </c>
      <c r="BF60" s="105">
        <v>0.90516451470102854</v>
      </c>
      <c r="BG60" s="105">
        <v>0.94099010516569936</v>
      </c>
      <c r="BH60" s="105">
        <v>0.88332580394886329</v>
      </c>
      <c r="BI60" s="105">
        <v>0.87648695160553358</v>
      </c>
      <c r="BJ60" s="105">
        <v>0.94061843038125637</v>
      </c>
      <c r="BK60" s="105">
        <v>0.95169620215249973</v>
      </c>
      <c r="BL60" s="105">
        <v>0.90368156336878158</v>
      </c>
      <c r="BM60" s="105">
        <v>0.92047001575452614</v>
      </c>
      <c r="BN60" s="105">
        <v>0.88600097042017256</v>
      </c>
      <c r="BO60" s="105">
        <v>0.88185933078515621</v>
      </c>
      <c r="BP60" s="105">
        <v>0.92114574374324731</v>
      </c>
      <c r="BQ60" s="105">
        <v>0.90231484578128485</v>
      </c>
      <c r="BR60" s="105">
        <v>0.92379501113814044</v>
      </c>
      <c r="BS60" s="105">
        <v>0.89027379387552807</v>
      </c>
      <c r="BT60" s="105">
        <v>0.89003731836782318</v>
      </c>
      <c r="BU60" s="105">
        <v>0.94083801776564124</v>
      </c>
      <c r="BV60" s="105">
        <v>0.88427597136071778</v>
      </c>
      <c r="BW60" s="105">
        <v>0.90590875673390592</v>
      </c>
      <c r="BX60" s="105">
        <v>0.92600796648402506</v>
      </c>
      <c r="BY60" s="105">
        <v>0.94410169308498126</v>
      </c>
      <c r="BZ60" s="105">
        <v>0.96862916922781161</v>
      </c>
      <c r="CA60" s="105">
        <v>0.91336680958905725</v>
      </c>
      <c r="CB60" s="105">
        <v>0.89218454564012806</v>
      </c>
      <c r="CC60" s="105">
        <v>0.91354037751478412</v>
      </c>
      <c r="CD60" s="105">
        <v>0.87087401278532828</v>
      </c>
      <c r="CE60" s="105">
        <v>0.89524988545835271</v>
      </c>
      <c r="CF60" s="105">
        <v>0.92393030179334723</v>
      </c>
      <c r="CG60" s="105">
        <v>0.90924564906028116</v>
      </c>
      <c r="CH60" s="105">
        <v>0.89058306714415647</v>
      </c>
      <c r="CI60" s="105">
        <v>0.91316119783561089</v>
      </c>
      <c r="CJ60" s="105">
        <v>0.90129868391025603</v>
      </c>
      <c r="CK60" s="105">
        <v>0.89386744116470263</v>
      </c>
      <c r="CL60" s="105">
        <v>0.93732494852109483</v>
      </c>
      <c r="CM60" s="105">
        <v>0.84941272087570152</v>
      </c>
      <c r="CN60" s="105">
        <v>0.95081440107725312</v>
      </c>
      <c r="CO60" s="105">
        <v>0.87511143785047207</v>
      </c>
      <c r="CP60" s="105">
        <v>0.90354176376870687</v>
      </c>
      <c r="CQ60" s="105">
        <v>0.89775823879009864</v>
      </c>
      <c r="CR60" s="105">
        <v>0.88758804979721873</v>
      </c>
      <c r="CS60" s="105">
        <v>0.90217758746228383</v>
      </c>
      <c r="CT60" s="105">
        <v>0.91794587520936632</v>
      </c>
      <c r="CU60" s="105">
        <v>0.89336583314489015</v>
      </c>
      <c r="CV60" s="105">
        <v>0.95951861041844211</v>
      </c>
      <c r="CW60" s="105">
        <v>0.942415833308202</v>
      </c>
      <c r="CX60" s="105">
        <v>0.92802312808086818</v>
      </c>
    </row>
    <row r="61" spans="1:102" s="104" customFormat="1">
      <c r="A61" s="108" t="str">
        <f>Parameters!A45</f>
        <v>Kansgewogen</v>
      </c>
      <c r="B61" s="102" t="s">
        <v>29</v>
      </c>
      <c r="C61" s="103">
        <v>1.5877883356938422E-3</v>
      </c>
      <c r="D61" s="103">
        <v>1.3970844832178191E-3</v>
      </c>
      <c r="E61" s="103">
        <v>1.7979168992342215E-3</v>
      </c>
      <c r="F61" s="103">
        <v>1.7185004685041473E-3</v>
      </c>
      <c r="G61" s="103">
        <v>3.68453324474968E-3</v>
      </c>
      <c r="H61" s="103">
        <v>3.2777873285177953E-3</v>
      </c>
      <c r="I61" s="103">
        <v>3.2231259150327755E-3</v>
      </c>
      <c r="J61" s="103">
        <v>3.1274933252682072E-3</v>
      </c>
      <c r="K61" s="103">
        <v>3.9318851374837878E-3</v>
      </c>
      <c r="L61" s="103">
        <v>2.7498132647046309E-3</v>
      </c>
      <c r="M61" s="103">
        <v>4.7292265524690917E-3</v>
      </c>
      <c r="N61" s="103">
        <v>1.9723873772376152E-3</v>
      </c>
      <c r="O61" s="103">
        <v>2.3558284845968092E-3</v>
      </c>
      <c r="P61" s="103">
        <v>1.3062613754746912E-3</v>
      </c>
      <c r="Q61" s="103">
        <v>3.1074151296740216E-3</v>
      </c>
      <c r="R61" s="103">
        <v>3.6411457092900895E-3</v>
      </c>
      <c r="S61" s="103">
        <v>1.7243250167694991E-3</v>
      </c>
      <c r="T61" s="103">
        <v>2.1348176568266822E-3</v>
      </c>
      <c r="U61" s="103">
        <v>3.2767815899308072E-3</v>
      </c>
      <c r="V61" s="103">
        <v>3.5284583957052107E-3</v>
      </c>
      <c r="W61" s="103">
        <v>3.3205615278941066E-3</v>
      </c>
      <c r="X61" s="103">
        <v>2.2596907743929811E-3</v>
      </c>
      <c r="Y61" s="103">
        <v>1.5561464053351975E-3</v>
      </c>
      <c r="Z61" s="103">
        <v>1.4044202559320583E-3</v>
      </c>
      <c r="AA61" s="103">
        <v>3.293005096433238E-3</v>
      </c>
      <c r="AB61" s="103">
        <v>1.5674427604092296E-3</v>
      </c>
      <c r="AC61" s="103">
        <v>3.671000991802514E-3</v>
      </c>
      <c r="AD61" s="103">
        <v>2.3905278433825499E-3</v>
      </c>
      <c r="AE61" s="103">
        <v>4.4839045464150056E-3</v>
      </c>
      <c r="AF61" s="103">
        <v>2.1534157715854835E-3</v>
      </c>
      <c r="AG61" s="103">
        <v>2.939099178991887E-3</v>
      </c>
      <c r="AH61" s="103">
        <v>3.6895751324976505E-3</v>
      </c>
      <c r="AI61" s="103">
        <v>3.1972015155032328E-3</v>
      </c>
      <c r="AJ61" s="103">
        <v>3.0481519331094602E-3</v>
      </c>
      <c r="AK61" s="103">
        <v>1.4213501588278927E-3</v>
      </c>
      <c r="AL61" s="103">
        <v>1.1659808280481932E-3</v>
      </c>
      <c r="AM61" s="103">
        <v>1.0650098455959665E-4</v>
      </c>
      <c r="AN61" s="103">
        <v>3.469586539245199E-3</v>
      </c>
      <c r="AO61" s="103">
        <v>3.4941294205945678E-3</v>
      </c>
      <c r="AP61" s="103">
        <v>2.1599889922541233E-3</v>
      </c>
      <c r="AQ61" s="103">
        <v>3.2211633106888648E-3</v>
      </c>
      <c r="AR61" s="103">
        <v>2.1487898314753672E-3</v>
      </c>
      <c r="AS61" s="103">
        <v>3.3778376584301098E-3</v>
      </c>
      <c r="AT61" s="103">
        <v>4.6164496488516268E-3</v>
      </c>
      <c r="AU61" s="103">
        <v>3.6008001303042153E-3</v>
      </c>
      <c r="AV61" s="103">
        <v>1.5052304660874043E-3</v>
      </c>
      <c r="AW61" s="103">
        <v>4.8968299127661041E-3</v>
      </c>
      <c r="AX61" s="103">
        <v>2.0465371012680041E-3</v>
      </c>
      <c r="AY61" s="103">
        <v>4.2350659390067219E-3</v>
      </c>
      <c r="AZ61" s="103">
        <v>4.5538135600656556E-3</v>
      </c>
      <c r="BA61" s="103">
        <v>4.2182781647685484E-3</v>
      </c>
      <c r="BB61" s="103">
        <v>-8.612027037962198E-5</v>
      </c>
      <c r="BC61" s="103">
        <v>1.5297404944918779E-3</v>
      </c>
      <c r="BD61" s="103">
        <v>4.4126661893541903E-3</v>
      </c>
      <c r="BE61" s="103">
        <v>4.2067959860856942E-3</v>
      </c>
      <c r="BF61" s="103">
        <v>2.7467764900556695E-3</v>
      </c>
      <c r="BG61" s="103">
        <v>1.5758482052428253E-3</v>
      </c>
      <c r="BH61" s="103">
        <v>3.9280631403176914E-3</v>
      </c>
      <c r="BI61" s="103">
        <v>5.2158080167069428E-3</v>
      </c>
      <c r="BJ61" s="103">
        <v>3.4205835566875845E-3</v>
      </c>
      <c r="BK61" s="103">
        <v>2.7247065975877379E-3</v>
      </c>
      <c r="BL61" s="103">
        <v>1.9842288828891682E-3</v>
      </c>
      <c r="BM61" s="103">
        <v>2.5467474031993786E-3</v>
      </c>
      <c r="BN61" s="103">
        <v>3.9319490565936817E-3</v>
      </c>
      <c r="BO61" s="103">
        <v>4.340608496170407E-3</v>
      </c>
      <c r="BP61" s="103">
        <v>3.7939876789628369E-3</v>
      </c>
      <c r="BQ61" s="103">
        <v>1.5465377056332586E-3</v>
      </c>
      <c r="BR61" s="103">
        <v>4.2106359107620932E-3</v>
      </c>
      <c r="BS61" s="103">
        <v>4.5677310917569616E-3</v>
      </c>
      <c r="BT61" s="103">
        <v>2.6099507404744589E-3</v>
      </c>
      <c r="BU61" s="103">
        <v>1.7547773375598315E-3</v>
      </c>
      <c r="BV61" s="103">
        <v>3.3113164876854787E-3</v>
      </c>
      <c r="BW61" s="103">
        <v>1.7900381861229459E-3</v>
      </c>
      <c r="BX61" s="103">
        <v>1.62161855831676E-3</v>
      </c>
      <c r="BY61" s="103">
        <v>3.3015201775192203E-3</v>
      </c>
      <c r="BZ61" s="103">
        <v>9.7938443934071141E-4</v>
      </c>
      <c r="CA61" s="103">
        <v>3.954408720153282E-3</v>
      </c>
      <c r="CB61" s="103">
        <v>2.6726696680792559E-3</v>
      </c>
      <c r="CC61" s="103">
        <v>1.2300677526860919E-3</v>
      </c>
      <c r="CD61" s="103">
        <v>3.4987530745092779E-3</v>
      </c>
      <c r="CE61" s="103">
        <v>4.6950498019709391E-3</v>
      </c>
      <c r="CF61" s="103">
        <v>2.1688239706428593E-3</v>
      </c>
      <c r="CG61" s="103">
        <v>3.1013824610045494E-3</v>
      </c>
      <c r="CH61" s="103">
        <v>3.7782647412106947E-3</v>
      </c>
      <c r="CI61" s="103">
        <v>3.0894043220875971E-3</v>
      </c>
      <c r="CJ61" s="103">
        <v>1.6150114542255571E-3</v>
      </c>
      <c r="CK61" s="103">
        <v>3.0847704201355255E-3</v>
      </c>
      <c r="CL61" s="103">
        <v>2.1484249769263691E-3</v>
      </c>
      <c r="CM61" s="103">
        <v>5.1086539391410075E-3</v>
      </c>
      <c r="CN61" s="103">
        <v>3.2255672247477217E-4</v>
      </c>
      <c r="CO61" s="103">
        <v>4.1134763693862616E-3</v>
      </c>
      <c r="CP61" s="103">
        <v>3.9172839833500148E-3</v>
      </c>
      <c r="CQ61" s="103">
        <v>2.7484543682081515E-3</v>
      </c>
      <c r="CR61" s="103">
        <v>5.0706147377160855E-3</v>
      </c>
      <c r="CS61" s="103">
        <v>3.1822313615249174E-3</v>
      </c>
      <c r="CT61" s="103">
        <v>2.614850513512196E-3</v>
      </c>
      <c r="CU61" s="103">
        <v>3.9967737468355816E-3</v>
      </c>
      <c r="CV61" s="103">
        <v>1.182774963117111E-3</v>
      </c>
      <c r="CW61" s="103">
        <v>2.1145084110913226E-3</v>
      </c>
      <c r="CX61" s="103">
        <v>2.698747033506086E-3</v>
      </c>
    </row>
    <row r="62" spans="1:102" s="23" customFormat="1">
      <c r="B62" s="14" t="s">
        <v>30</v>
      </c>
      <c r="C62" s="105">
        <v>7.7243556776051103E-2</v>
      </c>
      <c r="D62" s="105">
        <v>7.0141000264259915E-2</v>
      </c>
      <c r="E62" s="105">
        <v>6.9657878496152667E-2</v>
      </c>
      <c r="F62" s="105">
        <v>7.2684736266811281E-2</v>
      </c>
      <c r="G62" s="105">
        <v>7.3748933206877948E-2</v>
      </c>
      <c r="H62" s="105">
        <v>7.0204791360970714E-2</v>
      </c>
      <c r="I62" s="105">
        <v>6.8781343753745866E-2</v>
      </c>
      <c r="J62" s="105">
        <v>7.1924756231685427E-2</v>
      </c>
      <c r="K62" s="105">
        <v>6.899994721020071E-2</v>
      </c>
      <c r="L62" s="105">
        <v>6.9713799845721958E-2</v>
      </c>
      <c r="M62" s="105">
        <v>7.1754914064593958E-2</v>
      </c>
      <c r="N62" s="105">
        <v>7.7165199625797792E-2</v>
      </c>
      <c r="O62" s="105">
        <v>7.3616495737816548E-2</v>
      </c>
      <c r="P62" s="105">
        <v>6.7529253635537287E-2</v>
      </c>
      <c r="Q62" s="105">
        <v>7.505250090873386E-2</v>
      </c>
      <c r="R62" s="105">
        <v>7.2646134161269527E-2</v>
      </c>
      <c r="S62" s="105">
        <v>7.4667681702008493E-2</v>
      </c>
      <c r="T62" s="105">
        <v>6.59000986562914E-2</v>
      </c>
      <c r="U62" s="105">
        <v>6.6211144348938406E-2</v>
      </c>
      <c r="V62" s="105">
        <v>6.5024635654870253E-2</v>
      </c>
      <c r="W62" s="105">
        <v>6.6848899814197532E-2</v>
      </c>
      <c r="X62" s="105">
        <v>6.5754721776410535E-2</v>
      </c>
      <c r="Y62" s="105">
        <v>6.9896304524119532E-2</v>
      </c>
      <c r="Z62" s="105">
        <v>6.8617565967916294E-2</v>
      </c>
      <c r="AA62" s="105">
        <v>7.0628701217496134E-2</v>
      </c>
      <c r="AB62" s="105">
        <v>6.3756750763145367E-2</v>
      </c>
      <c r="AC62" s="105">
        <v>6.7964499087047672E-2</v>
      </c>
      <c r="AD62" s="105">
        <v>6.9071407479542268E-2</v>
      </c>
      <c r="AE62" s="105">
        <v>6.8316462512517051E-2</v>
      </c>
      <c r="AF62" s="105">
        <v>6.6011165775213904E-2</v>
      </c>
      <c r="AG62" s="105">
        <v>6.6083012190120957E-2</v>
      </c>
      <c r="AH62" s="105">
        <v>6.7302528580458598E-2</v>
      </c>
      <c r="AI62" s="105">
        <v>6.6165729107440285E-2</v>
      </c>
      <c r="AJ62" s="105">
        <v>6.5423110590692113E-2</v>
      </c>
      <c r="AK62" s="105">
        <v>6.9841781859609584E-2</v>
      </c>
      <c r="AL62" s="105">
        <v>6.7271841637981347E-2</v>
      </c>
      <c r="AM62" s="105">
        <v>7.07223605268993E-2</v>
      </c>
      <c r="AN62" s="105">
        <v>6.6642960323401834E-2</v>
      </c>
      <c r="AO62" s="105">
        <v>6.4737553833010511E-2</v>
      </c>
      <c r="AP62" s="105">
        <v>6.2350082529957641E-2</v>
      </c>
      <c r="AQ62" s="105">
        <v>6.5328053028410285E-2</v>
      </c>
      <c r="AR62" s="105">
        <v>6.8100353205418546E-2</v>
      </c>
      <c r="AS62" s="105">
        <v>6.6669718705757774E-2</v>
      </c>
      <c r="AT62" s="105">
        <v>7.014978233520143E-2</v>
      </c>
      <c r="AU62" s="105">
        <v>6.311669011718074E-2</v>
      </c>
      <c r="AV62" s="105">
        <v>6.2242533458989883E-2</v>
      </c>
      <c r="AW62" s="105">
        <v>6.5278541699170453E-2</v>
      </c>
      <c r="AX62" s="105">
        <v>6.4519429745318366E-2</v>
      </c>
      <c r="AY62" s="105">
        <v>6.323185309110034E-2</v>
      </c>
      <c r="AZ62" s="105">
        <v>6.8668456962694482E-2</v>
      </c>
      <c r="BA62" s="105">
        <v>6.5752949604359678E-2</v>
      </c>
      <c r="BB62" s="105">
        <v>7.1804613716385468E-2</v>
      </c>
      <c r="BC62" s="105">
        <v>6.1513461174981972E-2</v>
      </c>
      <c r="BD62" s="105">
        <v>6.3303931051776396E-2</v>
      </c>
      <c r="BE62" s="105">
        <v>6.2496380700099226E-2</v>
      </c>
      <c r="BF62" s="105">
        <v>6.6898307736673476E-2</v>
      </c>
      <c r="BG62" s="105">
        <v>6.9789737613625863E-2</v>
      </c>
      <c r="BH62" s="105">
        <v>6.7752513556718297E-2</v>
      </c>
      <c r="BI62" s="105">
        <v>6.4492249131934951E-2</v>
      </c>
      <c r="BJ62" s="105">
        <v>6.7446338512720985E-2</v>
      </c>
      <c r="BK62" s="105">
        <v>6.7469415266535535E-2</v>
      </c>
      <c r="BL62" s="105">
        <v>6.7681656435266455E-2</v>
      </c>
      <c r="BM62" s="105">
        <v>6.5151602806291689E-2</v>
      </c>
      <c r="BN62" s="105">
        <v>6.580605795251443E-2</v>
      </c>
      <c r="BO62" s="105">
        <v>6.2084511393051031E-2</v>
      </c>
      <c r="BP62" s="105">
        <v>6.5659616438022581E-2</v>
      </c>
      <c r="BQ62" s="105">
        <v>6.0578128011041447E-2</v>
      </c>
      <c r="BR62" s="105">
        <v>6.8560376611888185E-2</v>
      </c>
      <c r="BS62" s="105">
        <v>6.4673263829731889E-2</v>
      </c>
      <c r="BT62" s="105">
        <v>6.0818181166817635E-2</v>
      </c>
      <c r="BU62" s="105">
        <v>6.4257100157449162E-2</v>
      </c>
      <c r="BV62" s="105">
        <v>6.0829910047985249E-2</v>
      </c>
      <c r="BW62" s="105">
        <v>6.1002438966978899E-2</v>
      </c>
      <c r="BX62" s="105">
        <v>7.0383563005569472E-2</v>
      </c>
      <c r="BY62" s="105">
        <v>6.8953423796019167E-2</v>
      </c>
      <c r="BZ62" s="105">
        <v>6.64837031379025E-2</v>
      </c>
      <c r="CA62" s="105">
        <v>6.5197075948994959E-2</v>
      </c>
      <c r="CB62" s="105">
        <v>6.1945430958202638E-2</v>
      </c>
      <c r="CC62" s="105">
        <v>6.1553663472037383E-2</v>
      </c>
      <c r="CD62" s="105">
        <v>6.6993869576237805E-2</v>
      </c>
      <c r="CE62" s="105">
        <v>6.6326123008421667E-2</v>
      </c>
      <c r="CF62" s="105">
        <v>6.9480223300754873E-2</v>
      </c>
      <c r="CG62" s="105">
        <v>6.6119856822023398E-2</v>
      </c>
      <c r="CH62" s="105">
        <v>6.2060773345254582E-2</v>
      </c>
      <c r="CI62" s="105">
        <v>6.1098544633613298E-2</v>
      </c>
      <c r="CJ62" s="105">
        <v>6.1999109541125488E-2</v>
      </c>
      <c r="CK62" s="105">
        <v>6.0911695661750767E-2</v>
      </c>
      <c r="CL62" s="105">
        <v>6.5138041019564163E-2</v>
      </c>
      <c r="CM62" s="105">
        <v>6.2515882999492012E-2</v>
      </c>
      <c r="CN62" s="105">
        <v>7.1576509693961149E-2</v>
      </c>
      <c r="CO62" s="105">
        <v>6.5900215658318273E-2</v>
      </c>
      <c r="CP62" s="105">
        <v>6.4259601870751165E-2</v>
      </c>
      <c r="CQ62" s="105">
        <v>5.8884329481120427E-2</v>
      </c>
      <c r="CR62" s="105">
        <v>6.2226885156237512E-2</v>
      </c>
      <c r="CS62" s="105">
        <v>6.5206458369675896E-2</v>
      </c>
      <c r="CT62" s="105">
        <v>6.4438680132346396E-2</v>
      </c>
      <c r="CU62" s="105">
        <v>6.6048606602463519E-2</v>
      </c>
      <c r="CV62" s="105">
        <v>6.3662767194131109E-2</v>
      </c>
      <c r="CW62" s="105">
        <v>6.6803186125230132E-2</v>
      </c>
      <c r="CX62" s="105">
        <v>6.6839461332137431E-2</v>
      </c>
    </row>
    <row r="63" spans="1:102" s="23" customFormat="1">
      <c r="B63" s="56" t="s">
        <v>56</v>
      </c>
      <c r="C63" s="105">
        <v>9.6876037867994924E-2</v>
      </c>
      <c r="D63" s="105">
        <v>9.2786547064470787E-2</v>
      </c>
      <c r="E63" s="105">
        <v>8.9406444021224135E-2</v>
      </c>
      <c r="F63" s="105">
        <v>9.1909459346163652E-2</v>
      </c>
      <c r="G63" s="105">
        <v>9.8933164143569799E-2</v>
      </c>
      <c r="H63" s="105">
        <v>9.8445838336484973E-2</v>
      </c>
      <c r="I63" s="105">
        <v>9.3887764326708339E-2</v>
      </c>
      <c r="J63" s="105">
        <v>9.5766361802338384E-2</v>
      </c>
      <c r="K63" s="105">
        <v>9.6790899469963859E-2</v>
      </c>
      <c r="L63" s="105">
        <v>9.3623729997731081E-2</v>
      </c>
      <c r="M63" s="105">
        <v>9.7575696272288182E-2</v>
      </c>
      <c r="N63" s="105">
        <v>9.7347437792269967E-2</v>
      </c>
      <c r="O63" s="105">
        <v>9.4112407747326876E-2</v>
      </c>
      <c r="P63" s="105">
        <v>8.8590113931875492E-2</v>
      </c>
      <c r="Q63" s="105">
        <v>9.7141389390893756E-2</v>
      </c>
      <c r="R63" s="105">
        <v>9.6748350011932799E-2</v>
      </c>
      <c r="S63" s="105">
        <v>9.4738980426989194E-2</v>
      </c>
      <c r="T63" s="105">
        <v>8.994085076970286E-2</v>
      </c>
      <c r="U63" s="105">
        <v>9.2997419897489234E-2</v>
      </c>
      <c r="V63" s="105">
        <v>9.4423270758886874E-2</v>
      </c>
      <c r="W63" s="105">
        <v>9.3253958787525848E-2</v>
      </c>
      <c r="X63" s="105">
        <v>9.3293304952745126E-2</v>
      </c>
      <c r="Y63" s="105">
        <v>9.5684207411243727E-2</v>
      </c>
      <c r="Z63" s="105">
        <v>9.2102749986948104E-2</v>
      </c>
      <c r="AA63" s="105">
        <v>9.5457178039717969E-2</v>
      </c>
      <c r="AB63" s="105">
        <v>9.0052808302617568E-2</v>
      </c>
      <c r="AC63" s="105">
        <v>9.4840527717638068E-2</v>
      </c>
      <c r="AD63" s="105">
        <v>8.9552495635451215E-2</v>
      </c>
      <c r="AE63" s="105">
        <v>0.10005073163581661</v>
      </c>
      <c r="AF63" s="105">
        <v>9.1437400815401845E-2</v>
      </c>
      <c r="AG63" s="105">
        <v>9.0271933498277154E-2</v>
      </c>
      <c r="AH63" s="105">
        <v>9.5077896692543087E-2</v>
      </c>
      <c r="AI63" s="105">
        <v>8.9415085380288334E-2</v>
      </c>
      <c r="AJ63" s="105">
        <v>8.9567527397608176E-2</v>
      </c>
      <c r="AK63" s="105">
        <v>8.4006673298689327E-2</v>
      </c>
      <c r="AL63" s="105">
        <v>9.123550657945817E-2</v>
      </c>
      <c r="AM63" s="105">
        <v>8.460432129327769E-2</v>
      </c>
      <c r="AN63" s="105">
        <v>9.8346417683779802E-2</v>
      </c>
      <c r="AO63" s="105">
        <v>9.907615900742224E-2</v>
      </c>
      <c r="AP63" s="105">
        <v>9.3118648834912804E-2</v>
      </c>
      <c r="AQ63" s="105">
        <v>9.2060038775376843E-2</v>
      </c>
      <c r="AR63" s="105">
        <v>9.3896976427257084E-2</v>
      </c>
      <c r="AS63" s="105">
        <v>9.2949069172211185E-2</v>
      </c>
      <c r="AT63" s="105">
        <v>9.6293617517417759E-2</v>
      </c>
      <c r="AU63" s="105">
        <v>9.3836109282035687E-2</v>
      </c>
      <c r="AV63" s="105">
        <v>8.829218682006218E-2</v>
      </c>
      <c r="AW63" s="105">
        <v>9.8385070533329441E-2</v>
      </c>
      <c r="AX63" s="105">
        <v>8.8234600672892932E-2</v>
      </c>
      <c r="AY63" s="105">
        <v>9.464551225588981E-2</v>
      </c>
      <c r="AZ63" s="105">
        <v>9.6059564570449521E-2</v>
      </c>
      <c r="BA63" s="105">
        <v>9.9552735303549439E-2</v>
      </c>
      <c r="BB63" s="105">
        <v>8.7449178683920839E-2</v>
      </c>
      <c r="BC63" s="105">
        <v>9.0656939869870445E-2</v>
      </c>
      <c r="BD63" s="105">
        <v>9.9726427228611317E-2</v>
      </c>
      <c r="BE63" s="105">
        <v>9.6506302850643377E-2</v>
      </c>
      <c r="BF63" s="105">
        <v>9.4333928916740195E-2</v>
      </c>
      <c r="BG63" s="105">
        <v>8.7606518877307277E-2</v>
      </c>
      <c r="BH63" s="105">
        <v>9.4967846602744294E-2</v>
      </c>
      <c r="BI63" s="105">
        <v>0.10037168076244345</v>
      </c>
      <c r="BJ63" s="105">
        <v>9.6393081182287663E-2</v>
      </c>
      <c r="BK63" s="105">
        <v>9.4011665530459754E-2</v>
      </c>
      <c r="BL63" s="105">
        <v>8.5430182972179788E-2</v>
      </c>
      <c r="BM63" s="105">
        <v>8.8141986389956947E-2</v>
      </c>
      <c r="BN63" s="105">
        <v>9.5185625279293362E-2</v>
      </c>
      <c r="BO63" s="105">
        <v>9.7941585940962375E-2</v>
      </c>
      <c r="BP63" s="105">
        <v>9.6193605682044991E-2</v>
      </c>
      <c r="BQ63" s="105">
        <v>9.0455186217777345E-2</v>
      </c>
      <c r="BR63" s="105">
        <v>9.6081780603040928E-2</v>
      </c>
      <c r="BS63" s="105">
        <v>9.896101465496504E-2</v>
      </c>
      <c r="BT63" s="105">
        <v>9.1541530805238039E-2</v>
      </c>
      <c r="BU63" s="105">
        <v>8.8354818784988548E-2</v>
      </c>
      <c r="BV63" s="105">
        <v>9.4874727915915377E-2</v>
      </c>
      <c r="BW63" s="105">
        <v>9.085861150042171E-2</v>
      </c>
      <c r="BX63" s="105">
        <v>8.4749500978815631E-2</v>
      </c>
      <c r="BY63" s="105">
        <v>9.3310796602626173E-2</v>
      </c>
      <c r="BZ63" s="105">
        <v>9.1340688183326316E-2</v>
      </c>
      <c r="CA63" s="105">
        <v>9.6757813020139846E-2</v>
      </c>
      <c r="CB63" s="105">
        <v>9.7051667183395224E-2</v>
      </c>
      <c r="CC63" s="105">
        <v>8.9463862081872902E-2</v>
      </c>
      <c r="CD63" s="105">
        <v>9.5777377790829121E-2</v>
      </c>
      <c r="CE63" s="105">
        <v>9.9118532498313747E-2</v>
      </c>
      <c r="CF63" s="105">
        <v>8.9905064329345016E-2</v>
      </c>
      <c r="CG63" s="105">
        <v>9.408884541157575E-2</v>
      </c>
      <c r="CH63" s="105">
        <v>9.6720274302987422E-2</v>
      </c>
      <c r="CI63" s="105">
        <v>9.1821324773367852E-2</v>
      </c>
      <c r="CJ63" s="105">
        <v>9.0800901154369812E-2</v>
      </c>
      <c r="CK63" s="105">
        <v>9.1267979355348999E-2</v>
      </c>
      <c r="CL63" s="105">
        <v>9.4087430589953738E-2</v>
      </c>
      <c r="CM63" s="105">
        <v>0.10056971221951105</v>
      </c>
      <c r="CN63" s="105">
        <v>8.5590834011006464E-2</v>
      </c>
      <c r="CO63" s="105">
        <v>9.6511880663762012E-2</v>
      </c>
      <c r="CP63" s="105">
        <v>9.6907840092838093E-2</v>
      </c>
      <c r="CQ63" s="105">
        <v>9.26988327474529E-2</v>
      </c>
      <c r="CR63" s="105">
        <v>9.8575544320906899E-2</v>
      </c>
      <c r="CS63" s="105">
        <v>9.2611874009957629E-2</v>
      </c>
      <c r="CT63" s="105">
        <v>8.6358563451882281E-2</v>
      </c>
      <c r="CU63" s="105">
        <v>9.4884561546602464E-2</v>
      </c>
      <c r="CV63" s="105">
        <v>9.1614201044096316E-2</v>
      </c>
      <c r="CW63" s="105">
        <v>9.4712465702056325E-2</v>
      </c>
      <c r="CX63" s="105">
        <v>9.0772749034908687E-2</v>
      </c>
    </row>
    <row r="64" spans="1:102" s="106" customFormat="1">
      <c r="B64" s="109" t="s">
        <v>114</v>
      </c>
      <c r="C64" s="107">
        <v>0.50178977066382058</v>
      </c>
      <c r="D64" s="107">
        <v>0.52967980592349528</v>
      </c>
      <c r="E64" s="107">
        <v>0.52154482131876678</v>
      </c>
      <c r="F64" s="107">
        <v>0.53965051948985199</v>
      </c>
      <c r="G64" s="107">
        <v>0.51116655996635285</v>
      </c>
      <c r="H64" s="107">
        <v>0.49749824185065472</v>
      </c>
      <c r="I64" s="107">
        <v>0.53074664294807961</v>
      </c>
      <c r="J64" s="107">
        <v>0.50332365371172416</v>
      </c>
      <c r="K64" s="107">
        <v>0.51105328881460188</v>
      </c>
      <c r="L64" s="107">
        <v>0.51971424321807169</v>
      </c>
      <c r="M64" s="107">
        <v>0.49701532295237322</v>
      </c>
      <c r="N64" s="107">
        <v>0.51195723854263553</v>
      </c>
      <c r="O64" s="107">
        <v>0.50922524842554751</v>
      </c>
      <c r="P64" s="107">
        <v>0.52399888799332972</v>
      </c>
      <c r="Q64" s="107">
        <v>0.51686807230003995</v>
      </c>
      <c r="R64" s="107">
        <v>0.49202832123067819</v>
      </c>
      <c r="S64" s="107">
        <v>0.51300509776346248</v>
      </c>
      <c r="T64" s="107">
        <v>0.54239637855235689</v>
      </c>
      <c r="U64" s="107">
        <v>0.52340419171741925</v>
      </c>
      <c r="V64" s="107">
        <v>0.52232910101201735</v>
      </c>
      <c r="W64" s="107">
        <v>0.49795753334642912</v>
      </c>
      <c r="X64" s="107">
        <v>0.54108194764523165</v>
      </c>
      <c r="Y64" s="107">
        <v>0.51555058130183107</v>
      </c>
      <c r="Z64" s="107">
        <v>0.55024662091744436</v>
      </c>
      <c r="AA64" s="107">
        <v>0.52127320796587528</v>
      </c>
      <c r="AB64" s="107">
        <v>0.54338296775911732</v>
      </c>
      <c r="AC64" s="107">
        <v>0.50296950245628902</v>
      </c>
      <c r="AD64" s="107">
        <v>0.5160348589706556</v>
      </c>
      <c r="AE64" s="107">
        <v>0.51782757246970568</v>
      </c>
      <c r="AF64" s="107">
        <v>0.53968353797074209</v>
      </c>
      <c r="AG64" s="107">
        <v>0.51248675199689409</v>
      </c>
      <c r="AH64" s="107">
        <v>0.50624229937752474</v>
      </c>
      <c r="AI64" s="107">
        <v>0.52483992154760284</v>
      </c>
      <c r="AJ64" s="107">
        <v>0.5301876016541458</v>
      </c>
      <c r="AK64" s="107">
        <v>0.52471637429529927</v>
      </c>
      <c r="AL64" s="107">
        <v>0.55346608112983997</v>
      </c>
      <c r="AM64" s="107">
        <v>0.54882601033480249</v>
      </c>
      <c r="AN64" s="107">
        <v>0.51796504962205303</v>
      </c>
      <c r="AO64" s="107">
        <v>0.50582993847119351</v>
      </c>
      <c r="AP64" s="107">
        <v>0.53177860187577908</v>
      </c>
      <c r="AQ64" s="107">
        <v>0.52720768204188229</v>
      </c>
      <c r="AR64" s="107">
        <v>0.50131473784002267</v>
      </c>
      <c r="AS64" s="107">
        <v>0.51108293319993947</v>
      </c>
      <c r="AT64" s="107">
        <v>0.47974743087010269</v>
      </c>
      <c r="AU64" s="107">
        <v>0.52755737839546957</v>
      </c>
      <c r="AV64" s="107">
        <v>0.53991149841250385</v>
      </c>
      <c r="AW64" s="107">
        <v>0.50931471389964655</v>
      </c>
      <c r="AX64" s="107">
        <v>0.51973369232833511</v>
      </c>
      <c r="AY64" s="107">
        <v>0.51296736258720799</v>
      </c>
      <c r="AZ64" s="107">
        <v>0.48025256799671634</v>
      </c>
      <c r="BA64" s="107">
        <v>0.49644644822857753</v>
      </c>
      <c r="BB64" s="107">
        <v>0.52156572047140948</v>
      </c>
      <c r="BC64" s="107">
        <v>0.54089949881518984</v>
      </c>
      <c r="BD64" s="107">
        <v>0.51009550945691895</v>
      </c>
      <c r="BE64" s="107">
        <v>0.5217205900127867</v>
      </c>
      <c r="BF64" s="107">
        <v>0.50519864489103539</v>
      </c>
      <c r="BG64" s="107">
        <v>0.51997317955027522</v>
      </c>
      <c r="BH64" s="107">
        <v>0.48344577680485989</v>
      </c>
      <c r="BI64" s="107">
        <v>0.50644032783093174</v>
      </c>
      <c r="BJ64" s="107">
        <v>0.51813920922955226</v>
      </c>
      <c r="BK64" s="107">
        <v>0.52707325599379129</v>
      </c>
      <c r="BL64" s="107">
        <v>0.51963891514555272</v>
      </c>
      <c r="BM64" s="107">
        <v>0.52709265088730151</v>
      </c>
      <c r="BN64" s="107">
        <v>0.49301632329470507</v>
      </c>
      <c r="BO64" s="107">
        <v>0.51918367879984495</v>
      </c>
      <c r="BP64" s="107">
        <v>0.51180560966010846</v>
      </c>
      <c r="BQ64" s="107">
        <v>0.54411994106833028</v>
      </c>
      <c r="BR64" s="107">
        <v>0.50423403331980177</v>
      </c>
      <c r="BS64" s="107">
        <v>0.51448159833495499</v>
      </c>
      <c r="BT64" s="107">
        <v>0.54714525727051422</v>
      </c>
      <c r="BU64" s="107">
        <v>0.54024366803979029</v>
      </c>
      <c r="BV64" s="107">
        <v>0.51985823905528505</v>
      </c>
      <c r="BW64" s="107">
        <v>0.54051757899975017</v>
      </c>
      <c r="BX64" s="107">
        <v>0.5087298348492113</v>
      </c>
      <c r="BY64" s="107">
        <v>0.50464064629075556</v>
      </c>
      <c r="BZ64" s="107">
        <v>0.55171693444193781</v>
      </c>
      <c r="CA64" s="107">
        <v>0.51830614227754412</v>
      </c>
      <c r="CB64" s="107">
        <v>0.51995555298904506</v>
      </c>
      <c r="CC64" s="107">
        <v>0.55042034515717497</v>
      </c>
      <c r="CD64" s="107">
        <v>0.48487536878287829</v>
      </c>
      <c r="CE64" s="107">
        <v>0.5101515825880738</v>
      </c>
      <c r="CF64" s="107">
        <v>0.508940046688104</v>
      </c>
      <c r="CG64" s="107">
        <v>0.49825626513763216</v>
      </c>
      <c r="CH64" s="107">
        <v>0.52946625068751918</v>
      </c>
      <c r="CI64" s="107">
        <v>0.52595063275254483</v>
      </c>
      <c r="CJ64" s="107">
        <v>0.52315500435173368</v>
      </c>
      <c r="CK64" s="107">
        <v>0.53245154286229346</v>
      </c>
      <c r="CL64" s="107">
        <v>0.52419369828866391</v>
      </c>
      <c r="CM64" s="107">
        <v>0.50857650699081902</v>
      </c>
      <c r="CN64" s="107">
        <v>0.5258017992505426</v>
      </c>
      <c r="CO64" s="107">
        <v>0.48227725905438984</v>
      </c>
      <c r="CP64" s="107">
        <v>0.5146651298978171</v>
      </c>
      <c r="CQ64" s="107">
        <v>0.53264015104982187</v>
      </c>
      <c r="CR64" s="107">
        <v>0.50322815144750588</v>
      </c>
      <c r="CS64" s="107">
        <v>0.52350935025801892</v>
      </c>
      <c r="CT64" s="107">
        <v>0.52708312639184718</v>
      </c>
      <c r="CU64" s="107">
        <v>0.49612165903188687</v>
      </c>
      <c r="CV64" s="107">
        <v>0.55234070789729173</v>
      </c>
      <c r="CW64" s="107">
        <v>0.5152716518158178</v>
      </c>
      <c r="CX64" s="107">
        <v>0.49803099666444639</v>
      </c>
    </row>
    <row r="65" spans="2:102" s="23" customFormat="1"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2:102">
      <c r="C66" s="112"/>
    </row>
    <row r="67" spans="2:102">
      <c r="C67" s="112"/>
    </row>
    <row r="68" spans="2:102">
      <c r="C68" s="112"/>
    </row>
    <row r="69" spans="2:102">
      <c r="C69" s="112"/>
    </row>
    <row r="70" spans="2:102">
      <c r="C70" s="112"/>
    </row>
    <row r="71" spans="2:102">
      <c r="C71" s="112"/>
    </row>
    <row r="77" spans="2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31" spans="3:3">
      <c r="C131" s="112"/>
    </row>
    <row r="141" spans="3:3">
      <c r="C141" s="112"/>
    </row>
    <row r="151" spans="3:3">
      <c r="C151" s="112"/>
    </row>
  </sheetData>
  <mergeCells count="33">
    <mergeCell ref="A31:B31"/>
    <mergeCell ref="A36:B36"/>
    <mergeCell ref="A37:B37"/>
    <mergeCell ref="A32:B32"/>
    <mergeCell ref="A33:B33"/>
    <mergeCell ref="A34:B34"/>
    <mergeCell ref="A35:B35"/>
    <mergeCell ref="A19:B19"/>
    <mergeCell ref="A24:B24"/>
    <mergeCell ref="A28:B28"/>
    <mergeCell ref="A29:B29"/>
    <mergeCell ref="A30:B30"/>
    <mergeCell ref="A25:B25"/>
    <mergeCell ref="A20:B20"/>
    <mergeCell ref="A21:B21"/>
    <mergeCell ref="A22:B22"/>
    <mergeCell ref="A27:B27"/>
    <mergeCell ref="A23:B23"/>
    <mergeCell ref="A15:B15"/>
    <mergeCell ref="A16:B16"/>
    <mergeCell ref="A17:B17"/>
    <mergeCell ref="A18:B18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</mergeCells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2"/>
  </sheetPr>
  <dimension ref="A1:CX151"/>
  <sheetViews>
    <sheetView workbookViewId="0">
      <selection activeCell="B70" sqref="B70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Parameters!A41</f>
        <v>Groei recessie</v>
      </c>
      <c r="C2" s="2" t="s">
        <v>129</v>
      </c>
      <c r="D2" s="1">
        <v>2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0.40025493045287802</v>
      </c>
      <c r="D4" s="95">
        <v>0.29740105058521843</v>
      </c>
      <c r="E4" s="95">
        <v>0.26359785453204709</v>
      </c>
      <c r="F4" s="95">
        <v>0.43946963925856619</v>
      </c>
      <c r="G4" s="95">
        <v>0.47457510514288936</v>
      </c>
      <c r="H4" s="95">
        <v>0.44104838247354183</v>
      </c>
      <c r="I4" s="95">
        <v>0.42729139442462555</v>
      </c>
      <c r="J4" s="95">
        <v>0.45694800609311048</v>
      </c>
      <c r="K4" s="95">
        <v>0.25952726650067748</v>
      </c>
      <c r="L4" s="95">
        <v>0.32902924801743982</v>
      </c>
      <c r="M4" s="95">
        <v>0.37497793257716894</v>
      </c>
      <c r="N4" s="95">
        <v>0.47208579768632342</v>
      </c>
      <c r="O4" s="95">
        <v>0.45903633200831978</v>
      </c>
      <c r="P4" s="95">
        <v>0.31106846496422863</v>
      </c>
      <c r="Q4" s="95">
        <v>0.49074631632764387</v>
      </c>
      <c r="R4" s="95">
        <v>0.48827151293133891</v>
      </c>
      <c r="S4" s="95">
        <v>0.3682454640895379</v>
      </c>
      <c r="T4" s="95">
        <v>0.42579232228750119</v>
      </c>
      <c r="U4" s="95">
        <v>0.31165696328532377</v>
      </c>
      <c r="V4" s="95">
        <v>0.43081402967852084</v>
      </c>
      <c r="W4" s="95">
        <v>0.3675086614566031</v>
      </c>
      <c r="X4" s="95">
        <v>0.44367925488972648</v>
      </c>
      <c r="Y4" s="95">
        <v>0.45194737891013498</v>
      </c>
      <c r="Z4" s="95">
        <v>0.51384549036748561</v>
      </c>
      <c r="AA4" s="95">
        <v>0.49017323490722969</v>
      </c>
      <c r="AB4" s="95">
        <v>0.31000210809572182</v>
      </c>
      <c r="AC4" s="95">
        <v>0.51101540093497966</v>
      </c>
      <c r="AD4" s="95">
        <v>0.36015138030391136</v>
      </c>
      <c r="AE4" s="95">
        <v>0.43686534422629142</v>
      </c>
      <c r="AF4" s="95">
        <v>0.46052187350845686</v>
      </c>
      <c r="AG4" s="95">
        <v>0.32892324188213751</v>
      </c>
      <c r="AH4" s="95">
        <v>0.27562556235662578</v>
      </c>
      <c r="AI4" s="95">
        <v>0.50323729792054228</v>
      </c>
      <c r="AJ4" s="95">
        <v>0.40868013335823339</v>
      </c>
      <c r="AK4" s="95">
        <v>0.19902669992619257</v>
      </c>
      <c r="AL4" s="95">
        <v>0.26901551691397096</v>
      </c>
      <c r="AM4" s="95">
        <v>0.34176352142584093</v>
      </c>
      <c r="AN4" s="95">
        <v>0.40159105929479544</v>
      </c>
      <c r="AO4" s="95">
        <v>0.41385112537235225</v>
      </c>
      <c r="AP4" s="95">
        <v>0.31713026112276332</v>
      </c>
      <c r="AQ4" s="95">
        <v>0.30684400286407149</v>
      </c>
      <c r="AR4" s="95">
        <v>0.37941978223956641</v>
      </c>
      <c r="AS4" s="95">
        <v>0.56751889741366068</v>
      </c>
      <c r="AT4" s="95">
        <v>0.54179871467489304</v>
      </c>
      <c r="AU4" s="95">
        <v>0.57280055711215516</v>
      </c>
      <c r="AV4" s="95">
        <v>0.27983627320032872</v>
      </c>
      <c r="AW4" s="95">
        <v>0.52290405106825744</v>
      </c>
      <c r="AX4" s="95">
        <v>0.47773464604546512</v>
      </c>
      <c r="AY4" s="95">
        <v>0.52127979279054626</v>
      </c>
      <c r="AZ4" s="95">
        <v>0.53703912885872573</v>
      </c>
      <c r="BA4" s="95">
        <v>0.58193520771630003</v>
      </c>
      <c r="BB4" s="95">
        <v>0.42550447093394111</v>
      </c>
      <c r="BC4" s="95">
        <v>0.29301279134718194</v>
      </c>
      <c r="BD4" s="95">
        <v>0.53547211626747304</v>
      </c>
      <c r="BE4" s="95">
        <v>0.41322303411447192</v>
      </c>
      <c r="BF4" s="95">
        <v>0.41690786207980463</v>
      </c>
      <c r="BG4" s="95">
        <v>0.47096161747794235</v>
      </c>
      <c r="BH4" s="95">
        <v>0.51564710108080503</v>
      </c>
      <c r="BI4" s="95">
        <v>0.54260435338834234</v>
      </c>
      <c r="BJ4" s="95">
        <v>0.40698714872511088</v>
      </c>
      <c r="BK4" s="95">
        <v>0.5908854774039094</v>
      </c>
      <c r="BL4" s="95">
        <v>0.41581026339780774</v>
      </c>
      <c r="BM4" s="95">
        <v>0.45320056187613933</v>
      </c>
      <c r="BN4" s="95">
        <v>0.45440314443056684</v>
      </c>
      <c r="BO4" s="95">
        <v>0.43898866894025934</v>
      </c>
      <c r="BP4" s="95">
        <v>0.56162949750216984</v>
      </c>
      <c r="BQ4" s="95">
        <v>0.40818109898860894</v>
      </c>
      <c r="BR4" s="95">
        <v>0.48917261418738051</v>
      </c>
      <c r="BS4" s="95">
        <v>0.52263342715763161</v>
      </c>
      <c r="BT4" s="95">
        <v>0.41527405201525397</v>
      </c>
      <c r="BU4" s="95">
        <v>0.21858006588381093</v>
      </c>
      <c r="BV4" s="95">
        <v>0.34563649348075953</v>
      </c>
      <c r="BW4" s="95">
        <v>0.42358306566128262</v>
      </c>
      <c r="BX4" s="95">
        <v>0.63383437063292503</v>
      </c>
      <c r="BY4" s="95">
        <v>0.39849247997571408</v>
      </c>
      <c r="BZ4" s="95">
        <v>0.59348506166738513</v>
      </c>
      <c r="CA4" s="95">
        <v>0.29981171936554935</v>
      </c>
      <c r="CB4" s="95">
        <v>0.46695610448095287</v>
      </c>
      <c r="CC4" s="95">
        <v>0.44501098767127123</v>
      </c>
      <c r="CD4" s="95">
        <v>0.62885437097972618</v>
      </c>
      <c r="CE4" s="95">
        <v>0.63543178185745863</v>
      </c>
      <c r="CF4" s="95">
        <v>0.4146899658115033</v>
      </c>
      <c r="CG4" s="95">
        <v>0.29817766560490622</v>
      </c>
      <c r="CH4" s="95">
        <v>0.24813397967051934</v>
      </c>
      <c r="CI4" s="95">
        <v>0.56754595491962834</v>
      </c>
      <c r="CJ4" s="95">
        <v>0.38292819343632056</v>
      </c>
      <c r="CK4" s="95">
        <v>0.17042005012024239</v>
      </c>
      <c r="CL4" s="95">
        <v>0.48469632032088966</v>
      </c>
      <c r="CM4" s="95">
        <v>0.39569022294512579</v>
      </c>
      <c r="CN4" s="95">
        <v>0.49178719002525051</v>
      </c>
      <c r="CO4" s="95">
        <v>0.57244537286531383</v>
      </c>
      <c r="CP4" s="95">
        <v>0.30332298140787317</v>
      </c>
      <c r="CQ4" s="95">
        <v>0.61811668334120917</v>
      </c>
      <c r="CR4" s="95">
        <v>0.5534718408818905</v>
      </c>
      <c r="CS4" s="95">
        <v>0.18619105465582728</v>
      </c>
      <c r="CT4" s="95">
        <v>0.53232705417592086</v>
      </c>
      <c r="CU4" s="95">
        <v>0.35732098497180775</v>
      </c>
      <c r="CV4" s="95">
        <v>0.41925359590338385</v>
      </c>
      <c r="CW4" s="95">
        <v>0.61877057660376689</v>
      </c>
      <c r="CX4" s="95">
        <v>0.54604356783401575</v>
      </c>
    </row>
    <row r="5" spans="1:102" s="95" customFormat="1">
      <c r="A5" s="306" t="str">
        <f>Parameters!A51</f>
        <v>Reele matching</v>
      </c>
      <c r="B5" s="307"/>
      <c r="C5" s="95">
        <v>7.2424635638108472E-3</v>
      </c>
      <c r="D5" s="95">
        <v>5.0415887627425424E-2</v>
      </c>
      <c r="E5" s="95">
        <v>2.9401801996086856E-7</v>
      </c>
      <c r="F5" s="95">
        <v>6.5129927755869926E-3</v>
      </c>
      <c r="G5" s="95">
        <v>4.73180857114716E-11</v>
      </c>
      <c r="H5" s="95">
        <v>3.8832391590801062E-8</v>
      </c>
      <c r="I5" s="95">
        <v>3.4031194991368622E-4</v>
      </c>
      <c r="J5" s="95">
        <v>1.0073201900560983E-4</v>
      </c>
      <c r="K5" s="95">
        <v>0.15567453893048691</v>
      </c>
      <c r="L5" s="95">
        <v>1.7884619693669151E-2</v>
      </c>
      <c r="M5" s="95">
        <v>1.9606782247989337E-2</v>
      </c>
      <c r="N5" s="95">
        <v>3.0252304942120834E-3</v>
      </c>
      <c r="O5" s="95">
        <v>1.0546267537347366E-2</v>
      </c>
      <c r="P5" s="95">
        <v>4.0288459473961363E-8</v>
      </c>
      <c r="Q5" s="95">
        <v>2.7539580285768535E-3</v>
      </c>
      <c r="R5" s="95">
        <v>3.8312739628478135E-5</v>
      </c>
      <c r="S5" s="95">
        <v>8.1837317416881871E-6</v>
      </c>
      <c r="T5" s="95">
        <v>7.5167996263695677E-2</v>
      </c>
      <c r="U5" s="95">
        <v>1.7858659092877229E-2</v>
      </c>
      <c r="V5" s="95">
        <v>4.2133659270929463E-2</v>
      </c>
      <c r="W5" s="95">
        <v>8.9840411138684701E-10</v>
      </c>
      <c r="X5" s="95">
        <v>6.1775489418594252E-3</v>
      </c>
      <c r="Y5" s="95">
        <v>1.7150597342543374E-14</v>
      </c>
      <c r="Z5" s="95">
        <v>5.9630242057475491E-3</v>
      </c>
      <c r="AA5" s="95">
        <v>5.2747885253491278E-3</v>
      </c>
      <c r="AB5" s="95">
        <v>1.330895459495085E-2</v>
      </c>
      <c r="AC5" s="95">
        <v>4.8800960182464557E-7</v>
      </c>
      <c r="AD5" s="95">
        <v>4.7195339083510425E-3</v>
      </c>
      <c r="AE5" s="95">
        <v>2.8007038015004947E-2</v>
      </c>
      <c r="AF5" s="95">
        <v>3.011803478247969E-5</v>
      </c>
      <c r="AG5" s="95">
        <v>1.196380164159431E-2</v>
      </c>
      <c r="AH5" s="95">
        <v>6.7218705944215888E-3</v>
      </c>
      <c r="AI5" s="95">
        <v>4.5661652692165128E-2</v>
      </c>
      <c r="AJ5" s="95">
        <v>9.9669210257736188E-2</v>
      </c>
      <c r="AK5" s="95">
        <v>0.24752597517720504</v>
      </c>
      <c r="AL5" s="95">
        <v>0.18241954801916543</v>
      </c>
      <c r="AM5" s="95">
        <v>1.1066526791123445E-2</v>
      </c>
      <c r="AN5" s="95">
        <v>7.1330915116837562E-2</v>
      </c>
      <c r="AO5" s="95">
        <v>4.8996791485653148E-2</v>
      </c>
      <c r="AP5" s="95">
        <v>7.5988226903219935E-2</v>
      </c>
      <c r="AQ5" s="95">
        <v>7.0326414214515465E-2</v>
      </c>
      <c r="AR5" s="95">
        <v>5.5911252812798108E-3</v>
      </c>
      <c r="AS5" s="95">
        <v>3.8916262602165304E-10</v>
      </c>
      <c r="AT5" s="95">
        <v>5.4652500599326398E-12</v>
      </c>
      <c r="AU5" s="95">
        <v>2.7408584277640432E-5</v>
      </c>
      <c r="AV5" s="95">
        <v>2.3652196390500139E-3</v>
      </c>
      <c r="AW5" s="95">
        <v>3.7267355213923848E-14</v>
      </c>
      <c r="AX5" s="95">
        <v>1.4547129636675636E-3</v>
      </c>
      <c r="AY5" s="95">
        <v>8.2646107339831455E-3</v>
      </c>
      <c r="AZ5" s="95">
        <v>1.8899819759283698E-8</v>
      </c>
      <c r="BA5" s="95">
        <v>5.221501158159021E-7</v>
      </c>
      <c r="BB5" s="95">
        <v>4.3139029491439367E-3</v>
      </c>
      <c r="BC5" s="95">
        <v>0.16517617876012117</v>
      </c>
      <c r="BD5" s="95">
        <v>1.3470568416898501E-2</v>
      </c>
      <c r="BE5" s="95">
        <v>6.2728887377987876E-8</v>
      </c>
      <c r="BF5" s="95">
        <v>3.3831382302012896E-4</v>
      </c>
      <c r="BG5" s="95">
        <v>1.4300504991194168E-3</v>
      </c>
      <c r="BH5" s="95">
        <v>1.7397863871046574E-6</v>
      </c>
      <c r="BI5" s="95">
        <v>2.7143516237473932E-6</v>
      </c>
      <c r="BJ5" s="95">
        <v>9.0838247453739127E-3</v>
      </c>
      <c r="BK5" s="95">
        <v>2.1372779261759872E-6</v>
      </c>
      <c r="BL5" s="95">
        <v>3.4146452524788229E-16</v>
      </c>
      <c r="BM5" s="95">
        <v>5.1024741059559693E-4</v>
      </c>
      <c r="BN5" s="95">
        <v>1.1042764394261585E-2</v>
      </c>
      <c r="BO5" s="95">
        <v>2.5376183095841519E-2</v>
      </c>
      <c r="BP5" s="95">
        <v>8.3496664696345348E-3</v>
      </c>
      <c r="BQ5" s="95">
        <v>5.3782838790698624E-2</v>
      </c>
      <c r="BR5" s="95">
        <v>4.0040332095609584E-7</v>
      </c>
      <c r="BS5" s="95">
        <v>2.6699832506305252E-9</v>
      </c>
      <c r="BT5" s="95">
        <v>1.8996317703629854E-3</v>
      </c>
      <c r="BU5" s="95">
        <v>5.3502631750602873E-2</v>
      </c>
      <c r="BV5" s="95">
        <v>5.4590102936626908E-4</v>
      </c>
      <c r="BW5" s="95">
        <v>4.006873022602448E-9</v>
      </c>
      <c r="BX5" s="95">
        <v>6.3403508659131931E-7</v>
      </c>
      <c r="BY5" s="95">
        <v>5.0182039089994353E-3</v>
      </c>
      <c r="BZ5" s="95">
        <v>3.6826254076021878E-4</v>
      </c>
      <c r="CA5" s="95">
        <v>0.18979286240402268</v>
      </c>
      <c r="CB5" s="95">
        <v>1.0702005570333577E-3</v>
      </c>
      <c r="CC5" s="95">
        <v>0.11089018509252518</v>
      </c>
      <c r="CD5" s="95">
        <v>2.0222051800887854E-2</v>
      </c>
      <c r="CE5" s="95">
        <v>7.5405337097128247E-5</v>
      </c>
      <c r="CF5" s="95">
        <v>7.7576792781064274E-2</v>
      </c>
      <c r="CG5" s="95">
        <v>0.17688492498974878</v>
      </c>
      <c r="CH5" s="95">
        <v>0.12484778117157579</v>
      </c>
      <c r="CI5" s="95">
        <v>5.7158558441522477E-2</v>
      </c>
      <c r="CJ5" s="95">
        <v>8.7555788708847213E-2</v>
      </c>
      <c r="CK5" s="95">
        <v>0.31146199051482581</v>
      </c>
      <c r="CL5" s="95">
        <v>1.9526350725487861E-15</v>
      </c>
      <c r="CM5" s="95">
        <v>5.7397097135409331E-2</v>
      </c>
      <c r="CN5" s="95">
        <v>5.9736890584102198E-2</v>
      </c>
      <c r="CO5" s="95">
        <v>1.4311480663171687E-2</v>
      </c>
      <c r="CP5" s="95">
        <v>7.2393971980546742E-6</v>
      </c>
      <c r="CQ5" s="95">
        <v>2.41006311712093E-14</v>
      </c>
      <c r="CR5" s="95">
        <v>1.5296474756223075E-3</v>
      </c>
      <c r="CS5" s="95">
        <v>0.14529629285158319</v>
      </c>
      <c r="CT5" s="95">
        <v>1.7371889129106365E-7</v>
      </c>
      <c r="CU5" s="95">
        <v>3.6954220646164368E-2</v>
      </c>
      <c r="CV5" s="95">
        <v>9.4328109355165307E-2</v>
      </c>
      <c r="CW5" s="95">
        <v>5.8687484195891984E-16</v>
      </c>
      <c r="CX5" s="95">
        <v>1.144118041078186E-9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0.20305894499062585</v>
      </c>
      <c r="D7" s="95">
        <v>0.17007114559420325</v>
      </c>
      <c r="E7" s="95">
        <v>0.13168130187640342</v>
      </c>
      <c r="F7" s="95">
        <v>0.21733126990429721</v>
      </c>
      <c r="G7" s="95">
        <v>0.18747130545605051</v>
      </c>
      <c r="H7" s="95">
        <v>0.2359886833039746</v>
      </c>
      <c r="I7" s="95">
        <v>5.3766985408385233E-3</v>
      </c>
      <c r="J7" s="95">
        <v>0.13133803778324663</v>
      </c>
      <c r="K7" s="95">
        <v>0.2431802464714421</v>
      </c>
      <c r="L7" s="95">
        <v>0.20256996539267536</v>
      </c>
      <c r="M7" s="95">
        <v>1.5284602141844291E-5</v>
      </c>
      <c r="N7" s="95">
        <v>1.8382961556714324E-2</v>
      </c>
      <c r="O7" s="95">
        <v>6.190416344601609E-2</v>
      </c>
      <c r="P7" s="95">
        <v>0.13546658961897967</v>
      </c>
      <c r="Q7" s="95">
        <v>0.2374114998973014</v>
      </c>
      <c r="R7" s="95">
        <v>1.1197919602150041E-3</v>
      </c>
      <c r="S7" s="95">
        <v>2.2072185022752387E-3</v>
      </c>
      <c r="T7" s="95">
        <v>0.13477874890416011</v>
      </c>
      <c r="U7" s="95">
        <v>6.0793995168378391E-3</v>
      </c>
      <c r="V7" s="95">
        <v>0.16541322744951215</v>
      </c>
      <c r="W7" s="95">
        <v>0.25507765418991246</v>
      </c>
      <c r="X7" s="95">
        <v>1.4080940754708791E-4</v>
      </c>
      <c r="Y7" s="95">
        <v>0.10585192495668444</v>
      </c>
      <c r="Z7" s="95">
        <v>2.7401106183033928E-6</v>
      </c>
      <c r="AA7" s="95">
        <v>0.22389625712179506</v>
      </c>
      <c r="AB7" s="95">
        <v>2.8602251291389207E-2</v>
      </c>
      <c r="AC7" s="95">
        <v>1.7537054184949184E-4</v>
      </c>
      <c r="AD7" s="95">
        <v>2.9705729983677362E-2</v>
      </c>
      <c r="AE7" s="95">
        <v>0.23957921252328321</v>
      </c>
      <c r="AF7" s="95">
        <v>5.2884646964304638E-12</v>
      </c>
      <c r="AG7" s="95">
        <v>4.2561774363752997E-2</v>
      </c>
      <c r="AH7" s="95">
        <v>0.31745199504534904</v>
      </c>
      <c r="AI7" s="95">
        <v>0.12947581755579785</v>
      </c>
      <c r="AJ7" s="95">
        <v>0.18686139238365168</v>
      </c>
      <c r="AK7" s="95">
        <v>7.6275601421462474E-5</v>
      </c>
      <c r="AL7" s="95">
        <v>0.10319169424843039</v>
      </c>
      <c r="AM7" s="95">
        <v>4.107810555884804E-6</v>
      </c>
      <c r="AN7" s="95">
        <v>0.13035380146750108</v>
      </c>
      <c r="AO7" s="95">
        <v>0.10965421409835571</v>
      </c>
      <c r="AP7" s="95">
        <v>0.25009638579467008</v>
      </c>
      <c r="AQ7" s="95">
        <v>0.10289557746792881</v>
      </c>
      <c r="AR7" s="95">
        <v>0.17182862060139215</v>
      </c>
      <c r="AS7" s="95">
        <v>5.0119938958140993E-2</v>
      </c>
      <c r="AT7" s="95">
        <v>0.21168984966726997</v>
      </c>
      <c r="AU7" s="95">
        <v>8.3013766608584935E-2</v>
      </c>
      <c r="AV7" s="95">
        <v>0.26989555290283085</v>
      </c>
      <c r="AW7" s="95">
        <v>2.4200193643385444E-5</v>
      </c>
      <c r="AX7" s="95">
        <v>3.1860480481436151E-2</v>
      </c>
      <c r="AY7" s="95">
        <v>2.6182029938151379E-3</v>
      </c>
      <c r="AZ7" s="95">
        <v>4.978508937533788E-4</v>
      </c>
      <c r="BA7" s="95">
        <v>0.15504426612961644</v>
      </c>
      <c r="BB7" s="95">
        <v>3.1733748928887048E-6</v>
      </c>
      <c r="BC7" s="95">
        <v>9.5539047482906348E-6</v>
      </c>
      <c r="BD7" s="95">
        <v>0.17296488917409755</v>
      </c>
      <c r="BE7" s="95">
        <v>1.1180777535705129E-2</v>
      </c>
      <c r="BF7" s="95">
        <v>1.3218886778704885E-3</v>
      </c>
      <c r="BG7" s="95">
        <v>0.24886863140967716</v>
      </c>
      <c r="BH7" s="95">
        <v>0.22317944972006662</v>
      </c>
      <c r="BI7" s="95">
        <v>4.6518496804280769E-4</v>
      </c>
      <c r="BJ7" s="95">
        <v>0.13494552694666945</v>
      </c>
      <c r="BK7" s="95">
        <v>0.10120702832681351</v>
      </c>
      <c r="BL7" s="95">
        <v>0.26089603074462137</v>
      </c>
      <c r="BM7" s="95">
        <v>0.16152277398416282</v>
      </c>
      <c r="BN7" s="95">
        <v>0.19147756433017971</v>
      </c>
      <c r="BO7" s="95">
        <v>0.20862124710491126</v>
      </c>
      <c r="BP7" s="95">
        <v>0.14686692214570407</v>
      </c>
      <c r="BQ7" s="95">
        <v>1.2080102031275409E-3</v>
      </c>
      <c r="BR7" s="95">
        <v>0.19501078214037221</v>
      </c>
      <c r="BS7" s="95">
        <v>0.2083016473167765</v>
      </c>
      <c r="BT7" s="95">
        <v>0.25383605875630499</v>
      </c>
      <c r="BU7" s="95">
        <v>9.5777314028380675E-2</v>
      </c>
      <c r="BV7" s="95">
        <v>0.29572100940593743</v>
      </c>
      <c r="BW7" s="95">
        <v>1.7835197087561691E-2</v>
      </c>
      <c r="BX7" s="95">
        <v>0.10549680265201621</v>
      </c>
      <c r="BY7" s="95">
        <v>0.22339538585394625</v>
      </c>
      <c r="BZ7" s="95">
        <v>3.5164929179694784E-2</v>
      </c>
      <c r="CA7" s="95">
        <v>2.4609946651668237E-2</v>
      </c>
      <c r="CB7" s="95">
        <v>0.16295275633926351</v>
      </c>
      <c r="CC7" s="95">
        <v>0.18565360998378894</v>
      </c>
      <c r="CD7" s="95">
        <v>0.13465467457797281</v>
      </c>
      <c r="CE7" s="95">
        <v>2.3798883810618636E-3</v>
      </c>
      <c r="CF7" s="95">
        <v>3.5536473679356785E-3</v>
      </c>
      <c r="CG7" s="95">
        <v>3.5477683855009214E-5</v>
      </c>
      <c r="CH7" s="95">
        <v>2.4354831362070551E-2</v>
      </c>
      <c r="CI7" s="95">
        <v>0.15786854566854561</v>
      </c>
      <c r="CJ7" s="95">
        <v>0.25899211030058894</v>
      </c>
      <c r="CK7" s="95">
        <v>0.10218304880782189</v>
      </c>
      <c r="CL7" s="95">
        <v>5.2464832212628665E-4</v>
      </c>
      <c r="CM7" s="95">
        <v>0.26518538832707605</v>
      </c>
      <c r="CN7" s="95">
        <v>5.586529583660271E-3</v>
      </c>
      <c r="CO7" s="95">
        <v>0.20051388224656341</v>
      </c>
      <c r="CP7" s="95">
        <v>1.5029978384968865E-5</v>
      </c>
      <c r="CQ7" s="95">
        <v>2.6111093579119278E-6</v>
      </c>
      <c r="CR7" s="95">
        <v>0.10308066234315347</v>
      </c>
      <c r="CS7" s="95">
        <v>0.13081972460906041</v>
      </c>
      <c r="CT7" s="95">
        <v>0.18039177369414874</v>
      </c>
      <c r="CU7" s="95">
        <v>2.5668044304731137E-2</v>
      </c>
      <c r="CV7" s="95">
        <v>0.23220251310441675</v>
      </c>
      <c r="CW7" s="95">
        <v>0.18213206993201905</v>
      </c>
      <c r="CX7" s="95">
        <v>9.1257973488081988E-4</v>
      </c>
    </row>
    <row r="8" spans="1:102" s="95" customFormat="1">
      <c r="A8" s="306" t="str">
        <f>Parameters!A54</f>
        <v>Emerging market debt</v>
      </c>
      <c r="B8" s="307"/>
      <c r="C8" s="95">
        <v>6.9311614064685695E-2</v>
      </c>
      <c r="D8" s="95">
        <v>9.8892863820381163E-2</v>
      </c>
      <c r="E8" s="95">
        <v>3.8299055500389853E-2</v>
      </c>
      <c r="F8" s="95">
        <v>1.0275709286465794E-7</v>
      </c>
      <c r="G8" s="95">
        <v>5.2798411020157768E-2</v>
      </c>
      <c r="H8" s="95">
        <v>0.12529775164460896</v>
      </c>
      <c r="I8" s="95">
        <v>0.27867725704892832</v>
      </c>
      <c r="J8" s="95">
        <v>1.5847349094068202E-3</v>
      </c>
      <c r="K8" s="95">
        <v>2.0401392150278287E-3</v>
      </c>
      <c r="L8" s="95">
        <v>0.16907747446756424</v>
      </c>
      <c r="M8" s="95">
        <v>0.23601752947748197</v>
      </c>
      <c r="N8" s="95">
        <v>0.18410272728442156</v>
      </c>
      <c r="O8" s="95">
        <v>6.9218116068631916E-2</v>
      </c>
      <c r="P8" s="95">
        <v>2.9872556982459801E-7</v>
      </c>
      <c r="Q8" s="95">
        <v>7.0795618954057754E-2</v>
      </c>
      <c r="R8" s="95">
        <v>0.25215764806372715</v>
      </c>
      <c r="S8" s="95">
        <v>5.2401080066557441E-4</v>
      </c>
      <c r="T8" s="95">
        <v>1.5745501103556832E-5</v>
      </c>
      <c r="U8" s="95">
        <v>0.15401772750190854</v>
      </c>
      <c r="V8" s="95">
        <v>0.14153486104563251</v>
      </c>
      <c r="W8" s="95">
        <v>5.5154872494335592E-3</v>
      </c>
      <c r="X8" s="95">
        <v>7.5028722791645601E-5</v>
      </c>
      <c r="Y8" s="95">
        <v>3.5109320777113061E-2</v>
      </c>
      <c r="Z8" s="95">
        <v>9.3977761625205214E-2</v>
      </c>
      <c r="AA8" s="95">
        <v>0.23841116661163206</v>
      </c>
      <c r="AB8" s="95">
        <v>7.0955882108651697E-2</v>
      </c>
      <c r="AC8" s="95">
        <v>6.8143656462000476E-2</v>
      </c>
      <c r="AD8" s="95">
        <v>9.2260690163224066E-2</v>
      </c>
      <c r="AE8" s="95">
        <v>8.2090434204913992E-2</v>
      </c>
      <c r="AF8" s="95">
        <v>0.2570933267733102</v>
      </c>
      <c r="AG8" s="95">
        <v>0.27143162537327387</v>
      </c>
      <c r="AH8" s="95">
        <v>6.1940803038873287E-4</v>
      </c>
      <c r="AI8" s="95">
        <v>9.9552395942152693E-4</v>
      </c>
      <c r="AJ8" s="95">
        <v>4.257420045188028E-11</v>
      </c>
      <c r="AK8" s="95">
        <v>0.26094318690118368</v>
      </c>
      <c r="AL8" s="95">
        <v>0.26889900586738913</v>
      </c>
      <c r="AM8" s="95">
        <v>9.2458549588621139E-2</v>
      </c>
      <c r="AN8" s="95">
        <v>1.5348950630441869E-10</v>
      </c>
      <c r="AO8" s="95">
        <v>1.2638498308520849E-2</v>
      </c>
      <c r="AP8" s="95">
        <v>8.3952904165059808E-2</v>
      </c>
      <c r="AQ8" s="95">
        <v>5.3311576860856316E-2</v>
      </c>
      <c r="AR8" s="95">
        <v>6.4045210172550507E-2</v>
      </c>
      <c r="AS8" s="95">
        <v>0.15891438401592192</v>
      </c>
      <c r="AT8" s="95">
        <v>0.15646289178722445</v>
      </c>
      <c r="AU8" s="95">
        <v>4.4797905260862421E-2</v>
      </c>
      <c r="AV8" s="95">
        <v>1.2552358936123256E-5</v>
      </c>
      <c r="AW8" s="95">
        <v>0.23389014038672062</v>
      </c>
      <c r="AX8" s="95">
        <v>7.6940619868129931E-2</v>
      </c>
      <c r="AY8" s="95">
        <v>7.2488240448950617E-4</v>
      </c>
      <c r="AZ8" s="95">
        <v>0.14354768745940236</v>
      </c>
      <c r="BA8" s="95">
        <v>3.7908629777748983E-2</v>
      </c>
      <c r="BB8" s="95">
        <v>2.3993611358487406E-6</v>
      </c>
      <c r="BC8" s="95">
        <v>0.19745679137796518</v>
      </c>
      <c r="BD8" s="95">
        <v>0.21326506847663035</v>
      </c>
      <c r="BE8" s="95">
        <v>1.0397841431288203E-4</v>
      </c>
      <c r="BF8" s="95">
        <v>1.129712343088345E-4</v>
      </c>
      <c r="BG8" s="95">
        <v>7.5378439202703805E-3</v>
      </c>
      <c r="BH8" s="95">
        <v>0.17983370082170827</v>
      </c>
      <c r="BI8" s="95">
        <v>0.20974980385543335</v>
      </c>
      <c r="BJ8" s="95">
        <v>0.20497634982073887</v>
      </c>
      <c r="BK8" s="95">
        <v>2.3203189564567964E-2</v>
      </c>
      <c r="BL8" s="95">
        <v>0.17057140382143993</v>
      </c>
      <c r="BM8" s="95">
        <v>8.0769590518020573E-2</v>
      </c>
      <c r="BN8" s="95">
        <v>0.1590846313697229</v>
      </c>
      <c r="BO8" s="95">
        <v>7.1985967232521096E-5</v>
      </c>
      <c r="BP8" s="95">
        <v>8.4719312944661354E-2</v>
      </c>
      <c r="BQ8" s="95">
        <v>1.006449833980818E-2</v>
      </c>
      <c r="BR8" s="95">
        <v>9.4040185251123232E-2</v>
      </c>
      <c r="BS8" s="95">
        <v>3.7375026202050417E-2</v>
      </c>
      <c r="BT8" s="95">
        <v>0.13744675733145711</v>
      </c>
      <c r="BU8" s="95">
        <v>3.6882242426054541E-2</v>
      </c>
      <c r="BV8" s="95">
        <v>4.8907495494091151E-7</v>
      </c>
      <c r="BW8" s="95">
        <v>0.14123061133904022</v>
      </c>
      <c r="BX8" s="95">
        <v>1.1600441821034518E-2</v>
      </c>
      <c r="BY8" s="95">
        <v>0.17472589650364945</v>
      </c>
      <c r="BZ8" s="95">
        <v>6.7258192080778115E-2</v>
      </c>
      <c r="CA8" s="95">
        <v>2.0402263583060149E-2</v>
      </c>
      <c r="CB8" s="95">
        <v>0.17185837638159726</v>
      </c>
      <c r="CC8" s="95">
        <v>1.0098217905475987E-3</v>
      </c>
      <c r="CD8" s="95">
        <v>4.8245556559398731E-2</v>
      </c>
      <c r="CE8" s="95">
        <v>0.15121581591649302</v>
      </c>
      <c r="CF8" s="95">
        <v>0.19995545018251426</v>
      </c>
      <c r="CG8" s="95">
        <v>3.1967419271394897E-3</v>
      </c>
      <c r="CH8" s="95">
        <v>3.0472881671872769E-2</v>
      </c>
      <c r="CI8" s="95">
        <v>2.0708877111736735E-2</v>
      </c>
      <c r="CJ8" s="95">
        <v>8.6325480232005522E-8</v>
      </c>
      <c r="CK8" s="95">
        <v>0.23813074516491278</v>
      </c>
      <c r="CL8" s="95">
        <v>0.25503779564882245</v>
      </c>
      <c r="CM8" s="95">
        <v>3.6105549740592501E-6</v>
      </c>
      <c r="CN8" s="95">
        <v>0.19226212918848021</v>
      </c>
      <c r="CO8" s="95">
        <v>1.9361227768840313E-2</v>
      </c>
      <c r="CP8" s="95">
        <v>0.3164951823666905</v>
      </c>
      <c r="CQ8" s="95">
        <v>0.18470406666610162</v>
      </c>
      <c r="CR8" s="95">
        <v>4.2058058074300311E-2</v>
      </c>
      <c r="CS8" s="95">
        <v>4.9541758822655108E-4</v>
      </c>
      <c r="CT8" s="95">
        <v>2.5676118228122264E-3</v>
      </c>
      <c r="CU8" s="95">
        <v>0.16041586444613359</v>
      </c>
      <c r="CV8" s="95">
        <v>0.18112338266911759</v>
      </c>
      <c r="CW8" s="95">
        <v>5.9466987838990536E-3</v>
      </c>
      <c r="CX8" s="95">
        <v>5.4736532017392349E-2</v>
      </c>
    </row>
    <row r="9" spans="1:102" s="95" customFormat="1">
      <c r="A9" s="306" t="str">
        <f>Parameters!A55</f>
        <v>Aandelen ontwikkeld</v>
      </c>
      <c r="B9" s="307"/>
      <c r="C9" s="95">
        <v>2.1287177913125215E-2</v>
      </c>
      <c r="D9" s="95">
        <v>0.13495886664630496</v>
      </c>
      <c r="E9" s="95">
        <v>2.308904900993735E-2</v>
      </c>
      <c r="F9" s="95">
        <v>0.13510135963819644</v>
      </c>
      <c r="G9" s="95">
        <v>2.2628078899366098E-2</v>
      </c>
      <c r="H9" s="95">
        <v>6.4509492751204017E-2</v>
      </c>
      <c r="I9" s="95">
        <v>1.0551430764647938E-2</v>
      </c>
      <c r="J9" s="95">
        <v>0.13575626878540065</v>
      </c>
      <c r="K9" s="95">
        <v>4.7159792565989345E-2</v>
      </c>
      <c r="L9" s="95">
        <v>7.7237229331482589E-3</v>
      </c>
      <c r="M9" s="95">
        <v>3.7048991714495633E-2</v>
      </c>
      <c r="N9" s="95">
        <v>8.1945604561421276E-2</v>
      </c>
      <c r="O9" s="95">
        <v>0.18762120626417639</v>
      </c>
      <c r="P9" s="95">
        <v>3.9793893785049467E-2</v>
      </c>
      <c r="Q9" s="95">
        <v>1.124457203607851E-2</v>
      </c>
      <c r="R9" s="95">
        <v>4.9111051858966186E-2</v>
      </c>
      <c r="S9" s="95">
        <v>0.20456671147771313</v>
      </c>
      <c r="T9" s="95">
        <v>0.15796266316860472</v>
      </c>
      <c r="U9" s="95">
        <v>8.0449758415222954E-9</v>
      </c>
      <c r="V9" s="95">
        <v>0.10671150133962905</v>
      </c>
      <c r="W9" s="95">
        <v>3.2009579867373013E-7</v>
      </c>
      <c r="X9" s="95">
        <v>0.14746559473035956</v>
      </c>
      <c r="Y9" s="95">
        <v>0.12801644611852583</v>
      </c>
      <c r="Z9" s="95">
        <v>0.20435424001780156</v>
      </c>
      <c r="AA9" s="95">
        <v>1.3806341571998494E-3</v>
      </c>
      <c r="AB9" s="95">
        <v>1.8328873825514035E-2</v>
      </c>
      <c r="AC9" s="95">
        <v>0.16514946994226803</v>
      </c>
      <c r="AD9" s="95">
        <v>2.0525768558544478E-4</v>
      </c>
      <c r="AE9" s="95">
        <v>0.15138457581362957</v>
      </c>
      <c r="AF9" s="95">
        <v>0.13361721341291449</v>
      </c>
      <c r="AG9" s="95">
        <v>0.14406261535827924</v>
      </c>
      <c r="AH9" s="95">
        <v>4.1172709523991977E-2</v>
      </c>
      <c r="AI9" s="95">
        <v>0.15349348658330267</v>
      </c>
      <c r="AJ9" s="95">
        <v>0.17377985720834888</v>
      </c>
      <c r="AK9" s="95">
        <v>5.3928679082944587E-3</v>
      </c>
      <c r="AL9" s="95">
        <v>3.5703772346893051E-2</v>
      </c>
      <c r="AM9" s="95">
        <v>9.4260876578562396E-3</v>
      </c>
      <c r="AN9" s="95">
        <v>1.3646013891351819E-2</v>
      </c>
      <c r="AO9" s="95">
        <v>0.12875557917493008</v>
      </c>
      <c r="AP9" s="95">
        <v>1.1503049725916095E-4</v>
      </c>
      <c r="AQ9" s="95">
        <v>1.3885451164034663E-5</v>
      </c>
      <c r="AR9" s="95">
        <v>1.8416611696153864E-4</v>
      </c>
      <c r="AS9" s="95">
        <v>3.6797529907885446E-7</v>
      </c>
      <c r="AT9" s="95">
        <v>8.1847620373711627E-2</v>
      </c>
      <c r="AU9" s="95">
        <v>0.10116601039073977</v>
      </c>
      <c r="AV9" s="95">
        <v>9.6252389134426602E-2</v>
      </c>
      <c r="AW9" s="95">
        <v>0.23084070517122512</v>
      </c>
      <c r="AX9" s="95">
        <v>1.1683568316419764E-2</v>
      </c>
      <c r="AY9" s="95">
        <v>0.17983398196547437</v>
      </c>
      <c r="AZ9" s="95">
        <v>9.0470506656103303E-2</v>
      </c>
      <c r="BA9" s="95">
        <v>0.1614521542535107</v>
      </c>
      <c r="BB9" s="95">
        <v>6.6647837753172179E-2</v>
      </c>
      <c r="BC9" s="95">
        <v>6.9887818117758144E-3</v>
      </c>
      <c r="BD9" s="95">
        <v>5.6275818943684705E-2</v>
      </c>
      <c r="BE9" s="95">
        <v>1.629077328926377E-5</v>
      </c>
      <c r="BF9" s="95">
        <v>8.7973835786747404E-2</v>
      </c>
      <c r="BG9" s="95">
        <v>6.8344579449342857E-2</v>
      </c>
      <c r="BH9" s="95">
        <v>1.6948314626944579E-2</v>
      </c>
      <c r="BI9" s="95">
        <v>0.18595058029412687</v>
      </c>
      <c r="BJ9" s="95">
        <v>2.0690419413252464E-4</v>
      </c>
      <c r="BK9" s="95">
        <v>6.7188574115426977E-8</v>
      </c>
      <c r="BL9" s="95">
        <v>2.0055988935380607E-2</v>
      </c>
      <c r="BM9" s="95">
        <v>6.3418915718203514E-4</v>
      </c>
      <c r="BN9" s="95">
        <v>8.1590021673045257E-2</v>
      </c>
      <c r="BO9" s="95">
        <v>2.0876086282738512E-2</v>
      </c>
      <c r="BP9" s="95">
        <v>0.17423711943878867</v>
      </c>
      <c r="BQ9" s="95">
        <v>0.25316998893044301</v>
      </c>
      <c r="BR9" s="95">
        <v>0.12281985829883969</v>
      </c>
      <c r="BS9" s="95">
        <v>0.1545645830755237</v>
      </c>
      <c r="BT9" s="95">
        <v>1.7856833208448025E-2</v>
      </c>
      <c r="BU9" s="95">
        <v>3.1622750442114197E-3</v>
      </c>
      <c r="BV9" s="95">
        <v>7.0157892136594041E-2</v>
      </c>
      <c r="BW9" s="95">
        <v>0.11076453961642586</v>
      </c>
      <c r="BX9" s="95">
        <v>0.1112980872537129</v>
      </c>
      <c r="BY9" s="95">
        <v>1.9011192397268477E-8</v>
      </c>
      <c r="BZ9" s="95">
        <v>0.12078819882192345</v>
      </c>
      <c r="CA9" s="95">
        <v>0.17494725379873072</v>
      </c>
      <c r="CB9" s="95">
        <v>3.2948316404303277E-2</v>
      </c>
      <c r="CC9" s="95">
        <v>0.18083015082311069</v>
      </c>
      <c r="CD9" s="95">
        <v>8.95450087344729E-5</v>
      </c>
      <c r="CE9" s="95">
        <v>4.0476665605239381E-2</v>
      </c>
      <c r="CF9" s="95">
        <v>0.13162725951148882</v>
      </c>
      <c r="CG9" s="95">
        <v>0.23712077831507428</v>
      </c>
      <c r="CH9" s="95">
        <v>0.10478779992383812</v>
      </c>
      <c r="CI9" s="95">
        <v>1.2830975418059554E-2</v>
      </c>
      <c r="CJ9" s="95">
        <v>4.0285891452244999E-6</v>
      </c>
      <c r="CK9" s="95">
        <v>3.4612337011493397E-6</v>
      </c>
      <c r="CL9" s="95">
        <v>0.19365133856670425</v>
      </c>
      <c r="CM9" s="95">
        <v>0.15721727837095517</v>
      </c>
      <c r="CN9" s="95">
        <v>0.19937668153092308</v>
      </c>
      <c r="CO9" s="95">
        <v>5.6492414781198277E-3</v>
      </c>
      <c r="CP9" s="95">
        <v>9.0755975486096069E-2</v>
      </c>
      <c r="CQ9" s="95">
        <v>4.1945216717408786E-2</v>
      </c>
      <c r="CR9" s="95">
        <v>0.14528756683086799</v>
      </c>
      <c r="CS9" s="95">
        <v>5.6809168598508472E-2</v>
      </c>
      <c r="CT9" s="95">
        <v>4.4247226684885051E-8</v>
      </c>
      <c r="CU9" s="95">
        <v>0.16772673277943267</v>
      </c>
      <c r="CV9" s="95">
        <v>4.0417058103144857E-5</v>
      </c>
      <c r="CW9" s="95">
        <v>0.17510952277039021</v>
      </c>
      <c r="CX9" s="95">
        <v>4.0162443519800696E-3</v>
      </c>
    </row>
    <row r="10" spans="1:102" s="95" customFormat="1">
      <c r="A10" s="306" t="str">
        <f>Parameters!A56</f>
        <v>Aandelen opkomend</v>
      </c>
      <c r="B10" s="307"/>
      <c r="C10" s="95">
        <v>2.0407202800592555E-9</v>
      </c>
      <c r="D10" s="95">
        <v>1.3059914848747504E-13</v>
      </c>
      <c r="E10" s="95">
        <v>1.0779870278650059E-6</v>
      </c>
      <c r="F10" s="95">
        <v>6.1886126199819734E-6</v>
      </c>
      <c r="G10" s="95">
        <v>3.1832726892759701E-3</v>
      </c>
      <c r="H10" s="95">
        <v>5.9320144477867918E-4</v>
      </c>
      <c r="I10" s="95">
        <v>2.0700941346250775E-2</v>
      </c>
      <c r="J10" s="95">
        <v>3.4323086225603857E-7</v>
      </c>
      <c r="K10" s="95">
        <v>1.7652240848016199E-2</v>
      </c>
      <c r="L10" s="95">
        <v>6.7598785421245985E-8</v>
      </c>
      <c r="M10" s="95">
        <v>2.4116319970316227E-2</v>
      </c>
      <c r="N10" s="95">
        <v>1.3599639141275099E-3</v>
      </c>
      <c r="O10" s="95">
        <v>8.548892840989385E-5</v>
      </c>
      <c r="P10" s="95">
        <v>6.4397582864580169E-5</v>
      </c>
      <c r="Q10" s="95">
        <v>4.8709392376726925E-2</v>
      </c>
      <c r="R10" s="95">
        <v>7.6678200554005003E-5</v>
      </c>
      <c r="S10" s="95">
        <v>5.2606495654007177E-7</v>
      </c>
      <c r="T10" s="95">
        <v>1.3110281870712738E-7</v>
      </c>
      <c r="U10" s="95">
        <v>5.0109927470850472E-6</v>
      </c>
      <c r="V10" s="95">
        <v>4.5011403666141825E-4</v>
      </c>
      <c r="W10" s="95">
        <v>1.6737939661919683E-2</v>
      </c>
      <c r="X10" s="95">
        <v>4.809132533425977E-2</v>
      </c>
      <c r="Y10" s="95">
        <v>4.2399723562752678E-2</v>
      </c>
      <c r="Z10" s="95">
        <v>4.0070036532333935E-5</v>
      </c>
      <c r="AA10" s="95">
        <v>3.5371361910871847E-2</v>
      </c>
      <c r="AB10" s="95">
        <v>2.1641909560358332E-4</v>
      </c>
      <c r="AC10" s="95">
        <v>7.189422467170495E-3</v>
      </c>
      <c r="AD10" s="95">
        <v>7.1463458791375242E-3</v>
      </c>
      <c r="AE10" s="95">
        <v>2.1443257212712244E-2</v>
      </c>
      <c r="AF10" s="95">
        <v>6.4464500526040571E-18</v>
      </c>
      <c r="AG10" s="95">
        <v>4.3111964729079296E-3</v>
      </c>
      <c r="AH10" s="95">
        <v>3.146064330485049E-6</v>
      </c>
      <c r="AI10" s="95">
        <v>1.1624207724230467E-3</v>
      </c>
      <c r="AJ10" s="95">
        <v>3.1250483091913668E-4</v>
      </c>
      <c r="AK10" s="95">
        <v>1.2808458820793584E-2</v>
      </c>
      <c r="AL10" s="95">
        <v>2.8762549714035092E-4</v>
      </c>
      <c r="AM10" s="95">
        <v>3.982944249211863E-2</v>
      </c>
      <c r="AN10" s="95">
        <v>7.8127958215031462E-2</v>
      </c>
      <c r="AO10" s="95">
        <v>5.2562893119710699E-16</v>
      </c>
      <c r="AP10" s="95">
        <v>9.4442606434578884E-4</v>
      </c>
      <c r="AQ10" s="95">
        <v>6.3873839366971052E-3</v>
      </c>
      <c r="AR10" s="95">
        <v>1.1163434893723291E-2</v>
      </c>
      <c r="AS10" s="95">
        <v>3.1364827118088523E-2</v>
      </c>
      <c r="AT10" s="95">
        <v>9.7590569394795574E-4</v>
      </c>
      <c r="AU10" s="95">
        <v>3.8726935546596113E-2</v>
      </c>
      <c r="AV10" s="95">
        <v>6.5966470128256145E-3</v>
      </c>
      <c r="AW10" s="95">
        <v>1.7162968843037144E-22</v>
      </c>
      <c r="AX10" s="95">
        <v>2.2609737840135714E-3</v>
      </c>
      <c r="AY10" s="95">
        <v>2.4027311136726348E-2</v>
      </c>
      <c r="AZ10" s="95">
        <v>2.2140182864373486E-3</v>
      </c>
      <c r="BA10" s="95">
        <v>5.9850836442961169E-4</v>
      </c>
      <c r="BB10" s="95">
        <v>4.6628586346209283E-2</v>
      </c>
      <c r="BC10" s="95">
        <v>2.945070142754976E-7</v>
      </c>
      <c r="BD10" s="95">
        <v>1.4014105790826876E-9</v>
      </c>
      <c r="BE10" s="95">
        <v>8.2264723134021195E-2</v>
      </c>
      <c r="BF10" s="95">
        <v>1.9006546419037998E-2</v>
      </c>
      <c r="BG10" s="95">
        <v>5.7458427229342891E-2</v>
      </c>
      <c r="BH10" s="95">
        <v>3.4514961562991742E-5</v>
      </c>
      <c r="BI10" s="95">
        <v>4.7084096968297805E-4</v>
      </c>
      <c r="BJ10" s="95">
        <v>1.7580833207451362E-20</v>
      </c>
      <c r="BK10" s="95">
        <v>0.10032408212670459</v>
      </c>
      <c r="BL10" s="95">
        <v>3.2516552001162526E-3</v>
      </c>
      <c r="BM10" s="95">
        <v>1.3864718604013207E-5</v>
      </c>
      <c r="BN10" s="95">
        <v>7.385274435212359E-3</v>
      </c>
      <c r="BO10" s="95">
        <v>4.6436200298493525E-2</v>
      </c>
      <c r="BP10" s="95">
        <v>4.5224482751301441E-6</v>
      </c>
      <c r="BQ10" s="95">
        <v>4.8572497562266333E-5</v>
      </c>
      <c r="BR10" s="95">
        <v>1.259295399921537E-3</v>
      </c>
      <c r="BS10" s="95">
        <v>1.4924975813579591E-2</v>
      </c>
      <c r="BT10" s="95">
        <v>5.3774102102123391E-4</v>
      </c>
      <c r="BU10" s="95">
        <v>9.531026531345127E-5</v>
      </c>
      <c r="BV10" s="95">
        <v>3.3147513843996355E-2</v>
      </c>
      <c r="BW10" s="95">
        <v>5.3619506416073437E-15</v>
      </c>
      <c r="BX10" s="95">
        <v>3.6350873531099791E-3</v>
      </c>
      <c r="BY10" s="95">
        <v>8.0873449106826367E-3</v>
      </c>
      <c r="BZ10" s="95">
        <v>1.2851103431900726E-2</v>
      </c>
      <c r="CA10" s="95">
        <v>2.6756221763590371E-4</v>
      </c>
      <c r="CB10" s="95">
        <v>5.6494183173692397E-2</v>
      </c>
      <c r="CC10" s="95">
        <v>1.5381444078376364E-2</v>
      </c>
      <c r="CD10" s="95">
        <v>3.353369425192967E-4</v>
      </c>
      <c r="CE10" s="95">
        <v>3.1675871407606661E-4</v>
      </c>
      <c r="CF10" s="95">
        <v>2.9954034653684272E-3</v>
      </c>
      <c r="CG10" s="95">
        <v>1.1466175134893305E-9</v>
      </c>
      <c r="CH10" s="95">
        <v>2.9289010099188664E-4</v>
      </c>
      <c r="CI10" s="95">
        <v>2.5087314194470602E-2</v>
      </c>
      <c r="CJ10" s="95">
        <v>5.373039808101087E-2</v>
      </c>
      <c r="CK10" s="95">
        <v>2.0153348612706136E-3</v>
      </c>
      <c r="CL10" s="95">
        <v>1.6495839070316083E-3</v>
      </c>
      <c r="CM10" s="95">
        <v>9.259725631284908E-6</v>
      </c>
      <c r="CN10" s="95">
        <v>2.2961558194364899E-2</v>
      </c>
      <c r="CO10" s="95">
        <v>5.6676986004353791E-5</v>
      </c>
      <c r="CP10" s="95">
        <v>6.910997954492355E-9</v>
      </c>
      <c r="CQ10" s="95">
        <v>3.779338949416812E-2</v>
      </c>
      <c r="CR10" s="95">
        <v>6.6234288578959216E-3</v>
      </c>
      <c r="CS10" s="95">
        <v>1.4215774414574158E-3</v>
      </c>
      <c r="CT10" s="95">
        <v>8.5265658612611067E-2</v>
      </c>
      <c r="CU10" s="95">
        <v>2.0758180513428693E-2</v>
      </c>
      <c r="CV10" s="95">
        <v>1.5238401244019456E-3</v>
      </c>
      <c r="CW10" s="95">
        <v>3.387684199008742E-9</v>
      </c>
      <c r="CX10" s="95">
        <v>6.7404585656982194E-2</v>
      </c>
    </row>
    <row r="11" spans="1:102" s="95" customFormat="1">
      <c r="A11" s="306" t="str">
        <f>Parameters!A57</f>
        <v>Hedge funds</v>
      </c>
      <c r="B11" s="307"/>
      <c r="C11" s="95">
        <v>0.28590968711516263</v>
      </c>
      <c r="D11" s="95">
        <v>0.22042287158033724</v>
      </c>
      <c r="E11" s="95">
        <v>0.33184443137930031</v>
      </c>
      <c r="F11" s="95">
        <v>0.20157304061120501</v>
      </c>
      <c r="G11" s="95">
        <v>0.25646416608101058</v>
      </c>
      <c r="H11" s="95">
        <v>0.12917962135776709</v>
      </c>
      <c r="I11" s="95">
        <v>0.24189367806019688</v>
      </c>
      <c r="J11" s="95">
        <v>0.25793111947467656</v>
      </c>
      <c r="K11" s="95">
        <v>0.27190678223129883</v>
      </c>
      <c r="L11" s="95">
        <v>0.1539873759562857</v>
      </c>
      <c r="M11" s="95">
        <v>0.24211153254677337</v>
      </c>
      <c r="N11" s="95">
        <v>0.22767531950650619</v>
      </c>
      <c r="O11" s="95">
        <v>0.20393414863064827</v>
      </c>
      <c r="P11" s="95">
        <v>0.27494119677572831</v>
      </c>
      <c r="Q11" s="95">
        <v>0.12006947010775849</v>
      </c>
      <c r="R11" s="95">
        <v>0.18678302444167455</v>
      </c>
      <c r="S11" s="95">
        <v>0.24811920493112663</v>
      </c>
      <c r="T11" s="95">
        <v>0.19772582980444139</v>
      </c>
      <c r="U11" s="95">
        <v>0.29176679012660067</v>
      </c>
      <c r="V11" s="95">
        <v>9.7379430901380681E-2</v>
      </c>
      <c r="W11" s="95">
        <v>0.15820211884535523</v>
      </c>
      <c r="X11" s="95">
        <v>0.26387237265072572</v>
      </c>
      <c r="Y11" s="95">
        <v>0.16088909375041352</v>
      </c>
      <c r="Z11" s="95">
        <v>0.17418272115101785</v>
      </c>
      <c r="AA11" s="95">
        <v>5.4632815593903252E-3</v>
      </c>
      <c r="AB11" s="95">
        <v>0.2974433044915219</v>
      </c>
      <c r="AC11" s="95">
        <v>0.22553987676057075</v>
      </c>
      <c r="AD11" s="95">
        <v>0.28591291049278911</v>
      </c>
      <c r="AE11" s="95">
        <v>1.8660213373629293E-2</v>
      </c>
      <c r="AF11" s="95">
        <v>0.10559607971930755</v>
      </c>
      <c r="AG11" s="95">
        <v>4.1157963987993013E-2</v>
      </c>
      <c r="AH11" s="95">
        <v>6.8377504132678152E-2</v>
      </c>
      <c r="AI11" s="95">
        <v>0.16526842753505364</v>
      </c>
      <c r="AJ11" s="95">
        <v>0.12757066245215534</v>
      </c>
      <c r="AK11" s="95">
        <v>0.27377041520955725</v>
      </c>
      <c r="AL11" s="95">
        <v>0.13327735501121218</v>
      </c>
      <c r="AM11" s="95">
        <v>0.3214640248862643</v>
      </c>
      <c r="AN11" s="95">
        <v>0.23681342853967666</v>
      </c>
      <c r="AO11" s="95">
        <v>0.22461184402555368</v>
      </c>
      <c r="AP11" s="95">
        <v>0.1110187791103303</v>
      </c>
      <c r="AQ11" s="95">
        <v>0.25516188896464748</v>
      </c>
      <c r="AR11" s="95">
        <v>0.16517185718784391</v>
      </c>
      <c r="AS11" s="95">
        <v>0.17982892833092992</v>
      </c>
      <c r="AT11" s="95">
        <v>4.4211894530751492E-7</v>
      </c>
      <c r="AU11" s="95">
        <v>0.1572025972433222</v>
      </c>
      <c r="AV11" s="95">
        <v>5.0719897225547456E-2</v>
      </c>
      <c r="AW11" s="95">
        <v>1.2336297264043283E-2</v>
      </c>
      <c r="AX11" s="95">
        <v>0.25174157801910624</v>
      </c>
      <c r="AY11" s="95">
        <v>0.21478608831011278</v>
      </c>
      <c r="AZ11" s="95">
        <v>0.17094453285623804</v>
      </c>
      <c r="BA11" s="95">
        <v>6.2974195647197778E-2</v>
      </c>
      <c r="BB11" s="95">
        <v>0.27070908678932049</v>
      </c>
      <c r="BC11" s="95">
        <v>0.26090995385810134</v>
      </c>
      <c r="BD11" s="95">
        <v>1.5456715080707914E-7</v>
      </c>
      <c r="BE11" s="95">
        <v>0.2890582046991203</v>
      </c>
      <c r="BF11" s="95">
        <v>0.26155340191809168</v>
      </c>
      <c r="BG11" s="95">
        <v>4.4972440536023471E-2</v>
      </c>
      <c r="BH11" s="95">
        <v>3.0295624866929885E-8</v>
      </c>
      <c r="BI11" s="95">
        <v>5.3018091150317352E-2</v>
      </c>
      <c r="BJ11" s="95">
        <v>0.14373378641480528</v>
      </c>
      <c r="BK11" s="95">
        <v>0.18262369211013366</v>
      </c>
      <c r="BL11" s="95">
        <v>7.742598054661991E-12</v>
      </c>
      <c r="BM11" s="95">
        <v>0.13461487290376817</v>
      </c>
      <c r="BN11" s="95">
        <v>1.1548965272340412E-2</v>
      </c>
      <c r="BO11" s="95">
        <v>0.12146792473053192</v>
      </c>
      <c r="BP11" s="95">
        <v>1.9229634274962142E-2</v>
      </c>
      <c r="BQ11" s="95">
        <v>0.20512008973349383</v>
      </c>
      <c r="BR11" s="95">
        <v>8.4431229135609638E-6</v>
      </c>
      <c r="BS11" s="95">
        <v>9.0276764426181516E-10</v>
      </c>
      <c r="BT11" s="95">
        <v>3.4344235123465864E-3</v>
      </c>
      <c r="BU11" s="95">
        <v>0.23034731634242361</v>
      </c>
      <c r="BV11" s="95">
        <v>3.9427773086612923E-4</v>
      </c>
      <c r="BW11" s="95">
        <v>0.12181092472760692</v>
      </c>
      <c r="BX11" s="95">
        <v>0.13411955115579183</v>
      </c>
      <c r="BY11" s="95">
        <v>9.6525121507000193E-4</v>
      </c>
      <c r="BZ11" s="95">
        <v>0.14042881957091491</v>
      </c>
      <c r="CA11" s="95">
        <v>0.23529988535650517</v>
      </c>
      <c r="CB11" s="95">
        <v>6.9964363553751402E-7</v>
      </c>
      <c r="CC11" s="95">
        <v>6.1217059857975945E-2</v>
      </c>
      <c r="CD11" s="95">
        <v>0.16759546625708277</v>
      </c>
      <c r="CE11" s="95">
        <v>0.16999968684727332</v>
      </c>
      <c r="CF11" s="95">
        <v>0.11008202676552403</v>
      </c>
      <c r="CG11" s="95">
        <v>0.24130367234504893</v>
      </c>
      <c r="CH11" s="95">
        <v>0.24255225545709941</v>
      </c>
      <c r="CI11" s="95">
        <v>0.15875586922506013</v>
      </c>
      <c r="CJ11" s="95">
        <v>0.13964105257609427</v>
      </c>
      <c r="CK11" s="95">
        <v>0.17563017761643807</v>
      </c>
      <c r="CL11" s="95">
        <v>9.2838283932887185E-3</v>
      </c>
      <c r="CM11" s="95">
        <v>2.9878247552586746E-3</v>
      </c>
      <c r="CN11" s="95">
        <v>2.821339035104856E-2</v>
      </c>
      <c r="CO11" s="95">
        <v>0.14253205599797297</v>
      </c>
      <c r="CP11" s="95">
        <v>2.7537941866552602E-3</v>
      </c>
      <c r="CQ11" s="95">
        <v>0.11502521211940807</v>
      </c>
      <c r="CR11" s="95">
        <v>0.10132053767394109</v>
      </c>
      <c r="CS11" s="95">
        <v>0.19992622406205815</v>
      </c>
      <c r="CT11" s="95">
        <v>9.6098223474688688E-2</v>
      </c>
      <c r="CU11" s="95">
        <v>3.9301784093416503E-2</v>
      </c>
      <c r="CV11" s="95">
        <v>2.5846775214700978E-5</v>
      </c>
      <c r="CW11" s="95">
        <v>8.9272564399614559E-3</v>
      </c>
      <c r="CX11" s="95">
        <v>0.21580097038490803</v>
      </c>
    </row>
    <row r="12" spans="1:102" s="95" customFormat="1">
      <c r="A12" s="306" t="str">
        <f>Parameters!A58</f>
        <v>Onroerend goed</v>
      </c>
      <c r="B12" s="307"/>
      <c r="C12" s="95">
        <v>1.293517784288848E-2</v>
      </c>
      <c r="D12" s="95">
        <v>1.2775273873053496E-2</v>
      </c>
      <c r="E12" s="95">
        <v>0.21088460664519415</v>
      </c>
      <c r="F12" s="95">
        <v>4.4232677740006044E-9</v>
      </c>
      <c r="G12" s="95">
        <v>2.8796606639316393E-3</v>
      </c>
      <c r="H12" s="95">
        <v>2.5218655424492784E-5</v>
      </c>
      <c r="I12" s="95">
        <v>1.5163637151820125E-2</v>
      </c>
      <c r="J12" s="95">
        <v>1.4682997481707808E-6</v>
      </c>
      <c r="K12" s="95">
        <v>2.8458483731125766E-3</v>
      </c>
      <c r="L12" s="95">
        <v>0.11928548892811132</v>
      </c>
      <c r="M12" s="95">
        <v>5.8060166368282901E-2</v>
      </c>
      <c r="N12" s="95">
        <v>1.1396224851079464E-2</v>
      </c>
      <c r="O12" s="95">
        <v>1.4835189710698782E-3</v>
      </c>
      <c r="P12" s="95">
        <v>0.23865921360832648</v>
      </c>
      <c r="Q12" s="95">
        <v>1.8264536033134608E-2</v>
      </c>
      <c r="R12" s="95">
        <v>1.8218438004741089E-2</v>
      </c>
      <c r="S12" s="95">
        <v>0.17572053104859101</v>
      </c>
      <c r="T12" s="95">
        <v>8.5555533933483821E-3</v>
      </c>
      <c r="U12" s="95">
        <v>0.20912266288624518</v>
      </c>
      <c r="V12" s="95">
        <v>4.6736168635320681E-3</v>
      </c>
      <c r="W12" s="95">
        <v>0.19679746600985676</v>
      </c>
      <c r="X12" s="95">
        <v>9.0496786406398952E-2</v>
      </c>
      <c r="Y12" s="95">
        <v>7.577945472263159E-2</v>
      </c>
      <c r="Z12" s="95">
        <v>5.6402729965218095E-3</v>
      </c>
      <c r="AA12" s="95">
        <v>2.3213059165333365E-5</v>
      </c>
      <c r="AB12" s="95">
        <v>0.26114155727383204</v>
      </c>
      <c r="AC12" s="95">
        <v>2.9465293659259706E-22</v>
      </c>
      <c r="AD12" s="95">
        <v>0.21884543292451453</v>
      </c>
      <c r="AE12" s="95">
        <v>1.775681858547415E-6</v>
      </c>
      <c r="AF12" s="95">
        <v>2.4758084374112796E-2</v>
      </c>
      <c r="AG12" s="95">
        <v>0.15228684558258676</v>
      </c>
      <c r="AH12" s="95">
        <v>0.2900277987392923</v>
      </c>
      <c r="AI12" s="95">
        <v>3.9244997825435308E-4</v>
      </c>
      <c r="AJ12" s="95">
        <v>1.8962535743352285E-7</v>
      </c>
      <c r="AK12" s="95">
        <v>1.5326907996765726E-5</v>
      </c>
      <c r="AL12" s="95">
        <v>6.00186692253465E-3</v>
      </c>
      <c r="AM12" s="95">
        <v>0.11224189963485438</v>
      </c>
      <c r="AN12" s="95">
        <v>5.9153323433206569E-2</v>
      </c>
      <c r="AO12" s="95">
        <v>1.2408846810412696E-6</v>
      </c>
      <c r="AP12" s="95">
        <v>0.16075398621782597</v>
      </c>
      <c r="AQ12" s="95">
        <v>0.20260335889540168</v>
      </c>
      <c r="AR12" s="95">
        <v>0.19063585529123289</v>
      </c>
      <c r="AS12" s="95">
        <v>1.1514342394220655E-2</v>
      </c>
      <c r="AT12" s="95">
        <v>2.2474044209711101E-3</v>
      </c>
      <c r="AU12" s="95">
        <v>8.6181596664646209E-15</v>
      </c>
      <c r="AV12" s="95">
        <v>0.28590149216694399</v>
      </c>
      <c r="AW12" s="95">
        <v>3.0796399324226395E-6</v>
      </c>
      <c r="AX12" s="95">
        <v>0.14632341794547615</v>
      </c>
      <c r="AY12" s="95">
        <v>3.3363460608238193E-2</v>
      </c>
      <c r="AZ12" s="95">
        <v>5.5237609347322414E-2</v>
      </c>
      <c r="BA12" s="95">
        <v>8.6508247397344411E-5</v>
      </c>
      <c r="BB12" s="95">
        <v>0.18619053931791427</v>
      </c>
      <c r="BC12" s="95">
        <v>7.5667604435111988E-2</v>
      </c>
      <c r="BD12" s="95">
        <v>7.7139989887930246E-3</v>
      </c>
      <c r="BE12" s="95">
        <v>0.20415247368131068</v>
      </c>
      <c r="BF12" s="95">
        <v>0.212534580295103</v>
      </c>
      <c r="BG12" s="95">
        <v>9.4492922851059924E-2</v>
      </c>
      <c r="BH12" s="95">
        <v>6.4083727342681279E-2</v>
      </c>
      <c r="BI12" s="95">
        <v>4.7944265783125262E-11</v>
      </c>
      <c r="BJ12" s="95">
        <v>1.6670461869922474E-4</v>
      </c>
      <c r="BK12" s="95">
        <v>2.5635663924875279E-4</v>
      </c>
      <c r="BL12" s="95">
        <v>7.9819358362990991E-2</v>
      </c>
      <c r="BM12" s="95">
        <v>0.16051171560911254</v>
      </c>
      <c r="BN12" s="95">
        <v>5.3542217459862658E-2</v>
      </c>
      <c r="BO12" s="95">
        <v>0.13816165874396846</v>
      </c>
      <c r="BP12" s="95">
        <v>4.9342683481182167E-10</v>
      </c>
      <c r="BQ12" s="95">
        <v>4.3221841548079425E-4</v>
      </c>
      <c r="BR12" s="95">
        <v>9.7269507546939582E-2</v>
      </c>
      <c r="BS12" s="95">
        <v>6.2192136537487716E-2</v>
      </c>
      <c r="BT12" s="95">
        <v>0.15618614402140749</v>
      </c>
      <c r="BU12" s="95">
        <v>0.36160818455109039</v>
      </c>
      <c r="BV12" s="95">
        <v>0.25439449616463622</v>
      </c>
      <c r="BW12" s="95">
        <v>0.18237466375902139</v>
      </c>
      <c r="BX12" s="95">
        <v>6.2538009240327621E-6</v>
      </c>
      <c r="BY12" s="95">
        <v>0.18027326163198393</v>
      </c>
      <c r="BZ12" s="95">
        <v>2.9652935986186749E-2</v>
      </c>
      <c r="CA12" s="95">
        <v>4.8374907387228973E-2</v>
      </c>
      <c r="CB12" s="95">
        <v>0.10769808971770527</v>
      </c>
      <c r="CC12" s="95">
        <v>6.7259891642928715E-6</v>
      </c>
      <c r="CD12" s="95">
        <v>2.9701431171979103E-6</v>
      </c>
      <c r="CE12" s="95">
        <v>1.7588842256733321E-11</v>
      </c>
      <c r="CF12" s="95">
        <v>4.5923554997532472E-2</v>
      </c>
      <c r="CG12" s="95">
        <v>2.4838674892925061E-4</v>
      </c>
      <c r="CH12" s="95">
        <v>0.22267365646863679</v>
      </c>
      <c r="CI12" s="95">
        <v>3.1450387017415019E-8</v>
      </c>
      <c r="CJ12" s="95">
        <v>1.6057448410259051E-2</v>
      </c>
      <c r="CK12" s="95">
        <v>6.0101394185485448E-8</v>
      </c>
      <c r="CL12" s="95">
        <v>1.1880965275431874E-2</v>
      </c>
      <c r="CM12" s="95">
        <v>9.4712531625917168E-2</v>
      </c>
      <c r="CN12" s="95">
        <v>7.5630542170381675E-5</v>
      </c>
      <c r="CO12" s="95">
        <v>3.1408614104362518E-3</v>
      </c>
      <c r="CP12" s="95">
        <v>0.28664970633901254</v>
      </c>
      <c r="CQ12" s="95">
        <v>2.4104479937222516E-3</v>
      </c>
      <c r="CR12" s="95">
        <v>1.3999673298928662E-4</v>
      </c>
      <c r="CS12" s="95">
        <v>0.2761986505022922</v>
      </c>
      <c r="CT12" s="95">
        <v>0.10334622465889795</v>
      </c>
      <c r="CU12" s="95">
        <v>0.19183909659475057</v>
      </c>
      <c r="CV12" s="95">
        <v>7.0614446222159608E-2</v>
      </c>
      <c r="CW12" s="95">
        <v>2.0682038256610461E-4</v>
      </c>
      <c r="CX12" s="95">
        <v>0.10913562312929259</v>
      </c>
    </row>
    <row r="13" spans="1:102" s="96" customFormat="1">
      <c r="A13" s="310" t="str">
        <f>Parameters!A59</f>
        <v>Commodities</v>
      </c>
      <c r="B13" s="311"/>
      <c r="C13" s="96">
        <v>2.01610281610241E-9</v>
      </c>
      <c r="D13" s="96">
        <v>1.5062040272945462E-2</v>
      </c>
      <c r="E13" s="96">
        <v>6.0232905167989308E-4</v>
      </c>
      <c r="F13" s="96">
        <v>5.4020191675432817E-6</v>
      </c>
      <c r="G13" s="96">
        <v>1.7454086613563112E-23</v>
      </c>
      <c r="H13" s="96">
        <v>3.3576095363088902E-3</v>
      </c>
      <c r="I13" s="96">
        <v>4.6507127783412558E-6</v>
      </c>
      <c r="J13" s="96">
        <v>1.6339289404542604E-2</v>
      </c>
      <c r="K13" s="96">
        <v>1.3144863948592911E-5</v>
      </c>
      <c r="L13" s="96">
        <v>4.4203701232063642E-4</v>
      </c>
      <c r="M13" s="96">
        <v>8.04546049534971E-3</v>
      </c>
      <c r="N13" s="96">
        <v>2.617014519436378E-5</v>
      </c>
      <c r="O13" s="96">
        <v>6.1707581453805341E-3</v>
      </c>
      <c r="P13" s="96">
        <v>5.9046507939429189E-6</v>
      </c>
      <c r="Q13" s="96">
        <v>4.6362387215966398E-6</v>
      </c>
      <c r="R13" s="96">
        <v>4.223541799154463E-3</v>
      </c>
      <c r="S13" s="96">
        <v>6.0814935339216134E-4</v>
      </c>
      <c r="T13" s="96">
        <v>1.0095743262887619E-6</v>
      </c>
      <c r="U13" s="96">
        <v>9.4927785524841282E-3</v>
      </c>
      <c r="V13" s="96">
        <v>1.0889559414201637E-2</v>
      </c>
      <c r="W13" s="96">
        <v>1.6035159271647181E-4</v>
      </c>
      <c r="X13" s="96">
        <v>1.2789163313467128E-6</v>
      </c>
      <c r="Y13" s="96">
        <v>6.6572017265253672E-6</v>
      </c>
      <c r="Z13" s="96">
        <v>1.9936794890697885E-3</v>
      </c>
      <c r="AA13" s="96">
        <v>6.062147366431626E-6</v>
      </c>
      <c r="AB13" s="96">
        <v>6.4922281504637731E-7</v>
      </c>
      <c r="AC13" s="96">
        <v>2.2786314881559355E-2</v>
      </c>
      <c r="AD13" s="96">
        <v>1.0527186588094612E-3</v>
      </c>
      <c r="AE13" s="96">
        <v>2.196814894867704E-2</v>
      </c>
      <c r="AF13" s="96">
        <v>1.8383304171827118E-2</v>
      </c>
      <c r="AG13" s="96">
        <v>3.3009353374743112E-3</v>
      </c>
      <c r="AH13" s="96">
        <v>5.5129220334808047E-9</v>
      </c>
      <c r="AI13" s="96">
        <v>3.12923003039333E-4</v>
      </c>
      <c r="AJ13" s="96">
        <v>3.1260498410237512E-3</v>
      </c>
      <c r="AK13" s="96">
        <v>4.4079354735510187E-4</v>
      </c>
      <c r="AL13" s="96">
        <v>1.2036151732640562E-3</v>
      </c>
      <c r="AM13" s="96">
        <v>7.1745839712765089E-2</v>
      </c>
      <c r="AN13" s="96">
        <v>8.9834998881099144E-3</v>
      </c>
      <c r="AO13" s="96">
        <v>6.1490706649952875E-2</v>
      </c>
      <c r="AP13" s="96">
        <v>1.2452551448165617E-10</v>
      </c>
      <c r="AQ13" s="96">
        <v>2.4559113447177421E-3</v>
      </c>
      <c r="AR13" s="96">
        <v>1.1959948215449445E-2</v>
      </c>
      <c r="AS13" s="96">
        <v>7.3831340457560825E-4</v>
      </c>
      <c r="AT13" s="96">
        <v>4.9771712575710893E-3</v>
      </c>
      <c r="AU13" s="96">
        <v>2.2648192534530545E-3</v>
      </c>
      <c r="AV13" s="96">
        <v>8.4199763591106085E-3</v>
      </c>
      <c r="AW13" s="96">
        <v>1.526276140576981E-6</v>
      </c>
      <c r="AX13" s="96">
        <v>2.5762854857930384E-9</v>
      </c>
      <c r="AY13" s="96">
        <v>1.5101669056614078E-2</v>
      </c>
      <c r="AZ13" s="96">
        <v>4.864674219786726E-5</v>
      </c>
      <c r="BA13" s="96">
        <v>7.7136831746336599E-9</v>
      </c>
      <c r="BB13" s="96">
        <v>3.1742700960890877E-9</v>
      </c>
      <c r="BC13" s="96">
        <v>7.7804999798000935E-4</v>
      </c>
      <c r="BD13" s="96">
        <v>8.3738376386140753E-4</v>
      </c>
      <c r="BE13" s="96">
        <v>4.5491888136255399E-7</v>
      </c>
      <c r="BF13" s="96">
        <v>2.5059976601580141E-4</v>
      </c>
      <c r="BG13" s="96">
        <v>5.9334866272215897E-3</v>
      </c>
      <c r="BH13" s="96">
        <v>2.71421364219385E-4</v>
      </c>
      <c r="BI13" s="96">
        <v>7.738430974486293E-3</v>
      </c>
      <c r="BJ13" s="96">
        <v>9.9899754534469795E-2</v>
      </c>
      <c r="BK13" s="96">
        <v>1.4979693621217489E-3</v>
      </c>
      <c r="BL13" s="96">
        <v>4.9595299529900216E-2</v>
      </c>
      <c r="BM13" s="96">
        <v>8.2221838224150381E-3</v>
      </c>
      <c r="BN13" s="96">
        <v>2.9925416634808098E-2</v>
      </c>
      <c r="BO13" s="96">
        <v>4.4836022850899499E-8</v>
      </c>
      <c r="BP13" s="96">
        <v>4.9633242823776567E-3</v>
      </c>
      <c r="BQ13" s="96">
        <v>6.7992684100776662E-2</v>
      </c>
      <c r="BR13" s="96">
        <v>4.1891364918877026E-4</v>
      </c>
      <c r="BS13" s="96">
        <v>8.2003241998326676E-6</v>
      </c>
      <c r="BT13" s="96">
        <v>1.3528358363397606E-2</v>
      </c>
      <c r="BU13" s="96">
        <v>4.4659708112225222E-5</v>
      </c>
      <c r="BV13" s="96">
        <v>1.9271328890862673E-6</v>
      </c>
      <c r="BW13" s="96">
        <v>2.4009938021830554E-3</v>
      </c>
      <c r="BX13" s="96">
        <v>8.7712953990499675E-6</v>
      </c>
      <c r="BY13" s="96">
        <v>9.0421569887615474E-3</v>
      </c>
      <c r="BZ13" s="96">
        <v>2.4967204559896482E-6</v>
      </c>
      <c r="CA13" s="96">
        <v>6.4935992355988348E-3</v>
      </c>
      <c r="CB13" s="96">
        <v>2.1273301816251154E-5</v>
      </c>
      <c r="CC13" s="96">
        <v>1.4713239699695754E-8</v>
      </c>
      <c r="CD13" s="96">
        <v>2.7730560622488011E-8</v>
      </c>
      <c r="CE13" s="96">
        <v>1.0399732371176551E-4</v>
      </c>
      <c r="CF13" s="96">
        <v>1.359589911706878E-2</v>
      </c>
      <c r="CG13" s="96">
        <v>4.3032351238680523E-2</v>
      </c>
      <c r="CH13" s="96">
        <v>1.8839241733953262E-3</v>
      </c>
      <c r="CI13" s="96">
        <v>4.3873570589497571E-5</v>
      </c>
      <c r="CJ13" s="96">
        <v>6.109089357225362E-2</v>
      </c>
      <c r="CK13" s="96">
        <v>1.5513157939308711E-4</v>
      </c>
      <c r="CL13" s="96">
        <v>4.3275519565703094E-2</v>
      </c>
      <c r="CM13" s="96">
        <v>2.6796786559652518E-2</v>
      </c>
      <c r="CN13" s="96">
        <v>1.6996545480642105E-19</v>
      </c>
      <c r="CO13" s="96">
        <v>4.1989200583577073E-2</v>
      </c>
      <c r="CP13" s="96">
        <v>8.3927091803284086E-8</v>
      </c>
      <c r="CQ13" s="96">
        <v>2.3725586000161856E-6</v>
      </c>
      <c r="CR13" s="96">
        <v>4.6488261129339056E-2</v>
      </c>
      <c r="CS13" s="96">
        <v>2.8418896909864376E-3</v>
      </c>
      <c r="CT13" s="96">
        <v>3.2355948025391597E-6</v>
      </c>
      <c r="CU13" s="96">
        <v>1.5091650134427696E-5</v>
      </c>
      <c r="CV13" s="96">
        <v>8.8784878803705304E-4</v>
      </c>
      <c r="CW13" s="96">
        <v>8.9070516997123983E-3</v>
      </c>
      <c r="CX13" s="96">
        <v>1.9498957464301231E-3</v>
      </c>
    </row>
    <row r="15" spans="1:102" s="94" customFormat="1">
      <c r="A15" s="303" t="s">
        <v>140</v>
      </c>
      <c r="B15" s="304"/>
    </row>
    <row r="16" spans="1:102" s="95" customFormat="1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 s="95" customFormat="1">
      <c r="A17" s="306" t="s">
        <v>4</v>
      </c>
      <c r="B17" s="307"/>
      <c r="C17" s="126">
        <v>0.34271401161794279</v>
      </c>
      <c r="D17" s="126">
        <v>0.26077209844749816</v>
      </c>
      <c r="E17" s="126">
        <v>0.17881717925767093</v>
      </c>
      <c r="F17" s="126">
        <v>0.39228241291831645</v>
      </c>
      <c r="G17" s="126">
        <v>0.35679943472019227</v>
      </c>
      <c r="H17" s="126">
        <v>0.42219879556532963</v>
      </c>
      <c r="I17" s="126">
        <v>9.3937742546529989E-3</v>
      </c>
      <c r="J17" s="126">
        <v>0.24189655131581064</v>
      </c>
      <c r="K17" s="126">
        <v>0.41583617858248673</v>
      </c>
      <c r="L17" s="126">
        <v>0.31017342947203946</v>
      </c>
      <c r="M17" s="126">
        <v>2.5246475462591192E-5</v>
      </c>
      <c r="N17" s="126">
        <v>3.5022571522110642E-2</v>
      </c>
      <c r="O17" s="126">
        <v>0.11670839492254893</v>
      </c>
      <c r="P17" s="126">
        <v>0.19663288825061825</v>
      </c>
      <c r="Q17" s="126">
        <v>0.46872976998268423</v>
      </c>
      <c r="R17" s="126">
        <v>2.1884179458465489E-3</v>
      </c>
      <c r="S17" s="126">
        <v>3.4938365606119385E-3</v>
      </c>
      <c r="T17" s="126">
        <v>0.2700762162096465</v>
      </c>
      <c r="U17" s="126">
        <v>9.0671754924423476E-3</v>
      </c>
      <c r="V17" s="126">
        <v>0.31384593897292928</v>
      </c>
      <c r="W17" s="126">
        <v>0.40329035199069146</v>
      </c>
      <c r="X17" s="126">
        <v>2.5595046622003888E-4</v>
      </c>
      <c r="Y17" s="126">
        <v>0.19314190076527538</v>
      </c>
      <c r="Z17" s="126">
        <v>5.7062873904732772E-6</v>
      </c>
      <c r="AA17" s="126">
        <v>0.44375261126715021</v>
      </c>
      <c r="AB17" s="126">
        <v>4.2267945749369568E-2</v>
      </c>
      <c r="AC17" s="126">
        <v>3.5864261820486089E-4</v>
      </c>
      <c r="AD17" s="126">
        <v>4.6771169276295939E-2</v>
      </c>
      <c r="AE17" s="126">
        <v>0.44770481764092501</v>
      </c>
      <c r="AF17" s="126">
        <v>9.8034743173110792E-12</v>
      </c>
      <c r="AG17" s="126">
        <v>6.4574325152543799E-2</v>
      </c>
      <c r="AH17" s="126">
        <v>0.44234774544280958</v>
      </c>
      <c r="AI17" s="126">
        <v>0.28702176093728493</v>
      </c>
      <c r="AJ17" s="126">
        <v>0.38006944556521327</v>
      </c>
      <c r="AK17" s="126">
        <v>1.3781908049824369E-4</v>
      </c>
      <c r="AL17" s="126">
        <v>0.18811208601193674</v>
      </c>
      <c r="AM17" s="126">
        <v>6.3473443792735776E-6</v>
      </c>
      <c r="AN17" s="126">
        <v>0.24731405055634723</v>
      </c>
      <c r="AO17" s="126">
        <v>0.20413997737279349</v>
      </c>
      <c r="AP17" s="126">
        <v>0.41210084812301517</v>
      </c>
      <c r="AQ17" s="126">
        <v>0.1652066316203093</v>
      </c>
      <c r="AR17" s="126">
        <v>0.27940108646271083</v>
      </c>
      <c r="AS17" s="126">
        <v>0.1158893156337044</v>
      </c>
      <c r="AT17" s="126">
        <v>0.46200186784634395</v>
      </c>
      <c r="AU17" s="126">
        <v>0.19433333631946445</v>
      </c>
      <c r="AV17" s="126">
        <v>0.37600461718769845</v>
      </c>
      <c r="AW17" s="126">
        <v>5.0723955417298277E-5</v>
      </c>
      <c r="AX17" s="126">
        <v>6.1174787866891588E-2</v>
      </c>
      <c r="AY17" s="126">
        <v>5.5652499692426353E-3</v>
      </c>
      <c r="AZ17" s="126">
        <v>1.0753628332568544E-3</v>
      </c>
      <c r="BA17" s="126">
        <v>0.37086227454949716</v>
      </c>
      <c r="BB17" s="126">
        <v>5.5655509534746171E-6</v>
      </c>
      <c r="BC17" s="126">
        <v>1.7633278433225581E-5</v>
      </c>
      <c r="BD17" s="126">
        <v>0.3834654339949346</v>
      </c>
      <c r="BE17" s="126">
        <v>1.9054563115140893E-2</v>
      </c>
      <c r="BF17" s="126">
        <v>2.2683483543302512E-3</v>
      </c>
      <c r="BG17" s="126">
        <v>0.4716920039065215</v>
      </c>
      <c r="BH17" s="126">
        <v>0.46078025315279836</v>
      </c>
      <c r="BI17" s="126">
        <v>1.0170357590447939E-3</v>
      </c>
      <c r="BJ17" s="126">
        <v>0.23109919325075456</v>
      </c>
      <c r="BK17" s="126">
        <v>0.24738197121093108</v>
      </c>
      <c r="BL17" s="126">
        <v>0.4465946838814121</v>
      </c>
      <c r="BM17" s="126">
        <v>0.29567265237898954</v>
      </c>
      <c r="BN17" s="126">
        <v>0.35820054039663718</v>
      </c>
      <c r="BO17" s="126">
        <v>0.38948386396587242</v>
      </c>
      <c r="BP17" s="126">
        <v>0.34153443238288611</v>
      </c>
      <c r="BQ17" s="126">
        <v>2.2452216272299558E-3</v>
      </c>
      <c r="BR17" s="126">
        <v>0.38175505153495437</v>
      </c>
      <c r="BS17" s="126">
        <v>0.43635574908723723</v>
      </c>
      <c r="BT17" s="126">
        <v>0.43552607645625857</v>
      </c>
      <c r="BU17" s="126">
        <v>0.13157719114125113</v>
      </c>
      <c r="BV17" s="126">
        <v>0.45229893921924574</v>
      </c>
      <c r="BW17" s="126">
        <v>3.0941487227472527E-2</v>
      </c>
      <c r="BX17" s="126">
        <v>0.2881127469772638</v>
      </c>
      <c r="BY17" s="126">
        <v>0.374516994384472</v>
      </c>
      <c r="BZ17" s="126">
        <v>8.6581846597992049E-2</v>
      </c>
      <c r="CA17" s="126">
        <v>4.8217412956002653E-2</v>
      </c>
      <c r="CB17" s="126">
        <v>0.30631731960148778</v>
      </c>
      <c r="CC17" s="126">
        <v>0.41804571099451476</v>
      </c>
      <c r="CD17" s="126">
        <v>0.38371509730106018</v>
      </c>
      <c r="CE17" s="126">
        <v>6.5293149753605116E-3</v>
      </c>
      <c r="CF17" s="126">
        <v>6.99904413996018E-3</v>
      </c>
      <c r="CG17" s="126">
        <v>6.7584598124181567E-5</v>
      </c>
      <c r="CH17" s="126">
        <v>3.8842301293786061E-2</v>
      </c>
      <c r="CI17" s="126">
        <v>0.42065133018896161</v>
      </c>
      <c r="CJ17" s="126">
        <v>0.48911100243919736</v>
      </c>
      <c r="CK17" s="126">
        <v>0.19721966197247787</v>
      </c>
      <c r="CL17" s="126">
        <v>1.0181342435842829E-3</v>
      </c>
      <c r="CM17" s="126">
        <v>0.48487701613743095</v>
      </c>
      <c r="CN17" s="126">
        <v>1.2456699104939217E-2</v>
      </c>
      <c r="CO17" s="126">
        <v>0.48522010336688121</v>
      </c>
      <c r="CP17" s="126">
        <v>2.1574035265800521E-5</v>
      </c>
      <c r="CQ17" s="126">
        <v>6.8374533372063836E-6</v>
      </c>
      <c r="CR17" s="126">
        <v>0.23164271260747202</v>
      </c>
      <c r="CS17" s="126">
        <v>0.19568773174492834</v>
      </c>
      <c r="CT17" s="126">
        <v>0.38572220675180852</v>
      </c>
      <c r="CU17" s="126">
        <v>4.2375753052866484E-2</v>
      </c>
      <c r="CV17" s="126">
        <v>0.47737207998691922</v>
      </c>
      <c r="CW17" s="126">
        <v>0.4777492469218968</v>
      </c>
      <c r="CX17" s="126">
        <v>2.0102804421705889E-3</v>
      </c>
    </row>
    <row r="18" spans="1:102" s="95" customFormat="1">
      <c r="A18" s="306" t="s">
        <v>175</v>
      </c>
      <c r="B18" s="307"/>
      <c r="C18" s="126">
        <v>0.11698111259722964</v>
      </c>
      <c r="D18" s="126">
        <v>0.15163359739726742</v>
      </c>
      <c r="E18" s="126">
        <v>5.2008363945556642E-2</v>
      </c>
      <c r="F18" s="126">
        <v>1.8547630238009531E-7</v>
      </c>
      <c r="G18" s="126">
        <v>0.10048707539689596</v>
      </c>
      <c r="H18" s="126">
        <v>0.22416566375454977</v>
      </c>
      <c r="I18" s="126">
        <v>0.48688451151573675</v>
      </c>
      <c r="J18" s="126">
        <v>2.9187424740419123E-3</v>
      </c>
      <c r="K18" s="126">
        <v>3.488620919105262E-3</v>
      </c>
      <c r="L18" s="126">
        <v>0.25889000869608614</v>
      </c>
      <c r="M18" s="126">
        <v>0.38984402154517944</v>
      </c>
      <c r="N18" s="126">
        <v>0.35074603805496518</v>
      </c>
      <c r="O18" s="126">
        <v>0.13049744599129404</v>
      </c>
      <c r="P18" s="126">
        <v>4.3360707429142158E-7</v>
      </c>
      <c r="Q18" s="126">
        <v>0.1397742493622755</v>
      </c>
      <c r="R18" s="126">
        <v>0.49279360971583164</v>
      </c>
      <c r="S18" s="126">
        <v>8.2946391199316708E-4</v>
      </c>
      <c r="T18" s="126">
        <v>3.1551601383370494E-5</v>
      </c>
      <c r="U18" s="126">
        <v>0.22971113517694133</v>
      </c>
      <c r="V18" s="126">
        <v>0.2685404429088214</v>
      </c>
      <c r="W18" s="126">
        <v>8.7202573713812855E-3</v>
      </c>
      <c r="X18" s="126">
        <v>1.3638035208687232E-4</v>
      </c>
      <c r="Y18" s="126">
        <v>6.4061952130244876E-2</v>
      </c>
      <c r="Z18" s="126">
        <v>0.19570892961936445</v>
      </c>
      <c r="AA18" s="126">
        <v>0.4725205284767609</v>
      </c>
      <c r="AB18" s="126">
        <v>0.10485745842216478</v>
      </c>
      <c r="AC18" s="126">
        <v>0.13935760880843315</v>
      </c>
      <c r="AD18" s="126">
        <v>0.14526289572897613</v>
      </c>
      <c r="AE18" s="126">
        <v>0.15340347139760152</v>
      </c>
      <c r="AF18" s="126">
        <v>0.47658592254107357</v>
      </c>
      <c r="AG18" s="126">
        <v>0.41181351801122862</v>
      </c>
      <c r="AH18" s="126">
        <v>8.6310292588486143E-4</v>
      </c>
      <c r="AI18" s="126">
        <v>2.2068757338820121E-3</v>
      </c>
      <c r="AJ18" s="126">
        <v>8.6594413938146727E-11</v>
      </c>
      <c r="AK18" s="126">
        <v>0.47148694223056237</v>
      </c>
      <c r="AL18" s="126">
        <v>0.49018628183847257</v>
      </c>
      <c r="AM18" s="126">
        <v>0.14286594940615838</v>
      </c>
      <c r="AN18" s="126">
        <v>2.9120831993153445E-10</v>
      </c>
      <c r="AO18" s="126">
        <v>2.3528715060721257E-2</v>
      </c>
      <c r="AP18" s="126">
        <v>0.13833491795125602</v>
      </c>
      <c r="AQ18" s="126">
        <v>8.5595768606230457E-2</v>
      </c>
      <c r="AR18" s="126">
        <v>0.10414040014005846</v>
      </c>
      <c r="AS18" s="126">
        <v>0.3674481571762867</v>
      </c>
      <c r="AT18" s="126">
        <v>0.34147196177783706</v>
      </c>
      <c r="AU18" s="126">
        <v>0.10487087558036878</v>
      </c>
      <c r="AV18" s="126">
        <v>1.7487301535045438E-5</v>
      </c>
      <c r="AW18" s="126">
        <v>0.49023711249369911</v>
      </c>
      <c r="AX18" s="126">
        <v>0.14773242674486581</v>
      </c>
      <c r="AY18" s="126">
        <v>1.5408093982091707E-3</v>
      </c>
      <c r="AZ18" s="126">
        <v>0.31006441854512529</v>
      </c>
      <c r="BA18" s="126">
        <v>9.0676559768276849E-2</v>
      </c>
      <c r="BB18" s="126">
        <v>4.2080646340518069E-6</v>
      </c>
      <c r="BC18" s="126">
        <v>0.36443848589990963</v>
      </c>
      <c r="BD18" s="126">
        <v>0.4728114615043934</v>
      </c>
      <c r="BE18" s="126">
        <v>1.7720263656172719E-4</v>
      </c>
      <c r="BF18" s="126">
        <v>1.9385755980898776E-4</v>
      </c>
      <c r="BG18" s="126">
        <v>1.428681744158404E-2</v>
      </c>
      <c r="BH18" s="126">
        <v>0.37128785062409286</v>
      </c>
      <c r="BI18" s="126">
        <v>0.458576836373562</v>
      </c>
      <c r="BJ18" s="126">
        <v>0.35102956097075977</v>
      </c>
      <c r="BK18" s="126">
        <v>5.6715930383097475E-2</v>
      </c>
      <c r="BL18" s="126">
        <v>0.29197945998423397</v>
      </c>
      <c r="BM18" s="126">
        <v>0.14785134300856903</v>
      </c>
      <c r="BN18" s="126">
        <v>0.297602495231098</v>
      </c>
      <c r="BO18" s="126">
        <v>1.343936586427536E-4</v>
      </c>
      <c r="BP18" s="126">
        <v>0.19701211161569482</v>
      </c>
      <c r="BQ18" s="126">
        <v>1.8705992119316173E-2</v>
      </c>
      <c r="BR18" s="126">
        <v>0.18409400430514411</v>
      </c>
      <c r="BS18" s="126">
        <v>7.829418425457324E-2</v>
      </c>
      <c r="BT18" s="126">
        <v>0.23582798770002616</v>
      </c>
      <c r="BU18" s="126">
        <v>5.0668176599449673E-2</v>
      </c>
      <c r="BV18" s="126">
        <v>7.4802965052382017E-7</v>
      </c>
      <c r="BW18" s="126">
        <v>0.2450146827882613</v>
      </c>
      <c r="BX18" s="126">
        <v>3.168091425701907E-2</v>
      </c>
      <c r="BY18" s="126">
        <v>0.29292376541054316</v>
      </c>
      <c r="BZ18" s="126">
        <v>0.16560074497629795</v>
      </c>
      <c r="CA18" s="126">
        <v>3.9973445791884332E-2</v>
      </c>
      <c r="CB18" s="126">
        <v>0.32305803465314026</v>
      </c>
      <c r="CC18" s="126">
        <v>2.2738672759667141E-3</v>
      </c>
      <c r="CD18" s="126">
        <v>0.13748166179565979</v>
      </c>
      <c r="CE18" s="126">
        <v>0.41486638584889629</v>
      </c>
      <c r="CF18" s="126">
        <v>0.39381989177671195</v>
      </c>
      <c r="CG18" s="126">
        <v>6.089758264248674E-3</v>
      </c>
      <c r="CH18" s="126">
        <v>4.859967345255907E-2</v>
      </c>
      <c r="CI18" s="126">
        <v>5.5180192272509532E-2</v>
      </c>
      <c r="CJ18" s="126">
        <v>1.6302713670820775E-7</v>
      </c>
      <c r="CK18" s="126">
        <v>0.45960720114159848</v>
      </c>
      <c r="CL18" s="126">
        <v>0.49492717732510744</v>
      </c>
      <c r="CM18" s="126">
        <v>6.6017028067276081E-6</v>
      </c>
      <c r="CN18" s="126">
        <v>0.42870112056341908</v>
      </c>
      <c r="CO18" s="126">
        <v>4.6851902890965233E-2</v>
      </c>
      <c r="CP18" s="126">
        <v>0.45429727514868229</v>
      </c>
      <c r="CQ18" s="126">
        <v>0.48366623680275761</v>
      </c>
      <c r="CR18" s="126">
        <v>9.4512806164371715E-2</v>
      </c>
      <c r="CS18" s="126">
        <v>7.4107436318423701E-4</v>
      </c>
      <c r="CT18" s="126">
        <v>5.4901888156848365E-3</v>
      </c>
      <c r="CU18" s="126">
        <v>0.26483291741391068</v>
      </c>
      <c r="CV18" s="126">
        <v>0.37236137009483017</v>
      </c>
      <c r="CW18" s="126">
        <v>1.5598740335733018E-2</v>
      </c>
      <c r="CX18" s="126">
        <v>0.12057661986234927</v>
      </c>
    </row>
    <row r="19" spans="1:102" s="95" customFormat="1">
      <c r="A19" s="306" t="s">
        <v>176</v>
      </c>
      <c r="B19" s="307"/>
      <c r="C19" s="126">
        <v>3.5927568416002559E-2</v>
      </c>
      <c r="D19" s="126">
        <v>0.20693402597184926</v>
      </c>
      <c r="E19" s="126">
        <v>3.1353871482637283E-2</v>
      </c>
      <c r="F19" s="126">
        <v>0.24385762513951537</v>
      </c>
      <c r="G19" s="126">
        <v>4.3066248141054704E-2</v>
      </c>
      <c r="H19" s="126">
        <v>0.11541159415261666</v>
      </c>
      <c r="I19" s="126">
        <v>1.8434687738927147E-2</v>
      </c>
      <c r="J19" s="126">
        <v>0.25003398705321273</v>
      </c>
      <c r="K19" s="126">
        <v>8.0642849112692067E-2</v>
      </c>
      <c r="L19" s="126">
        <v>1.1826499677888873E-2</v>
      </c>
      <c r="M19" s="126">
        <v>6.119599656919137E-2</v>
      </c>
      <c r="N19" s="126">
        <v>0.15611988241506894</v>
      </c>
      <c r="O19" s="126">
        <v>0.35372370156685662</v>
      </c>
      <c r="P19" s="126">
        <v>5.7761757284220464E-2</v>
      </c>
      <c r="Q19" s="126">
        <v>2.2200549115374647E-2</v>
      </c>
      <c r="R19" s="126">
        <v>9.5978102224386783E-2</v>
      </c>
      <c r="S19" s="126">
        <v>0.3238114644781383</v>
      </c>
      <c r="T19" s="126">
        <v>0.31653327188333052</v>
      </c>
      <c r="U19" s="126">
        <v>1.1998752111209117E-8</v>
      </c>
      <c r="V19" s="126">
        <v>0.20246851992153458</v>
      </c>
      <c r="W19" s="126">
        <v>5.0608724518752972E-7</v>
      </c>
      <c r="X19" s="126">
        <v>0.26804947467752782</v>
      </c>
      <c r="Y19" s="126">
        <v>0.23358422383594224</v>
      </c>
      <c r="Z19" s="126">
        <v>0.42556822896637386</v>
      </c>
      <c r="AA19" s="126">
        <v>2.7363566516825674E-3</v>
      </c>
      <c r="AB19" s="126">
        <v>2.7086114187700322E-2</v>
      </c>
      <c r="AC19" s="126">
        <v>0.33773995147983638</v>
      </c>
      <c r="AD19" s="126">
        <v>3.2317475325644687E-4</v>
      </c>
      <c r="AE19" s="126">
        <v>0.28289434293763333</v>
      </c>
      <c r="AF19" s="126">
        <v>0.2476924769731994</v>
      </c>
      <c r="AG19" s="126">
        <v>0.21857044978824702</v>
      </c>
      <c r="AH19" s="126">
        <v>5.7371368005130374E-2</v>
      </c>
      <c r="AI19" s="126">
        <v>0.34026408670914204</v>
      </c>
      <c r="AJ19" s="126">
        <v>0.35346206692055882</v>
      </c>
      <c r="AK19" s="126">
        <v>9.7441394432649566E-3</v>
      </c>
      <c r="AL19" s="126">
        <v>6.5085772101968503E-2</v>
      </c>
      <c r="AM19" s="126">
        <v>1.4565088555001923E-2</v>
      </c>
      <c r="AN19" s="126">
        <v>2.5889931336293213E-2</v>
      </c>
      <c r="AO19" s="126">
        <v>0.23970041858870325</v>
      </c>
      <c r="AP19" s="126">
        <v>1.8954358468591131E-4</v>
      </c>
      <c r="AQ19" s="126">
        <v>2.2294142000937495E-5</v>
      </c>
      <c r="AR19" s="126">
        <v>2.994624119577881E-4</v>
      </c>
      <c r="AS19" s="126">
        <v>8.5084711727146675E-7</v>
      </c>
      <c r="AT19" s="126">
        <v>0.17862808987236836</v>
      </c>
      <c r="AU19" s="126">
        <v>0.23682732544904089</v>
      </c>
      <c r="AV19" s="126">
        <v>0.13409388313604875</v>
      </c>
      <c r="AW19" s="126">
        <v>0.4838454522368395</v>
      </c>
      <c r="AX19" s="126">
        <v>2.2433428576250303E-2</v>
      </c>
      <c r="AY19" s="126">
        <v>0.38225495309811003</v>
      </c>
      <c r="AZ19" s="126">
        <v>0.1954171853150963</v>
      </c>
      <c r="BA19" s="126">
        <v>0.38618979374133516</v>
      </c>
      <c r="BB19" s="126">
        <v>0.11688878543326843</v>
      </c>
      <c r="BC19" s="126">
        <v>1.2898928641522688E-2</v>
      </c>
      <c r="BD19" s="126">
        <v>0.1247642306927348</v>
      </c>
      <c r="BE19" s="126">
        <v>2.7763146779679782E-5</v>
      </c>
      <c r="BF19" s="126">
        <v>0.15096226253519632</v>
      </c>
      <c r="BG19" s="126">
        <v>0.12953658102270357</v>
      </c>
      <c r="BH19" s="126">
        <v>3.499179119812406E-2</v>
      </c>
      <c r="BI19" s="126">
        <v>0.40654449856783414</v>
      </c>
      <c r="BJ19" s="126">
        <v>3.5433106547592811E-4</v>
      </c>
      <c r="BK19" s="126">
        <v>1.642301150652645E-7</v>
      </c>
      <c r="BL19" s="126">
        <v>3.4331292863910526E-2</v>
      </c>
      <c r="BM19" s="126">
        <v>1.1609037263834614E-3</v>
      </c>
      <c r="BN19" s="126">
        <v>0.15263192821829605</v>
      </c>
      <c r="BO19" s="126">
        <v>3.8974451848603334E-2</v>
      </c>
      <c r="BP19" s="126">
        <v>0.40518296984884733</v>
      </c>
      <c r="BQ19" s="126">
        <v>0.47054464692479547</v>
      </c>
      <c r="BR19" s="126">
        <v>0.24043337922022781</v>
      </c>
      <c r="BS19" s="126">
        <v>0.32378593880109302</v>
      </c>
      <c r="BT19" s="126">
        <v>3.0638344068663639E-2</v>
      </c>
      <c r="BU19" s="126">
        <v>4.3442778924675301E-3</v>
      </c>
      <c r="BV19" s="126">
        <v>0.10730499079177915</v>
      </c>
      <c r="BW19" s="126">
        <v>0.19216045502455739</v>
      </c>
      <c r="BX19" s="126">
        <v>0.30395610905625464</v>
      </c>
      <c r="BY19" s="126">
        <v>3.187180706115798E-8</v>
      </c>
      <c r="BZ19" s="126">
        <v>0.29740043689001139</v>
      </c>
      <c r="CA19" s="126">
        <v>0.34276807265489073</v>
      </c>
      <c r="CB19" s="126">
        <v>6.1935988031618747E-2</v>
      </c>
      <c r="CC19" s="126">
        <v>0.40718448177061323</v>
      </c>
      <c r="CD19" s="126">
        <v>2.5516954273634423E-4</v>
      </c>
      <c r="CE19" s="126">
        <v>0.11104928323194302</v>
      </c>
      <c r="CF19" s="126">
        <v>0.25924491204597727</v>
      </c>
      <c r="CG19" s="126">
        <v>0.4517124786051871</v>
      </c>
      <c r="CH19" s="126">
        <v>0.16712081623745065</v>
      </c>
      <c r="CI19" s="126">
        <v>3.4188994738449746E-2</v>
      </c>
      <c r="CJ19" s="126">
        <v>7.6080590754271468E-6</v>
      </c>
      <c r="CK19" s="126">
        <v>6.6803970767426145E-6</v>
      </c>
      <c r="CL19" s="126">
        <v>0.37580041867214192</v>
      </c>
      <c r="CM19" s="126">
        <v>0.28746321696930854</v>
      </c>
      <c r="CN19" s="126">
        <v>0.44456496527577188</v>
      </c>
      <c r="CO19" s="126">
        <v>1.3670502527037652E-2</v>
      </c>
      <c r="CP19" s="126">
        <v>0.13027115312935431</v>
      </c>
      <c r="CQ19" s="126">
        <v>0.10983778260962647</v>
      </c>
      <c r="CR19" s="126">
        <v>0.32649000621285745</v>
      </c>
      <c r="CS19" s="126">
        <v>8.4978449378171173E-2</v>
      </c>
      <c r="CT19" s="126">
        <v>9.4611508995296088E-8</v>
      </c>
      <c r="CU19" s="126">
        <v>0.27690253781100499</v>
      </c>
      <c r="CV19" s="126">
        <v>8.3091155369943468E-5</v>
      </c>
      <c r="CW19" s="126">
        <v>0.45932845689192603</v>
      </c>
      <c r="CX19" s="126">
        <v>8.847202236874168E-3</v>
      </c>
    </row>
    <row r="20" spans="1:102" s="95" customFormat="1">
      <c r="A20" s="306" t="s">
        <v>177</v>
      </c>
      <c r="B20" s="307"/>
      <c r="C20" s="126">
        <v>3.4442384884915363E-9</v>
      </c>
      <c r="D20" s="126">
        <v>2.0024921856994926E-13</v>
      </c>
      <c r="E20" s="126">
        <v>1.463857030970945E-6</v>
      </c>
      <c r="F20" s="126">
        <v>1.117043070816415E-5</v>
      </c>
      <c r="G20" s="126">
        <v>6.058473286516688E-3</v>
      </c>
      <c r="H20" s="126">
        <v>1.0612751933980285E-3</v>
      </c>
      <c r="I20" s="126">
        <v>3.616716994424711E-2</v>
      </c>
      <c r="J20" s="126">
        <v>6.3215777611898007E-7</v>
      </c>
      <c r="K20" s="126">
        <v>3.0185183558972813E-2</v>
      </c>
      <c r="L20" s="126">
        <v>1.035066924240612E-7</v>
      </c>
      <c r="M20" s="126">
        <v>3.9834342741035221E-2</v>
      </c>
      <c r="N20" s="126">
        <v>2.5909553965543564E-3</v>
      </c>
      <c r="O20" s="126">
        <v>1.6117293349853843E-4</v>
      </c>
      <c r="P20" s="126">
        <v>9.3474581080372926E-5</v>
      </c>
      <c r="Q20" s="126">
        <v>9.6168645135622788E-2</v>
      </c>
      <c r="R20" s="126">
        <v>1.4985279061602332E-4</v>
      </c>
      <c r="S20" s="126">
        <v>8.3271546361259971E-7</v>
      </c>
      <c r="T20" s="126">
        <v>2.6271020838766164E-7</v>
      </c>
      <c r="U20" s="126">
        <v>7.4736905352798565E-6</v>
      </c>
      <c r="V20" s="126">
        <v>8.5402155957579667E-4</v>
      </c>
      <c r="W20" s="126">
        <v>2.6463508139481298E-2</v>
      </c>
      <c r="X20" s="126">
        <v>8.7416013992723571E-2</v>
      </c>
      <c r="Y20" s="126">
        <v>7.7364329502589257E-2</v>
      </c>
      <c r="Z20" s="126">
        <v>8.344595385051852E-5</v>
      </c>
      <c r="AA20" s="126">
        <v>7.0104495777642314E-2</v>
      </c>
      <c r="AB20" s="126">
        <v>3.1982064974213397E-4</v>
      </c>
      <c r="AC20" s="126">
        <v>1.4702773167113575E-2</v>
      </c>
      <c r="AD20" s="126">
        <v>1.1251800679658776E-2</v>
      </c>
      <c r="AE20" s="126">
        <v>4.0071296081715758E-2</v>
      </c>
      <c r="AF20" s="126">
        <v>1.1950085924027968E-17</v>
      </c>
      <c r="AG20" s="126">
        <v>6.5409068818132942E-3</v>
      </c>
      <c r="AH20" s="126">
        <v>4.3838264850384745E-6</v>
      </c>
      <c r="AI20" s="126">
        <v>2.5768522906384353E-3</v>
      </c>
      <c r="AJ20" s="126">
        <v>6.3562374393544535E-4</v>
      </c>
      <c r="AK20" s="126">
        <v>2.3143049473021701E-2</v>
      </c>
      <c r="AL20" s="126">
        <v>5.2432351897463631E-4</v>
      </c>
      <c r="AM20" s="126">
        <v>6.154402314629015E-2</v>
      </c>
      <c r="AN20" s="126">
        <v>0.14822844896221718</v>
      </c>
      <c r="AO20" s="126">
        <v>9.7854769197303531E-16</v>
      </c>
      <c r="AP20" s="126">
        <v>1.556195148001516E-3</v>
      </c>
      <c r="AQ20" s="126">
        <v>1.0255427988402158E-2</v>
      </c>
      <c r="AR20" s="126">
        <v>1.8152248601224899E-2</v>
      </c>
      <c r="AS20" s="126">
        <v>7.2523000331673845E-2</v>
      </c>
      <c r="AT20" s="126">
        <v>2.1298624102880095E-3</v>
      </c>
      <c r="AU20" s="126">
        <v>9.0658873794802433E-2</v>
      </c>
      <c r="AV20" s="126">
        <v>9.1901096854043567E-3</v>
      </c>
      <c r="AW20" s="126">
        <v>3.5973830592080669E-22</v>
      </c>
      <c r="AX20" s="126">
        <v>4.3412588109028628E-3</v>
      </c>
      <c r="AY20" s="126">
        <v>5.1072431312822374E-2</v>
      </c>
      <c r="AZ20" s="126">
        <v>4.7823013019741003E-3</v>
      </c>
      <c r="BA20" s="126">
        <v>1.4316180721169263E-3</v>
      </c>
      <c r="BB20" s="126">
        <v>8.177847936588567E-2</v>
      </c>
      <c r="BC20" s="126">
        <v>5.4356038918924046E-7</v>
      </c>
      <c r="BD20" s="126">
        <v>3.1069456840580158E-9</v>
      </c>
      <c r="BE20" s="126">
        <v>0.14019761631970801</v>
      </c>
      <c r="BF20" s="126">
        <v>3.2615052245231806E-2</v>
      </c>
      <c r="BG20" s="126">
        <v>0.10890356300674345</v>
      </c>
      <c r="BH20" s="126">
        <v>7.1260202256536381E-5</v>
      </c>
      <c r="BI20" s="126">
        <v>1.029401498087204E-3</v>
      </c>
      <c r="BJ20" s="126">
        <v>3.0107825452589865E-20</v>
      </c>
      <c r="BK20" s="126">
        <v>0.24522377157729677</v>
      </c>
      <c r="BL20" s="126">
        <v>5.5660943635004135E-3</v>
      </c>
      <c r="BM20" s="126">
        <v>2.5379815013199631E-5</v>
      </c>
      <c r="BN20" s="126">
        <v>1.3815766368893491E-2</v>
      </c>
      <c r="BO20" s="126">
        <v>8.6693713948777756E-2</v>
      </c>
      <c r="BP20" s="126">
        <v>1.0516811968696354E-5</v>
      </c>
      <c r="BQ20" s="126">
        <v>9.0277401410210291E-5</v>
      </c>
      <c r="BR20" s="126">
        <v>2.4652092310912862E-3</v>
      </c>
      <c r="BS20" s="126">
        <v>3.126523042489112E-2</v>
      </c>
      <c r="BT20" s="126">
        <v>9.2264368656859788E-4</v>
      </c>
      <c r="BU20" s="126">
        <v>1.3093556782303685E-4</v>
      </c>
      <c r="BV20" s="126">
        <v>5.0698411247522938E-2</v>
      </c>
      <c r="BW20" s="126">
        <v>9.3022087996625225E-15</v>
      </c>
      <c r="BX20" s="126">
        <v>9.9274572923448798E-3</v>
      </c>
      <c r="BY20" s="126">
        <v>1.3558239338388347E-2</v>
      </c>
      <c r="BZ20" s="126">
        <v>3.1641532967973271E-2</v>
      </c>
      <c r="CA20" s="126">
        <v>5.242253517156525E-4</v>
      </c>
      <c r="CB20" s="126">
        <v>0.10619732462095978</v>
      </c>
      <c r="CC20" s="126">
        <v>3.463518283554351E-2</v>
      </c>
      <c r="CD20" s="126">
        <v>9.5558396268614052E-4</v>
      </c>
      <c r="CE20" s="126">
        <v>8.6903967087313509E-4</v>
      </c>
      <c r="CF20" s="126">
        <v>5.8995614647274069E-3</v>
      </c>
      <c r="CG20" s="126">
        <v>2.1842937709244833E-9</v>
      </c>
      <c r="CH20" s="126">
        <v>4.6711575947972817E-4</v>
      </c>
      <c r="CI20" s="126">
        <v>6.6846831597024731E-2</v>
      </c>
      <c r="CJ20" s="126">
        <v>0.10147077004144783</v>
      </c>
      <c r="CK20" s="126">
        <v>3.889722069740358E-3</v>
      </c>
      <c r="CL20" s="126">
        <v>3.2011879054673984E-3</v>
      </c>
      <c r="CM20" s="126">
        <v>1.6930903179367571E-5</v>
      </c>
      <c r="CN20" s="126">
        <v>5.1199088293443246E-2</v>
      </c>
      <c r="CO20" s="126">
        <v>1.3715166600654236E-4</v>
      </c>
      <c r="CP20" s="126">
        <v>9.9200484374084601E-9</v>
      </c>
      <c r="CQ20" s="126">
        <v>9.8965804070300686E-2</v>
      </c>
      <c r="CR20" s="126">
        <v>1.4884159574936282E-2</v>
      </c>
      <c r="CS20" s="126">
        <v>2.1264779898435408E-3</v>
      </c>
      <c r="CT20" s="126">
        <v>0.18231905661044834</v>
      </c>
      <c r="CU20" s="126">
        <v>3.4269986478936518E-2</v>
      </c>
      <c r="CV20" s="126">
        <v>3.1327771608835606E-3</v>
      </c>
      <c r="CW20" s="126">
        <v>8.8862086478769422E-9</v>
      </c>
      <c r="CX20" s="126">
        <v>0.1484824997527911</v>
      </c>
    </row>
    <row r="21" spans="1:102" s="95" customFormat="1">
      <c r="A21" s="306" t="s">
        <v>5</v>
      </c>
      <c r="B21" s="307"/>
      <c r="C21" s="126">
        <v>0.4825458727572513</v>
      </c>
      <c r="D21" s="126">
        <v>0.33797699525690217</v>
      </c>
      <c r="E21" s="126">
        <v>0.45062954516738063</v>
      </c>
      <c r="F21" s="126">
        <v>0.36383884741972788</v>
      </c>
      <c r="G21" s="126">
        <v>0.48810813612828968</v>
      </c>
      <c r="H21" s="126">
        <v>0.23111057608886632</v>
      </c>
      <c r="I21" s="126">
        <v>0.42261893391754535</v>
      </c>
      <c r="J21" s="126">
        <v>0.47505390921798391</v>
      </c>
      <c r="K21" s="126">
        <v>0.46495831340890564</v>
      </c>
      <c r="L21" s="126">
        <v>0.23578417660868317</v>
      </c>
      <c r="M21" s="126">
        <v>0.39990984449104622</v>
      </c>
      <c r="N21" s="126">
        <v>0.43375900758077834</v>
      </c>
      <c r="O21" s="126">
        <v>0.3844786171342926</v>
      </c>
      <c r="P21" s="126">
        <v>0.39908350666501574</v>
      </c>
      <c r="Q21" s="126">
        <v>0.237057325065963</v>
      </c>
      <c r="R21" s="126">
        <v>0.3650314854816174</v>
      </c>
      <c r="S21" s="126">
        <v>0.39275130608262537</v>
      </c>
      <c r="T21" s="126">
        <v>0.39621264030629233</v>
      </c>
      <c r="U21" s="126">
        <v>0.43515822271876675</v>
      </c>
      <c r="V21" s="126">
        <v>0.18476236392414</v>
      </c>
      <c r="W21" s="126">
        <v>0.25012535260072055</v>
      </c>
      <c r="X21" s="126">
        <v>0.47964307200110678</v>
      </c>
      <c r="Y21" s="126">
        <v>0.29356504751400025</v>
      </c>
      <c r="Z21" s="126">
        <v>0.36273596354215676</v>
      </c>
      <c r="AA21" s="126">
        <v>1.0827985644924515E-2</v>
      </c>
      <c r="AB21" s="126">
        <v>0.43955691912775396</v>
      </c>
      <c r="AC21" s="126">
        <v>0.46124172884425135</v>
      </c>
      <c r="AD21" s="126">
        <v>0.45016504028968718</v>
      </c>
      <c r="AE21" s="126">
        <v>3.487058554702259E-2</v>
      </c>
      <c r="AF21" s="126">
        <v>0.19574839106625705</v>
      </c>
      <c r="AG21" s="126">
        <v>6.2444477207716557E-2</v>
      </c>
      <c r="AH21" s="126">
        <v>9.5279397402356053E-2</v>
      </c>
      <c r="AI21" s="126">
        <v>0.36636675476487873</v>
      </c>
      <c r="AJ21" s="126">
        <v>0.25947420347286043</v>
      </c>
      <c r="AK21" s="126">
        <v>0.4946639054777332</v>
      </c>
      <c r="AL21" s="126">
        <v>0.2429563876425444</v>
      </c>
      <c r="AM21" s="126">
        <v>0.496722729478694</v>
      </c>
      <c r="AN21" s="126">
        <v>0.4492948236180524</v>
      </c>
      <c r="AO21" s="126">
        <v>0.41815316569512045</v>
      </c>
      <c r="AP21" s="126">
        <v>0.18293320346704431</v>
      </c>
      <c r="AQ21" s="126">
        <v>0.40968171063390707</v>
      </c>
      <c r="AR21" s="126">
        <v>0.26857688893635573</v>
      </c>
      <c r="AS21" s="126">
        <v>0.41580759810619961</v>
      </c>
      <c r="AT21" s="126">
        <v>9.6490114600855481E-7</v>
      </c>
      <c r="AU21" s="126">
        <v>0.36800769858358079</v>
      </c>
      <c r="AV21" s="126">
        <v>7.0660354848297136E-2</v>
      </c>
      <c r="AW21" s="126">
        <v>2.5857057247428396E-2</v>
      </c>
      <c r="AX21" s="126">
        <v>0.48336488966537949</v>
      </c>
      <c r="AY21" s="126">
        <v>0.45654911944768778</v>
      </c>
      <c r="AZ21" s="126">
        <v>0.36924187440168871</v>
      </c>
      <c r="BA21" s="126">
        <v>0.15063280970429646</v>
      </c>
      <c r="BB21" s="126">
        <v>0.47477693841683327</v>
      </c>
      <c r="BC21" s="126">
        <v>0.4815515732667407</v>
      </c>
      <c r="BD21" s="126">
        <v>3.4267740608290627E-7</v>
      </c>
      <c r="BE21" s="126">
        <v>0.49262028403656477</v>
      </c>
      <c r="BF21" s="126">
        <v>0.4488231412694722</v>
      </c>
      <c r="BG21" s="126">
        <v>8.5238306157129143E-2</v>
      </c>
      <c r="BH21" s="126">
        <v>6.2548884823919432E-8</v>
      </c>
      <c r="BI21" s="126">
        <v>0.11591366505894292</v>
      </c>
      <c r="BJ21" s="126">
        <v>0.24614941180277172</v>
      </c>
      <c r="BK21" s="126">
        <v>0.4463900352664909</v>
      </c>
      <c r="BL21" s="126">
        <v>1.325356741064139E-11</v>
      </c>
      <c r="BM21" s="126">
        <v>0.24641687075669128</v>
      </c>
      <c r="BN21" s="126">
        <v>2.1604858073298063E-2</v>
      </c>
      <c r="BO21" s="126">
        <v>0.22677362602559947</v>
      </c>
      <c r="BP21" s="126">
        <v>4.4717912863415935E-2</v>
      </c>
      <c r="BQ21" s="126">
        <v>0.38123855283394992</v>
      </c>
      <c r="BR21" s="126">
        <v>1.6528341600426482E-5</v>
      </c>
      <c r="BS21" s="126">
        <v>1.8911413171136172E-9</v>
      </c>
      <c r="BT21" s="126">
        <v>5.8927049393618829E-3</v>
      </c>
      <c r="BU21" s="126">
        <v>0.31644709583608005</v>
      </c>
      <c r="BV21" s="126">
        <v>6.0303933016718904E-4</v>
      </c>
      <c r="BW21" s="126">
        <v>0.21132433542068252</v>
      </c>
      <c r="BX21" s="126">
        <v>0.36628173873963693</v>
      </c>
      <c r="BY21" s="126">
        <v>1.6182204592637554E-3</v>
      </c>
      <c r="BZ21" s="126">
        <v>0.34575887958980356</v>
      </c>
      <c r="CA21" s="126">
        <v>0.46101488562006326</v>
      </c>
      <c r="CB21" s="126">
        <v>1.3151846457134936E-6</v>
      </c>
      <c r="CC21" s="126">
        <v>0.13784557873965364</v>
      </c>
      <c r="CD21" s="126">
        <v>0.47758394458719294</v>
      </c>
      <c r="CE21" s="126">
        <v>0.46640065558168958</v>
      </c>
      <c r="CF21" s="126">
        <v>0.21681075373433797</v>
      </c>
      <c r="CG21" s="126">
        <v>0.45968084579531188</v>
      </c>
      <c r="CH21" s="126">
        <v>0.38683444963714414</v>
      </c>
      <c r="CI21" s="126">
        <v>0.42301566332939289</v>
      </c>
      <c r="CJ21" s="126">
        <v>0.26371450129460883</v>
      </c>
      <c r="CK21" s="126">
        <v>0.33897720478887022</v>
      </c>
      <c r="CL21" s="126">
        <v>1.8016227633130769E-2</v>
      </c>
      <c r="CM21" s="126">
        <v>5.463074572889119E-3</v>
      </c>
      <c r="CN21" s="126">
        <v>6.2909487736560327E-2</v>
      </c>
      <c r="CO21" s="126">
        <v>0.34491087684087701</v>
      </c>
      <c r="CP21" s="126">
        <v>3.9527969619086124E-3</v>
      </c>
      <c r="CQ21" s="126">
        <v>0.30120512497326302</v>
      </c>
      <c r="CR21" s="126">
        <v>0.22768736304300768</v>
      </c>
      <c r="CS21" s="126">
        <v>0.29906124187271727</v>
      </c>
      <c r="CT21" s="126">
        <v>0.20548175820052761</v>
      </c>
      <c r="CU21" s="126">
        <v>6.4883895224254362E-2</v>
      </c>
      <c r="CV21" s="126">
        <v>5.3136930691390797E-5</v>
      </c>
      <c r="CW21" s="126">
        <v>2.3417018446351322E-2</v>
      </c>
      <c r="CX21" s="126">
        <v>0.47537815446106829</v>
      </c>
    </row>
    <row r="22" spans="1:102" s="95" customFormat="1">
      <c r="A22" s="306" t="s">
        <v>178</v>
      </c>
      <c r="B22" s="307"/>
      <c r="C22" s="126">
        <v>2.1831427764644841E-2</v>
      </c>
      <c r="D22" s="126">
        <v>1.9588478483390698E-2</v>
      </c>
      <c r="E22" s="126">
        <v>0.28637164101363199</v>
      </c>
      <c r="F22" s="126">
        <v>7.9839875602478983E-9</v>
      </c>
      <c r="G22" s="126">
        <v>5.480632327050464E-3</v>
      </c>
      <c r="H22" s="126">
        <v>4.5117781907716568E-5</v>
      </c>
      <c r="I22" s="126">
        <v>2.6492797243836696E-2</v>
      </c>
      <c r="J22" s="126">
        <v>2.7042938312094317E-6</v>
      </c>
      <c r="K22" s="126">
        <v>4.8663768109113012E-3</v>
      </c>
      <c r="L22" s="126">
        <v>0.18264893867834522</v>
      </c>
      <c r="M22" s="126">
        <v>9.5901388336297674E-2</v>
      </c>
      <c r="N22" s="126">
        <v>2.1711686590739018E-2</v>
      </c>
      <c r="O22" s="126">
        <v>2.7968897132695097E-3</v>
      </c>
      <c r="P22" s="126">
        <v>0.34641936887478536</v>
      </c>
      <c r="Q22" s="126">
        <v>3.6060307850946459E-2</v>
      </c>
      <c r="R22" s="126">
        <v>3.5604431976108394E-2</v>
      </c>
      <c r="S22" s="126">
        <v>0.27815044826547708</v>
      </c>
      <c r="T22" s="126">
        <v>1.7144034254971567E-2</v>
      </c>
      <c r="U22" s="126">
        <v>0.31189789034011639</v>
      </c>
      <c r="V22" s="126">
        <v>8.8674629928409913E-3</v>
      </c>
      <c r="W22" s="126">
        <v>0.31114650003367472</v>
      </c>
      <c r="X22" s="126">
        <v>0.16449678381316443</v>
      </c>
      <c r="Y22" s="126">
        <v>0.13827039924001805</v>
      </c>
      <c r="Z22" s="126">
        <v>1.1745882981471558E-2</v>
      </c>
      <c r="AA22" s="126">
        <v>4.6007270298011623E-5</v>
      </c>
      <c r="AB22" s="126">
        <v>0.38591078245226162</v>
      </c>
      <c r="AC22" s="126">
        <v>6.0258182204861606E-22</v>
      </c>
      <c r="AD22" s="126">
        <v>0.34456843155448469</v>
      </c>
      <c r="AE22" s="126">
        <v>3.3182399854161388E-6</v>
      </c>
      <c r="AF22" s="126">
        <v>4.589521879029658E-2</v>
      </c>
      <c r="AG22" s="126">
        <v>0.23104817480259912</v>
      </c>
      <c r="AH22" s="126">
        <v>0.4041339947154523</v>
      </c>
      <c r="AI22" s="126">
        <v>8.6998241034330962E-4</v>
      </c>
      <c r="AJ22" s="126">
        <v>3.8569125245996949E-7</v>
      </c>
      <c r="AK22" s="126">
        <v>2.7693526207989475E-5</v>
      </c>
      <c r="AL22" s="126">
        <v>1.0941032754496221E-2</v>
      </c>
      <c r="AM22" s="126">
        <v>0.17343496762421315</v>
      </c>
      <c r="AN22" s="126">
        <v>0.11222877934851269</v>
      </c>
      <c r="AO22" s="126">
        <v>2.3101179721446691E-6</v>
      </c>
      <c r="AP22" s="126">
        <v>0.2648852915208077</v>
      </c>
      <c r="AQ22" s="126">
        <v>0.32529501560455831</v>
      </c>
      <c r="AR22" s="126">
        <v>0.30998249826308066</v>
      </c>
      <c r="AS22" s="126">
        <v>2.662392029553013E-2</v>
      </c>
      <c r="AT22" s="126">
        <v>4.9048409355799145E-3</v>
      </c>
      <c r="AU22" s="126">
        <v>2.0174915430770399E-14</v>
      </c>
      <c r="AV22" s="126">
        <v>0.39830326939223903</v>
      </c>
      <c r="AW22" s="126">
        <v>6.4549697798072866E-6</v>
      </c>
      <c r="AX22" s="126">
        <v>0.28095320338902591</v>
      </c>
      <c r="AY22" s="126">
        <v>7.0917342376599316E-2</v>
      </c>
      <c r="AZ22" s="126">
        <v>0.11931378016064634</v>
      </c>
      <c r="BA22" s="126">
        <v>2.0692571352654083E-4</v>
      </c>
      <c r="BB22" s="126">
        <v>0.32654601760130392</v>
      </c>
      <c r="BC22" s="126">
        <v>0.13965681807935432</v>
      </c>
      <c r="BD22" s="126">
        <v>1.7102037206502534E-2</v>
      </c>
      <c r="BE22" s="126">
        <v>0.34792179546101171</v>
      </c>
      <c r="BF22" s="126">
        <v>0.36470731122935102</v>
      </c>
      <c r="BG22" s="126">
        <v>0.17909672216274197</v>
      </c>
      <c r="BH22" s="126">
        <v>0.13230840090775886</v>
      </c>
      <c r="BI22" s="126">
        <v>1.0482074033419542E-10</v>
      </c>
      <c r="BJ22" s="126">
        <v>2.8548780952028675E-4</v>
      </c>
      <c r="BK22" s="126">
        <v>6.266166668344339E-4</v>
      </c>
      <c r="BL22" s="126">
        <v>0.13663259273817835</v>
      </c>
      <c r="BM22" s="126">
        <v>0.29382187738245302</v>
      </c>
      <c r="BN22" s="126">
        <v>0.10016239393501726</v>
      </c>
      <c r="BO22" s="126">
        <v>0.25793986684622927</v>
      </c>
      <c r="BP22" s="126">
        <v>1.1474486663698971E-9</v>
      </c>
      <c r="BQ22" s="126">
        <v>8.0332610735580441E-4</v>
      </c>
      <c r="BR22" s="126">
        <v>0.19041575783041817</v>
      </c>
      <c r="BS22" s="126">
        <v>0.13028171728705057</v>
      </c>
      <c r="BT22" s="126">
        <v>0.26798059675115449</v>
      </c>
      <c r="BU22" s="126">
        <v>0.49677097024062444</v>
      </c>
      <c r="BV22" s="126">
        <v>0.38909092387322702</v>
      </c>
      <c r="BW22" s="126">
        <v>0.31639366257689183</v>
      </c>
      <c r="BX22" s="126">
        <v>1.7079188354317339E-5</v>
      </c>
      <c r="BY22" s="126">
        <v>0.30222378970010194</v>
      </c>
      <c r="BZ22" s="126">
        <v>7.3010411640999154E-2</v>
      </c>
      <c r="CA22" s="126">
        <v>9.477927438092551E-2</v>
      </c>
      <c r="CB22" s="126">
        <v>0.2024500285214208</v>
      </c>
      <c r="CC22" s="126">
        <v>1.514525315491434E-5</v>
      </c>
      <c r="CD22" s="126">
        <v>8.4637890127885984E-6</v>
      </c>
      <c r="CE22" s="126">
        <v>4.825566276973953E-11</v>
      </c>
      <c r="CF22" s="126">
        <v>9.0448194548445826E-2</v>
      </c>
      <c r="CG22" s="126">
        <v>4.7317402890113299E-4</v>
      </c>
      <c r="CH22" s="126">
        <v>0.35513106726798072</v>
      </c>
      <c r="CI22" s="126">
        <v>8.3801665986140812E-8</v>
      </c>
      <c r="CJ22" s="126">
        <v>3.032476425417829E-2</v>
      </c>
      <c r="CK22" s="126">
        <v>1.1599944201732169E-7</v>
      </c>
      <c r="CL22" s="126">
        <v>2.3056239929880623E-2</v>
      </c>
      <c r="CM22" s="126">
        <v>0.17317669731091981</v>
      </c>
      <c r="CN22" s="126">
        <v>1.6863902586596464E-4</v>
      </c>
      <c r="CO22" s="126">
        <v>7.6005166383388712E-3</v>
      </c>
      <c r="CP22" s="126">
        <v>0.41145707033576884</v>
      </c>
      <c r="CQ22" s="126">
        <v>6.3120013066088332E-3</v>
      </c>
      <c r="CR22" s="126">
        <v>3.1460045219602959E-4</v>
      </c>
      <c r="CS22" s="126">
        <v>0.4131539612189371</v>
      </c>
      <c r="CT22" s="126">
        <v>0.22097977650846334</v>
      </c>
      <c r="CU22" s="126">
        <v>0.31670999499115526</v>
      </c>
      <c r="CV22" s="126">
        <v>0.14517226630978952</v>
      </c>
      <c r="CW22" s="126">
        <v>5.4250897195609398E-4</v>
      </c>
      <c r="CX22" s="126">
        <v>0.24040990648293234</v>
      </c>
    </row>
    <row r="23" spans="1:102" s="95" customFormat="1">
      <c r="A23" s="306" t="s">
        <v>6</v>
      </c>
      <c r="B23" s="307"/>
      <c r="C23" s="126">
        <v>3.4026902088582499E-9</v>
      </c>
      <c r="D23" s="126">
        <v>2.3094804442891873E-2</v>
      </c>
      <c r="E23" s="126">
        <v>8.1793527609136472E-4</v>
      </c>
      <c r="F23" s="126">
        <v>9.7506314420747479E-6</v>
      </c>
      <c r="G23" s="126">
        <v>3.3218994352906722E-23</v>
      </c>
      <c r="H23" s="126">
        <v>6.0069774633316197E-3</v>
      </c>
      <c r="I23" s="126">
        <v>8.1253850538837324E-6</v>
      </c>
      <c r="J23" s="126">
        <v>3.0093473487343272E-2</v>
      </c>
      <c r="K23" s="126">
        <v>2.2477606926068669E-5</v>
      </c>
      <c r="L23" s="126">
        <v>6.7684336026461892E-4</v>
      </c>
      <c r="M23" s="126">
        <v>1.3289159841787294E-2</v>
      </c>
      <c r="N23" s="126">
        <v>4.9858439783270933E-5</v>
      </c>
      <c r="O23" s="126">
        <v>1.1633777738239591E-2</v>
      </c>
      <c r="P23" s="126">
        <v>8.5707372053133346E-6</v>
      </c>
      <c r="Q23" s="126">
        <v>9.153487133095311E-6</v>
      </c>
      <c r="R23" s="126">
        <v>8.2540998655928743E-3</v>
      </c>
      <c r="S23" s="126">
        <v>9.6264798569049208E-4</v>
      </c>
      <c r="T23" s="126">
        <v>2.0230341670581851E-6</v>
      </c>
      <c r="U23" s="126">
        <v>1.4158090582445647E-2</v>
      </c>
      <c r="V23" s="126">
        <v>2.0661249720157697E-2</v>
      </c>
      <c r="W23" s="126">
        <v>2.5352377680542171E-4</v>
      </c>
      <c r="X23" s="126">
        <v>2.3246971702167533E-6</v>
      </c>
      <c r="Y23" s="126">
        <v>1.2147011929779614E-5</v>
      </c>
      <c r="Z23" s="126">
        <v>4.1518426493920837E-3</v>
      </c>
      <c r="AA23" s="126">
        <v>1.2014911541272237E-5</v>
      </c>
      <c r="AB23" s="126">
        <v>9.594110074088665E-7</v>
      </c>
      <c r="AC23" s="126">
        <v>4.6599295082160416E-2</v>
      </c>
      <c r="AD23" s="126">
        <v>1.6574877176405735E-3</v>
      </c>
      <c r="AE23" s="126">
        <v>4.1052168155116156E-2</v>
      </c>
      <c r="AF23" s="126">
        <v>3.4077990619369621E-2</v>
      </c>
      <c r="AG23" s="126">
        <v>5.0081481558512846E-3</v>
      </c>
      <c r="AH23" s="126">
        <v>7.6818815769731025E-9</v>
      </c>
      <c r="AI23" s="126">
        <v>6.9368715383030105E-4</v>
      </c>
      <c r="AJ23" s="126">
        <v>6.3582745195848566E-3</v>
      </c>
      <c r="AK23" s="126">
        <v>7.9645076871128243E-4</v>
      </c>
      <c r="AL23" s="126">
        <v>2.1941161316068243E-3</v>
      </c>
      <c r="AM23" s="126">
        <v>0.11086089444526304</v>
      </c>
      <c r="AN23" s="126">
        <v>1.7043965887368964E-2</v>
      </c>
      <c r="AO23" s="126">
        <v>0.11447541316468833</v>
      </c>
      <c r="AP23" s="126">
        <v>2.0518917123807135E-10</v>
      </c>
      <c r="AQ23" s="126">
        <v>3.9431514045915527E-3</v>
      </c>
      <c r="AR23" s="126">
        <v>1.9447415184611339E-2</v>
      </c>
      <c r="AS23" s="126">
        <v>1.7071576094878625E-3</v>
      </c>
      <c r="AT23" s="126">
        <v>1.0862412256436626E-2</v>
      </c>
      <c r="AU23" s="126">
        <v>5.3018902727222416E-3</v>
      </c>
      <c r="AV23" s="126">
        <v>1.1730278448777096E-2</v>
      </c>
      <c r="AW23" s="126">
        <v>3.199096835750877E-6</v>
      </c>
      <c r="AX23" s="126">
        <v>4.9466836562546613E-9</v>
      </c>
      <c r="AY23" s="126">
        <v>3.2100094397328478E-2</v>
      </c>
      <c r="AZ23" s="126">
        <v>1.0507744221210264E-4</v>
      </c>
      <c r="BA23" s="126">
        <v>1.8450950549227527E-8</v>
      </c>
      <c r="BB23" s="126">
        <v>5.5671209851266002E-9</v>
      </c>
      <c r="BC23" s="126">
        <v>1.4360172736499997E-3</v>
      </c>
      <c r="BD23" s="126">
        <v>1.8564908170826274E-3</v>
      </c>
      <c r="BE23" s="126">
        <v>7.7528423309653136E-7</v>
      </c>
      <c r="BF23" s="126">
        <v>4.3002680660918907E-4</v>
      </c>
      <c r="BG23" s="126">
        <v>1.1246006302576024E-2</v>
      </c>
      <c r="BH23" s="126">
        <v>5.6038136608435748E-4</v>
      </c>
      <c r="BI23" s="126">
        <v>1.6918562637707947E-2</v>
      </c>
      <c r="BJ23" s="126">
        <v>0.17108201510071749</v>
      </c>
      <c r="BK23" s="126">
        <v>3.6615106652339215E-3</v>
      </c>
      <c r="BL23" s="126">
        <v>8.4895876155510877E-2</v>
      </c>
      <c r="BM23" s="126">
        <v>1.5050972931900228E-2</v>
      </c>
      <c r="BN23" s="126">
        <v>5.5982017776759742E-2</v>
      </c>
      <c r="BO23" s="126">
        <v>8.3706274730726519E-8</v>
      </c>
      <c r="BP23" s="126">
        <v>1.154205532973806E-2</v>
      </c>
      <c r="BQ23" s="126">
        <v>0.12637198298594216</v>
      </c>
      <c r="BR23" s="126">
        <v>8.200695365635722E-4</v>
      </c>
      <c r="BS23" s="126">
        <v>1.717825401320286E-5</v>
      </c>
      <c r="BT23" s="126">
        <v>2.3211646397966388E-2</v>
      </c>
      <c r="BU23" s="126">
        <v>6.135272230387992E-5</v>
      </c>
      <c r="BV23" s="126">
        <v>2.9475084073980524E-6</v>
      </c>
      <c r="BW23" s="126">
        <v>4.1653769621249632E-3</v>
      </c>
      <c r="BX23" s="126">
        <v>2.3954489126131106E-5</v>
      </c>
      <c r="BY23" s="126">
        <v>1.5158958835423512E-2</v>
      </c>
      <c r="BZ23" s="126">
        <v>6.1473369223614843E-6</v>
      </c>
      <c r="CA23" s="126">
        <v>1.2722683244517629E-2</v>
      </c>
      <c r="CB23" s="126">
        <v>3.9989386726669269E-5</v>
      </c>
      <c r="CC23" s="126">
        <v>3.3130552925036652E-8</v>
      </c>
      <c r="CD23" s="126">
        <v>7.9021651500924283E-8</v>
      </c>
      <c r="CE23" s="126">
        <v>2.8532064298144677E-4</v>
      </c>
      <c r="CF23" s="126">
        <v>2.6777642289839157E-2</v>
      </c>
      <c r="CG23" s="126">
        <v>8.1976156523933114E-2</v>
      </c>
      <c r="CH23" s="126">
        <v>3.0045763515993808E-3</v>
      </c>
      <c r="CI23" s="126">
        <v>1.1690407199518913E-4</v>
      </c>
      <c r="CJ23" s="126">
        <v>0.11537119088435545</v>
      </c>
      <c r="CK23" s="126">
        <v>2.9941363079410559E-4</v>
      </c>
      <c r="CL23" s="126">
        <v>8.398061429068733E-2</v>
      </c>
      <c r="CM23" s="126">
        <v>4.89964624034653E-2</v>
      </c>
      <c r="CN23" s="126">
        <v>3.7898457298968524E-19</v>
      </c>
      <c r="CO23" s="126">
        <v>0.10160894606989319</v>
      </c>
      <c r="CP23" s="126">
        <v>1.204689715409647E-7</v>
      </c>
      <c r="CQ23" s="126">
        <v>6.2127841058220229E-6</v>
      </c>
      <c r="CR23" s="126">
        <v>0.10446835194515847</v>
      </c>
      <c r="CS23" s="126">
        <v>4.2510634322181946E-3</v>
      </c>
      <c r="CT23" s="126">
        <v>6.9185015582036418E-6</v>
      </c>
      <c r="CU23" s="126">
        <v>2.4915027871402378E-5</v>
      </c>
      <c r="CV23" s="126">
        <v>1.8252783615159399E-3</v>
      </c>
      <c r="CW23" s="126">
        <v>2.3364019545927893E-2</v>
      </c>
      <c r="CX23" s="126">
        <v>4.2953367618140427E-3</v>
      </c>
    </row>
    <row r="24" spans="1:102" s="95" customFormat="1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96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6" spans="1:102" s="10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303" t="s">
        <v>131</v>
      </c>
      <c r="B27" s="30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</row>
    <row r="28" spans="1:102">
      <c r="A28" s="308" t="str">
        <f t="shared" ref="A28:A37" si="0">A4</f>
        <v>Nominale matching</v>
      </c>
      <c r="B28" s="309"/>
      <c r="C28" s="97">
        <v>2.5000000000000119E-2</v>
      </c>
      <c r="D28" s="97">
        <v>2.5000000000000119E-2</v>
      </c>
      <c r="E28" s="97">
        <v>2.5000000000000119E-2</v>
      </c>
      <c r="F28" s="97">
        <v>2.5000000000000119E-2</v>
      </c>
      <c r="G28" s="97">
        <v>2.5000000000000119E-2</v>
      </c>
      <c r="H28" s="97">
        <v>2.5000000000000119E-2</v>
      </c>
      <c r="I28" s="97">
        <v>2.5000000000000119E-2</v>
      </c>
      <c r="J28" s="97">
        <v>2.5000000000000119E-2</v>
      </c>
      <c r="K28" s="97">
        <v>2.5000000000000119E-2</v>
      </c>
      <c r="L28" s="97">
        <v>2.5000000000000119E-2</v>
      </c>
      <c r="M28" s="97">
        <v>2.5000000000000119E-2</v>
      </c>
      <c r="N28" s="97">
        <v>2.5000000000000119E-2</v>
      </c>
      <c r="O28" s="97">
        <v>2.5000000000000119E-2</v>
      </c>
      <c r="P28" s="97">
        <v>2.5000000000000119E-2</v>
      </c>
      <c r="Q28" s="97">
        <v>2.5000000000000119E-2</v>
      </c>
      <c r="R28" s="97">
        <v>2.5000000000000119E-2</v>
      </c>
      <c r="S28" s="97">
        <v>2.5000000000000119E-2</v>
      </c>
      <c r="T28" s="97">
        <v>2.5000000000000119E-2</v>
      </c>
      <c r="U28" s="97">
        <v>2.5000000000000119E-2</v>
      </c>
      <c r="V28" s="97">
        <v>2.5000000000000119E-2</v>
      </c>
      <c r="W28" s="97">
        <v>2.5000000000000119E-2</v>
      </c>
      <c r="X28" s="97">
        <v>2.5000000000000119E-2</v>
      </c>
      <c r="Y28" s="97">
        <v>2.5000000000000119E-2</v>
      </c>
      <c r="Z28" s="97">
        <v>2.5000000000000119E-2</v>
      </c>
      <c r="AA28" s="97">
        <v>2.5000000000000119E-2</v>
      </c>
      <c r="AB28" s="97">
        <v>2.5000000000000119E-2</v>
      </c>
      <c r="AC28" s="97">
        <v>2.5000000000000119E-2</v>
      </c>
      <c r="AD28" s="97">
        <v>2.5000000000000119E-2</v>
      </c>
      <c r="AE28" s="97">
        <v>2.5000000000000119E-2</v>
      </c>
      <c r="AF28" s="97">
        <v>2.5000000000000119E-2</v>
      </c>
      <c r="AG28" s="97">
        <v>2.5000000000000119E-2</v>
      </c>
      <c r="AH28" s="97">
        <v>2.5000000000000119E-2</v>
      </c>
      <c r="AI28" s="97">
        <v>2.5000000000000119E-2</v>
      </c>
      <c r="AJ28" s="97">
        <v>2.5000000000000119E-2</v>
      </c>
      <c r="AK28" s="97">
        <v>2.5000000000000119E-2</v>
      </c>
      <c r="AL28" s="97">
        <v>2.5000000000000119E-2</v>
      </c>
      <c r="AM28" s="97">
        <v>2.5000000000000119E-2</v>
      </c>
      <c r="AN28" s="97">
        <v>2.5000000000000119E-2</v>
      </c>
      <c r="AO28" s="97">
        <v>2.5000000000000119E-2</v>
      </c>
      <c r="AP28" s="97">
        <v>2.5000000000000119E-2</v>
      </c>
      <c r="AQ28" s="97">
        <v>2.5000000000000119E-2</v>
      </c>
      <c r="AR28" s="97">
        <v>2.5000000000000119E-2</v>
      </c>
      <c r="AS28" s="97">
        <v>2.5000000000000119E-2</v>
      </c>
      <c r="AT28" s="97">
        <v>2.5000000000000119E-2</v>
      </c>
      <c r="AU28" s="97">
        <v>2.5000000000000119E-2</v>
      </c>
      <c r="AV28" s="97">
        <v>2.5000000000000119E-2</v>
      </c>
      <c r="AW28" s="97">
        <v>2.5000000000000119E-2</v>
      </c>
      <c r="AX28" s="97">
        <v>2.5000000000000119E-2</v>
      </c>
      <c r="AY28" s="97">
        <v>2.5000000000000119E-2</v>
      </c>
      <c r="AZ28" s="97">
        <v>2.5000000000000119E-2</v>
      </c>
      <c r="BA28" s="97">
        <v>2.5000000000000119E-2</v>
      </c>
      <c r="BB28" s="97">
        <v>2.5000000000000119E-2</v>
      </c>
      <c r="BC28" s="97">
        <v>2.5000000000000119E-2</v>
      </c>
      <c r="BD28" s="97">
        <v>2.5000000000000119E-2</v>
      </c>
      <c r="BE28" s="97">
        <v>2.5000000000000119E-2</v>
      </c>
      <c r="BF28" s="97">
        <v>2.5000000000000119E-2</v>
      </c>
      <c r="BG28" s="97">
        <v>2.5000000000000119E-2</v>
      </c>
      <c r="BH28" s="97">
        <v>2.5000000000000119E-2</v>
      </c>
      <c r="BI28" s="97">
        <v>2.5000000000000119E-2</v>
      </c>
      <c r="BJ28" s="97">
        <v>2.5000000000000119E-2</v>
      </c>
      <c r="BK28" s="97">
        <v>2.5000000000000119E-2</v>
      </c>
      <c r="BL28" s="97">
        <v>2.5000000000000119E-2</v>
      </c>
      <c r="BM28" s="97">
        <v>2.5000000000000119E-2</v>
      </c>
      <c r="BN28" s="97">
        <v>2.5000000000000119E-2</v>
      </c>
      <c r="BO28" s="97">
        <v>2.5000000000000119E-2</v>
      </c>
      <c r="BP28" s="97">
        <v>2.5000000000000119E-2</v>
      </c>
      <c r="BQ28" s="97">
        <v>2.5000000000000119E-2</v>
      </c>
      <c r="BR28" s="97">
        <v>2.5000000000000119E-2</v>
      </c>
      <c r="BS28" s="97">
        <v>2.5000000000000119E-2</v>
      </c>
      <c r="BT28" s="97">
        <v>2.5000000000000119E-2</v>
      </c>
      <c r="BU28" s="97">
        <v>2.5000000000000119E-2</v>
      </c>
      <c r="BV28" s="97">
        <v>2.5000000000000119E-2</v>
      </c>
      <c r="BW28" s="97">
        <v>2.5000000000000119E-2</v>
      </c>
      <c r="BX28" s="97">
        <v>2.5000000000000119E-2</v>
      </c>
      <c r="BY28" s="97">
        <v>2.5000000000000119E-2</v>
      </c>
      <c r="BZ28" s="97">
        <v>2.5000000000000119E-2</v>
      </c>
      <c r="CA28" s="97">
        <v>2.5000000000000119E-2</v>
      </c>
      <c r="CB28" s="97">
        <v>2.5000000000000119E-2</v>
      </c>
      <c r="CC28" s="97">
        <v>2.5000000000000119E-2</v>
      </c>
      <c r="CD28" s="97">
        <v>2.5000000000000119E-2</v>
      </c>
      <c r="CE28" s="97">
        <v>2.5000000000000119E-2</v>
      </c>
      <c r="CF28" s="97">
        <v>2.5000000000000119E-2</v>
      </c>
      <c r="CG28" s="97">
        <v>2.5000000000000119E-2</v>
      </c>
      <c r="CH28" s="97">
        <v>2.5000000000000119E-2</v>
      </c>
      <c r="CI28" s="97">
        <v>2.5000000000000119E-2</v>
      </c>
      <c r="CJ28" s="97">
        <v>2.5000000000000119E-2</v>
      </c>
      <c r="CK28" s="97">
        <v>2.5000000000000119E-2</v>
      </c>
      <c r="CL28" s="97">
        <v>2.5000000000000119E-2</v>
      </c>
      <c r="CM28" s="97">
        <v>2.5000000000000119E-2</v>
      </c>
      <c r="CN28" s="97">
        <v>2.5000000000000119E-2</v>
      </c>
      <c r="CO28" s="97">
        <v>2.5000000000000119E-2</v>
      </c>
      <c r="CP28" s="97">
        <v>2.5000000000000119E-2</v>
      </c>
      <c r="CQ28" s="97">
        <v>2.5000000000000119E-2</v>
      </c>
      <c r="CR28" s="97">
        <v>2.5000000000000119E-2</v>
      </c>
      <c r="CS28" s="97">
        <v>2.5000000000000119E-2</v>
      </c>
      <c r="CT28" s="97">
        <v>2.5000000000000119E-2</v>
      </c>
      <c r="CU28" s="97">
        <v>2.5000000000000119E-2</v>
      </c>
      <c r="CV28" s="97">
        <v>2.5000000000000119E-2</v>
      </c>
      <c r="CW28" s="97">
        <v>2.5000000000000119E-2</v>
      </c>
      <c r="CX28" s="97">
        <v>2.5000000000000119E-2</v>
      </c>
    </row>
    <row r="29" spans="1:102" s="111" customFormat="1">
      <c r="A29" s="306" t="str">
        <f t="shared" si="0"/>
        <v>Reele matching</v>
      </c>
      <c r="B29" s="307"/>
      <c r="C29" s="97">
        <v>2.881761356966546E-2</v>
      </c>
      <c r="D29" s="97">
        <v>2.92409838507336E-2</v>
      </c>
      <c r="E29" s="97">
        <v>2.9082935819394411E-2</v>
      </c>
      <c r="F29" s="97">
        <v>2.8838095258974718E-2</v>
      </c>
      <c r="G29" s="97">
        <v>2.9030284449131576E-2</v>
      </c>
      <c r="H29" s="97">
        <v>2.80990934586892E-2</v>
      </c>
      <c r="I29" s="97">
        <v>2.6537272896421042E-2</v>
      </c>
      <c r="J29" s="97">
        <v>2.9571025871800743E-2</v>
      </c>
      <c r="K29" s="97">
        <v>3.1361609263222345E-2</v>
      </c>
      <c r="L29" s="97">
        <v>2.8603175979251626E-2</v>
      </c>
      <c r="M29" s="97">
        <v>2.7722849667335427E-2</v>
      </c>
      <c r="N29" s="97">
        <v>2.7672251707046933E-2</v>
      </c>
      <c r="O29" s="97">
        <v>2.8673562987169891E-2</v>
      </c>
      <c r="P29" s="97">
        <v>2.9747567983572979E-2</v>
      </c>
      <c r="Q29" s="97">
        <v>2.8123326526325019E-2</v>
      </c>
      <c r="R29" s="97">
        <v>2.6993090591448849E-2</v>
      </c>
      <c r="S29" s="97">
        <v>2.8948487258229981E-2</v>
      </c>
      <c r="T29" s="97">
        <v>3.0885271018996244E-2</v>
      </c>
      <c r="U29" s="97">
        <v>2.8966786444110222E-2</v>
      </c>
      <c r="V29" s="97">
        <v>2.9442703237555899E-2</v>
      </c>
      <c r="W29" s="97">
        <v>2.9757560043614538E-2</v>
      </c>
      <c r="X29" s="97">
        <v>2.8568292369431553E-2</v>
      </c>
      <c r="Y29" s="97">
        <v>2.8425015486869026E-2</v>
      </c>
      <c r="Z29" s="97">
        <v>2.8250534589913681E-2</v>
      </c>
      <c r="AA29" s="97">
        <v>2.6844832091594859E-2</v>
      </c>
      <c r="AB29" s="97">
        <v>2.9491306056164648E-2</v>
      </c>
      <c r="AC29" s="97">
        <v>2.9207793312400809E-2</v>
      </c>
      <c r="AD29" s="97">
        <v>2.924513359987323E-2</v>
      </c>
      <c r="AE29" s="97">
        <v>2.8844749108764611E-2</v>
      </c>
      <c r="AF29" s="97">
        <v>2.7453058025165757E-2</v>
      </c>
      <c r="AG29" s="97">
        <v>2.7695509208154473E-2</v>
      </c>
      <c r="AH29" s="97">
        <v>2.9807409830796688E-2</v>
      </c>
      <c r="AI29" s="97">
        <v>3.0574799632135111E-2</v>
      </c>
      <c r="AJ29" s="97">
        <v>3.0981302114555281E-2</v>
      </c>
      <c r="AK29" s="97">
        <v>3.1641304927567324E-2</v>
      </c>
      <c r="AL29" s="97">
        <v>3.088188629471026E-2</v>
      </c>
      <c r="AM29" s="97">
        <v>2.9776955529164817E-2</v>
      </c>
      <c r="AN29" s="97">
        <v>3.0045216414706727E-2</v>
      </c>
      <c r="AO29" s="97">
        <v>3.2352174869919675E-2</v>
      </c>
      <c r="AP29" s="97">
        <v>3.1075050993197826E-2</v>
      </c>
      <c r="AQ29" s="97">
        <v>3.1356715958885471E-2</v>
      </c>
      <c r="AR29" s="97">
        <v>3.0197622232189199E-2</v>
      </c>
      <c r="AS29" s="97">
        <v>2.771699426876411E-2</v>
      </c>
      <c r="AT29" s="97">
        <v>2.8008822569854215E-2</v>
      </c>
      <c r="AU29" s="97">
        <v>2.8585378815655933E-2</v>
      </c>
      <c r="AV29" s="97">
        <v>2.9770016609308444E-2</v>
      </c>
      <c r="AW29" s="97">
        <v>2.6678010352584287E-2</v>
      </c>
      <c r="AX29" s="97">
        <v>2.9925671147432387E-2</v>
      </c>
      <c r="AY29" s="97">
        <v>2.9459421444237917E-2</v>
      </c>
      <c r="AZ29" s="97">
        <v>2.852028125016225E-2</v>
      </c>
      <c r="BA29" s="97">
        <v>2.8808617372338363E-2</v>
      </c>
      <c r="BB29" s="97">
        <v>2.9391842164393389E-2</v>
      </c>
      <c r="BC29" s="97">
        <v>3.2080048221450753E-2</v>
      </c>
      <c r="BD29" s="97">
        <v>2.7782604829295638E-2</v>
      </c>
      <c r="BE29" s="97">
        <v>2.8781184333632727E-2</v>
      </c>
      <c r="BF29" s="97">
        <v>2.9796617363547134E-2</v>
      </c>
      <c r="BG29" s="97">
        <v>2.8720259204857559E-2</v>
      </c>
      <c r="BH29" s="97">
        <v>2.812857948177825E-2</v>
      </c>
      <c r="BI29" s="97">
        <v>2.7278297974136272E-2</v>
      </c>
      <c r="BJ29" s="97">
        <v>2.9876855885456195E-2</v>
      </c>
      <c r="BK29" s="97">
        <v>2.783397850077958E-2</v>
      </c>
      <c r="BL29" s="97">
        <v>2.9503247584134931E-2</v>
      </c>
      <c r="BM29" s="97">
        <v>3.0469307754980628E-2</v>
      </c>
      <c r="BN29" s="97">
        <v>2.9379933840705884E-2</v>
      </c>
      <c r="BO29" s="97">
        <v>3.0063338820727918E-2</v>
      </c>
      <c r="BP29" s="97">
        <v>2.8726834513975237E-2</v>
      </c>
      <c r="BQ29" s="97">
        <v>3.0900440803945141E-2</v>
      </c>
      <c r="BR29" s="97">
        <v>2.9032103375022742E-2</v>
      </c>
      <c r="BS29" s="97">
        <v>2.8706404296742552E-2</v>
      </c>
      <c r="BT29" s="97">
        <v>2.9478043880932288E-2</v>
      </c>
      <c r="BU29" s="97">
        <v>3.0496122488279945E-2</v>
      </c>
      <c r="BV29" s="97">
        <v>2.9290508444585882E-2</v>
      </c>
      <c r="BW29" s="97">
        <v>2.9105574592893292E-2</v>
      </c>
      <c r="BX29" s="97">
        <v>3.0122425960535566E-2</v>
      </c>
      <c r="BY29" s="97">
        <v>2.9033504276361033E-2</v>
      </c>
      <c r="BZ29" s="97">
        <v>2.920428745006682E-2</v>
      </c>
      <c r="CA29" s="97">
        <v>3.3164192176239955E-2</v>
      </c>
      <c r="CB29" s="97">
        <v>2.7703830792115962E-2</v>
      </c>
      <c r="CC29" s="97">
        <v>3.0782840693012528E-2</v>
      </c>
      <c r="CD29" s="97">
        <v>3.2149027758907767E-2</v>
      </c>
      <c r="CE29" s="97">
        <v>2.8049982998129035E-2</v>
      </c>
      <c r="CF29" s="97">
        <v>3.0278410990302023E-2</v>
      </c>
      <c r="CG29" s="97">
        <v>3.239676688783015E-2</v>
      </c>
      <c r="CH29" s="97">
        <v>3.2075686050689674E-2</v>
      </c>
      <c r="CI29" s="97">
        <v>3.2404251999918351E-2</v>
      </c>
      <c r="CJ29" s="97">
        <v>3.1798589161905234E-2</v>
      </c>
      <c r="CK29" s="97">
        <v>3.3233538116722153E-2</v>
      </c>
      <c r="CL29" s="97">
        <v>2.795333439600976E-2</v>
      </c>
      <c r="CM29" s="97">
        <v>3.1135207336848589E-2</v>
      </c>
      <c r="CN29" s="97">
        <v>2.8377104219396692E-2</v>
      </c>
      <c r="CO29" s="97">
        <v>3.3855689826171625E-2</v>
      </c>
      <c r="CP29" s="97">
        <v>2.7565621478120077E-2</v>
      </c>
      <c r="CQ29" s="97">
        <v>2.7055023827533851E-2</v>
      </c>
      <c r="CR29" s="97">
        <v>3.1160655975405387E-2</v>
      </c>
      <c r="CS29" s="97">
        <v>3.24633771041722E-2</v>
      </c>
      <c r="CT29" s="97">
        <v>2.8695416820737254E-2</v>
      </c>
      <c r="CU29" s="97">
        <v>2.9027706931090767E-2</v>
      </c>
      <c r="CV29" s="97">
        <v>3.0876629158569736E-2</v>
      </c>
      <c r="CW29" s="97">
        <v>2.9396293207844319E-2</v>
      </c>
      <c r="CX29" s="97">
        <v>2.8952144487490575E-2</v>
      </c>
    </row>
    <row r="30" spans="1:102" s="95" customFormat="1">
      <c r="A30" s="306" t="str">
        <f t="shared" si="0"/>
        <v>Credits</v>
      </c>
      <c r="B30" s="307"/>
      <c r="C30" s="97">
        <v>3.2681144456007963E-2</v>
      </c>
      <c r="D30" s="97">
        <v>3.0197010182190513E-2</v>
      </c>
      <c r="E30" s="97">
        <v>3.229470436429277E-2</v>
      </c>
      <c r="F30" s="97">
        <v>3.2231446064280703E-2</v>
      </c>
      <c r="G30" s="97">
        <v>3.362648725046663E-2</v>
      </c>
      <c r="H30" s="97">
        <v>3.0610897669028293E-2</v>
      </c>
      <c r="I30" s="97">
        <v>2.6221055935970575E-2</v>
      </c>
      <c r="J30" s="97">
        <v>3.2492565283268347E-2</v>
      </c>
      <c r="K30" s="97">
        <v>3.2966555601437825E-2</v>
      </c>
      <c r="L30" s="97">
        <v>3.0496899961707555E-2</v>
      </c>
      <c r="M30" s="97">
        <v>2.7266231780420182E-2</v>
      </c>
      <c r="N30" s="97">
        <v>2.7772736087321465E-2</v>
      </c>
      <c r="O30" s="97">
        <v>2.9525898974748117E-2</v>
      </c>
      <c r="P30" s="97">
        <v>3.3429988379016125E-2</v>
      </c>
      <c r="Q30" s="97">
        <v>3.1402848500547469E-2</v>
      </c>
      <c r="R30" s="97">
        <v>2.5874020510206649E-2</v>
      </c>
      <c r="S30" s="97">
        <v>3.0348759626020384E-2</v>
      </c>
      <c r="T30" s="97">
        <v>3.228971509449987E-2</v>
      </c>
      <c r="U30" s="97">
        <v>2.9671052100893096E-2</v>
      </c>
      <c r="V30" s="97">
        <v>2.980209757903161E-2</v>
      </c>
      <c r="W30" s="97">
        <v>3.4362759423015435E-2</v>
      </c>
      <c r="X30" s="97">
        <v>3.0253849291580558E-2</v>
      </c>
      <c r="Y30" s="97">
        <v>3.0515262101715471E-2</v>
      </c>
      <c r="Z30" s="97">
        <v>2.8046539328997842E-2</v>
      </c>
      <c r="AA30" s="97">
        <v>2.7771782799840293E-2</v>
      </c>
      <c r="AB30" s="97">
        <v>3.1496583624691522E-2</v>
      </c>
      <c r="AC30" s="97">
        <v>2.9359341579567575E-2</v>
      </c>
      <c r="AD30" s="97">
        <v>3.1359131124701144E-2</v>
      </c>
      <c r="AE30" s="97">
        <v>2.9839531977748298E-2</v>
      </c>
      <c r="AF30" s="97">
        <v>2.5376399826068183E-2</v>
      </c>
      <c r="AG30" s="97">
        <v>2.6496851215961358E-2</v>
      </c>
      <c r="AH30" s="97">
        <v>3.3643256060216321E-2</v>
      </c>
      <c r="AI30" s="97">
        <v>3.2527861054392482E-2</v>
      </c>
      <c r="AJ30" s="97">
        <v>3.1857574443704677E-2</v>
      </c>
      <c r="AK30" s="97">
        <v>2.7982129756311064E-2</v>
      </c>
      <c r="AL30" s="97">
        <v>2.798660479841426E-2</v>
      </c>
      <c r="AM30" s="97">
        <v>2.9874712261143802E-2</v>
      </c>
      <c r="AN30" s="97">
        <v>3.2106992739765181E-2</v>
      </c>
      <c r="AO30" s="97">
        <v>3.2507912804689607E-2</v>
      </c>
      <c r="AP30" s="97">
        <v>3.327403936376519E-2</v>
      </c>
      <c r="AQ30" s="97">
        <v>3.3210986325110312E-2</v>
      </c>
      <c r="AR30" s="97">
        <v>3.3379569711659451E-2</v>
      </c>
      <c r="AS30" s="97">
        <v>2.8974826521617932E-2</v>
      </c>
      <c r="AT30" s="97">
        <v>2.9349753421798859E-2</v>
      </c>
      <c r="AU30" s="97">
        <v>3.0850761859681729E-2</v>
      </c>
      <c r="AV30" s="97">
        <v>3.2801108413104768E-2</v>
      </c>
      <c r="AW30" s="97">
        <v>2.4461537373661513E-2</v>
      </c>
      <c r="AX30" s="97">
        <v>3.2720680543006593E-2</v>
      </c>
      <c r="AY30" s="97">
        <v>3.0420601941832361E-2</v>
      </c>
      <c r="AZ30" s="97">
        <v>2.8456462598932721E-2</v>
      </c>
      <c r="BA30" s="97">
        <v>3.1079655205356355E-2</v>
      </c>
      <c r="BB30" s="97">
        <v>3.1831881044546852E-2</v>
      </c>
      <c r="BC30" s="97">
        <v>2.9284437258324279E-2</v>
      </c>
      <c r="BD30" s="97">
        <v>2.7878843017520159E-2</v>
      </c>
      <c r="BE30" s="97">
        <v>3.1522104014514232E-2</v>
      </c>
      <c r="BF30" s="97">
        <v>3.2260033923263515E-2</v>
      </c>
      <c r="BG30" s="97">
        <v>3.1793647536092956E-2</v>
      </c>
      <c r="BH30" s="97">
        <v>2.9997130807808834E-2</v>
      </c>
      <c r="BI30" s="97">
        <v>2.501118372150786E-2</v>
      </c>
      <c r="BJ30" s="97">
        <v>2.8529014953598972E-2</v>
      </c>
      <c r="BK30" s="97">
        <v>3.0797876381437987E-2</v>
      </c>
      <c r="BL30" s="97">
        <v>3.0351597312844029E-2</v>
      </c>
      <c r="BM30" s="97">
        <v>3.3978955499367997E-2</v>
      </c>
      <c r="BN30" s="97">
        <v>2.9696765177718933E-2</v>
      </c>
      <c r="BO30" s="97">
        <v>3.3751439510473651E-2</v>
      </c>
      <c r="BP30" s="97">
        <v>2.9502566907185161E-2</v>
      </c>
      <c r="BQ30" s="97">
        <v>2.9365579193055491E-2</v>
      </c>
      <c r="BR30" s="97">
        <v>3.0981057923742474E-2</v>
      </c>
      <c r="BS30" s="97">
        <v>3.1009787109632592E-2</v>
      </c>
      <c r="BT30" s="97">
        <v>3.1740562832107716E-2</v>
      </c>
      <c r="BU30" s="97">
        <v>3.2390406425431305E-2</v>
      </c>
      <c r="BV30" s="97">
        <v>3.2641361935383931E-2</v>
      </c>
      <c r="BW30" s="97">
        <v>2.9194086891868871E-2</v>
      </c>
      <c r="BX30" s="97">
        <v>3.4009706154408494E-2</v>
      </c>
      <c r="BY30" s="97">
        <v>3.0679580653628365E-2</v>
      </c>
      <c r="BZ30" s="97">
        <v>3.0517415900427978E-2</v>
      </c>
      <c r="CA30" s="97">
        <v>3.1209816143552598E-2</v>
      </c>
      <c r="CB30" s="97">
        <v>2.884974445756687E-2</v>
      </c>
      <c r="CC30" s="97">
        <v>3.119860178441371E-2</v>
      </c>
      <c r="CD30" s="97">
        <v>3.7880544008202871E-2</v>
      </c>
      <c r="CE30" s="97">
        <v>2.7712732608499414E-2</v>
      </c>
      <c r="CF30" s="97">
        <v>2.7226921536989475E-2</v>
      </c>
      <c r="CG30" s="97">
        <v>2.9982540142589564E-2</v>
      </c>
      <c r="CH30" s="97">
        <v>3.1851270682342073E-2</v>
      </c>
      <c r="CI30" s="97">
        <v>3.6076605427350056E-2</v>
      </c>
      <c r="CJ30" s="97">
        <v>3.3172096940054976E-2</v>
      </c>
      <c r="CK30" s="97">
        <v>2.9171110080965713E-2</v>
      </c>
      <c r="CL30" s="97">
        <v>2.4723863125532607E-2</v>
      </c>
      <c r="CM30" s="97">
        <v>3.2537919359410715E-2</v>
      </c>
      <c r="CN30" s="97">
        <v>2.5906870559758231E-2</v>
      </c>
      <c r="CO30" s="97">
        <v>3.7984467472992132E-2</v>
      </c>
      <c r="CP30" s="97">
        <v>2.6014509145971993E-2</v>
      </c>
      <c r="CQ30" s="97">
        <v>2.6337848171796283E-2</v>
      </c>
      <c r="CR30" s="97">
        <v>3.1489419523384791E-2</v>
      </c>
      <c r="CS30" s="97">
        <v>3.3176659617632685E-2</v>
      </c>
      <c r="CT30" s="97">
        <v>3.2358378692868416E-2</v>
      </c>
      <c r="CU30" s="97">
        <v>2.812486837637845E-2</v>
      </c>
      <c r="CV30" s="97">
        <v>3.0783267692383487E-2</v>
      </c>
      <c r="CW30" s="97">
        <v>3.1712540986275031E-2</v>
      </c>
      <c r="CX30" s="97">
        <v>3.1303030506059384E-2</v>
      </c>
    </row>
    <row r="31" spans="1:102" s="95" customFormat="1">
      <c r="A31" s="306" t="str">
        <f t="shared" si="0"/>
        <v>High Yield</v>
      </c>
      <c r="B31" s="307"/>
      <c r="C31" s="97">
        <v>4.4900196858683142E-2</v>
      </c>
      <c r="D31" s="97">
        <v>4.1292200643699234E-2</v>
      </c>
      <c r="E31" s="97">
        <v>3.8909839134971064E-2</v>
      </c>
      <c r="F31" s="97">
        <v>4.4214283590143275E-2</v>
      </c>
      <c r="G31" s="97">
        <v>4.7370176530546121E-2</v>
      </c>
      <c r="H31" s="97">
        <v>4.5363259178912096E-2</v>
      </c>
      <c r="I31" s="97">
        <v>3.8888427727604744E-2</v>
      </c>
      <c r="J31" s="97">
        <v>4.3833363369864299E-2</v>
      </c>
      <c r="K31" s="97">
        <v>4.2416270794389102E-2</v>
      </c>
      <c r="L31" s="97">
        <v>4.2546078779407658E-2</v>
      </c>
      <c r="M31" s="97">
        <v>3.8640402340814874E-2</v>
      </c>
      <c r="N31" s="97">
        <v>4.2529745728432169E-2</v>
      </c>
      <c r="O31" s="97">
        <v>4.2007140079418359E-2</v>
      </c>
      <c r="P31" s="97">
        <v>3.9815473357430978E-2</v>
      </c>
      <c r="Q31" s="97">
        <v>4.4766575944806083E-2</v>
      </c>
      <c r="R31" s="97">
        <v>4.1007748352144935E-2</v>
      </c>
      <c r="S31" s="97">
        <v>3.7359140950450453E-2</v>
      </c>
      <c r="T31" s="97">
        <v>4.3829142980930366E-2</v>
      </c>
      <c r="U31" s="97">
        <v>3.6299120958222096E-2</v>
      </c>
      <c r="V31" s="97">
        <v>4.5036737152080904E-2</v>
      </c>
      <c r="W31" s="97">
        <v>4.3831490982468177E-2</v>
      </c>
      <c r="X31" s="97">
        <v>3.8787398335753502E-2</v>
      </c>
      <c r="Y31" s="97">
        <v>4.1707283198523681E-2</v>
      </c>
      <c r="Z31" s="97">
        <v>4.1486917773160006E-2</v>
      </c>
      <c r="AA31" s="97">
        <v>4.2913483885052936E-2</v>
      </c>
      <c r="AB31" s="97">
        <v>3.680965485479467E-2</v>
      </c>
      <c r="AC31" s="97">
        <v>4.1401272842014059E-2</v>
      </c>
      <c r="AD31" s="97">
        <v>3.8006951350858645E-2</v>
      </c>
      <c r="AE31" s="97">
        <v>4.2753490098514577E-2</v>
      </c>
      <c r="AF31" s="97">
        <v>4.0146624017326091E-2</v>
      </c>
      <c r="AG31" s="97">
        <v>3.9145964841327513E-2</v>
      </c>
      <c r="AH31" s="97">
        <v>4.2130835422682547E-2</v>
      </c>
      <c r="AI31" s="97">
        <v>4.5709879809939007E-2</v>
      </c>
      <c r="AJ31" s="97">
        <v>4.3461748747951209E-2</v>
      </c>
      <c r="AK31" s="97">
        <v>3.8055393224840535E-2</v>
      </c>
      <c r="AL31" s="97">
        <v>4.1202383880114934E-2</v>
      </c>
      <c r="AM31" s="97">
        <v>3.5231317846431354E-2</v>
      </c>
      <c r="AN31" s="97">
        <v>4.1304980125328045E-2</v>
      </c>
      <c r="AO31" s="97">
        <v>4.1735944442517089E-2</v>
      </c>
      <c r="AP31" s="97">
        <v>4.4332900588318361E-2</v>
      </c>
      <c r="AQ31" s="97">
        <v>4.0251068931345446E-2</v>
      </c>
      <c r="AR31" s="97">
        <v>4.3089046775239344E-2</v>
      </c>
      <c r="AS31" s="97">
        <v>4.5455703622050897E-2</v>
      </c>
      <c r="AT31" s="97">
        <v>4.7844368884718005E-2</v>
      </c>
      <c r="AU31" s="97">
        <v>4.5387547222980704E-2</v>
      </c>
      <c r="AV31" s="97">
        <v>4.1354743270569372E-2</v>
      </c>
      <c r="AW31" s="97">
        <v>4.0408361677430289E-2</v>
      </c>
      <c r="AX31" s="97">
        <v>4.1971907255626099E-2</v>
      </c>
      <c r="AY31" s="97">
        <v>4.0479173709741606E-2</v>
      </c>
      <c r="AZ31" s="97">
        <v>4.4412140875835268E-2</v>
      </c>
      <c r="BA31" s="97">
        <v>4.7362141267319635E-2</v>
      </c>
      <c r="BB31" s="97">
        <v>3.8770248134751585E-2</v>
      </c>
      <c r="BC31" s="97">
        <v>3.9088699482996356E-2</v>
      </c>
      <c r="BD31" s="97">
        <v>4.7279051196989386E-2</v>
      </c>
      <c r="BE31" s="97">
        <v>3.789650680856415E-2</v>
      </c>
      <c r="BF31" s="97">
        <v>3.8487208660739756E-2</v>
      </c>
      <c r="BG31" s="97">
        <v>4.3345822274306625E-2</v>
      </c>
      <c r="BH31" s="97">
        <v>4.7996236135445312E-2</v>
      </c>
      <c r="BI31" s="97">
        <v>4.2015555786483409E-2</v>
      </c>
      <c r="BJ31" s="97">
        <v>3.7706657084315288E-2</v>
      </c>
      <c r="BK31" s="97">
        <v>4.2417970875752511E-2</v>
      </c>
      <c r="BL31" s="97">
        <v>4.3644055748922495E-2</v>
      </c>
      <c r="BM31" s="97">
        <v>4.5984070767376456E-2</v>
      </c>
      <c r="BN31" s="97">
        <v>4.4962429074285139E-2</v>
      </c>
      <c r="BO31" s="97">
        <v>4.4693947837027376E-2</v>
      </c>
      <c r="BP31" s="97">
        <v>4.6344463871838257E-2</v>
      </c>
      <c r="BQ31" s="97">
        <v>3.6709340675039337E-2</v>
      </c>
      <c r="BR31" s="97">
        <v>4.6846038545619237E-2</v>
      </c>
      <c r="BS31" s="97">
        <v>4.5245173780326969E-2</v>
      </c>
      <c r="BT31" s="97">
        <v>4.5677111658395025E-2</v>
      </c>
      <c r="BU31" s="97">
        <v>3.6464336164113924E-2</v>
      </c>
      <c r="BV31" s="97">
        <v>4.2436353141842624E-2</v>
      </c>
      <c r="BW31" s="97">
        <v>4.1025453160453099E-2</v>
      </c>
      <c r="BX31" s="97">
        <v>5.1858209610944742E-2</v>
      </c>
      <c r="BY31" s="97">
        <v>4.4199515495810138E-2</v>
      </c>
      <c r="BZ31" s="97">
        <v>4.7124935470471814E-2</v>
      </c>
      <c r="CA31" s="97">
        <v>3.9337995251179064E-2</v>
      </c>
      <c r="CB31" s="97">
        <v>4.2718732077367177E-2</v>
      </c>
      <c r="CC31" s="97">
        <v>4.3091577518987727E-2</v>
      </c>
      <c r="CD31" s="97">
        <v>5.8325616572628941E-2</v>
      </c>
      <c r="CE31" s="97">
        <v>4.8750175313996461E-2</v>
      </c>
      <c r="CF31" s="97">
        <v>4.1452225865837591E-2</v>
      </c>
      <c r="CG31" s="97">
        <v>3.6680014706609088E-2</v>
      </c>
      <c r="CH31" s="97">
        <v>3.7618514225230833E-2</v>
      </c>
      <c r="CI31" s="97">
        <v>5.2393438138196052E-2</v>
      </c>
      <c r="CJ31" s="97">
        <v>4.2463655175540342E-2</v>
      </c>
      <c r="CK31" s="97">
        <v>3.9829164623587529E-2</v>
      </c>
      <c r="CL31" s="97">
        <v>3.912255197294507E-2</v>
      </c>
      <c r="CM31" s="97">
        <v>4.3825911571433868E-2</v>
      </c>
      <c r="CN31" s="97">
        <v>4.0941036125784855E-2</v>
      </c>
      <c r="CO31" s="97">
        <v>5.2603961836611403E-2</v>
      </c>
      <c r="CP31" s="97">
        <v>3.7025456800014095E-2</v>
      </c>
      <c r="CQ31" s="97">
        <v>4.4694665327580381E-2</v>
      </c>
      <c r="CR31" s="97">
        <v>4.5492684340223424E-2</v>
      </c>
      <c r="CS31" s="97">
        <v>3.8455172336912799E-2</v>
      </c>
      <c r="CT31" s="97">
        <v>4.3696885912313431E-2</v>
      </c>
      <c r="CU31" s="97">
        <v>3.9694408832341876E-2</v>
      </c>
      <c r="CV31" s="97">
        <v>4.6765826768647115E-2</v>
      </c>
      <c r="CW31" s="97">
        <v>4.76551266120053E-2</v>
      </c>
      <c r="CX31" s="97">
        <v>4.179672632837432E-2</v>
      </c>
    </row>
    <row r="32" spans="1:102" s="96" customFormat="1">
      <c r="A32" s="306" t="str">
        <f t="shared" si="0"/>
        <v>Emerging market debt</v>
      </c>
      <c r="B32" s="307"/>
      <c r="C32" s="97">
        <v>4.2476409596899335E-2</v>
      </c>
      <c r="D32" s="97">
        <v>3.911500002785645E-2</v>
      </c>
      <c r="E32" s="97">
        <v>3.8460992309657646E-2</v>
      </c>
      <c r="F32" s="97">
        <v>3.7763668560700035E-2</v>
      </c>
      <c r="G32" s="97">
        <v>4.4118781757367082E-2</v>
      </c>
      <c r="H32" s="97">
        <v>4.2621280332237971E-2</v>
      </c>
      <c r="I32" s="97">
        <v>4.5390790295790163E-2</v>
      </c>
      <c r="J32" s="97">
        <v>3.9474204857234421E-2</v>
      </c>
      <c r="K32" s="97">
        <v>3.7017863274320488E-2</v>
      </c>
      <c r="L32" s="97">
        <v>4.2899161268241115E-2</v>
      </c>
      <c r="M32" s="97">
        <v>4.3926758615053949E-2</v>
      </c>
      <c r="N32" s="97">
        <v>4.6730031599574083E-2</v>
      </c>
      <c r="O32" s="97">
        <v>3.9582778653460521E-2</v>
      </c>
      <c r="P32" s="97">
        <v>3.7959005007305716E-2</v>
      </c>
      <c r="Q32" s="97">
        <v>4.1092762062571273E-2</v>
      </c>
      <c r="R32" s="97">
        <v>4.8698907529477517E-2</v>
      </c>
      <c r="S32" s="97">
        <v>3.5300522385785481E-2</v>
      </c>
      <c r="T32" s="97">
        <v>3.7425947230476847E-2</v>
      </c>
      <c r="U32" s="97">
        <v>4.1483240027438084E-2</v>
      </c>
      <c r="V32" s="97">
        <v>4.3241076636238787E-2</v>
      </c>
      <c r="W32" s="97">
        <v>3.9458274278687505E-2</v>
      </c>
      <c r="X32" s="97">
        <v>3.6788435164420277E-2</v>
      </c>
      <c r="Y32" s="97">
        <v>3.8460188277269824E-2</v>
      </c>
      <c r="Z32" s="97">
        <v>4.0457872255542066E-2</v>
      </c>
      <c r="AA32" s="97">
        <v>4.3314064392648233E-2</v>
      </c>
      <c r="AB32" s="97">
        <v>3.9237932981780542E-2</v>
      </c>
      <c r="AC32" s="97">
        <v>4.1688572736912614E-2</v>
      </c>
      <c r="AD32" s="97">
        <v>4.1416396400140935E-2</v>
      </c>
      <c r="AE32" s="97">
        <v>3.8338076497649351E-2</v>
      </c>
      <c r="AF32" s="97">
        <v>4.5571425627930456E-2</v>
      </c>
      <c r="AG32" s="97">
        <v>4.2183406437903456E-2</v>
      </c>
      <c r="AH32" s="97">
        <v>3.6951776016040064E-2</v>
      </c>
      <c r="AI32" s="97">
        <v>3.8553117264240364E-2</v>
      </c>
      <c r="AJ32" s="97">
        <v>3.6127717108709018E-2</v>
      </c>
      <c r="AK32" s="97">
        <v>4.21413212597673E-2</v>
      </c>
      <c r="AL32" s="97">
        <v>4.3618394405804922E-2</v>
      </c>
      <c r="AM32" s="97">
        <v>4.0039278481625855E-2</v>
      </c>
      <c r="AN32" s="97">
        <v>3.8435024485463432E-2</v>
      </c>
      <c r="AO32" s="97">
        <v>4.0070411629922024E-2</v>
      </c>
      <c r="AP32" s="97">
        <v>4.1188535611868526E-2</v>
      </c>
      <c r="AQ32" s="97">
        <v>4.0286852305171136E-2</v>
      </c>
      <c r="AR32" s="97">
        <v>4.2379111546449647E-2</v>
      </c>
      <c r="AS32" s="97">
        <v>5.0125395213359035E-2</v>
      </c>
      <c r="AT32" s="97">
        <v>4.5239832694084568E-2</v>
      </c>
      <c r="AU32" s="97">
        <v>4.2094056757028001E-2</v>
      </c>
      <c r="AV32" s="97">
        <v>3.655205001605296E-2</v>
      </c>
      <c r="AW32" s="97">
        <v>4.1959862978473844E-2</v>
      </c>
      <c r="AX32" s="97">
        <v>4.5565034848094182E-2</v>
      </c>
      <c r="AY32" s="97">
        <v>3.7815916003940277E-2</v>
      </c>
      <c r="AZ32" s="97">
        <v>4.8739499189193181E-2</v>
      </c>
      <c r="BA32" s="97">
        <v>4.0095878412737276E-2</v>
      </c>
      <c r="BB32" s="97">
        <v>3.8382934816708056E-2</v>
      </c>
      <c r="BC32" s="97">
        <v>4.4009522939250645E-2</v>
      </c>
      <c r="BD32" s="97">
        <v>4.7816220241790032E-2</v>
      </c>
      <c r="BE32" s="97">
        <v>3.8139464636591618E-2</v>
      </c>
      <c r="BF32" s="97">
        <v>3.8135086002295371E-2</v>
      </c>
      <c r="BG32" s="97">
        <v>3.7832609347965555E-2</v>
      </c>
      <c r="BH32" s="97">
        <v>4.7337638827530615E-2</v>
      </c>
      <c r="BI32" s="97">
        <v>4.4761716955504814E-2</v>
      </c>
      <c r="BJ32" s="97">
        <v>4.3932930481332393E-2</v>
      </c>
      <c r="BK32" s="97">
        <v>4.011426394965318E-2</v>
      </c>
      <c r="BL32" s="97">
        <v>4.4233417816488353E-2</v>
      </c>
      <c r="BM32" s="97">
        <v>4.5717307268775723E-2</v>
      </c>
      <c r="BN32" s="97">
        <v>4.4534182135872548E-2</v>
      </c>
      <c r="BO32" s="97">
        <v>3.9615931889340747E-2</v>
      </c>
      <c r="BP32" s="97">
        <v>4.1051641549977994E-2</v>
      </c>
      <c r="BQ32" s="97">
        <v>3.5617216671873349E-2</v>
      </c>
      <c r="BR32" s="97">
        <v>4.2166273999607033E-2</v>
      </c>
      <c r="BS32" s="97">
        <v>3.840083330908399E-2</v>
      </c>
      <c r="BT32" s="97">
        <v>4.4210277325890092E-2</v>
      </c>
      <c r="BU32" s="97">
        <v>3.6758588015039631E-2</v>
      </c>
      <c r="BV32" s="97">
        <v>3.6809505144683216E-2</v>
      </c>
      <c r="BW32" s="97">
        <v>4.3752749980201885E-2</v>
      </c>
      <c r="BX32" s="97">
        <v>4.4012086885073326E-2</v>
      </c>
      <c r="BY32" s="97">
        <v>4.458061883406382E-2</v>
      </c>
      <c r="BZ32" s="97">
        <v>4.5370825873594367E-2</v>
      </c>
      <c r="CA32" s="97">
        <v>3.5810369369393594E-2</v>
      </c>
      <c r="CB32" s="97">
        <v>4.2464156450915613E-2</v>
      </c>
      <c r="CC32" s="97">
        <v>3.5373522223942119E-2</v>
      </c>
      <c r="CD32" s="97">
        <v>5.4220936362205416E-2</v>
      </c>
      <c r="CE32" s="97">
        <v>5.7621665905400445E-2</v>
      </c>
      <c r="CF32" s="97">
        <v>4.4816895762150054E-2</v>
      </c>
      <c r="CG32" s="97">
        <v>3.4184532114140555E-2</v>
      </c>
      <c r="CH32" s="97">
        <v>3.6604485365317435E-2</v>
      </c>
      <c r="CI32" s="97">
        <v>4.5835560701966982E-2</v>
      </c>
      <c r="CJ32" s="97">
        <v>3.909612593674739E-2</v>
      </c>
      <c r="CK32" s="97">
        <v>4.1151231345865624E-2</v>
      </c>
      <c r="CL32" s="97">
        <v>4.3742147634883224E-2</v>
      </c>
      <c r="CM32" s="97">
        <v>3.6699361500392949E-2</v>
      </c>
      <c r="CN32" s="97">
        <v>4.1171836528328412E-2</v>
      </c>
      <c r="CO32" s="97">
        <v>4.8771874794432568E-2</v>
      </c>
      <c r="CP32" s="97">
        <v>4.2876874825663852E-2</v>
      </c>
      <c r="CQ32" s="97">
        <v>5.0531129584086759E-2</v>
      </c>
      <c r="CR32" s="97">
        <v>4.3070213383857414E-2</v>
      </c>
      <c r="CS32" s="97">
        <v>3.5678062188031205E-2</v>
      </c>
      <c r="CT32" s="97">
        <v>3.9463158748440058E-2</v>
      </c>
      <c r="CU32" s="97">
        <v>4.0189258516709812E-2</v>
      </c>
      <c r="CV32" s="97">
        <v>4.5443826295137157E-2</v>
      </c>
      <c r="CW32" s="97">
        <v>3.8190581740825971E-2</v>
      </c>
      <c r="CX32" s="97">
        <v>4.3771974024956903E-2</v>
      </c>
    </row>
    <row r="33" spans="1:102" s="111" customFormat="1">
      <c r="A33" s="306" t="str">
        <f t="shared" si="0"/>
        <v>Aandelen ontwikkeld</v>
      </c>
      <c r="B33" s="307"/>
      <c r="C33" s="97">
        <v>4.4475206233273293E-2</v>
      </c>
      <c r="D33" s="97">
        <v>4.5459976994396134E-2</v>
      </c>
      <c r="E33" s="97">
        <v>4.0234137835064979E-2</v>
      </c>
      <c r="F33" s="97">
        <v>4.9540605743574641E-2</v>
      </c>
      <c r="G33" s="97">
        <v>4.7314321319152475E-2</v>
      </c>
      <c r="H33" s="97">
        <v>4.553775575517597E-2</v>
      </c>
      <c r="I33" s="97">
        <v>3.9140365734321371E-2</v>
      </c>
      <c r="J33" s="97">
        <v>5.1643009749529935E-2</v>
      </c>
      <c r="K33" s="97">
        <v>4.3744028696249437E-2</v>
      </c>
      <c r="L33" s="97">
        <v>4.0409826939338173E-2</v>
      </c>
      <c r="M33" s="97">
        <v>4.0730738837020969E-2</v>
      </c>
      <c r="N33" s="97">
        <v>4.7292797089786454E-2</v>
      </c>
      <c r="O33" s="97">
        <v>5.209789147033328E-2</v>
      </c>
      <c r="P33" s="97">
        <v>4.2212026121793964E-2</v>
      </c>
      <c r="Q33" s="97">
        <v>4.4655080290506674E-2</v>
      </c>
      <c r="R33" s="97">
        <v>4.2794425976959337E-2</v>
      </c>
      <c r="S33" s="97">
        <v>4.8152678473613666E-2</v>
      </c>
      <c r="T33" s="97">
        <v>5.2255797204014909E-2</v>
      </c>
      <c r="U33" s="97">
        <v>3.6942953626518969E-2</v>
      </c>
      <c r="V33" s="97">
        <v>4.8230073401952886E-2</v>
      </c>
      <c r="W33" s="97">
        <v>4.2820203567761575E-2</v>
      </c>
      <c r="X33" s="97">
        <v>4.8754593757083617E-2</v>
      </c>
      <c r="Y33" s="97">
        <v>4.8899345747336703E-2</v>
      </c>
      <c r="Z33" s="97">
        <v>5.4395162927583361E-2</v>
      </c>
      <c r="AA33" s="97">
        <v>4.025157018314237E-2</v>
      </c>
      <c r="AB33" s="97">
        <v>3.8984859591655673E-2</v>
      </c>
      <c r="AC33" s="97">
        <v>5.353679085930596E-2</v>
      </c>
      <c r="AD33" s="97">
        <v>3.933744637989308E-2</v>
      </c>
      <c r="AE33" s="97">
        <v>4.7074546773844303E-2</v>
      </c>
      <c r="AF33" s="97">
        <v>4.5898930004510306E-2</v>
      </c>
      <c r="AG33" s="97">
        <v>4.3568027872757792E-2</v>
      </c>
      <c r="AH33" s="97">
        <v>4.173312377482491E-2</v>
      </c>
      <c r="AI33" s="97">
        <v>5.5294189912241123E-2</v>
      </c>
      <c r="AJ33" s="97">
        <v>5.073344879275811E-2</v>
      </c>
      <c r="AK33" s="97">
        <v>3.8023754420375838E-2</v>
      </c>
      <c r="AL33" s="97">
        <v>4.0318109234031507E-2</v>
      </c>
      <c r="AM33" s="97">
        <v>3.7922577012683006E-2</v>
      </c>
      <c r="AN33" s="97">
        <v>4.4555991746364924E-2</v>
      </c>
      <c r="AO33" s="97">
        <v>4.9137274389473698E-2</v>
      </c>
      <c r="AP33" s="97">
        <v>4.1628785951943595E-2</v>
      </c>
      <c r="AQ33" s="97">
        <v>4.0727892394329404E-2</v>
      </c>
      <c r="AR33" s="97">
        <v>4.2260503890259052E-2</v>
      </c>
      <c r="AS33" s="97">
        <v>4.5972219972773343E-2</v>
      </c>
      <c r="AT33" s="97">
        <v>4.8427769323869468E-2</v>
      </c>
      <c r="AU33" s="97">
        <v>5.37395482547397E-2</v>
      </c>
      <c r="AV33" s="97">
        <v>4.3799318894841746E-2</v>
      </c>
      <c r="AW33" s="97">
        <v>5.0529723365172141E-2</v>
      </c>
      <c r="AX33" s="97">
        <v>4.4169589517295132E-2</v>
      </c>
      <c r="AY33" s="97">
        <v>5.3901367662232261E-2</v>
      </c>
      <c r="AZ33" s="97">
        <v>5.2255324139621209E-2</v>
      </c>
      <c r="BA33" s="97">
        <v>5.6549542849146442E-2</v>
      </c>
      <c r="BB33" s="97">
        <v>4.6289517885058737E-2</v>
      </c>
      <c r="BC33" s="97">
        <v>3.9312081365143262E-2</v>
      </c>
      <c r="BD33" s="97">
        <v>4.60428424661549E-2</v>
      </c>
      <c r="BE33" s="97">
        <v>4.2520070284110763E-2</v>
      </c>
      <c r="BF33" s="97">
        <v>4.6706715290539616E-2</v>
      </c>
      <c r="BG33" s="97">
        <v>4.6276086463652458E-2</v>
      </c>
      <c r="BH33" s="97">
        <v>4.3811214083338337E-2</v>
      </c>
      <c r="BI33" s="97">
        <v>5.2126916790991136E-2</v>
      </c>
      <c r="BJ33" s="97">
        <v>3.5358046398301229E-2</v>
      </c>
      <c r="BK33" s="97">
        <v>4.6121088394409565E-2</v>
      </c>
      <c r="BL33" s="97">
        <v>4.0508422660588489E-2</v>
      </c>
      <c r="BM33" s="97">
        <v>4.3850913201709911E-2</v>
      </c>
      <c r="BN33" s="97">
        <v>4.6226320554875633E-2</v>
      </c>
      <c r="BO33" s="97">
        <v>4.633133178884935E-2</v>
      </c>
      <c r="BP33" s="97">
        <v>5.5012698500461969E-2</v>
      </c>
      <c r="BQ33" s="97">
        <v>4.9066156718986315E-2</v>
      </c>
      <c r="BR33" s="97">
        <v>5.1258727338039656E-2</v>
      </c>
      <c r="BS33" s="97">
        <v>5.1716646500035005E-2</v>
      </c>
      <c r="BT33" s="97">
        <v>4.2531025498048117E-2</v>
      </c>
      <c r="BU33" s="97">
        <v>3.7190480325324543E-2</v>
      </c>
      <c r="BV33" s="97">
        <v>4.4183532267794437E-2</v>
      </c>
      <c r="BW33" s="97">
        <v>4.7836707709623449E-2</v>
      </c>
      <c r="BX33" s="97">
        <v>6.3094481012897954E-2</v>
      </c>
      <c r="BY33" s="97">
        <v>4.0692784656585643E-2</v>
      </c>
      <c r="BZ33" s="97">
        <v>5.9145934755263509E-2</v>
      </c>
      <c r="CA33" s="97">
        <v>4.9019937115715208E-2</v>
      </c>
      <c r="CB33" s="97">
        <v>4.360931762793091E-2</v>
      </c>
      <c r="CC33" s="97">
        <v>5.0711583161857178E-2</v>
      </c>
      <c r="CD33" s="97">
        <v>5.5014427318503749E-2</v>
      </c>
      <c r="CE33" s="97">
        <v>5.309965625213995E-2</v>
      </c>
      <c r="CF33" s="97">
        <v>4.8465938333645778E-2</v>
      </c>
      <c r="CG33" s="97">
        <v>4.7576127224924256E-2</v>
      </c>
      <c r="CH33" s="97">
        <v>4.3872863792878719E-2</v>
      </c>
      <c r="CI33" s="97">
        <v>5.3296297701731436E-2</v>
      </c>
      <c r="CJ33" s="97">
        <v>4.2418630568205884E-2</v>
      </c>
      <c r="CK33" s="97">
        <v>3.7883299766660092E-2</v>
      </c>
      <c r="CL33" s="97">
        <v>4.7127986807555033E-2</v>
      </c>
      <c r="CM33" s="97">
        <v>4.8820088485712725E-2</v>
      </c>
      <c r="CN33" s="97">
        <v>5.0662926541571632E-2</v>
      </c>
      <c r="CO33" s="97">
        <v>4.9414585245388581E-2</v>
      </c>
      <c r="CP33" s="97">
        <v>3.9336582609827198E-2</v>
      </c>
      <c r="CQ33" s="97">
        <v>4.9230681360138827E-2</v>
      </c>
      <c r="CR33" s="97">
        <v>5.5668097349369505E-2</v>
      </c>
      <c r="CS33" s="97">
        <v>4.1138698014584987E-2</v>
      </c>
      <c r="CT33" s="97">
        <v>4.5868906527908614E-2</v>
      </c>
      <c r="CU33" s="97">
        <v>4.7405098426342496E-2</v>
      </c>
      <c r="CV33" s="97">
        <v>4.1836477716660075E-2</v>
      </c>
      <c r="CW33" s="97">
        <v>5.7628665769069672E-2</v>
      </c>
      <c r="CX33" s="97">
        <v>4.7104831026797647E-2</v>
      </c>
    </row>
    <row r="34" spans="1:102" s="95" customFormat="1">
      <c r="A34" s="306" t="str">
        <f t="shared" si="0"/>
        <v>Aandelen opkomend</v>
      </c>
      <c r="B34" s="307"/>
      <c r="C34" s="97">
        <v>6.740590673619444E-2</v>
      </c>
      <c r="D34" s="97">
        <v>6.4352418049082427E-2</v>
      </c>
      <c r="E34" s="97">
        <v>5.5442976006260691E-2</v>
      </c>
      <c r="F34" s="97">
        <v>6.9524042523435733E-2</v>
      </c>
      <c r="G34" s="97">
        <v>7.3538267734812521E-2</v>
      </c>
      <c r="H34" s="97">
        <v>6.9661614429461782E-2</v>
      </c>
      <c r="I34" s="97">
        <v>6.396531710102156E-2</v>
      </c>
      <c r="J34" s="97">
        <v>7.2027009831774763E-2</v>
      </c>
      <c r="K34" s="97">
        <v>6.3939289283019757E-2</v>
      </c>
      <c r="L34" s="97">
        <v>6.1836837950818235E-2</v>
      </c>
      <c r="M34" s="97">
        <v>6.4336054699363904E-2</v>
      </c>
      <c r="N34" s="97">
        <v>7.2471971008107455E-2</v>
      </c>
      <c r="O34" s="97">
        <v>7.2119635353054573E-2</v>
      </c>
      <c r="P34" s="97">
        <v>5.7238105595877775E-2</v>
      </c>
      <c r="Q34" s="97">
        <v>7.4444212812499772E-2</v>
      </c>
      <c r="R34" s="97">
        <v>6.8080691230542584E-2</v>
      </c>
      <c r="S34" s="97">
        <v>6.1094800561248899E-2</v>
      </c>
      <c r="T34" s="97">
        <v>7.1697207097448534E-2</v>
      </c>
      <c r="U34" s="97">
        <v>5.2385490923935893E-2</v>
      </c>
      <c r="V34" s="97">
        <v>7.2567128944516973E-2</v>
      </c>
      <c r="W34" s="97">
        <v>6.4344642226269122E-2</v>
      </c>
      <c r="X34" s="97">
        <v>7.0845596948675704E-2</v>
      </c>
      <c r="Y34" s="97">
        <v>7.3555148800479864E-2</v>
      </c>
      <c r="Z34" s="97">
        <v>7.4941136703087496E-2</v>
      </c>
      <c r="AA34" s="97">
        <v>6.8461137602470884E-2</v>
      </c>
      <c r="AB34" s="97">
        <v>5.2833841300816781E-2</v>
      </c>
      <c r="AC34" s="97">
        <v>7.5552793836480642E-2</v>
      </c>
      <c r="AD34" s="97">
        <v>5.6643850362616516E-2</v>
      </c>
      <c r="AE34" s="97">
        <v>6.9543316881934034E-2</v>
      </c>
      <c r="AF34" s="97">
        <v>6.8745796332459003E-2</v>
      </c>
      <c r="AG34" s="97">
        <v>6.3582938917143783E-2</v>
      </c>
      <c r="AH34" s="97">
        <v>5.7878316826534479E-2</v>
      </c>
      <c r="AI34" s="97">
        <v>7.7046485546220872E-2</v>
      </c>
      <c r="AJ34" s="97">
        <v>6.9365734174916135E-2</v>
      </c>
      <c r="AK34" s="97">
        <v>5.8621494045023426E-2</v>
      </c>
      <c r="AL34" s="97">
        <v>6.2496933012192203E-2</v>
      </c>
      <c r="AM34" s="97">
        <v>5.6877367808917167E-2</v>
      </c>
      <c r="AN34" s="97">
        <v>7.2895293822188512E-2</v>
      </c>
      <c r="AO34" s="97">
        <v>6.7724767637411865E-2</v>
      </c>
      <c r="AP34" s="97">
        <v>6.2532101112497532E-2</v>
      </c>
      <c r="AQ34" s="97">
        <v>5.857805815973087E-2</v>
      </c>
      <c r="AR34" s="97">
        <v>6.4248545875368629E-2</v>
      </c>
      <c r="AS34" s="97">
        <v>8.2432098508566351E-2</v>
      </c>
      <c r="AT34" s="97">
        <v>7.6377824101302005E-2</v>
      </c>
      <c r="AU34" s="97">
        <v>8.5559917600268293E-2</v>
      </c>
      <c r="AV34" s="97">
        <v>6.0187805637736888E-2</v>
      </c>
      <c r="AW34" s="97">
        <v>7.2179089097892668E-2</v>
      </c>
      <c r="AX34" s="97">
        <v>6.5847280682322387E-2</v>
      </c>
      <c r="AY34" s="97">
        <v>7.560583038961291E-2</v>
      </c>
      <c r="AZ34" s="97">
        <v>7.9695192774008855E-2</v>
      </c>
      <c r="BA34" s="97">
        <v>8.0762494656011541E-2</v>
      </c>
      <c r="BB34" s="97">
        <v>6.9012172991441773E-2</v>
      </c>
      <c r="BC34" s="97">
        <v>5.9198192102759638E-2</v>
      </c>
      <c r="BD34" s="97">
        <v>7.5234974909700492E-2</v>
      </c>
      <c r="BE34" s="97">
        <v>6.8233455989458902E-2</v>
      </c>
      <c r="BF34" s="97">
        <v>6.44677039926638E-2</v>
      </c>
      <c r="BG34" s="97">
        <v>7.3010272358334558E-2</v>
      </c>
      <c r="BH34" s="97">
        <v>7.2249221022163079E-2</v>
      </c>
      <c r="BI34" s="97">
        <v>7.6431934162852044E-2</v>
      </c>
      <c r="BJ34" s="97">
        <v>5.3916198460791279E-2</v>
      </c>
      <c r="BK34" s="97">
        <v>8.2085103675991949E-2</v>
      </c>
      <c r="BL34" s="97">
        <v>6.3787822667440403E-2</v>
      </c>
      <c r="BM34" s="97">
        <v>6.7660657487543574E-2</v>
      </c>
      <c r="BN34" s="97">
        <v>7.1963527837493046E-2</v>
      </c>
      <c r="BO34" s="97">
        <v>7.4185965711318524E-2</v>
      </c>
      <c r="BP34" s="97">
        <v>7.9238526756132327E-2</v>
      </c>
      <c r="BQ34" s="97">
        <v>6.2289504104910909E-2</v>
      </c>
      <c r="BR34" s="97">
        <v>7.5677089994436467E-2</v>
      </c>
      <c r="BS34" s="97">
        <v>7.5382745835734483E-2</v>
      </c>
      <c r="BT34" s="97">
        <v>6.6332967616910044E-2</v>
      </c>
      <c r="BU34" s="97">
        <v>4.884536516913645E-2</v>
      </c>
      <c r="BV34" s="97">
        <v>6.5115571866386779E-2</v>
      </c>
      <c r="BW34" s="97">
        <v>6.8248971664557484E-2</v>
      </c>
      <c r="BX34" s="97">
        <v>9.3237362404549287E-2</v>
      </c>
      <c r="BY34" s="97">
        <v>6.5101318195536287E-2</v>
      </c>
      <c r="BZ34" s="97">
        <v>8.9553832659029192E-2</v>
      </c>
      <c r="CA34" s="97">
        <v>6.4163935139048139E-2</v>
      </c>
      <c r="CB34" s="97">
        <v>7.3538000359079952E-2</v>
      </c>
      <c r="CC34" s="97">
        <v>7.1105499339566919E-2</v>
      </c>
      <c r="CD34" s="97">
        <v>9.3679801587502415E-2</v>
      </c>
      <c r="CE34" s="97">
        <v>8.9160210887518201E-2</v>
      </c>
      <c r="CF34" s="97">
        <v>7.1824997494841308E-2</v>
      </c>
      <c r="CG34" s="97">
        <v>6.0046457948852917E-2</v>
      </c>
      <c r="CH34" s="97">
        <v>5.705131471838655E-2</v>
      </c>
      <c r="CI34" s="97">
        <v>9.058095664133449E-2</v>
      </c>
      <c r="CJ34" s="97">
        <v>6.8338301595525314E-2</v>
      </c>
      <c r="CK34" s="97">
        <v>5.7553176889252274E-2</v>
      </c>
      <c r="CL34" s="97">
        <v>6.8469435978437798E-2</v>
      </c>
      <c r="CM34" s="97">
        <v>6.7073650426695247E-2</v>
      </c>
      <c r="CN34" s="97">
        <v>7.5510613165620771E-2</v>
      </c>
      <c r="CO34" s="97">
        <v>7.9509355829229328E-2</v>
      </c>
      <c r="CP34" s="97">
        <v>5.7060836635123867E-2</v>
      </c>
      <c r="CQ34" s="97">
        <v>8.8161526008761731E-2</v>
      </c>
      <c r="CR34" s="97">
        <v>8.0740430063608232E-2</v>
      </c>
      <c r="CS34" s="97">
        <v>5.4061736105668445E-2</v>
      </c>
      <c r="CT34" s="97">
        <v>7.9105173545655744E-2</v>
      </c>
      <c r="CU34" s="97">
        <v>6.8405521897684909E-2</v>
      </c>
      <c r="CV34" s="97">
        <v>6.8329804677119355E-2</v>
      </c>
      <c r="CW34" s="97">
        <v>8.0563484232795635E-2</v>
      </c>
      <c r="CX34" s="97">
        <v>8.2257496195070695E-2</v>
      </c>
    </row>
    <row r="35" spans="1:102" s="95" customFormat="1">
      <c r="A35" s="306" t="str">
        <f t="shared" si="0"/>
        <v>Hedge funds</v>
      </c>
      <c r="B35" s="307"/>
      <c r="C35" s="97">
        <v>3.9591507320848339E-2</v>
      </c>
      <c r="D35" s="97">
        <v>3.6985065731156279E-2</v>
      </c>
      <c r="E35" s="97">
        <v>3.9100331753555609E-2</v>
      </c>
      <c r="F35" s="97">
        <v>3.7320051937163846E-2</v>
      </c>
      <c r="G35" s="97">
        <v>4.1008072663869286E-2</v>
      </c>
      <c r="H35" s="97">
        <v>3.7558300003052762E-2</v>
      </c>
      <c r="I35" s="97">
        <v>3.8021992107271835E-2</v>
      </c>
      <c r="J35" s="97">
        <v>3.9644805821075768E-2</v>
      </c>
      <c r="K35" s="97">
        <v>3.6602105919344589E-2</v>
      </c>
      <c r="L35" s="97">
        <v>3.8329763795898517E-2</v>
      </c>
      <c r="M35" s="97">
        <v>3.8442799169640843E-2</v>
      </c>
      <c r="N35" s="97">
        <v>4.1031333263531179E-2</v>
      </c>
      <c r="O35" s="97">
        <v>3.8548627443405356E-2</v>
      </c>
      <c r="P35" s="97">
        <v>3.9933977025761153E-2</v>
      </c>
      <c r="Q35" s="97">
        <v>3.6720145673635275E-2</v>
      </c>
      <c r="R35" s="97">
        <v>4.033331389385425E-2</v>
      </c>
      <c r="S35" s="97">
        <v>3.8263062792533324E-2</v>
      </c>
      <c r="T35" s="97">
        <v>3.8332444538171646E-2</v>
      </c>
      <c r="U35" s="97">
        <v>3.974127853663055E-2</v>
      </c>
      <c r="V35" s="97">
        <v>3.8279050981017797E-2</v>
      </c>
      <c r="W35" s="97">
        <v>3.910475941470868E-2</v>
      </c>
      <c r="X35" s="97">
        <v>3.7907957225337539E-2</v>
      </c>
      <c r="Y35" s="97">
        <v>3.7511863703760098E-2</v>
      </c>
      <c r="Z35" s="97">
        <v>3.9093799167431095E-2</v>
      </c>
      <c r="AA35" s="97">
        <v>3.5022561165510335E-2</v>
      </c>
      <c r="AB35" s="97">
        <v>4.0274463091184001E-2</v>
      </c>
      <c r="AC35" s="97">
        <v>4.0522646170707569E-2</v>
      </c>
      <c r="AD35" s="97">
        <v>4.1080251579680961E-2</v>
      </c>
      <c r="AE35" s="97">
        <v>3.5064552427260795E-2</v>
      </c>
      <c r="AF35" s="97">
        <v>3.8562854655357914E-2</v>
      </c>
      <c r="AG35" s="97">
        <v>3.7260961465088206E-2</v>
      </c>
      <c r="AH35" s="97">
        <v>3.7428410952440899E-2</v>
      </c>
      <c r="AI35" s="97">
        <v>3.9132991036101711E-2</v>
      </c>
      <c r="AJ35" s="97">
        <v>3.6452273416408595E-2</v>
      </c>
      <c r="AK35" s="97">
        <v>3.7320412641381258E-2</v>
      </c>
      <c r="AL35" s="97">
        <v>3.716747911025587E-2</v>
      </c>
      <c r="AM35" s="97">
        <v>3.81587064063348E-2</v>
      </c>
      <c r="AN35" s="97">
        <v>3.7342119772547602E-2</v>
      </c>
      <c r="AO35" s="97">
        <v>3.9758925680630858E-2</v>
      </c>
      <c r="AP35" s="97">
        <v>3.8857529641924349E-2</v>
      </c>
      <c r="AQ35" s="97">
        <v>4.0720058015356955E-2</v>
      </c>
      <c r="AR35" s="97">
        <v>4.079082646143728E-2</v>
      </c>
      <c r="AS35" s="97">
        <v>4.1913914997407847E-2</v>
      </c>
      <c r="AT35" s="97">
        <v>3.7628934922954632E-2</v>
      </c>
      <c r="AU35" s="97">
        <v>3.9515034188180351E-2</v>
      </c>
      <c r="AV35" s="97">
        <v>3.7296956813113284E-2</v>
      </c>
      <c r="AW35" s="97">
        <v>3.6312755198413593E-2</v>
      </c>
      <c r="AX35" s="97">
        <v>4.4786359804870224E-2</v>
      </c>
      <c r="AY35" s="97">
        <v>3.9176383542710184E-2</v>
      </c>
      <c r="AZ35" s="97">
        <v>4.389011257797712E-2</v>
      </c>
      <c r="BA35" s="97">
        <v>3.8225735164240722E-2</v>
      </c>
      <c r="BB35" s="97">
        <v>4.0196890636957062E-2</v>
      </c>
      <c r="BC35" s="97">
        <v>4.0202090057741759E-2</v>
      </c>
      <c r="BD35" s="97">
        <v>3.8114131303516277E-2</v>
      </c>
      <c r="BE35" s="97">
        <v>3.8715162833726974E-2</v>
      </c>
      <c r="BF35" s="97">
        <v>4.1196476949585885E-2</v>
      </c>
      <c r="BG35" s="97">
        <v>3.5928540335688458E-2</v>
      </c>
      <c r="BH35" s="97">
        <v>3.8706220885444911E-2</v>
      </c>
      <c r="BI35" s="97">
        <v>3.8404114677706075E-2</v>
      </c>
      <c r="BJ35" s="97">
        <v>3.6920093417784572E-2</v>
      </c>
      <c r="BK35" s="97">
        <v>3.6798680578636112E-2</v>
      </c>
      <c r="BL35" s="97">
        <v>3.7388794753440868E-2</v>
      </c>
      <c r="BM35" s="97">
        <v>4.2882954807517956E-2</v>
      </c>
      <c r="BN35" s="97">
        <v>3.8214543119987246E-2</v>
      </c>
      <c r="BO35" s="97">
        <v>3.8686302439505174E-2</v>
      </c>
      <c r="BP35" s="97">
        <v>3.7570520696436085E-2</v>
      </c>
      <c r="BQ35" s="97">
        <v>3.6746913312459689E-2</v>
      </c>
      <c r="BR35" s="97">
        <v>3.8716977616192944E-2</v>
      </c>
      <c r="BS35" s="97">
        <v>3.657682717879468E-2</v>
      </c>
      <c r="BT35" s="97">
        <v>3.8924143665012081E-2</v>
      </c>
      <c r="BU35" s="97">
        <v>3.8792388598086036E-2</v>
      </c>
      <c r="BV35" s="97">
        <v>3.6514837708895923E-2</v>
      </c>
      <c r="BW35" s="97">
        <v>4.1634233900077117E-2</v>
      </c>
      <c r="BX35" s="97">
        <v>4.3327076740075285E-2</v>
      </c>
      <c r="BY35" s="97">
        <v>3.8702440965474004E-2</v>
      </c>
      <c r="BZ35" s="97">
        <v>4.3082634401450541E-2</v>
      </c>
      <c r="CA35" s="97">
        <v>3.804390858064742E-2</v>
      </c>
      <c r="CB35" s="97">
        <v>3.662738234468077E-2</v>
      </c>
      <c r="CC35" s="97">
        <v>3.5305281411272094E-2</v>
      </c>
      <c r="CD35" s="97">
        <v>4.8463843140036642E-2</v>
      </c>
      <c r="CE35" s="97">
        <v>4.764992134053328E-2</v>
      </c>
      <c r="CF35" s="97">
        <v>3.9778968579974282E-2</v>
      </c>
      <c r="CG35" s="97">
        <v>3.6188147441448638E-2</v>
      </c>
      <c r="CH35" s="97">
        <v>3.9321268253399738E-2</v>
      </c>
      <c r="CI35" s="97">
        <v>4.2713541559582097E-2</v>
      </c>
      <c r="CJ35" s="97">
        <v>3.6578330423017918E-2</v>
      </c>
      <c r="CK35" s="97">
        <v>3.6420680870932462E-2</v>
      </c>
      <c r="CL35" s="97">
        <v>3.6971906997472867E-2</v>
      </c>
      <c r="CM35" s="97">
        <v>3.6419167240592069E-2</v>
      </c>
      <c r="CN35" s="97">
        <v>3.6452360517661972E-2</v>
      </c>
      <c r="CO35" s="97">
        <v>4.4341194803585601E-2</v>
      </c>
      <c r="CP35" s="97">
        <v>3.7842459634235423E-2</v>
      </c>
      <c r="CQ35" s="97">
        <v>4.1147399337854544E-2</v>
      </c>
      <c r="CR35" s="97">
        <v>4.0655453471101888E-2</v>
      </c>
      <c r="CS35" s="97">
        <v>3.8325421332236723E-2</v>
      </c>
      <c r="CT35" s="97">
        <v>3.7207013273406038E-2</v>
      </c>
      <c r="CU35" s="97">
        <v>3.8065655166695585E-2</v>
      </c>
      <c r="CV35" s="97">
        <v>3.8077655368680373E-2</v>
      </c>
      <c r="CW35" s="97">
        <v>3.7116130620845025E-2</v>
      </c>
      <c r="CX35" s="97">
        <v>4.1638303472963989E-2</v>
      </c>
    </row>
    <row r="36" spans="1:102" s="95" customFormat="1">
      <c r="A36" s="306" t="str">
        <f t="shared" si="0"/>
        <v>Onroerend goed</v>
      </c>
      <c r="B36" s="307"/>
      <c r="C36" s="97">
        <v>3.5335719003964615E-2</v>
      </c>
      <c r="D36" s="97">
        <v>3.3193994172132424E-2</v>
      </c>
      <c r="E36" s="97">
        <v>3.7400031011457571E-2</v>
      </c>
      <c r="F36" s="97">
        <v>3.2742801831634735E-2</v>
      </c>
      <c r="G36" s="97">
        <v>3.6061974610535258E-2</v>
      </c>
      <c r="H36" s="97">
        <v>3.2469745965304851E-2</v>
      </c>
      <c r="I36" s="97">
        <v>3.4004140515911163E-2</v>
      </c>
      <c r="J36" s="97">
        <v>3.5275432799870513E-2</v>
      </c>
      <c r="K36" s="97">
        <v>3.3344797034351718E-2</v>
      </c>
      <c r="L36" s="97">
        <v>3.4882793191145928E-2</v>
      </c>
      <c r="M36" s="97">
        <v>3.4935745811917412E-2</v>
      </c>
      <c r="N36" s="97">
        <v>3.6186049181979263E-2</v>
      </c>
      <c r="O36" s="97">
        <v>3.3939197334772672E-2</v>
      </c>
      <c r="P36" s="97">
        <v>3.8408040275089123E-2</v>
      </c>
      <c r="Q36" s="97">
        <v>3.1714627767295805E-2</v>
      </c>
      <c r="R36" s="97">
        <v>3.574394992845515E-2</v>
      </c>
      <c r="S36" s="97">
        <v>3.6014087591330853E-2</v>
      </c>
      <c r="T36" s="97">
        <v>3.4125641273897514E-2</v>
      </c>
      <c r="U36" s="97">
        <v>3.8561103082743201E-2</v>
      </c>
      <c r="V36" s="97">
        <v>3.3230249722846751E-2</v>
      </c>
      <c r="W36" s="97">
        <v>3.6309647595408889E-2</v>
      </c>
      <c r="X36" s="97">
        <v>3.4517569762332979E-2</v>
      </c>
      <c r="Y36" s="97">
        <v>3.3282529739318584E-2</v>
      </c>
      <c r="Z36" s="97">
        <v>3.4179736011738862E-2</v>
      </c>
      <c r="AA36" s="97">
        <v>2.9910546737121162E-2</v>
      </c>
      <c r="AB36" s="97">
        <v>3.9499911272580013E-2</v>
      </c>
      <c r="AC36" s="97">
        <v>3.602356062181241E-2</v>
      </c>
      <c r="AD36" s="97">
        <v>3.9776693598032688E-2</v>
      </c>
      <c r="AE36" s="97">
        <v>3.0393204651709645E-2</v>
      </c>
      <c r="AF36" s="97">
        <v>3.3961456341994323E-2</v>
      </c>
      <c r="AG36" s="97">
        <v>3.3668388099689681E-2</v>
      </c>
      <c r="AH36" s="97">
        <v>3.5285872883029361E-2</v>
      </c>
      <c r="AI36" s="97">
        <v>3.417419097246422E-2</v>
      </c>
      <c r="AJ36" s="97">
        <v>3.2280350772212182E-2</v>
      </c>
      <c r="AK36" s="97">
        <v>3.4798978826546277E-2</v>
      </c>
      <c r="AL36" s="97">
        <v>3.3575991986175231E-2</v>
      </c>
      <c r="AM36" s="97">
        <v>3.6660083761370865E-2</v>
      </c>
      <c r="AN36" s="97">
        <v>3.3779783754880957E-2</v>
      </c>
      <c r="AO36" s="97">
        <v>3.657988772544303E-2</v>
      </c>
      <c r="AP36" s="97">
        <v>3.6000656405245926E-2</v>
      </c>
      <c r="AQ36" s="97">
        <v>3.9323684585285186E-2</v>
      </c>
      <c r="AR36" s="97">
        <v>3.8280213206932423E-2</v>
      </c>
      <c r="AS36" s="97">
        <v>3.6242553431180963E-2</v>
      </c>
      <c r="AT36" s="97">
        <v>3.1411279353028378E-2</v>
      </c>
      <c r="AU36" s="97">
        <v>3.3726264154769495E-2</v>
      </c>
      <c r="AV36" s="97">
        <v>3.4990858055372165E-2</v>
      </c>
      <c r="AW36" s="97">
        <v>3.0890625775473874E-2</v>
      </c>
      <c r="AX36" s="97">
        <v>4.2580518678593332E-2</v>
      </c>
      <c r="AY36" s="97">
        <v>3.5142328109025248E-2</v>
      </c>
      <c r="AZ36" s="97">
        <v>3.8863355382929274E-2</v>
      </c>
      <c r="BA36" s="97">
        <v>3.2122626905337896E-2</v>
      </c>
      <c r="BB36" s="97">
        <v>3.7868086936058101E-2</v>
      </c>
      <c r="BC36" s="97">
        <v>3.8123722515058717E-2</v>
      </c>
      <c r="BD36" s="97">
        <v>3.1945005224876498E-2</v>
      </c>
      <c r="BE36" s="97">
        <v>3.6428134625928442E-2</v>
      </c>
      <c r="BF36" s="97">
        <v>3.9490720956404747E-2</v>
      </c>
      <c r="BG36" s="97">
        <v>3.1604522215467362E-2</v>
      </c>
      <c r="BH36" s="97">
        <v>3.3245617449930029E-2</v>
      </c>
      <c r="BI36" s="97">
        <v>3.2684294989424996E-2</v>
      </c>
      <c r="BJ36" s="97">
        <v>3.4459858547080578E-2</v>
      </c>
      <c r="BK36" s="97">
        <v>3.1752250230343317E-2</v>
      </c>
      <c r="BL36" s="97">
        <v>3.3542307979132623E-2</v>
      </c>
      <c r="BM36" s="97">
        <v>3.9857445454495224E-2</v>
      </c>
      <c r="BN36" s="97">
        <v>3.3418549300771913E-2</v>
      </c>
      <c r="BO36" s="97">
        <v>3.4916735598072568E-2</v>
      </c>
      <c r="BP36" s="97">
        <v>3.1520631631872104E-2</v>
      </c>
      <c r="BQ36" s="97">
        <v>3.4078296144373701E-2</v>
      </c>
      <c r="BR36" s="97">
        <v>3.3586451993330199E-2</v>
      </c>
      <c r="BS36" s="97">
        <v>3.1442045186961629E-2</v>
      </c>
      <c r="BT36" s="97">
        <v>3.5107798361264743E-2</v>
      </c>
      <c r="BU36" s="97">
        <v>3.8704541303840385E-2</v>
      </c>
      <c r="BV36" s="97">
        <v>3.3495478634845796E-2</v>
      </c>
      <c r="BW36" s="97">
        <v>3.8562413570298777E-2</v>
      </c>
      <c r="BX36" s="97">
        <v>3.6422396181786686E-2</v>
      </c>
      <c r="BY36" s="97">
        <v>3.5141307468546115E-2</v>
      </c>
      <c r="BZ36" s="97">
        <v>3.7038256454301796E-2</v>
      </c>
      <c r="CA36" s="97">
        <v>3.5629832473713076E-2</v>
      </c>
      <c r="CB36" s="97">
        <v>3.1992244617476191E-2</v>
      </c>
      <c r="CC36" s="97">
        <v>3.0944818301463079E-2</v>
      </c>
      <c r="CD36" s="97">
        <v>4.1501083480075113E-2</v>
      </c>
      <c r="CE36" s="97">
        <v>4.088173012828155E-2</v>
      </c>
      <c r="CF36" s="97">
        <v>3.5603912095683712E-2</v>
      </c>
      <c r="CG36" s="97">
        <v>3.3994023082246548E-2</v>
      </c>
      <c r="CH36" s="97">
        <v>3.8317657138025998E-2</v>
      </c>
      <c r="CI36" s="97">
        <v>3.6726988776691311E-2</v>
      </c>
      <c r="CJ36" s="97">
        <v>3.3264483630899136E-2</v>
      </c>
      <c r="CK36" s="97">
        <v>3.3940367352775086E-2</v>
      </c>
      <c r="CL36" s="97">
        <v>3.2411892743680185E-2</v>
      </c>
      <c r="CM36" s="97">
        <v>3.2752814503562551E-2</v>
      </c>
      <c r="CN36" s="97">
        <v>3.1268200839270656E-2</v>
      </c>
      <c r="CO36" s="97">
        <v>3.9498011437421141E-2</v>
      </c>
      <c r="CP36" s="97">
        <v>3.5484428651751304E-2</v>
      </c>
      <c r="CQ36" s="97">
        <v>3.4711848642932919E-2</v>
      </c>
      <c r="CR36" s="97">
        <v>3.5566790337379313E-2</v>
      </c>
      <c r="CS36" s="97">
        <v>3.762717271393614E-2</v>
      </c>
      <c r="CT36" s="97">
        <v>3.2776833927364052E-2</v>
      </c>
      <c r="CU36" s="97">
        <v>3.472054083289703E-2</v>
      </c>
      <c r="CV36" s="97">
        <v>3.3672690836442032E-2</v>
      </c>
      <c r="CW36" s="97">
        <v>3.1046886738522017E-2</v>
      </c>
      <c r="CX36" s="97">
        <v>3.7774775136976288E-2</v>
      </c>
    </row>
    <row r="37" spans="1:102" s="111" customFormat="1">
      <c r="A37" s="310" t="str">
        <f t="shared" si="0"/>
        <v>Commodities</v>
      </c>
      <c r="B37" s="311"/>
      <c r="C37" s="98">
        <v>3.182534274175592E-2</v>
      </c>
      <c r="D37" s="98">
        <v>3.2420150154984048E-2</v>
      </c>
      <c r="E37" s="98">
        <v>3.6493674915843308E-2</v>
      </c>
      <c r="F37" s="98">
        <v>2.5266703579427875E-2</v>
      </c>
      <c r="G37" s="98">
        <v>3.124601555835603E-2</v>
      </c>
      <c r="H37" s="98">
        <v>2.8799129981509766E-2</v>
      </c>
      <c r="I37" s="98">
        <v>3.8015176993411677E-2</v>
      </c>
      <c r="J37" s="98">
        <v>3.1654316463709552E-2</v>
      </c>
      <c r="K37" s="98">
        <v>3.0990158001247076E-2</v>
      </c>
      <c r="L37" s="98">
        <v>3.4936099634842947E-2</v>
      </c>
      <c r="M37" s="98">
        <v>3.9465514339773744E-2</v>
      </c>
      <c r="N37" s="98">
        <v>3.7783360895703381E-2</v>
      </c>
      <c r="O37" s="98">
        <v>3.0606412180313097E-2</v>
      </c>
      <c r="P37" s="98">
        <v>3.6317970158890399E-2</v>
      </c>
      <c r="Q37" s="98">
        <v>2.655854326710741E-2</v>
      </c>
      <c r="R37" s="98">
        <v>4.1382092084877191E-2</v>
      </c>
      <c r="S37" s="98">
        <v>3.2864147178941108E-2</v>
      </c>
      <c r="T37" s="98">
        <v>2.8939577215581783E-2</v>
      </c>
      <c r="U37" s="98">
        <v>4.4453591683478698E-2</v>
      </c>
      <c r="V37" s="98">
        <v>3.2789566381250669E-2</v>
      </c>
      <c r="W37" s="98">
        <v>3.1836591646382389E-2</v>
      </c>
      <c r="X37" s="98">
        <v>3.0662326154379225E-2</v>
      </c>
      <c r="Y37" s="98">
        <v>2.8252278791611109E-2</v>
      </c>
      <c r="Z37" s="98">
        <v>3.1107171520626965E-2</v>
      </c>
      <c r="AA37" s="98">
        <v>2.8781065959345146E-2</v>
      </c>
      <c r="AB37" s="98">
        <v>4.1810507603692676E-2</v>
      </c>
      <c r="AC37" s="98">
        <v>3.740412502424225E-2</v>
      </c>
      <c r="AD37" s="98">
        <v>4.2622649991005242E-2</v>
      </c>
      <c r="AE37" s="98">
        <v>2.7699741527483657E-2</v>
      </c>
      <c r="AF37" s="98">
        <v>3.9395687568039961E-2</v>
      </c>
      <c r="AG37" s="98">
        <v>3.5766397477926093E-2</v>
      </c>
      <c r="AH37" s="98">
        <v>3.0787720252266816E-2</v>
      </c>
      <c r="AI37" s="98">
        <v>2.7320052530966959E-2</v>
      </c>
      <c r="AJ37" s="98">
        <v>2.732408795491785E-2</v>
      </c>
      <c r="AK37" s="98">
        <v>4.3621267380175813E-2</v>
      </c>
      <c r="AL37" s="98">
        <v>3.9779654260967981E-2</v>
      </c>
      <c r="AM37" s="98">
        <v>4.7667739202641293E-2</v>
      </c>
      <c r="AN37" s="98">
        <v>3.2096122484862558E-2</v>
      </c>
      <c r="AO37" s="98">
        <v>4.4373337092935089E-2</v>
      </c>
      <c r="AP37" s="98">
        <v>3.522790199615658E-2</v>
      </c>
      <c r="AQ37" s="98">
        <v>4.1629496594638618E-2</v>
      </c>
      <c r="AR37" s="98">
        <v>3.9085538671331979E-2</v>
      </c>
      <c r="AS37" s="98">
        <v>3.7944777986620146E-2</v>
      </c>
      <c r="AT37" s="98">
        <v>2.8060941583073304E-2</v>
      </c>
      <c r="AU37" s="98">
        <v>2.8139399041240923E-2</v>
      </c>
      <c r="AV37" s="98">
        <v>3.1270549373207994E-2</v>
      </c>
      <c r="AW37" s="98">
        <v>2.9838729177991061E-2</v>
      </c>
      <c r="AX37" s="98">
        <v>4.4921132765850344E-2</v>
      </c>
      <c r="AY37" s="98">
        <v>3.2726548062667754E-2</v>
      </c>
      <c r="AZ37" s="98">
        <v>4.0338162368260808E-2</v>
      </c>
      <c r="BA37" s="98">
        <v>2.3129389774814602E-2</v>
      </c>
      <c r="BB37" s="98">
        <v>3.6037766144509056E-2</v>
      </c>
      <c r="BC37" s="98">
        <v>4.7362749240955578E-2</v>
      </c>
      <c r="BD37" s="98">
        <v>3.137853835289732E-2</v>
      </c>
      <c r="BE37" s="98">
        <v>3.5038242832256712E-2</v>
      </c>
      <c r="BF37" s="98">
        <v>3.8064922074944454E-2</v>
      </c>
      <c r="BG37" s="98">
        <v>2.5671829744648655E-2</v>
      </c>
      <c r="BH37" s="98">
        <v>3.1585616838625603E-2</v>
      </c>
      <c r="BI37" s="98">
        <v>3.3776898742669897E-2</v>
      </c>
      <c r="BJ37" s="98">
        <v>5.1458019881900949E-2</v>
      </c>
      <c r="BK37" s="98">
        <v>2.70107872252646E-2</v>
      </c>
      <c r="BL37" s="98">
        <v>3.9843460315127921E-2</v>
      </c>
      <c r="BM37" s="98">
        <v>4.0789392128407126E-2</v>
      </c>
      <c r="BN37" s="98">
        <v>3.634926115311779E-2</v>
      </c>
      <c r="BO37" s="98">
        <v>2.977570622300324E-2</v>
      </c>
      <c r="BP37" s="98">
        <v>2.5585187287295967E-2</v>
      </c>
      <c r="BQ37" s="98">
        <v>4.0495255126296759E-2</v>
      </c>
      <c r="BR37" s="98">
        <v>2.7958525983525051E-2</v>
      </c>
      <c r="BS37" s="98">
        <v>2.3450136603411331E-2</v>
      </c>
      <c r="BT37" s="98">
        <v>3.5401263671336128E-2</v>
      </c>
      <c r="BU37" s="98">
        <v>4.0678639838574011E-2</v>
      </c>
      <c r="BV37" s="98">
        <v>2.7785127353749516E-2</v>
      </c>
      <c r="BW37" s="98">
        <v>4.0223312959315957E-2</v>
      </c>
      <c r="BX37" s="98">
        <v>2.6199477326673333E-2</v>
      </c>
      <c r="BY37" s="98">
        <v>3.646721281339569E-2</v>
      </c>
      <c r="BZ37" s="98">
        <v>3.2378354267335298E-2</v>
      </c>
      <c r="CA37" s="98">
        <v>3.7463521685917968E-2</v>
      </c>
      <c r="CB37" s="98">
        <v>3.0107989332882661E-2</v>
      </c>
      <c r="CC37" s="98">
        <v>2.5343626547084115E-2</v>
      </c>
      <c r="CD37" s="98">
        <v>3.7224917129171038E-2</v>
      </c>
      <c r="CE37" s="98">
        <v>4.5694680283975053E-2</v>
      </c>
      <c r="CF37" s="98">
        <v>4.1672013403957625E-2</v>
      </c>
      <c r="CG37" s="98">
        <v>3.909647644265931E-2</v>
      </c>
      <c r="CH37" s="98">
        <v>4.0654391516731621E-2</v>
      </c>
      <c r="CI37" s="98">
        <v>3.1657827057236243E-2</v>
      </c>
      <c r="CJ37" s="98">
        <v>3.8154544912141361E-2</v>
      </c>
      <c r="CK37" s="98">
        <v>4.243635584152522E-2</v>
      </c>
      <c r="CL37" s="98">
        <v>4.0172741941456973E-2</v>
      </c>
      <c r="CM37" s="98">
        <v>3.0289132866475867E-2</v>
      </c>
      <c r="CN37" s="98">
        <v>3.0783122312170015E-2</v>
      </c>
      <c r="CO37" s="98">
        <v>4.7261483871308782E-2</v>
      </c>
      <c r="CP37" s="98">
        <v>4.0247665172590201E-2</v>
      </c>
      <c r="CQ37" s="98">
        <v>3.6734111923016358E-2</v>
      </c>
      <c r="CR37" s="98">
        <v>4.0177907207145952E-2</v>
      </c>
      <c r="CS37" s="98">
        <v>3.916598824108998E-2</v>
      </c>
      <c r="CT37" s="98">
        <v>2.6938607858352854E-2</v>
      </c>
      <c r="CU37" s="98">
        <v>3.4774378238998732E-2</v>
      </c>
      <c r="CV37" s="98">
        <v>3.5441622185781618E-2</v>
      </c>
      <c r="CW37" s="98">
        <v>2.1893447352137996E-2</v>
      </c>
      <c r="CX37" s="98">
        <v>3.7419944365646038E-2</v>
      </c>
    </row>
    <row r="38" spans="1:102" s="95" customFormat="1">
      <c r="A38" s="58" t="s">
        <v>132</v>
      </c>
      <c r="B38" s="99"/>
      <c r="C38" s="100">
        <v>3.9778265913002699</v>
      </c>
      <c r="D38" s="100">
        <v>2.8949598393427061</v>
      </c>
      <c r="E38" s="100">
        <v>3.0680441940982228</v>
      </c>
      <c r="F38" s="100">
        <v>3.5916069985272672</v>
      </c>
      <c r="G38" s="100">
        <v>4.9017591140130214</v>
      </c>
      <c r="H38" s="100">
        <v>3.7518156881852489</v>
      </c>
      <c r="I38" s="100">
        <v>3.4216288250372076</v>
      </c>
      <c r="J38" s="100">
        <v>4.2327208726368903</v>
      </c>
      <c r="K38" s="100">
        <v>2.9439551614807065</v>
      </c>
      <c r="L38" s="100">
        <v>3.3856710910865373</v>
      </c>
      <c r="M38" s="100">
        <v>3.3010921189217237</v>
      </c>
      <c r="N38" s="100">
        <v>4.7100413389556328</v>
      </c>
      <c r="O38" s="100">
        <v>3.9276820367781569</v>
      </c>
      <c r="P38" s="100">
        <v>3.4975921736307609</v>
      </c>
      <c r="Q38" s="100">
        <v>3.5137626507939004</v>
      </c>
      <c r="R38" s="100">
        <v>4.6833725575368872</v>
      </c>
      <c r="S38" s="100">
        <v>3.2230649496433035</v>
      </c>
      <c r="T38" s="100">
        <v>4.0740401452511064</v>
      </c>
      <c r="U38" s="100">
        <v>3.4448757151373743</v>
      </c>
      <c r="V38" s="100">
        <v>4.0592040973458534</v>
      </c>
      <c r="W38" s="100">
        <v>3.6638980217279959</v>
      </c>
      <c r="X38" s="100">
        <v>3.2567729167459269</v>
      </c>
      <c r="Y38" s="100">
        <v>3.3508271662969844</v>
      </c>
      <c r="Z38" s="100">
        <v>4.4384693711173249</v>
      </c>
      <c r="AA38" s="100">
        <v>3.1724253574883292</v>
      </c>
      <c r="AB38" s="100">
        <v>3.5503907053911132</v>
      </c>
      <c r="AC38" s="100">
        <v>4.7301374248502288</v>
      </c>
      <c r="AD38" s="100">
        <v>3.9485591329413676</v>
      </c>
      <c r="AE38" s="100">
        <v>2.9956801667295649</v>
      </c>
      <c r="AF38" s="100">
        <v>3.9514628082690577</v>
      </c>
      <c r="AG38" s="100">
        <v>2.9758406943190252</v>
      </c>
      <c r="AH38" s="100">
        <v>2.9908741475608411</v>
      </c>
      <c r="AI38" s="100">
        <v>4.8313530864227046</v>
      </c>
      <c r="AJ38" s="100">
        <v>3.5962194144340374</v>
      </c>
      <c r="AK38" s="100">
        <v>3.0613557559312405</v>
      </c>
      <c r="AL38" s="100">
        <v>3.3392551862392654</v>
      </c>
      <c r="AM38" s="100">
        <v>2.9588998610002326</v>
      </c>
      <c r="AN38" s="100">
        <v>3.1365471274833454</v>
      </c>
      <c r="AO38" s="100">
        <v>4.2423140637000891</v>
      </c>
      <c r="AP38" s="100">
        <v>3.7769426970832862</v>
      </c>
      <c r="AQ38" s="100">
        <v>3.9200279582444573</v>
      </c>
      <c r="AR38" s="100">
        <v>4.1747236072592822</v>
      </c>
      <c r="AS38" s="100">
        <v>5.7456234543515707</v>
      </c>
      <c r="AT38" s="100">
        <v>4.7219060625008886</v>
      </c>
      <c r="AU38" s="100">
        <v>4.867255232982111</v>
      </c>
      <c r="AV38" s="100">
        <v>2.890390057444213</v>
      </c>
      <c r="AW38" s="100">
        <v>3.7085730258481404</v>
      </c>
      <c r="AX38" s="100">
        <v>5.9455117764064607</v>
      </c>
      <c r="AY38" s="100">
        <v>4.2998917230770193</v>
      </c>
      <c r="AZ38" s="100">
        <v>6.2945271309584889</v>
      </c>
      <c r="BA38" s="100">
        <v>5.1565670361813183</v>
      </c>
      <c r="BB38" s="100">
        <v>3.7841968745138188</v>
      </c>
      <c r="BC38" s="100">
        <v>4.0854208376217489</v>
      </c>
      <c r="BD38" s="100">
        <v>4.9298057145522085</v>
      </c>
      <c r="BE38" s="100">
        <v>3.168841561949999</v>
      </c>
      <c r="BF38" s="100">
        <v>4.1637922469303996</v>
      </c>
      <c r="BG38" s="100">
        <v>3.136945477270725</v>
      </c>
      <c r="BH38" s="100">
        <v>4.9451425202564367</v>
      </c>
      <c r="BI38" s="100">
        <v>4.567865578161733</v>
      </c>
      <c r="BJ38" s="100">
        <v>3.3612551914866877</v>
      </c>
      <c r="BK38" s="100">
        <v>3.6221266810604442</v>
      </c>
      <c r="BL38" s="100">
        <v>3.6832335835269281</v>
      </c>
      <c r="BM38" s="100">
        <v>5.4708247445437301</v>
      </c>
      <c r="BN38" s="100">
        <v>4.1110941805948551</v>
      </c>
      <c r="BO38" s="100">
        <v>3.863780660442758</v>
      </c>
      <c r="BP38" s="100">
        <v>4.7828086371512235</v>
      </c>
      <c r="BQ38" s="100">
        <v>3.2297637597861399</v>
      </c>
      <c r="BR38" s="100">
        <v>4.540080159926954</v>
      </c>
      <c r="BS38" s="100">
        <v>3.953416268007063</v>
      </c>
      <c r="BT38" s="100">
        <v>4.1684821541269423</v>
      </c>
      <c r="BU38" s="100">
        <v>3.0328534620868446</v>
      </c>
      <c r="BV38" s="100">
        <v>2.8883087246540486</v>
      </c>
      <c r="BW38" s="100">
        <v>4.5943298484521069</v>
      </c>
      <c r="BX38" s="100">
        <v>7.8621258168326236</v>
      </c>
      <c r="BY38" s="100">
        <v>3.9240665607834955</v>
      </c>
      <c r="BZ38" s="100">
        <v>6.6883398862041412</v>
      </c>
      <c r="CA38" s="100">
        <v>3.5923503870083175</v>
      </c>
      <c r="CB38" s="100">
        <v>3.3039426037405035</v>
      </c>
      <c r="CC38" s="100">
        <v>3.4601470754541581</v>
      </c>
      <c r="CD38" s="100">
        <v>10.765794186217107</v>
      </c>
      <c r="CE38" s="100">
        <v>9.5795738938179316</v>
      </c>
      <c r="CF38" s="100">
        <v>4.3831484073786866</v>
      </c>
      <c r="CG38" s="100">
        <v>2.9756897450895963</v>
      </c>
      <c r="CH38" s="100">
        <v>3.4217683189797925</v>
      </c>
      <c r="CI38" s="100">
        <v>6.9678529671406606</v>
      </c>
      <c r="CJ38" s="100">
        <v>3.2016434098016222</v>
      </c>
      <c r="CK38" s="100">
        <v>3.1103811291649834</v>
      </c>
      <c r="CL38" s="100">
        <v>3.6705447930904938</v>
      </c>
      <c r="CM38" s="100">
        <v>3.4833438032224806</v>
      </c>
      <c r="CN38" s="100">
        <v>3.674309221313063</v>
      </c>
      <c r="CO38" s="100">
        <v>7.8201378827182557</v>
      </c>
      <c r="CP38" s="100">
        <v>3.016449865244097</v>
      </c>
      <c r="CQ38" s="100">
        <v>5.9751020443027727</v>
      </c>
      <c r="CR38" s="100">
        <v>5.540160569649208</v>
      </c>
      <c r="CS38" s="100">
        <v>3.0814370348826419</v>
      </c>
      <c r="CT38" s="100">
        <v>3.6258556566799287</v>
      </c>
      <c r="CU38" s="100">
        <v>3.290826290511327</v>
      </c>
      <c r="CV38" s="100">
        <v>4.4849862551267234</v>
      </c>
      <c r="CW38" s="100">
        <v>5.3078364197111307</v>
      </c>
      <c r="CX38" s="100">
        <v>4.9147817780538832</v>
      </c>
    </row>
    <row r="39" spans="1:102" s="9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95" customFormat="1">
      <c r="A40" s="124" t="s">
        <v>133</v>
      </c>
      <c r="B40" s="12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11" customFormat="1">
      <c r="A41" s="108" t="str">
        <f>Parameters!A40</f>
        <v>Basis</v>
      </c>
      <c r="B41" s="102" t="s">
        <v>29</v>
      </c>
      <c r="C41" s="103">
        <v>1.4220970273364181E-2</v>
      </c>
      <c r="D41" s="103">
        <v>1.7417925398208436E-2</v>
      </c>
      <c r="E41" s="103">
        <v>1.6057433239605595E-2</v>
      </c>
      <c r="F41" s="103">
        <v>1.4660997375259367E-2</v>
      </c>
      <c r="G41" s="103">
        <v>1.2812460676845269E-2</v>
      </c>
      <c r="H41" s="103">
        <v>1.4731431496871637E-2</v>
      </c>
      <c r="I41" s="103">
        <v>1.455196578773617E-2</v>
      </c>
      <c r="J41" s="103">
        <v>1.4470476366677143E-2</v>
      </c>
      <c r="K41" s="103">
        <v>1.5002025951303552E-2</v>
      </c>
      <c r="L41" s="103">
        <v>1.5496367393049777E-2</v>
      </c>
      <c r="M41" s="103">
        <v>1.5568964642970673E-2</v>
      </c>
      <c r="N41" s="103">
        <v>1.3284091993180085E-2</v>
      </c>
      <c r="O41" s="103">
        <v>1.4578570653945994E-2</v>
      </c>
      <c r="P41" s="103">
        <v>1.4975741688523709E-2</v>
      </c>
      <c r="Q41" s="103">
        <v>1.4413231096767381E-2</v>
      </c>
      <c r="R41" s="103">
        <v>1.2894866355904661E-2</v>
      </c>
      <c r="S41" s="103">
        <v>1.5470938616255883E-2</v>
      </c>
      <c r="T41" s="103">
        <v>1.3328298407834848E-2</v>
      </c>
      <c r="U41" s="103">
        <v>1.4581368023543314E-2</v>
      </c>
      <c r="V41" s="103">
        <v>1.4527015679415594E-2</v>
      </c>
      <c r="W41" s="103">
        <v>1.4753785222577549E-2</v>
      </c>
      <c r="X41" s="103">
        <v>1.5203819372306769E-2</v>
      </c>
      <c r="Y41" s="103">
        <v>1.5480062762711591E-2</v>
      </c>
      <c r="Z41" s="103">
        <v>1.3398814563032666E-2</v>
      </c>
      <c r="AA41" s="103">
        <v>1.4598214555370373E-2</v>
      </c>
      <c r="AB41" s="103">
        <v>1.4169796671369927E-2</v>
      </c>
      <c r="AC41" s="103">
        <v>1.3857279288792643E-2</v>
      </c>
      <c r="AD41" s="103">
        <v>1.3633054300804682E-2</v>
      </c>
      <c r="AE41" s="103">
        <v>1.6561086775973087E-2</v>
      </c>
      <c r="AF41" s="103">
        <v>1.5015859026927481E-2</v>
      </c>
      <c r="AG41" s="103">
        <v>1.726391358556971E-2</v>
      </c>
      <c r="AH41" s="103">
        <v>1.6396549252967282E-2</v>
      </c>
      <c r="AI41" s="103">
        <v>1.2317906404827278E-2</v>
      </c>
      <c r="AJ41" s="103">
        <v>1.3796400352932945E-2</v>
      </c>
      <c r="AK41" s="103">
        <v>1.3707076351211142E-2</v>
      </c>
      <c r="AL41" s="103">
        <v>1.409589393009926E-2</v>
      </c>
      <c r="AM41" s="103">
        <v>1.7657400920280092E-2</v>
      </c>
      <c r="AN41" s="103">
        <v>1.5237434967722063E-2</v>
      </c>
      <c r="AO41" s="103">
        <v>1.5546108486330952E-2</v>
      </c>
      <c r="AP41" s="103">
        <v>1.4093964867346119E-2</v>
      </c>
      <c r="AQ41" s="103">
        <v>1.3621269655630035E-2</v>
      </c>
      <c r="AR41" s="103">
        <v>1.4404095664284699E-2</v>
      </c>
      <c r="AS41" s="103">
        <v>1.1515764394707077E-2</v>
      </c>
      <c r="AT41" s="103">
        <v>1.2925085237674088E-2</v>
      </c>
      <c r="AU41" s="103">
        <v>1.2685703107446489E-2</v>
      </c>
      <c r="AV41" s="103">
        <v>1.7401963277171743E-2</v>
      </c>
      <c r="AW41" s="103">
        <v>1.4397036792828572E-2</v>
      </c>
      <c r="AX41" s="103">
        <v>1.1323968482069006E-2</v>
      </c>
      <c r="AY41" s="103">
        <v>1.36432569967724E-2</v>
      </c>
      <c r="AZ41" s="103">
        <v>1.1654217511070156E-2</v>
      </c>
      <c r="BA41" s="103">
        <v>1.2029997363269828E-2</v>
      </c>
      <c r="BB41" s="103">
        <v>1.4161687193448012E-2</v>
      </c>
      <c r="BC41" s="103">
        <v>1.2365475120768191E-2</v>
      </c>
      <c r="BD41" s="103">
        <v>1.2352500316747887E-2</v>
      </c>
      <c r="BE41" s="103">
        <v>1.5069389109719313E-2</v>
      </c>
      <c r="BF41" s="103">
        <v>1.3515108583072786E-2</v>
      </c>
      <c r="BG41" s="103">
        <v>1.5596865738874434E-2</v>
      </c>
      <c r="BH41" s="103">
        <v>1.2411213436030957E-2</v>
      </c>
      <c r="BI41" s="103">
        <v>1.3509209421833587E-2</v>
      </c>
      <c r="BJ41" s="103">
        <v>1.7153698762357953E-2</v>
      </c>
      <c r="BK41" s="103">
        <v>1.3413923518312287E-2</v>
      </c>
      <c r="BL41" s="103">
        <v>1.6261245652544297E-2</v>
      </c>
      <c r="BM41" s="103">
        <v>1.2536765912398443E-2</v>
      </c>
      <c r="BN41" s="103">
        <v>1.5264237482109973E-2</v>
      </c>
      <c r="BO41" s="103">
        <v>1.4106509730162789E-2</v>
      </c>
      <c r="BP41" s="103">
        <v>1.2784758050565757E-2</v>
      </c>
      <c r="BQ41" s="103">
        <v>1.6808886752812495E-2</v>
      </c>
      <c r="BR41" s="103">
        <v>1.3693917588780895E-2</v>
      </c>
      <c r="BS41" s="103">
        <v>1.3835754202480685E-2</v>
      </c>
      <c r="BT41" s="103">
        <v>1.4532028331716863E-2</v>
      </c>
      <c r="BU41" s="103">
        <v>1.487115577504221E-2</v>
      </c>
      <c r="BV41" s="103">
        <v>1.6776166035040993E-2</v>
      </c>
      <c r="BW41" s="103">
        <v>1.3934069464077608E-2</v>
      </c>
      <c r="BX41" s="103">
        <v>9.9857809837250559E-3</v>
      </c>
      <c r="BY41" s="103">
        <v>1.4709102233034062E-2</v>
      </c>
      <c r="BZ41" s="103">
        <v>1.1147400549430022E-2</v>
      </c>
      <c r="CA41" s="103">
        <v>1.3376561172820959E-2</v>
      </c>
      <c r="CB41" s="103">
        <v>1.5384841256384158E-2</v>
      </c>
      <c r="CC41" s="103">
        <v>1.3399449709734501E-2</v>
      </c>
      <c r="CD41" s="103">
        <v>8.4136488434821844E-3</v>
      </c>
      <c r="CE41" s="103">
        <v>9.0829370096583185E-3</v>
      </c>
      <c r="CF41" s="103">
        <v>1.3933879989566963E-2</v>
      </c>
      <c r="CG41" s="103">
        <v>1.5530347425828726E-2</v>
      </c>
      <c r="CH41" s="103">
        <v>1.421668891042285E-2</v>
      </c>
      <c r="CI41" s="103">
        <v>1.007511189433935E-2</v>
      </c>
      <c r="CJ41" s="103">
        <v>1.6518640500689984E-2</v>
      </c>
      <c r="CK41" s="103">
        <v>1.2868727890710382E-2</v>
      </c>
      <c r="CL41" s="103">
        <v>1.614586633683358E-2</v>
      </c>
      <c r="CM41" s="103">
        <v>1.5526072542458668E-2</v>
      </c>
      <c r="CN41" s="103">
        <v>1.4109427268768574E-2</v>
      </c>
      <c r="CO41" s="103">
        <v>1.1232326598009634E-2</v>
      </c>
      <c r="CP41" s="103">
        <v>1.6622093891014593E-2</v>
      </c>
      <c r="CQ41" s="103">
        <v>1.1141301613925521E-2</v>
      </c>
      <c r="CR41" s="103">
        <v>1.3760004104943459E-2</v>
      </c>
      <c r="CS41" s="103">
        <v>1.4754270484588543E-2</v>
      </c>
      <c r="CT41" s="103">
        <v>1.3948610614608099E-2</v>
      </c>
      <c r="CU41" s="103">
        <v>1.6186737387484326E-2</v>
      </c>
      <c r="CV41" s="103">
        <v>1.2342306295802167E-2</v>
      </c>
      <c r="CW41" s="103">
        <v>1.1646092116711542E-2</v>
      </c>
      <c r="CX41" s="103">
        <v>1.2346577359286771E-2</v>
      </c>
    </row>
    <row r="42" spans="1:102" s="95" customFormat="1">
      <c r="A42" s="23"/>
      <c r="B42" s="14" t="s">
        <v>30</v>
      </c>
      <c r="C42" s="105">
        <v>7.5030690726879068E-2</v>
      </c>
      <c r="D42" s="105">
        <v>9.0120878540621993E-2</v>
      </c>
      <c r="E42" s="105">
        <v>8.2580220436389545E-2</v>
      </c>
      <c r="F42" s="105">
        <v>7.7570169488696897E-2</v>
      </c>
      <c r="G42" s="105">
        <v>6.8023052145409463E-2</v>
      </c>
      <c r="H42" s="105">
        <v>7.6946446261858079E-2</v>
      </c>
      <c r="I42" s="105">
        <v>8.0355188741254302E-2</v>
      </c>
      <c r="J42" s="105">
        <v>7.5061333023925619E-2</v>
      </c>
      <c r="K42" s="105">
        <v>8.5586508889974169E-2</v>
      </c>
      <c r="L42" s="105">
        <v>7.9016748879322099E-2</v>
      </c>
      <c r="M42" s="105">
        <v>8.3351511940977646E-2</v>
      </c>
      <c r="N42" s="105">
        <v>7.1480528894749998E-2</v>
      </c>
      <c r="O42" s="105">
        <v>7.675507176127587E-2</v>
      </c>
      <c r="P42" s="105">
        <v>7.5803905770323005E-2</v>
      </c>
      <c r="Q42" s="105">
        <v>7.5849112577301744E-2</v>
      </c>
      <c r="R42" s="105">
        <v>7.1212609392073814E-2</v>
      </c>
      <c r="S42" s="105">
        <v>8.0037739842397496E-2</v>
      </c>
      <c r="T42" s="105">
        <v>7.3347742247288239E-2</v>
      </c>
      <c r="U42" s="105">
        <v>8.0974416894050799E-2</v>
      </c>
      <c r="V42" s="105">
        <v>7.6038793564488699E-2</v>
      </c>
      <c r="W42" s="105">
        <v>7.2413732792424426E-2</v>
      </c>
      <c r="X42" s="105">
        <v>7.9022624471394631E-2</v>
      </c>
      <c r="Y42" s="105">
        <v>7.8252355295275688E-2</v>
      </c>
      <c r="Z42" s="105">
        <v>7.2009328278496723E-2</v>
      </c>
      <c r="AA42" s="105">
        <v>7.8868525592251881E-2</v>
      </c>
      <c r="AB42" s="105">
        <v>7.7166967358827943E-2</v>
      </c>
      <c r="AC42" s="105">
        <v>7.2992041667742785E-2</v>
      </c>
      <c r="AD42" s="105">
        <v>7.3960668062634044E-2</v>
      </c>
      <c r="AE42" s="105">
        <v>8.6687973219309003E-2</v>
      </c>
      <c r="AF42" s="105">
        <v>7.8518277879942852E-2</v>
      </c>
      <c r="AG42" s="105">
        <v>8.5881889952639262E-2</v>
      </c>
      <c r="AH42" s="105">
        <v>7.8061905617877084E-2</v>
      </c>
      <c r="AI42" s="105">
        <v>6.7724837364278631E-2</v>
      </c>
      <c r="AJ42" s="105">
        <v>7.7496246155070447E-2</v>
      </c>
      <c r="AK42" s="105">
        <v>8.7478796390397948E-2</v>
      </c>
      <c r="AL42" s="105">
        <v>8.2392540590530181E-2</v>
      </c>
      <c r="AM42" s="105">
        <v>9.2467275298974749E-2</v>
      </c>
      <c r="AN42" s="105">
        <v>8.0356656627527306E-2</v>
      </c>
      <c r="AO42" s="105">
        <v>8.0099130036982047E-2</v>
      </c>
      <c r="AP42" s="105">
        <v>7.3079697825293957E-2</v>
      </c>
      <c r="AQ42" s="105">
        <v>7.3326476768247939E-2</v>
      </c>
      <c r="AR42" s="105">
        <v>7.1192444449561937E-2</v>
      </c>
      <c r="AS42" s="105">
        <v>6.2607754596021026E-2</v>
      </c>
      <c r="AT42" s="105">
        <v>6.8853840799688371E-2</v>
      </c>
      <c r="AU42" s="105">
        <v>6.7113146601592552E-2</v>
      </c>
      <c r="AV42" s="105">
        <v>8.1372011628988883E-2</v>
      </c>
      <c r="AW42" s="105">
        <v>7.7187361080093095E-2</v>
      </c>
      <c r="AX42" s="105">
        <v>6.2043036532651648E-2</v>
      </c>
      <c r="AY42" s="105">
        <v>7.231811032554096E-2</v>
      </c>
      <c r="AZ42" s="105">
        <v>6.228471583124872E-2</v>
      </c>
      <c r="BA42" s="105">
        <v>6.5585444438283735E-2</v>
      </c>
      <c r="BB42" s="105">
        <v>7.3008324271812697E-2</v>
      </c>
      <c r="BC42" s="105">
        <v>7.6044247074974758E-2</v>
      </c>
      <c r="BD42" s="105">
        <v>6.6631113125777727E-2</v>
      </c>
      <c r="BE42" s="105">
        <v>7.7048393303568191E-2</v>
      </c>
      <c r="BF42" s="105">
        <v>7.0519022407529219E-2</v>
      </c>
      <c r="BG42" s="105">
        <v>7.9193291137104521E-2</v>
      </c>
      <c r="BH42" s="105">
        <v>6.5080290208039251E-2</v>
      </c>
      <c r="BI42" s="105">
        <v>7.1831320136230753E-2</v>
      </c>
      <c r="BJ42" s="105">
        <v>8.9424969109875296E-2</v>
      </c>
      <c r="BK42" s="105">
        <v>7.197309944728543E-2</v>
      </c>
      <c r="BL42" s="105">
        <v>8.0373571931662738E-2</v>
      </c>
      <c r="BM42" s="105">
        <v>6.2972607341390763E-2</v>
      </c>
      <c r="BN42" s="105">
        <v>7.6195931960684957E-2</v>
      </c>
      <c r="BO42" s="105">
        <v>7.0885530293543608E-2</v>
      </c>
      <c r="BP42" s="105">
        <v>6.8810586825814701E-2</v>
      </c>
      <c r="BQ42" s="105">
        <v>8.8616586365911645E-2</v>
      </c>
      <c r="BR42" s="105">
        <v>6.8650567682842487E-2</v>
      </c>
      <c r="BS42" s="105">
        <v>7.2410395961498647E-2</v>
      </c>
      <c r="BT42" s="105">
        <v>7.1052152291668599E-2</v>
      </c>
      <c r="BU42" s="105">
        <v>7.9508538153387362E-2</v>
      </c>
      <c r="BV42" s="105">
        <v>7.9639470315688674E-2</v>
      </c>
      <c r="BW42" s="105">
        <v>6.9997406161679959E-2</v>
      </c>
      <c r="BX42" s="105">
        <v>5.5109338909057427E-2</v>
      </c>
      <c r="BY42" s="105">
        <v>7.1989827586115246E-2</v>
      </c>
      <c r="BZ42" s="105">
        <v>5.9332972923625965E-2</v>
      </c>
      <c r="CA42" s="105">
        <v>7.8866189284070229E-2</v>
      </c>
      <c r="CB42" s="105">
        <v>7.6719095946117158E-2</v>
      </c>
      <c r="CC42" s="105">
        <v>7.758251234118832E-2</v>
      </c>
      <c r="CD42" s="105">
        <v>4.8733100956795984E-2</v>
      </c>
      <c r="CE42" s="105">
        <v>5.2696957887497495E-2</v>
      </c>
      <c r="CF42" s="105">
        <v>7.4567060401610555E-2</v>
      </c>
      <c r="CG42" s="105">
        <v>8.9206882830478687E-2</v>
      </c>
      <c r="CH42" s="105">
        <v>7.8533528221374022E-2</v>
      </c>
      <c r="CI42" s="105">
        <v>5.7187330782326427E-2</v>
      </c>
      <c r="CJ42" s="105">
        <v>8.6395966800428325E-2</v>
      </c>
      <c r="CK42" s="105">
        <v>8.5283303332566257E-2</v>
      </c>
      <c r="CL42" s="105">
        <v>8.28304842172604E-2</v>
      </c>
      <c r="CM42" s="105">
        <v>7.9576688075667756E-2</v>
      </c>
      <c r="CN42" s="105">
        <v>7.6872700760288834E-2</v>
      </c>
      <c r="CO42" s="105">
        <v>5.9394346984881892E-2</v>
      </c>
      <c r="CP42" s="105">
        <v>8.3243328484930212E-2</v>
      </c>
      <c r="CQ42" s="105">
        <v>6.1071620573542033E-2</v>
      </c>
      <c r="CR42" s="105">
        <v>6.9819330089549825E-2</v>
      </c>
      <c r="CS42" s="105">
        <v>7.9868422839697584E-2</v>
      </c>
      <c r="CT42" s="105">
        <v>7.1144505610618719E-2</v>
      </c>
      <c r="CU42" s="105">
        <v>7.992301652306974E-2</v>
      </c>
      <c r="CV42" s="105">
        <v>6.8066930788800439E-2</v>
      </c>
      <c r="CW42" s="105">
        <v>6.5088158829669049E-2</v>
      </c>
      <c r="CX42" s="105">
        <v>6.4472686051339309E-2</v>
      </c>
    </row>
    <row r="43" spans="1:102" s="95" customFormat="1">
      <c r="A43" s="23"/>
      <c r="B43" s="56" t="s">
        <v>56</v>
      </c>
      <c r="C43" s="105">
        <v>0.10727893937028575</v>
      </c>
      <c r="D43" s="105">
        <v>0.11048095354888848</v>
      </c>
      <c r="E43" s="105">
        <v>0.10859651035925617</v>
      </c>
      <c r="F43" s="105">
        <v>0.10859278191943912</v>
      </c>
      <c r="G43" s="105">
        <v>0.10575050389794481</v>
      </c>
      <c r="H43" s="105">
        <v>0.1107814130037738</v>
      </c>
      <c r="I43" s="105">
        <v>0.11609014828057573</v>
      </c>
      <c r="J43" s="105">
        <v>0.10739406152000014</v>
      </c>
      <c r="K43" s="105">
        <v>9.612279577295689E-2</v>
      </c>
      <c r="L43" s="105">
        <v>0.10879131662274884</v>
      </c>
      <c r="M43" s="105">
        <v>0.11360986088646594</v>
      </c>
      <c r="N43" s="105">
        <v>0.11090162087191793</v>
      </c>
      <c r="O43" s="105">
        <v>0.11004736396811976</v>
      </c>
      <c r="P43" s="105">
        <v>0.10497235359810178</v>
      </c>
      <c r="Q43" s="105">
        <v>0.10848116646856262</v>
      </c>
      <c r="R43" s="105">
        <v>0.11284319267713334</v>
      </c>
      <c r="S43" s="105">
        <v>0.10988425946619357</v>
      </c>
      <c r="T43" s="105">
        <v>0.10091219822048415</v>
      </c>
      <c r="U43" s="105">
        <v>0.11058545424080313</v>
      </c>
      <c r="V43" s="105">
        <v>0.10698443558192047</v>
      </c>
      <c r="W43" s="105">
        <v>0.10303129518320969</v>
      </c>
      <c r="X43" s="105">
        <v>0.10863271302523014</v>
      </c>
      <c r="Y43" s="105">
        <v>0.10904808385648677</v>
      </c>
      <c r="Z43" s="105">
        <v>0.11046726815296588</v>
      </c>
      <c r="AA43" s="105">
        <v>0.11408810584003155</v>
      </c>
      <c r="AB43" s="105">
        <v>0.10734673841024227</v>
      </c>
      <c r="AC43" s="105">
        <v>0.10916066244312861</v>
      </c>
      <c r="AD43" s="105">
        <v>0.10745176405467802</v>
      </c>
      <c r="AE43" s="105">
        <v>0.11192509600460962</v>
      </c>
      <c r="AF43" s="105">
        <v>0.11507010329318446</v>
      </c>
      <c r="AG43" s="105">
        <v>0.1157591667247434</v>
      </c>
      <c r="AH43" s="105">
        <v>0.1035252019018954</v>
      </c>
      <c r="AI43" s="105">
        <v>0.10241343433199172</v>
      </c>
      <c r="AJ43" s="105">
        <v>0.10067982578325675</v>
      </c>
      <c r="AK43" s="105">
        <v>9.5936332192076021E-2</v>
      </c>
      <c r="AL43" s="105">
        <v>9.9358125163899316E-2</v>
      </c>
      <c r="AM43" s="105">
        <v>0.11240838191148318</v>
      </c>
      <c r="AN43" s="105">
        <v>0.10046399546699816</v>
      </c>
      <c r="AO43" s="105">
        <v>0.10289291851797178</v>
      </c>
      <c r="AP43" s="105">
        <v>9.8394627002591259E-2</v>
      </c>
      <c r="AQ43" s="105">
        <v>9.8807436354690303E-2</v>
      </c>
      <c r="AR43" s="105">
        <v>0.10343431263645984</v>
      </c>
      <c r="AS43" s="105">
        <v>0.1074497339980922</v>
      </c>
      <c r="AT43" s="105">
        <v>0.10999533627499491</v>
      </c>
      <c r="AU43" s="105">
        <v>0.10678907641007225</v>
      </c>
      <c r="AV43" s="105">
        <v>0.10532617822159666</v>
      </c>
      <c r="AW43" s="105">
        <v>0.11676852735354595</v>
      </c>
      <c r="AX43" s="105">
        <v>0.10467958688076691</v>
      </c>
      <c r="AY43" s="105">
        <v>0.10696971638092428</v>
      </c>
      <c r="AZ43" s="105">
        <v>0.10773026827524683</v>
      </c>
      <c r="BA43" s="105">
        <v>0.10790943559930706</v>
      </c>
      <c r="BB43" s="105">
        <v>0.10492898276441491</v>
      </c>
      <c r="BC43" s="105">
        <v>9.6807290607218557E-2</v>
      </c>
      <c r="BD43" s="105">
        <v>0.10932255493408251</v>
      </c>
      <c r="BE43" s="105">
        <v>0.10559220616977737</v>
      </c>
      <c r="BF43" s="105">
        <v>0.10501689127072886</v>
      </c>
      <c r="BG43" s="105">
        <v>0.10795257142562427</v>
      </c>
      <c r="BH43" s="105">
        <v>0.10811891510558519</v>
      </c>
      <c r="BI43" s="105">
        <v>0.11340944149242098</v>
      </c>
      <c r="BJ43" s="105">
        <v>0.11353134852880252</v>
      </c>
      <c r="BK43" s="105">
        <v>0.10677708916572477</v>
      </c>
      <c r="BL43" s="105">
        <v>0.10987329656774364</v>
      </c>
      <c r="BM43" s="105">
        <v>0.10295278014837154</v>
      </c>
      <c r="BN43" s="105">
        <v>0.10872035752400251</v>
      </c>
      <c r="BO43" s="105">
        <v>0.10103532779161778</v>
      </c>
      <c r="BP43" s="105">
        <v>0.10894335706722168</v>
      </c>
      <c r="BQ43" s="105">
        <v>0.10850418051158572</v>
      </c>
      <c r="BR43" s="105">
        <v>0.10731515263388357</v>
      </c>
      <c r="BS43" s="105">
        <v>0.1087937938945332</v>
      </c>
      <c r="BT43" s="105">
        <v>0.10605841965889633</v>
      </c>
      <c r="BU43" s="105">
        <v>0.10205080018006617</v>
      </c>
      <c r="BV43" s="105">
        <v>0.10556392089452227</v>
      </c>
      <c r="BW43" s="105">
        <v>0.10806794263486023</v>
      </c>
      <c r="BX43" s="105">
        <v>0.10424647860091492</v>
      </c>
      <c r="BY43" s="105">
        <v>0.10673512337353616</v>
      </c>
      <c r="BZ43" s="105">
        <v>0.1057549351346522</v>
      </c>
      <c r="CA43" s="105">
        <v>9.1925867273924225E-2</v>
      </c>
      <c r="CB43" s="105">
        <v>0.11026059838348123</v>
      </c>
      <c r="CC43" s="105">
        <v>0.10072834478207385</v>
      </c>
      <c r="CD43" s="105">
        <v>0.10092202329531326</v>
      </c>
      <c r="CE43" s="105">
        <v>0.10702578273513638</v>
      </c>
      <c r="CF43" s="105">
        <v>0.10483100702654805</v>
      </c>
      <c r="CG43" s="105">
        <v>9.7876016390291004E-2</v>
      </c>
      <c r="CH43" s="105">
        <v>9.6268622617800739E-2</v>
      </c>
      <c r="CI43" s="105">
        <v>9.7413890243549489E-2</v>
      </c>
      <c r="CJ43" s="105">
        <v>9.9824869909350494E-2</v>
      </c>
      <c r="CK43" s="105">
        <v>8.7150809238231181E-2</v>
      </c>
      <c r="CL43" s="105">
        <v>0.11663869806150425</v>
      </c>
      <c r="CM43" s="105">
        <v>0.10276938767964253</v>
      </c>
      <c r="CN43" s="105">
        <v>0.10964993740472423</v>
      </c>
      <c r="CO43" s="105">
        <v>0.1000321545430095</v>
      </c>
      <c r="CP43" s="105">
        <v>0.11612131050057226</v>
      </c>
      <c r="CQ43" s="105">
        <v>0.10876473415260375</v>
      </c>
      <c r="CR43" s="105">
        <v>0.10588251363617368</v>
      </c>
      <c r="CS43" s="105">
        <v>9.1963839939052883E-2</v>
      </c>
      <c r="CT43" s="105">
        <v>0.10448982337671275</v>
      </c>
      <c r="CU43" s="105">
        <v>0.10847434833595077</v>
      </c>
      <c r="CV43" s="105">
        <v>9.946015801935737E-2</v>
      </c>
      <c r="CW43" s="105">
        <v>0.1076691080940255</v>
      </c>
      <c r="CX43" s="105">
        <v>0.10416988332373962</v>
      </c>
    </row>
    <row r="44" spans="1:102" s="95" customFormat="1">
      <c r="A44" s="106"/>
      <c r="B44" s="109" t="s">
        <v>114</v>
      </c>
      <c r="C44" s="107">
        <v>0.47756870292465747</v>
      </c>
      <c r="D44" s="107">
        <v>0.46719976648771638</v>
      </c>
      <c r="E44" s="107">
        <v>0.47076296361817788</v>
      </c>
      <c r="F44" s="107">
        <v>0.47604297370881443</v>
      </c>
      <c r="G44" s="107">
        <v>0.48351015061024766</v>
      </c>
      <c r="H44" s="107">
        <v>0.47548451746847958</v>
      </c>
      <c r="I44" s="107">
        <v>0.47741277365703511</v>
      </c>
      <c r="J44" s="107">
        <v>0.47625397567345207</v>
      </c>
      <c r="K44" s="107">
        <v>0.4766974465108792</v>
      </c>
      <c r="L44" s="107">
        <v>0.47227212725497347</v>
      </c>
      <c r="M44" s="107">
        <v>0.47336528665503769</v>
      </c>
      <c r="N44" s="107">
        <v>0.48167749468217125</v>
      </c>
      <c r="O44" s="107">
        <v>0.47621651977560436</v>
      </c>
      <c r="P44" s="107">
        <v>0.47383236132879014</v>
      </c>
      <c r="Q44" s="107">
        <v>0.47680089438386031</v>
      </c>
      <c r="R44" s="107">
        <v>0.48378704841170012</v>
      </c>
      <c r="S44" s="107">
        <v>0.47275172573502261</v>
      </c>
      <c r="T44" s="107">
        <v>0.48190341808782267</v>
      </c>
      <c r="U44" s="107">
        <v>0.47744069243356296</v>
      </c>
      <c r="V44" s="107">
        <v>0.47626275300635323</v>
      </c>
      <c r="W44" s="107">
        <v>0.47382920972615322</v>
      </c>
      <c r="X44" s="107">
        <v>0.47374771968137658</v>
      </c>
      <c r="Y44" s="107">
        <v>0.47208463493229974</v>
      </c>
      <c r="Z44" s="107">
        <v>0.48117705616058676</v>
      </c>
      <c r="AA44" s="107">
        <v>0.47675392726427507</v>
      </c>
      <c r="AB44" s="107">
        <v>0.47845322862872264</v>
      </c>
      <c r="AC44" s="107">
        <v>0.4789276223434481</v>
      </c>
      <c r="AD44" s="107">
        <v>0.48041125986388156</v>
      </c>
      <c r="AE44" s="107">
        <v>0.46983436160343273</v>
      </c>
      <c r="AF44" s="107">
        <v>0.47453232367883069</v>
      </c>
      <c r="AG44" s="107">
        <v>0.46629754188297262</v>
      </c>
      <c r="AH44" s="107">
        <v>0.46734641480554451</v>
      </c>
      <c r="AI44" s="107">
        <v>0.48634872516338257</v>
      </c>
      <c r="AJ44" s="107">
        <v>0.48046435628523065</v>
      </c>
      <c r="AK44" s="107">
        <v>0.48309913903381002</v>
      </c>
      <c r="AL44" s="107">
        <v>0.48017596640834082</v>
      </c>
      <c r="AM44" s="107">
        <v>0.46700050969393803</v>
      </c>
      <c r="AN44" s="107">
        <v>0.47401639230676973</v>
      </c>
      <c r="AO44" s="107">
        <v>0.4723990698353529</v>
      </c>
      <c r="AP44" s="107">
        <v>0.47766271815975381</v>
      </c>
      <c r="AQ44" s="107">
        <v>0.48030601486418012</v>
      </c>
      <c r="AR44" s="107">
        <v>0.47533642795137937</v>
      </c>
      <c r="AS44" s="107">
        <v>0.49034235552614647</v>
      </c>
      <c r="AT44" s="107">
        <v>0.4830570198016238</v>
      </c>
      <c r="AU44" s="107">
        <v>0.4840395708297569</v>
      </c>
      <c r="AV44" s="107">
        <v>0.46376040473105484</v>
      </c>
      <c r="AW44" s="107">
        <v>0.47728623464648023</v>
      </c>
      <c r="AX44" s="107">
        <v>0.49148741018370889</v>
      </c>
      <c r="AY44" s="107">
        <v>0.47991049985292883</v>
      </c>
      <c r="AZ44" s="107">
        <v>0.48940575193645208</v>
      </c>
      <c r="BA44" s="107">
        <v>0.48765393002418828</v>
      </c>
      <c r="BB44" s="107">
        <v>0.47727143713869852</v>
      </c>
      <c r="BC44" s="107">
        <v>0.4875922780617834</v>
      </c>
      <c r="BD44" s="107">
        <v>0.48591773644790126</v>
      </c>
      <c r="BE44" s="107">
        <v>0.47377056980973548</v>
      </c>
      <c r="BF44" s="107">
        <v>0.48012245649118684</v>
      </c>
      <c r="BG44" s="107">
        <v>0.47182881265546683</v>
      </c>
      <c r="BH44" s="107">
        <v>0.48522263874501725</v>
      </c>
      <c r="BI44" s="107">
        <v>0.48051803406661447</v>
      </c>
      <c r="BJ44" s="107">
        <v>0.4681199565833673</v>
      </c>
      <c r="BK44" s="107">
        <v>0.48108393413754313</v>
      </c>
      <c r="BL44" s="107">
        <v>0.46895308513846307</v>
      </c>
      <c r="BM44" s="107">
        <v>0.48393349785730611</v>
      </c>
      <c r="BN44" s="107">
        <v>0.47245971884687971</v>
      </c>
      <c r="BO44" s="107">
        <v>0.47690156991336491</v>
      </c>
      <c r="BP44" s="107">
        <v>0.48385924905053096</v>
      </c>
      <c r="BQ44" s="107">
        <v>0.46937726285609205</v>
      </c>
      <c r="BR44" s="107">
        <v>0.47854425443959253</v>
      </c>
      <c r="BS44" s="107">
        <v>0.47887693962668948</v>
      </c>
      <c r="BT44" s="107">
        <v>0.47457089714500278</v>
      </c>
      <c r="BU44" s="107">
        <v>0.47557375572745963</v>
      </c>
      <c r="BV44" s="107">
        <v>0.46609669951143601</v>
      </c>
      <c r="BW44" s="107">
        <v>0.47759001579468568</v>
      </c>
      <c r="BX44" s="107">
        <v>0.50010293294797481</v>
      </c>
      <c r="BY44" s="107">
        <v>0.47392241190329853</v>
      </c>
      <c r="BZ44" s="107">
        <v>0.49228560376947472</v>
      </c>
      <c r="CA44" s="107">
        <v>0.48292498204800888</v>
      </c>
      <c r="CB44" s="107">
        <v>0.47202159070834349</v>
      </c>
      <c r="CC44" s="107">
        <v>0.48252505189563066</v>
      </c>
      <c r="CD44" s="107">
        <v>0.51298400445476833</v>
      </c>
      <c r="CE44" s="107">
        <v>0.50694227427191285</v>
      </c>
      <c r="CF44" s="107">
        <v>0.4789630521204345</v>
      </c>
      <c r="CG44" s="107">
        <v>0.47528355540765299</v>
      </c>
      <c r="CH44" s="107">
        <v>0.47858993993441518</v>
      </c>
      <c r="CI44" s="107">
        <v>0.49947601503012135</v>
      </c>
      <c r="CJ44" s="107">
        <v>0.46992804075388139</v>
      </c>
      <c r="CK44" s="107">
        <v>0.48658305887644909</v>
      </c>
      <c r="CL44" s="107">
        <v>0.47042637025541323</v>
      </c>
      <c r="CM44" s="107">
        <v>0.47231835823209906</v>
      </c>
      <c r="CN44" s="107">
        <v>0.47868367091769437</v>
      </c>
      <c r="CO44" s="107">
        <v>0.49172325419598001</v>
      </c>
      <c r="CP44" s="107">
        <v>0.46829716551403416</v>
      </c>
      <c r="CQ44" s="107">
        <v>0.49254503215338119</v>
      </c>
      <c r="CR44" s="107">
        <v>0.47852600608047147</v>
      </c>
      <c r="CS44" s="107">
        <v>0.47626646517433835</v>
      </c>
      <c r="CT44" s="107">
        <v>0.47786955798084785</v>
      </c>
      <c r="CU44" s="107">
        <v>0.46914920709792357</v>
      </c>
      <c r="CV44" s="107">
        <v>0.48627438297964881</v>
      </c>
      <c r="CW44" s="107">
        <v>0.48991174803193183</v>
      </c>
      <c r="CX44" s="107">
        <v>0.4854831195219137</v>
      </c>
    </row>
    <row r="45" spans="1:102" s="111" customFormat="1">
      <c r="A45" s="88" t="str">
        <f>Parameters!A41</f>
        <v>Groei recessie</v>
      </c>
      <c r="B45" s="102" t="s">
        <v>29</v>
      </c>
      <c r="C45" s="103">
        <v>1.8254940224945743E-2</v>
      </c>
      <c r="D45" s="103">
        <v>1.7530438813571924E-2</v>
      </c>
      <c r="E45" s="103">
        <v>1.7084650300568827E-2</v>
      </c>
      <c r="F45" s="103">
        <v>1.6854793965479585E-2</v>
      </c>
      <c r="G45" s="103">
        <v>1.6533796314134295E-2</v>
      </c>
      <c r="H45" s="103">
        <v>1.6271085557314421E-2</v>
      </c>
      <c r="I45" s="103">
        <v>1.6163590056796955E-2</v>
      </c>
      <c r="J45" s="103">
        <v>1.5991267340545508E-2</v>
      </c>
      <c r="K45" s="103">
        <v>1.5971479973928313E-2</v>
      </c>
      <c r="L45" s="103">
        <v>1.56073678485367E-2</v>
      </c>
      <c r="M45" s="103">
        <v>1.5167531760451831E-2</v>
      </c>
      <c r="N45" s="103">
        <v>1.5145700073244022E-2</v>
      </c>
      <c r="O45" s="103">
        <v>1.5104622531004759E-2</v>
      </c>
      <c r="P45" s="103">
        <v>1.4682612131631514E-2</v>
      </c>
      <c r="Q45" s="103">
        <v>1.4064996834698135E-2</v>
      </c>
      <c r="R45" s="103">
        <v>1.3997704049267336E-2</v>
      </c>
      <c r="S45" s="103">
        <v>1.3862338185780523E-2</v>
      </c>
      <c r="T45" s="103">
        <v>1.3785683510251608E-2</v>
      </c>
      <c r="U45" s="103">
        <v>1.3739538843294116E-2</v>
      </c>
      <c r="V45" s="103">
        <v>1.3679343800796096E-2</v>
      </c>
      <c r="W45" s="103">
        <v>1.3574359260550352E-2</v>
      </c>
      <c r="X45" s="103">
        <v>1.3556947584308266E-2</v>
      </c>
      <c r="Y45" s="103">
        <v>1.352064962575379E-2</v>
      </c>
      <c r="Z45" s="103">
        <v>1.341609118491433E-2</v>
      </c>
      <c r="AA45" s="103">
        <v>1.3354194634551895E-2</v>
      </c>
      <c r="AB45" s="103">
        <v>1.3304297831238416E-2</v>
      </c>
      <c r="AC45" s="103">
        <v>1.3269661107806679E-2</v>
      </c>
      <c r="AD45" s="103">
        <v>1.3219856676069654E-2</v>
      </c>
      <c r="AE45" s="103">
        <v>1.3029698658487729E-2</v>
      </c>
      <c r="AF45" s="103">
        <v>1.3003591920172541E-2</v>
      </c>
      <c r="AG45" s="103">
        <v>1.2907425527813916E-2</v>
      </c>
      <c r="AH45" s="103">
        <v>1.2860794429089212E-2</v>
      </c>
      <c r="AI45" s="103">
        <v>1.2855583200096766E-2</v>
      </c>
      <c r="AJ45" s="103">
        <v>1.2846809561180172E-2</v>
      </c>
      <c r="AK45" s="103">
        <v>1.2710871586583957E-2</v>
      </c>
      <c r="AL45" s="103">
        <v>1.2613458491040317E-2</v>
      </c>
      <c r="AM45" s="103">
        <v>1.2436277779193579E-2</v>
      </c>
      <c r="AN45" s="103">
        <v>1.2417602543304844E-2</v>
      </c>
      <c r="AO45" s="103">
        <v>1.2413673362397667E-2</v>
      </c>
      <c r="AP45" s="103">
        <v>1.2364590193563297E-2</v>
      </c>
      <c r="AQ45" s="103">
        <v>1.2330186757815732E-2</v>
      </c>
      <c r="AR45" s="103">
        <v>1.2326193965654434E-2</v>
      </c>
      <c r="AS45" s="103">
        <v>1.2222494025926733E-2</v>
      </c>
      <c r="AT45" s="103">
        <v>1.2198683072092481E-2</v>
      </c>
      <c r="AU45" s="103">
        <v>1.2165474216162287E-2</v>
      </c>
      <c r="AV45" s="103">
        <v>1.2131658528941932E-2</v>
      </c>
      <c r="AW45" s="103">
        <v>1.2050729392095325E-2</v>
      </c>
      <c r="AX45" s="103">
        <v>1.1994468197623533E-2</v>
      </c>
      <c r="AY45" s="103">
        <v>1.1968929569543263E-2</v>
      </c>
      <c r="AZ45" s="103">
        <v>1.1880442851912833E-2</v>
      </c>
      <c r="BA45" s="103">
        <v>1.1848414032694498E-2</v>
      </c>
      <c r="BB45" s="103">
        <v>1.1775889338329872E-2</v>
      </c>
      <c r="BC45" s="103">
        <v>1.1746184818173331E-2</v>
      </c>
      <c r="BD45" s="103">
        <v>1.1704481171252151E-2</v>
      </c>
      <c r="BE45" s="103">
        <v>1.1689425753335318E-2</v>
      </c>
      <c r="BF45" s="103">
        <v>1.1669954397785544E-2</v>
      </c>
      <c r="BG45" s="103">
        <v>1.162924343056421E-2</v>
      </c>
      <c r="BH45" s="103">
        <v>1.160864103168726E-2</v>
      </c>
      <c r="BI45" s="103">
        <v>1.157565946795007E-2</v>
      </c>
      <c r="BJ45" s="103">
        <v>1.1574878448747612E-2</v>
      </c>
      <c r="BK45" s="103">
        <v>1.1475501431166216E-2</v>
      </c>
      <c r="BL45" s="103">
        <v>1.1401458081284285E-2</v>
      </c>
      <c r="BM45" s="103">
        <v>1.1379297927096507E-2</v>
      </c>
      <c r="BN45" s="103">
        <v>1.1362409275250489E-2</v>
      </c>
      <c r="BO45" s="103">
        <v>1.1349615722104368E-2</v>
      </c>
      <c r="BP45" s="103">
        <v>1.1303695406201169E-2</v>
      </c>
      <c r="BQ45" s="103">
        <v>1.1290474531605896E-2</v>
      </c>
      <c r="BR45" s="103">
        <v>1.1280530645981435E-2</v>
      </c>
      <c r="BS45" s="103">
        <v>1.1271209272088412E-2</v>
      </c>
      <c r="BT45" s="103">
        <v>1.1259239028793748E-2</v>
      </c>
      <c r="BU45" s="103">
        <v>1.1134362114610649E-2</v>
      </c>
      <c r="BV45" s="103">
        <v>1.1128365546944298E-2</v>
      </c>
      <c r="BW45" s="103">
        <v>1.1038292146822077E-2</v>
      </c>
      <c r="BX45" s="103">
        <v>1.0985849114267232E-2</v>
      </c>
      <c r="BY45" s="103">
        <v>1.0923776446322989E-2</v>
      </c>
      <c r="BZ45" s="103">
        <v>1.0858296528296072E-2</v>
      </c>
      <c r="CA45" s="103">
        <v>1.0852312837886685E-2</v>
      </c>
      <c r="CB45" s="103">
        <v>1.0839602404057049E-2</v>
      </c>
      <c r="CC45" s="103">
        <v>1.0825573226841018E-2</v>
      </c>
      <c r="CD45" s="103">
        <v>1.0815557679400824E-2</v>
      </c>
      <c r="CE45" s="103">
        <v>1.0814718096691572E-2</v>
      </c>
      <c r="CF45" s="103">
        <v>1.0790429782519258E-2</v>
      </c>
      <c r="CG45" s="103">
        <v>1.072554823003369E-2</v>
      </c>
      <c r="CH45" s="103">
        <v>1.0686069451359654E-2</v>
      </c>
      <c r="CI45" s="103">
        <v>1.0648842603207819E-2</v>
      </c>
      <c r="CJ45" s="103">
        <v>1.0622649823322648E-2</v>
      </c>
      <c r="CK45" s="103">
        <v>1.0520324716487084E-2</v>
      </c>
      <c r="CL45" s="103">
        <v>1.0500757568279857E-2</v>
      </c>
      <c r="CM45" s="103">
        <v>1.0459920514256522E-2</v>
      </c>
      <c r="CN45" s="103">
        <v>1.0394404831935471E-2</v>
      </c>
      <c r="CO45" s="103">
        <v>1.0365748088752975E-2</v>
      </c>
      <c r="CP45" s="103">
        <v>1.0278002056733725E-2</v>
      </c>
      <c r="CQ45" s="103">
        <v>1.0259034370494878E-2</v>
      </c>
      <c r="CR45" s="103">
        <v>1.0236479504012335E-2</v>
      </c>
      <c r="CS45" s="103">
        <v>1.0125456261685591E-2</v>
      </c>
      <c r="CT45" s="103">
        <v>1.0118283817725207E-2</v>
      </c>
      <c r="CU45" s="103">
        <v>1.0105850809806187E-2</v>
      </c>
      <c r="CV45" s="103">
        <v>1.0081814765283069E-2</v>
      </c>
      <c r="CW45" s="103">
        <v>1.0080145370538866E-2</v>
      </c>
      <c r="CX45" s="103">
        <v>1.0011552138784664E-2</v>
      </c>
    </row>
    <row r="46" spans="1:102" s="95" customFormat="1">
      <c r="A46" s="23"/>
      <c r="B46" s="14" t="s">
        <v>30</v>
      </c>
      <c r="C46" s="105">
        <v>5.1557409233906469E-2</v>
      </c>
      <c r="D46" s="105">
        <v>5.946570090963945E-2</v>
      </c>
      <c r="E46" s="105">
        <v>5.7636281166909512E-2</v>
      </c>
      <c r="F46" s="105">
        <v>5.4388669567516888E-2</v>
      </c>
      <c r="G46" s="105">
        <v>4.7358033193372298E-2</v>
      </c>
      <c r="H46" s="105">
        <v>5.3295848277253539E-2</v>
      </c>
      <c r="I46" s="105">
        <v>5.5559921984078775E-2</v>
      </c>
      <c r="J46" s="105">
        <v>5.050215707264074E-2</v>
      </c>
      <c r="K46" s="105">
        <v>5.8984921233225754E-2</v>
      </c>
      <c r="L46" s="105">
        <v>5.5238992342890793E-2</v>
      </c>
      <c r="M46" s="105">
        <v>5.6180015008092873E-2</v>
      </c>
      <c r="N46" s="105">
        <v>4.8204878937238599E-2</v>
      </c>
      <c r="O46" s="105">
        <v>5.2304626593650358E-2</v>
      </c>
      <c r="P46" s="105">
        <v>5.4278881839460898E-2</v>
      </c>
      <c r="Q46" s="105">
        <v>5.5341734908393239E-2</v>
      </c>
      <c r="R46" s="105">
        <v>4.8474545880844197E-2</v>
      </c>
      <c r="S46" s="105">
        <v>5.678627540206925E-2</v>
      </c>
      <c r="T46" s="105">
        <v>5.1213477645768939E-2</v>
      </c>
      <c r="U46" s="105">
        <v>5.4686071727511179E-2</v>
      </c>
      <c r="V46" s="105">
        <v>5.1304731780795088E-2</v>
      </c>
      <c r="W46" s="105">
        <v>5.3393725855329609E-2</v>
      </c>
      <c r="X46" s="105">
        <v>5.6988811903558929E-2</v>
      </c>
      <c r="Y46" s="105">
        <v>5.6286486283576485E-2</v>
      </c>
      <c r="Z46" s="105">
        <v>4.9906857485082043E-2</v>
      </c>
      <c r="AA46" s="105">
        <v>5.8038179534965491E-2</v>
      </c>
      <c r="AB46" s="105">
        <v>5.3881740990826286E-2</v>
      </c>
      <c r="AC46" s="105">
        <v>4.8467788766853766E-2</v>
      </c>
      <c r="AD46" s="105">
        <v>5.1471618907955839E-2</v>
      </c>
      <c r="AE46" s="105">
        <v>5.9250419579603933E-2</v>
      </c>
      <c r="AF46" s="105">
        <v>5.2168771564342228E-2</v>
      </c>
      <c r="AG46" s="105">
        <v>5.8803870659992423E-2</v>
      </c>
      <c r="AH46" s="105">
        <v>5.8411619384554588E-2</v>
      </c>
      <c r="AI46" s="105">
        <v>4.7954280527266926E-2</v>
      </c>
      <c r="AJ46" s="105">
        <v>5.4221361339669767E-2</v>
      </c>
      <c r="AK46" s="105">
        <v>5.7942378784661699E-2</v>
      </c>
      <c r="AL46" s="105">
        <v>5.5585622240841751E-2</v>
      </c>
      <c r="AM46" s="105">
        <v>5.9032760207058589E-2</v>
      </c>
      <c r="AN46" s="105">
        <v>5.777496345926434E-2</v>
      </c>
      <c r="AO46" s="105">
        <v>5.0134919676549497E-2</v>
      </c>
      <c r="AP46" s="105">
        <v>5.2377049545884097E-2</v>
      </c>
      <c r="AQ46" s="105">
        <v>5.1382792410094726E-2</v>
      </c>
      <c r="AR46" s="105">
        <v>5.0248977375709443E-2</v>
      </c>
      <c r="AS46" s="105">
        <v>4.5059128831164252E-2</v>
      </c>
      <c r="AT46" s="105">
        <v>4.8805533604315034E-2</v>
      </c>
      <c r="AU46" s="105">
        <v>4.8475111947842903E-2</v>
      </c>
      <c r="AV46" s="105">
        <v>5.9415681422724097E-2</v>
      </c>
      <c r="AW46" s="105">
        <v>5.42451906337173E-2</v>
      </c>
      <c r="AX46" s="105">
        <v>4.3443644570619062E-2</v>
      </c>
      <c r="AY46" s="105">
        <v>5.0697739496844745E-2</v>
      </c>
      <c r="AZ46" s="105">
        <v>4.2991296948418196E-2</v>
      </c>
      <c r="BA46" s="105">
        <v>4.7371493842923565E-2</v>
      </c>
      <c r="BB46" s="105">
        <v>5.2967292183135013E-2</v>
      </c>
      <c r="BC46" s="105">
        <v>5.0493107945248875E-2</v>
      </c>
      <c r="BD46" s="105">
        <v>4.7819432921936626E-2</v>
      </c>
      <c r="BE46" s="105">
        <v>5.7527430875257503E-2</v>
      </c>
      <c r="BF46" s="105">
        <v>5.0577543046925091E-2</v>
      </c>
      <c r="BG46" s="105">
        <v>5.8201723449513562E-2</v>
      </c>
      <c r="BH46" s="105">
        <v>4.755511696521595E-2</v>
      </c>
      <c r="BI46" s="105">
        <v>4.9539719556352543E-2</v>
      </c>
      <c r="BJ46" s="105">
        <v>5.5894794290490414E-2</v>
      </c>
      <c r="BK46" s="105">
        <v>5.5453044092967974E-2</v>
      </c>
      <c r="BL46" s="105">
        <v>5.3578111299958125E-2</v>
      </c>
      <c r="BM46" s="105">
        <v>4.486345810906546E-2</v>
      </c>
      <c r="BN46" s="105">
        <v>5.1170168986249522E-2</v>
      </c>
      <c r="BO46" s="105">
        <v>5.2556237838719863E-2</v>
      </c>
      <c r="BP46" s="105">
        <v>4.8731605253449523E-2</v>
      </c>
      <c r="BQ46" s="105">
        <v>5.6997856534027357E-2</v>
      </c>
      <c r="BR46" s="105">
        <v>4.9172808986578158E-2</v>
      </c>
      <c r="BS46" s="105">
        <v>5.268101201056067E-2</v>
      </c>
      <c r="BT46" s="105">
        <v>5.0538750151274778E-2</v>
      </c>
      <c r="BU46" s="105">
        <v>5.7816958710588812E-2</v>
      </c>
      <c r="BV46" s="105">
        <v>5.9747402986648088E-2</v>
      </c>
      <c r="BW46" s="105">
        <v>4.8353659205012584E-2</v>
      </c>
      <c r="BX46" s="105">
        <v>4.0416482227519458E-2</v>
      </c>
      <c r="BY46" s="105">
        <v>5.1877895561462981E-2</v>
      </c>
      <c r="BZ46" s="105">
        <v>4.2569255527937687E-2</v>
      </c>
      <c r="CA46" s="105">
        <v>5.3823883023233682E-2</v>
      </c>
      <c r="CB46" s="105">
        <v>5.677086572680258E-2</v>
      </c>
      <c r="CC46" s="105">
        <v>5.5491880785054827E-2</v>
      </c>
      <c r="CD46" s="105">
        <v>3.584895977470353E-2</v>
      </c>
      <c r="CE46" s="105">
        <v>3.7513783686611929E-2</v>
      </c>
      <c r="CF46" s="105">
        <v>4.9413079306946446E-2</v>
      </c>
      <c r="CG46" s="105">
        <v>5.8896042123122515E-2</v>
      </c>
      <c r="CH46" s="105">
        <v>5.4698329379040574E-2</v>
      </c>
      <c r="CI46" s="105">
        <v>4.1569222705093133E-2</v>
      </c>
      <c r="CJ46" s="105">
        <v>5.7116249414053258E-2</v>
      </c>
      <c r="CK46" s="105">
        <v>5.7693036757792214E-2</v>
      </c>
      <c r="CL46" s="105">
        <v>5.4183287910167702E-2</v>
      </c>
      <c r="CM46" s="105">
        <v>5.4906132896860374E-2</v>
      </c>
      <c r="CN46" s="105">
        <v>5.4244638712659714E-2</v>
      </c>
      <c r="CO46" s="105">
        <v>3.9671885543489126E-2</v>
      </c>
      <c r="CP46" s="105">
        <v>5.8292021136998051E-2</v>
      </c>
      <c r="CQ46" s="105">
        <v>4.4916288752706743E-2</v>
      </c>
      <c r="CR46" s="105">
        <v>4.5614711581158339E-2</v>
      </c>
      <c r="CS46" s="105">
        <v>5.7405918037166132E-2</v>
      </c>
      <c r="CT46" s="105">
        <v>5.4890842341416134E-2</v>
      </c>
      <c r="CU46" s="105">
        <v>5.6168407488575108E-2</v>
      </c>
      <c r="CV46" s="105">
        <v>4.8947578791613364E-2</v>
      </c>
      <c r="CW46" s="105">
        <v>4.7208009290288351E-2</v>
      </c>
      <c r="CX46" s="105">
        <v>4.7989848448877853E-2</v>
      </c>
    </row>
    <row r="47" spans="1:102" s="95" customFormat="1">
      <c r="A47" s="23"/>
      <c r="B47" s="56" t="s">
        <v>56</v>
      </c>
      <c r="C47" s="105">
        <v>8.8383580678315948E-2</v>
      </c>
      <c r="D47" s="105">
        <v>8.7631038088148594E-2</v>
      </c>
      <c r="E47" s="105">
        <v>8.793912717066471E-2</v>
      </c>
      <c r="F47" s="105">
        <v>8.8847100656651926E-2</v>
      </c>
      <c r="G47" s="105">
        <v>8.7585943174594491E-2</v>
      </c>
      <c r="H47" s="105">
        <v>9.0891888176040353E-2</v>
      </c>
      <c r="I47" s="105">
        <v>9.6235548152359712E-2</v>
      </c>
      <c r="J47" s="105">
        <v>8.6391859863501369E-2</v>
      </c>
      <c r="K47" s="105">
        <v>7.8932550498261062E-2</v>
      </c>
      <c r="L47" s="105">
        <v>8.9419229350092055E-2</v>
      </c>
      <c r="M47" s="105">
        <v>9.2625406652401154E-2</v>
      </c>
      <c r="N47" s="105">
        <v>9.0895236694328321E-2</v>
      </c>
      <c r="O47" s="105">
        <v>8.9096076219432996E-2</v>
      </c>
      <c r="P47" s="105">
        <v>8.5465614385752203E-2</v>
      </c>
      <c r="Q47" s="105">
        <v>9.142143053958092E-2</v>
      </c>
      <c r="R47" s="105">
        <v>9.2582853051468059E-2</v>
      </c>
      <c r="S47" s="105">
        <v>8.8585972492098972E-2</v>
      </c>
      <c r="T47" s="105">
        <v>8.2502127414545157E-2</v>
      </c>
      <c r="U47" s="105">
        <v>8.8093684690012483E-2</v>
      </c>
      <c r="V47" s="105">
        <v>8.6695792694778229E-2</v>
      </c>
      <c r="W47" s="105">
        <v>8.5596928102592867E-2</v>
      </c>
      <c r="X47" s="105">
        <v>9.0162946499510274E-2</v>
      </c>
      <c r="Y47" s="105">
        <v>9.0536322981081538E-2</v>
      </c>
      <c r="Z47" s="105">
        <v>8.9994014007541881E-2</v>
      </c>
      <c r="AA47" s="105">
        <v>9.6324067847269434E-2</v>
      </c>
      <c r="AB47" s="105">
        <v>8.6291048395695916E-2</v>
      </c>
      <c r="AC47" s="105">
        <v>8.7423808491879307E-2</v>
      </c>
      <c r="AD47" s="105">
        <v>8.701750577590428E-2</v>
      </c>
      <c r="AE47" s="105">
        <v>8.9535958423513112E-2</v>
      </c>
      <c r="AF47" s="105">
        <v>9.2482018108805492E-2</v>
      </c>
      <c r="AG47" s="105">
        <v>9.3376859809069207E-2</v>
      </c>
      <c r="AH47" s="105">
        <v>8.5265093778400719E-2</v>
      </c>
      <c r="AI47" s="105">
        <v>8.4052315366902733E-2</v>
      </c>
      <c r="AJ47" s="105">
        <v>8.1770746274496389E-2</v>
      </c>
      <c r="AK47" s="105">
        <v>7.8047788335235527E-2</v>
      </c>
      <c r="AL47" s="105">
        <v>8.1485127759805112E-2</v>
      </c>
      <c r="AM47" s="105">
        <v>8.5609181132480186E-2</v>
      </c>
      <c r="AN47" s="105">
        <v>8.4816466582018024E-2</v>
      </c>
      <c r="AO47" s="105">
        <v>7.8232555241480164E-2</v>
      </c>
      <c r="AP47" s="105">
        <v>8.1236559458108176E-2</v>
      </c>
      <c r="AQ47" s="105">
        <v>8.0435874464780469E-2</v>
      </c>
      <c r="AR47" s="105">
        <v>8.4308088639597947E-2</v>
      </c>
      <c r="AS47" s="105">
        <v>9.0318888350569199E-2</v>
      </c>
      <c r="AT47" s="105">
        <v>9.0446159540064658E-2</v>
      </c>
      <c r="AU47" s="105">
        <v>8.9160019882866579E-2</v>
      </c>
      <c r="AV47" s="105">
        <v>8.5454999619985442E-2</v>
      </c>
      <c r="AW47" s="105">
        <v>9.5449162871773255E-2</v>
      </c>
      <c r="AX47" s="105">
        <v>8.5459642218775514E-2</v>
      </c>
      <c r="AY47" s="105">
        <v>8.6999982144981974E-2</v>
      </c>
      <c r="AZ47" s="105">
        <v>8.8332712978054881E-2</v>
      </c>
      <c r="BA47" s="105">
        <v>8.8542674497723309E-2</v>
      </c>
      <c r="BB47" s="105">
        <v>8.6932864931928144E-2</v>
      </c>
      <c r="BC47" s="105">
        <v>7.8463271550182997E-2</v>
      </c>
      <c r="BD47" s="105">
        <v>9.0723457529525472E-2</v>
      </c>
      <c r="BE47" s="105">
        <v>8.9419605109744185E-2</v>
      </c>
      <c r="BF47" s="105">
        <v>8.5598247368425487E-2</v>
      </c>
      <c r="BG47" s="105">
        <v>8.9935973186278245E-2</v>
      </c>
      <c r="BH47" s="105">
        <v>8.9828240600246606E-2</v>
      </c>
      <c r="BI47" s="105">
        <v>9.2355773019704338E-2</v>
      </c>
      <c r="BJ47" s="105">
        <v>8.5412876589336287E-2</v>
      </c>
      <c r="BK47" s="105">
        <v>9.2645362871349529E-2</v>
      </c>
      <c r="BL47" s="105">
        <v>8.6592628571686744E-2</v>
      </c>
      <c r="BM47" s="105">
        <v>8.417970236201705E-2</v>
      </c>
      <c r="BN47" s="105">
        <v>8.6951346370757729E-2</v>
      </c>
      <c r="BO47" s="105">
        <v>8.4936278550564265E-2</v>
      </c>
      <c r="BP47" s="105">
        <v>8.8821607230292143E-2</v>
      </c>
      <c r="BQ47" s="105">
        <v>8.1657225875801959E-2</v>
      </c>
      <c r="BR47" s="105">
        <v>8.7833236043214497E-2</v>
      </c>
      <c r="BS47" s="105">
        <v>8.9292710478711165E-2</v>
      </c>
      <c r="BT47" s="105">
        <v>8.6478773087445171E-2</v>
      </c>
      <c r="BU47" s="105">
        <v>8.2409636300188147E-2</v>
      </c>
      <c r="BV47" s="105">
        <v>8.7588477332763329E-2</v>
      </c>
      <c r="BW47" s="105">
        <v>8.7314252833519901E-2</v>
      </c>
      <c r="BX47" s="105">
        <v>8.6042815094867192E-2</v>
      </c>
      <c r="BY47" s="105">
        <v>8.7797928128909339E-2</v>
      </c>
      <c r="BZ47" s="105">
        <v>8.7337736723018505E-2</v>
      </c>
      <c r="CA47" s="105">
        <v>7.3652071170723643E-2</v>
      </c>
      <c r="CB47" s="105">
        <v>9.3054495626983952E-2</v>
      </c>
      <c r="CC47" s="105">
        <v>8.2521186831046534E-2</v>
      </c>
      <c r="CD47" s="105">
        <v>8.3845007980254765E-2</v>
      </c>
      <c r="CE47" s="105">
        <v>8.8563275798564267E-2</v>
      </c>
      <c r="CF47" s="105">
        <v>8.4297616726205282E-2</v>
      </c>
      <c r="CG47" s="105">
        <v>7.463389205908913E-2</v>
      </c>
      <c r="CH47" s="105">
        <v>7.7001008739885288E-2</v>
      </c>
      <c r="CI47" s="105">
        <v>8.1704818884247021E-2</v>
      </c>
      <c r="CJ47" s="105">
        <v>7.8027345485404354E-2</v>
      </c>
      <c r="CK47" s="105">
        <v>7.1464629853802503E-2</v>
      </c>
      <c r="CL47" s="105">
        <v>9.1649107317642545E-2</v>
      </c>
      <c r="CM47" s="105">
        <v>8.1024840488132716E-2</v>
      </c>
      <c r="CN47" s="105">
        <v>9.0427834752257005E-2</v>
      </c>
      <c r="CO47" s="105">
        <v>7.9887132692480642E-2</v>
      </c>
      <c r="CP47" s="105">
        <v>9.3647267983424376E-2</v>
      </c>
      <c r="CQ47" s="105">
        <v>9.1665416054085971E-2</v>
      </c>
      <c r="CR47" s="105">
        <v>8.3244463390679257E-2</v>
      </c>
      <c r="CS47" s="105">
        <v>7.4325558214932363E-2</v>
      </c>
      <c r="CT47" s="105">
        <v>8.970826549675541E-2</v>
      </c>
      <c r="CU47" s="105">
        <v>8.8204243437015356E-2</v>
      </c>
      <c r="CV47" s="105">
        <v>8.2754002102862934E-2</v>
      </c>
      <c r="CW47" s="105">
        <v>8.743571757660662E-2</v>
      </c>
      <c r="CX47" s="105">
        <v>8.8134526967343516E-2</v>
      </c>
    </row>
    <row r="48" spans="1:102" s="95" customFormat="1">
      <c r="A48" s="106"/>
      <c r="B48" s="56" t="s">
        <v>114</v>
      </c>
      <c r="C48" s="105">
        <v>0.43639657460605424</v>
      </c>
      <c r="D48" s="105">
        <v>0.44961464844233251</v>
      </c>
      <c r="E48" s="105">
        <v>0.45108523349201785</v>
      </c>
      <c r="F48" s="105">
        <v>0.44985270647697584</v>
      </c>
      <c r="G48" s="105">
        <v>0.44513366176685398</v>
      </c>
      <c r="H48" s="105">
        <v>0.45316633020111924</v>
      </c>
      <c r="I48" s="105">
        <v>0.45583358783608313</v>
      </c>
      <c r="J48" s="105">
        <v>0.45278270735287723</v>
      </c>
      <c r="K48" s="105">
        <v>0.45968100476652085</v>
      </c>
      <c r="L48" s="105">
        <v>0.45957239502456215</v>
      </c>
      <c r="M48" s="105">
        <v>0.46335630040598796</v>
      </c>
      <c r="N48" s="105">
        <v>0.45749506258917905</v>
      </c>
      <c r="O48" s="105">
        <v>0.46112730807295221</v>
      </c>
      <c r="P48" s="105">
        <v>0.46562609078076678</v>
      </c>
      <c r="Q48" s="105">
        <v>0.47072296282952514</v>
      </c>
      <c r="R48" s="105">
        <v>0.46713641912051523</v>
      </c>
      <c r="S48" s="105">
        <v>0.47288670900208207</v>
      </c>
      <c r="T48" s="105">
        <v>0.47053715102280907</v>
      </c>
      <c r="U48" s="105">
        <v>0.47274080504175647</v>
      </c>
      <c r="V48" s="105">
        <v>0.47141416571555189</v>
      </c>
      <c r="W48" s="105">
        <v>0.47331336838109805</v>
      </c>
      <c r="X48" s="105">
        <v>0.47511623864218155</v>
      </c>
      <c r="Y48" s="105">
        <v>0.47506291862484284</v>
      </c>
      <c r="Z48" s="105">
        <v>0.47271397529362463</v>
      </c>
      <c r="AA48" s="105">
        <v>0.47695679734421725</v>
      </c>
      <c r="AB48" s="105">
        <v>0.47555019009353416</v>
      </c>
      <c r="AC48" s="105">
        <v>0.47310755467982457</v>
      </c>
      <c r="AD48" s="105">
        <v>0.47506004865777024</v>
      </c>
      <c r="AE48" s="105">
        <v>0.47960945435387359</v>
      </c>
      <c r="AF48" s="105">
        <v>0.47704377351598504</v>
      </c>
      <c r="AG48" s="105">
        <v>0.48028322705350274</v>
      </c>
      <c r="AH48" s="105">
        <v>0.48046902720447954</v>
      </c>
      <c r="AI48" s="105">
        <v>0.47625780325911332</v>
      </c>
      <c r="AJ48" s="105">
        <v>0.47906376566589204</v>
      </c>
      <c r="AK48" s="105">
        <v>0.48134203491432381</v>
      </c>
      <c r="AL48" s="105">
        <v>0.48124991601617939</v>
      </c>
      <c r="AM48" s="105">
        <v>0.48354035320164496</v>
      </c>
      <c r="AN48" s="105">
        <v>0.48331106734507784</v>
      </c>
      <c r="AO48" s="105">
        <v>0.48080091648862144</v>
      </c>
      <c r="AP48" s="105">
        <v>0.48199565130414862</v>
      </c>
      <c r="AQ48" s="105">
        <v>0.48191434452954635</v>
      </c>
      <c r="AR48" s="105">
        <v>0.48153821606152708</v>
      </c>
      <c r="AS48" s="105">
        <v>0.48033056839612448</v>
      </c>
      <c r="AT48" s="105">
        <v>0.48203377833767919</v>
      </c>
      <c r="AU48" s="105">
        <v>0.48218442529110717</v>
      </c>
      <c r="AV48" s="105">
        <v>0.48569020343038743</v>
      </c>
      <c r="AW48" s="105">
        <v>0.48492165268447079</v>
      </c>
      <c r="AX48" s="105">
        <v>0.48169126270621104</v>
      </c>
      <c r="AY48" s="105">
        <v>0.48451031844715953</v>
      </c>
      <c r="AZ48" s="105">
        <v>0.4825557944973109</v>
      </c>
      <c r="BA48" s="105">
        <v>0.48443740377820443</v>
      </c>
      <c r="BB48" s="105">
        <v>0.48662675400477046</v>
      </c>
      <c r="BC48" s="105">
        <v>0.48620627348113071</v>
      </c>
      <c r="BD48" s="105">
        <v>0.4857830676116886</v>
      </c>
      <c r="BE48" s="105">
        <v>0.4882858231863515</v>
      </c>
      <c r="BF48" s="105">
        <v>0.4868302343806814</v>
      </c>
      <c r="BG48" s="105">
        <v>0.4888338493566865</v>
      </c>
      <c r="BH48" s="105">
        <v>0.48650760223793021</v>
      </c>
      <c r="BI48" s="105">
        <v>0.48731338773509408</v>
      </c>
      <c r="BJ48" s="105">
        <v>0.48876098413671815</v>
      </c>
      <c r="BK48" s="105">
        <v>0.48938614707376077</v>
      </c>
      <c r="BL48" s="105">
        <v>0.4895659417749042</v>
      </c>
      <c r="BM48" s="105">
        <v>0.48773671022822346</v>
      </c>
      <c r="BN48" s="105">
        <v>0.48937938912422591</v>
      </c>
      <c r="BO48" s="105">
        <v>0.48975650414665661</v>
      </c>
      <c r="BP48" s="105">
        <v>0.48932854390674591</v>
      </c>
      <c r="BQ48" s="105">
        <v>0.49096841699681704</v>
      </c>
      <c r="BR48" s="105">
        <v>0.48961214353673199</v>
      </c>
      <c r="BS48" s="105">
        <v>0.49037433231943534</v>
      </c>
      <c r="BT48" s="105">
        <v>0.49006085996814774</v>
      </c>
      <c r="BU48" s="105">
        <v>0.4921733002427065</v>
      </c>
      <c r="BV48" s="105">
        <v>0.49246618356053601</v>
      </c>
      <c r="BW48" s="105">
        <v>0.49143421999160847</v>
      </c>
      <c r="BX48" s="105">
        <v>0.49026986331276007</v>
      </c>
      <c r="BY48" s="105">
        <v>0.49289651202618673</v>
      </c>
      <c r="BZ48" s="105">
        <v>0.49195692825915038</v>
      </c>
      <c r="CA48" s="105">
        <v>0.49368292664495539</v>
      </c>
      <c r="CB48" s="105">
        <v>0.4941001307017564</v>
      </c>
      <c r="CC48" s="105">
        <v>0.49406500713679952</v>
      </c>
      <c r="CD48" s="105">
        <v>0.49092491443716058</v>
      </c>
      <c r="CE48" s="105">
        <v>0.49133651914679971</v>
      </c>
      <c r="CF48" s="105">
        <v>0.49361864476668144</v>
      </c>
      <c r="CG48" s="105">
        <v>0.49508550092824977</v>
      </c>
      <c r="CH48" s="105">
        <v>0.49499628346645147</v>
      </c>
      <c r="CI48" s="105">
        <v>0.4937732721337888</v>
      </c>
      <c r="CJ48" s="105">
        <v>0.49565103761230195</v>
      </c>
      <c r="CK48" s="105">
        <v>0.49640204907609214</v>
      </c>
      <c r="CL48" s="105">
        <v>0.49631306016885895</v>
      </c>
      <c r="CM48" s="105">
        <v>0.49665830421082996</v>
      </c>
      <c r="CN48" s="105">
        <v>0.49709937460268772</v>
      </c>
      <c r="CO48" s="105">
        <v>0.4963220727320497</v>
      </c>
      <c r="CP48" s="105">
        <v>0.49809740077824349</v>
      </c>
      <c r="CQ48" s="105">
        <v>0.49769929367466964</v>
      </c>
      <c r="CR48" s="105">
        <v>0.49793178019260831</v>
      </c>
      <c r="CS48" s="105">
        <v>0.49912814272467826</v>
      </c>
      <c r="CT48" s="105">
        <v>0.49914032327716812</v>
      </c>
      <c r="CU48" s="105">
        <v>0.49924818344796779</v>
      </c>
      <c r="CV48" s="105">
        <v>0.49933317735748844</v>
      </c>
      <c r="CW48" s="105">
        <v>0.49932271320040639</v>
      </c>
      <c r="CX48" s="105">
        <v>0.49990396642842772</v>
      </c>
    </row>
    <row r="49" spans="1:102" s="111" customFormat="1">
      <c r="A49" s="88" t="str">
        <f>Parameters!A42</f>
        <v>Inflatie is een fiscaal verschijnsel</v>
      </c>
      <c r="B49" s="102" t="s">
        <v>29</v>
      </c>
      <c r="C49" s="103">
        <v>3.2669935205365104E-2</v>
      </c>
      <c r="D49" s="103">
        <v>4.8049640590221751E-2</v>
      </c>
      <c r="E49" s="103">
        <v>3.9621326081632775E-2</v>
      </c>
      <c r="F49" s="103">
        <v>3.3102538733954842E-2</v>
      </c>
      <c r="G49" s="103">
        <v>2.8383968919326947E-2</v>
      </c>
      <c r="H49" s="103">
        <v>3.242678225202357E-2</v>
      </c>
      <c r="I49" s="103">
        <v>4.1731371938931616E-2</v>
      </c>
      <c r="J49" s="103">
        <v>3.5778446696828205E-2</v>
      </c>
      <c r="K49" s="103">
        <v>4.6706781525557156E-2</v>
      </c>
      <c r="L49" s="103">
        <v>3.7711003384094888E-2</v>
      </c>
      <c r="M49" s="103">
        <v>4.6337833474803039E-2</v>
      </c>
      <c r="N49" s="103">
        <v>3.8458053220668323E-2</v>
      </c>
      <c r="O49" s="103">
        <v>4.0652430474231428E-2</v>
      </c>
      <c r="P49" s="103">
        <v>3.6115108874772373E-2</v>
      </c>
      <c r="Q49" s="103">
        <v>2.864502912535534E-2</v>
      </c>
      <c r="R49" s="103">
        <v>3.8225488646494526E-2</v>
      </c>
      <c r="S49" s="103">
        <v>4.3915130841953642E-2</v>
      </c>
      <c r="T49" s="103">
        <v>3.9830484556001342E-2</v>
      </c>
      <c r="U49" s="103">
        <v>4.3422086455864969E-2</v>
      </c>
      <c r="V49" s="103">
        <v>3.9386977926473131E-2</v>
      </c>
      <c r="W49" s="103">
        <v>2.9405139867464063E-2</v>
      </c>
      <c r="X49" s="103">
        <v>4.1362481629536402E-2</v>
      </c>
      <c r="Y49" s="103">
        <v>3.7414776336952248E-2</v>
      </c>
      <c r="Z49" s="103">
        <v>3.9717105074593397E-2</v>
      </c>
      <c r="AA49" s="103">
        <v>3.1784327237016533E-2</v>
      </c>
      <c r="AB49" s="103">
        <v>4.0156861749724118E-2</v>
      </c>
      <c r="AC49" s="103">
        <v>3.9900451337323145E-2</v>
      </c>
      <c r="AD49" s="103">
        <v>3.7551721103511557E-2</v>
      </c>
      <c r="AE49" s="103">
        <v>3.919932948910955E-2</v>
      </c>
      <c r="AF49" s="103">
        <v>4.4597226106241394E-2</v>
      </c>
      <c r="AG49" s="103">
        <v>4.9812389999190701E-2</v>
      </c>
      <c r="AH49" s="103">
        <v>3.2751302454786711E-2</v>
      </c>
      <c r="AI49" s="103">
        <v>3.4197734258417045E-2</v>
      </c>
      <c r="AJ49" s="103">
        <v>4.1391510413338994E-2</v>
      </c>
      <c r="AK49" s="103">
        <v>6.4618622894186808E-2</v>
      </c>
      <c r="AL49" s="103">
        <v>5.5483294153646751E-2</v>
      </c>
      <c r="AM49" s="103">
        <v>4.9823243128801223E-2</v>
      </c>
      <c r="AN49" s="103">
        <v>4.0473657824309089E-2</v>
      </c>
      <c r="AO49" s="103">
        <v>4.4959719208658336E-2</v>
      </c>
      <c r="AP49" s="103">
        <v>3.6762252729268863E-2</v>
      </c>
      <c r="AQ49" s="103">
        <v>4.0722822087602778E-2</v>
      </c>
      <c r="AR49" s="103">
        <v>3.3349511313897913E-2</v>
      </c>
      <c r="AS49" s="103">
        <v>2.9796148383738383E-2</v>
      </c>
      <c r="AT49" s="103">
        <v>2.8580620803404337E-2</v>
      </c>
      <c r="AU49" s="103">
        <v>3.0865860843658426E-2</v>
      </c>
      <c r="AV49" s="103">
        <v>3.7084854769225087E-2</v>
      </c>
      <c r="AW49" s="103">
        <v>4.289404302046862E-2</v>
      </c>
      <c r="AX49" s="103">
        <v>3.0936709342943056E-2</v>
      </c>
      <c r="AY49" s="103">
        <v>3.8613243989418684E-2</v>
      </c>
      <c r="AZ49" s="103">
        <v>3.3929183144699018E-2</v>
      </c>
      <c r="BA49" s="103">
        <v>2.7974554322663617E-2</v>
      </c>
      <c r="BB49" s="103">
        <v>3.7872756996245066E-2</v>
      </c>
      <c r="BC49" s="103">
        <v>5.2689371966184631E-2</v>
      </c>
      <c r="BD49" s="103">
        <v>3.0302458793572386E-2</v>
      </c>
      <c r="BE49" s="103">
        <v>3.742681764805713E-2</v>
      </c>
      <c r="BF49" s="103">
        <v>3.7043190183124269E-2</v>
      </c>
      <c r="BG49" s="103">
        <v>3.0502880942228031E-2</v>
      </c>
      <c r="BH49" s="103">
        <v>2.6482148880576692E-2</v>
      </c>
      <c r="BI49" s="103">
        <v>4.010960460908021E-2</v>
      </c>
      <c r="BJ49" s="103">
        <v>4.5507663267708255E-2</v>
      </c>
      <c r="BK49" s="103">
        <v>2.8469478608573136E-2</v>
      </c>
      <c r="BL49" s="103">
        <v>3.5764454872986164E-2</v>
      </c>
      <c r="BM49" s="103">
        <v>2.8741528658688294E-2</v>
      </c>
      <c r="BN49" s="103">
        <v>3.6892961898566418E-2</v>
      </c>
      <c r="BO49" s="103">
        <v>3.0713445624692231E-2</v>
      </c>
      <c r="BP49" s="103">
        <v>3.1690300966564632E-2</v>
      </c>
      <c r="BQ49" s="103">
        <v>5.4086464499779011E-2</v>
      </c>
      <c r="BR49" s="103">
        <v>3.0939023021345345E-2</v>
      </c>
      <c r="BS49" s="103">
        <v>2.984115270957189E-2</v>
      </c>
      <c r="BT49" s="103">
        <v>3.0913877142235785E-2</v>
      </c>
      <c r="BU49" s="103">
        <v>4.2747231566419505E-2</v>
      </c>
      <c r="BV49" s="103">
        <v>3.2551010805618452E-2</v>
      </c>
      <c r="BW49" s="103">
        <v>3.9505088793657397E-2</v>
      </c>
      <c r="BX49" s="103">
        <v>2.3889078003105878E-2</v>
      </c>
      <c r="BY49" s="103">
        <v>3.2764159116697916E-2</v>
      </c>
      <c r="BZ49" s="103">
        <v>3.0106892606970807E-2</v>
      </c>
      <c r="CA49" s="103">
        <v>5.6340434519091806E-2</v>
      </c>
      <c r="CB49" s="103">
        <v>3.4544412129186762E-2</v>
      </c>
      <c r="CC49" s="103">
        <v>4.0644920758288204E-2</v>
      </c>
      <c r="CD49" s="103">
        <v>2.0302309574546047E-2</v>
      </c>
      <c r="CE49" s="103">
        <v>2.6712614314203235E-2</v>
      </c>
      <c r="CF49" s="103">
        <v>4.8529443052788598E-2</v>
      </c>
      <c r="CG49" s="103">
        <v>6.2607212707024504E-2</v>
      </c>
      <c r="CH49" s="103">
        <v>5.1689018839288649E-2</v>
      </c>
      <c r="CI49" s="103">
        <v>2.6241191603549471E-2</v>
      </c>
      <c r="CJ49" s="103">
        <v>4.1751536879446938E-2</v>
      </c>
      <c r="CK49" s="103">
        <v>6.4585398807977631E-2</v>
      </c>
      <c r="CL49" s="103">
        <v>4.7989044758104504E-2</v>
      </c>
      <c r="CM49" s="103">
        <v>3.8523779276233384E-2</v>
      </c>
      <c r="CN49" s="103">
        <v>4.6249760146283111E-2</v>
      </c>
      <c r="CO49" s="103">
        <v>2.4896768215165229E-2</v>
      </c>
      <c r="CP49" s="103">
        <v>4.869421065178247E-2</v>
      </c>
      <c r="CQ49" s="103">
        <v>3.086407576504209E-2</v>
      </c>
      <c r="CR49" s="103">
        <v>3.5221602811021026E-2</v>
      </c>
      <c r="CS49" s="103">
        <v>5.0117195153637099E-2</v>
      </c>
      <c r="CT49" s="103">
        <v>2.6943306006050181E-2</v>
      </c>
      <c r="CU49" s="103">
        <v>4.8373192417499156E-2</v>
      </c>
      <c r="CV49" s="103">
        <v>3.5199354699941274E-2</v>
      </c>
      <c r="CW49" s="103">
        <v>2.5613819867374998E-2</v>
      </c>
      <c r="CX49" s="103">
        <v>3.1523809058945008E-2</v>
      </c>
    </row>
    <row r="50" spans="1:102" s="95" customFormat="1">
      <c r="A50" s="23"/>
      <c r="B50" s="14" t="s">
        <v>30</v>
      </c>
      <c r="C50" s="105">
        <v>5.8757037339621808E-2</v>
      </c>
      <c r="D50" s="105">
        <v>6.8063616662948384E-2</v>
      </c>
      <c r="E50" s="105">
        <v>7.5974023879197161E-2</v>
      </c>
      <c r="F50" s="105">
        <v>5.6636693250074879E-2</v>
      </c>
      <c r="G50" s="105">
        <v>5.2808451370776902E-2</v>
      </c>
      <c r="H50" s="105">
        <v>5.8904089087332009E-2</v>
      </c>
      <c r="I50" s="105">
        <v>6.9648397392376368E-2</v>
      </c>
      <c r="J50" s="105">
        <v>5.5439884315463969E-2</v>
      </c>
      <c r="K50" s="105">
        <v>6.3820070935519321E-2</v>
      </c>
      <c r="L50" s="105">
        <v>6.7190296108408279E-2</v>
      </c>
      <c r="M50" s="105">
        <v>7.1502789663547034E-2</v>
      </c>
      <c r="N50" s="105">
        <v>5.9667138611268287E-2</v>
      </c>
      <c r="O50" s="105">
        <v>5.8118027412752057E-2</v>
      </c>
      <c r="P50" s="105">
        <v>7.1027026253025899E-2</v>
      </c>
      <c r="Q50" s="105">
        <v>5.4016383808383223E-2</v>
      </c>
      <c r="R50" s="105">
        <v>6.2317795965534231E-2</v>
      </c>
      <c r="S50" s="105">
        <v>6.8122905285957075E-2</v>
      </c>
      <c r="T50" s="105">
        <v>5.4635483559390581E-2</v>
      </c>
      <c r="U50" s="105">
        <v>8.1192071855418116E-2</v>
      </c>
      <c r="V50" s="105">
        <v>5.8428648355392174E-2</v>
      </c>
      <c r="W50" s="105">
        <v>5.989685234727813E-2</v>
      </c>
      <c r="X50" s="105">
        <v>5.9823558602862932E-2</v>
      </c>
      <c r="Y50" s="105">
        <v>5.6637761003107752E-2</v>
      </c>
      <c r="Z50" s="105">
        <v>5.5887476755825741E-2</v>
      </c>
      <c r="AA50" s="105">
        <v>6.1152201513655129E-2</v>
      </c>
      <c r="AB50" s="105">
        <v>7.997672596155278E-2</v>
      </c>
      <c r="AC50" s="105">
        <v>5.5632570286056754E-2</v>
      </c>
      <c r="AD50" s="105">
        <v>7.4651734489706786E-2</v>
      </c>
      <c r="AE50" s="105">
        <v>6.1807049010588679E-2</v>
      </c>
      <c r="AF50" s="105">
        <v>6.5257163506390006E-2</v>
      </c>
      <c r="AG50" s="105">
        <v>7.5416814754875036E-2</v>
      </c>
      <c r="AH50" s="105">
        <v>6.715303664629578E-2</v>
      </c>
      <c r="AI50" s="105">
        <v>5.0327679604677322E-2</v>
      </c>
      <c r="AJ50" s="105">
        <v>5.7257432950635526E-2</v>
      </c>
      <c r="AK50" s="105">
        <v>7.5761780388160962E-2</v>
      </c>
      <c r="AL50" s="105">
        <v>6.9599249599505961E-2</v>
      </c>
      <c r="AM50" s="105">
        <v>7.6923737452925439E-2</v>
      </c>
      <c r="AN50" s="105">
        <v>5.6837855371395282E-2</v>
      </c>
      <c r="AO50" s="105">
        <v>5.8630435493860218E-2</v>
      </c>
      <c r="AP50" s="105">
        <v>6.0989592200181977E-2</v>
      </c>
      <c r="AQ50" s="105">
        <v>6.8936735054636544E-2</v>
      </c>
      <c r="AR50" s="105">
        <v>6.3143873963554462E-2</v>
      </c>
      <c r="AS50" s="105">
        <v>5.1492847182672753E-2</v>
      </c>
      <c r="AT50" s="105">
        <v>5.3332598990155848E-2</v>
      </c>
      <c r="AU50" s="105">
        <v>4.8439438889920153E-2</v>
      </c>
      <c r="AV50" s="105">
        <v>6.7904657837936006E-2</v>
      </c>
      <c r="AW50" s="105">
        <v>6.1954211737750779E-2</v>
      </c>
      <c r="AX50" s="105">
        <v>5.9774720109905109E-2</v>
      </c>
      <c r="AY50" s="105">
        <v>5.3602491589862682E-2</v>
      </c>
      <c r="AZ50" s="105">
        <v>5.3434692340775296E-2</v>
      </c>
      <c r="BA50" s="105">
        <v>4.8912852426983906E-2</v>
      </c>
      <c r="BB50" s="105">
        <v>6.4323765946895581E-2</v>
      </c>
      <c r="BC50" s="105">
        <v>6.9057445689433214E-2</v>
      </c>
      <c r="BD50" s="105">
        <v>5.4067531244826252E-2</v>
      </c>
      <c r="BE50" s="105">
        <v>6.7601728527172222E-2</v>
      </c>
      <c r="BF50" s="105">
        <v>6.6313125845979023E-2</v>
      </c>
      <c r="BG50" s="105">
        <v>5.3004163696283725E-2</v>
      </c>
      <c r="BH50" s="105">
        <v>5.3110765230396803E-2</v>
      </c>
      <c r="BI50" s="105">
        <v>5.7771334553621795E-2</v>
      </c>
      <c r="BJ50" s="105">
        <v>6.9893660594270296E-2</v>
      </c>
      <c r="BK50" s="105">
        <v>4.8230284248927974E-2</v>
      </c>
      <c r="BL50" s="105">
        <v>6.2207579727713729E-2</v>
      </c>
      <c r="BM50" s="105">
        <v>5.666847017110152E-2</v>
      </c>
      <c r="BN50" s="105">
        <v>5.8147844881241452E-2</v>
      </c>
      <c r="BO50" s="105">
        <v>5.2276706408084753E-2</v>
      </c>
      <c r="BP50" s="105">
        <v>5.1798752393457562E-2</v>
      </c>
      <c r="BQ50" s="105">
        <v>6.4974480504986276E-2</v>
      </c>
      <c r="BR50" s="105">
        <v>5.2401831397236427E-2</v>
      </c>
      <c r="BS50" s="105">
        <v>5.1653313792017173E-2</v>
      </c>
      <c r="BT50" s="105">
        <v>5.8800211689931839E-2</v>
      </c>
      <c r="BU50" s="105">
        <v>8.7027365787560471E-2</v>
      </c>
      <c r="BV50" s="105">
        <v>6.0742034470801926E-2</v>
      </c>
      <c r="BW50" s="105">
        <v>6.5449129062182046E-2</v>
      </c>
      <c r="BX50" s="105">
        <v>4.1851000199219515E-2</v>
      </c>
      <c r="BY50" s="105">
        <v>6.266995607321954E-2</v>
      </c>
      <c r="BZ50" s="105">
        <v>4.6261731312460606E-2</v>
      </c>
      <c r="CA50" s="105">
        <v>6.250689903672732E-2</v>
      </c>
      <c r="CB50" s="105">
        <v>5.8010923770642743E-2</v>
      </c>
      <c r="CC50" s="105">
        <v>5.665132153823188E-2</v>
      </c>
      <c r="CD50" s="105">
        <v>3.9777740454626308E-2</v>
      </c>
      <c r="CE50" s="105">
        <v>4.5784197195453687E-2</v>
      </c>
      <c r="CF50" s="105">
        <v>6.1635653103212382E-2</v>
      </c>
      <c r="CG50" s="105">
        <v>6.792226557862574E-2</v>
      </c>
      <c r="CH50" s="105">
        <v>7.2976475664653928E-2</v>
      </c>
      <c r="CI50" s="105">
        <v>4.2940395365251245E-2</v>
      </c>
      <c r="CJ50" s="105">
        <v>5.9606484652851822E-2</v>
      </c>
      <c r="CK50" s="105">
        <v>7.3239077775667488E-2</v>
      </c>
      <c r="CL50" s="105">
        <v>6.5694539874910043E-2</v>
      </c>
      <c r="CM50" s="105">
        <v>5.6613919457238156E-2</v>
      </c>
      <c r="CN50" s="105">
        <v>5.9412686599933907E-2</v>
      </c>
      <c r="CO50" s="105">
        <v>4.4842076447804982E-2</v>
      </c>
      <c r="CP50" s="105">
        <v>8.769322735143166E-2</v>
      </c>
      <c r="CQ50" s="105">
        <v>4.9570817363309691E-2</v>
      </c>
      <c r="CR50" s="105">
        <v>5.0746018131561342E-2</v>
      </c>
      <c r="CS50" s="105">
        <v>7.4812615826927553E-2</v>
      </c>
      <c r="CT50" s="105">
        <v>4.8091710077809463E-2</v>
      </c>
      <c r="CU50" s="105">
        <v>6.8764260306862168E-2</v>
      </c>
      <c r="CV50" s="105">
        <v>5.5515744890613117E-2</v>
      </c>
      <c r="CW50" s="105">
        <v>4.8215465563525295E-2</v>
      </c>
      <c r="CX50" s="105">
        <v>5.3508667219967034E-2</v>
      </c>
    </row>
    <row r="51" spans="1:102" s="95" customFormat="1">
      <c r="A51" s="23"/>
      <c r="B51" s="56" t="s">
        <v>56</v>
      </c>
      <c r="C51" s="105">
        <v>0.10475388955382707</v>
      </c>
      <c r="D51" s="105">
        <v>0.10222698689660738</v>
      </c>
      <c r="E51" s="105">
        <v>0.11541357608497131</v>
      </c>
      <c r="F51" s="105">
        <v>0.10179679164658842</v>
      </c>
      <c r="G51" s="105">
        <v>0.10366190617922602</v>
      </c>
      <c r="H51" s="105">
        <v>0.10593100056080926</v>
      </c>
      <c r="I51" s="105">
        <v>0.11508425633086582</v>
      </c>
      <c r="J51" s="105">
        <v>0.10159306909797365</v>
      </c>
      <c r="K51" s="105">
        <v>8.8936726613199082E-2</v>
      </c>
      <c r="L51" s="105">
        <v>0.11013617257550588</v>
      </c>
      <c r="M51" s="105">
        <v>0.11286578837972541</v>
      </c>
      <c r="N51" s="105">
        <v>0.10869846886482203</v>
      </c>
      <c r="O51" s="105">
        <v>0.10329850137660528</v>
      </c>
      <c r="P51" s="105">
        <v>0.11314293836982701</v>
      </c>
      <c r="Q51" s="105">
        <v>0.10317027586145831</v>
      </c>
      <c r="R51" s="105">
        <v>0.11205032110086968</v>
      </c>
      <c r="S51" s="105">
        <v>0.11001710926644273</v>
      </c>
      <c r="T51" s="105">
        <v>9.4728807629020972E-2</v>
      </c>
      <c r="U51" s="105">
        <v>0.12038047604894173</v>
      </c>
      <c r="V51" s="105">
        <v>0.10159641029855689</v>
      </c>
      <c r="W51" s="105">
        <v>0.10676081667328757</v>
      </c>
      <c r="X51" s="105">
        <v>0.10424783041693747</v>
      </c>
      <c r="Y51" s="105">
        <v>0.10337133644270044</v>
      </c>
      <c r="Z51" s="105">
        <v>0.10454329682023777</v>
      </c>
      <c r="AA51" s="105">
        <v>0.10927020539408899</v>
      </c>
      <c r="AB51" s="105">
        <v>0.11982788231313507</v>
      </c>
      <c r="AC51" s="105">
        <v>0.10351385663804202</v>
      </c>
      <c r="AD51" s="105">
        <v>0.117684625330033</v>
      </c>
      <c r="AE51" s="105">
        <v>0.10155620921398244</v>
      </c>
      <c r="AF51" s="105">
        <v>0.11127110011204751</v>
      </c>
      <c r="AG51" s="105">
        <v>0.11592640867567647</v>
      </c>
      <c r="AH51" s="105">
        <v>0.1093489812540137</v>
      </c>
      <c r="AI51" s="105">
        <v>9.7020925372401923E-2</v>
      </c>
      <c r="AJ51" s="105">
        <v>9.2735360244898993E-2</v>
      </c>
      <c r="AK51" s="105">
        <v>9.3764134481312184E-2</v>
      </c>
      <c r="AL51" s="105">
        <v>9.6369975151210097E-2</v>
      </c>
      <c r="AM51" s="105">
        <v>0.11188982356029326</v>
      </c>
      <c r="AN51" s="105">
        <v>9.5152956723471349E-2</v>
      </c>
      <c r="AO51" s="105">
        <v>9.5790624792124884E-2</v>
      </c>
      <c r="AP51" s="105">
        <v>0.1010540302308859</v>
      </c>
      <c r="AQ51" s="105">
        <v>0.106856514447374</v>
      </c>
      <c r="AR51" s="105">
        <v>0.10901580183010293</v>
      </c>
      <c r="AS51" s="105">
        <v>0.10675030737584978</v>
      </c>
      <c r="AT51" s="105">
        <v>0.10575639901623043</v>
      </c>
      <c r="AU51" s="105">
        <v>0.10178417195571496</v>
      </c>
      <c r="AV51" s="105">
        <v>0.1088998424438207</v>
      </c>
      <c r="AW51" s="105">
        <v>0.10988344495463981</v>
      </c>
      <c r="AX51" s="105">
        <v>0.11078515501564867</v>
      </c>
      <c r="AY51" s="105">
        <v>0.1013165883534192</v>
      </c>
      <c r="AZ51" s="105">
        <v>0.10745774250500439</v>
      </c>
      <c r="BA51" s="105">
        <v>0.10251215058205787</v>
      </c>
      <c r="BB51" s="105">
        <v>0.10932101287472615</v>
      </c>
      <c r="BC51" s="105">
        <v>9.9406584167176765E-2</v>
      </c>
      <c r="BD51" s="105">
        <v>0.10652312043632453</v>
      </c>
      <c r="BE51" s="105">
        <v>0.11119740658996383</v>
      </c>
      <c r="BF51" s="105">
        <v>0.11165870413275471</v>
      </c>
      <c r="BG51" s="105">
        <v>0.10108569377588812</v>
      </c>
      <c r="BH51" s="105">
        <v>0.10745135746265549</v>
      </c>
      <c r="BI51" s="105">
        <v>0.10799747127475816</v>
      </c>
      <c r="BJ51" s="105">
        <v>0.10797078912364029</v>
      </c>
      <c r="BK51" s="105">
        <v>0.10102203831820485</v>
      </c>
      <c r="BL51" s="105">
        <v>0.10684374148660974</v>
      </c>
      <c r="BM51" s="105">
        <v>0.10806648005057089</v>
      </c>
      <c r="BN51" s="105">
        <v>0.10447342877330146</v>
      </c>
      <c r="BO51" s="105">
        <v>0.100245423729607</v>
      </c>
      <c r="BP51" s="105">
        <v>0.10287927786101808</v>
      </c>
      <c r="BQ51" s="105">
        <v>9.7383744468448788E-2</v>
      </c>
      <c r="BR51" s="105">
        <v>0.10441993071555329</v>
      </c>
      <c r="BS51" s="105">
        <v>0.10260143216434231</v>
      </c>
      <c r="BT51" s="105">
        <v>0.10776212939778344</v>
      </c>
      <c r="BU51" s="105">
        <v>0.12088304077358014</v>
      </c>
      <c r="BV51" s="105">
        <v>0.1056760424377535</v>
      </c>
      <c r="BW51" s="105">
        <v>0.11266322096924013</v>
      </c>
      <c r="BX51" s="105">
        <v>0.10132182480618665</v>
      </c>
      <c r="BY51" s="105">
        <v>0.11044348773016599</v>
      </c>
      <c r="BZ51" s="105">
        <v>0.10314495433362214</v>
      </c>
      <c r="CA51" s="105">
        <v>8.6496300006742327E-2</v>
      </c>
      <c r="CB51" s="105">
        <v>0.10723837314743255</v>
      </c>
      <c r="CC51" s="105">
        <v>9.1899224579459704E-2</v>
      </c>
      <c r="CD51" s="105">
        <v>0.10088043831996492</v>
      </c>
      <c r="CE51" s="105">
        <v>0.10642279871493639</v>
      </c>
      <c r="CF51" s="105">
        <v>0.10176166491148395</v>
      </c>
      <c r="CG51" s="105">
        <v>8.7043228651421709E-2</v>
      </c>
      <c r="CH51" s="105">
        <v>0.10288805377018975</v>
      </c>
      <c r="CI51" s="105">
        <v>9.572805454807512E-2</v>
      </c>
      <c r="CJ51" s="105">
        <v>9.135599279878881E-2</v>
      </c>
      <c r="CK51" s="105">
        <v>8.4576489184867723E-2</v>
      </c>
      <c r="CL51" s="105">
        <v>0.10965089908236177</v>
      </c>
      <c r="CM51" s="105">
        <v>9.5769937177632838E-2</v>
      </c>
      <c r="CN51" s="105">
        <v>0.10205938855493155</v>
      </c>
      <c r="CO51" s="105">
        <v>9.8732180360271968E-2</v>
      </c>
      <c r="CP51" s="105">
        <v>0.12789930178632022</v>
      </c>
      <c r="CQ51" s="105">
        <v>0.10672416023356247</v>
      </c>
      <c r="CR51" s="105">
        <v>0.10009653544805976</v>
      </c>
      <c r="CS51" s="105">
        <v>0.10155360411173729</v>
      </c>
      <c r="CT51" s="105">
        <v>0.10115189748212747</v>
      </c>
      <c r="CU51" s="105">
        <v>0.10920645596293641</v>
      </c>
      <c r="CV51" s="105">
        <v>9.8872470084286998E-2</v>
      </c>
      <c r="CW51" s="105">
        <v>0.10193343288535872</v>
      </c>
      <c r="CX51" s="105">
        <v>0.10626834044596822</v>
      </c>
    </row>
    <row r="52" spans="1:102" s="96" customFormat="1">
      <c r="A52" s="106"/>
      <c r="B52" s="56" t="s">
        <v>114</v>
      </c>
      <c r="C52" s="105">
        <v>0.34981313140331433</v>
      </c>
      <c r="D52" s="105">
        <v>0.28807043774613239</v>
      </c>
      <c r="E52" s="105">
        <v>0.34830985002139347</v>
      </c>
      <c r="F52" s="105">
        <v>0.34167074920095142</v>
      </c>
      <c r="G52" s="105">
        <v>0.36387296451701479</v>
      </c>
      <c r="H52" s="105">
        <v>0.35170036401249505</v>
      </c>
      <c r="I52" s="105">
        <v>0.32434108264263928</v>
      </c>
      <c r="J52" s="105">
        <v>0.32097282957030521</v>
      </c>
      <c r="K52" s="105">
        <v>0.2825913897603155</v>
      </c>
      <c r="L52" s="105">
        <v>0.34001372293791426</v>
      </c>
      <c r="M52" s="105">
        <v>0.30565597777233799</v>
      </c>
      <c r="N52" s="105">
        <v>0.31669998827007412</v>
      </c>
      <c r="O52" s="105">
        <v>0.29895205132663016</v>
      </c>
      <c r="P52" s="105">
        <v>0.35655649528024952</v>
      </c>
      <c r="Q52" s="105">
        <v>0.36498193602108714</v>
      </c>
      <c r="R52" s="105">
        <v>0.32530021335816495</v>
      </c>
      <c r="S52" s="105">
        <v>0.30929414863612015</v>
      </c>
      <c r="T52" s="105">
        <v>0.29253604771347119</v>
      </c>
      <c r="U52" s="105">
        <v>0.34030083269099531</v>
      </c>
      <c r="V52" s="105">
        <v>0.30749797287126307</v>
      </c>
      <c r="W52" s="105">
        <v>0.37297811967177108</v>
      </c>
      <c r="X52" s="105">
        <v>0.30005244447225132</v>
      </c>
      <c r="Y52" s="105">
        <v>0.31417977765651051</v>
      </c>
      <c r="Z52" s="105">
        <v>0.29745615178950169</v>
      </c>
      <c r="AA52" s="105">
        <v>0.3608336828576984</v>
      </c>
      <c r="AB52" s="105">
        <v>0.35306061739906702</v>
      </c>
      <c r="AC52" s="105">
        <v>0.29547389810520863</v>
      </c>
      <c r="AD52" s="105">
        <v>0.35603774746905703</v>
      </c>
      <c r="AE52" s="105">
        <v>0.31831095602315707</v>
      </c>
      <c r="AF52" s="105">
        <v>0.29799790711582996</v>
      </c>
      <c r="AG52" s="105">
        <v>0.29878504656720462</v>
      </c>
      <c r="AH52" s="105">
        <v>0.36738102164112985</v>
      </c>
      <c r="AI52" s="105">
        <v>0.31532801233729435</v>
      </c>
      <c r="AJ52" s="105">
        <v>0.29175939093657099</v>
      </c>
      <c r="AK52" s="105">
        <v>0.23547758101212959</v>
      </c>
      <c r="AL52" s="105">
        <v>0.25671614031038337</v>
      </c>
      <c r="AM52" s="105">
        <v>0.30233459629199622</v>
      </c>
      <c r="AN52" s="105">
        <v>0.29592718987607058</v>
      </c>
      <c r="AO52" s="105">
        <v>0.27549658328996784</v>
      </c>
      <c r="AP52" s="105">
        <v>0.33040311329363636</v>
      </c>
      <c r="AQ52" s="105">
        <v>0.32791893316853182</v>
      </c>
      <c r="AR52" s="105">
        <v>0.35577220844748225</v>
      </c>
      <c r="AS52" s="105">
        <v>0.350324465070739</v>
      </c>
      <c r="AT52" s="105">
        <v>0.36377311622984893</v>
      </c>
      <c r="AU52" s="105">
        <v>0.33332078179890168</v>
      </c>
      <c r="AV52" s="105">
        <v>0.3449959956984745</v>
      </c>
      <c r="AW52" s="105">
        <v>0.29772976597345219</v>
      </c>
      <c r="AX52" s="105">
        <v>0.36307169111268928</v>
      </c>
      <c r="AY52" s="105">
        <v>0.29673844671556904</v>
      </c>
      <c r="AZ52" s="105">
        <v>0.32714115412078226</v>
      </c>
      <c r="BA52" s="105">
        <v>0.35663005160450756</v>
      </c>
      <c r="BB52" s="105">
        <v>0.3323912526597903</v>
      </c>
      <c r="BC52" s="105">
        <v>0.2682310176197788</v>
      </c>
      <c r="BD52" s="105">
        <v>0.353643630008877</v>
      </c>
      <c r="BE52" s="105">
        <v>0.34247719268044274</v>
      </c>
      <c r="BF52" s="105">
        <v>0.34170639563676414</v>
      </c>
      <c r="BG52" s="105">
        <v>0.34944605948070806</v>
      </c>
      <c r="BH52" s="105">
        <v>0.37815296899897727</v>
      </c>
      <c r="BI52" s="105">
        <v>0.30111864009183253</v>
      </c>
      <c r="BJ52" s="105">
        <v>0.30571822479525418</v>
      </c>
      <c r="BK52" s="105">
        <v>0.35088079194268618</v>
      </c>
      <c r="BL52" s="105">
        <v>0.33937514927283252</v>
      </c>
      <c r="BM52" s="105">
        <v>0.37042711573531972</v>
      </c>
      <c r="BN52" s="105">
        <v>0.32186396798696415</v>
      </c>
      <c r="BO52" s="105">
        <v>0.34596876566741841</v>
      </c>
      <c r="BP52" s="105">
        <v>0.33770243471364969</v>
      </c>
      <c r="BQ52" s="105">
        <v>0.24872112125333479</v>
      </c>
      <c r="BR52" s="105">
        <v>0.34473084154337319</v>
      </c>
      <c r="BS52" s="105">
        <v>0.35044416735028933</v>
      </c>
      <c r="BT52" s="105">
        <v>0.36104127236608702</v>
      </c>
      <c r="BU52" s="105">
        <v>0.35335192014624989</v>
      </c>
      <c r="BV52" s="105">
        <v>0.35522241534720889</v>
      </c>
      <c r="BW52" s="105">
        <v>0.326063428844379</v>
      </c>
      <c r="BX52" s="105">
        <v>0.36999383333612207</v>
      </c>
      <c r="BY52" s="105">
        <v>0.35821325607972621</v>
      </c>
      <c r="BZ52" s="105">
        <v>0.33191428125866379</v>
      </c>
      <c r="CA52" s="105">
        <v>0.22923604453752125</v>
      </c>
      <c r="CB52" s="105">
        <v>0.3361112123017661</v>
      </c>
      <c r="CC52" s="105">
        <v>0.29427474405043236</v>
      </c>
      <c r="CD52" s="105">
        <v>0.39781883452708666</v>
      </c>
      <c r="CE52" s="105">
        <v>0.35754443434480654</v>
      </c>
      <c r="CF52" s="105">
        <v>0.26594740983921339</v>
      </c>
      <c r="CG52" s="105">
        <v>0.21931141360418452</v>
      </c>
      <c r="CH52" s="105">
        <v>0.28390948926090886</v>
      </c>
      <c r="CI52" s="105">
        <v>0.35263120373819812</v>
      </c>
      <c r="CJ52" s="105">
        <v>0.2971254969304763</v>
      </c>
      <c r="CK52" s="105">
        <v>0.22804389436144423</v>
      </c>
      <c r="CL52" s="105">
        <v>0.28154162557520956</v>
      </c>
      <c r="CM52" s="105">
        <v>0.30719049511115326</v>
      </c>
      <c r="CN52" s="105">
        <v>0.2708861882552045</v>
      </c>
      <c r="CO52" s="105">
        <v>0.3698671819813697</v>
      </c>
      <c r="CP52" s="105">
        <v>0.32951776752195361</v>
      </c>
      <c r="CQ52" s="105">
        <v>0.33691612431729123</v>
      </c>
      <c r="CR52" s="105">
        <v>0.30958874619719934</v>
      </c>
      <c r="CS52" s="105">
        <v>0.29589783289302907</v>
      </c>
      <c r="CT52" s="105">
        <v>0.36230199323378753</v>
      </c>
      <c r="CU52" s="105">
        <v>0.28840861162859521</v>
      </c>
      <c r="CV52" s="105">
        <v>0.32494548730270761</v>
      </c>
      <c r="CW52" s="105">
        <v>0.37303175644799158</v>
      </c>
      <c r="CX52" s="105">
        <v>0.34375038386950929</v>
      </c>
    </row>
    <row r="53" spans="1:102" s="95" customFormat="1">
      <c r="A53" s="88" t="str">
        <f>Parameters!A43</f>
        <v>Vermogenseffect &amp; innovatie</v>
      </c>
      <c r="B53" s="102" t="s">
        <v>29</v>
      </c>
      <c r="C53" s="103">
        <v>6.7268343756075433E-2</v>
      </c>
      <c r="D53" s="103">
        <v>9.3175486697363474E-2</v>
      </c>
      <c r="E53" s="103">
        <v>9.1972588012596918E-2</v>
      </c>
      <c r="F53" s="103">
        <v>7.9097818127979155E-2</v>
      </c>
      <c r="G53" s="103">
        <v>6.0854997997221695E-2</v>
      </c>
      <c r="H53" s="103">
        <v>6.9421934051080408E-2</v>
      </c>
      <c r="I53" s="103">
        <v>6.8482374327119788E-2</v>
      </c>
      <c r="J53" s="103">
        <v>8.2176103176225687E-2</v>
      </c>
      <c r="K53" s="103">
        <v>7.5497989572459775E-2</v>
      </c>
      <c r="L53" s="103">
        <v>7.5397823155854915E-2</v>
      </c>
      <c r="M53" s="103">
        <v>8.094818633179926E-2</v>
      </c>
      <c r="N53" s="103">
        <v>6.8176980311744309E-2</v>
      </c>
      <c r="O53" s="103">
        <v>8.5269916456000058E-2</v>
      </c>
      <c r="P53" s="103">
        <v>9.0446189615229586E-2</v>
      </c>
      <c r="Q53" s="103">
        <v>7.1170035780026356E-2</v>
      </c>
      <c r="R53" s="103">
        <v>6.2401477396990659E-2</v>
      </c>
      <c r="S53" s="103">
        <v>0.10529340072771899</v>
      </c>
      <c r="T53" s="103">
        <v>7.6879271791557985E-2</v>
      </c>
      <c r="U53" s="103">
        <v>8.2836490020208403E-2</v>
      </c>
      <c r="V53" s="103">
        <v>7.3856647997305486E-2</v>
      </c>
      <c r="W53" s="103">
        <v>8.1583147901977501E-2</v>
      </c>
      <c r="X53" s="103">
        <v>9.9282370129043396E-2</v>
      </c>
      <c r="Y53" s="103">
        <v>9.3305040915004897E-2</v>
      </c>
      <c r="Z53" s="103">
        <v>8.1207047367386834E-2</v>
      </c>
      <c r="AA53" s="103">
        <v>6.3194479295478043E-2</v>
      </c>
      <c r="AB53" s="103">
        <v>8.6703137218879872E-2</v>
      </c>
      <c r="AC53" s="103">
        <v>8.3863896851082392E-2</v>
      </c>
      <c r="AD53" s="103">
        <v>8.002778505424718E-2</v>
      </c>
      <c r="AE53" s="103">
        <v>9.0136472765806774E-2</v>
      </c>
      <c r="AF53" s="103">
        <v>8.0877073916503117E-2</v>
      </c>
      <c r="AG53" s="103">
        <v>9.7991545063999541E-2</v>
      </c>
      <c r="AH53" s="103">
        <v>9.5189600817466469E-2</v>
      </c>
      <c r="AI53" s="103">
        <v>7.1087956278936854E-2</v>
      </c>
      <c r="AJ53" s="103">
        <v>7.8600561304918673E-2</v>
      </c>
      <c r="AK53" s="103">
        <v>6.2993451933879174E-2</v>
      </c>
      <c r="AL53" s="103">
        <v>6.2905816349581478E-2</v>
      </c>
      <c r="AM53" s="103">
        <v>0.10530345790618661</v>
      </c>
      <c r="AN53" s="103">
        <v>8.7514886226039701E-2</v>
      </c>
      <c r="AO53" s="103">
        <v>9.1359758590054935E-2</v>
      </c>
      <c r="AP53" s="103">
        <v>7.1772262874150061E-2</v>
      </c>
      <c r="AQ53" s="103">
        <v>7.8239319336263602E-2</v>
      </c>
      <c r="AR53" s="103">
        <v>8.0294396289236347E-2</v>
      </c>
      <c r="AS53" s="103">
        <v>5.590442671700066E-2</v>
      </c>
      <c r="AT53" s="103">
        <v>6.1133213123137589E-2</v>
      </c>
      <c r="AU53" s="103">
        <v>7.2635454186652931E-2</v>
      </c>
      <c r="AV53" s="103">
        <v>0.10693358519942203</v>
      </c>
      <c r="AW53" s="103">
        <v>8.245975640635908E-2</v>
      </c>
      <c r="AX53" s="103">
        <v>6.457859746599276E-2</v>
      </c>
      <c r="AY53" s="103">
        <v>8.911510623454888E-2</v>
      </c>
      <c r="AZ53" s="103">
        <v>6.5043186177509274E-2</v>
      </c>
      <c r="BA53" s="103">
        <v>6.7852019329762106E-2</v>
      </c>
      <c r="BB53" s="103">
        <v>9.3559657885607883E-2</v>
      </c>
      <c r="BC53" s="103">
        <v>6.1816566343832001E-2</v>
      </c>
      <c r="BD53" s="103">
        <v>5.5265799169040397E-2</v>
      </c>
      <c r="BE53" s="103">
        <v>9.7481622816791402E-2</v>
      </c>
      <c r="BF53" s="103">
        <v>9.0706669652919722E-2</v>
      </c>
      <c r="BG53" s="103">
        <v>8.9188853071956786E-2</v>
      </c>
      <c r="BH53" s="103">
        <v>5.5710018818281262E-2</v>
      </c>
      <c r="BI53" s="103">
        <v>7.6246386949595818E-2</v>
      </c>
      <c r="BJ53" s="103">
        <v>8.5721208429022561E-2</v>
      </c>
      <c r="BK53" s="103">
        <v>7.5039414627263851E-2</v>
      </c>
      <c r="BL53" s="103">
        <v>8.0525137616783676E-2</v>
      </c>
      <c r="BM53" s="103">
        <v>6.7204962135425317E-2</v>
      </c>
      <c r="BN53" s="103">
        <v>7.9512747943408402E-2</v>
      </c>
      <c r="BO53" s="103">
        <v>8.0640725818450859E-2</v>
      </c>
      <c r="BP53" s="103">
        <v>7.1526292397777844E-2</v>
      </c>
      <c r="BQ53" s="103">
        <v>0.11087306843577602</v>
      </c>
      <c r="BR53" s="103">
        <v>7.6133179272204865E-2</v>
      </c>
      <c r="BS53" s="103">
        <v>8.0036260021222425E-2</v>
      </c>
      <c r="BT53" s="103">
        <v>7.4003454490564363E-2</v>
      </c>
      <c r="BU53" s="103">
        <v>9.4313020371054213E-2</v>
      </c>
      <c r="BV53" s="103">
        <v>0.10087820683827062</v>
      </c>
      <c r="BW53" s="103">
        <v>8.530932921070325E-2</v>
      </c>
      <c r="BX53" s="103">
        <v>5.6472815641054185E-2</v>
      </c>
      <c r="BY53" s="103">
        <v>7.4903758979457544E-2</v>
      </c>
      <c r="BZ53" s="103">
        <v>6.5852812863913646E-2</v>
      </c>
      <c r="CA53" s="103">
        <v>8.3920011803668176E-2</v>
      </c>
      <c r="CB53" s="103">
        <v>8.2189873214526366E-2</v>
      </c>
      <c r="CC53" s="103">
        <v>7.8145262141442073E-2</v>
      </c>
      <c r="CD53" s="103">
        <v>3.7761146643013388E-2</v>
      </c>
      <c r="CE53" s="103">
        <v>4.4360927873325968E-2</v>
      </c>
      <c r="CF53" s="103">
        <v>7.8269724648932726E-2</v>
      </c>
      <c r="CG53" s="103">
        <v>0.10124563239238249</v>
      </c>
      <c r="CH53" s="103">
        <v>9.2699652074669653E-2</v>
      </c>
      <c r="CI53" s="103">
        <v>4.9894544441401449E-2</v>
      </c>
      <c r="CJ53" s="103">
        <v>8.8847058203080184E-2</v>
      </c>
      <c r="CK53" s="103">
        <v>5.4899124567240762E-2</v>
      </c>
      <c r="CL53" s="103">
        <v>9.2601190632489006E-2</v>
      </c>
      <c r="CM53" s="103">
        <v>9.1464193202061742E-2</v>
      </c>
      <c r="CN53" s="103">
        <v>8.2230243343588513E-2</v>
      </c>
      <c r="CO53" s="103">
        <v>5.5571638875992611E-2</v>
      </c>
      <c r="CP53" s="103">
        <v>9.7640518276761457E-2</v>
      </c>
      <c r="CQ53" s="103">
        <v>5.7526470453071757E-2</v>
      </c>
      <c r="CR53" s="103">
        <v>8.1668515174035824E-2</v>
      </c>
      <c r="CS53" s="103">
        <v>9.3185072381380712E-2</v>
      </c>
      <c r="CT53" s="103">
        <v>8.0633792296408394E-2</v>
      </c>
      <c r="CU53" s="103">
        <v>0.1023544379450394</v>
      </c>
      <c r="CV53" s="103">
        <v>5.4384082662905134E-2</v>
      </c>
      <c r="CW53" s="103">
        <v>6.7898948799719264E-2</v>
      </c>
      <c r="CX53" s="103">
        <v>7.5106958493423998E-2</v>
      </c>
    </row>
    <row r="54" spans="1:102">
      <c r="A54" s="23"/>
      <c r="B54" s="14" t="s">
        <v>30</v>
      </c>
      <c r="C54" s="105">
        <v>6.5454361894229637E-2</v>
      </c>
      <c r="D54" s="105">
        <v>7.8144612504218045E-2</v>
      </c>
      <c r="E54" s="105">
        <v>8.1576177236885247E-2</v>
      </c>
      <c r="F54" s="105">
        <v>6.1458567274351242E-2</v>
      </c>
      <c r="G54" s="105">
        <v>5.8660150634714261E-2</v>
      </c>
      <c r="H54" s="105">
        <v>6.6022432102491591E-2</v>
      </c>
      <c r="I54" s="105">
        <v>8.1720817641584217E-2</v>
      </c>
      <c r="J54" s="105">
        <v>6.252341957966151E-2</v>
      </c>
      <c r="K54" s="105">
        <v>7.0526059726962534E-2</v>
      </c>
      <c r="L54" s="105">
        <v>7.5481979580201433E-2</v>
      </c>
      <c r="M54" s="105">
        <v>8.379173761334946E-2</v>
      </c>
      <c r="N54" s="105">
        <v>6.926363750333861E-2</v>
      </c>
      <c r="O54" s="105">
        <v>6.6182976357291354E-2</v>
      </c>
      <c r="P54" s="105">
        <v>7.5635798596980844E-2</v>
      </c>
      <c r="Q54" s="105">
        <v>6.1993996260437077E-2</v>
      </c>
      <c r="R54" s="105">
        <v>7.2705525775486765E-2</v>
      </c>
      <c r="S54" s="105">
        <v>7.5501923565075915E-2</v>
      </c>
      <c r="T54" s="105">
        <v>5.9990141532713433E-2</v>
      </c>
      <c r="U54" s="105">
        <v>8.7379229243116613E-2</v>
      </c>
      <c r="V54" s="105">
        <v>6.7015376091734122E-2</v>
      </c>
      <c r="W54" s="105">
        <v>6.4776805135076318E-2</v>
      </c>
      <c r="X54" s="105">
        <v>6.9171962720259467E-2</v>
      </c>
      <c r="Y54" s="105">
        <v>6.5893985209895076E-2</v>
      </c>
      <c r="Z54" s="105">
        <v>6.3773872963425626E-2</v>
      </c>
      <c r="AA54" s="105">
        <v>7.1335257156898424E-2</v>
      </c>
      <c r="AB54" s="105">
        <v>8.3990648366908199E-2</v>
      </c>
      <c r="AC54" s="105">
        <v>6.5093676572631973E-2</v>
      </c>
      <c r="AD54" s="105">
        <v>7.9178606331014326E-2</v>
      </c>
      <c r="AE54" s="105">
        <v>6.9492998545968576E-2</v>
      </c>
      <c r="AF54" s="105">
        <v>7.7813823648468422E-2</v>
      </c>
      <c r="AG54" s="105">
        <v>8.7691022606039476E-2</v>
      </c>
      <c r="AH54" s="105">
        <v>7.1921082054176994E-2</v>
      </c>
      <c r="AI54" s="105">
        <v>5.4884687275282014E-2</v>
      </c>
      <c r="AJ54" s="105">
        <v>6.1482523633145096E-2</v>
      </c>
      <c r="AK54" s="105">
        <v>8.80912059839664E-2</v>
      </c>
      <c r="AL54" s="105">
        <v>8.1142408240591657E-2</v>
      </c>
      <c r="AM54" s="105">
        <v>9.0217771359362389E-2</v>
      </c>
      <c r="AN54" s="105">
        <v>6.7393491816053197E-2</v>
      </c>
      <c r="AO54" s="105">
        <v>6.9388053519222906E-2</v>
      </c>
      <c r="AP54" s="105">
        <v>6.6941250609317868E-2</v>
      </c>
      <c r="AQ54" s="105">
        <v>7.4110390145340793E-2</v>
      </c>
      <c r="AR54" s="105">
        <v>6.9357010163293459E-2</v>
      </c>
      <c r="AS54" s="105">
        <v>6.0420358745738693E-2</v>
      </c>
      <c r="AT54" s="105">
        <v>5.9488737496709583E-2</v>
      </c>
      <c r="AU54" s="105">
        <v>5.6416383800729906E-2</v>
      </c>
      <c r="AV54" s="105">
        <v>7.4541378363451413E-2</v>
      </c>
      <c r="AW54" s="105">
        <v>7.1534044106417116E-2</v>
      </c>
      <c r="AX54" s="105">
        <v>6.4118853462117237E-2</v>
      </c>
      <c r="AY54" s="105">
        <v>6.1907495938249249E-2</v>
      </c>
      <c r="AZ54" s="105">
        <v>6.1185352742371843E-2</v>
      </c>
      <c r="BA54" s="105">
        <v>5.2433959589122038E-2</v>
      </c>
      <c r="BB54" s="105">
        <v>7.088426234461627E-2</v>
      </c>
      <c r="BC54" s="105">
        <v>7.7842888807227256E-2</v>
      </c>
      <c r="BD54" s="105">
        <v>6.1598266370116742E-2</v>
      </c>
      <c r="BE54" s="105">
        <v>7.4549912563124501E-2</v>
      </c>
      <c r="BF54" s="105">
        <v>7.1513042379327943E-2</v>
      </c>
      <c r="BG54" s="105">
        <v>6.0907643025121291E-2</v>
      </c>
      <c r="BH54" s="105">
        <v>5.9563546796079302E-2</v>
      </c>
      <c r="BI54" s="105">
        <v>6.7598835499436558E-2</v>
      </c>
      <c r="BJ54" s="105">
        <v>8.6814212989601985E-2</v>
      </c>
      <c r="BK54" s="105">
        <v>5.9353094531310005E-2</v>
      </c>
      <c r="BL54" s="105">
        <v>7.3299392620574486E-2</v>
      </c>
      <c r="BM54" s="105">
        <v>6.1977574597506628E-2</v>
      </c>
      <c r="BN54" s="105">
        <v>6.8346070356463687E-2</v>
      </c>
      <c r="BO54" s="105">
        <v>5.9020182459114126E-2</v>
      </c>
      <c r="BP54" s="105">
        <v>5.6541744716854435E-2</v>
      </c>
      <c r="BQ54" s="105">
        <v>7.6645798378345398E-2</v>
      </c>
      <c r="BR54" s="105">
        <v>5.8461631796114112E-2</v>
      </c>
      <c r="BS54" s="105">
        <v>5.6381040610697229E-2</v>
      </c>
      <c r="BT54" s="105">
        <v>6.6000105404882853E-2</v>
      </c>
      <c r="BU54" s="105">
        <v>9.0077774503821373E-2</v>
      </c>
      <c r="BV54" s="105">
        <v>6.7245957605074444E-2</v>
      </c>
      <c r="BW54" s="105">
        <v>7.3232510656273439E-2</v>
      </c>
      <c r="BX54" s="105">
        <v>4.5626196195083457E-2</v>
      </c>
      <c r="BY54" s="105">
        <v>7.0490268459155167E-2</v>
      </c>
      <c r="BZ54" s="105">
        <v>5.2878589426537816E-2</v>
      </c>
      <c r="CA54" s="105">
        <v>7.0066583777187066E-2</v>
      </c>
      <c r="CB54" s="105">
        <v>6.9087148673730628E-2</v>
      </c>
      <c r="CC54" s="105">
        <v>6.0253032653277624E-2</v>
      </c>
      <c r="CD54" s="105">
        <v>4.3408263187622927E-2</v>
      </c>
      <c r="CE54" s="105">
        <v>5.2334339145178627E-2</v>
      </c>
      <c r="CF54" s="105">
        <v>7.2751518093351647E-2</v>
      </c>
      <c r="CG54" s="105">
        <v>7.7704400755475467E-2</v>
      </c>
      <c r="CH54" s="105">
        <v>7.941614697421423E-2</v>
      </c>
      <c r="CI54" s="105">
        <v>4.7881545221249697E-2</v>
      </c>
      <c r="CJ54" s="105">
        <v>7.1222343998847429E-2</v>
      </c>
      <c r="CK54" s="105">
        <v>8.3945335138871049E-2</v>
      </c>
      <c r="CL54" s="105">
        <v>7.9846644620522642E-2</v>
      </c>
      <c r="CM54" s="105">
        <v>6.2305206658095004E-2</v>
      </c>
      <c r="CN54" s="105">
        <v>6.9575522463311473E-2</v>
      </c>
      <c r="CO54" s="105">
        <v>5.093791070128368E-2</v>
      </c>
      <c r="CP54" s="105">
        <v>9.7555548594332769E-2</v>
      </c>
      <c r="CQ54" s="105">
        <v>5.9471033551749063E-2</v>
      </c>
      <c r="CR54" s="105">
        <v>5.9638836139913755E-2</v>
      </c>
      <c r="CS54" s="105">
        <v>8.0383319169910677E-2</v>
      </c>
      <c r="CT54" s="105">
        <v>5.6859317617288831E-2</v>
      </c>
      <c r="CU54" s="105">
        <v>7.9225767929214319E-2</v>
      </c>
      <c r="CV54" s="105">
        <v>6.248901233338286E-2</v>
      </c>
      <c r="CW54" s="105">
        <v>4.9993908056248974E-2</v>
      </c>
      <c r="CX54" s="105">
        <v>6.1363440784266192E-2</v>
      </c>
    </row>
    <row r="55" spans="1:102">
      <c r="A55" s="23"/>
      <c r="B55" s="56" t="s">
        <v>56</v>
      </c>
      <c r="C55" s="105">
        <v>0.10538025672800921</v>
      </c>
      <c r="D55" s="105">
        <v>0.10556297499878999</v>
      </c>
      <c r="E55" s="105">
        <v>0.11474858753521656</v>
      </c>
      <c r="F55" s="105">
        <v>0.10313318621133867</v>
      </c>
      <c r="G55" s="105">
        <v>0.10417277458683498</v>
      </c>
      <c r="H55" s="105">
        <v>0.10741696074232904</v>
      </c>
      <c r="I55" s="105">
        <v>0.1181537490888581</v>
      </c>
      <c r="J55" s="105">
        <v>0.10351303798640192</v>
      </c>
      <c r="K55" s="105">
        <v>9.020810805687976E-2</v>
      </c>
      <c r="L55" s="105">
        <v>0.11112228760124807</v>
      </c>
      <c r="M55" s="105">
        <v>0.11616665257737538</v>
      </c>
      <c r="N55" s="105">
        <v>0.11101065568757569</v>
      </c>
      <c r="O55" s="105">
        <v>0.10616776823306533</v>
      </c>
      <c r="P55" s="105">
        <v>0.11238468256256989</v>
      </c>
      <c r="Q55" s="105">
        <v>0.10497814841228795</v>
      </c>
      <c r="R55" s="105">
        <v>0.11439468705393131</v>
      </c>
      <c r="S55" s="105">
        <v>0.11241129603591078</v>
      </c>
      <c r="T55" s="105">
        <v>9.6522171409656965E-2</v>
      </c>
      <c r="U55" s="105">
        <v>0.11953198269881421</v>
      </c>
      <c r="V55" s="105">
        <v>0.10401407353429286</v>
      </c>
      <c r="W55" s="105">
        <v>0.10628181520700015</v>
      </c>
      <c r="X55" s="105">
        <v>0.10742316551471792</v>
      </c>
      <c r="Y55" s="105">
        <v>0.10646697291573645</v>
      </c>
      <c r="Z55" s="105">
        <v>0.10749798424478552</v>
      </c>
      <c r="AA55" s="105">
        <v>0.11203938071760715</v>
      </c>
      <c r="AB55" s="105">
        <v>0.11815798085736824</v>
      </c>
      <c r="AC55" s="105">
        <v>0.10653977008477514</v>
      </c>
      <c r="AD55" s="105">
        <v>0.11625177326919549</v>
      </c>
      <c r="AE55" s="105">
        <v>0.10431360573151699</v>
      </c>
      <c r="AF55" s="105">
        <v>0.11548928939721617</v>
      </c>
      <c r="AG55" s="105">
        <v>0.12026642380946383</v>
      </c>
      <c r="AH55" s="105">
        <v>0.109084552659051</v>
      </c>
      <c r="AI55" s="105">
        <v>9.8665074411530912E-2</v>
      </c>
      <c r="AJ55" s="105">
        <v>9.4309199775327007E-2</v>
      </c>
      <c r="AK55" s="105">
        <v>9.763387889249453E-2</v>
      </c>
      <c r="AL55" s="105">
        <v>9.9942824622459778E-2</v>
      </c>
      <c r="AM55" s="105">
        <v>0.11505369495553115</v>
      </c>
      <c r="AN55" s="105">
        <v>9.7963211887624885E-2</v>
      </c>
      <c r="AO55" s="105">
        <v>9.8952992033853285E-2</v>
      </c>
      <c r="AP55" s="105">
        <v>0.10092102275834665</v>
      </c>
      <c r="AQ55" s="105">
        <v>0.10584305302669553</v>
      </c>
      <c r="AR55" s="105">
        <v>0.10876362435248502</v>
      </c>
      <c r="AS55" s="105">
        <v>0.10827345568882094</v>
      </c>
      <c r="AT55" s="105">
        <v>0.1072448307540185</v>
      </c>
      <c r="AU55" s="105">
        <v>0.10429049539697663</v>
      </c>
      <c r="AV55" s="105">
        <v>0.10999583995042952</v>
      </c>
      <c r="AW55" s="105">
        <v>0.11389473844093033</v>
      </c>
      <c r="AX55" s="105">
        <v>0.10992118254513038</v>
      </c>
      <c r="AY55" s="105">
        <v>0.10429287121055462</v>
      </c>
      <c r="AZ55" s="105">
        <v>0.10904239025807094</v>
      </c>
      <c r="BA55" s="105">
        <v>0.10406545155456368</v>
      </c>
      <c r="BB55" s="105">
        <v>0.11002762788042238</v>
      </c>
      <c r="BC55" s="105">
        <v>0.10039748848479377</v>
      </c>
      <c r="BD55" s="105">
        <v>0.10825214290874746</v>
      </c>
      <c r="BE55" s="105">
        <v>0.11144715930265923</v>
      </c>
      <c r="BF55" s="105">
        <v>0.11183711647639503</v>
      </c>
      <c r="BG55" s="105">
        <v>0.10335852466250313</v>
      </c>
      <c r="BH55" s="105">
        <v>0.10827799437203617</v>
      </c>
      <c r="BI55" s="105">
        <v>0.11157216374198277</v>
      </c>
      <c r="BJ55" s="105">
        <v>0.11331531459065552</v>
      </c>
      <c r="BK55" s="105">
        <v>0.10432874166132852</v>
      </c>
      <c r="BL55" s="105">
        <v>0.10925400335209511</v>
      </c>
      <c r="BM55" s="105">
        <v>0.10766201976328522</v>
      </c>
      <c r="BN55" s="105">
        <v>0.10718083493957399</v>
      </c>
      <c r="BO55" s="105">
        <v>0.10120462696662312</v>
      </c>
      <c r="BP55" s="105">
        <v>0.10475218004221344</v>
      </c>
      <c r="BQ55" s="105">
        <v>0.1023801138913977</v>
      </c>
      <c r="BR55" s="105">
        <v>0.10604203252583222</v>
      </c>
      <c r="BS55" s="105">
        <v>0.10440558020438323</v>
      </c>
      <c r="BT55" s="105">
        <v>0.10842511916891213</v>
      </c>
      <c r="BU55" s="105">
        <v>0.11845191821313783</v>
      </c>
      <c r="BV55" s="105">
        <v>0.10687026068970217</v>
      </c>
      <c r="BW55" s="105">
        <v>0.11419303230936956</v>
      </c>
      <c r="BX55" s="105">
        <v>0.10268345788692979</v>
      </c>
      <c r="BY55" s="105">
        <v>0.11118579418772644</v>
      </c>
      <c r="BZ55" s="105">
        <v>0.10505226856922061</v>
      </c>
      <c r="CA55" s="105">
        <v>8.9199998093572666E-2</v>
      </c>
      <c r="CB55" s="105">
        <v>0.11031493755708077</v>
      </c>
      <c r="CC55" s="105">
        <v>9.3628182845864549E-2</v>
      </c>
      <c r="CD55" s="105">
        <v>0.10104462093689322</v>
      </c>
      <c r="CE55" s="105">
        <v>0.10737552520631766</v>
      </c>
      <c r="CF55" s="105">
        <v>0.10532356139829459</v>
      </c>
      <c r="CG55" s="105">
        <v>9.150500917631306E-2</v>
      </c>
      <c r="CH55" s="105">
        <v>0.10356188508104991</v>
      </c>
      <c r="CI55" s="105">
        <v>9.6463928457800469E-2</v>
      </c>
      <c r="CJ55" s="105">
        <v>9.4489105360353237E-2</v>
      </c>
      <c r="CK55" s="105">
        <v>8.7811083874899734E-2</v>
      </c>
      <c r="CL55" s="105">
        <v>0.1152696640616917</v>
      </c>
      <c r="CM55" s="105">
        <v>9.7396210033009953E-2</v>
      </c>
      <c r="CN55" s="105">
        <v>0.10635930470290741</v>
      </c>
      <c r="CO55" s="105">
        <v>9.9067490302750333E-2</v>
      </c>
      <c r="CP55" s="105">
        <v>0.13027844416334342</v>
      </c>
      <c r="CQ55" s="105">
        <v>0.1091549171662342</v>
      </c>
      <c r="CR55" s="105">
        <v>0.102745312647278</v>
      </c>
      <c r="CS55" s="105">
        <v>0.10131822368546511</v>
      </c>
      <c r="CT55" s="105">
        <v>0.10316659054870321</v>
      </c>
      <c r="CU55" s="105">
        <v>0.11286952576862684</v>
      </c>
      <c r="CV55" s="105">
        <v>9.9654595374183544E-2</v>
      </c>
      <c r="CW55" s="105">
        <v>0.10321177930512024</v>
      </c>
      <c r="CX55" s="105">
        <v>0.10723289060951852</v>
      </c>
    </row>
    <row r="56" spans="1:102">
      <c r="A56" s="106"/>
      <c r="B56" s="56" t="s">
        <v>114</v>
      </c>
      <c r="C56" s="105">
        <v>0.19080450544673466</v>
      </c>
      <c r="D56" s="105">
        <v>0.1435785152072715</v>
      </c>
      <c r="E56" s="105">
        <v>0.15748227977756707</v>
      </c>
      <c r="F56" s="105">
        <v>0.13044305845186568</v>
      </c>
      <c r="G56" s="105">
        <v>0.19298666271449488</v>
      </c>
      <c r="H56" s="105">
        <v>0.1840530920478147</v>
      </c>
      <c r="I56" s="105">
        <v>0.23710801153495709</v>
      </c>
      <c r="J56" s="105">
        <v>0.12417116312921404</v>
      </c>
      <c r="K56" s="105">
        <v>0.17652068102820487</v>
      </c>
      <c r="L56" s="105">
        <v>0.19313456481248475</v>
      </c>
      <c r="M56" s="105">
        <v>0.19857545023100123</v>
      </c>
      <c r="N56" s="105">
        <v>0.20047230703856431</v>
      </c>
      <c r="O56" s="105">
        <v>0.1277063923052196</v>
      </c>
      <c r="P56" s="105">
        <v>0.14375510834134755</v>
      </c>
      <c r="Q56" s="105">
        <v>0.161892651528799</v>
      </c>
      <c r="R56" s="105">
        <v>0.23553603189204442</v>
      </c>
      <c r="S56" s="105">
        <v>0.10345062962158752</v>
      </c>
      <c r="T56" s="105">
        <v>0.13245998752838919</v>
      </c>
      <c r="U56" s="105">
        <v>0.20226235901511336</v>
      </c>
      <c r="V56" s="105">
        <v>0.17032908026339938</v>
      </c>
      <c r="W56" s="105">
        <v>0.13456381380271376</v>
      </c>
      <c r="X56" s="105">
        <v>9.8398552040790968E-2</v>
      </c>
      <c r="Y56" s="105">
        <v>0.10307404796201212</v>
      </c>
      <c r="Z56" s="105">
        <v>0.13209228500993314</v>
      </c>
      <c r="AA56" s="105">
        <v>0.22792526963000484</v>
      </c>
      <c r="AB56" s="105">
        <v>0.18055967569984149</v>
      </c>
      <c r="AC56" s="105">
        <v>0.12824375131616941</v>
      </c>
      <c r="AD56" s="105">
        <v>0.18823257741904437</v>
      </c>
      <c r="AE56" s="105">
        <v>0.1244225759404278</v>
      </c>
      <c r="AF56" s="105">
        <v>0.18118601265762488</v>
      </c>
      <c r="AG56" s="105">
        <v>0.15782742650858972</v>
      </c>
      <c r="AH56" s="105">
        <v>0.11811013089069725</v>
      </c>
      <c r="AI56" s="105">
        <v>0.13284913102937734</v>
      </c>
      <c r="AJ56" s="105">
        <v>0.13225958220014652</v>
      </c>
      <c r="AK56" s="105">
        <v>0.27372859496415219</v>
      </c>
      <c r="AL56" s="105">
        <v>0.25719674552980742</v>
      </c>
      <c r="AM56" s="105">
        <v>0.14539932286635307</v>
      </c>
      <c r="AN56" s="105">
        <v>0.12503413830694246</v>
      </c>
      <c r="AO56" s="105">
        <v>0.12049163484723849</v>
      </c>
      <c r="AP56" s="105">
        <v>0.17806009320547286</v>
      </c>
      <c r="AQ56" s="105">
        <v>0.17858281043941335</v>
      </c>
      <c r="AR56" s="105">
        <v>0.15540702758530284</v>
      </c>
      <c r="AS56" s="105">
        <v>0.22370172494383683</v>
      </c>
      <c r="AT56" s="105">
        <v>0.1950201085106949</v>
      </c>
      <c r="AU56" s="105">
        <v>0.13344884778483723</v>
      </c>
      <c r="AV56" s="105">
        <v>9.6732008334397393E-2</v>
      </c>
      <c r="AW56" s="105">
        <v>0.1555442041803056</v>
      </c>
      <c r="AX56" s="105">
        <v>0.19732640546755525</v>
      </c>
      <c r="AY56" s="105">
        <v>0.10063232704841332</v>
      </c>
      <c r="AZ56" s="105">
        <v>0.18416291188651632</v>
      </c>
      <c r="BA56" s="105">
        <v>0.13494169859294913</v>
      </c>
      <c r="BB56" s="105">
        <v>0.11923528963278476</v>
      </c>
      <c r="BC56" s="105">
        <v>0.25281558241867702</v>
      </c>
      <c r="BD56" s="105">
        <v>0.23121387798690332</v>
      </c>
      <c r="BE56" s="105">
        <v>0.12030493504487799</v>
      </c>
      <c r="BF56" s="105">
        <v>0.12954201027209744</v>
      </c>
      <c r="BG56" s="105">
        <v>9.6775397878675992E-2</v>
      </c>
      <c r="BH56" s="105">
        <v>0.22141710933633171</v>
      </c>
      <c r="BI56" s="105">
        <v>0.16354478206375639</v>
      </c>
      <c r="BJ56" s="105">
        <v>0.19154382231828124</v>
      </c>
      <c r="BK56" s="105">
        <v>0.13658207148418319</v>
      </c>
      <c r="BL56" s="105">
        <v>0.16798669538685304</v>
      </c>
      <c r="BM56" s="105">
        <v>0.17800502875271673</v>
      </c>
      <c r="BN56" s="105">
        <v>0.15456002988845022</v>
      </c>
      <c r="BO56" s="105">
        <v>0.11567451925047752</v>
      </c>
      <c r="BP56" s="105">
        <v>0.13826291331127205</v>
      </c>
      <c r="BQ56" s="105">
        <v>9.4071262464265795E-2</v>
      </c>
      <c r="BR56" s="105">
        <v>0.12898048952160659</v>
      </c>
      <c r="BS56" s="105">
        <v>0.10708226856637225</v>
      </c>
      <c r="BT56" s="105">
        <v>0.16608611850509519</v>
      </c>
      <c r="BU56" s="105">
        <v>0.17463595529583606</v>
      </c>
      <c r="BV56" s="105">
        <v>8.8278858994414844E-2</v>
      </c>
      <c r="BW56" s="105">
        <v>0.15189043649698233</v>
      </c>
      <c r="BX56" s="105">
        <v>0.15420700649002345</v>
      </c>
      <c r="BY56" s="105">
        <v>0.17859105925062418</v>
      </c>
      <c r="BZ56" s="105">
        <v>0.14542785814213802</v>
      </c>
      <c r="CA56" s="105">
        <v>0.14571342634264009</v>
      </c>
      <c r="CB56" s="105">
        <v>0.14803221455171994</v>
      </c>
      <c r="CC56" s="105">
        <v>0.12903075133307149</v>
      </c>
      <c r="CD56" s="105">
        <v>0.26123715369399941</v>
      </c>
      <c r="CE56" s="105">
        <v>0.25573013030892477</v>
      </c>
      <c r="CF56" s="105">
        <v>0.17402050191186413</v>
      </c>
      <c r="CG56" s="105">
        <v>0.12014425758427455</v>
      </c>
      <c r="CH56" s="105">
        <v>0.14885759937782683</v>
      </c>
      <c r="CI56" s="105">
        <v>0.20236808544295262</v>
      </c>
      <c r="CJ56" s="105">
        <v>0.13413505613638352</v>
      </c>
      <c r="CK56" s="105">
        <v>0.29637282983554769</v>
      </c>
      <c r="CL56" s="105">
        <v>0.15045171599011653</v>
      </c>
      <c r="CM56" s="105">
        <v>9.5521108404566388E-2</v>
      </c>
      <c r="CN56" s="105">
        <v>0.14959872598441321</v>
      </c>
      <c r="CO56" s="105">
        <v>0.18548691277708412</v>
      </c>
      <c r="CP56" s="105">
        <v>0.18449541866987679</v>
      </c>
      <c r="CQ56" s="105">
        <v>0.21210077451940201</v>
      </c>
      <c r="CR56" s="105">
        <v>0.1147381821044903</v>
      </c>
      <c r="CS56" s="105">
        <v>0.15036833782592496</v>
      </c>
      <c r="CT56" s="105">
        <v>0.10707117926412368</v>
      </c>
      <c r="CU56" s="105">
        <v>0.12186542898421798</v>
      </c>
      <c r="CV56" s="105">
        <v>0.23876830093782914</v>
      </c>
      <c r="CW56" s="105">
        <v>0.1234075183207943</v>
      </c>
      <c r="CX56" s="105">
        <v>0.14434366260884429</v>
      </c>
    </row>
    <row r="57" spans="1:102">
      <c r="A57" s="88" t="str">
        <f>Parameters!A44</f>
        <v>Schuld deflatie</v>
      </c>
      <c r="B57" s="102" t="s">
        <v>29</v>
      </c>
      <c r="C57" s="103">
        <v>-0.12568544735266726</v>
      </c>
      <c r="D57" s="103">
        <v>-0.15366399398100092</v>
      </c>
      <c r="E57" s="103">
        <v>-0.15555069082655587</v>
      </c>
      <c r="F57" s="103">
        <v>-0.12899792052801956</v>
      </c>
      <c r="G57" s="103">
        <v>-0.11180309468055717</v>
      </c>
      <c r="H57" s="103">
        <v>-0.11889373189525591</v>
      </c>
      <c r="I57" s="103">
        <v>-0.11731197198524057</v>
      </c>
      <c r="J57" s="103">
        <v>-0.12975381474770764</v>
      </c>
      <c r="K57" s="103">
        <v>-0.14476064555509444</v>
      </c>
      <c r="L57" s="103">
        <v>-0.13294257241393675</v>
      </c>
      <c r="M57" s="103">
        <v>-0.13097129196334306</v>
      </c>
      <c r="N57" s="103">
        <v>-0.11451345090537242</v>
      </c>
      <c r="O57" s="103">
        <v>-0.12953042051547556</v>
      </c>
      <c r="P57" s="103">
        <v>-0.1472731237253794</v>
      </c>
      <c r="Q57" s="103">
        <v>-0.10953109767931095</v>
      </c>
      <c r="R57" s="103">
        <v>-0.10658821150716455</v>
      </c>
      <c r="S57" s="103">
        <v>-0.15184994937010235</v>
      </c>
      <c r="T57" s="103">
        <v>-0.12707537108754463</v>
      </c>
      <c r="U57" s="103">
        <v>-0.1400622415926413</v>
      </c>
      <c r="V57" s="103">
        <v>-0.12109931726481037</v>
      </c>
      <c r="W57" s="103">
        <v>-0.13158463775867521</v>
      </c>
      <c r="X57" s="103">
        <v>-0.13644005135702425</v>
      </c>
      <c r="Y57" s="103">
        <v>-0.13001672969707917</v>
      </c>
      <c r="Z57" s="103">
        <v>-0.11897798302596886</v>
      </c>
      <c r="AA57" s="103">
        <v>-0.10116245263210391</v>
      </c>
      <c r="AB57" s="103">
        <v>-0.14305738642646409</v>
      </c>
      <c r="AC57" s="103">
        <v>-0.12174042034053646</v>
      </c>
      <c r="AD57" s="103">
        <v>-0.1324068100278504</v>
      </c>
      <c r="AE57" s="103">
        <v>-0.12956449372580561</v>
      </c>
      <c r="AF57" s="103">
        <v>-0.12098188552081582</v>
      </c>
      <c r="AG57" s="103">
        <v>-0.14383224364490546</v>
      </c>
      <c r="AH57" s="103">
        <v>-0.14967551169833576</v>
      </c>
      <c r="AI57" s="103">
        <v>-0.11360761081966458</v>
      </c>
      <c r="AJ57" s="103">
        <v>-0.12873285932747008</v>
      </c>
      <c r="AK57" s="103">
        <v>-0.13784102794463637</v>
      </c>
      <c r="AL57" s="103">
        <v>-0.12902794336850154</v>
      </c>
      <c r="AM57" s="103">
        <v>-0.15160477036342698</v>
      </c>
      <c r="AN57" s="103">
        <v>-0.12937244655523639</v>
      </c>
      <c r="AO57" s="103">
        <v>-0.13866872660629098</v>
      </c>
      <c r="AP57" s="103">
        <v>-0.12964127678015705</v>
      </c>
      <c r="AQ57" s="103">
        <v>-0.13677182556703774</v>
      </c>
      <c r="AR57" s="103">
        <v>-0.12873148499552503</v>
      </c>
      <c r="AS57" s="103">
        <v>-9.0789074427038652E-2</v>
      </c>
      <c r="AT57" s="103">
        <v>-9.7559454480389871E-2</v>
      </c>
      <c r="AU57" s="103">
        <v>-0.10278879775147387</v>
      </c>
      <c r="AV57" s="103">
        <v>-0.15649020330220986</v>
      </c>
      <c r="AW57" s="103">
        <v>-0.11407241238243482</v>
      </c>
      <c r="AX57" s="103">
        <v>-0.10924329272972617</v>
      </c>
      <c r="AY57" s="103">
        <v>-0.12233073037805155</v>
      </c>
      <c r="AZ57" s="103">
        <v>-0.10246013911752212</v>
      </c>
      <c r="BA57" s="103">
        <v>-0.10033125514525248</v>
      </c>
      <c r="BB57" s="103">
        <v>-0.13214206387986394</v>
      </c>
      <c r="BC57" s="103">
        <v>-0.12696450812587051</v>
      </c>
      <c r="BD57" s="103">
        <v>-9.3046411253742939E-2</v>
      </c>
      <c r="BE57" s="103">
        <v>-0.13300793552115675</v>
      </c>
      <c r="BF57" s="103">
        <v>-0.13292916392927437</v>
      </c>
      <c r="BG57" s="103">
        <v>-0.12103285559335342</v>
      </c>
      <c r="BH57" s="103">
        <v>-9.5013418857393631E-2</v>
      </c>
      <c r="BI57" s="103">
        <v>-0.10815654722501439</v>
      </c>
      <c r="BJ57" s="103">
        <v>-0.13147499011190553</v>
      </c>
      <c r="BK57" s="103">
        <v>-9.7274692820717074E-2</v>
      </c>
      <c r="BL57" s="103">
        <v>-0.1232616116912016</v>
      </c>
      <c r="BM57" s="103">
        <v>-0.11168417878674056</v>
      </c>
      <c r="BN57" s="103">
        <v>-0.11859842894726405</v>
      </c>
      <c r="BO57" s="103">
        <v>-0.11975252606712652</v>
      </c>
      <c r="BP57" s="103">
        <v>-0.10369809355923718</v>
      </c>
      <c r="BQ57" s="103">
        <v>-0.15240833835895026</v>
      </c>
      <c r="BR57" s="103">
        <v>-0.11278074060488052</v>
      </c>
      <c r="BS57" s="103">
        <v>-0.11197449924930167</v>
      </c>
      <c r="BT57" s="103">
        <v>-0.11795444574140776</v>
      </c>
      <c r="BU57" s="103">
        <v>-0.15513738881898054</v>
      </c>
      <c r="BV57" s="103">
        <v>-0.14181976691890211</v>
      </c>
      <c r="BW57" s="103">
        <v>-0.12633159576679823</v>
      </c>
      <c r="BX57" s="103">
        <v>-8.7250779558655872E-2</v>
      </c>
      <c r="BY57" s="103">
        <v>-0.11865127754690105</v>
      </c>
      <c r="BZ57" s="103">
        <v>-9.6350900764338526E-2</v>
      </c>
      <c r="CA57" s="103">
        <v>-0.14385719505328595</v>
      </c>
      <c r="CB57" s="103">
        <v>-0.11314193012989271</v>
      </c>
      <c r="CC57" s="103">
        <v>-0.121041719296544</v>
      </c>
      <c r="CD57" s="103">
        <v>-7.464311791147954E-2</v>
      </c>
      <c r="CE57" s="103">
        <v>-7.7383057718184003E-2</v>
      </c>
      <c r="CF57" s="103">
        <v>-0.12306841832580651</v>
      </c>
      <c r="CG57" s="103">
        <v>-0.15760504364330563</v>
      </c>
      <c r="CH57" s="103">
        <v>-0.15292652885495522</v>
      </c>
      <c r="CI57" s="103">
        <v>-8.7836049294919435E-2</v>
      </c>
      <c r="CJ57" s="103">
        <v>-0.13306328643133741</v>
      </c>
      <c r="CK57" s="103">
        <v>-0.13378523561713102</v>
      </c>
      <c r="CL57" s="103">
        <v>-0.12420006845108084</v>
      </c>
      <c r="CM57" s="103">
        <v>-0.1349242869695588</v>
      </c>
      <c r="CN57" s="103">
        <v>-0.11508095329620713</v>
      </c>
      <c r="CO57" s="103">
        <v>-9.3413299398871802E-2</v>
      </c>
      <c r="CP57" s="103">
        <v>-0.14213546298209803</v>
      </c>
      <c r="CQ57" s="103">
        <v>-8.3713170535652942E-2</v>
      </c>
      <c r="CR57" s="103">
        <v>-0.11263472398348766</v>
      </c>
      <c r="CS57" s="103">
        <v>-0.1584985655196266</v>
      </c>
      <c r="CT57" s="103">
        <v>-0.10563755282342069</v>
      </c>
      <c r="CU57" s="103">
        <v>-0.14168401802104247</v>
      </c>
      <c r="CV57" s="103">
        <v>-0.10341459900487281</v>
      </c>
      <c r="CW57" s="103">
        <v>-9.5152506270885798E-2</v>
      </c>
      <c r="CX57" s="103">
        <v>-0.10279523416213576</v>
      </c>
    </row>
    <row r="58" spans="1:102">
      <c r="A58" s="23"/>
      <c r="B58" s="14" t="s">
        <v>30</v>
      </c>
      <c r="C58" s="105">
        <v>0.11362287659712376</v>
      </c>
      <c r="D58" s="105">
        <v>0.13170100608366572</v>
      </c>
      <c r="E58" s="105">
        <v>0.10988979092752664</v>
      </c>
      <c r="F58" s="105">
        <v>0.12082143886525389</v>
      </c>
      <c r="G58" s="105">
        <v>0.10368091380868565</v>
      </c>
      <c r="H58" s="105">
        <v>0.11796895022433496</v>
      </c>
      <c r="I58" s="105">
        <v>9.4119052349963955E-2</v>
      </c>
      <c r="J58" s="105">
        <v>0.11101639753086558</v>
      </c>
      <c r="K58" s="105">
        <v>0.12891587365429111</v>
      </c>
      <c r="L58" s="105">
        <v>0.11230428556156274</v>
      </c>
      <c r="M58" s="105">
        <v>9.8613629440406858E-2</v>
      </c>
      <c r="N58" s="105">
        <v>9.0251068567704679E-2</v>
      </c>
      <c r="O58" s="105">
        <v>0.10614635859534263</v>
      </c>
      <c r="P58" s="105">
        <v>0.10220263180046553</v>
      </c>
      <c r="Q58" s="105">
        <v>0.11549457433427286</v>
      </c>
      <c r="R58" s="105">
        <v>8.3237736431056517E-2</v>
      </c>
      <c r="S58" s="105">
        <v>9.997669524761045E-2</v>
      </c>
      <c r="T58" s="105">
        <v>0.10702564243331916</v>
      </c>
      <c r="U58" s="105">
        <v>8.6523740208071243E-2</v>
      </c>
      <c r="V58" s="105">
        <v>0.11072658326268578</v>
      </c>
      <c r="W58" s="105">
        <v>0.11049050611311258</v>
      </c>
      <c r="X58" s="105">
        <v>0.10197041211435895</v>
      </c>
      <c r="Y58" s="105">
        <v>0.11082080341180642</v>
      </c>
      <c r="Z58" s="105">
        <v>9.3139081955588204E-2</v>
      </c>
      <c r="AA58" s="105">
        <v>0.11251841653379133</v>
      </c>
      <c r="AB58" s="105">
        <v>8.6331748505238837E-2</v>
      </c>
      <c r="AC58" s="105">
        <v>9.4430301374903852E-2</v>
      </c>
      <c r="AD58" s="105">
        <v>8.3672980162202551E-2</v>
      </c>
      <c r="AE58" s="105">
        <v>0.13020298450209569</v>
      </c>
      <c r="AF58" s="105">
        <v>9.5463142578698451E-2</v>
      </c>
      <c r="AG58" s="105">
        <v>0.10695361795409354</v>
      </c>
      <c r="AH58" s="105">
        <v>0.12119072917204099</v>
      </c>
      <c r="AI58" s="105">
        <v>9.9292482262902965E-2</v>
      </c>
      <c r="AJ58" s="105">
        <v>0.11483188350201778</v>
      </c>
      <c r="AK58" s="105">
        <v>9.7558702728911886E-2</v>
      </c>
      <c r="AL58" s="105">
        <v>0.1044858799463349</v>
      </c>
      <c r="AM58" s="105">
        <v>0.10568461127382864</v>
      </c>
      <c r="AN58" s="105">
        <v>0.11306580851851677</v>
      </c>
      <c r="AO58" s="105">
        <v>0.1119852607920801</v>
      </c>
      <c r="AP58" s="105">
        <v>0.10795719501005455</v>
      </c>
      <c r="AQ58" s="105">
        <v>9.270930747176484E-2</v>
      </c>
      <c r="AR58" s="105">
        <v>9.9310403365834424E-2</v>
      </c>
      <c r="AS58" s="105">
        <v>8.0214072851606477E-2</v>
      </c>
      <c r="AT58" s="105">
        <v>0.10275451644637117</v>
      </c>
      <c r="AU58" s="105">
        <v>9.4585304898407607E-2</v>
      </c>
      <c r="AV58" s="105">
        <v>0.12344316658925231</v>
      </c>
      <c r="AW58" s="105">
        <v>9.6467875532888353E-2</v>
      </c>
      <c r="AX58" s="105">
        <v>7.303975498156233E-2</v>
      </c>
      <c r="AY58" s="105">
        <v>9.3894170912800043E-2</v>
      </c>
      <c r="AZ58" s="105">
        <v>7.6292713198902587E-2</v>
      </c>
      <c r="BA58" s="105">
        <v>9.7044386378407288E-2</v>
      </c>
      <c r="BB58" s="105">
        <v>8.9085770669775688E-2</v>
      </c>
      <c r="BC58" s="105">
        <v>8.3254092458313653E-2</v>
      </c>
      <c r="BD58" s="105">
        <v>9.4746595971046121E-2</v>
      </c>
      <c r="BE58" s="105">
        <v>9.3855479115924956E-2</v>
      </c>
      <c r="BF58" s="105">
        <v>8.3973458021036271E-2</v>
      </c>
      <c r="BG58" s="105">
        <v>0.12040635864492562</v>
      </c>
      <c r="BH58" s="105">
        <v>9.5598453432432992E-2</v>
      </c>
      <c r="BI58" s="105">
        <v>8.9955144632515679E-2</v>
      </c>
      <c r="BJ58" s="105">
        <v>0.11287360713993964</v>
      </c>
      <c r="BK58" s="105">
        <v>9.987970792255163E-2</v>
      </c>
      <c r="BL58" s="105">
        <v>0.11758900246231958</v>
      </c>
      <c r="BM58" s="105">
        <v>8.7730956239047114E-2</v>
      </c>
      <c r="BN58" s="105">
        <v>0.11048030580030938</v>
      </c>
      <c r="BO58" s="105">
        <v>0.10638246540775992</v>
      </c>
      <c r="BP58" s="105">
        <v>9.9804022858618044E-2</v>
      </c>
      <c r="BQ58" s="105">
        <v>0.112697936423841</v>
      </c>
      <c r="BR58" s="105">
        <v>0.10273439819131011</v>
      </c>
      <c r="BS58" s="105">
        <v>0.10863031283405494</v>
      </c>
      <c r="BT58" s="105">
        <v>0.10572111885314033</v>
      </c>
      <c r="BU58" s="105">
        <v>9.2397461709569029E-2</v>
      </c>
      <c r="BV58" s="105">
        <v>0.12314829773824919</v>
      </c>
      <c r="BW58" s="105">
        <v>8.4528568202658708E-2</v>
      </c>
      <c r="BX58" s="105">
        <v>8.0361299229119498E-2</v>
      </c>
      <c r="BY58" s="105">
        <v>0.10237357945675385</v>
      </c>
      <c r="BZ58" s="105">
        <v>7.9207592064940421E-2</v>
      </c>
      <c r="CA58" s="105">
        <v>9.9505311900402141E-2</v>
      </c>
      <c r="CB58" s="105">
        <v>0.10730901158552283</v>
      </c>
      <c r="CC58" s="105">
        <v>0.11230243667672814</v>
      </c>
      <c r="CD58" s="105">
        <v>7.1199144227881414E-2</v>
      </c>
      <c r="CE58" s="105">
        <v>6.2871935071417737E-2</v>
      </c>
      <c r="CF58" s="105">
        <v>9.0995933707940402E-2</v>
      </c>
      <c r="CG58" s="105">
        <v>0.11101680688809197</v>
      </c>
      <c r="CH58" s="105">
        <v>9.3178439168202898E-2</v>
      </c>
      <c r="CI58" s="105">
        <v>8.5063501886535123E-2</v>
      </c>
      <c r="CJ58" s="105">
        <v>0.12831066916833947</v>
      </c>
      <c r="CK58" s="105">
        <v>0.10247646251490156</v>
      </c>
      <c r="CL58" s="105">
        <v>0.10144298045045873</v>
      </c>
      <c r="CM58" s="105">
        <v>0.12187141252439077</v>
      </c>
      <c r="CN58" s="105">
        <v>9.6609986177625895E-2</v>
      </c>
      <c r="CO58" s="105">
        <v>8.9990739989172855E-2</v>
      </c>
      <c r="CP58" s="105">
        <v>8.94792830235554E-2</v>
      </c>
      <c r="CQ58" s="105">
        <v>7.4127452273314243E-2</v>
      </c>
      <c r="CR58" s="105">
        <v>9.884957802321144E-2</v>
      </c>
      <c r="CS58" s="105">
        <v>0.10269275349955735</v>
      </c>
      <c r="CT58" s="105">
        <v>0.10364861173813414</v>
      </c>
      <c r="CU58" s="105">
        <v>9.9872313528352907E-2</v>
      </c>
      <c r="CV58" s="105">
        <v>9.7629714722873059E-2</v>
      </c>
      <c r="CW58" s="105">
        <v>9.645396236246491E-2</v>
      </c>
      <c r="CX58" s="105">
        <v>7.8467820572565003E-2</v>
      </c>
    </row>
    <row r="59" spans="1:102">
      <c r="A59" s="23"/>
      <c r="B59" s="56" t="s">
        <v>56</v>
      </c>
      <c r="C59" s="105">
        <v>0.10792095489665585</v>
      </c>
      <c r="D59" s="105">
        <v>0.12256341043426494</v>
      </c>
      <c r="E59" s="105">
        <v>0.10065696407020168</v>
      </c>
      <c r="F59" s="105">
        <v>0.11477980843624278</v>
      </c>
      <c r="G59" s="105">
        <v>0.10099919209074919</v>
      </c>
      <c r="H59" s="105">
        <v>0.11409804963965064</v>
      </c>
      <c r="I59" s="105">
        <v>9.6650710747674867E-2</v>
      </c>
      <c r="J59" s="105">
        <v>0.10709082113424913</v>
      </c>
      <c r="K59" s="105">
        <v>0.11417427257106005</v>
      </c>
      <c r="L59" s="105">
        <v>0.1062280391417301</v>
      </c>
      <c r="M59" s="105">
        <v>9.760050874151012E-2</v>
      </c>
      <c r="N59" s="105">
        <v>9.3690198624878568E-2</v>
      </c>
      <c r="O59" s="105">
        <v>0.10448873956965252</v>
      </c>
      <c r="P59" s="105">
        <v>9.4192313104609376E-2</v>
      </c>
      <c r="Q59" s="105">
        <v>0.11080980713723029</v>
      </c>
      <c r="R59" s="105">
        <v>9.0306642785475344E-2</v>
      </c>
      <c r="S59" s="105">
        <v>9.5735013051423373E-2</v>
      </c>
      <c r="T59" s="105">
        <v>0.10093817339676567</v>
      </c>
      <c r="U59" s="105">
        <v>8.4038905144115938E-2</v>
      </c>
      <c r="V59" s="105">
        <v>0.10739259549824891</v>
      </c>
      <c r="W59" s="105">
        <v>0.10218126898743106</v>
      </c>
      <c r="X59" s="105">
        <v>9.8093212723021281E-2</v>
      </c>
      <c r="Y59" s="105">
        <v>0.10635732522493672</v>
      </c>
      <c r="Z59" s="105">
        <v>9.622606767767683E-2</v>
      </c>
      <c r="AA59" s="105">
        <v>0.1114673437010405</v>
      </c>
      <c r="AB59" s="105">
        <v>8.191896461301007E-2</v>
      </c>
      <c r="AC59" s="105">
        <v>9.654711818210461E-2</v>
      </c>
      <c r="AD59" s="105">
        <v>8.1810442329013855E-2</v>
      </c>
      <c r="AE59" s="105">
        <v>0.12395800868985904</v>
      </c>
      <c r="AF59" s="105">
        <v>9.9633979125249003E-2</v>
      </c>
      <c r="AG59" s="105">
        <v>0.10497155612013971</v>
      </c>
      <c r="AH59" s="105">
        <v>0.1097338090541212</v>
      </c>
      <c r="AI59" s="105">
        <v>9.7051314099701608E-2</v>
      </c>
      <c r="AJ59" s="105">
        <v>0.10688416152921423</v>
      </c>
      <c r="AK59" s="105">
        <v>8.6302200396699988E-2</v>
      </c>
      <c r="AL59" s="105">
        <v>9.6456745234848956E-2</v>
      </c>
      <c r="AM59" s="105">
        <v>0.10006896267751665</v>
      </c>
      <c r="AN59" s="105">
        <v>0.1033753792053143</v>
      </c>
      <c r="AO59" s="105">
        <v>0.10629182746003148</v>
      </c>
      <c r="AP59" s="105">
        <v>9.8606722958407195E-2</v>
      </c>
      <c r="AQ59" s="105">
        <v>8.461953965035747E-2</v>
      </c>
      <c r="AR59" s="105">
        <v>9.4110905331145148E-2</v>
      </c>
      <c r="AS59" s="105">
        <v>8.7077001401048085E-2</v>
      </c>
      <c r="AT59" s="105">
        <v>0.10439164873698054</v>
      </c>
      <c r="AU59" s="105">
        <v>9.6231617423365431E-2</v>
      </c>
      <c r="AV59" s="105">
        <v>0.11248581048564404</v>
      </c>
      <c r="AW59" s="105">
        <v>0.10226221998311739</v>
      </c>
      <c r="AX59" s="105">
        <v>7.7645445167512955E-2</v>
      </c>
      <c r="AY59" s="105">
        <v>9.4393913673112256E-2</v>
      </c>
      <c r="AZ59" s="105">
        <v>8.4523169167196419E-2</v>
      </c>
      <c r="BA59" s="105">
        <v>9.9224293183829679E-2</v>
      </c>
      <c r="BB59" s="105">
        <v>8.5959420769554692E-2</v>
      </c>
      <c r="BC59" s="105">
        <v>7.7608830116404043E-2</v>
      </c>
      <c r="BD59" s="105">
        <v>9.8529381993731305E-2</v>
      </c>
      <c r="BE59" s="105">
        <v>8.8342591335532364E-2</v>
      </c>
      <c r="BF59" s="105">
        <v>8.2417103775432668E-2</v>
      </c>
      <c r="BG59" s="105">
        <v>0.11367614786073504</v>
      </c>
      <c r="BH59" s="105">
        <v>9.7669199502731535E-2</v>
      </c>
      <c r="BI59" s="105">
        <v>9.7055866760921497E-2</v>
      </c>
      <c r="BJ59" s="105">
        <v>0.11072578931013295</v>
      </c>
      <c r="BK59" s="105">
        <v>9.8576905402888507E-2</v>
      </c>
      <c r="BL59" s="105">
        <v>0.11369682061140261</v>
      </c>
      <c r="BM59" s="105">
        <v>8.7369824197250839E-2</v>
      </c>
      <c r="BN59" s="105">
        <v>0.10844522145369062</v>
      </c>
      <c r="BO59" s="105">
        <v>9.9460261939997713E-2</v>
      </c>
      <c r="BP59" s="105">
        <v>0.10180484850382324</v>
      </c>
      <c r="BQ59" s="105">
        <v>0.1079461764035759</v>
      </c>
      <c r="BR59" s="105">
        <v>0.10181980901061551</v>
      </c>
      <c r="BS59" s="105">
        <v>0.10659842272322917</v>
      </c>
      <c r="BT59" s="105">
        <v>0.1022541160287803</v>
      </c>
      <c r="BU59" s="105">
        <v>8.1664925316023512E-2</v>
      </c>
      <c r="BV59" s="105">
        <v>0.11305617458911846</v>
      </c>
      <c r="BW59" s="105">
        <v>8.6773923999776362E-2</v>
      </c>
      <c r="BX59" s="105">
        <v>8.7187446622442724E-2</v>
      </c>
      <c r="BY59" s="105">
        <v>9.9339796152978013E-2</v>
      </c>
      <c r="BZ59" s="105">
        <v>8.6471386792724161E-2</v>
      </c>
      <c r="CA59" s="105">
        <v>8.8751588263540501E-2</v>
      </c>
      <c r="CB59" s="105">
        <v>0.10502458719575024</v>
      </c>
      <c r="CC59" s="105">
        <v>0.10499846126686167</v>
      </c>
      <c r="CD59" s="105">
        <v>7.9936250161135841E-2</v>
      </c>
      <c r="CE59" s="105">
        <v>7.9261215612608835E-2</v>
      </c>
      <c r="CF59" s="105">
        <v>9.135528448319219E-2</v>
      </c>
      <c r="CG59" s="105">
        <v>0.10033373469177943</v>
      </c>
      <c r="CH59" s="105">
        <v>8.2512319960012473E-2</v>
      </c>
      <c r="CI59" s="105">
        <v>8.5696502071739136E-2</v>
      </c>
      <c r="CJ59" s="105">
        <v>0.11717181998953317</v>
      </c>
      <c r="CK59" s="105">
        <v>8.7582225757150425E-2</v>
      </c>
      <c r="CL59" s="105">
        <v>0.10560742855656689</v>
      </c>
      <c r="CM59" s="105">
        <v>0.11352953315184711</v>
      </c>
      <c r="CN59" s="105">
        <v>9.8459491885027048E-2</v>
      </c>
      <c r="CO59" s="105">
        <v>9.1565092464413328E-2</v>
      </c>
      <c r="CP59" s="105">
        <v>9.057316855458733E-2</v>
      </c>
      <c r="CQ59" s="105">
        <v>8.5516852376206265E-2</v>
      </c>
      <c r="CR59" s="105">
        <v>0.10028995202536506</v>
      </c>
      <c r="CS59" s="105">
        <v>8.7309799743520211E-2</v>
      </c>
      <c r="CT59" s="105">
        <v>9.9497833821758197E-2</v>
      </c>
      <c r="CU59" s="105">
        <v>9.6647516475625472E-2</v>
      </c>
      <c r="CV59" s="105">
        <v>9.4038155555882394E-2</v>
      </c>
      <c r="CW59" s="105">
        <v>9.9195899685833519E-2</v>
      </c>
      <c r="CX59" s="105">
        <v>8.1899916690432978E-2</v>
      </c>
    </row>
    <row r="60" spans="1:102">
      <c r="A60" s="106"/>
      <c r="B60" s="56" t="s">
        <v>114</v>
      </c>
      <c r="C60" s="105">
        <v>0.88379497949781782</v>
      </c>
      <c r="D60" s="105">
        <v>0.89300961364021991</v>
      </c>
      <c r="E60" s="105">
        <v>0.93403257484197055</v>
      </c>
      <c r="F60" s="105">
        <v>0.8750188312533238</v>
      </c>
      <c r="G60" s="105">
        <v>0.87996023142084823</v>
      </c>
      <c r="H60" s="105">
        <v>0.86271686391158653</v>
      </c>
      <c r="I60" s="105">
        <v>0.91191938165024344</v>
      </c>
      <c r="J60" s="105">
        <v>0.8959590803521007</v>
      </c>
      <c r="K60" s="105">
        <v>0.88502308703275168</v>
      </c>
      <c r="L60" s="105">
        <v>0.89845814067483665</v>
      </c>
      <c r="M60" s="105">
        <v>0.92357423947813155</v>
      </c>
      <c r="N60" s="105">
        <v>0.91615033222993436</v>
      </c>
      <c r="O60" s="105">
        <v>0.90566263600147534</v>
      </c>
      <c r="P60" s="105">
        <v>0.93807787199398529</v>
      </c>
      <c r="Q60" s="105">
        <v>0.84965384452132298</v>
      </c>
      <c r="R60" s="105">
        <v>0.91934291244580746</v>
      </c>
      <c r="S60" s="105">
        <v>0.9472631099011547</v>
      </c>
      <c r="T60" s="105">
        <v>0.89986299605273967</v>
      </c>
      <c r="U60" s="105">
        <v>0.95857178718872549</v>
      </c>
      <c r="V60" s="105">
        <v>0.88179175736418403</v>
      </c>
      <c r="W60" s="105">
        <v>0.89997673919648868</v>
      </c>
      <c r="X60" s="105">
        <v>0.9245135337819036</v>
      </c>
      <c r="Y60" s="105">
        <v>0.89678654840408023</v>
      </c>
      <c r="Z60" s="105">
        <v>0.91694151355040121</v>
      </c>
      <c r="AA60" s="105">
        <v>0.83841117728513559</v>
      </c>
      <c r="AB60" s="105">
        <v>0.96187719700513896</v>
      </c>
      <c r="AC60" s="105">
        <v>0.91850828543732566</v>
      </c>
      <c r="AD60" s="105">
        <v>0.95561716027575583</v>
      </c>
      <c r="AE60" s="105">
        <v>0.8581173776381259</v>
      </c>
      <c r="AF60" s="105">
        <v>0.91497880367081863</v>
      </c>
      <c r="AG60" s="105">
        <v>0.92482665758449856</v>
      </c>
      <c r="AH60" s="105">
        <v>0.90617375462799721</v>
      </c>
      <c r="AI60" s="105">
        <v>0.89341278187625395</v>
      </c>
      <c r="AJ60" s="105">
        <v>0.88650307027634667</v>
      </c>
      <c r="AK60" s="105">
        <v>0.93516517042624392</v>
      </c>
      <c r="AL60" s="105">
        <v>0.90833814296795401</v>
      </c>
      <c r="AM60" s="105">
        <v>0.93688302333902596</v>
      </c>
      <c r="AN60" s="105">
        <v>0.89114991235066776</v>
      </c>
      <c r="AO60" s="105">
        <v>0.90784056958241077</v>
      </c>
      <c r="AP60" s="105">
        <v>0.90207873890376233</v>
      </c>
      <c r="AQ60" s="105">
        <v>0.94330523623871465</v>
      </c>
      <c r="AR60" s="105">
        <v>0.91878541926634139</v>
      </c>
      <c r="AS60" s="105">
        <v>0.8955328345730611</v>
      </c>
      <c r="AT60" s="105">
        <v>0.8523951656118911</v>
      </c>
      <c r="AU60" s="105">
        <v>0.88345871885098526</v>
      </c>
      <c r="AV60" s="105">
        <v>0.91128645674815845</v>
      </c>
      <c r="AW60" s="105">
        <v>0.90080510132622582</v>
      </c>
      <c r="AX60" s="105">
        <v>0.94872139116920517</v>
      </c>
      <c r="AY60" s="105">
        <v>0.92063569282995306</v>
      </c>
      <c r="AZ60" s="105">
        <v>0.92976746194098459</v>
      </c>
      <c r="BA60" s="105">
        <v>0.87221316842077901</v>
      </c>
      <c r="BB60" s="105">
        <v>0.94470693396209937</v>
      </c>
      <c r="BC60" s="105">
        <v>0.95002936791151438</v>
      </c>
      <c r="BD60" s="105">
        <v>0.86161416602968954</v>
      </c>
      <c r="BE60" s="105">
        <v>0.93620862058984633</v>
      </c>
      <c r="BF60" s="105">
        <v>0.95562939019505622</v>
      </c>
      <c r="BG60" s="105">
        <v>0.86175878671255568</v>
      </c>
      <c r="BH60" s="105">
        <v>0.86400350780563984</v>
      </c>
      <c r="BI60" s="105">
        <v>0.90549360942902302</v>
      </c>
      <c r="BJ60" s="105">
        <v>0.89496864281159549</v>
      </c>
      <c r="BK60" s="105">
        <v>0.85859737908648404</v>
      </c>
      <c r="BL60" s="105">
        <v>0.87145227544841308</v>
      </c>
      <c r="BM60" s="105">
        <v>0.91728145161326047</v>
      </c>
      <c r="BN60" s="105">
        <v>0.87778680746593529</v>
      </c>
      <c r="BO60" s="105">
        <v>0.88870682677891188</v>
      </c>
      <c r="BP60" s="105">
        <v>0.87269294893598637</v>
      </c>
      <c r="BQ60" s="105">
        <v>0.9252209588187893</v>
      </c>
      <c r="BR60" s="105">
        <v>0.88398145914672621</v>
      </c>
      <c r="BS60" s="105">
        <v>0.86924734900001677</v>
      </c>
      <c r="BT60" s="105">
        <v>0.88691841970285568</v>
      </c>
      <c r="BU60" s="105">
        <v>0.96305147652611001</v>
      </c>
      <c r="BV60" s="105">
        <v>0.89117866109675459</v>
      </c>
      <c r="BW60" s="105">
        <v>0.94661105724093941</v>
      </c>
      <c r="BX60" s="105">
        <v>0.88689303769933581</v>
      </c>
      <c r="BY60" s="105">
        <v>0.89556602558031062</v>
      </c>
      <c r="BZ60" s="105">
        <v>0.91031311560093786</v>
      </c>
      <c r="CA60" s="105">
        <v>0.93897438876845041</v>
      </c>
      <c r="CB60" s="105">
        <v>0.87442179705238077</v>
      </c>
      <c r="CC60" s="105">
        <v>0.87836743971476405</v>
      </c>
      <c r="CD60" s="105">
        <v>0.88274516506847556</v>
      </c>
      <c r="CE60" s="105">
        <v>0.91771398903678791</v>
      </c>
      <c r="CF60" s="105">
        <v>0.9281781128064911</v>
      </c>
      <c r="CG60" s="105">
        <v>0.9344434193494211</v>
      </c>
      <c r="CH60" s="105">
        <v>0.95981499650091018</v>
      </c>
      <c r="CI60" s="105">
        <v>0.87495958777537197</v>
      </c>
      <c r="CJ60" s="105">
        <v>0.86756959626547692</v>
      </c>
      <c r="CK60" s="105">
        <v>0.91970723287661393</v>
      </c>
      <c r="CL60" s="105">
        <v>0.90706756691274071</v>
      </c>
      <c r="CM60" s="105">
        <v>0.88281112457576838</v>
      </c>
      <c r="CN60" s="105">
        <v>0.90228813750595649</v>
      </c>
      <c r="CO60" s="105">
        <v>0.87475394209633328</v>
      </c>
      <c r="CP60" s="105">
        <v>0.95545627105496733</v>
      </c>
      <c r="CQ60" s="105">
        <v>0.8969238888335056</v>
      </c>
      <c r="CR60" s="105">
        <v>0.89262684611736676</v>
      </c>
      <c r="CS60" s="105">
        <v>0.94958082969341928</v>
      </c>
      <c r="CT60" s="105">
        <v>0.86771809789929488</v>
      </c>
      <c r="CU60" s="105">
        <v>0.93559099064995677</v>
      </c>
      <c r="CV60" s="105">
        <v>0.87731749678390081</v>
      </c>
      <c r="CW60" s="105">
        <v>0.86218381253112819</v>
      </c>
      <c r="CX60" s="105">
        <v>0.92470792832621129</v>
      </c>
    </row>
    <row r="61" spans="1:102">
      <c r="A61" s="108" t="str">
        <f>Parameters!A45</f>
        <v>Kansgewogen</v>
      </c>
      <c r="B61" s="102" t="s">
        <v>29</v>
      </c>
      <c r="C61" s="103">
        <v>5.4573921160151811E-3</v>
      </c>
      <c r="D61" s="103">
        <v>6.2499512546197091E-3</v>
      </c>
      <c r="E61" s="103">
        <v>4.6762073664107298E-3</v>
      </c>
      <c r="F61" s="103">
        <v>5.9381148926771774E-3</v>
      </c>
      <c r="G61" s="103">
        <v>5.1164601779129489E-3</v>
      </c>
      <c r="H61" s="103">
        <v>5.5845598829646868E-3</v>
      </c>
      <c r="I61" s="103">
        <v>6.5468515792532177E-3</v>
      </c>
      <c r="J61" s="103">
        <v>6.0359483382878302E-3</v>
      </c>
      <c r="K61" s="103">
        <v>3.8641677395175027E-3</v>
      </c>
      <c r="L61" s="103">
        <v>4.5038086588192342E-3</v>
      </c>
      <c r="M61" s="103">
        <v>6.2308365590198322E-3</v>
      </c>
      <c r="N61" s="103">
        <v>5.9827547769690272E-3</v>
      </c>
      <c r="O61" s="103">
        <v>6.4889409571046736E-3</v>
      </c>
      <c r="P61" s="103">
        <v>3.897038049933672E-3</v>
      </c>
      <c r="Q61" s="103">
        <v>5.5493417284617243E-3</v>
      </c>
      <c r="R61" s="103">
        <v>5.5931611776837697E-3</v>
      </c>
      <c r="S61" s="103">
        <v>5.725433699306174E-3</v>
      </c>
      <c r="T61" s="103">
        <v>4.7250436673531016E-3</v>
      </c>
      <c r="U61" s="103">
        <v>4.0020692156980337E-3</v>
      </c>
      <c r="V61" s="103">
        <v>5.0599036829992398E-3</v>
      </c>
      <c r="W61" s="103">
        <v>3.5849060645719642E-3</v>
      </c>
      <c r="X61" s="103">
        <v>6.6967645293414682E-3</v>
      </c>
      <c r="Y61" s="103">
        <v>6.3471140918363598E-3</v>
      </c>
      <c r="Z61" s="103">
        <v>6.3557248696206334E-3</v>
      </c>
      <c r="AA61" s="103">
        <v>5.4957535039389114E-3</v>
      </c>
      <c r="AB61" s="103">
        <v>3.5451274925778248E-3</v>
      </c>
      <c r="AC61" s="103">
        <v>6.2703632749982093E-3</v>
      </c>
      <c r="AD61" s="103">
        <v>3.8302323699524634E-3</v>
      </c>
      <c r="AE61" s="103">
        <v>5.8235490000037703E-3</v>
      </c>
      <c r="AF61" s="103">
        <v>6.2461560220807583E-3</v>
      </c>
      <c r="AG61" s="103">
        <v>5.8495895294715348E-3</v>
      </c>
      <c r="AH61" s="103">
        <v>2.8187202708018083E-3</v>
      </c>
      <c r="AI61" s="103">
        <v>4.7551751647906051E-3</v>
      </c>
      <c r="AJ61" s="103">
        <v>4.3273920746592868E-3</v>
      </c>
      <c r="AK61" s="103">
        <v>2.8612488397554738E-3</v>
      </c>
      <c r="AL61" s="103">
        <v>3.1980854571508552E-3</v>
      </c>
      <c r="AM61" s="103">
        <v>5.4988941118102146E-3</v>
      </c>
      <c r="AN61" s="103">
        <v>5.2192932590343086E-3</v>
      </c>
      <c r="AO61" s="103">
        <v>4.8478307358690307E-3</v>
      </c>
      <c r="AP61" s="103">
        <v>2.4146273031638173E-3</v>
      </c>
      <c r="AQ61" s="103">
        <v>2.6905183288335934E-3</v>
      </c>
      <c r="AR61" s="103">
        <v>3.4651042048391514E-3</v>
      </c>
      <c r="AS61" s="103">
        <v>5.0804140974241782E-3</v>
      </c>
      <c r="AT61" s="103">
        <v>4.7133357200080817E-3</v>
      </c>
      <c r="AU61" s="103">
        <v>5.8628690793400742E-3</v>
      </c>
      <c r="AV61" s="103">
        <v>3.553987878869496E-3</v>
      </c>
      <c r="AW61" s="103">
        <v>6.7779435408926985E-3</v>
      </c>
      <c r="AX61" s="103">
        <v>3.5906475633084084E-3</v>
      </c>
      <c r="AY61" s="103">
        <v>6.0603385191424193E-3</v>
      </c>
      <c r="AZ61" s="103">
        <v>4.9086410846156765E-3</v>
      </c>
      <c r="BA61" s="103">
        <v>5.0346184795595026E-3</v>
      </c>
      <c r="BB61" s="103">
        <v>5.0654484034840163E-3</v>
      </c>
      <c r="BC61" s="103">
        <v>2.5444568202166833E-3</v>
      </c>
      <c r="BD61" s="103">
        <v>4.385842769403148E-3</v>
      </c>
      <c r="BE61" s="103">
        <v>5.427390311152103E-3</v>
      </c>
      <c r="BF61" s="103">
        <v>4.3729175155305536E-3</v>
      </c>
      <c r="BG61" s="103">
        <v>5.2512337743518388E-3</v>
      </c>
      <c r="BH61" s="103">
        <v>3.7178895012031721E-3</v>
      </c>
      <c r="BI61" s="103">
        <v>6.1698321003652752E-3</v>
      </c>
      <c r="BJ61" s="103">
        <v>4.632626143586947E-3</v>
      </c>
      <c r="BK61" s="103">
        <v>6.3969569905390593E-3</v>
      </c>
      <c r="BL61" s="103">
        <v>4.0068492249064969E-3</v>
      </c>
      <c r="BM61" s="103">
        <v>3.0298491244294505E-3</v>
      </c>
      <c r="BN61" s="103">
        <v>4.6438896044285888E-3</v>
      </c>
      <c r="BO61" s="103">
        <v>4.0143439584304948E-3</v>
      </c>
      <c r="BP61" s="103">
        <v>5.125477166158264E-3</v>
      </c>
      <c r="BQ61" s="103">
        <v>5.9526406804652999E-3</v>
      </c>
      <c r="BR61" s="103">
        <v>4.365086489822049E-3</v>
      </c>
      <c r="BS61" s="103">
        <v>4.9561049499983467E-3</v>
      </c>
      <c r="BT61" s="103">
        <v>3.2542824438733181E-3</v>
      </c>
      <c r="BU61" s="103">
        <v>1.8316851582193877E-3</v>
      </c>
      <c r="BV61" s="103">
        <v>3.7908863966337044E-3</v>
      </c>
      <c r="BW61" s="103">
        <v>4.420144184044743E-3</v>
      </c>
      <c r="BX61" s="103">
        <v>4.363722681230673E-3</v>
      </c>
      <c r="BY61" s="103">
        <v>3.2685539943470591E-3</v>
      </c>
      <c r="BZ61" s="103">
        <v>4.9509539926109909E-3</v>
      </c>
      <c r="CA61" s="103">
        <v>3.1548536671985221E-3</v>
      </c>
      <c r="CB61" s="103">
        <v>5.315394118047957E-3</v>
      </c>
      <c r="CC61" s="103">
        <v>4.1253674386681422E-3</v>
      </c>
      <c r="CD61" s="103">
        <v>2.9872698748251753E-3</v>
      </c>
      <c r="CE61" s="103">
        <v>4.206772812706561E-3</v>
      </c>
      <c r="CF61" s="103">
        <v>4.6073981232593484E-3</v>
      </c>
      <c r="CG61" s="103">
        <v>4.2421385210841892E-3</v>
      </c>
      <c r="CH61" s="103">
        <v>2.546512037701822E-3</v>
      </c>
      <c r="CI61" s="103">
        <v>3.3221989942519383E-3</v>
      </c>
      <c r="CJ61" s="103">
        <v>3.9163093476996987E-3</v>
      </c>
      <c r="CK61" s="103">
        <v>9.378180532064748E-4</v>
      </c>
      <c r="CL61" s="103">
        <v>6.359527343989594E-3</v>
      </c>
      <c r="CM61" s="103">
        <v>3.609316171052692E-3</v>
      </c>
      <c r="CN61" s="103">
        <v>5.9340124208968007E-3</v>
      </c>
      <c r="CO61" s="103">
        <v>3.0328765963364311E-3</v>
      </c>
      <c r="CP61" s="103">
        <v>4.361980593417995E-3</v>
      </c>
      <c r="CQ61" s="103">
        <v>5.3138231864139568E-3</v>
      </c>
      <c r="CR61" s="103">
        <v>5.0191166620917292E-3</v>
      </c>
      <c r="CS61" s="103">
        <v>1.2899693016381808E-3</v>
      </c>
      <c r="CT61" s="103">
        <v>5.0147368121882981E-3</v>
      </c>
      <c r="CU61" s="103">
        <v>5.0013927162331669E-3</v>
      </c>
      <c r="CV61" s="103">
        <v>2.2144468778688194E-3</v>
      </c>
      <c r="CW61" s="103">
        <v>4.5214355883858382E-3</v>
      </c>
      <c r="CX61" s="103">
        <v>5.0060708388585326E-3</v>
      </c>
    </row>
    <row r="62" spans="1:102">
      <c r="A62" s="23"/>
      <c r="B62" s="14" t="s">
        <v>30</v>
      </c>
      <c r="C62" s="105">
        <v>8.8569056978728994E-2</v>
      </c>
      <c r="D62" s="105">
        <v>0.10640994546414215</v>
      </c>
      <c r="E62" s="105">
        <v>0.1029001018147888</v>
      </c>
      <c r="F62" s="105">
        <v>9.2364498385948568E-2</v>
      </c>
      <c r="G62" s="105">
        <v>8.0012818244582964E-2</v>
      </c>
      <c r="H62" s="105">
        <v>8.8705483254473597E-2</v>
      </c>
      <c r="I62" s="105">
        <v>8.7883859199141656E-2</v>
      </c>
      <c r="J62" s="105">
        <v>8.975558848095215E-2</v>
      </c>
      <c r="K62" s="105">
        <v>0.10044117152427624</v>
      </c>
      <c r="L62" s="105">
        <v>9.3811482037432975E-2</v>
      </c>
      <c r="M62" s="105">
        <v>9.3737285123681E-2</v>
      </c>
      <c r="N62" s="105">
        <v>8.1274890437009362E-2</v>
      </c>
      <c r="O62" s="105">
        <v>9.0519218742005622E-2</v>
      </c>
      <c r="P62" s="105">
        <v>9.7068009361680599E-2</v>
      </c>
      <c r="Q62" s="105">
        <v>8.6232405432098744E-2</v>
      </c>
      <c r="R62" s="105">
        <v>7.8428676672386941E-2</v>
      </c>
      <c r="S62" s="105">
        <v>0.10074920204044774</v>
      </c>
      <c r="T62" s="105">
        <v>8.7688797313617478E-2</v>
      </c>
      <c r="U62" s="105">
        <v>9.4760074471408287E-2</v>
      </c>
      <c r="V62" s="105">
        <v>8.7710856442770879E-2</v>
      </c>
      <c r="W62" s="105">
        <v>9.1157264552851613E-2</v>
      </c>
      <c r="X62" s="105">
        <v>9.5348698243807289E-2</v>
      </c>
      <c r="Y62" s="105">
        <v>9.362738623874664E-2</v>
      </c>
      <c r="Z62" s="105">
        <v>8.3999721629763685E-2</v>
      </c>
      <c r="AA62" s="105">
        <v>8.5844706560079087E-2</v>
      </c>
      <c r="AB62" s="105">
        <v>9.4921190211346415E-2</v>
      </c>
      <c r="AC62" s="105">
        <v>8.4827675078120904E-2</v>
      </c>
      <c r="AD62" s="105">
        <v>8.9213509598943766E-2</v>
      </c>
      <c r="AE62" s="105">
        <v>9.8559792400883042E-2</v>
      </c>
      <c r="AF62" s="105">
        <v>8.8159055557439567E-2</v>
      </c>
      <c r="AG62" s="105">
        <v>0.10183420239849141</v>
      </c>
      <c r="AH62" s="105">
        <v>0.10195690798521512</v>
      </c>
      <c r="AI62" s="105">
        <v>8.031985230258494E-2</v>
      </c>
      <c r="AJ62" s="105">
        <v>9.1109481407139439E-2</v>
      </c>
      <c r="AK62" s="105">
        <v>9.5559398789049843E-2</v>
      </c>
      <c r="AL62" s="105">
        <v>9.1909439403532078E-2</v>
      </c>
      <c r="AM62" s="105">
        <v>0.10488392023122897</v>
      </c>
      <c r="AN62" s="105">
        <v>9.3878578836944185E-2</v>
      </c>
      <c r="AO62" s="105">
        <v>9.4141425092341274E-2</v>
      </c>
      <c r="AP62" s="105">
        <v>8.9180338537891563E-2</v>
      </c>
      <c r="AQ62" s="105">
        <v>9.0257695198713683E-2</v>
      </c>
      <c r="AR62" s="105">
        <v>8.8078682172544401E-2</v>
      </c>
      <c r="AS62" s="105">
        <v>6.9669808164883398E-2</v>
      </c>
      <c r="AT62" s="105">
        <v>7.7235074095617084E-2</v>
      </c>
      <c r="AU62" s="105">
        <v>7.7393999336312691E-2</v>
      </c>
      <c r="AV62" s="105">
        <v>0.10630255617578446</v>
      </c>
      <c r="AW62" s="105">
        <v>8.6659291804721983E-2</v>
      </c>
      <c r="AX62" s="105">
        <v>7.4104158403382789E-2</v>
      </c>
      <c r="AY62" s="105">
        <v>8.57965464254236E-2</v>
      </c>
      <c r="AZ62" s="105">
        <v>7.2208912147861445E-2</v>
      </c>
      <c r="BA62" s="105">
        <v>7.5818213215298871E-2</v>
      </c>
      <c r="BB62" s="105">
        <v>9.041251036191976E-2</v>
      </c>
      <c r="BC62" s="105">
        <v>8.5442126106157937E-2</v>
      </c>
      <c r="BD62" s="105">
        <v>7.4105431414975678E-2</v>
      </c>
      <c r="BE62" s="105">
        <v>9.417693973117576E-2</v>
      </c>
      <c r="BF62" s="105">
        <v>8.8791518647626591E-2</v>
      </c>
      <c r="BG62" s="105">
        <v>9.2637328213049749E-2</v>
      </c>
      <c r="BH62" s="105">
        <v>7.4154152475964352E-2</v>
      </c>
      <c r="BI62" s="105">
        <v>8.0841844788103148E-2</v>
      </c>
      <c r="BJ62" s="105">
        <v>9.6776613933653013E-2</v>
      </c>
      <c r="BK62" s="105">
        <v>8.0533137639970637E-2</v>
      </c>
      <c r="BL62" s="105">
        <v>9.1819671142541526E-2</v>
      </c>
      <c r="BM62" s="105">
        <v>7.719495167215118E-2</v>
      </c>
      <c r="BN62" s="105">
        <v>8.7697759511219067E-2</v>
      </c>
      <c r="BO62" s="105">
        <v>8.6213200406455345E-2</v>
      </c>
      <c r="BP62" s="105">
        <v>7.8727767353787254E-2</v>
      </c>
      <c r="BQ62" s="105">
        <v>0.10401677053217218</v>
      </c>
      <c r="BR62" s="105">
        <v>8.2167963022449997E-2</v>
      </c>
      <c r="BS62" s="105">
        <v>8.4623927808912466E-2</v>
      </c>
      <c r="BT62" s="105">
        <v>8.5309401991947323E-2</v>
      </c>
      <c r="BU62" s="105">
        <v>0.10226874562606904</v>
      </c>
      <c r="BV62" s="105">
        <v>0.1008623727614032</v>
      </c>
      <c r="BW62" s="105">
        <v>8.6038674501576207E-2</v>
      </c>
      <c r="BX62" s="105">
        <v>6.4551690494632802E-2</v>
      </c>
      <c r="BY62" s="105">
        <v>8.6293069501328049E-2</v>
      </c>
      <c r="BZ62" s="105">
        <v>6.9582205614138942E-2</v>
      </c>
      <c r="CA62" s="105">
        <v>9.4282907120350881E-2</v>
      </c>
      <c r="CB62" s="105">
        <v>8.8365951096258152E-2</v>
      </c>
      <c r="CC62" s="105">
        <v>8.9090130773418569E-2</v>
      </c>
      <c r="CD62" s="105">
        <v>5.5896870998644148E-2</v>
      </c>
      <c r="CE62" s="105">
        <v>5.8094688992035418E-2</v>
      </c>
      <c r="CF62" s="105">
        <v>8.5765865689026541E-2</v>
      </c>
      <c r="CG62" s="105">
        <v>0.10489753408954919</v>
      </c>
      <c r="CH62" s="105">
        <v>9.8499954979252805E-2</v>
      </c>
      <c r="CI62" s="105">
        <v>6.5627825386782218E-2</v>
      </c>
      <c r="CJ62" s="105">
        <v>9.8029190017734788E-2</v>
      </c>
      <c r="CK62" s="105">
        <v>9.3729608594751601E-2</v>
      </c>
      <c r="CL62" s="105">
        <v>9.2461373756731094E-2</v>
      </c>
      <c r="CM62" s="105">
        <v>9.553050232493332E-2</v>
      </c>
      <c r="CN62" s="105">
        <v>8.6538691765331188E-2</v>
      </c>
      <c r="CO62" s="105">
        <v>6.8108299254094021E-2</v>
      </c>
      <c r="CP62" s="105">
        <v>0.10088717636651552</v>
      </c>
      <c r="CQ62" s="105">
        <v>6.6997853496786788E-2</v>
      </c>
      <c r="CR62" s="105">
        <v>8.1057550416544777E-2</v>
      </c>
      <c r="CS62" s="105">
        <v>0.10232233636064947</v>
      </c>
      <c r="CT62" s="105">
        <v>8.3027260895827001E-2</v>
      </c>
      <c r="CU62" s="105">
        <v>9.8266702975226231E-2</v>
      </c>
      <c r="CV62" s="105">
        <v>7.7388612788951219E-2</v>
      </c>
      <c r="CW62" s="105">
        <v>7.4133753793266755E-2</v>
      </c>
      <c r="CX62" s="105">
        <v>7.5645052780310015E-2</v>
      </c>
    </row>
    <row r="63" spans="1:102">
      <c r="A63" s="23"/>
      <c r="B63" s="56" t="s">
        <v>56</v>
      </c>
      <c r="C63" s="105">
        <v>0.10350418308287881</v>
      </c>
      <c r="D63" s="105">
        <v>0.10865698385663718</v>
      </c>
      <c r="E63" s="105">
        <v>0.10877500092342837</v>
      </c>
      <c r="F63" s="105">
        <v>0.10520270345679453</v>
      </c>
      <c r="G63" s="105">
        <v>0.10077573820309346</v>
      </c>
      <c r="H63" s="105">
        <v>0.10582390239255396</v>
      </c>
      <c r="I63" s="105">
        <v>0.1078190154066294</v>
      </c>
      <c r="J63" s="105">
        <v>0.10281421671930367</v>
      </c>
      <c r="K63" s="105">
        <v>9.6959371816179737E-2</v>
      </c>
      <c r="L63" s="105">
        <v>0.1057286855108568</v>
      </c>
      <c r="M63" s="105">
        <v>0.10689307405772427</v>
      </c>
      <c r="N63" s="105">
        <v>0.10274913480228125</v>
      </c>
      <c r="O63" s="105">
        <v>0.10419207556117156</v>
      </c>
      <c r="P63" s="105">
        <v>0.10519923554247528</v>
      </c>
      <c r="Q63" s="105">
        <v>0.10479152795611081</v>
      </c>
      <c r="R63" s="105">
        <v>0.10333214832877909</v>
      </c>
      <c r="S63" s="105">
        <v>0.10807697191884558</v>
      </c>
      <c r="T63" s="105">
        <v>9.7016368958112914E-2</v>
      </c>
      <c r="U63" s="105">
        <v>0.10521239196239233</v>
      </c>
      <c r="V63" s="105">
        <v>0.10137706110976878</v>
      </c>
      <c r="W63" s="105">
        <v>0.10307014053384671</v>
      </c>
      <c r="X63" s="105">
        <v>0.10593010289695642</v>
      </c>
      <c r="Y63" s="105">
        <v>0.10625672205246686</v>
      </c>
      <c r="Z63" s="105">
        <v>0.10271961127378015</v>
      </c>
      <c r="AA63" s="105">
        <v>0.10804871944172904</v>
      </c>
      <c r="AB63" s="105">
        <v>0.10459941397599611</v>
      </c>
      <c r="AC63" s="105">
        <v>0.10155667173588945</v>
      </c>
      <c r="AD63" s="105">
        <v>0.10308920065407456</v>
      </c>
      <c r="AE63" s="105">
        <v>0.10759326385403191</v>
      </c>
      <c r="AF63" s="105">
        <v>0.10618073049884363</v>
      </c>
      <c r="AG63" s="105">
        <v>0.1115867436711335</v>
      </c>
      <c r="AH63" s="105">
        <v>0.10730030362205299</v>
      </c>
      <c r="AI63" s="105">
        <v>9.6880551299950296E-2</v>
      </c>
      <c r="AJ63" s="105">
        <v>9.717529494110913E-2</v>
      </c>
      <c r="AK63" s="105">
        <v>9.0513799704945372E-2</v>
      </c>
      <c r="AL63" s="105">
        <v>9.426743619818706E-2</v>
      </c>
      <c r="AM63" s="105">
        <v>0.10734504604509668</v>
      </c>
      <c r="AN63" s="105">
        <v>9.9892086575376196E-2</v>
      </c>
      <c r="AO63" s="105">
        <v>9.8122987561788846E-2</v>
      </c>
      <c r="AP63" s="105">
        <v>9.721781144765064E-2</v>
      </c>
      <c r="AQ63" s="105">
        <v>9.7058097782004638E-2</v>
      </c>
      <c r="AR63" s="105">
        <v>0.10116446873641885</v>
      </c>
      <c r="AS63" s="105">
        <v>9.9924230651502299E-2</v>
      </c>
      <c r="AT63" s="105">
        <v>0.10272212771669054</v>
      </c>
      <c r="AU63" s="105">
        <v>0.10072245098098902</v>
      </c>
      <c r="AV63" s="105">
        <v>0.109560615654664</v>
      </c>
      <c r="AW63" s="105">
        <v>0.10756986859109449</v>
      </c>
      <c r="AX63" s="105">
        <v>9.7822320202331017E-2</v>
      </c>
      <c r="AY63" s="105">
        <v>0.10105849781665995</v>
      </c>
      <c r="AZ63" s="105">
        <v>9.9194317657409228E-2</v>
      </c>
      <c r="BA63" s="105">
        <v>0.10067557863171851</v>
      </c>
      <c r="BB63" s="105">
        <v>0.10283191461650977</v>
      </c>
      <c r="BC63" s="105">
        <v>9.0327499944783007E-2</v>
      </c>
      <c r="BD63" s="105">
        <v>0.10162756537017716</v>
      </c>
      <c r="BE63" s="105">
        <v>0.10534741991213019</v>
      </c>
      <c r="BF63" s="105">
        <v>0.10208030550061618</v>
      </c>
      <c r="BG63" s="105">
        <v>0.10589195810181662</v>
      </c>
      <c r="BH63" s="105">
        <v>0.10151947166371121</v>
      </c>
      <c r="BI63" s="105">
        <v>0.10402863239513416</v>
      </c>
      <c r="BJ63" s="105">
        <v>0.10455807127226337</v>
      </c>
      <c r="BK63" s="105">
        <v>0.10306636322813306</v>
      </c>
      <c r="BL63" s="105">
        <v>0.10454876995047872</v>
      </c>
      <c r="BM63" s="105">
        <v>9.8165650613484923E-2</v>
      </c>
      <c r="BN63" s="105">
        <v>0.10287309806339963</v>
      </c>
      <c r="BO63" s="105">
        <v>9.9798377465023055E-2</v>
      </c>
      <c r="BP63" s="105">
        <v>0.10138041973123783</v>
      </c>
      <c r="BQ63" s="105">
        <v>0.10369446522947985</v>
      </c>
      <c r="BR63" s="105">
        <v>0.10202447257974498</v>
      </c>
      <c r="BS63" s="105">
        <v>0.1034676648799443</v>
      </c>
      <c r="BT63" s="105">
        <v>0.10219265992079736</v>
      </c>
      <c r="BU63" s="105">
        <v>0.10449063419220049</v>
      </c>
      <c r="BV63" s="105">
        <v>0.10810671483105493</v>
      </c>
      <c r="BW63" s="105">
        <v>0.10275283091414686</v>
      </c>
      <c r="BX63" s="105">
        <v>9.6645952411183886E-2</v>
      </c>
      <c r="BY63" s="105">
        <v>0.10310343433315977</v>
      </c>
      <c r="BZ63" s="105">
        <v>9.7982914405411639E-2</v>
      </c>
      <c r="CA63" s="105">
        <v>8.9555543970005674E-2</v>
      </c>
      <c r="CB63" s="105">
        <v>0.10639819351748794</v>
      </c>
      <c r="CC63" s="105">
        <v>9.6464483966654704E-2</v>
      </c>
      <c r="CD63" s="105">
        <v>9.3714739699018862E-2</v>
      </c>
      <c r="CE63" s="105">
        <v>9.7405339041796074E-2</v>
      </c>
      <c r="CF63" s="105">
        <v>9.7629617543704042E-2</v>
      </c>
      <c r="CG63" s="105">
        <v>9.5421530222992976E-2</v>
      </c>
      <c r="CH63" s="105">
        <v>9.6492120857246483E-2</v>
      </c>
      <c r="CI63" s="105">
        <v>9.194280321609194E-2</v>
      </c>
      <c r="CJ63" s="105">
        <v>9.8216185566942116E-2</v>
      </c>
      <c r="CK63" s="105">
        <v>8.3685158359711576E-2</v>
      </c>
      <c r="CL63" s="105">
        <v>0.10737011362959693</v>
      </c>
      <c r="CM63" s="105">
        <v>0.1005337217161693</v>
      </c>
      <c r="CN63" s="105">
        <v>0.10210666241768453</v>
      </c>
      <c r="CO63" s="105">
        <v>9.307781104266484E-2</v>
      </c>
      <c r="CP63" s="105">
        <v>0.1126051424784599</v>
      </c>
      <c r="CQ63" s="105">
        <v>0.10044237852661926</v>
      </c>
      <c r="CR63" s="105">
        <v>9.8571546207020591E-2</v>
      </c>
      <c r="CS63" s="105">
        <v>9.611864816454796E-2</v>
      </c>
      <c r="CT63" s="105">
        <v>0.10229346187679941</v>
      </c>
      <c r="CU63" s="105">
        <v>0.10624687891181087</v>
      </c>
      <c r="CV63" s="105">
        <v>9.4247011300929384E-2</v>
      </c>
      <c r="CW63" s="105">
        <v>9.9913361563750844E-2</v>
      </c>
      <c r="CX63" s="105">
        <v>9.9253369575194039E-2</v>
      </c>
    </row>
    <row r="64" spans="1:102">
      <c r="A64" s="106"/>
      <c r="B64" s="109" t="s">
        <v>114</v>
      </c>
      <c r="C64" s="107">
        <v>0.45800918064564689</v>
      </c>
      <c r="D64" s="107">
        <v>0.45406405216713641</v>
      </c>
      <c r="E64" s="107">
        <v>0.46920935329028063</v>
      </c>
      <c r="F64" s="107">
        <v>0.45489798226205902</v>
      </c>
      <c r="G64" s="107">
        <v>0.46440952763211529</v>
      </c>
      <c r="H64" s="107">
        <v>0.46408532791583124</v>
      </c>
      <c r="I64" s="107">
        <v>0.47828836994369384</v>
      </c>
      <c r="J64" s="107">
        <v>0.45678644389095402</v>
      </c>
      <c r="K64" s="107">
        <v>0.46329930704508754</v>
      </c>
      <c r="L64" s="107">
        <v>0.4734837151316269</v>
      </c>
      <c r="M64" s="107">
        <v>0.47690183147719645</v>
      </c>
      <c r="N64" s="107">
        <v>0.47366043227078958</v>
      </c>
      <c r="O64" s="107">
        <v>0.46157694422243856</v>
      </c>
      <c r="P64" s="107">
        <v>0.47730625104678498</v>
      </c>
      <c r="Q64" s="107">
        <v>0.47066394570734205</v>
      </c>
      <c r="R64" s="107">
        <v>0.4860437144588034</v>
      </c>
      <c r="S64" s="107">
        <v>0.47226850119327257</v>
      </c>
      <c r="T64" s="107">
        <v>0.46642434292220186</v>
      </c>
      <c r="U64" s="107">
        <v>0.49179968822472919</v>
      </c>
      <c r="V64" s="107">
        <v>0.47141642236059489</v>
      </c>
      <c r="W64" s="107">
        <v>0.47646691594571633</v>
      </c>
      <c r="X64" s="107">
        <v>0.46851180050593827</v>
      </c>
      <c r="Y64" s="107">
        <v>0.46643481839547063</v>
      </c>
      <c r="Z64" s="107">
        <v>0.47072907013917509</v>
      </c>
      <c r="AA64" s="107">
        <v>0.48220791372957128</v>
      </c>
      <c r="AB64" s="107">
        <v>0.49200170670177423</v>
      </c>
      <c r="AC64" s="107">
        <v>0.47042472813143987</v>
      </c>
      <c r="AD64" s="107">
        <v>0.49221726459578785</v>
      </c>
      <c r="AE64" s="107">
        <v>0.46697776125142298</v>
      </c>
      <c r="AF64" s="107">
        <v>0.4804507772704405</v>
      </c>
      <c r="AG64" s="107">
        <v>0.48044655350278531</v>
      </c>
      <c r="AH64" s="107">
        <v>0.4786621013146049</v>
      </c>
      <c r="AI64" s="107">
        <v>0.4712267701250421</v>
      </c>
      <c r="AJ64" s="107">
        <v>0.46942859636466627</v>
      </c>
      <c r="AK64" s="107">
        <v>0.49368704385836665</v>
      </c>
      <c r="AL64" s="107">
        <v>0.48925179691541021</v>
      </c>
      <c r="AM64" s="107">
        <v>0.48270002348099339</v>
      </c>
      <c r="AN64" s="107">
        <v>0.47200696699329525</v>
      </c>
      <c r="AO64" s="107">
        <v>0.47028003888661707</v>
      </c>
      <c r="AP64" s="107">
        <v>0.48425852692823812</v>
      </c>
      <c r="AQ64" s="107">
        <v>0.49022370703630014</v>
      </c>
      <c r="AR64" s="107">
        <v>0.48562901750941112</v>
      </c>
      <c r="AS64" s="107">
        <v>0.4911159714722832</v>
      </c>
      <c r="AT64" s="107">
        <v>0.48270986974398028</v>
      </c>
      <c r="AU64" s="107">
        <v>0.47517886834992784</v>
      </c>
      <c r="AV64" s="107">
        <v>0.4771164913904633</v>
      </c>
      <c r="AW64" s="107">
        <v>0.47917836403400738</v>
      </c>
      <c r="AX64" s="107">
        <v>0.49722909623050959</v>
      </c>
      <c r="AY64" s="107">
        <v>0.47357023872160758</v>
      </c>
      <c r="AZ64" s="107">
        <v>0.4893371481845899</v>
      </c>
      <c r="BA64" s="107">
        <v>0.47739867747943265</v>
      </c>
      <c r="BB64" s="107">
        <v>0.48480651120807394</v>
      </c>
      <c r="BC64" s="107">
        <v>0.49897360840018501</v>
      </c>
      <c r="BD64" s="107">
        <v>0.49075841017038974</v>
      </c>
      <c r="BE64" s="107">
        <v>0.48569624652506382</v>
      </c>
      <c r="BF64" s="107">
        <v>0.48904449026215835</v>
      </c>
      <c r="BG64" s="107">
        <v>0.47202504325076744</v>
      </c>
      <c r="BH64" s="107">
        <v>0.49253295081395154</v>
      </c>
      <c r="BI64" s="107">
        <v>0.48285565537415659</v>
      </c>
      <c r="BJ64" s="107">
        <v>0.48680528273103779</v>
      </c>
      <c r="BK64" s="107">
        <v>0.47799668502412518</v>
      </c>
      <c r="BL64" s="107">
        <v>0.48359292561751566</v>
      </c>
      <c r="BM64" s="107">
        <v>0.49397770976536259</v>
      </c>
      <c r="BN64" s="107">
        <v>0.48066605587638972</v>
      </c>
      <c r="BO64" s="107">
        <v>0.4791079809591442</v>
      </c>
      <c r="BP64" s="107">
        <v>0.4790107491525013</v>
      </c>
      <c r="BQ64" s="107">
        <v>0.472346995515882</v>
      </c>
      <c r="BR64" s="107">
        <v>0.4801846625766264</v>
      </c>
      <c r="BS64" s="107">
        <v>0.47571845876164848</v>
      </c>
      <c r="BT64" s="107">
        <v>0.48809132394868998</v>
      </c>
      <c r="BU64" s="107">
        <v>0.50129228693354078</v>
      </c>
      <c r="BV64" s="107">
        <v>0.47792057968471791</v>
      </c>
      <c r="BW64" s="107">
        <v>0.4922420989400913</v>
      </c>
      <c r="BX64" s="107">
        <v>0.48732630794967213</v>
      </c>
      <c r="BY64" s="107">
        <v>0.49268279554832484</v>
      </c>
      <c r="BZ64" s="107">
        <v>0.48672673114281795</v>
      </c>
      <c r="CA64" s="107">
        <v>0.48183653270738891</v>
      </c>
      <c r="CB64" s="107">
        <v>0.48343930139184554</v>
      </c>
      <c r="CC64" s="107">
        <v>0.47697620734429824</v>
      </c>
      <c r="CD64" s="107">
        <v>0.50593417992937617</v>
      </c>
      <c r="CE64" s="107">
        <v>0.50657297282441738</v>
      </c>
      <c r="CF64" s="107">
        <v>0.4880957200516835</v>
      </c>
      <c r="CG64" s="107">
        <v>0.47717059345742263</v>
      </c>
      <c r="CH64" s="107">
        <v>0.49168960838777231</v>
      </c>
      <c r="CI64" s="107">
        <v>0.49312623463684169</v>
      </c>
      <c r="CJ64" s="107">
        <v>0.47735887012070782</v>
      </c>
      <c r="CK64" s="107">
        <v>0.50305762828862388</v>
      </c>
      <c r="CL64" s="107">
        <v>0.4845698910942649</v>
      </c>
      <c r="CM64" s="107">
        <v>0.47546386698466347</v>
      </c>
      <c r="CN64" s="107">
        <v>0.48313127311068849</v>
      </c>
      <c r="CO64" s="107">
        <v>0.49381609006837945</v>
      </c>
      <c r="CP64" s="107">
        <v>0.50280297067786806</v>
      </c>
      <c r="CQ64" s="107">
        <v>0.49866488813946702</v>
      </c>
      <c r="CR64" s="107">
        <v>0.48082269696856339</v>
      </c>
      <c r="CS64" s="107">
        <v>0.49405904405201151</v>
      </c>
      <c r="CT64" s="107">
        <v>0.48193278486419239</v>
      </c>
      <c r="CU64" s="107">
        <v>0.48700823417676636</v>
      </c>
      <c r="CV64" s="107">
        <v>0.49950732480302329</v>
      </c>
      <c r="CW64" s="107">
        <v>0.48473550319283132</v>
      </c>
      <c r="CX64" s="107">
        <v>0.49467515688426589</v>
      </c>
    </row>
    <row r="65" spans="1:102">
      <c r="A65" s="23"/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1:102">
      <c r="C66" s="112"/>
    </row>
    <row r="67" spans="1:102">
      <c r="C67" s="112"/>
    </row>
    <row r="68" spans="1:102">
      <c r="C68" s="112"/>
    </row>
    <row r="69" spans="1:102">
      <c r="C69" s="112"/>
    </row>
    <row r="70" spans="1:102">
      <c r="C70" s="112"/>
    </row>
    <row r="71" spans="1:102">
      <c r="C71" s="112"/>
    </row>
    <row r="77" spans="1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31" spans="3:3">
      <c r="C131" s="112"/>
    </row>
    <row r="141" spans="3:3">
      <c r="C141" s="112"/>
    </row>
    <row r="151" spans="3:3">
      <c r="C151" s="11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52"/>
  </sheetPr>
  <dimension ref="A1:CX151"/>
  <sheetViews>
    <sheetView topLeftCell="A25" workbookViewId="0">
      <selection activeCell="L49" sqref="L49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Parameters!A42</f>
        <v>Inflatie is een fiscaal verschijnsel</v>
      </c>
      <c r="C2" s="2" t="s">
        <v>129</v>
      </c>
      <c r="D2" s="1">
        <v>3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0.34992868251486231</v>
      </c>
      <c r="D4" s="95">
        <v>0.36948516084286981</v>
      </c>
      <c r="E4" s="95">
        <v>0.41122739047458279</v>
      </c>
      <c r="F4" s="95">
        <v>0.3944232853076366</v>
      </c>
      <c r="G4" s="95">
        <v>0.31465339348296623</v>
      </c>
      <c r="H4" s="95">
        <v>0.40006388425434408</v>
      </c>
      <c r="I4" s="95">
        <v>0.37756010677572438</v>
      </c>
      <c r="J4" s="95">
        <v>0.38135016861262011</v>
      </c>
      <c r="K4" s="95">
        <v>0.36479570887697482</v>
      </c>
      <c r="L4" s="95">
        <v>0.36893375370410264</v>
      </c>
      <c r="M4" s="95">
        <v>0.32339266087345758</v>
      </c>
      <c r="N4" s="95">
        <v>0.36516711432628057</v>
      </c>
      <c r="O4" s="95">
        <v>0.35421151241352311</v>
      </c>
      <c r="P4" s="95">
        <v>0.36481856942403673</v>
      </c>
      <c r="Q4" s="95">
        <v>0.38543182286150379</v>
      </c>
      <c r="R4" s="95">
        <v>0.36861060386571609</v>
      </c>
      <c r="S4" s="95">
        <v>0.3457965387505918</v>
      </c>
      <c r="T4" s="95">
        <v>0.35397736993978013</v>
      </c>
      <c r="U4" s="95">
        <v>0.38565631127118211</v>
      </c>
      <c r="V4" s="95">
        <v>0.38432804020182476</v>
      </c>
      <c r="W4" s="95">
        <v>0.34250263209873305</v>
      </c>
      <c r="X4" s="95">
        <v>0.33832029811192399</v>
      </c>
      <c r="Y4" s="95">
        <v>0.42507941629425028</v>
      </c>
      <c r="Z4" s="95">
        <v>0.45479200012651011</v>
      </c>
      <c r="AA4" s="95">
        <v>0.41072313142284445</v>
      </c>
      <c r="AB4" s="95">
        <v>0.39519694154901225</v>
      </c>
      <c r="AC4" s="95">
        <v>0.36894483844682613</v>
      </c>
      <c r="AD4" s="95">
        <v>0.37662753690397038</v>
      </c>
      <c r="AE4" s="95">
        <v>0.36203074629514043</v>
      </c>
      <c r="AF4" s="95">
        <v>0.41945544248851335</v>
      </c>
      <c r="AG4" s="95">
        <v>0.41157272079142265</v>
      </c>
      <c r="AH4" s="95">
        <v>0.38290734690760792</v>
      </c>
      <c r="AI4" s="95">
        <v>0.34262573696991994</v>
      </c>
      <c r="AJ4" s="95">
        <v>0.42758310639090319</v>
      </c>
      <c r="AK4" s="95">
        <v>0.35722683070584144</v>
      </c>
      <c r="AL4" s="95">
        <v>0.3643890122262784</v>
      </c>
      <c r="AM4" s="95">
        <v>0.38906223862926992</v>
      </c>
      <c r="AN4" s="95">
        <v>0.4517281314406178</v>
      </c>
      <c r="AO4" s="95">
        <v>0.36786477070724932</v>
      </c>
      <c r="AP4" s="95">
        <v>0.40068370667910569</v>
      </c>
      <c r="AQ4" s="95">
        <v>0.35670938947578779</v>
      </c>
      <c r="AR4" s="95">
        <v>0.34651912498917758</v>
      </c>
      <c r="AS4" s="95">
        <v>0.36736124165717282</v>
      </c>
      <c r="AT4" s="95">
        <v>0.38930315982827313</v>
      </c>
      <c r="AU4" s="95">
        <v>0.35135373855429158</v>
      </c>
      <c r="AV4" s="95">
        <v>0.3438799933227521</v>
      </c>
      <c r="AW4" s="95">
        <v>0.36694130113577345</v>
      </c>
      <c r="AX4" s="95">
        <v>0.354945663111289</v>
      </c>
      <c r="AY4" s="95">
        <v>0.34638472134271303</v>
      </c>
      <c r="AZ4" s="95">
        <v>0.38143947672898082</v>
      </c>
      <c r="BA4" s="95">
        <v>0.3940302152456015</v>
      </c>
      <c r="BB4" s="95">
        <v>0.40774818019485504</v>
      </c>
      <c r="BC4" s="95">
        <v>0.36566026076407421</v>
      </c>
      <c r="BD4" s="95">
        <v>0.38543425186673674</v>
      </c>
      <c r="BE4" s="95">
        <v>0.37387656199606334</v>
      </c>
      <c r="BF4" s="95">
        <v>0.37158398822440042</v>
      </c>
      <c r="BG4" s="95">
        <v>0.36550793079887212</v>
      </c>
      <c r="BH4" s="95">
        <v>0.38773444010388758</v>
      </c>
      <c r="BI4" s="95">
        <v>0.34386021110258097</v>
      </c>
      <c r="BJ4" s="95">
        <v>0.36054434882921371</v>
      </c>
      <c r="BK4" s="95">
        <v>0.35330364348560339</v>
      </c>
      <c r="BL4" s="95">
        <v>0.32881727407492584</v>
      </c>
      <c r="BM4" s="95">
        <v>0.35936408148374138</v>
      </c>
      <c r="BN4" s="95">
        <v>0.37269605188304616</v>
      </c>
      <c r="BO4" s="95">
        <v>0.33486420888479351</v>
      </c>
      <c r="BP4" s="95">
        <v>0.32318572676721236</v>
      </c>
      <c r="BQ4" s="95">
        <v>0.36973043434779551</v>
      </c>
      <c r="BR4" s="95">
        <v>0.41342038494087141</v>
      </c>
      <c r="BS4" s="95">
        <v>0.41450166395588323</v>
      </c>
      <c r="BT4" s="95">
        <v>0.38749635344788436</v>
      </c>
      <c r="BU4" s="95">
        <v>0.40897718759477697</v>
      </c>
      <c r="BV4" s="95">
        <v>0.35977302228347885</v>
      </c>
      <c r="BW4" s="95">
        <v>0.3823399593273395</v>
      </c>
      <c r="BX4" s="95">
        <v>0.38820528408644306</v>
      </c>
      <c r="BY4" s="95">
        <v>0.39281713727308326</v>
      </c>
      <c r="BZ4" s="95">
        <v>0.41594463720458763</v>
      </c>
      <c r="CA4" s="95">
        <v>0.4100193167238082</v>
      </c>
      <c r="CB4" s="95">
        <v>0.35858554687583666</v>
      </c>
      <c r="CC4" s="95">
        <v>0.4206665223299827</v>
      </c>
      <c r="CD4" s="95">
        <v>0.38396393357622838</v>
      </c>
      <c r="CE4" s="95">
        <v>0.33633714640546136</v>
      </c>
      <c r="CF4" s="95">
        <v>0.3713942071868403</v>
      </c>
      <c r="CG4" s="95">
        <v>0.36385510606374111</v>
      </c>
      <c r="CH4" s="95">
        <v>0.44560169950017381</v>
      </c>
      <c r="CI4" s="95">
        <v>0.32452739901154304</v>
      </c>
      <c r="CJ4" s="95">
        <v>0.36671073511950841</v>
      </c>
      <c r="CK4" s="95">
        <v>0.38403833299723156</v>
      </c>
      <c r="CL4" s="95">
        <v>0.37020779870108439</v>
      </c>
      <c r="CM4" s="95">
        <v>0.33771883532276747</v>
      </c>
      <c r="CN4" s="95">
        <v>0.34241537835396396</v>
      </c>
      <c r="CO4" s="95">
        <v>0.37221068068535196</v>
      </c>
      <c r="CP4" s="95">
        <v>0.41504527524503548</v>
      </c>
      <c r="CQ4" s="95">
        <v>0.31100264199835931</v>
      </c>
      <c r="CR4" s="95">
        <v>0.35885417725191482</v>
      </c>
      <c r="CS4" s="95">
        <v>0.35532220923560248</v>
      </c>
      <c r="CT4" s="95">
        <v>0.39099759219933478</v>
      </c>
      <c r="CU4" s="95">
        <v>0.34706445374469019</v>
      </c>
      <c r="CV4" s="95">
        <v>0.32620488468235576</v>
      </c>
      <c r="CW4" s="95">
        <v>0.37119328349038433</v>
      </c>
      <c r="CX4" s="95">
        <v>0.39893998353990645</v>
      </c>
    </row>
    <row r="5" spans="1:102" s="95" customFormat="1">
      <c r="A5" s="306" t="str">
        <f>Parameters!A51</f>
        <v>Reele matching</v>
      </c>
      <c r="B5" s="307"/>
      <c r="C5" s="95">
        <v>0.38995898629673109</v>
      </c>
      <c r="D5" s="95">
        <v>0.30654393397473378</v>
      </c>
      <c r="E5" s="95">
        <v>0.27624665168442197</v>
      </c>
      <c r="F5" s="95">
        <v>0.4119746868708305</v>
      </c>
      <c r="G5" s="95">
        <v>0.37511102555746667</v>
      </c>
      <c r="H5" s="95">
        <v>0.30376704551624811</v>
      </c>
      <c r="I5" s="95">
        <v>0.35260329769686399</v>
      </c>
      <c r="J5" s="95">
        <v>0.34162071917057862</v>
      </c>
      <c r="K5" s="95">
        <v>0.43891615602805956</v>
      </c>
      <c r="L5" s="95">
        <v>0.41396663163358111</v>
      </c>
      <c r="M5" s="95">
        <v>0.34246431937259048</v>
      </c>
      <c r="N5" s="95">
        <v>0.41677543738499823</v>
      </c>
      <c r="O5" s="95">
        <v>0.42543251763244588</v>
      </c>
      <c r="P5" s="95">
        <v>0.3889694897943558</v>
      </c>
      <c r="Q5" s="95">
        <v>0.40921951857198902</v>
      </c>
      <c r="R5" s="95">
        <v>0.36515793060937712</v>
      </c>
      <c r="S5" s="95">
        <v>0.4430635901131848</v>
      </c>
      <c r="T5" s="95">
        <v>0.36137763611197221</v>
      </c>
      <c r="U5" s="95">
        <v>0.28597232778180415</v>
      </c>
      <c r="V5" s="95">
        <v>0.43089056172772833</v>
      </c>
      <c r="W5" s="95">
        <v>0.40171002084586932</v>
      </c>
      <c r="X5" s="95">
        <v>0.3281808864043721</v>
      </c>
      <c r="Y5" s="95">
        <v>0.41260543498186458</v>
      </c>
      <c r="Z5" s="95">
        <v>0.24802498136193096</v>
      </c>
      <c r="AA5" s="95">
        <v>0.35216605928738842</v>
      </c>
      <c r="AB5" s="95">
        <v>0.38362376301500423</v>
      </c>
      <c r="AC5" s="95">
        <v>0.43095780230447572</v>
      </c>
      <c r="AD5" s="95">
        <v>0.31860882344607117</v>
      </c>
      <c r="AE5" s="95">
        <v>0.38242757190828774</v>
      </c>
      <c r="AF5" s="95">
        <v>0.38434443303162902</v>
      </c>
      <c r="AG5" s="95">
        <v>0.35972897975817414</v>
      </c>
      <c r="AH5" s="95">
        <v>0.35728274768559043</v>
      </c>
      <c r="AI5" s="95">
        <v>0.43441002595927075</v>
      </c>
      <c r="AJ5" s="95">
        <v>0.35890307815600686</v>
      </c>
      <c r="AK5" s="95">
        <v>0.35819548451098093</v>
      </c>
      <c r="AL5" s="95">
        <v>0.42433268229094634</v>
      </c>
      <c r="AM5" s="95">
        <v>0.37169577968056933</v>
      </c>
      <c r="AN5" s="95">
        <v>0.30759262532935738</v>
      </c>
      <c r="AO5" s="95">
        <v>0.37699231644414916</v>
      </c>
      <c r="AP5" s="95">
        <v>0.43222870441788819</v>
      </c>
      <c r="AQ5" s="95">
        <v>0.45856001430629784</v>
      </c>
      <c r="AR5" s="95">
        <v>0.38738363346557525</v>
      </c>
      <c r="AS5" s="95">
        <v>0.36878163710669865</v>
      </c>
      <c r="AT5" s="95">
        <v>0.38131016650866073</v>
      </c>
      <c r="AU5" s="95">
        <v>0.35505067610577556</v>
      </c>
      <c r="AV5" s="95">
        <v>0.39348043248491765</v>
      </c>
      <c r="AW5" s="95">
        <v>0.37832240365113057</v>
      </c>
      <c r="AX5" s="95">
        <v>0.44458239494441948</v>
      </c>
      <c r="AY5" s="95">
        <v>0.33214186026690157</v>
      </c>
      <c r="AZ5" s="95">
        <v>0.38389823001087431</v>
      </c>
      <c r="BA5" s="95">
        <v>0.47069170181541919</v>
      </c>
      <c r="BB5" s="95">
        <v>0.38969688062135094</v>
      </c>
      <c r="BC5" s="95">
        <v>0.43945083477172292</v>
      </c>
      <c r="BD5" s="95">
        <v>0.34703965840897744</v>
      </c>
      <c r="BE5" s="95">
        <v>0.35839943963228749</v>
      </c>
      <c r="BF5" s="95">
        <v>0.42412724591180689</v>
      </c>
      <c r="BG5" s="95">
        <v>0.4424706529473571</v>
      </c>
      <c r="BH5" s="95">
        <v>0.41582280541566718</v>
      </c>
      <c r="BI5" s="95">
        <v>0.40821857455755478</v>
      </c>
      <c r="BJ5" s="95">
        <v>0.36240513668855817</v>
      </c>
      <c r="BK5" s="95">
        <v>0.39809861601611546</v>
      </c>
      <c r="BL5" s="95">
        <v>0.40229982894420707</v>
      </c>
      <c r="BM5" s="95">
        <v>0.43317483056986966</v>
      </c>
      <c r="BN5" s="95">
        <v>0.42431711740057609</v>
      </c>
      <c r="BO5" s="95">
        <v>0.32951802396935825</v>
      </c>
      <c r="BP5" s="95">
        <v>0.38132754656934531</v>
      </c>
      <c r="BQ5" s="95">
        <v>0.35975536148609827</v>
      </c>
      <c r="BR5" s="95">
        <v>0.368791502892241</v>
      </c>
      <c r="BS5" s="95">
        <v>0.37826223066037024</v>
      </c>
      <c r="BT5" s="95">
        <v>0.45353549563739171</v>
      </c>
      <c r="BU5" s="95">
        <v>0.35720374396650773</v>
      </c>
      <c r="BV5" s="95">
        <v>0.36236873513820844</v>
      </c>
      <c r="BW5" s="95">
        <v>0.38349256114303787</v>
      </c>
      <c r="BX5" s="95">
        <v>0.39585287249207285</v>
      </c>
      <c r="BY5" s="95">
        <v>0.34978937298218704</v>
      </c>
      <c r="BZ5" s="95">
        <v>0.32764199506884156</v>
      </c>
      <c r="CA5" s="95">
        <v>0.35393762035632559</v>
      </c>
      <c r="CB5" s="95">
        <v>0.45828896706911332</v>
      </c>
      <c r="CC5" s="95">
        <v>0.38887605939652226</v>
      </c>
      <c r="CD5" s="95">
        <v>0.43718553796988907</v>
      </c>
      <c r="CE5" s="95">
        <v>0.41298889820720169</v>
      </c>
      <c r="CF5" s="95">
        <v>0.4387129583338224</v>
      </c>
      <c r="CG5" s="95">
        <v>0.31467418931874347</v>
      </c>
      <c r="CH5" s="95">
        <v>0.263584946597753</v>
      </c>
      <c r="CI5" s="95">
        <v>0.35865534776388053</v>
      </c>
      <c r="CJ5" s="95">
        <v>0.34824475382540382</v>
      </c>
      <c r="CK5" s="95">
        <v>0.40074333034569898</v>
      </c>
      <c r="CL5" s="95">
        <v>0.38229341516200244</v>
      </c>
      <c r="CM5" s="95">
        <v>0.39580235049582302</v>
      </c>
      <c r="CN5" s="95">
        <v>0.46768309919452272</v>
      </c>
      <c r="CO5" s="95">
        <v>0.37618282700769529</v>
      </c>
      <c r="CP5" s="95">
        <v>0.3926742045242364</v>
      </c>
      <c r="CQ5" s="95">
        <v>0.43334469961361688</v>
      </c>
      <c r="CR5" s="95">
        <v>0.38612545528806919</v>
      </c>
      <c r="CS5" s="95">
        <v>0.4419820298353912</v>
      </c>
      <c r="CT5" s="95">
        <v>0.37156988786007633</v>
      </c>
      <c r="CU5" s="95">
        <v>0.26847392917181612</v>
      </c>
      <c r="CV5" s="95">
        <v>0.42718255975830821</v>
      </c>
      <c r="CW5" s="95">
        <v>0.38996273348033789</v>
      </c>
      <c r="CX5" s="95">
        <v>0.40825992727345317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1.4029552914036399E-2</v>
      </c>
      <c r="D7" s="95">
        <v>1.2076279096847557E-2</v>
      </c>
      <c r="E7" s="95">
        <v>3.1158396344812736E-11</v>
      </c>
      <c r="F7" s="95">
        <v>3.863172352827774E-5</v>
      </c>
      <c r="G7" s="95">
        <v>3.4532746666472982E-5</v>
      </c>
      <c r="H7" s="95">
        <v>2.2908367606254428E-2</v>
      </c>
      <c r="I7" s="95">
        <v>1.6262749219783797E-3</v>
      </c>
      <c r="J7" s="95">
        <v>2.590641691579545E-6</v>
      </c>
      <c r="K7" s="95">
        <v>9.5333650646279851E-4</v>
      </c>
      <c r="L7" s="95">
        <v>5.4541189148807978E-3</v>
      </c>
      <c r="M7" s="95">
        <v>7.2540341621873203E-3</v>
      </c>
      <c r="N7" s="95">
        <v>2.4185369987978825E-2</v>
      </c>
      <c r="O7" s="95">
        <v>5.26329202085385E-3</v>
      </c>
      <c r="P7" s="95">
        <v>1.503659271563885E-2</v>
      </c>
      <c r="Q7" s="95">
        <v>5.2627744457983466E-4</v>
      </c>
      <c r="R7" s="95">
        <v>2.3402352192456962E-3</v>
      </c>
      <c r="S7" s="95">
        <v>1.4223197176478557E-2</v>
      </c>
      <c r="T7" s="95">
        <v>1.9383150034798607E-2</v>
      </c>
      <c r="U7" s="95">
        <v>2.8214048454889736E-3</v>
      </c>
      <c r="V7" s="95">
        <v>1.2466050606395468E-2</v>
      </c>
      <c r="W7" s="95">
        <v>2.1374196071866712E-2</v>
      </c>
      <c r="X7" s="95">
        <v>2.2320450822494894E-2</v>
      </c>
      <c r="Y7" s="95">
        <v>6.9081934077749212E-4</v>
      </c>
      <c r="Z7" s="95">
        <v>8.3794599256278989E-6</v>
      </c>
      <c r="AA7" s="95">
        <v>3.3992899526038904E-5</v>
      </c>
      <c r="AB7" s="95">
        <v>1.5644446481511327E-3</v>
      </c>
      <c r="AC7" s="95">
        <v>4.0872099685476665E-4</v>
      </c>
      <c r="AD7" s="95">
        <v>1.7216665543045351E-2</v>
      </c>
      <c r="AE7" s="95">
        <v>1.576676626527021E-3</v>
      </c>
      <c r="AF7" s="95">
        <v>5.1344382855587171E-3</v>
      </c>
      <c r="AG7" s="95">
        <v>2.3164998771566287E-3</v>
      </c>
      <c r="AH7" s="95">
        <v>1.8307469039714648E-2</v>
      </c>
      <c r="AI7" s="95">
        <v>1.8229652743353235E-3</v>
      </c>
      <c r="AJ7" s="95">
        <v>9.1619161030252825E-4</v>
      </c>
      <c r="AK7" s="95">
        <v>8.5347874812556916E-4</v>
      </c>
      <c r="AL7" s="95">
        <v>6.9538937660793953E-3</v>
      </c>
      <c r="AM7" s="95">
        <v>5.8438877324922043E-4</v>
      </c>
      <c r="AN7" s="95">
        <v>2.8561128020764931E-5</v>
      </c>
      <c r="AO7" s="95">
        <v>4.1404974914000705E-7</v>
      </c>
      <c r="AP7" s="95">
        <v>3.7168964222590051E-5</v>
      </c>
      <c r="AQ7" s="95">
        <v>4.8162711444400847E-10</v>
      </c>
      <c r="AR7" s="95">
        <v>5.7498741386000363E-3</v>
      </c>
      <c r="AS7" s="95">
        <v>1.9194286996491868E-3</v>
      </c>
      <c r="AT7" s="95">
        <v>4.0293990630827974E-5</v>
      </c>
      <c r="AU7" s="95">
        <v>3.5760883657300561E-2</v>
      </c>
      <c r="AV7" s="95">
        <v>4.3835230391897524E-3</v>
      </c>
      <c r="AW7" s="95">
        <v>9.1496188276198442E-3</v>
      </c>
      <c r="AX7" s="95">
        <v>6.6437705124380818E-3</v>
      </c>
      <c r="AY7" s="95">
        <v>4.2754957734616988E-2</v>
      </c>
      <c r="AZ7" s="95">
        <v>8.7599801947004543E-5</v>
      </c>
      <c r="BA7" s="95">
        <v>2.4973648998488571E-3</v>
      </c>
      <c r="BB7" s="95">
        <v>4.4679377768524989E-3</v>
      </c>
      <c r="BC7" s="95">
        <v>1.1416442204449609E-2</v>
      </c>
      <c r="BD7" s="95">
        <v>1.4821662012077285E-2</v>
      </c>
      <c r="BE7" s="95">
        <v>5.0186160369462385E-2</v>
      </c>
      <c r="BF7" s="95">
        <v>2.9559485430644104E-2</v>
      </c>
      <c r="BG7" s="95">
        <v>1.864513709572223E-3</v>
      </c>
      <c r="BH7" s="95">
        <v>2.6362461094121104E-4</v>
      </c>
      <c r="BI7" s="95">
        <v>3.2552668531597244E-3</v>
      </c>
      <c r="BJ7" s="95">
        <v>4.8460748609343133E-8</v>
      </c>
      <c r="BK7" s="95">
        <v>1.7870455841971452E-5</v>
      </c>
      <c r="BL7" s="95">
        <v>1.8725062504199374E-2</v>
      </c>
      <c r="BM7" s="95">
        <v>2.453587419971755E-4</v>
      </c>
      <c r="BN7" s="95">
        <v>6.9076488739048305E-7</v>
      </c>
      <c r="BO7" s="95">
        <v>3.7815111586279697E-4</v>
      </c>
      <c r="BP7" s="95">
        <v>2.4245132233161534E-2</v>
      </c>
      <c r="BQ7" s="95">
        <v>5.9798580188006557E-3</v>
      </c>
      <c r="BR7" s="95">
        <v>1.8176246277921823E-5</v>
      </c>
      <c r="BS7" s="95">
        <v>8.9499410758260426E-4</v>
      </c>
      <c r="BT7" s="95">
        <v>6.639295430323662E-4</v>
      </c>
      <c r="BU7" s="95">
        <v>2.3642625907848436E-2</v>
      </c>
      <c r="BV7" s="95">
        <v>3.1067688998465362E-2</v>
      </c>
      <c r="BW7" s="95">
        <v>5.565912443989484E-2</v>
      </c>
      <c r="BX7" s="95">
        <v>1.1759164635250901E-2</v>
      </c>
      <c r="BY7" s="95">
        <v>3.1496223967336347E-2</v>
      </c>
      <c r="BZ7" s="95">
        <v>1.0027132627028256E-3</v>
      </c>
      <c r="CA7" s="95">
        <v>2.0370383525786673E-2</v>
      </c>
      <c r="CB7" s="95">
        <v>1.7704291485614768E-2</v>
      </c>
      <c r="CC7" s="95">
        <v>5.4593590801398197E-3</v>
      </c>
      <c r="CD7" s="95">
        <v>6.4406238358280792E-10</v>
      </c>
      <c r="CE7" s="95">
        <v>4.1429807546998501E-2</v>
      </c>
      <c r="CF7" s="95">
        <v>1.667299875533439E-2</v>
      </c>
      <c r="CG7" s="95">
        <v>1.5444124128733996E-2</v>
      </c>
      <c r="CH7" s="95">
        <v>1.3974945537805209E-2</v>
      </c>
      <c r="CI7" s="95">
        <v>6.0677460388056416E-2</v>
      </c>
      <c r="CJ7" s="95">
        <v>4.580085155744683E-3</v>
      </c>
      <c r="CK7" s="95">
        <v>1.6360604185899876E-10</v>
      </c>
      <c r="CL7" s="95">
        <v>1.2431109669169485E-2</v>
      </c>
      <c r="CM7" s="95">
        <v>5.2628485559041913E-2</v>
      </c>
      <c r="CN7" s="95">
        <v>1.0400749159829158E-4</v>
      </c>
      <c r="CO7" s="95">
        <v>2.2283231267548342E-2</v>
      </c>
      <c r="CP7" s="95">
        <v>2.25721350103038E-2</v>
      </c>
      <c r="CQ7" s="95">
        <v>2.2235073711718043E-2</v>
      </c>
      <c r="CR7" s="95">
        <v>2.0249635440990502E-4</v>
      </c>
      <c r="CS7" s="95">
        <v>3.4342882355508704E-2</v>
      </c>
      <c r="CT7" s="95">
        <v>3.9880490493967042E-3</v>
      </c>
      <c r="CU7" s="95">
        <v>5.5351044354371715E-2</v>
      </c>
      <c r="CV7" s="95">
        <v>2.0292804898178803E-5</v>
      </c>
      <c r="CW7" s="95">
        <v>5.6016899836184263E-2</v>
      </c>
      <c r="CX7" s="95">
        <v>6.4877364231148184E-3</v>
      </c>
    </row>
    <row r="8" spans="1:102" s="95" customFormat="1">
      <c r="A8" s="306" t="str">
        <f>Parameters!A54</f>
        <v>Emerging market debt</v>
      </c>
      <c r="B8" s="307"/>
      <c r="C8" s="95">
        <v>8.2537849004293895E-2</v>
      </c>
      <c r="D8" s="95">
        <v>0.11243550510808992</v>
      </c>
      <c r="E8" s="95">
        <v>7.6940385911831444E-2</v>
      </c>
      <c r="F8" s="95">
        <v>2.214972758628584E-2</v>
      </c>
      <c r="G8" s="95">
        <v>0.1189576011566599</v>
      </c>
      <c r="H8" s="95">
        <v>6.0185320418218752E-2</v>
      </c>
      <c r="I8" s="95">
        <v>0.11117168207396573</v>
      </c>
      <c r="J8" s="95">
        <v>9.1335341141670604E-4</v>
      </c>
      <c r="K8" s="95">
        <v>2.9067675054104191E-2</v>
      </c>
      <c r="L8" s="95">
        <v>7.34194245346836E-2</v>
      </c>
      <c r="M8" s="95">
        <v>9.7415484751351145E-2</v>
      </c>
      <c r="N8" s="95">
        <v>5.1798100986615532E-2</v>
      </c>
      <c r="O8" s="95">
        <v>6.7675112341020138E-2</v>
      </c>
      <c r="P8" s="95">
        <v>0.10840911841344077</v>
      </c>
      <c r="Q8" s="95">
        <v>9.3143250188726212E-2</v>
      </c>
      <c r="R8" s="95">
        <v>3.436860092686559E-2</v>
      </c>
      <c r="S8" s="95">
        <v>9.4767793204093374E-3</v>
      </c>
      <c r="T8" s="95">
        <v>9.5753593375801763E-2</v>
      </c>
      <c r="U8" s="95">
        <v>3.1621090241545663E-4</v>
      </c>
      <c r="V8" s="95">
        <v>2.4400914357206543E-8</v>
      </c>
      <c r="W8" s="95">
        <v>1.8378981928201496E-4</v>
      </c>
      <c r="X8" s="95">
        <v>0.11278346053018649</v>
      </c>
      <c r="Y8" s="95">
        <v>1.4255251862922182E-3</v>
      </c>
      <c r="Z8" s="95">
        <v>6.2635959762883803E-3</v>
      </c>
      <c r="AA8" s="95">
        <v>6.9836504222242192E-3</v>
      </c>
      <c r="AB8" s="95">
        <v>9.7573619273141904E-5</v>
      </c>
      <c r="AC8" s="95">
        <v>3.7500803596947345E-2</v>
      </c>
      <c r="AD8" s="95">
        <v>3.7088754056184989E-2</v>
      </c>
      <c r="AE8" s="95">
        <v>0.10532174191570715</v>
      </c>
      <c r="AF8" s="95">
        <v>3.8515711981312499E-3</v>
      </c>
      <c r="AG8" s="95">
        <v>9.2014405635379604E-2</v>
      </c>
      <c r="AH8" s="95">
        <v>1.1459014751554977E-4</v>
      </c>
      <c r="AI8" s="95">
        <v>3.7109467338975112E-2</v>
      </c>
      <c r="AJ8" s="95">
        <v>1.1623785789634737E-2</v>
      </c>
      <c r="AK8" s="95">
        <v>2.5301808032721852E-3</v>
      </c>
      <c r="AL8" s="95">
        <v>1.3472629279044282E-4</v>
      </c>
      <c r="AM8" s="95">
        <v>3.2729156501230448E-2</v>
      </c>
      <c r="AN8" s="95">
        <v>2.1554350408350527E-6</v>
      </c>
      <c r="AO8" s="95">
        <v>0.11834311325827498</v>
      </c>
      <c r="AP8" s="95">
        <v>4.8452839313360578E-2</v>
      </c>
      <c r="AQ8" s="95">
        <v>4.3151602259277264E-2</v>
      </c>
      <c r="AR8" s="95">
        <v>0.11966726995028387</v>
      </c>
      <c r="AS8" s="95">
        <v>6.672027441605799E-2</v>
      </c>
      <c r="AT8" s="95">
        <v>8.1061705331030201E-2</v>
      </c>
      <c r="AU8" s="95">
        <v>8.2403575006722066E-4</v>
      </c>
      <c r="AV8" s="95">
        <v>2.8979873816986E-4</v>
      </c>
      <c r="AW8" s="95">
        <v>0.11293483765980289</v>
      </c>
      <c r="AX8" s="95">
        <v>3.8855215265078513E-2</v>
      </c>
      <c r="AY8" s="95">
        <v>1.19850550191993E-7</v>
      </c>
      <c r="AZ8" s="95">
        <v>4.2201032610475898E-2</v>
      </c>
      <c r="BA8" s="95">
        <v>6.1547041520319215E-2</v>
      </c>
      <c r="BB8" s="95">
        <v>7.4003623164445892E-2</v>
      </c>
      <c r="BC8" s="95">
        <v>4.1221140972903164E-2</v>
      </c>
      <c r="BD8" s="95">
        <v>3.9706138338779909E-2</v>
      </c>
      <c r="BE8" s="95">
        <v>1.8997010566922318E-3</v>
      </c>
      <c r="BF8" s="95">
        <v>5.8896238797945075E-2</v>
      </c>
      <c r="BG8" s="95">
        <v>6.1569172339149401E-2</v>
      </c>
      <c r="BH8" s="95">
        <v>7.0998913394367619E-2</v>
      </c>
      <c r="BI8" s="95">
        <v>7.6641864154664674E-2</v>
      </c>
      <c r="BJ8" s="95">
        <v>6.4194131248595535E-2</v>
      </c>
      <c r="BK8" s="95">
        <v>8.8938913678292167E-2</v>
      </c>
      <c r="BL8" s="95">
        <v>0.10847051838321316</v>
      </c>
      <c r="BM8" s="95">
        <v>3.4412187431433018E-2</v>
      </c>
      <c r="BN8" s="95">
        <v>1.3073711128060375E-2</v>
      </c>
      <c r="BO8" s="95">
        <v>9.1535024422558786E-3</v>
      </c>
      <c r="BP8" s="95">
        <v>2.1426676562538174E-2</v>
      </c>
      <c r="BQ8" s="95">
        <v>0.13467228714801002</v>
      </c>
      <c r="BR8" s="95">
        <v>5.4389514817140452E-2</v>
      </c>
      <c r="BS8" s="95">
        <v>5.8739660676129977E-2</v>
      </c>
      <c r="BT8" s="95">
        <v>5.674190174326204E-2</v>
      </c>
      <c r="BU8" s="95">
        <v>7.9853259245198122E-2</v>
      </c>
      <c r="BV8" s="95">
        <v>5.5576914582876086E-4</v>
      </c>
      <c r="BW8" s="95">
        <v>5.6772005679935525E-2</v>
      </c>
      <c r="BX8" s="95">
        <v>0.10403802099951677</v>
      </c>
      <c r="BY8" s="95">
        <v>3.9472056179654005E-2</v>
      </c>
      <c r="BZ8" s="95">
        <v>6.3147743278474708E-2</v>
      </c>
      <c r="CA8" s="95">
        <v>3.4646747561543755E-2</v>
      </c>
      <c r="CB8" s="95">
        <v>3.2260922751238756E-2</v>
      </c>
      <c r="CC8" s="95">
        <v>1.8691605385414971E-2</v>
      </c>
      <c r="CD8" s="95">
        <v>7.2766225984881056E-2</v>
      </c>
      <c r="CE8" s="95">
        <v>6.1039409244782586E-2</v>
      </c>
      <c r="CF8" s="95">
        <v>7.320470882872282E-2</v>
      </c>
      <c r="CG8" s="95">
        <v>0.12793629810146145</v>
      </c>
      <c r="CH8" s="95">
        <v>2.3346721807973236E-3</v>
      </c>
      <c r="CI8" s="95">
        <v>2.2702469268961766E-3</v>
      </c>
      <c r="CJ8" s="95">
        <v>1.4497542241571524E-2</v>
      </c>
      <c r="CK8" s="95">
        <v>7.2481267427149068E-2</v>
      </c>
      <c r="CL8" s="95">
        <v>7.6217278446742004E-2</v>
      </c>
      <c r="CM8" s="95">
        <v>0.10233784444491947</v>
      </c>
      <c r="CN8" s="95">
        <v>6.9785583056044806E-2</v>
      </c>
      <c r="CO8" s="95">
        <v>7.4689776907976846E-2</v>
      </c>
      <c r="CP8" s="95">
        <v>4.3067907704470688E-4</v>
      </c>
      <c r="CQ8" s="95">
        <v>9.8567576902837736E-3</v>
      </c>
      <c r="CR8" s="95">
        <v>2.1890243295475727E-2</v>
      </c>
      <c r="CS8" s="95">
        <v>5.770371482296769E-2</v>
      </c>
      <c r="CT8" s="95">
        <v>2.2186101791222195E-9</v>
      </c>
      <c r="CU8" s="95">
        <v>3.5775513773806111E-3</v>
      </c>
      <c r="CV8" s="95">
        <v>0.12142804378877936</v>
      </c>
      <c r="CW8" s="95">
        <v>1.5672427259436874E-2</v>
      </c>
      <c r="CX8" s="95">
        <v>5.9036282452317831E-2</v>
      </c>
    </row>
    <row r="9" spans="1:102" s="95" customFormat="1">
      <c r="A9" s="306" t="str">
        <f>Parameters!A55</f>
        <v>Aandelen ontwikkeld</v>
      </c>
      <c r="B9" s="307"/>
      <c r="C9" s="95">
        <v>8.1247924346003642E-2</v>
      </c>
      <c r="D9" s="95">
        <v>0.11892125358827048</v>
      </c>
      <c r="E9" s="95">
        <v>0.14180566234568173</v>
      </c>
      <c r="F9" s="95">
        <v>9.6641592414263053E-2</v>
      </c>
      <c r="G9" s="95">
        <v>8.1918101659120959E-2</v>
      </c>
      <c r="H9" s="95">
        <v>0.12292052652987337</v>
      </c>
      <c r="I9" s="95">
        <v>3.8263915685085123E-2</v>
      </c>
      <c r="J9" s="95">
        <v>0.12371968363125314</v>
      </c>
      <c r="K9" s="95">
        <v>8.3303319254446395E-2</v>
      </c>
      <c r="L9" s="95">
        <v>2.5949456722287562E-2</v>
      </c>
      <c r="M9" s="95">
        <v>0.11148528679560225</v>
      </c>
      <c r="N9" s="95">
        <v>3.8650522127286584E-2</v>
      </c>
      <c r="O9" s="95">
        <v>9.2735014297049098E-2</v>
      </c>
      <c r="P9" s="95">
        <v>1.1648640010458954E-5</v>
      </c>
      <c r="Q9" s="95">
        <v>4.5448225954830609E-3</v>
      </c>
      <c r="R9" s="95">
        <v>0.12208515258352781</v>
      </c>
      <c r="S9" s="95">
        <v>8.7353976573508144E-2</v>
      </c>
      <c r="T9" s="95">
        <v>3.5053902161392592E-2</v>
      </c>
      <c r="U9" s="95">
        <v>0.13766643838124984</v>
      </c>
      <c r="V9" s="95">
        <v>7.075793045245396E-2</v>
      </c>
      <c r="W9" s="95">
        <v>0.12041327051157352</v>
      </c>
      <c r="X9" s="95">
        <v>9.5664125354999505E-2</v>
      </c>
      <c r="Y9" s="95">
        <v>7.8939800760156831E-2</v>
      </c>
      <c r="Z9" s="95">
        <v>0.1350116072958471</v>
      </c>
      <c r="AA9" s="95">
        <v>7.3878300511689407E-2</v>
      </c>
      <c r="AB9" s="95">
        <v>4.2674153292500218E-2</v>
      </c>
      <c r="AC9" s="95">
        <v>4.4931981697628284E-2</v>
      </c>
      <c r="AD9" s="95">
        <v>9.8165752281960006E-2</v>
      </c>
      <c r="AE9" s="95">
        <v>4.5501570658964034E-2</v>
      </c>
      <c r="AF9" s="95">
        <v>3.863298018174436E-2</v>
      </c>
      <c r="AG9" s="95">
        <v>2.67760056240622E-2</v>
      </c>
      <c r="AH9" s="95">
        <v>4.7940157904952922E-2</v>
      </c>
      <c r="AI9" s="95">
        <v>4.1743705803822376E-2</v>
      </c>
      <c r="AJ9" s="95">
        <v>2.4651541261084303E-2</v>
      </c>
      <c r="AK9" s="95">
        <v>4.3336513250561981E-2</v>
      </c>
      <c r="AL9" s="95">
        <v>9.3202372623557267E-2</v>
      </c>
      <c r="AM9" s="95">
        <v>3.1933422099813501E-2</v>
      </c>
      <c r="AN9" s="95">
        <v>0.11318909401054184</v>
      </c>
      <c r="AO9" s="95">
        <v>0.10835852523236672</v>
      </c>
      <c r="AP9" s="95">
        <v>4.1763753346439517E-2</v>
      </c>
      <c r="AQ9" s="95">
        <v>3.5989220979880686E-2</v>
      </c>
      <c r="AR9" s="95">
        <v>8.5316915335159033E-2</v>
      </c>
      <c r="AS9" s="95">
        <v>9.1824072918097466E-2</v>
      </c>
      <c r="AT9" s="95">
        <v>4.0028178653435508E-3</v>
      </c>
      <c r="AU9" s="95">
        <v>0.1176005473143264</v>
      </c>
      <c r="AV9" s="95">
        <v>6.0275366492099497E-2</v>
      </c>
      <c r="AW9" s="95">
        <v>1.5536513932417181E-3</v>
      </c>
      <c r="AX9" s="95">
        <v>3.446180392637959E-2</v>
      </c>
      <c r="AY9" s="95">
        <v>8.3362441705024229E-2</v>
      </c>
      <c r="AZ9" s="95">
        <v>8.7262172916166263E-3</v>
      </c>
      <c r="BA9" s="95">
        <v>2.5914067850252364E-2</v>
      </c>
      <c r="BB9" s="95">
        <v>3.6477028457025433E-2</v>
      </c>
      <c r="BC9" s="95">
        <v>4.0870388979383256E-2</v>
      </c>
      <c r="BD9" s="95">
        <v>4.0773752441153145E-2</v>
      </c>
      <c r="BE9" s="95">
        <v>0.11996576106768726</v>
      </c>
      <c r="BF9" s="95">
        <v>8.9350512314115033E-2</v>
      </c>
      <c r="BG9" s="95">
        <v>7.5560610262901838E-3</v>
      </c>
      <c r="BH9" s="95">
        <v>1.7139601040715825E-4</v>
      </c>
      <c r="BI9" s="95">
        <v>5.2476840575639214E-3</v>
      </c>
      <c r="BJ9" s="95">
        <v>2.3412409006864232E-4</v>
      </c>
      <c r="BK9" s="95">
        <v>3.823318247051355E-5</v>
      </c>
      <c r="BL9" s="95">
        <v>4.9265387662101407E-3</v>
      </c>
      <c r="BM9" s="95">
        <v>0.10254058045028357</v>
      </c>
      <c r="BN9" s="95">
        <v>9.8906525070391646E-2</v>
      </c>
      <c r="BO9" s="95">
        <v>0.15458012302771579</v>
      </c>
      <c r="BP9" s="95">
        <v>5.678358299483257E-2</v>
      </c>
      <c r="BQ9" s="95">
        <v>3.4443119812288765E-2</v>
      </c>
      <c r="BR9" s="95">
        <v>7.0863336199894614E-2</v>
      </c>
      <c r="BS9" s="95">
        <v>3.1140545387177497E-2</v>
      </c>
      <c r="BT9" s="95">
        <v>6.9110308806743292E-2</v>
      </c>
      <c r="BU9" s="95">
        <v>2.7712125177534547E-2</v>
      </c>
      <c r="BV9" s="95">
        <v>2.6308584882841608E-2</v>
      </c>
      <c r="BW9" s="95">
        <v>2.1166021385408469E-2</v>
      </c>
      <c r="BX9" s="95">
        <v>1.0940307612646329E-3</v>
      </c>
      <c r="BY9" s="95">
        <v>5.6903950817566815E-2</v>
      </c>
      <c r="BZ9" s="95">
        <v>2.8976682628559659E-2</v>
      </c>
      <c r="CA9" s="95">
        <v>1.7217858341878813E-8</v>
      </c>
      <c r="CB9" s="95">
        <v>4.7850269999183848E-2</v>
      </c>
      <c r="CC9" s="95">
        <v>3.8388548552651225E-2</v>
      </c>
      <c r="CD9" s="95">
        <v>6.2250584980011415E-4</v>
      </c>
      <c r="CE9" s="95">
        <v>6.6793825974918147E-2</v>
      </c>
      <c r="CF9" s="95">
        <v>9.3690365654637314E-2</v>
      </c>
      <c r="CG9" s="95">
        <v>9.7367593232843885E-2</v>
      </c>
      <c r="CH9" s="95">
        <v>6.1952801123626451E-2</v>
      </c>
      <c r="CI9" s="95">
        <v>9.9371129488997401E-2</v>
      </c>
      <c r="CJ9" s="95">
        <v>2.4331169266613929E-2</v>
      </c>
      <c r="CK9" s="95">
        <v>1.6777150476540895E-2</v>
      </c>
      <c r="CL9" s="95">
        <v>1.1996305790110726E-2</v>
      </c>
      <c r="CM9" s="95">
        <v>3.8754566949599882E-2</v>
      </c>
      <c r="CN9" s="95">
        <v>2.5801434560946624E-2</v>
      </c>
      <c r="CO9" s="95">
        <v>3.1734891073064819E-2</v>
      </c>
      <c r="CP9" s="95">
        <v>7.0114385854096288E-3</v>
      </c>
      <c r="CQ9" s="95">
        <v>5.7353707035276112E-2</v>
      </c>
      <c r="CR9" s="95">
        <v>3.0588998876350474E-2</v>
      </c>
      <c r="CS9" s="95">
        <v>4.1429316741917431E-3</v>
      </c>
      <c r="CT9" s="95">
        <v>2.6104076856357478E-2</v>
      </c>
      <c r="CU9" s="95">
        <v>0.15267007242055772</v>
      </c>
      <c r="CV9" s="95">
        <v>9.0315250915892521E-3</v>
      </c>
      <c r="CW9" s="95">
        <v>7.4893069731316014E-2</v>
      </c>
      <c r="CX9" s="95">
        <v>4.2518860206045492E-2</v>
      </c>
    </row>
    <row r="10" spans="1:102" s="95" customFormat="1">
      <c r="A10" s="306" t="str">
        <f>Parameters!A56</f>
        <v>Aandelen opkomend</v>
      </c>
      <c r="B10" s="307"/>
      <c r="C10" s="95">
        <v>2.5510476879365144E-2</v>
      </c>
      <c r="D10" s="95">
        <v>1.6792741827085653E-2</v>
      </c>
      <c r="E10" s="95">
        <v>1.9193578759923945E-3</v>
      </c>
      <c r="F10" s="95">
        <v>2.3182062056736025E-2</v>
      </c>
      <c r="G10" s="95">
        <v>1.225408158915523E-2</v>
      </c>
      <c r="H10" s="95">
        <v>4.6765332783309426E-7</v>
      </c>
      <c r="I10" s="95">
        <v>8.2294040320338074E-2</v>
      </c>
      <c r="J10" s="95">
        <v>2.3216138657460902E-2</v>
      </c>
      <c r="K10" s="95">
        <v>2.7085672346407647E-2</v>
      </c>
      <c r="L10" s="95">
        <v>3.9915345817331097E-2</v>
      </c>
      <c r="M10" s="95">
        <v>3.5912829695965353E-3</v>
      </c>
      <c r="N10" s="95">
        <v>6.7187544744388627E-3</v>
      </c>
      <c r="O10" s="95">
        <v>1.7814539624686357E-6</v>
      </c>
      <c r="P10" s="95">
        <v>5.5887116459612987E-2</v>
      </c>
      <c r="Q10" s="95">
        <v>5.1386913963562188E-2</v>
      </c>
      <c r="R10" s="95">
        <v>8.985517449900275E-4</v>
      </c>
      <c r="S10" s="95">
        <v>2.973531572290113E-3</v>
      </c>
      <c r="T10" s="95">
        <v>8.8242207898927838E-2</v>
      </c>
      <c r="U10" s="95">
        <v>5.060598528056303E-3</v>
      </c>
      <c r="V10" s="95">
        <v>2.6142883367824173E-2</v>
      </c>
      <c r="W10" s="95">
        <v>3.6254309253083455E-2</v>
      </c>
      <c r="X10" s="95">
        <v>4.8223889872475195E-2</v>
      </c>
      <c r="Y10" s="95">
        <v>5.0123918742345046E-4</v>
      </c>
      <c r="Z10" s="95">
        <v>4.6659596425984214E-3</v>
      </c>
      <c r="AA10" s="95">
        <v>0.10483855166728645</v>
      </c>
      <c r="AB10" s="95">
        <v>8.5455552701633464E-2</v>
      </c>
      <c r="AC10" s="95">
        <v>1.1832455225740206E-2</v>
      </c>
      <c r="AD10" s="95">
        <v>3.2247210917686231E-2</v>
      </c>
      <c r="AE10" s="95">
        <v>5.9609664697711819E-2</v>
      </c>
      <c r="AF10" s="95">
        <v>6.8746130662604904E-2</v>
      </c>
      <c r="AG10" s="95">
        <v>3.850840605923263E-5</v>
      </c>
      <c r="AH10" s="95">
        <v>1.2058310524982862E-2</v>
      </c>
      <c r="AI10" s="95">
        <v>2.243052671832688E-2</v>
      </c>
      <c r="AJ10" s="95">
        <v>9.1251671350994379E-2</v>
      </c>
      <c r="AK10" s="95">
        <v>7.7051183946550264E-2</v>
      </c>
      <c r="AL10" s="95">
        <v>4.9009855929447359E-3</v>
      </c>
      <c r="AM10" s="95">
        <v>3.5386658645366643E-2</v>
      </c>
      <c r="AN10" s="95">
        <v>6.3489368790035708E-3</v>
      </c>
      <c r="AO10" s="95">
        <v>1.8560642040099906E-6</v>
      </c>
      <c r="AP10" s="95">
        <v>7.2500751118528245E-2</v>
      </c>
      <c r="AQ10" s="95">
        <v>2.5993813530810643E-2</v>
      </c>
      <c r="AR10" s="95">
        <v>1.7858908208652885E-3</v>
      </c>
      <c r="AS10" s="95">
        <v>3.4555340532924722E-2</v>
      </c>
      <c r="AT10" s="95">
        <v>0.11232277357153227</v>
      </c>
      <c r="AU10" s="95">
        <v>4.8308051747766749E-2</v>
      </c>
      <c r="AV10" s="95">
        <v>7.4642107498879451E-2</v>
      </c>
      <c r="AW10" s="95">
        <v>2.4143327206147192E-2</v>
      </c>
      <c r="AX10" s="95">
        <v>1.1637247410020446E-6</v>
      </c>
      <c r="AY10" s="95">
        <v>1.41196758168004E-2</v>
      </c>
      <c r="AZ10" s="95">
        <v>0.11449955750578465</v>
      </c>
      <c r="BA10" s="95">
        <v>1.3810179848493906E-2</v>
      </c>
      <c r="BB10" s="95">
        <v>4.9652701508965287E-2</v>
      </c>
      <c r="BC10" s="95">
        <v>2.2854096055367923E-2</v>
      </c>
      <c r="BD10" s="95">
        <v>2.207063861500861E-2</v>
      </c>
      <c r="BE10" s="95">
        <v>1.8137120291934869E-4</v>
      </c>
      <c r="BF10" s="95">
        <v>1.2809167050052825E-3</v>
      </c>
      <c r="BG10" s="95">
        <v>5.2724318470066929E-2</v>
      </c>
      <c r="BH10" s="95">
        <v>9.0004561550384554E-2</v>
      </c>
      <c r="BI10" s="95">
        <v>6.5018719873539813E-2</v>
      </c>
      <c r="BJ10" s="95">
        <v>7.8354387201889378E-2</v>
      </c>
      <c r="BK10" s="95">
        <v>5.9364457749809391E-2</v>
      </c>
      <c r="BL10" s="95">
        <v>3.153982835476949E-2</v>
      </c>
      <c r="BM10" s="95">
        <v>5.3790317027712703E-3</v>
      </c>
      <c r="BN10" s="95">
        <v>3.476278742816407E-2</v>
      </c>
      <c r="BO10" s="95">
        <v>1.5125193883758093E-2</v>
      </c>
      <c r="BP10" s="95">
        <v>5.9308420022294944E-2</v>
      </c>
      <c r="BQ10" s="95">
        <v>6.2222231400110892E-2</v>
      </c>
      <c r="BR10" s="95">
        <v>5.6497799045089427E-2</v>
      </c>
      <c r="BS10" s="95">
        <v>1.549536129873933E-3</v>
      </c>
      <c r="BT10" s="95">
        <v>8.3357613239624386E-5</v>
      </c>
      <c r="BU10" s="95">
        <v>2.5650974506406046E-2</v>
      </c>
      <c r="BV10" s="95">
        <v>8.052756954041683E-2</v>
      </c>
      <c r="BW10" s="95">
        <v>8.3630415694349557E-3</v>
      </c>
      <c r="BX10" s="95">
        <v>3.286161708930959E-2</v>
      </c>
      <c r="BY10" s="95">
        <v>7.982311407926863E-3</v>
      </c>
      <c r="BZ10" s="95">
        <v>1.1572709962674461E-2</v>
      </c>
      <c r="CA10" s="95">
        <v>5.8399967682090007E-2</v>
      </c>
      <c r="CB10" s="95">
        <v>1.7559220697148999E-2</v>
      </c>
      <c r="CC10" s="95">
        <v>1.0998449685415312E-2</v>
      </c>
      <c r="CD10" s="95">
        <v>4.9475034099588623E-2</v>
      </c>
      <c r="CE10" s="95">
        <v>1.5163843933054637E-3</v>
      </c>
      <c r="CF10" s="95">
        <v>1.8466399379394697E-5</v>
      </c>
      <c r="CG10" s="95">
        <v>4.5272894002735757E-2</v>
      </c>
      <c r="CH10" s="95">
        <v>4.1747377106092297E-2</v>
      </c>
      <c r="CI10" s="95">
        <v>2.627123504157468E-6</v>
      </c>
      <c r="CJ10" s="95">
        <v>0.11870561687854903</v>
      </c>
      <c r="CK10" s="95">
        <v>7.359822926480776E-2</v>
      </c>
      <c r="CL10" s="95">
        <v>4.263112923963746E-4</v>
      </c>
      <c r="CM10" s="95">
        <v>3.7180980703563189E-2</v>
      </c>
      <c r="CN10" s="95">
        <v>5.4573189765071018E-3</v>
      </c>
      <c r="CO10" s="95">
        <v>2.0881214242944868E-2</v>
      </c>
      <c r="CP10" s="95">
        <v>7.3916279639432592E-2</v>
      </c>
      <c r="CQ10" s="95">
        <v>5.4684242623409475E-5</v>
      </c>
      <c r="CR10" s="95">
        <v>6.9285029456171363E-2</v>
      </c>
      <c r="CS10" s="95">
        <v>5.1764542588873551E-2</v>
      </c>
      <c r="CT10" s="95">
        <v>5.7536537057492863E-2</v>
      </c>
      <c r="CU10" s="95">
        <v>3.2739761148427946E-3</v>
      </c>
      <c r="CV10" s="95">
        <v>5.539958955935803E-7</v>
      </c>
      <c r="CW10" s="95">
        <v>5.7971847426186086E-5</v>
      </c>
      <c r="CX10" s="95">
        <v>5.8321698795065283E-2</v>
      </c>
    </row>
    <row r="11" spans="1:102" s="95" customFormat="1">
      <c r="A11" s="306" t="str">
        <f>Parameters!A57</f>
        <v>Hedge funds</v>
      </c>
      <c r="B11" s="307"/>
      <c r="C11" s="95">
        <v>1.7957925399192859E-2</v>
      </c>
      <c r="D11" s="95">
        <v>2.2525496477672933E-5</v>
      </c>
      <c r="E11" s="95">
        <v>5.378093441504811E-4</v>
      </c>
      <c r="F11" s="95">
        <v>2.1421000086158898E-5</v>
      </c>
      <c r="G11" s="95">
        <v>1.7018954166365462E-2</v>
      </c>
      <c r="H11" s="95">
        <v>1.5741570995854235E-3</v>
      </c>
      <c r="I11" s="95">
        <v>1.5695325862009358E-12</v>
      </c>
      <c r="J11" s="95">
        <v>7.2760977288413381E-2</v>
      </c>
      <c r="K11" s="95">
        <v>6.5363569201153107E-5</v>
      </c>
      <c r="L11" s="95">
        <v>2.852610199287584E-3</v>
      </c>
      <c r="M11" s="95">
        <v>5.3243981607165279E-3</v>
      </c>
      <c r="N11" s="95">
        <v>8.3143298878295153E-3</v>
      </c>
      <c r="O11" s="95">
        <v>4.9317989520841224E-2</v>
      </c>
      <c r="P11" s="95">
        <v>5.6508468521994249E-3</v>
      </c>
      <c r="Q11" s="95">
        <v>4.3062233180637677E-3</v>
      </c>
      <c r="R11" s="95">
        <v>2.7399119414779953E-2</v>
      </c>
      <c r="S11" s="95">
        <v>4.3813848561159212E-2</v>
      </c>
      <c r="T11" s="95">
        <v>1.4864309792032597E-3</v>
      </c>
      <c r="U11" s="95">
        <v>0.10470863213183876</v>
      </c>
      <c r="V11" s="95">
        <v>7.8556747764149165E-6</v>
      </c>
      <c r="W11" s="95">
        <v>1.8645267769753516E-5</v>
      </c>
      <c r="X11" s="95">
        <v>1.9170299671351809E-2</v>
      </c>
      <c r="Y11" s="95">
        <v>5.0223527979695107E-3</v>
      </c>
      <c r="Z11" s="95">
        <v>1.2695451676502339E-3</v>
      </c>
      <c r="AA11" s="95">
        <v>1.6403426139277356E-3</v>
      </c>
      <c r="AB11" s="95">
        <v>1.934508850744119E-2</v>
      </c>
      <c r="AC11" s="95">
        <v>4.4960281680054889E-3</v>
      </c>
      <c r="AD11" s="95">
        <v>4.9373463400890522E-2</v>
      </c>
      <c r="AE11" s="95">
        <v>5.8072220268483975E-3</v>
      </c>
      <c r="AF11" s="95">
        <v>1.9507902228219983E-3</v>
      </c>
      <c r="AG11" s="95">
        <v>4.6444397640891377E-3</v>
      </c>
      <c r="AH11" s="95">
        <v>9.8323228237550839E-2</v>
      </c>
      <c r="AI11" s="95">
        <v>7.5856835746686793E-2</v>
      </c>
      <c r="AJ11" s="95">
        <v>5.9300903523883007E-3</v>
      </c>
      <c r="AK11" s="95">
        <v>7.0423582655863889E-2</v>
      </c>
      <c r="AL11" s="95">
        <v>6.4298715952508315E-2</v>
      </c>
      <c r="AM11" s="95">
        <v>8.2525783558966656E-2</v>
      </c>
      <c r="AN11" s="95">
        <v>2.1914096442281128E-3</v>
      </c>
      <c r="AO11" s="95">
        <v>2.2665389780858025E-5</v>
      </c>
      <c r="AP11" s="95">
        <v>1.2754756583282529E-3</v>
      </c>
      <c r="AQ11" s="95">
        <v>2.0863935502940286E-13</v>
      </c>
      <c r="AR11" s="95">
        <v>5.357165946877273E-2</v>
      </c>
      <c r="AS11" s="95">
        <v>6.0543782888862252E-2</v>
      </c>
      <c r="AT11" s="95">
        <v>1.9395698717391652E-2</v>
      </c>
      <c r="AU11" s="95">
        <v>1.855523350736794E-2</v>
      </c>
      <c r="AV11" s="95">
        <v>6.5123809922696344E-3</v>
      </c>
      <c r="AW11" s="95">
        <v>1.1032813576783831E-2</v>
      </c>
      <c r="AX11" s="95">
        <v>7.5870969746049247E-2</v>
      </c>
      <c r="AY11" s="95">
        <v>0.11609964546139846</v>
      </c>
      <c r="AZ11" s="95">
        <v>3.1918122760212803E-2</v>
      </c>
      <c r="BA11" s="95">
        <v>7.1052686716541911E-3</v>
      </c>
      <c r="BB11" s="95">
        <v>4.9805291608737742E-5</v>
      </c>
      <c r="BC11" s="95">
        <v>3.1592588666901046E-2</v>
      </c>
      <c r="BD11" s="95">
        <v>7.9678887664958495E-2</v>
      </c>
      <c r="BE11" s="95">
        <v>1.3351018226387859E-2</v>
      </c>
      <c r="BF11" s="95">
        <v>7.4157082717422237E-7</v>
      </c>
      <c r="BG11" s="95">
        <v>5.6033783808958591E-2</v>
      </c>
      <c r="BH11" s="95">
        <v>3.4648726931956884E-2</v>
      </c>
      <c r="BI11" s="95">
        <v>1.0533747594041191E-2</v>
      </c>
      <c r="BJ11" s="95">
        <v>6.6115896180826444E-2</v>
      </c>
      <c r="BK11" s="95">
        <v>9.8974501283484076E-2</v>
      </c>
      <c r="BL11" s="95">
        <v>0.10012177322470417</v>
      </c>
      <c r="BM11" s="95">
        <v>2.0152931764961787E-2</v>
      </c>
      <c r="BN11" s="95">
        <v>2.1851576179903027E-3</v>
      </c>
      <c r="BO11" s="95">
        <v>6.5991058845490919E-2</v>
      </c>
      <c r="BP11" s="95">
        <v>3.640358450762303E-2</v>
      </c>
      <c r="BQ11" s="95">
        <v>7.7452398044533981E-3</v>
      </c>
      <c r="BR11" s="95">
        <v>1.9327651438664852E-4</v>
      </c>
      <c r="BS11" s="95">
        <v>3.0636958136778535E-2</v>
      </c>
      <c r="BT11" s="95">
        <v>8.7449619261034306E-5</v>
      </c>
      <c r="BU11" s="95">
        <v>2.9920239219662537E-4</v>
      </c>
      <c r="BV11" s="95">
        <v>2.4370880986352698E-2</v>
      </c>
      <c r="BW11" s="95">
        <v>9.3815030658611273E-4</v>
      </c>
      <c r="BX11" s="95">
        <v>2.3052231849734123E-2</v>
      </c>
      <c r="BY11" s="95">
        <v>2.7999713955437665E-2</v>
      </c>
      <c r="BZ11" s="95">
        <v>1.5924724487320022E-2</v>
      </c>
      <c r="CA11" s="95">
        <v>3.156770724850002E-2</v>
      </c>
      <c r="CB11" s="95">
        <v>6.5243245149692555E-2</v>
      </c>
      <c r="CC11" s="95">
        <v>1.2456020881790981E-4</v>
      </c>
      <c r="CD11" s="95">
        <v>4.2989222613962458E-2</v>
      </c>
      <c r="CE11" s="95">
        <v>1.1531200704526014E-2</v>
      </c>
      <c r="CF11" s="95">
        <v>6.3018968873084467E-3</v>
      </c>
      <c r="CG11" s="95">
        <v>3.1494354355615331E-2</v>
      </c>
      <c r="CH11" s="95">
        <v>4.1852331666178598E-2</v>
      </c>
      <c r="CI11" s="95">
        <v>4.9428427045870578E-5</v>
      </c>
      <c r="CJ11" s="95">
        <v>1.7859907383758545E-4</v>
      </c>
      <c r="CK11" s="95">
        <v>2.6132287171291069E-2</v>
      </c>
      <c r="CL11" s="95">
        <v>7.9861944847644417E-2</v>
      </c>
      <c r="CM11" s="95">
        <v>1.1860172277844078E-3</v>
      </c>
      <c r="CN11" s="95">
        <v>1.0733909305592947E-2</v>
      </c>
      <c r="CO11" s="95">
        <v>5.9556560561725827E-2</v>
      </c>
      <c r="CP11" s="95">
        <v>1.1781530101809196E-3</v>
      </c>
      <c r="CQ11" s="95">
        <v>0.12424903996761161</v>
      </c>
      <c r="CR11" s="95">
        <v>0.1085474992718614</v>
      </c>
      <c r="CS11" s="95">
        <v>1.710533708060203E-2</v>
      </c>
      <c r="CT11" s="95">
        <v>2.7835847328539691E-4</v>
      </c>
      <c r="CU11" s="95">
        <v>3.6862588363103972E-2</v>
      </c>
      <c r="CV11" s="95">
        <v>7.7508869152076887E-2</v>
      </c>
      <c r="CW11" s="95">
        <v>3.6580823719224484E-2</v>
      </c>
      <c r="CX11" s="95">
        <v>2.5350041967076922E-3</v>
      </c>
    </row>
    <row r="12" spans="1:102" s="95" customFormat="1">
      <c r="A12" s="306" t="str">
        <f>Parameters!A58</f>
        <v>Onroerend goed</v>
      </c>
      <c r="B12" s="307"/>
      <c r="C12" s="95">
        <v>2.1219632986093771E-2</v>
      </c>
      <c r="D12" s="95">
        <v>1.606363958330052E-2</v>
      </c>
      <c r="E12" s="95">
        <v>3.1424417201734515E-7</v>
      </c>
      <c r="F12" s="95">
        <v>1.3477366226126577E-2</v>
      </c>
      <c r="G12" s="95">
        <v>8.0052294772628638E-2</v>
      </c>
      <c r="H12" s="95">
        <v>2.9849565343881313E-7</v>
      </c>
      <c r="I12" s="95">
        <v>1.9808151385447583E-2</v>
      </c>
      <c r="J12" s="95">
        <v>6.0068338986638868E-3</v>
      </c>
      <c r="K12" s="95">
        <v>4.5536957812970014E-2</v>
      </c>
      <c r="L12" s="95">
        <v>3.8787220085721212E-2</v>
      </c>
      <c r="M12" s="95">
        <v>8.8524215334842435E-2</v>
      </c>
      <c r="N12" s="95">
        <v>3.8014843646276754E-2</v>
      </c>
      <c r="O12" s="95">
        <v>6.4557870489196365E-4</v>
      </c>
      <c r="P12" s="95">
        <v>3.2716089837587017E-2</v>
      </c>
      <c r="Q12" s="95">
        <v>2.0229889455962005E-2</v>
      </c>
      <c r="R12" s="95">
        <v>3.9966471027724701E-2</v>
      </c>
      <c r="S12" s="95">
        <v>4.0775902415964911E-2</v>
      </c>
      <c r="T12" s="95">
        <v>4.4156197993776028E-2</v>
      </c>
      <c r="U12" s="95">
        <v>5.4149739871797887E-10</v>
      </c>
      <c r="V12" s="95">
        <v>3.9307510173340415E-2</v>
      </c>
      <c r="W12" s="95">
        <v>7.7543127142069554E-2</v>
      </c>
      <c r="X12" s="95">
        <v>3.5335461187425803E-2</v>
      </c>
      <c r="Y12" s="95">
        <v>4.8939579859166827E-4</v>
      </c>
      <c r="Z12" s="95">
        <v>1.0248881979153912E-2</v>
      </c>
      <c r="AA12" s="95">
        <v>2.5502194896876915E-2</v>
      </c>
      <c r="AB12" s="95">
        <v>4.083206123440785E-2</v>
      </c>
      <c r="AC12" s="95">
        <v>6.4927371765559322E-2</v>
      </c>
      <c r="AD12" s="95">
        <v>1.8383534602373058E-2</v>
      </c>
      <c r="AE12" s="95">
        <v>3.7724484203842779E-2</v>
      </c>
      <c r="AF12" s="95">
        <v>2.076826405742092E-2</v>
      </c>
      <c r="AG12" s="95">
        <v>1.1249636834535535E-2</v>
      </c>
      <c r="AH12" s="95">
        <v>2.1496892468885584E-3</v>
      </c>
      <c r="AI12" s="95">
        <v>3.7834756647317211E-2</v>
      </c>
      <c r="AJ12" s="95">
        <v>1.9050427018033618E-2</v>
      </c>
      <c r="AK12" s="95">
        <v>6.6828780229183302E-2</v>
      </c>
      <c r="AL12" s="95">
        <v>1.96896422793248E-2</v>
      </c>
      <c r="AM12" s="95">
        <v>3.5410034150915037E-4</v>
      </c>
      <c r="AN12" s="95">
        <v>1.4757011640959808E-3</v>
      </c>
      <c r="AO12" s="95">
        <v>1.7447629715652689E-2</v>
      </c>
      <c r="AP12" s="95">
        <v>4.5819634521962352E-4</v>
      </c>
      <c r="AQ12" s="95">
        <v>7.2549727902149752E-2</v>
      </c>
      <c r="AR12" s="95">
        <v>1.4290643991043143E-7</v>
      </c>
      <c r="AS12" s="95">
        <v>3.2941420146340617E-4</v>
      </c>
      <c r="AT12" s="95">
        <v>1.2416930748164174E-2</v>
      </c>
      <c r="AU12" s="95">
        <v>5.635075636357971E-2</v>
      </c>
      <c r="AV12" s="95">
        <v>0.1165361099194355</v>
      </c>
      <c r="AW12" s="95">
        <v>4.8180482602769061E-2</v>
      </c>
      <c r="AX12" s="95">
        <v>1.9481070870704158E-2</v>
      </c>
      <c r="AY12" s="95">
        <v>7.973130334278055E-3</v>
      </c>
      <c r="AZ12" s="95">
        <v>3.5153078373731425E-2</v>
      </c>
      <c r="BA12" s="95">
        <v>4.1551144427301499E-6</v>
      </c>
      <c r="BB12" s="95">
        <v>1.9837306649970181E-10</v>
      </c>
      <c r="BC12" s="95">
        <v>2.8981829001896005E-2</v>
      </c>
      <c r="BD12" s="95">
        <v>3.1586951071376119E-4</v>
      </c>
      <c r="BE12" s="95">
        <v>2.1985018925818538E-2</v>
      </c>
      <c r="BF12" s="95">
        <v>5.4673488743616416E-3</v>
      </c>
      <c r="BG12" s="95">
        <v>1.2273566176498669E-2</v>
      </c>
      <c r="BH12" s="95">
        <v>3.3837735416019797E-4</v>
      </c>
      <c r="BI12" s="95">
        <v>8.6831702797300833E-2</v>
      </c>
      <c r="BJ12" s="95">
        <v>4.6819539335111987E-2</v>
      </c>
      <c r="BK12" s="95">
        <v>9.761993001029953E-6</v>
      </c>
      <c r="BL12" s="95">
        <v>3.6851931659078463E-3</v>
      </c>
      <c r="BM12" s="95">
        <v>4.4730997848126293E-2</v>
      </c>
      <c r="BN12" s="95">
        <v>5.3509597664642167E-2</v>
      </c>
      <c r="BO12" s="95">
        <v>7.9754672613287864E-2</v>
      </c>
      <c r="BP12" s="95">
        <v>9.7310070337941285E-2</v>
      </c>
      <c r="BQ12" s="95">
        <v>2.0438315721855577E-2</v>
      </c>
      <c r="BR12" s="95">
        <v>3.199890793230277E-3</v>
      </c>
      <c r="BS12" s="95">
        <v>1.0820767003743694E-3</v>
      </c>
      <c r="BT12" s="95">
        <v>1.433431142220312E-2</v>
      </c>
      <c r="BU12" s="95">
        <v>9.2913619112489564E-4</v>
      </c>
      <c r="BV12" s="95">
        <v>7.9294881939647691E-2</v>
      </c>
      <c r="BW12" s="95">
        <v>1.3281765303321886E-2</v>
      </c>
      <c r="BX12" s="95">
        <v>1.661545497918814E-3</v>
      </c>
      <c r="BY12" s="95">
        <v>1.3083650890214536E-2</v>
      </c>
      <c r="BZ12" s="95">
        <v>3.2855990588260615E-2</v>
      </c>
      <c r="CA12" s="95">
        <v>1.2820693047581058E-2</v>
      </c>
      <c r="CB12" s="95">
        <v>3.2366017413989719E-4</v>
      </c>
      <c r="CC12" s="95">
        <v>3.0460118072961638E-2</v>
      </c>
      <c r="CD12" s="95">
        <v>9.3989855348447005E-4</v>
      </c>
      <c r="CE12" s="95">
        <v>5.1111733579986218E-2</v>
      </c>
      <c r="CF12" s="95">
        <v>1.3521387373194195E-6</v>
      </c>
      <c r="CG12" s="95">
        <v>2.6579531494690674E-5</v>
      </c>
      <c r="CH12" s="95">
        <v>1.4463227319065712E-4</v>
      </c>
      <c r="CI12" s="95">
        <v>0.10716272817640708</v>
      </c>
      <c r="CJ12" s="95">
        <v>0.11081014137731403</v>
      </c>
      <c r="CK12" s="95">
        <v>1.9749318837293504E-2</v>
      </c>
      <c r="CL12" s="95">
        <v>7.7461145821842636E-3</v>
      </c>
      <c r="CM12" s="95">
        <v>3.0683337473458531E-2</v>
      </c>
      <c r="CN12" s="95">
        <v>7.8019260246995709E-2</v>
      </c>
      <c r="CO12" s="95">
        <v>5.3574094925791976E-6</v>
      </c>
      <c r="CP12" s="95">
        <v>2.7302822902389799E-2</v>
      </c>
      <c r="CQ12" s="95">
        <v>4.1838322981411442E-2</v>
      </c>
      <c r="CR12" s="95">
        <v>1.9931705187186743E-2</v>
      </c>
      <c r="CS12" s="95">
        <v>3.258250361985443E-2</v>
      </c>
      <c r="CT12" s="95">
        <v>9.0929363007849234E-2</v>
      </c>
      <c r="CU12" s="95">
        <v>6.4906989536268084E-2</v>
      </c>
      <c r="CV12" s="95">
        <v>3.8617895760286632E-2</v>
      </c>
      <c r="CW12" s="95">
        <v>6.2248974553959983E-4</v>
      </c>
      <c r="CX12" s="95">
        <v>8.9836729716943654E-3</v>
      </c>
    </row>
    <row r="13" spans="1:102" s="96" customFormat="1">
      <c r="A13" s="310" t="str">
        <f>Parameters!A59</f>
        <v>Commodities</v>
      </c>
      <c r="B13" s="311"/>
      <c r="C13" s="96">
        <v>1.7608969659421093E-2</v>
      </c>
      <c r="D13" s="96">
        <v>4.7658960482324458E-2</v>
      </c>
      <c r="E13" s="96">
        <v>9.1322428088009028E-2</v>
      </c>
      <c r="F13" s="96">
        <v>3.809122681450676E-2</v>
      </c>
      <c r="G13" s="96">
        <v>1.4868970453605553E-8</v>
      </c>
      <c r="H13" s="96">
        <v>8.8579932426494798E-2</v>
      </c>
      <c r="I13" s="96">
        <v>1.6672531139027207E-2</v>
      </c>
      <c r="J13" s="96">
        <v>5.0409534687901665E-2</v>
      </c>
      <c r="K13" s="96">
        <v>1.0275810551373393E-2</v>
      </c>
      <c r="L13" s="96">
        <v>3.0721438388124321E-2</v>
      </c>
      <c r="M13" s="96">
        <v>2.0548317579655639E-2</v>
      </c>
      <c r="N13" s="96">
        <v>5.0375527178295174E-2</v>
      </c>
      <c r="O13" s="96">
        <v>4.7172016154124153E-3</v>
      </c>
      <c r="P13" s="96">
        <v>2.8500527863118068E-2</v>
      </c>
      <c r="Q13" s="96">
        <v>3.1211281600130127E-2</v>
      </c>
      <c r="R13" s="96">
        <v>3.9173334607773155E-2</v>
      </c>
      <c r="S13" s="96">
        <v>1.2522635516412979E-2</v>
      </c>
      <c r="T13" s="96">
        <v>5.6951150434770604E-4</v>
      </c>
      <c r="U13" s="96">
        <v>7.7798075616467094E-2</v>
      </c>
      <c r="V13" s="96">
        <v>3.60991433947421E-2</v>
      </c>
      <c r="W13" s="96">
        <v>8.9897523825030706E-9</v>
      </c>
      <c r="X13" s="96">
        <v>1.1280447700289421E-6</v>
      </c>
      <c r="Y13" s="96">
        <v>7.5246015652673928E-2</v>
      </c>
      <c r="Z13" s="96">
        <v>0.13971504899009529</v>
      </c>
      <c r="AA13" s="96">
        <v>2.423377627823638E-2</v>
      </c>
      <c r="AB13" s="96">
        <v>3.1210421432576473E-2</v>
      </c>
      <c r="AC13" s="96">
        <v>3.599999779796257E-2</v>
      </c>
      <c r="AD13" s="96">
        <v>5.2288258847818438E-2</v>
      </c>
      <c r="AE13" s="96">
        <v>3.2166697054121955E-7</v>
      </c>
      <c r="AF13" s="96">
        <v>5.7115949871575575E-2</v>
      </c>
      <c r="AG13" s="96">
        <v>9.1658803309121017E-2</v>
      </c>
      <c r="AH13" s="96">
        <v>8.0916460305196253E-2</v>
      </c>
      <c r="AI13" s="96">
        <v>6.1659795413455216E-3</v>
      </c>
      <c r="AJ13" s="96">
        <v>6.0090108070652092E-2</v>
      </c>
      <c r="AK13" s="96">
        <v>2.3553965149620323E-2</v>
      </c>
      <c r="AL13" s="96">
        <v>2.2097968975570242E-2</v>
      </c>
      <c r="AM13" s="96">
        <v>5.5728471770025254E-2</v>
      </c>
      <c r="AN13" s="96">
        <v>0.11744338496909391</v>
      </c>
      <c r="AO13" s="96">
        <v>1.0968709138573181E-2</v>
      </c>
      <c r="AP13" s="96">
        <v>2.5994041569071739E-3</v>
      </c>
      <c r="AQ13" s="96">
        <v>7.0462310639602286E-3</v>
      </c>
      <c r="AR13" s="96">
        <v>5.4889251260659432E-6</v>
      </c>
      <c r="AS13" s="96">
        <v>7.9648075790738019E-3</v>
      </c>
      <c r="AT13" s="96">
        <v>1.464534389734469E-4</v>
      </c>
      <c r="AU13" s="96">
        <v>1.61960769995243E-2</v>
      </c>
      <c r="AV13" s="96">
        <v>2.8751228679920575E-7</v>
      </c>
      <c r="AW13" s="96">
        <v>4.7741563946731375E-2</v>
      </c>
      <c r="AX13" s="96">
        <v>2.5157947898900926E-2</v>
      </c>
      <c r="AY13" s="96">
        <v>5.7163447487716949E-2</v>
      </c>
      <c r="AZ13" s="96">
        <v>2.0766849163765654E-3</v>
      </c>
      <c r="BA13" s="96">
        <v>2.440000503396806E-2</v>
      </c>
      <c r="BB13" s="96">
        <v>3.7903842786522965E-2</v>
      </c>
      <c r="BC13" s="96">
        <v>1.7952418583301755E-2</v>
      </c>
      <c r="BD13" s="96">
        <v>7.0159141141594647E-2</v>
      </c>
      <c r="BE13" s="96">
        <v>6.015496752268145E-2</v>
      </c>
      <c r="BF13" s="96">
        <v>1.9733522170894531E-2</v>
      </c>
      <c r="BG13" s="96">
        <v>7.2323486972067266E-10</v>
      </c>
      <c r="BH13" s="96">
        <v>1.7154628227585999E-5</v>
      </c>
      <c r="BI13" s="96">
        <v>3.9222900959395607E-4</v>
      </c>
      <c r="BJ13" s="96">
        <v>2.1332387964987608E-2</v>
      </c>
      <c r="BK13" s="96">
        <v>1.254002155382078E-3</v>
      </c>
      <c r="BL13" s="96">
        <v>1.4139825818629591E-3</v>
      </c>
      <c r="BM13" s="96">
        <v>6.815958337794422E-12</v>
      </c>
      <c r="BN13" s="96">
        <v>5.4836104224183961E-4</v>
      </c>
      <c r="BO13" s="96">
        <v>1.0635065217476942E-2</v>
      </c>
      <c r="BP13" s="96">
        <v>9.260005050864208E-6</v>
      </c>
      <c r="BQ13" s="96">
        <v>5.0131522605870431E-3</v>
      </c>
      <c r="BR13" s="96">
        <v>3.262611855086843E-2</v>
      </c>
      <c r="BS13" s="96">
        <v>8.3192334245829599E-2</v>
      </c>
      <c r="BT13" s="96">
        <v>1.7946892166982309E-2</v>
      </c>
      <c r="BU13" s="96">
        <v>7.5731745018406765E-2</v>
      </c>
      <c r="BV13" s="96">
        <v>3.5732867084759846E-2</v>
      </c>
      <c r="BW13" s="96">
        <v>7.7987370845041051E-2</v>
      </c>
      <c r="BX13" s="96">
        <v>4.147523258848905E-2</v>
      </c>
      <c r="BY13" s="96">
        <v>8.0455582526593405E-2</v>
      </c>
      <c r="BZ13" s="96">
        <v>0.10293280351857856</v>
      </c>
      <c r="CA13" s="96">
        <v>7.8237546636506491E-2</v>
      </c>
      <c r="CB13" s="96">
        <v>2.183875798030904E-3</v>
      </c>
      <c r="CC13" s="96">
        <v>8.6334777288094036E-2</v>
      </c>
      <c r="CD13" s="96">
        <v>1.2057640708103366E-2</v>
      </c>
      <c r="CE13" s="96">
        <v>1.7251593942819669E-2</v>
      </c>
      <c r="CF13" s="96">
        <v>3.0458152176194701E-6</v>
      </c>
      <c r="CG13" s="96">
        <v>3.9288612646302904E-3</v>
      </c>
      <c r="CH13" s="96">
        <v>0.12880659401438221</v>
      </c>
      <c r="CI13" s="96">
        <v>4.7283632693669343E-2</v>
      </c>
      <c r="CJ13" s="96">
        <v>1.1941357061457046E-2</v>
      </c>
      <c r="CK13" s="96">
        <v>6.4800833163811238E-3</v>
      </c>
      <c r="CL13" s="96">
        <v>5.881972150866574E-2</v>
      </c>
      <c r="CM13" s="96">
        <v>3.7075818230421572E-3</v>
      </c>
      <c r="CN13" s="96">
        <v>8.8138278867070091E-9</v>
      </c>
      <c r="CO13" s="96">
        <v>4.2455460844199489E-2</v>
      </c>
      <c r="CP13" s="96">
        <v>5.9869012005966671E-2</v>
      </c>
      <c r="CQ13" s="96">
        <v>6.5072759099344489E-5</v>
      </c>
      <c r="CR13" s="96">
        <v>4.5743950185603557E-3</v>
      </c>
      <c r="CS13" s="96">
        <v>5.0538487870081493E-3</v>
      </c>
      <c r="CT13" s="96">
        <v>5.8596133277597127E-2</v>
      </c>
      <c r="CU13" s="96">
        <v>6.7819394916968714E-2</v>
      </c>
      <c r="CV13" s="96">
        <v>5.3749658100854085E-6</v>
      </c>
      <c r="CW13" s="96">
        <v>5.5000300890150504E-2</v>
      </c>
      <c r="CX13" s="96">
        <v>1.4916834141695041E-2</v>
      </c>
    </row>
    <row r="15" spans="1:102" s="94" customFormat="1">
      <c r="A15" s="303" t="s">
        <v>140</v>
      </c>
      <c r="B15" s="304"/>
    </row>
    <row r="16" spans="1:102" s="95" customFormat="1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 s="95" customFormat="1">
      <c r="A17" s="306" t="s">
        <v>4</v>
      </c>
      <c r="B17" s="307"/>
      <c r="C17" s="126">
        <v>5.3936516004211989E-2</v>
      </c>
      <c r="D17" s="126">
        <v>3.7275813672368451E-2</v>
      </c>
      <c r="E17" s="126">
        <v>9.9698586831194519E-11</v>
      </c>
      <c r="F17" s="126">
        <v>1.9954193642997083E-4</v>
      </c>
      <c r="G17" s="126">
        <v>1.1131136718638863E-4</v>
      </c>
      <c r="H17" s="126">
        <v>7.7348953381627422E-2</v>
      </c>
      <c r="I17" s="126">
        <v>6.0268879348990018E-3</v>
      </c>
      <c r="J17" s="126">
        <v>9.3515142536793171E-6</v>
      </c>
      <c r="K17" s="126">
        <v>4.8568218654763164E-3</v>
      </c>
      <c r="L17" s="126">
        <v>2.5122655898603546E-2</v>
      </c>
      <c r="M17" s="126">
        <v>2.1709369142377619E-2</v>
      </c>
      <c r="N17" s="126">
        <v>0.11091283594200332</v>
      </c>
      <c r="O17" s="126">
        <v>2.3885406971056115E-2</v>
      </c>
      <c r="P17" s="126">
        <v>6.1071744399986048E-2</v>
      </c>
      <c r="Q17" s="126">
        <v>2.5628482224021279E-3</v>
      </c>
      <c r="R17" s="126">
        <v>8.7902277615143787E-3</v>
      </c>
      <c r="S17" s="126">
        <v>6.7363862163684035E-2</v>
      </c>
      <c r="T17" s="126">
        <v>6.8095875377744086E-2</v>
      </c>
      <c r="U17" s="126">
        <v>8.5921160644220618E-3</v>
      </c>
      <c r="V17" s="126">
        <v>6.7463774690366005E-2</v>
      </c>
      <c r="W17" s="126">
        <v>8.3562366621823411E-2</v>
      </c>
      <c r="X17" s="126">
        <v>6.6928126236734914E-2</v>
      </c>
      <c r="Y17" s="126">
        <v>4.256037382885605E-3</v>
      </c>
      <c r="Z17" s="126">
        <v>2.8196294551406129E-5</v>
      </c>
      <c r="AA17" s="126">
        <v>1.4336292650621852E-4</v>
      </c>
      <c r="AB17" s="126">
        <v>7.0731966347362457E-3</v>
      </c>
      <c r="AC17" s="126">
        <v>2.0426106490829465E-3</v>
      </c>
      <c r="AD17" s="126">
        <v>5.6491862227462025E-2</v>
      </c>
      <c r="AE17" s="126">
        <v>6.1699391482527705E-3</v>
      </c>
      <c r="AF17" s="126">
        <v>2.6169393618737612E-2</v>
      </c>
      <c r="AG17" s="126">
        <v>1.0129064722927664E-2</v>
      </c>
      <c r="AH17" s="126">
        <v>7.046486164971047E-2</v>
      </c>
      <c r="AI17" s="126">
        <v>8.17604337935318E-3</v>
      </c>
      <c r="AJ17" s="126">
        <v>4.2910179294876572E-3</v>
      </c>
      <c r="AK17" s="126">
        <v>2.9991063732767468E-3</v>
      </c>
      <c r="AL17" s="126">
        <v>3.2913430227441497E-2</v>
      </c>
      <c r="AM17" s="126">
        <v>2.4426681685242617E-3</v>
      </c>
      <c r="AN17" s="126">
        <v>1.1866884587744908E-4</v>
      </c>
      <c r="AO17" s="126">
        <v>1.6228150118584659E-6</v>
      </c>
      <c r="AP17" s="126">
        <v>2.2245197543766424E-4</v>
      </c>
      <c r="AQ17" s="126">
        <v>2.6071864883490379E-9</v>
      </c>
      <c r="AR17" s="126">
        <v>2.1608168897994121E-2</v>
      </c>
      <c r="AS17" s="126">
        <v>7.2745002699073132E-3</v>
      </c>
      <c r="AT17" s="126">
        <v>1.7565968409312939E-4</v>
      </c>
      <c r="AU17" s="126">
        <v>0.12180320632510749</v>
      </c>
      <c r="AV17" s="126">
        <v>1.6690260988542819E-2</v>
      </c>
      <c r="AW17" s="126">
        <v>3.5918002261773732E-2</v>
      </c>
      <c r="AX17" s="126">
        <v>3.3140650247625643E-2</v>
      </c>
      <c r="AY17" s="126">
        <v>0.13299686782406672</v>
      </c>
      <c r="AZ17" s="126">
        <v>3.7330156766980871E-4</v>
      </c>
      <c r="BA17" s="126">
        <v>1.8460971988901974E-2</v>
      </c>
      <c r="BB17" s="126">
        <v>2.2057905844489863E-2</v>
      </c>
      <c r="BC17" s="126">
        <v>5.8579231259143216E-2</v>
      </c>
      <c r="BD17" s="126">
        <v>5.5402678771825878E-2</v>
      </c>
      <c r="BE17" s="126">
        <v>0.18745484407339139</v>
      </c>
      <c r="BF17" s="126">
        <v>0.14469462040978079</v>
      </c>
      <c r="BG17" s="126">
        <v>9.7099258298778794E-3</v>
      </c>
      <c r="BH17" s="126">
        <v>1.3419920303930238E-3</v>
      </c>
      <c r="BI17" s="126">
        <v>1.3130247291775615E-2</v>
      </c>
      <c r="BJ17" s="126">
        <v>1.7491665265415596E-7</v>
      </c>
      <c r="BK17" s="126">
        <v>7.1885029228956312E-5</v>
      </c>
      <c r="BL17" s="126">
        <v>6.9640214065128062E-2</v>
      </c>
      <c r="BM17" s="126">
        <v>1.1826735530307236E-3</v>
      </c>
      <c r="BN17" s="126">
        <v>3.4030034606316406E-6</v>
      </c>
      <c r="BO17" s="126">
        <v>1.1267315168641387E-3</v>
      </c>
      <c r="BP17" s="126">
        <v>8.2051510424617419E-2</v>
      </c>
      <c r="BQ17" s="126">
        <v>2.2105523209896904E-2</v>
      </c>
      <c r="BR17" s="126">
        <v>8.3458394937523629E-5</v>
      </c>
      <c r="BS17" s="126">
        <v>4.3187170784034518E-3</v>
      </c>
      <c r="BT17" s="126">
        <v>4.176494091502149E-3</v>
      </c>
      <c r="BU17" s="126">
        <v>0.10111504620096977</v>
      </c>
      <c r="BV17" s="126">
        <v>0.1118112916506664</v>
      </c>
      <c r="BW17" s="126">
        <v>0.23768938603984835</v>
      </c>
      <c r="BX17" s="126">
        <v>5.4455238729711544E-2</v>
      </c>
      <c r="BY17" s="126">
        <v>0.12236604740303555</v>
      </c>
      <c r="BZ17" s="126">
        <v>3.9105342735955917E-3</v>
      </c>
      <c r="CA17" s="126">
        <v>8.6299437373010837E-2</v>
      </c>
      <c r="CB17" s="126">
        <v>9.6678468229663223E-2</v>
      </c>
      <c r="CC17" s="126">
        <v>2.8664460169780488E-2</v>
      </c>
      <c r="CD17" s="126">
        <v>3.6011209424459839E-9</v>
      </c>
      <c r="CE17" s="126">
        <v>0.16527368183496341</v>
      </c>
      <c r="CF17" s="126">
        <v>8.7802147990732174E-2</v>
      </c>
      <c r="CG17" s="126">
        <v>4.804208877169492E-2</v>
      </c>
      <c r="CH17" s="126">
        <v>4.805468989058552E-2</v>
      </c>
      <c r="CI17" s="126">
        <v>0.19152195712348113</v>
      </c>
      <c r="CJ17" s="126">
        <v>1.6067964749756334E-2</v>
      </c>
      <c r="CK17" s="126">
        <v>7.6018635029082028E-10</v>
      </c>
      <c r="CL17" s="126">
        <v>5.0226952071969984E-2</v>
      </c>
      <c r="CM17" s="126">
        <v>0.19749594623764063</v>
      </c>
      <c r="CN17" s="126">
        <v>5.4769172071723253E-4</v>
      </c>
      <c r="CO17" s="126">
        <v>8.856381670932173E-2</v>
      </c>
      <c r="CP17" s="126">
        <v>0.11739168888880799</v>
      </c>
      <c r="CQ17" s="126">
        <v>8.6973762963849774E-2</v>
      </c>
      <c r="CR17" s="126">
        <v>7.9403992875845054E-4</v>
      </c>
      <c r="CS17" s="126">
        <v>0.16943068862469796</v>
      </c>
      <c r="CT17" s="126">
        <v>1.679655781943688E-2</v>
      </c>
      <c r="CU17" s="126">
        <v>0.14397027400098331</v>
      </c>
      <c r="CV17" s="126">
        <v>8.2286179031530545E-5</v>
      </c>
      <c r="CW17" s="126">
        <v>0.23453343528154771</v>
      </c>
      <c r="CX17" s="126">
        <v>3.3650069616069263E-2</v>
      </c>
    </row>
    <row r="18" spans="1:102" s="95" customFormat="1">
      <c r="A18" s="306" t="s">
        <v>175</v>
      </c>
      <c r="B18" s="307"/>
      <c r="C18" s="126">
        <v>0.3173161711603335</v>
      </c>
      <c r="D18" s="126">
        <v>0.34705432898299443</v>
      </c>
      <c r="E18" s="126">
        <v>0.24618878522396706</v>
      </c>
      <c r="F18" s="126">
        <v>0.11440855158141224</v>
      </c>
      <c r="G18" s="126">
        <v>0.38344280429962535</v>
      </c>
      <c r="H18" s="126">
        <v>0.20321271350718731</v>
      </c>
      <c r="I18" s="126">
        <v>0.41199631153318561</v>
      </c>
      <c r="J18" s="126">
        <v>3.2969582297975998E-3</v>
      </c>
      <c r="K18" s="126">
        <v>0.14808676561138567</v>
      </c>
      <c r="L18" s="126">
        <v>0.33818311768485876</v>
      </c>
      <c r="M18" s="126">
        <v>0.29153829046940305</v>
      </c>
      <c r="N18" s="126">
        <v>0.23754336938783072</v>
      </c>
      <c r="O18" s="126">
        <v>0.30711721745109938</v>
      </c>
      <c r="P18" s="126">
        <v>0.44030812668667701</v>
      </c>
      <c r="Q18" s="126">
        <v>0.45358587116632881</v>
      </c>
      <c r="R18" s="126">
        <v>0.12909293369626237</v>
      </c>
      <c r="S18" s="126">
        <v>4.4883892698291475E-2</v>
      </c>
      <c r="T18" s="126">
        <v>0.33639654802153662</v>
      </c>
      <c r="U18" s="126">
        <v>9.6296735958797735E-4</v>
      </c>
      <c r="V18" s="126">
        <v>1.3205287226966327E-7</v>
      </c>
      <c r="W18" s="126">
        <v>7.1852584343122495E-4</v>
      </c>
      <c r="X18" s="126">
        <v>0.33818249209253215</v>
      </c>
      <c r="Y18" s="126">
        <v>8.782453132068305E-3</v>
      </c>
      <c r="Z18" s="126">
        <v>2.1076560860238909E-2</v>
      </c>
      <c r="AA18" s="126">
        <v>2.9453108625215278E-2</v>
      </c>
      <c r="AB18" s="126">
        <v>4.4115168682858411E-4</v>
      </c>
      <c r="AC18" s="126">
        <v>0.18741278614445955</v>
      </c>
      <c r="AD18" s="126">
        <v>0.12169678147558509</v>
      </c>
      <c r="AE18" s="126">
        <v>0.41215093042844669</v>
      </c>
      <c r="AF18" s="126">
        <v>1.9630829533579919E-2</v>
      </c>
      <c r="AG18" s="126">
        <v>0.40233970194139662</v>
      </c>
      <c r="AH18" s="126">
        <v>4.4105380561271646E-4</v>
      </c>
      <c r="AI18" s="126">
        <v>0.1664368592313297</v>
      </c>
      <c r="AJ18" s="126">
        <v>5.4440438736801718E-2</v>
      </c>
      <c r="AK18" s="126">
        <v>8.8910021360246623E-3</v>
      </c>
      <c r="AL18" s="126">
        <v>6.3767215702809836E-4</v>
      </c>
      <c r="AM18" s="126">
        <v>0.13680356712484321</v>
      </c>
      <c r="AN18" s="126">
        <v>8.9556332814917164E-6</v>
      </c>
      <c r="AO18" s="126">
        <v>0.46383068977698066</v>
      </c>
      <c r="AP18" s="126">
        <v>0.28998466990559857</v>
      </c>
      <c r="AQ18" s="126">
        <v>0.23359206943918578</v>
      </c>
      <c r="AR18" s="126">
        <v>0.44971255340854671</v>
      </c>
      <c r="AS18" s="126">
        <v>0.2528651646902082</v>
      </c>
      <c r="AT18" s="126">
        <v>0.35338454512879586</v>
      </c>
      <c r="AU18" s="126">
        <v>2.8067034765292182E-3</v>
      </c>
      <c r="AV18" s="126">
        <v>1.1034084983614877E-3</v>
      </c>
      <c r="AW18" s="126">
        <v>0.44334019055010926</v>
      </c>
      <c r="AX18" s="126">
        <v>0.19381872040664841</v>
      </c>
      <c r="AY18" s="126">
        <v>3.7281636158934589E-7</v>
      </c>
      <c r="AZ18" s="126">
        <v>0.17983729735263482</v>
      </c>
      <c r="BA18" s="126">
        <v>0.45496683707501651</v>
      </c>
      <c r="BB18" s="126">
        <v>0.36535086955987078</v>
      </c>
      <c r="BC18" s="126">
        <v>0.21151096870409392</v>
      </c>
      <c r="BD18" s="126">
        <v>0.14841968639283479</v>
      </c>
      <c r="BE18" s="126">
        <v>7.095744379460164E-3</v>
      </c>
      <c r="BF18" s="126">
        <v>0.28829896029238061</v>
      </c>
      <c r="BG18" s="126">
        <v>0.320637007789699</v>
      </c>
      <c r="BH18" s="126">
        <v>0.36142291723686421</v>
      </c>
      <c r="BI18" s="126">
        <v>0.30913798304327328</v>
      </c>
      <c r="BJ18" s="126">
        <v>0.23170551178569762</v>
      </c>
      <c r="BK18" s="126">
        <v>0.35776235737310347</v>
      </c>
      <c r="BL18" s="126">
        <v>0.40341174392706541</v>
      </c>
      <c r="BM18" s="126">
        <v>0.16587297296120229</v>
      </c>
      <c r="BN18" s="126">
        <v>6.4406696148320758E-2</v>
      </c>
      <c r="BO18" s="126">
        <v>2.7273593171478525E-2</v>
      </c>
      <c r="BP18" s="126">
        <v>7.2513160927675166E-2</v>
      </c>
      <c r="BQ18" s="126">
        <v>0.49783813594245091</v>
      </c>
      <c r="BR18" s="126">
        <v>0.249735921194186</v>
      </c>
      <c r="BS18" s="126">
        <v>0.28344317978452455</v>
      </c>
      <c r="BT18" s="126">
        <v>0.35693880451374438</v>
      </c>
      <c r="BU18" s="126">
        <v>0.34151730985160356</v>
      </c>
      <c r="BV18" s="126">
        <v>2.000189523519786E-3</v>
      </c>
      <c r="BW18" s="126">
        <v>0.24244188729354998</v>
      </c>
      <c r="BX18" s="126">
        <v>0.4817872226664805</v>
      </c>
      <c r="BY18" s="126">
        <v>0.15335297026665459</v>
      </c>
      <c r="BZ18" s="126">
        <v>0.24627321047400677</v>
      </c>
      <c r="CA18" s="126">
        <v>0.14678146916482723</v>
      </c>
      <c r="CB18" s="126">
        <v>0.17616839384956348</v>
      </c>
      <c r="CC18" s="126">
        <v>9.8140600428459068E-2</v>
      </c>
      <c r="CD18" s="126">
        <v>0.40685496774276603</v>
      </c>
      <c r="CE18" s="126">
        <v>0.24350120119366062</v>
      </c>
      <c r="CF18" s="126">
        <v>0.38550537743796948</v>
      </c>
      <c r="CG18" s="126">
        <v>0.39797187197408712</v>
      </c>
      <c r="CH18" s="126">
        <v>8.0280776294182499E-3</v>
      </c>
      <c r="CI18" s="126">
        <v>7.1657932255567774E-3</v>
      </c>
      <c r="CJ18" s="126">
        <v>5.0860625899825575E-2</v>
      </c>
      <c r="CK18" s="126">
        <v>0.33678016730814736</v>
      </c>
      <c r="CL18" s="126">
        <v>0.30795011012530621</v>
      </c>
      <c r="CM18" s="126">
        <v>0.38403745062919475</v>
      </c>
      <c r="CN18" s="126">
        <v>0.36748300990510901</v>
      </c>
      <c r="CO18" s="126">
        <v>0.29685154871463892</v>
      </c>
      <c r="CP18" s="126">
        <v>2.2398476794628537E-3</v>
      </c>
      <c r="CQ18" s="126">
        <v>3.8555271642524487E-2</v>
      </c>
      <c r="CR18" s="126">
        <v>8.5837235329479469E-2</v>
      </c>
      <c r="CS18" s="126">
        <v>0.2846814090166308</v>
      </c>
      <c r="CT18" s="126">
        <v>9.3441714710241271E-9</v>
      </c>
      <c r="CU18" s="126">
        <v>9.3053538205445149E-3</v>
      </c>
      <c r="CV18" s="126">
        <v>0.49238386712862731</v>
      </c>
      <c r="CW18" s="126">
        <v>6.56178441703332E-2</v>
      </c>
      <c r="CX18" s="126">
        <v>0.30620464285764731</v>
      </c>
    </row>
    <row r="19" spans="1:102" s="95" customFormat="1">
      <c r="A19" s="306" t="s">
        <v>176</v>
      </c>
      <c r="B19" s="307"/>
      <c r="C19" s="126">
        <v>0.31235706502185551</v>
      </c>
      <c r="D19" s="126">
        <v>0.36707386893683402</v>
      </c>
      <c r="E19" s="126">
        <v>0.45374042951602911</v>
      </c>
      <c r="F19" s="126">
        <v>0.49917655048194898</v>
      </c>
      <c r="G19" s="126">
        <v>0.26405127808275897</v>
      </c>
      <c r="H19" s="126">
        <v>0.41503498807171513</v>
      </c>
      <c r="I19" s="126">
        <v>0.14180402628596769</v>
      </c>
      <c r="J19" s="126">
        <v>0.44659452084743656</v>
      </c>
      <c r="K19" s="126">
        <v>0.4243930445115473</v>
      </c>
      <c r="L19" s="126">
        <v>0.11952788015146953</v>
      </c>
      <c r="M19" s="126">
        <v>0.33364541589914115</v>
      </c>
      <c r="N19" s="126">
        <v>0.17724926357989357</v>
      </c>
      <c r="O19" s="126">
        <v>0.42084185110298883</v>
      </c>
      <c r="P19" s="126">
        <v>4.7311434098118767E-5</v>
      </c>
      <c r="Q19" s="126">
        <v>2.2132224418749281E-2</v>
      </c>
      <c r="R19" s="126">
        <v>0.45856770664888308</v>
      </c>
      <c r="S19" s="126">
        <v>0.41372563175028676</v>
      </c>
      <c r="T19" s="126">
        <v>0.12314954735429438</v>
      </c>
      <c r="U19" s="126">
        <v>0.41924008836892368</v>
      </c>
      <c r="V19" s="126">
        <v>0.38292777948069129</v>
      </c>
      <c r="W19" s="126">
        <v>0.47075538292945679</v>
      </c>
      <c r="X19" s="126">
        <v>0.28684997041518451</v>
      </c>
      <c r="Y19" s="126">
        <v>0.48633661972267034</v>
      </c>
      <c r="Z19" s="126">
        <v>0.45430458298745552</v>
      </c>
      <c r="AA19" s="126">
        <v>0.311577109170947</v>
      </c>
      <c r="AB19" s="126">
        <v>0.1929391863211333</v>
      </c>
      <c r="AC19" s="126">
        <v>0.22455059810051259</v>
      </c>
      <c r="AD19" s="126">
        <v>0.32210454106241115</v>
      </c>
      <c r="AE19" s="126">
        <v>0.17805929091124284</v>
      </c>
      <c r="AF19" s="126">
        <v>0.19690599220649563</v>
      </c>
      <c r="AG19" s="126">
        <v>0.11708003814811471</v>
      </c>
      <c r="AH19" s="126">
        <v>0.18452013147801205</v>
      </c>
      <c r="AI19" s="126">
        <v>0.18722153091558513</v>
      </c>
      <c r="AJ19" s="126">
        <v>0.11545642238078199</v>
      </c>
      <c r="AK19" s="126">
        <v>0.1522835962474727</v>
      </c>
      <c r="AL19" s="126">
        <v>0.44113555535476262</v>
      </c>
      <c r="AM19" s="126">
        <v>0.13347750204297354</v>
      </c>
      <c r="AN19" s="126">
        <v>0.47029021901304247</v>
      </c>
      <c r="AO19" s="126">
        <v>0.42469737459125578</v>
      </c>
      <c r="AP19" s="126">
        <v>0.24995125981908367</v>
      </c>
      <c r="AQ19" s="126">
        <v>0.19482003369613218</v>
      </c>
      <c r="AR19" s="126">
        <v>0.32062307312814359</v>
      </c>
      <c r="AS19" s="126">
        <v>0.34800680189307065</v>
      </c>
      <c r="AT19" s="126">
        <v>1.7450088976062643E-2</v>
      </c>
      <c r="AU19" s="126">
        <v>0.40055284611369507</v>
      </c>
      <c r="AV19" s="126">
        <v>0.22949841689874173</v>
      </c>
      <c r="AW19" s="126">
        <v>6.0990578195464175E-3</v>
      </c>
      <c r="AX19" s="126">
        <v>0.17190337756071644</v>
      </c>
      <c r="AY19" s="126">
        <v>0.25931363819260467</v>
      </c>
      <c r="AZ19" s="126">
        <v>3.7186278078100939E-2</v>
      </c>
      <c r="BA19" s="126">
        <v>0.1915614657397352</v>
      </c>
      <c r="BB19" s="126">
        <v>0.1800846160750835</v>
      </c>
      <c r="BC19" s="126">
        <v>0.20971121517536323</v>
      </c>
      <c r="BD19" s="126">
        <v>0.15241037793052192</v>
      </c>
      <c r="BE19" s="126">
        <v>0.44809491042021998</v>
      </c>
      <c r="BF19" s="126">
        <v>0.43737359681191867</v>
      </c>
      <c r="BG19" s="126">
        <v>3.9350095284706531E-2</v>
      </c>
      <c r="BH19" s="126">
        <v>8.724985090973142E-4</v>
      </c>
      <c r="BI19" s="126">
        <v>2.1166740698398252E-2</v>
      </c>
      <c r="BJ19" s="126">
        <v>8.4505921422376742E-4</v>
      </c>
      <c r="BK19" s="126">
        <v>1.5379537397998945E-4</v>
      </c>
      <c r="BL19" s="126">
        <v>1.8322246678860704E-2</v>
      </c>
      <c r="BM19" s="126">
        <v>0.49426416040381266</v>
      </c>
      <c r="BN19" s="126">
        <v>0.48725587133575271</v>
      </c>
      <c r="BO19" s="126">
        <v>0.4605838491278097</v>
      </c>
      <c r="BP19" s="126">
        <v>0.19216965728382343</v>
      </c>
      <c r="BQ19" s="126">
        <v>0.12732462577506401</v>
      </c>
      <c r="BR19" s="126">
        <v>0.32537742990119251</v>
      </c>
      <c r="BS19" s="126">
        <v>0.150266023044167</v>
      </c>
      <c r="BT19" s="126">
        <v>0.43474311306430491</v>
      </c>
      <c r="BU19" s="126">
        <v>0.11851952607020992</v>
      </c>
      <c r="BV19" s="126">
        <v>9.468347830432515E-2</v>
      </c>
      <c r="BW19" s="126">
        <v>9.0388389659935231E-2</v>
      </c>
      <c r="BX19" s="126">
        <v>5.066321301746321E-3</v>
      </c>
      <c r="BY19" s="126">
        <v>0.22107766157567296</v>
      </c>
      <c r="BZ19" s="126">
        <v>0.11300769100095921</v>
      </c>
      <c r="CA19" s="126">
        <v>7.2943716832398716E-8</v>
      </c>
      <c r="CB19" s="126">
        <v>0.26129770918286854</v>
      </c>
      <c r="CC19" s="126">
        <v>0.20155974443340213</v>
      </c>
      <c r="CD19" s="126">
        <v>3.4805927339523076E-3</v>
      </c>
      <c r="CE19" s="126">
        <v>0.26645698342179014</v>
      </c>
      <c r="CF19" s="126">
        <v>0.49338547139772115</v>
      </c>
      <c r="CG19" s="126">
        <v>0.30288169912307078</v>
      </c>
      <c r="CH19" s="126">
        <v>0.21303286211708197</v>
      </c>
      <c r="CI19" s="126">
        <v>0.31365441268616129</v>
      </c>
      <c r="CJ19" s="126">
        <v>8.5359192417185911E-2</v>
      </c>
      <c r="CK19" s="126">
        <v>7.7954094140564464E-2</v>
      </c>
      <c r="CL19" s="126">
        <v>4.8470160106056134E-2</v>
      </c>
      <c r="CM19" s="126">
        <v>0.14543207522387538</v>
      </c>
      <c r="CN19" s="126">
        <v>0.13586744449368152</v>
      </c>
      <c r="CO19" s="126">
        <v>0.12612906281587177</v>
      </c>
      <c r="CP19" s="126">
        <v>3.6464632907151531E-2</v>
      </c>
      <c r="CQ19" s="126">
        <v>0.22434230645951647</v>
      </c>
      <c r="CR19" s="126">
        <v>0.11994727786260617</v>
      </c>
      <c r="CS19" s="126">
        <v>2.0439162887292906E-2</v>
      </c>
      <c r="CT19" s="126">
        <v>0.10994314031999197</v>
      </c>
      <c r="CU19" s="126">
        <v>0.39710094749823172</v>
      </c>
      <c r="CV19" s="126">
        <v>3.6622324727567351E-2</v>
      </c>
      <c r="CW19" s="126">
        <v>0.3135648165862962</v>
      </c>
      <c r="CX19" s="126">
        <v>0.22053340527703286</v>
      </c>
    </row>
    <row r="20" spans="1:102" s="95" customFormat="1">
      <c r="A20" s="306" t="s">
        <v>177</v>
      </c>
      <c r="B20" s="307"/>
      <c r="C20" s="126">
        <v>9.8074846212835493E-2</v>
      </c>
      <c r="D20" s="126">
        <v>5.1834104725025525E-2</v>
      </c>
      <c r="E20" s="126">
        <v>6.1414350643120338E-3</v>
      </c>
      <c r="F20" s="126">
        <v>0.11974080187892366</v>
      </c>
      <c r="G20" s="126">
        <v>3.9499278423361428E-2</v>
      </c>
      <c r="H20" s="126">
        <v>1.5790079884805559E-6</v>
      </c>
      <c r="I20" s="126">
        <v>0.30497731473186379</v>
      </c>
      <c r="J20" s="126">
        <v>8.3803967285907791E-2</v>
      </c>
      <c r="K20" s="126">
        <v>0.13798935087596298</v>
      </c>
      <c r="L20" s="126">
        <v>0.18385728541903082</v>
      </c>
      <c r="M20" s="126">
        <v>1.0747742006524619E-2</v>
      </c>
      <c r="N20" s="126">
        <v>3.0811854982100047E-2</v>
      </c>
      <c r="O20" s="126">
        <v>8.0844370263272964E-6</v>
      </c>
      <c r="P20" s="126">
        <v>0.22698783934766745</v>
      </c>
      <c r="Q20" s="126">
        <v>0.25024226757692336</v>
      </c>
      <c r="R20" s="126">
        <v>3.3750771841278252E-3</v>
      </c>
      <c r="S20" s="126">
        <v>1.408323097048614E-2</v>
      </c>
      <c r="T20" s="126">
        <v>0.31000793892398965</v>
      </c>
      <c r="U20" s="126">
        <v>1.5411205512751408E-2</v>
      </c>
      <c r="V20" s="126">
        <v>0.14148006044340744</v>
      </c>
      <c r="W20" s="126">
        <v>0.14173613226158377</v>
      </c>
      <c r="X20" s="126">
        <v>0.14459988351842173</v>
      </c>
      <c r="Y20" s="126">
        <v>3.088061658841899E-3</v>
      </c>
      <c r="Z20" s="126">
        <v>1.5700626724796985E-2</v>
      </c>
      <c r="AA20" s="126">
        <v>0.44215003095521405</v>
      </c>
      <c r="AB20" s="126">
        <v>0.386363255806496</v>
      </c>
      <c r="AC20" s="126">
        <v>5.9133490167822864E-2</v>
      </c>
      <c r="AD20" s="126">
        <v>0.1058105584863217</v>
      </c>
      <c r="AE20" s="126">
        <v>0.23326787347813213</v>
      </c>
      <c r="AF20" s="126">
        <v>0.35038780349837378</v>
      </c>
      <c r="AG20" s="126">
        <v>1.6838081503786493E-4</v>
      </c>
      <c r="AH20" s="126">
        <v>4.6412050788065068E-2</v>
      </c>
      <c r="AI20" s="126">
        <v>0.10060145525133414</v>
      </c>
      <c r="AJ20" s="126">
        <v>0.4273806411887327</v>
      </c>
      <c r="AK20" s="126">
        <v>0.27075624009400551</v>
      </c>
      <c r="AL20" s="126">
        <v>2.3196823648059285E-2</v>
      </c>
      <c r="AM20" s="126">
        <v>0.14791157636871366</v>
      </c>
      <c r="AN20" s="126">
        <v>2.6379245645772958E-2</v>
      </c>
      <c r="AO20" s="126">
        <v>7.2746061542040704E-6</v>
      </c>
      <c r="AP20" s="126">
        <v>0.43390865590031791</v>
      </c>
      <c r="AQ20" s="126">
        <v>0.14071201015422188</v>
      </c>
      <c r="AR20" s="126">
        <v>6.7114217738390818E-3</v>
      </c>
      <c r="AS20" s="126">
        <v>0.1309623191939577</v>
      </c>
      <c r="AT20" s="126">
        <v>0.48966564525242284</v>
      </c>
      <c r="AU20" s="126">
        <v>0.16453943505940108</v>
      </c>
      <c r="AV20" s="126">
        <v>0.28419977350488368</v>
      </c>
      <c r="AW20" s="126">
        <v>9.4777727633788639E-2</v>
      </c>
      <c r="AX20" s="126">
        <v>5.8049257652496201E-6</v>
      </c>
      <c r="AY20" s="126">
        <v>4.3921752185600578E-2</v>
      </c>
      <c r="AZ20" s="126">
        <v>0.48793334419028794</v>
      </c>
      <c r="BA20" s="126">
        <v>0.10208734148548908</v>
      </c>
      <c r="BB20" s="126">
        <v>0.24513202052264688</v>
      </c>
      <c r="BC20" s="126">
        <v>0.11726730220070458</v>
      </c>
      <c r="BD20" s="126">
        <v>8.2499013975626617E-2</v>
      </c>
      <c r="BE20" s="126">
        <v>6.7745590243117751E-4</v>
      </c>
      <c r="BF20" s="126">
        <v>6.2701279710080495E-3</v>
      </c>
      <c r="BG20" s="126">
        <v>0.27457519842676148</v>
      </c>
      <c r="BH20" s="126">
        <v>0.45817195848444475</v>
      </c>
      <c r="BI20" s="126">
        <v>0.2622555719834791</v>
      </c>
      <c r="BJ20" s="126">
        <v>0.28281624868419258</v>
      </c>
      <c r="BK20" s="126">
        <v>0.23879725387214371</v>
      </c>
      <c r="BL20" s="126">
        <v>0.11729949620787426</v>
      </c>
      <c r="BM20" s="126">
        <v>2.5927906558367648E-2</v>
      </c>
      <c r="BN20" s="126">
        <v>0.17125636823571161</v>
      </c>
      <c r="BO20" s="126">
        <v>4.5066725794600693E-2</v>
      </c>
      <c r="BP20" s="126">
        <v>0.20071432883632315</v>
      </c>
      <c r="BQ20" s="126">
        <v>0.23001465520791645</v>
      </c>
      <c r="BR20" s="126">
        <v>0.25941635878544178</v>
      </c>
      <c r="BS20" s="126">
        <v>7.4771533030144549E-3</v>
      </c>
      <c r="BT20" s="126">
        <v>5.2436675371748107E-4</v>
      </c>
      <c r="BU20" s="126">
        <v>0.10970437388911768</v>
      </c>
      <c r="BV20" s="126">
        <v>0.28981529859680355</v>
      </c>
      <c r="BW20" s="126">
        <v>3.5713932550471866E-2</v>
      </c>
      <c r="BX20" s="126">
        <v>0.15217808910322658</v>
      </c>
      <c r="BY20" s="126">
        <v>3.1012095200400477E-2</v>
      </c>
      <c r="BZ20" s="126">
        <v>4.5133021204320126E-2</v>
      </c>
      <c r="CA20" s="126">
        <v>0.24741234484792304</v>
      </c>
      <c r="CB20" s="126">
        <v>9.588627490042799E-2</v>
      </c>
      <c r="CC20" s="126">
        <v>5.7747552104385064E-2</v>
      </c>
      <c r="CD20" s="126">
        <v>0.27662783290207604</v>
      </c>
      <c r="CE20" s="126">
        <v>6.0492299288227797E-3</v>
      </c>
      <c r="CF20" s="126">
        <v>9.7246425490605135E-5</v>
      </c>
      <c r="CG20" s="126">
        <v>0.14083054335106915</v>
      </c>
      <c r="CH20" s="126">
        <v>0.1435538517950937</v>
      </c>
      <c r="CI20" s="126">
        <v>8.29223622583214E-6</v>
      </c>
      <c r="CJ20" s="126">
        <v>0.41644589625375344</v>
      </c>
      <c r="CK20" s="126">
        <v>0.34197006820138987</v>
      </c>
      <c r="CL20" s="126">
        <v>1.7224783161584668E-3</v>
      </c>
      <c r="CM20" s="126">
        <v>0.13952696696650582</v>
      </c>
      <c r="CN20" s="126">
        <v>2.8737626249944831E-2</v>
      </c>
      <c r="CO20" s="126">
        <v>8.299155578811683E-2</v>
      </c>
      <c r="CP20" s="126">
        <v>0.38441897052668822</v>
      </c>
      <c r="CQ20" s="126">
        <v>2.1390054368380934E-4</v>
      </c>
      <c r="CR20" s="126">
        <v>0.27168429779254544</v>
      </c>
      <c r="CS20" s="126">
        <v>0.25538048922001844</v>
      </c>
      <c r="CT20" s="126">
        <v>0.24232795520971512</v>
      </c>
      <c r="CU20" s="126">
        <v>8.5157424548099516E-3</v>
      </c>
      <c r="CV20" s="126">
        <v>2.2464221026260214E-6</v>
      </c>
      <c r="CW20" s="126">
        <v>2.4271847542870596E-4</v>
      </c>
      <c r="CX20" s="126">
        <v>0.30249829780216969</v>
      </c>
    </row>
    <row r="21" spans="1:102" s="95" customFormat="1">
      <c r="A21" s="306" t="s">
        <v>5</v>
      </c>
      <c r="B21" s="307"/>
      <c r="C21" s="126">
        <v>6.9039115974034351E-2</v>
      </c>
      <c r="D21" s="126">
        <v>6.9529380933115026E-5</v>
      </c>
      <c r="E21" s="126">
        <v>1.7208469589719757E-3</v>
      </c>
      <c r="F21" s="126">
        <v>1.1064450268003035E-4</v>
      </c>
      <c r="G21" s="126">
        <v>5.4858163314876286E-2</v>
      </c>
      <c r="H21" s="126">
        <v>5.3150624350007409E-3</v>
      </c>
      <c r="I21" s="126">
        <v>5.8166038714400124E-12</v>
      </c>
      <c r="J21" s="126">
        <v>0.26264740447737156</v>
      </c>
      <c r="K21" s="126">
        <v>3.3299806516338704E-4</v>
      </c>
      <c r="L21" s="126">
        <v>1.3139637321441704E-2</v>
      </c>
      <c r="M21" s="126">
        <v>1.5934488664875228E-2</v>
      </c>
      <c r="N21" s="126">
        <v>3.812907998822785E-2</v>
      </c>
      <c r="O21" s="126">
        <v>0.22381054405346729</v>
      </c>
      <c r="P21" s="126">
        <v>2.2951148649657808E-2</v>
      </c>
      <c r="Q21" s="126">
        <v>2.0970301671920055E-2</v>
      </c>
      <c r="R21" s="126">
        <v>0.10291465496296362</v>
      </c>
      <c r="S21" s="126">
        <v>0.20751101308047767</v>
      </c>
      <c r="T21" s="126">
        <v>5.2220520676836916E-3</v>
      </c>
      <c r="U21" s="126">
        <v>0.3188726076167604</v>
      </c>
      <c r="V21" s="126">
        <v>4.2513342027101558E-5</v>
      </c>
      <c r="W21" s="126">
        <v>7.2893628181363448E-5</v>
      </c>
      <c r="X21" s="126">
        <v>5.7482362099389686E-2</v>
      </c>
      <c r="Y21" s="126">
        <v>3.0941984389350193E-2</v>
      </c>
      <c r="Z21" s="126">
        <v>4.2719303882461056E-3</v>
      </c>
      <c r="AA21" s="126">
        <v>6.9180423230857995E-3</v>
      </c>
      <c r="AB21" s="126">
        <v>8.7463378836199812E-2</v>
      </c>
      <c r="AC21" s="126">
        <v>2.2469202916453494E-2</v>
      </c>
      <c r="AD21" s="126">
        <v>0.16200575454998248</v>
      </c>
      <c r="AE21" s="126">
        <v>2.2725145995835357E-2</v>
      </c>
      <c r="AF21" s="126">
        <v>9.9428592514591851E-3</v>
      </c>
      <c r="AG21" s="126">
        <v>2.030815172325473E-2</v>
      </c>
      <c r="AH21" s="126">
        <v>0.37844295460405791</v>
      </c>
      <c r="AI21" s="126">
        <v>0.340219744400516</v>
      </c>
      <c r="AJ21" s="126">
        <v>2.7773801614683655E-2</v>
      </c>
      <c r="AK21" s="126">
        <v>0.24746698852905585</v>
      </c>
      <c r="AL21" s="126">
        <v>0.30433184233272043</v>
      </c>
      <c r="AM21" s="126">
        <v>0.3449469151523944</v>
      </c>
      <c r="AN21" s="126">
        <v>9.1051044320166405E-3</v>
      </c>
      <c r="AO21" s="126">
        <v>8.8834095087357405E-5</v>
      </c>
      <c r="AP21" s="126">
        <v>7.6335751009529692E-3</v>
      </c>
      <c r="AQ21" s="126">
        <v>1.1294250075568685E-12</v>
      </c>
      <c r="AR21" s="126">
        <v>0.20132361822947883</v>
      </c>
      <c r="AS21" s="126">
        <v>0.22945669461269108</v>
      </c>
      <c r="AT21" s="126">
        <v>8.4554601222741277E-2</v>
      </c>
      <c r="AU21" s="126">
        <v>6.3199974501946907E-2</v>
      </c>
      <c r="AV21" s="126">
        <v>2.4795886196116914E-2</v>
      </c>
      <c r="AW21" s="126">
        <v>4.3310724793082539E-2</v>
      </c>
      <c r="AX21" s="126">
        <v>0.37846178876808972</v>
      </c>
      <c r="AY21" s="126">
        <v>0.36114850814947119</v>
      </c>
      <c r="AZ21" s="126">
        <v>0.13601726258094896</v>
      </c>
      <c r="BA21" s="126">
        <v>5.2523428165811611E-2</v>
      </c>
      <c r="BB21" s="126">
        <v>2.4588534749846549E-4</v>
      </c>
      <c r="BC21" s="126">
        <v>0.16210563014737436</v>
      </c>
      <c r="BD21" s="126">
        <v>0.29783595217601411</v>
      </c>
      <c r="BE21" s="126">
        <v>4.986858969532585E-2</v>
      </c>
      <c r="BF21" s="126">
        <v>3.6300127617817991E-6</v>
      </c>
      <c r="BG21" s="126">
        <v>0.29181007463722519</v>
      </c>
      <c r="BH21" s="126">
        <v>0.17638078341752206</v>
      </c>
      <c r="BI21" s="126">
        <v>4.248828653929123E-2</v>
      </c>
      <c r="BJ21" s="126">
        <v>0.23864202636255175</v>
      </c>
      <c r="BK21" s="126">
        <v>0.3981311378176759</v>
      </c>
      <c r="BL21" s="126">
        <v>0.3723619997735611</v>
      </c>
      <c r="BM21" s="126">
        <v>9.714077933578362E-2</v>
      </c>
      <c r="BN21" s="126">
        <v>1.0765021604004945E-2</v>
      </c>
      <c r="BO21" s="126">
        <v>0.19662564174325547</v>
      </c>
      <c r="BP21" s="126">
        <v>0.12319871325078664</v>
      </c>
      <c r="BQ21" s="126">
        <v>2.8631545719859923E-2</v>
      </c>
      <c r="BR21" s="126">
        <v>8.8745208571597116E-4</v>
      </c>
      <c r="BS21" s="126">
        <v>0.14783600608613526</v>
      </c>
      <c r="BT21" s="126">
        <v>5.5010779679978391E-4</v>
      </c>
      <c r="BU21" s="126">
        <v>1.2796321283567466E-3</v>
      </c>
      <c r="BV21" s="126">
        <v>8.7709764375566046E-2</v>
      </c>
      <c r="BW21" s="126">
        <v>4.0063219216886761E-3</v>
      </c>
      <c r="BX21" s="126">
        <v>0.10675203788429206</v>
      </c>
      <c r="BY21" s="126">
        <v>0.10878174884378937</v>
      </c>
      <c r="BZ21" s="126">
        <v>6.2105671902026247E-2</v>
      </c>
      <c r="CA21" s="126">
        <v>0.13373706838915592</v>
      </c>
      <c r="CB21" s="126">
        <v>0.35627616098220005</v>
      </c>
      <c r="CC21" s="126">
        <v>6.540055511990747E-4</v>
      </c>
      <c r="CD21" s="126">
        <v>0.24036396752972092</v>
      </c>
      <c r="CE21" s="126">
        <v>4.6000792889345915E-2</v>
      </c>
      <c r="CF21" s="126">
        <v>3.3186596558987952E-2</v>
      </c>
      <c r="CG21" s="126">
        <v>9.7969593817536768E-2</v>
      </c>
      <c r="CH21" s="126">
        <v>0.14391475186614627</v>
      </c>
      <c r="CI21" s="126">
        <v>1.5601557851659405E-4</v>
      </c>
      <c r="CJ21" s="126">
        <v>6.2656556050317788E-4</v>
      </c>
      <c r="CK21" s="126">
        <v>0.1214222151197574</v>
      </c>
      <c r="CL21" s="126">
        <v>0.32267610720105039</v>
      </c>
      <c r="CM21" s="126">
        <v>4.4506998855714207E-3</v>
      </c>
      <c r="CN21" s="126">
        <v>5.652355582527558E-2</v>
      </c>
      <c r="CO21" s="126">
        <v>0.23670518203110791</v>
      </c>
      <c r="CP21" s="126">
        <v>6.1272614031165898E-3</v>
      </c>
      <c r="CQ21" s="126">
        <v>0.48600722852265132</v>
      </c>
      <c r="CR21" s="126">
        <v>0.42564247065042859</v>
      </c>
      <c r="CS21" s="126">
        <v>8.4389219597903312E-2</v>
      </c>
      <c r="CT21" s="126">
        <v>1.1723687781060841E-3</v>
      </c>
      <c r="CU21" s="126">
        <v>9.5881062569370887E-2</v>
      </c>
      <c r="CV21" s="126">
        <v>0.31429409170299888</v>
      </c>
      <c r="CW21" s="126">
        <v>0.15315781982559018</v>
      </c>
      <c r="CX21" s="126">
        <v>1.3148355933869279E-2</v>
      </c>
    </row>
    <row r="22" spans="1:102" s="95" customFormat="1">
      <c r="A22" s="306" t="s">
        <v>178</v>
      </c>
      <c r="B22" s="307"/>
      <c r="C22" s="126">
        <v>8.1578727502633369E-2</v>
      </c>
      <c r="D22" s="126">
        <v>4.9583587063957636E-2</v>
      </c>
      <c r="E22" s="126">
        <v>1.0054978286866774E-6</v>
      </c>
      <c r="F22" s="126">
        <v>6.9613765815254539E-2</v>
      </c>
      <c r="G22" s="126">
        <v>0.25803711658419282</v>
      </c>
      <c r="H22" s="126">
        <v>1.0078555914282436E-6</v>
      </c>
      <c r="I22" s="126">
        <v>7.3407950269797059E-2</v>
      </c>
      <c r="J22" s="126">
        <v>2.1683042083905511E-2</v>
      </c>
      <c r="K22" s="126">
        <v>0.23199037369700864</v>
      </c>
      <c r="L22" s="126">
        <v>0.17866093473289713</v>
      </c>
      <c r="M22" s="126">
        <v>0.26492911747798209</v>
      </c>
      <c r="N22" s="126">
        <v>0.17433407546777666</v>
      </c>
      <c r="O22" s="126">
        <v>2.9297082580818602E-3</v>
      </c>
      <c r="P22" s="126">
        <v>0.13287775456271023</v>
      </c>
      <c r="Q22" s="126">
        <v>9.8514836167824554E-2</v>
      </c>
      <c r="R22" s="126">
        <v>0.15011926163170097</v>
      </c>
      <c r="S22" s="126">
        <v>0.19312270201044637</v>
      </c>
      <c r="T22" s="126">
        <v>0.15512726003466687</v>
      </c>
      <c r="U22" s="126">
        <v>1.6490396639838363E-9</v>
      </c>
      <c r="V22" s="126">
        <v>0.21272438992129836</v>
      </c>
      <c r="W22" s="126">
        <v>0.30315466357010823</v>
      </c>
      <c r="X22" s="126">
        <v>0.10595378318263456</v>
      </c>
      <c r="Y22" s="126">
        <v>3.0150962645155259E-3</v>
      </c>
      <c r="Z22" s="126">
        <v>3.4486768559271762E-2</v>
      </c>
      <c r="AA22" s="126">
        <v>0.1075539110733299</v>
      </c>
      <c r="AB22" s="126">
        <v>0.18461068498260938</v>
      </c>
      <c r="AC22" s="126">
        <v>0.32447890371637561</v>
      </c>
      <c r="AD22" s="126">
        <v>6.0320629532734836E-2</v>
      </c>
      <c r="AE22" s="126">
        <v>0.14762556127291193</v>
      </c>
      <c r="AF22" s="126">
        <v>0.10585245097310331</v>
      </c>
      <c r="AG22" s="126">
        <v>4.9189857823910846E-2</v>
      </c>
      <c r="AH22" s="126">
        <v>8.2740850219803833E-3</v>
      </c>
      <c r="AI22" s="126">
        <v>0.16968979933450759</v>
      </c>
      <c r="AJ22" s="126">
        <v>8.9223392770193283E-2</v>
      </c>
      <c r="AK22" s="126">
        <v>0.23483492839609249</v>
      </c>
      <c r="AL22" s="126">
        <v>9.3192920277988603E-2</v>
      </c>
      <c r="AM22" s="126">
        <v>1.4800928290576564E-3</v>
      </c>
      <c r="AN22" s="126">
        <v>6.1314018786638958E-3</v>
      </c>
      <c r="AO22" s="126">
        <v>6.8383752152292282E-2</v>
      </c>
      <c r="AP22" s="126">
        <v>2.7422524211873408E-3</v>
      </c>
      <c r="AQ22" s="126">
        <v>0.39273260297697321</v>
      </c>
      <c r="AR22" s="126">
        <v>5.3704592757355465E-7</v>
      </c>
      <c r="AS22" s="126">
        <v>1.2484567402242268E-3</v>
      </c>
      <c r="AT22" s="126">
        <v>5.4131003121841062E-2</v>
      </c>
      <c r="AU22" s="126">
        <v>0.19193325505332537</v>
      </c>
      <c r="AV22" s="126">
        <v>0.44371115921051668</v>
      </c>
      <c r="AW22" s="126">
        <v>0.18913866421141268</v>
      </c>
      <c r="AX22" s="126">
        <v>9.7176047090508436E-2</v>
      </c>
      <c r="AY22" s="126">
        <v>2.4801833925179411E-2</v>
      </c>
      <c r="AZ22" s="126">
        <v>0.14980284171501279</v>
      </c>
      <c r="BA22" s="126">
        <v>3.0715355750601659E-5</v>
      </c>
      <c r="BB22" s="126">
        <v>9.7935437812109998E-10</v>
      </c>
      <c r="BC22" s="126">
        <v>0.14870948698477279</v>
      </c>
      <c r="BD22" s="126">
        <v>1.180705444614012E-3</v>
      </c>
      <c r="BE22" s="126">
        <v>8.2118222720173814E-2</v>
      </c>
      <c r="BF22" s="126">
        <v>2.6762846460225476E-2</v>
      </c>
      <c r="BG22" s="126">
        <v>6.3917694265301195E-2</v>
      </c>
      <c r="BH22" s="126">
        <v>1.7225239742496149E-3</v>
      </c>
      <c r="BI22" s="126">
        <v>0.35023909925782748</v>
      </c>
      <c r="BJ22" s="126">
        <v>0.1689927897178306</v>
      </c>
      <c r="BK22" s="126">
        <v>3.926822899300423E-5</v>
      </c>
      <c r="BL22" s="126">
        <v>1.3705569254447859E-2</v>
      </c>
      <c r="BM22" s="126">
        <v>0.21561150715494853</v>
      </c>
      <c r="BN22" s="126">
        <v>0.26361117849762439</v>
      </c>
      <c r="BO22" s="126">
        <v>0.23763543060170927</v>
      </c>
      <c r="BP22" s="126">
        <v>0.32932129113459913</v>
      </c>
      <c r="BQ22" s="126">
        <v>7.5553576880959789E-2</v>
      </c>
      <c r="BR22" s="126">
        <v>1.4692678867514344E-2</v>
      </c>
      <c r="BS22" s="126">
        <v>5.2214680370037281E-3</v>
      </c>
      <c r="BT22" s="126">
        <v>9.0170964056143235E-2</v>
      </c>
      <c r="BU22" s="126">
        <v>3.9737400261194867E-3</v>
      </c>
      <c r="BV22" s="126">
        <v>0.28537890833776086</v>
      </c>
      <c r="BW22" s="126">
        <v>5.6719085545103194E-2</v>
      </c>
      <c r="BX22" s="126">
        <v>7.6944119379204453E-3</v>
      </c>
      <c r="BY22" s="126">
        <v>5.083132018292405E-2</v>
      </c>
      <c r="BZ22" s="126">
        <v>0.12813680846505998</v>
      </c>
      <c r="CA22" s="126">
        <v>5.431505967169014E-2</v>
      </c>
      <c r="CB22" s="126">
        <v>1.7674228809560725E-3</v>
      </c>
      <c r="CC22" s="126">
        <v>0.15993138177070743</v>
      </c>
      <c r="CD22" s="126">
        <v>5.255218207123314E-3</v>
      </c>
      <c r="CE22" s="126">
        <v>0.20389726368265632</v>
      </c>
      <c r="CF22" s="126">
        <v>7.1205358592219459E-6</v>
      </c>
      <c r="CG22" s="126">
        <v>8.2681037845469898E-5</v>
      </c>
      <c r="CH22" s="126">
        <v>4.9733711072759033E-4</v>
      </c>
      <c r="CI22" s="126">
        <v>0.33824776613552848</v>
      </c>
      <c r="CJ22" s="126">
        <v>0.3887467994635363</v>
      </c>
      <c r="CK22" s="126">
        <v>9.1764108690990442E-2</v>
      </c>
      <c r="CL22" s="126">
        <v>3.1297586154217391E-2</v>
      </c>
      <c r="CM22" s="126">
        <v>0.11514362808808644</v>
      </c>
      <c r="CN22" s="126">
        <v>0.4108406253926476</v>
      </c>
      <c r="CO22" s="126">
        <v>2.1292811021916351E-5</v>
      </c>
      <c r="CP22" s="126">
        <v>0.14199474221115901</v>
      </c>
      <c r="CQ22" s="126">
        <v>0.16365299404753375</v>
      </c>
      <c r="CR22" s="126">
        <v>7.8157307142582566E-2</v>
      </c>
      <c r="CS22" s="126">
        <v>0.16074585610730338</v>
      </c>
      <c r="CT22" s="126">
        <v>0.38296928757106141</v>
      </c>
      <c r="CU22" s="126">
        <v>0.16882566855086653</v>
      </c>
      <c r="CV22" s="126">
        <v>0.15659338865654385</v>
      </c>
      <c r="CW22" s="126">
        <v>2.606260947604837E-3</v>
      </c>
      <c r="CX22" s="126">
        <v>4.6595792613963467E-2</v>
      </c>
    </row>
    <row r="23" spans="1:102" s="95" customFormat="1">
      <c r="A23" s="306" t="s">
        <v>6</v>
      </c>
      <c r="B23" s="307"/>
      <c r="C23" s="126">
        <v>6.7697558124095253E-2</v>
      </c>
      <c r="D23" s="126">
        <v>0.14710876723788618</v>
      </c>
      <c r="E23" s="126">
        <v>0.29220749763919229</v>
      </c>
      <c r="F23" s="126">
        <v>0.19675014380335007</v>
      </c>
      <c r="G23" s="126">
        <v>4.7927998483009001E-8</v>
      </c>
      <c r="H23" s="126">
        <v>0.29908569574088917</v>
      </c>
      <c r="I23" s="126">
        <v>6.1787509238469859E-2</v>
      </c>
      <c r="J23" s="126">
        <v>0.18196475556132691</v>
      </c>
      <c r="K23" s="126">
        <v>5.2350645373455088E-2</v>
      </c>
      <c r="L23" s="126">
        <v>0.14150848879169789</v>
      </c>
      <c r="M23" s="126">
        <v>6.1495576339695809E-2</v>
      </c>
      <c r="N23" s="126">
        <v>0.23101952065216733</v>
      </c>
      <c r="O23" s="126">
        <v>2.1407187726279787E-2</v>
      </c>
      <c r="P23" s="126">
        <v>0.11575607491920263</v>
      </c>
      <c r="Q23" s="126">
        <v>0.15199165077585144</v>
      </c>
      <c r="R23" s="126">
        <v>0.14714013811454726</v>
      </c>
      <c r="S23" s="126">
        <v>5.9309667326327094E-2</v>
      </c>
      <c r="T23" s="126">
        <v>2.0007782200843855E-3</v>
      </c>
      <c r="U23" s="126">
        <v>0.2369210134285146</v>
      </c>
      <c r="V23" s="126">
        <v>0.19536135006933697</v>
      </c>
      <c r="W23" s="126">
        <v>3.5145414681345052E-8</v>
      </c>
      <c r="X23" s="126">
        <v>3.382455102255268E-6</v>
      </c>
      <c r="Y23" s="126">
        <v>0.46357974744966757</v>
      </c>
      <c r="Z23" s="126">
        <v>0.47013133418543906</v>
      </c>
      <c r="AA23" s="126">
        <v>0.10220443492570126</v>
      </c>
      <c r="AB23" s="126">
        <v>0.14110914573199632</v>
      </c>
      <c r="AC23" s="126">
        <v>0.17991240830529254</v>
      </c>
      <c r="AD23" s="126">
        <v>0.17156987266550228</v>
      </c>
      <c r="AE23" s="126">
        <v>1.2587651778753176E-6</v>
      </c>
      <c r="AF23" s="126">
        <v>0.29111067091824994</v>
      </c>
      <c r="AG23" s="126">
        <v>0.40078480482535705</v>
      </c>
      <c r="AH23" s="126">
        <v>0.31144486265256111</v>
      </c>
      <c r="AI23" s="126">
        <v>2.7654567487373865E-2</v>
      </c>
      <c r="AJ23" s="126">
        <v>0.28143428537931847</v>
      </c>
      <c r="AK23" s="126">
        <v>8.27681382240716E-2</v>
      </c>
      <c r="AL23" s="126">
        <v>0.10459175600199901</v>
      </c>
      <c r="AM23" s="126">
        <v>0.2329376783134928</v>
      </c>
      <c r="AN23" s="126">
        <v>0.48796640455134466</v>
      </c>
      <c r="AO23" s="126">
        <v>4.2990451963217421E-2</v>
      </c>
      <c r="AP23" s="126">
        <v>1.5557134877421214E-2</v>
      </c>
      <c r="AQ23" s="126">
        <v>3.8143281125170278E-2</v>
      </c>
      <c r="AR23" s="126">
        <v>2.0627516069656848E-5</v>
      </c>
      <c r="AS23" s="126">
        <v>3.0186062599940208E-2</v>
      </c>
      <c r="AT23" s="126">
        <v>6.3845661404273422E-4</v>
      </c>
      <c r="AU23" s="126">
        <v>5.5164579469994555E-2</v>
      </c>
      <c r="AV23" s="126">
        <v>1.0947028363237481E-6</v>
      </c>
      <c r="AW23" s="126">
        <v>0.18741563273028622</v>
      </c>
      <c r="AX23" s="126">
        <v>0.12549361100064552</v>
      </c>
      <c r="AY23" s="126">
        <v>0.17781702690671544</v>
      </c>
      <c r="AZ23" s="126">
        <v>8.8496745153443385E-3</v>
      </c>
      <c r="BA23" s="126">
        <v>0.18036924018929434</v>
      </c>
      <c r="BB23" s="126">
        <v>0.18712870167105541</v>
      </c>
      <c r="BC23" s="126">
        <v>9.2116165528547317E-2</v>
      </c>
      <c r="BD23" s="126">
        <v>0.26225158530856219</v>
      </c>
      <c r="BE23" s="126">
        <v>0.22469023280899725</v>
      </c>
      <c r="BF23" s="126">
        <v>9.6596218041924142E-2</v>
      </c>
      <c r="BG23" s="126">
        <v>3.7664281611425179E-9</v>
      </c>
      <c r="BH23" s="126">
        <v>8.7326347428576912E-5</v>
      </c>
      <c r="BI23" s="126">
        <v>1.5820711859545293E-3</v>
      </c>
      <c r="BJ23" s="126">
        <v>7.6998189318850732E-2</v>
      </c>
      <c r="BK23" s="126">
        <v>5.0443023048745185E-3</v>
      </c>
      <c r="BL23" s="126">
        <v>5.2587300930619354E-3</v>
      </c>
      <c r="BM23" s="126">
        <v>3.2854153061974499E-11</v>
      </c>
      <c r="BN23" s="126">
        <v>2.7014611751243786E-3</v>
      </c>
      <c r="BO23" s="126">
        <v>3.1688028044281981E-2</v>
      </c>
      <c r="BP23" s="126">
        <v>3.1338142174525805E-5</v>
      </c>
      <c r="BQ23" s="126">
        <v>1.8531937263851658E-2</v>
      </c>
      <c r="BR23" s="126">
        <v>0.14980670077101135</v>
      </c>
      <c r="BS23" s="126">
        <v>0.4014374526667509</v>
      </c>
      <c r="BT23" s="126">
        <v>0.11289614972378746</v>
      </c>
      <c r="BU23" s="126">
        <v>0.32389037183362229</v>
      </c>
      <c r="BV23" s="126">
        <v>0.12860106921135772</v>
      </c>
      <c r="BW23" s="126">
        <v>0.33304099698940215</v>
      </c>
      <c r="BX23" s="126">
        <v>0.19206667837662209</v>
      </c>
      <c r="BY23" s="126">
        <v>0.31257815652752252</v>
      </c>
      <c r="BZ23" s="126">
        <v>0.40143306268003159</v>
      </c>
      <c r="CA23" s="126">
        <v>0.33145454760967541</v>
      </c>
      <c r="CB23" s="126">
        <v>1.1925569974320252E-2</v>
      </c>
      <c r="CC23" s="126">
        <v>0.45330225554206632</v>
      </c>
      <c r="CD23" s="126">
        <v>6.7417417283239855E-2</v>
      </c>
      <c r="CE23" s="126">
        <v>6.882084704876032E-2</v>
      </c>
      <c r="CF23" s="126">
        <v>1.6039653239000395E-5</v>
      </c>
      <c r="CG23" s="126">
        <v>1.2221521924695543E-2</v>
      </c>
      <c r="CH23" s="126">
        <v>0.44291842959094635</v>
      </c>
      <c r="CI23" s="126">
        <v>0.14924576301452952</v>
      </c>
      <c r="CJ23" s="126">
        <v>4.1892955655438845E-2</v>
      </c>
      <c r="CK23" s="126">
        <v>3.0109345778963691E-2</v>
      </c>
      <c r="CL23" s="126">
        <v>0.237656606025241</v>
      </c>
      <c r="CM23" s="126">
        <v>1.3913232969125125E-2</v>
      </c>
      <c r="CN23" s="126">
        <v>4.6412623621579421E-8</v>
      </c>
      <c r="CO23" s="126">
        <v>0.16873754112992051</v>
      </c>
      <c r="CP23" s="126">
        <v>0.31136285638361322</v>
      </c>
      <c r="CQ23" s="126">
        <v>2.5453582024004826E-4</v>
      </c>
      <c r="CR23" s="126">
        <v>1.7937371293598982E-2</v>
      </c>
      <c r="CS23" s="126">
        <v>2.4933174546152671E-2</v>
      </c>
      <c r="CT23" s="126">
        <v>0.24679068095751663</v>
      </c>
      <c r="CU23" s="126">
        <v>0.17640095110519274</v>
      </c>
      <c r="CV23" s="126">
        <v>2.1795183128022722E-5</v>
      </c>
      <c r="CW23" s="126">
        <v>0.23027710471319868</v>
      </c>
      <c r="CX23" s="126">
        <v>7.736943589924776E-2</v>
      </c>
    </row>
    <row r="24" spans="1:102" s="95" customFormat="1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96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6" spans="1:102" s="10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303" t="s">
        <v>131</v>
      </c>
      <c r="B27" s="30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</row>
    <row r="28" spans="1:102">
      <c r="A28" s="308" t="str">
        <f t="shared" ref="A28:A37" si="0">A4</f>
        <v>Nominale matching</v>
      </c>
      <c r="B28" s="309"/>
      <c r="C28" s="97">
        <v>-9.999999999999995E-2</v>
      </c>
      <c r="D28" s="97">
        <v>-9.999999999999995E-2</v>
      </c>
      <c r="E28" s="97">
        <v>-9.999999999999995E-2</v>
      </c>
      <c r="F28" s="97">
        <v>-9.999999999999995E-2</v>
      </c>
      <c r="G28" s="97">
        <v>-9.999999999999995E-2</v>
      </c>
      <c r="H28" s="97">
        <v>-9.999999999999995E-2</v>
      </c>
      <c r="I28" s="97">
        <v>-9.999999999999995E-2</v>
      </c>
      <c r="J28" s="97">
        <v>-9.999999999999995E-2</v>
      </c>
      <c r="K28" s="97">
        <v>-9.999999999999995E-2</v>
      </c>
      <c r="L28" s="97">
        <v>-9.999999999999995E-2</v>
      </c>
      <c r="M28" s="97">
        <v>-9.999999999999995E-2</v>
      </c>
      <c r="N28" s="97">
        <v>-9.999999999999995E-2</v>
      </c>
      <c r="O28" s="97">
        <v>-9.999999999999995E-2</v>
      </c>
      <c r="P28" s="97">
        <v>-9.999999999999995E-2</v>
      </c>
      <c r="Q28" s="97">
        <v>-9.999999999999995E-2</v>
      </c>
      <c r="R28" s="97">
        <v>-9.999999999999995E-2</v>
      </c>
      <c r="S28" s="97">
        <v>-9.999999999999995E-2</v>
      </c>
      <c r="T28" s="97">
        <v>-9.999999999999995E-2</v>
      </c>
      <c r="U28" s="97">
        <v>-9.999999999999995E-2</v>
      </c>
      <c r="V28" s="97">
        <v>-9.999999999999995E-2</v>
      </c>
      <c r="W28" s="97">
        <v>-9.999999999999995E-2</v>
      </c>
      <c r="X28" s="97">
        <v>-9.999999999999995E-2</v>
      </c>
      <c r="Y28" s="97">
        <v>-9.999999999999995E-2</v>
      </c>
      <c r="Z28" s="97">
        <v>-9.999999999999995E-2</v>
      </c>
      <c r="AA28" s="97">
        <v>-9.999999999999995E-2</v>
      </c>
      <c r="AB28" s="97">
        <v>-9.999999999999995E-2</v>
      </c>
      <c r="AC28" s="97">
        <v>-9.999999999999995E-2</v>
      </c>
      <c r="AD28" s="97">
        <v>-9.999999999999995E-2</v>
      </c>
      <c r="AE28" s="97">
        <v>-9.999999999999995E-2</v>
      </c>
      <c r="AF28" s="97">
        <v>-9.999999999999995E-2</v>
      </c>
      <c r="AG28" s="97">
        <v>-9.999999999999995E-2</v>
      </c>
      <c r="AH28" s="97">
        <v>-9.999999999999995E-2</v>
      </c>
      <c r="AI28" s="97">
        <v>-9.999999999999995E-2</v>
      </c>
      <c r="AJ28" s="97">
        <v>-9.999999999999995E-2</v>
      </c>
      <c r="AK28" s="97">
        <v>-9.999999999999995E-2</v>
      </c>
      <c r="AL28" s="97">
        <v>-9.999999999999995E-2</v>
      </c>
      <c r="AM28" s="97">
        <v>-9.999999999999995E-2</v>
      </c>
      <c r="AN28" s="97">
        <v>-9.999999999999995E-2</v>
      </c>
      <c r="AO28" s="97">
        <v>-9.999999999999995E-2</v>
      </c>
      <c r="AP28" s="97">
        <v>-9.999999999999995E-2</v>
      </c>
      <c r="AQ28" s="97">
        <v>-9.999999999999995E-2</v>
      </c>
      <c r="AR28" s="97">
        <v>-9.999999999999995E-2</v>
      </c>
      <c r="AS28" s="97">
        <v>-9.999999999999995E-2</v>
      </c>
      <c r="AT28" s="97">
        <v>-9.999999999999995E-2</v>
      </c>
      <c r="AU28" s="97">
        <v>-9.999999999999995E-2</v>
      </c>
      <c r="AV28" s="97">
        <v>-9.999999999999995E-2</v>
      </c>
      <c r="AW28" s="97">
        <v>-9.999999999999995E-2</v>
      </c>
      <c r="AX28" s="97">
        <v>-9.999999999999995E-2</v>
      </c>
      <c r="AY28" s="97">
        <v>-9.999999999999995E-2</v>
      </c>
      <c r="AZ28" s="97">
        <v>-9.999999999999995E-2</v>
      </c>
      <c r="BA28" s="97">
        <v>-9.999999999999995E-2</v>
      </c>
      <c r="BB28" s="97">
        <v>-9.999999999999995E-2</v>
      </c>
      <c r="BC28" s="97">
        <v>-9.999999999999995E-2</v>
      </c>
      <c r="BD28" s="97">
        <v>-9.999999999999995E-2</v>
      </c>
      <c r="BE28" s="97">
        <v>-9.999999999999995E-2</v>
      </c>
      <c r="BF28" s="97">
        <v>-9.999999999999995E-2</v>
      </c>
      <c r="BG28" s="97">
        <v>-9.999999999999995E-2</v>
      </c>
      <c r="BH28" s="97">
        <v>-9.999999999999995E-2</v>
      </c>
      <c r="BI28" s="97">
        <v>-9.999999999999995E-2</v>
      </c>
      <c r="BJ28" s="97">
        <v>-9.999999999999995E-2</v>
      </c>
      <c r="BK28" s="97">
        <v>-9.999999999999995E-2</v>
      </c>
      <c r="BL28" s="97">
        <v>-9.999999999999995E-2</v>
      </c>
      <c r="BM28" s="97">
        <v>-9.999999999999995E-2</v>
      </c>
      <c r="BN28" s="97">
        <v>-9.999999999999995E-2</v>
      </c>
      <c r="BO28" s="97">
        <v>-9.999999999999995E-2</v>
      </c>
      <c r="BP28" s="97">
        <v>-9.999999999999995E-2</v>
      </c>
      <c r="BQ28" s="97">
        <v>-9.999999999999995E-2</v>
      </c>
      <c r="BR28" s="97">
        <v>-9.999999999999995E-2</v>
      </c>
      <c r="BS28" s="97">
        <v>-9.999999999999995E-2</v>
      </c>
      <c r="BT28" s="97">
        <v>-9.999999999999995E-2</v>
      </c>
      <c r="BU28" s="97">
        <v>-9.999999999999995E-2</v>
      </c>
      <c r="BV28" s="97">
        <v>-9.999999999999995E-2</v>
      </c>
      <c r="BW28" s="97">
        <v>-9.999999999999995E-2</v>
      </c>
      <c r="BX28" s="97">
        <v>-9.999999999999995E-2</v>
      </c>
      <c r="BY28" s="97">
        <v>-9.999999999999995E-2</v>
      </c>
      <c r="BZ28" s="97">
        <v>-9.999999999999995E-2</v>
      </c>
      <c r="CA28" s="97">
        <v>-9.999999999999995E-2</v>
      </c>
      <c r="CB28" s="97">
        <v>-9.999999999999995E-2</v>
      </c>
      <c r="CC28" s="97">
        <v>-9.999999999999995E-2</v>
      </c>
      <c r="CD28" s="97">
        <v>-9.999999999999995E-2</v>
      </c>
      <c r="CE28" s="97">
        <v>-9.999999999999995E-2</v>
      </c>
      <c r="CF28" s="97">
        <v>-9.999999999999995E-2</v>
      </c>
      <c r="CG28" s="97">
        <v>-9.999999999999995E-2</v>
      </c>
      <c r="CH28" s="97">
        <v>-9.999999999999995E-2</v>
      </c>
      <c r="CI28" s="97">
        <v>-9.999999999999995E-2</v>
      </c>
      <c r="CJ28" s="97">
        <v>-9.999999999999995E-2</v>
      </c>
      <c r="CK28" s="97">
        <v>-9.999999999999995E-2</v>
      </c>
      <c r="CL28" s="97">
        <v>-9.999999999999995E-2</v>
      </c>
      <c r="CM28" s="97">
        <v>-9.999999999999995E-2</v>
      </c>
      <c r="CN28" s="97">
        <v>-9.999999999999995E-2</v>
      </c>
      <c r="CO28" s="97">
        <v>-9.999999999999995E-2</v>
      </c>
      <c r="CP28" s="97">
        <v>-9.999999999999995E-2</v>
      </c>
      <c r="CQ28" s="97">
        <v>-9.999999999999995E-2</v>
      </c>
      <c r="CR28" s="97">
        <v>-9.999999999999995E-2</v>
      </c>
      <c r="CS28" s="97">
        <v>-9.999999999999995E-2</v>
      </c>
      <c r="CT28" s="97">
        <v>-9.999999999999995E-2</v>
      </c>
      <c r="CU28" s="97">
        <v>-9.999999999999995E-2</v>
      </c>
      <c r="CV28" s="97">
        <v>-9.999999999999995E-2</v>
      </c>
      <c r="CW28" s="97">
        <v>-9.999999999999995E-2</v>
      </c>
      <c r="CX28" s="97">
        <v>-9.999999999999995E-2</v>
      </c>
    </row>
    <row r="29" spans="1:102" s="111" customFormat="1">
      <c r="A29" s="306" t="str">
        <f t="shared" si="0"/>
        <v>Reele matching</v>
      </c>
      <c r="B29" s="307"/>
      <c r="C29" s="97">
        <v>-5.9084500121617395E-3</v>
      </c>
      <c r="D29" s="97">
        <v>-1.7814453654716803E-2</v>
      </c>
      <c r="E29" s="97">
        <v>-1.7750949091587018E-2</v>
      </c>
      <c r="F29" s="97">
        <v>7.9309307444216937E-4</v>
      </c>
      <c r="G29" s="97">
        <v>-1.3654444508435032E-2</v>
      </c>
      <c r="H29" s="97">
        <v>-1.252658950932091E-2</v>
      </c>
      <c r="I29" s="97">
        <v>-1.1875042560649057E-2</v>
      </c>
      <c r="J29" s="97">
        <v>-7.8874861471758817E-3</v>
      </c>
      <c r="K29" s="97">
        <v>1.4729793957581894E-3</v>
      </c>
      <c r="L29" s="97">
        <v>-1.836312222814579E-3</v>
      </c>
      <c r="M29" s="97">
        <v>-1.6506633079663269E-2</v>
      </c>
      <c r="N29" s="97">
        <v>-8.5805713765203795E-4</v>
      </c>
      <c r="O29" s="97">
        <v>-1.557124296194673E-4</v>
      </c>
      <c r="P29" s="97">
        <v>-7.3548280201940486E-3</v>
      </c>
      <c r="Q29" s="97">
        <v>-2.2068979696174967E-3</v>
      </c>
      <c r="R29" s="97">
        <v>-4.4595859902618606E-3</v>
      </c>
      <c r="S29" s="97">
        <v>1.3148186164853304E-3</v>
      </c>
      <c r="T29" s="97">
        <v>-1.136197877287895E-2</v>
      </c>
      <c r="U29" s="97">
        <v>-1.4903430082959315E-2</v>
      </c>
      <c r="V29" s="97">
        <v>2.9639448194247325E-3</v>
      </c>
      <c r="W29" s="97">
        <v>-4.5072632829130377E-3</v>
      </c>
      <c r="X29" s="97">
        <v>-1.7582543937535902E-2</v>
      </c>
      <c r="Y29" s="97">
        <v>3.6719022978384391E-3</v>
      </c>
      <c r="Z29" s="97">
        <v>-1.6375826241566124E-2</v>
      </c>
      <c r="AA29" s="97">
        <v>-7.4716163138924957E-3</v>
      </c>
      <c r="AB29" s="97">
        <v>-2.0545123708559931E-3</v>
      </c>
      <c r="AC29" s="97">
        <v>7.9037390395550466E-4</v>
      </c>
      <c r="AD29" s="97">
        <v>-1.0677708750789938E-2</v>
      </c>
      <c r="AE29" s="97">
        <v>-6.1693987963536978E-3</v>
      </c>
      <c r="AF29" s="97">
        <v>-1.7097690747785999E-5</v>
      </c>
      <c r="AG29" s="97">
        <v>-7.7534215573185905E-3</v>
      </c>
      <c r="AH29" s="97">
        <v>-5.600704301647122E-3</v>
      </c>
      <c r="AI29" s="97">
        <v>3.0030613217804647E-4</v>
      </c>
      <c r="AJ29" s="97">
        <v>-3.4535346884395079E-3</v>
      </c>
      <c r="AK29" s="97">
        <v>-8.0808270525116188E-3</v>
      </c>
      <c r="AL29" s="97">
        <v>1.7481259970200252E-3</v>
      </c>
      <c r="AM29" s="97">
        <v>-3.6048426989094412E-3</v>
      </c>
      <c r="AN29" s="97">
        <v>-5.872100524163662E-3</v>
      </c>
      <c r="AO29" s="97">
        <v>-5.170350172422053E-3</v>
      </c>
      <c r="AP29" s="97">
        <v>8.0573222256700994E-4</v>
      </c>
      <c r="AQ29" s="97">
        <v>2.410448567677706E-3</v>
      </c>
      <c r="AR29" s="97">
        <v>-6.1800579951587775E-3</v>
      </c>
      <c r="AS29" s="97">
        <v>-5.9474559465161336E-3</v>
      </c>
      <c r="AT29" s="97">
        <v>-7.3373711269334729E-3</v>
      </c>
      <c r="AU29" s="97">
        <v>-8.386418088471348E-3</v>
      </c>
      <c r="AV29" s="97">
        <v>-5.640826003431354E-3</v>
      </c>
      <c r="AW29" s="97">
        <v>-9.7607951813921123E-3</v>
      </c>
      <c r="AX29" s="97">
        <v>1.8504132939371754E-3</v>
      </c>
      <c r="AY29" s="97">
        <v>-1.0263888528003737E-2</v>
      </c>
      <c r="AZ29" s="97">
        <v>-5.576065867640756E-3</v>
      </c>
      <c r="BA29" s="97">
        <v>5.4865308618874814E-3</v>
      </c>
      <c r="BB29" s="97">
        <v>-4.1579277338514575E-4</v>
      </c>
      <c r="BC29" s="97">
        <v>3.013700997614957E-3</v>
      </c>
      <c r="BD29" s="97">
        <v>-6.9364790303511059E-3</v>
      </c>
      <c r="BE29" s="97">
        <v>-3.778450345614498E-3</v>
      </c>
      <c r="BF29" s="97">
        <v>1.7227098554697118E-3</v>
      </c>
      <c r="BG29" s="97">
        <v>1.3047761817194109E-3</v>
      </c>
      <c r="BH29" s="97">
        <v>-2.2463157764119612E-3</v>
      </c>
      <c r="BI29" s="97">
        <v>-5.2914061190074274E-3</v>
      </c>
      <c r="BJ29" s="97">
        <v>-9.551927323397838E-3</v>
      </c>
      <c r="BK29" s="97">
        <v>-5.9405343652723097E-3</v>
      </c>
      <c r="BL29" s="97">
        <v>-7.7613093743404971E-3</v>
      </c>
      <c r="BM29" s="97">
        <v>2.310757899705751E-3</v>
      </c>
      <c r="BN29" s="97">
        <v>1.6113563993880586E-3</v>
      </c>
      <c r="BO29" s="97">
        <v>-1.4402312487370575E-2</v>
      </c>
      <c r="BP29" s="97">
        <v>-7.6259115725448717E-3</v>
      </c>
      <c r="BQ29" s="97">
        <v>-1.0432057973485981E-2</v>
      </c>
      <c r="BR29" s="97">
        <v>-1.7837154727103066E-3</v>
      </c>
      <c r="BS29" s="97">
        <v>-2.1171666571258296E-3</v>
      </c>
      <c r="BT29" s="97">
        <v>6.1313983447396497E-3</v>
      </c>
      <c r="BU29" s="97">
        <v>-5.0435199420277854E-3</v>
      </c>
      <c r="BV29" s="97">
        <v>-6.5420637100533918E-3</v>
      </c>
      <c r="BW29" s="97">
        <v>-3.5370351700060032E-3</v>
      </c>
      <c r="BX29" s="97">
        <v>-3.3495841322597752E-3</v>
      </c>
      <c r="BY29" s="97">
        <v>-4.5279298029163445E-3</v>
      </c>
      <c r="BZ29" s="97">
        <v>-1.1208527070217217E-2</v>
      </c>
      <c r="CA29" s="97">
        <v>-5.9190691074926943E-3</v>
      </c>
      <c r="CB29" s="97">
        <v>3.3547292852245253E-3</v>
      </c>
      <c r="CC29" s="97">
        <v>7.3839701875853814E-4</v>
      </c>
      <c r="CD29" s="97">
        <v>1.9840392192202599E-3</v>
      </c>
      <c r="CE29" s="97">
        <v>-9.7666028278771411E-4</v>
      </c>
      <c r="CF29" s="97">
        <v>2.5284982415387375E-3</v>
      </c>
      <c r="CG29" s="97">
        <v>-1.8351731355199269E-2</v>
      </c>
      <c r="CH29" s="97">
        <v>-1.4911374429719376E-2</v>
      </c>
      <c r="CI29" s="97">
        <v>-8.8337472543143364E-3</v>
      </c>
      <c r="CJ29" s="97">
        <v>-1.0068720203040588E-2</v>
      </c>
      <c r="CK29" s="97">
        <v>-1.1699263640063268E-3</v>
      </c>
      <c r="CL29" s="97">
        <v>-6.2633944054175661E-3</v>
      </c>
      <c r="CM29" s="97">
        <v>-5.745294960859848E-3</v>
      </c>
      <c r="CN29" s="97">
        <v>8.3581570565116614E-4</v>
      </c>
      <c r="CO29" s="97">
        <v>-4.0983091313653158E-3</v>
      </c>
      <c r="CP29" s="97">
        <v>3.9594040467030855E-4</v>
      </c>
      <c r="CQ29" s="97">
        <v>-1.633658269822133E-3</v>
      </c>
      <c r="CR29" s="97">
        <v>-3.8940587725112968E-3</v>
      </c>
      <c r="CS29" s="97">
        <v>9.9943151211431824E-4</v>
      </c>
      <c r="CT29" s="97">
        <v>-4.1047669012623661E-3</v>
      </c>
      <c r="CU29" s="97">
        <v>-1.9745849277054292E-2</v>
      </c>
      <c r="CV29" s="97">
        <v>-6.0668196402813845E-3</v>
      </c>
      <c r="CW29" s="97">
        <v>-4.3611950828156831E-4</v>
      </c>
      <c r="CX29" s="97">
        <v>1.6451549966033652E-3</v>
      </c>
    </row>
    <row r="30" spans="1:102" s="95" customFormat="1">
      <c r="A30" s="306" t="str">
        <f t="shared" si="0"/>
        <v>Credits</v>
      </c>
      <c r="B30" s="307"/>
      <c r="C30" s="97">
        <v>-7.0049031414860824E-2</v>
      </c>
      <c r="D30" s="97">
        <v>-7.3251188028907926E-2</v>
      </c>
      <c r="E30" s="97">
        <v>-6.9775013650046111E-2</v>
      </c>
      <c r="F30" s="97">
        <v>-6.7505391414265259E-2</v>
      </c>
      <c r="G30" s="97">
        <v>-7.7704362066033927E-2</v>
      </c>
      <c r="H30" s="97">
        <v>-6.6265680567469426E-2</v>
      </c>
      <c r="I30" s="97">
        <v>-6.8783484757621846E-2</v>
      </c>
      <c r="J30" s="97">
        <v>-6.3368769780818263E-2</v>
      </c>
      <c r="K30" s="97">
        <v>-7.0500777256346986E-2</v>
      </c>
      <c r="L30" s="97">
        <v>-6.6502962874193342E-2</v>
      </c>
      <c r="M30" s="97">
        <v>-7.7506295272914874E-2</v>
      </c>
      <c r="N30" s="97">
        <v>-6.4809096851687703E-2</v>
      </c>
      <c r="O30" s="97">
        <v>-7.0299189825087885E-2</v>
      </c>
      <c r="P30" s="97">
        <v>-6.6045777410868256E-2</v>
      </c>
      <c r="Q30" s="97">
        <v>-6.5378707201790009E-2</v>
      </c>
      <c r="R30" s="97">
        <v>-6.9487886929963633E-2</v>
      </c>
      <c r="S30" s="97">
        <v>-6.7858065921934774E-2</v>
      </c>
      <c r="T30" s="97">
        <v>-6.8662658231024409E-2</v>
      </c>
      <c r="U30" s="97">
        <v>-6.1328044739147561E-2</v>
      </c>
      <c r="V30" s="97">
        <v>-6.5283419525400094E-2</v>
      </c>
      <c r="W30" s="97">
        <v>-7.1951313193771252E-2</v>
      </c>
      <c r="X30" s="97">
        <v>-7.3895313905095072E-2</v>
      </c>
      <c r="Y30" s="97">
        <v>-6.2578218355594725E-2</v>
      </c>
      <c r="Z30" s="97">
        <v>-6.1863379874057135E-2</v>
      </c>
      <c r="AA30" s="97">
        <v>-6.4031303426409253E-2</v>
      </c>
      <c r="AB30" s="97">
        <v>-6.0971502934780576E-2</v>
      </c>
      <c r="AC30" s="97">
        <v>-6.7873302426002896E-2</v>
      </c>
      <c r="AD30" s="97">
        <v>-6.3519439655679855E-2</v>
      </c>
      <c r="AE30" s="97">
        <v>-7.080707534117342E-2</v>
      </c>
      <c r="AF30" s="97">
        <v>-5.9258653480330686E-2</v>
      </c>
      <c r="AG30" s="97">
        <v>-6.4087177739210327E-2</v>
      </c>
      <c r="AH30" s="97">
        <v>-5.4977703227634699E-2</v>
      </c>
      <c r="AI30" s="97">
        <v>-6.5055573999560135E-2</v>
      </c>
      <c r="AJ30" s="97">
        <v>-5.777963937080529E-2</v>
      </c>
      <c r="AK30" s="97">
        <v>-6.1129393507599022E-2</v>
      </c>
      <c r="AL30" s="97">
        <v>-6.5083586707758184E-2</v>
      </c>
      <c r="AM30" s="97">
        <v>-5.7696489489124217E-2</v>
      </c>
      <c r="AN30" s="97">
        <v>-6.021571847377389E-2</v>
      </c>
      <c r="AO30" s="97">
        <v>-7.6509092041791377E-2</v>
      </c>
      <c r="AP30" s="97">
        <v>-6.6631124605426917E-2</v>
      </c>
      <c r="AQ30" s="97">
        <v>-7.0162172775093776E-2</v>
      </c>
      <c r="AR30" s="97">
        <v>-7.2679656032629214E-2</v>
      </c>
      <c r="AS30" s="97">
        <v>-6.7847665424988615E-2</v>
      </c>
      <c r="AT30" s="97">
        <v>-6.435182211889387E-2</v>
      </c>
      <c r="AU30" s="97">
        <v>-6.7387001275050595E-2</v>
      </c>
      <c r="AV30" s="97">
        <v>-6.8786591316074674E-2</v>
      </c>
      <c r="AW30" s="97">
        <v>-6.730564310492744E-2</v>
      </c>
      <c r="AX30" s="97">
        <v>-6.3491183192529888E-2</v>
      </c>
      <c r="AY30" s="97">
        <v>-5.7085189506026111E-2</v>
      </c>
      <c r="AZ30" s="97">
        <v>-6.2229133837383821E-2</v>
      </c>
      <c r="BA30" s="97">
        <v>-6.6756031194896537E-2</v>
      </c>
      <c r="BB30" s="97">
        <v>-6.4230622932708759E-2</v>
      </c>
      <c r="BC30" s="97">
        <v>-6.5256117842909717E-2</v>
      </c>
      <c r="BD30" s="97">
        <v>-5.7536831045731297E-2</v>
      </c>
      <c r="BE30" s="97">
        <v>-6.3547419972303593E-2</v>
      </c>
      <c r="BF30" s="97">
        <v>-6.948699113022197E-2</v>
      </c>
      <c r="BG30" s="97">
        <v>-6.3735548773706435E-2</v>
      </c>
      <c r="BH30" s="97">
        <v>-6.3217472434516142E-2</v>
      </c>
      <c r="BI30" s="97">
        <v>-6.8742467228940909E-2</v>
      </c>
      <c r="BJ30" s="97">
        <v>-6.1771770302711089E-2</v>
      </c>
      <c r="BK30" s="97">
        <v>-6.223216361593345E-2</v>
      </c>
      <c r="BL30" s="97">
        <v>-6.4206635128356643E-2</v>
      </c>
      <c r="BM30" s="97">
        <v>-7.2522113711718295E-2</v>
      </c>
      <c r="BN30" s="97">
        <v>-7.1133047981594449E-2</v>
      </c>
      <c r="BO30" s="97">
        <v>-7.2834513375451521E-2</v>
      </c>
      <c r="BP30" s="97">
        <v>-6.7049441892793216E-2</v>
      </c>
      <c r="BQ30" s="97">
        <v>-7.0703493809086873E-2</v>
      </c>
      <c r="BR30" s="97">
        <v>-6.553251550812475E-2</v>
      </c>
      <c r="BS30" s="97">
        <v>-6.0782078374282109E-2</v>
      </c>
      <c r="BT30" s="97">
        <v>-7.0342615817347881E-2</v>
      </c>
      <c r="BU30" s="97">
        <v>-6.1353423834701062E-2</v>
      </c>
      <c r="BV30" s="97">
        <v>-5.9783241733800091E-2</v>
      </c>
      <c r="BW30" s="97">
        <v>-5.970658234755187E-2</v>
      </c>
      <c r="BX30" s="97">
        <v>-6.356484086328916E-2</v>
      </c>
      <c r="BY30" s="97">
        <v>-5.9621687567843945E-2</v>
      </c>
      <c r="BZ30" s="97">
        <v>-6.1828289691560706E-2</v>
      </c>
      <c r="CA30" s="97">
        <v>-5.5586933993415091E-2</v>
      </c>
      <c r="CB30" s="97">
        <v>-6.4463913880256338E-2</v>
      </c>
      <c r="CC30" s="97">
        <v>-6.0573724994593736E-2</v>
      </c>
      <c r="CD30" s="97">
        <v>-6.321156563028113E-2</v>
      </c>
      <c r="CE30" s="97">
        <v>-6.8714259135269656E-2</v>
      </c>
      <c r="CF30" s="97">
        <v>-7.2680579990588412E-2</v>
      </c>
      <c r="CG30" s="97">
        <v>-7.3346333462048399E-2</v>
      </c>
      <c r="CH30" s="97">
        <v>-5.4048150787983654E-2</v>
      </c>
      <c r="CI30" s="97">
        <v>-6.7402198335856256E-2</v>
      </c>
      <c r="CJ30" s="97">
        <v>-6.4628240505842663E-2</v>
      </c>
      <c r="CK30" s="97">
        <v>-6.4459962434784926E-2</v>
      </c>
      <c r="CL30" s="97">
        <v>-6.0808046480301359E-2</v>
      </c>
      <c r="CM30" s="97">
        <v>-6.8485795180948494E-2</v>
      </c>
      <c r="CN30" s="97">
        <v>-7.2645284494213785E-2</v>
      </c>
      <c r="CO30" s="97">
        <v>-6.133145470385061E-2</v>
      </c>
      <c r="CP30" s="97">
        <v>-5.6489500870499337E-2</v>
      </c>
      <c r="CQ30" s="97">
        <v>-6.3327881068181796E-2</v>
      </c>
      <c r="CR30" s="97">
        <v>-5.942010407890129E-2</v>
      </c>
      <c r="CS30" s="97">
        <v>-6.3900002615702611E-2</v>
      </c>
      <c r="CT30" s="97">
        <v>-6.1786021066697533E-2</v>
      </c>
      <c r="CU30" s="97">
        <v>-6.6467421035146024E-2</v>
      </c>
      <c r="CV30" s="97">
        <v>-7.008383507953922E-2</v>
      </c>
      <c r="CW30" s="97">
        <v>-6.0013518651267722E-2</v>
      </c>
      <c r="CX30" s="97">
        <v>-6.5498278735749649E-2</v>
      </c>
    </row>
    <row r="31" spans="1:102" s="95" customFormat="1">
      <c r="A31" s="306" t="str">
        <f t="shared" si="0"/>
        <v>High Yield</v>
      </c>
      <c r="B31" s="307"/>
      <c r="C31" s="97">
        <v>-3.5890753193543123E-2</v>
      </c>
      <c r="D31" s="97">
        <v>-3.1722261426146356E-2</v>
      </c>
      <c r="E31" s="97">
        <v>-3.6299423464964592E-2</v>
      </c>
      <c r="F31" s="97">
        <v>-4.4482147175459487E-2</v>
      </c>
      <c r="G31" s="97">
        <v>-4.3596336306190593E-2</v>
      </c>
      <c r="H31" s="97">
        <v>-3.5340845953656316E-2</v>
      </c>
      <c r="I31" s="97">
        <v>-3.1997189303913709E-2</v>
      </c>
      <c r="J31" s="97">
        <v>-3.936702781269575E-2</v>
      </c>
      <c r="K31" s="97">
        <v>-4.7597325646681503E-2</v>
      </c>
      <c r="L31" s="97">
        <v>-4.553949388422697E-2</v>
      </c>
      <c r="M31" s="97">
        <v>-4.4158954546518747E-2</v>
      </c>
      <c r="N31" s="97">
        <v>-4.8750240206616779E-2</v>
      </c>
      <c r="O31" s="97">
        <v>-3.8199693899161176E-2</v>
      </c>
      <c r="P31" s="97">
        <v>-4.0000171848472328E-2</v>
      </c>
      <c r="Q31" s="97">
        <v>-4.2960308712554907E-2</v>
      </c>
      <c r="R31" s="97">
        <v>-4.3050422039494218E-2</v>
      </c>
      <c r="S31" s="97">
        <v>-4.8767678682461686E-2</v>
      </c>
      <c r="T31" s="97">
        <v>-3.1640431744491215E-2</v>
      </c>
      <c r="U31" s="97">
        <v>-3.8939743753560026E-2</v>
      </c>
      <c r="V31" s="97">
        <v>-5.0003992462670448E-2</v>
      </c>
      <c r="W31" s="97">
        <v>-4.4049257034347498E-2</v>
      </c>
      <c r="X31" s="97">
        <v>-2.7786993406099136E-2</v>
      </c>
      <c r="Y31" s="97">
        <v>-5.2049847037629084E-2</v>
      </c>
      <c r="Z31" s="97">
        <v>-4.5834712329642653E-2</v>
      </c>
      <c r="AA31" s="97">
        <v>-3.6295579172260131E-2</v>
      </c>
      <c r="AB31" s="97">
        <v>-4.3671902620296896E-2</v>
      </c>
      <c r="AC31" s="97">
        <v>-5.6199349120032403E-2</v>
      </c>
      <c r="AD31" s="97">
        <v>-3.4740499249878459E-2</v>
      </c>
      <c r="AE31" s="97">
        <v>-3.4820406867433096E-2</v>
      </c>
      <c r="AF31" s="97">
        <v>-4.5040344975207314E-2</v>
      </c>
      <c r="AG31" s="97">
        <v>-4.9664078214078464E-2</v>
      </c>
      <c r="AH31" s="97">
        <v>-4.6275230675794844E-2</v>
      </c>
      <c r="AI31" s="97">
        <v>-4.7663458668437492E-2</v>
      </c>
      <c r="AJ31" s="97">
        <v>-4.2473613235293847E-2</v>
      </c>
      <c r="AK31" s="97">
        <v>-4.5264437897925412E-2</v>
      </c>
      <c r="AL31" s="97">
        <v>-4.6487726190760401E-2</v>
      </c>
      <c r="AM31" s="97">
        <v>-4.3324889118861593E-2</v>
      </c>
      <c r="AN31" s="97">
        <v>-4.6138595018504848E-2</v>
      </c>
      <c r="AO31" s="97">
        <v>-3.3523718227233809E-2</v>
      </c>
      <c r="AP31" s="97">
        <v>-3.8663123891929128E-2</v>
      </c>
      <c r="AQ31" s="97">
        <v>-5.5208939022127278E-2</v>
      </c>
      <c r="AR31" s="97">
        <v>-3.1445047503603232E-2</v>
      </c>
      <c r="AS31" s="97">
        <v>-3.1498037822528996E-2</v>
      </c>
      <c r="AT31" s="97">
        <v>-3.2900002223485575E-2</v>
      </c>
      <c r="AU31" s="97">
        <v>-3.6012301495952317E-2</v>
      </c>
      <c r="AV31" s="97">
        <v>-5.1176198824103396E-2</v>
      </c>
      <c r="AW31" s="97">
        <v>-4.8026553463001179E-2</v>
      </c>
      <c r="AX31" s="97">
        <v>-5.0303144269836349E-2</v>
      </c>
      <c r="AY31" s="97">
        <v>-3.626910250216453E-2</v>
      </c>
      <c r="AZ31" s="97">
        <v>-3.7471584525142265E-2</v>
      </c>
      <c r="BA31" s="97">
        <v>-4.9166314590158883E-2</v>
      </c>
      <c r="BB31" s="97">
        <v>-3.7360153980091459E-2</v>
      </c>
      <c r="BC31" s="97">
        <v>-4.6377596531268044E-2</v>
      </c>
      <c r="BD31" s="97">
        <v>-4.1339347699284587E-2</v>
      </c>
      <c r="BE31" s="97">
        <v>-3.7297606759477686E-2</v>
      </c>
      <c r="BF31" s="97">
        <v>-3.7264346066451945E-2</v>
      </c>
      <c r="BG31" s="97">
        <v>-4.2345478965823101E-2</v>
      </c>
      <c r="BH31" s="97">
        <v>-3.6248880296524011E-2</v>
      </c>
      <c r="BI31" s="97">
        <v>-4.7907311452344413E-2</v>
      </c>
      <c r="BJ31" s="97">
        <v>-4.2002748988486972E-2</v>
      </c>
      <c r="BK31" s="97">
        <v>-3.6218112540883862E-2</v>
      </c>
      <c r="BL31" s="97">
        <v>-3.5625141833989335E-2</v>
      </c>
      <c r="BM31" s="97">
        <v>-4.6268663469211609E-2</v>
      </c>
      <c r="BN31" s="97">
        <v>-4.6068993608790909E-2</v>
      </c>
      <c r="BO31" s="97">
        <v>-4.3674940439455211E-2</v>
      </c>
      <c r="BP31" s="97">
        <v>-4.4352991455146103E-2</v>
      </c>
      <c r="BQ31" s="97">
        <v>-3.0301363568694881E-2</v>
      </c>
      <c r="BR31" s="97">
        <v>-3.4579302020871339E-2</v>
      </c>
      <c r="BS31" s="97">
        <v>-4.9529707863507244E-2</v>
      </c>
      <c r="BT31" s="97">
        <v>-4.7135084731330927E-2</v>
      </c>
      <c r="BU31" s="97">
        <v>-3.9481528298390335E-2</v>
      </c>
      <c r="BV31" s="97">
        <v>-4.4394593495485163E-2</v>
      </c>
      <c r="BW31" s="97">
        <v>-4.2110504852100168E-2</v>
      </c>
      <c r="BX31" s="97">
        <v>-4.0300759592970567E-2</v>
      </c>
      <c r="BY31" s="97">
        <v>-4.1502589138089879E-2</v>
      </c>
      <c r="BZ31" s="97">
        <v>-5.272102129853979E-2</v>
      </c>
      <c r="CA31" s="97">
        <v>-4.3813240841179851E-2</v>
      </c>
      <c r="CB31" s="97">
        <v>-4.2759944440641892E-2</v>
      </c>
      <c r="CC31" s="97">
        <v>-5.517977324984881E-2</v>
      </c>
      <c r="CD31" s="97">
        <v>-4.2174004122107464E-2</v>
      </c>
      <c r="CE31" s="97">
        <v>-4.0965095341208971E-2</v>
      </c>
      <c r="CF31" s="97">
        <v>-3.6844990248004805E-2</v>
      </c>
      <c r="CG31" s="97">
        <v>-2.3250448325380715E-2</v>
      </c>
      <c r="CH31" s="97">
        <v>-4.3291019527778092E-2</v>
      </c>
      <c r="CI31" s="97">
        <v>-4.7808622906868679E-2</v>
      </c>
      <c r="CJ31" s="97">
        <v>-4.573107972319982E-2</v>
      </c>
      <c r="CK31" s="97">
        <v>-3.7167773235919202E-2</v>
      </c>
      <c r="CL31" s="97">
        <v>-4.6712452349368064E-2</v>
      </c>
      <c r="CM31" s="97">
        <v>-3.035698044097844E-2</v>
      </c>
      <c r="CN31" s="97">
        <v>-5.7576131011329627E-2</v>
      </c>
      <c r="CO31" s="97">
        <v>-3.7022293890465907E-2</v>
      </c>
      <c r="CP31" s="97">
        <v>-4.6130995664627278E-2</v>
      </c>
      <c r="CQ31" s="97">
        <v>-4.7424383122201735E-2</v>
      </c>
      <c r="CR31" s="97">
        <v>-3.8871794607873912E-2</v>
      </c>
      <c r="CS31" s="97">
        <v>-4.0996209252440977E-2</v>
      </c>
      <c r="CT31" s="97">
        <v>-5.6594354629020974E-2</v>
      </c>
      <c r="CU31" s="97">
        <v>-3.6906153567340796E-2</v>
      </c>
      <c r="CV31" s="97">
        <v>-4.7386117274118428E-2</v>
      </c>
      <c r="CW31" s="97">
        <v>-3.7214840615251654E-2</v>
      </c>
      <c r="CX31" s="97">
        <v>-3.6860591914348637E-2</v>
      </c>
    </row>
    <row r="32" spans="1:102" s="96" customFormat="1">
      <c r="A32" s="306" t="str">
        <f t="shared" si="0"/>
        <v>Emerging market debt</v>
      </c>
      <c r="B32" s="307"/>
      <c r="C32" s="97">
        <v>-1.9313013790645095E-2</v>
      </c>
      <c r="D32" s="97">
        <v>-2.2057584393507662E-3</v>
      </c>
      <c r="E32" s="97">
        <v>-5.8377865069771107E-3</v>
      </c>
      <c r="F32" s="97">
        <v>-4.0909591927255566E-2</v>
      </c>
      <c r="G32" s="97">
        <v>-6.3070536652987119E-3</v>
      </c>
      <c r="H32" s="97">
        <v>-1.1351437654905289E-2</v>
      </c>
      <c r="I32" s="97">
        <v>-8.6869254191322687E-3</v>
      </c>
      <c r="J32" s="97">
        <v>-2.8933262752360675E-2</v>
      </c>
      <c r="K32" s="97">
        <v>-4.1785882538396039E-2</v>
      </c>
      <c r="L32" s="97">
        <v>-2.312607681931253E-2</v>
      </c>
      <c r="M32" s="97">
        <v>-5.9208752044615648E-3</v>
      </c>
      <c r="N32" s="97">
        <v>-2.7520678630313752E-2</v>
      </c>
      <c r="O32" s="97">
        <v>-3.0865900568685295E-2</v>
      </c>
      <c r="P32" s="97">
        <v>-1.098261153226332E-2</v>
      </c>
      <c r="Q32" s="97">
        <v>-1.938927919106577E-2</v>
      </c>
      <c r="R32" s="97">
        <v>-2.4162826830487011E-2</v>
      </c>
      <c r="S32" s="97">
        <v>-4.410494459676622E-2</v>
      </c>
      <c r="T32" s="97">
        <v>-1.1159267562153422E-2</v>
      </c>
      <c r="U32" s="97">
        <v>-1.7782514837936109E-2</v>
      </c>
      <c r="V32" s="97">
        <v>-4.6076251665439452E-2</v>
      </c>
      <c r="W32" s="97">
        <v>-4.0577172171492107E-2</v>
      </c>
      <c r="X32" s="97">
        <v>-4.5147726513386499E-3</v>
      </c>
      <c r="Y32" s="97">
        <v>-4.5608214625418253E-2</v>
      </c>
      <c r="Z32" s="97">
        <v>-1.449466126145342E-2</v>
      </c>
      <c r="AA32" s="97">
        <v>-3.4387544481723903E-2</v>
      </c>
      <c r="AB32" s="97">
        <v>-3.5255495213366836E-2</v>
      </c>
      <c r="AC32" s="97">
        <v>-3.3815258929196068E-2</v>
      </c>
      <c r="AD32" s="97">
        <v>-1.443366015131789E-2</v>
      </c>
      <c r="AE32" s="97">
        <v>-1.185087455751524E-2</v>
      </c>
      <c r="AF32" s="97">
        <v>-3.6397567308568621E-2</v>
      </c>
      <c r="AG32" s="97">
        <v>-1.1238062817518324E-2</v>
      </c>
      <c r="AH32" s="97">
        <v>-2.5705588234933741E-2</v>
      </c>
      <c r="AI32" s="97">
        <v>-3.2444876454751012E-2</v>
      </c>
      <c r="AJ32" s="97">
        <v>-2.9691056683895878E-2</v>
      </c>
      <c r="AK32" s="97">
        <v>-2.4243766830933738E-2</v>
      </c>
      <c r="AL32" s="97">
        <v>-4.3576728247730241E-2</v>
      </c>
      <c r="AM32" s="97">
        <v>-2.2551448672755658E-2</v>
      </c>
      <c r="AN32" s="97">
        <v>-2.5234736408755856E-2</v>
      </c>
      <c r="AO32" s="97">
        <v>-1.1194786637116386E-2</v>
      </c>
      <c r="AP32" s="97">
        <v>-4.1430811050831969E-2</v>
      </c>
      <c r="AQ32" s="97">
        <v>-3.8699581855051152E-2</v>
      </c>
      <c r="AR32" s="97">
        <v>-1.0743145483432873E-2</v>
      </c>
      <c r="AS32" s="97">
        <v>-1.9989098538942499E-2</v>
      </c>
      <c r="AT32" s="97">
        <v>-2.0636028473447338E-2</v>
      </c>
      <c r="AU32" s="97">
        <v>-3.1064032113058568E-2</v>
      </c>
      <c r="AV32" s="97">
        <v>-3.3215714221619758E-2</v>
      </c>
      <c r="AW32" s="97">
        <v>-6.9874322808835682E-3</v>
      </c>
      <c r="AX32" s="97">
        <v>-3.5005859149268848E-2</v>
      </c>
      <c r="AY32" s="97">
        <v>-2.0611272222150798E-2</v>
      </c>
      <c r="AZ32" s="97">
        <v>-2.6260564460135499E-2</v>
      </c>
      <c r="BA32" s="97">
        <v>-4.2997749521194298E-2</v>
      </c>
      <c r="BB32" s="97">
        <v>-2.2756190449385205E-2</v>
      </c>
      <c r="BC32" s="97">
        <v>-3.5709370732813162E-2</v>
      </c>
      <c r="BD32" s="97">
        <v>-1.5927929467873192E-2</v>
      </c>
      <c r="BE32" s="97">
        <v>-3.1175542680202353E-2</v>
      </c>
      <c r="BF32" s="97">
        <v>-3.4614068489923697E-2</v>
      </c>
      <c r="BG32" s="97">
        <v>-3.2020353218380662E-2</v>
      </c>
      <c r="BH32" s="97">
        <v>-2.8676582303590478E-2</v>
      </c>
      <c r="BI32" s="97">
        <v>-1.8035840663110966E-2</v>
      </c>
      <c r="BJ32" s="97">
        <v>-1.1971021526926737E-2</v>
      </c>
      <c r="BK32" s="97">
        <v>-1.5456369260070574E-2</v>
      </c>
      <c r="BL32" s="97">
        <v>-1.1064273827371254E-2</v>
      </c>
      <c r="BM32" s="97">
        <v>-3.9656286589896499E-2</v>
      </c>
      <c r="BN32" s="97">
        <v>-4.4109178100122874E-2</v>
      </c>
      <c r="BO32" s="97">
        <v>-2.3300740839654444E-2</v>
      </c>
      <c r="BP32" s="97">
        <v>-2.4041453074788194E-2</v>
      </c>
      <c r="BQ32" s="97">
        <v>-2.9130787563766414E-3</v>
      </c>
      <c r="BR32" s="97">
        <v>-2.5211499650665506E-2</v>
      </c>
      <c r="BS32" s="97">
        <v>-2.0802659501907031E-2</v>
      </c>
      <c r="BT32" s="97">
        <v>-4.0961294860175877E-2</v>
      </c>
      <c r="BU32" s="97">
        <v>-1.2915154588630184E-2</v>
      </c>
      <c r="BV32" s="97">
        <v>-2.4898763888095934E-2</v>
      </c>
      <c r="BW32" s="97">
        <v>-2.091243236651244E-2</v>
      </c>
      <c r="BX32" s="97">
        <v>-1.4124463864078882E-2</v>
      </c>
      <c r="BY32" s="97">
        <v>-1.7556523748858147E-2</v>
      </c>
      <c r="BZ32" s="97">
        <v>-9.8721011465754543E-3</v>
      </c>
      <c r="CA32" s="97">
        <v>-1.9932500772058062E-2</v>
      </c>
      <c r="CB32" s="97">
        <v>-4.3745228833697802E-2</v>
      </c>
      <c r="CC32" s="97">
        <v>-3.1898377759162641E-2</v>
      </c>
      <c r="CD32" s="97">
        <v>-2.9940702822239151E-2</v>
      </c>
      <c r="CE32" s="97">
        <v>-2.4092273284600257E-2</v>
      </c>
      <c r="CF32" s="97">
        <v>-3.6550165595719594E-2</v>
      </c>
      <c r="CG32" s="97">
        <v>-2.0686903581558919E-3</v>
      </c>
      <c r="CH32" s="97">
        <v>-1.3859626830083002E-2</v>
      </c>
      <c r="CI32" s="97">
        <v>-2.411865085150694E-2</v>
      </c>
      <c r="CJ32" s="97">
        <v>-2.126738475244852E-2</v>
      </c>
      <c r="CK32" s="97">
        <v>-2.2498797528656231E-2</v>
      </c>
      <c r="CL32" s="97">
        <v>-1.3979856548032826E-2</v>
      </c>
      <c r="CM32" s="97">
        <v>-1.4376284788279292E-2</v>
      </c>
      <c r="CN32" s="97">
        <v>-3.3789546390827443E-2</v>
      </c>
      <c r="CO32" s="97">
        <v>-1.4355764810577126E-2</v>
      </c>
      <c r="CP32" s="97">
        <v>-3.676032643954992E-2</v>
      </c>
      <c r="CQ32" s="97">
        <v>-3.5403995621423281E-2</v>
      </c>
      <c r="CR32" s="97">
        <v>-2.6718197119219356E-2</v>
      </c>
      <c r="CS32" s="97">
        <v>-3.202786991208903E-2</v>
      </c>
      <c r="CT32" s="97">
        <v>-2.8263862681384172E-2</v>
      </c>
      <c r="CU32" s="97">
        <v>-1.2852960705148436E-2</v>
      </c>
      <c r="CV32" s="97">
        <v>-1.2232354761697081E-2</v>
      </c>
      <c r="CW32" s="97">
        <v>-3.2559384183383847E-2</v>
      </c>
      <c r="CX32" s="97">
        <v>-3.0624184641731805E-2</v>
      </c>
    </row>
    <row r="33" spans="1:102" s="111" customFormat="1">
      <c r="A33" s="306" t="str">
        <f t="shared" si="0"/>
        <v>Aandelen ontwikkeld</v>
      </c>
      <c r="B33" s="307"/>
      <c r="C33" s="97">
        <v>-3.0409441146901639E-3</v>
      </c>
      <c r="D33" s="97">
        <v>7.2775511015798766E-3</v>
      </c>
      <c r="E33" s="97">
        <v>7.7828167454345315E-3</v>
      </c>
      <c r="F33" s="97">
        <v>-6.2672998312165301E-3</v>
      </c>
      <c r="G33" s="97">
        <v>-9.1357733459899865E-3</v>
      </c>
      <c r="H33" s="97">
        <v>3.4256536345022293E-3</v>
      </c>
      <c r="I33" s="97">
        <v>-3.7993829656353811E-3</v>
      </c>
      <c r="J33" s="97">
        <v>5.8195989750485372E-3</v>
      </c>
      <c r="K33" s="97">
        <v>-1.0784932535265829E-2</v>
      </c>
      <c r="L33" s="97">
        <v>-2.2285748788444568E-2</v>
      </c>
      <c r="M33" s="97">
        <v>-3.6076728256747709E-3</v>
      </c>
      <c r="N33" s="97">
        <v>-2.679121449718691E-2</v>
      </c>
      <c r="O33" s="97">
        <v>-4.5711247371195834E-3</v>
      </c>
      <c r="P33" s="97">
        <v>-2.3189367540604008E-2</v>
      </c>
      <c r="Q33" s="97">
        <v>-2.4655646889443314E-2</v>
      </c>
      <c r="R33" s="97">
        <v>1.5153913602626717E-3</v>
      </c>
      <c r="S33" s="97">
        <v>-1.3994134752829512E-2</v>
      </c>
      <c r="T33" s="97">
        <v>-3.2002151210958479E-3</v>
      </c>
      <c r="U33" s="97">
        <v>7.2542674479765951E-3</v>
      </c>
      <c r="V33" s="97">
        <v>-1.6608081968274874E-2</v>
      </c>
      <c r="W33" s="97">
        <v>2.5614132751353158E-3</v>
      </c>
      <c r="X33" s="97">
        <v>9.2573892690396842E-3</v>
      </c>
      <c r="Y33" s="97">
        <v>-2.022542784509912E-2</v>
      </c>
      <c r="Z33" s="97">
        <v>-2.2385691212359338E-4</v>
      </c>
      <c r="AA33" s="97">
        <v>5.1143039404221019E-3</v>
      </c>
      <c r="AB33" s="97">
        <v>-9.5492144405393969E-3</v>
      </c>
      <c r="AC33" s="97">
        <v>-2.8617825619566592E-2</v>
      </c>
      <c r="AD33" s="97">
        <v>4.4187482851941046E-3</v>
      </c>
      <c r="AE33" s="97">
        <v>-4.9728416253596586E-3</v>
      </c>
      <c r="AF33" s="97">
        <v>-1.5010197832518821E-2</v>
      </c>
      <c r="AG33" s="97">
        <v>-3.199549720445681E-2</v>
      </c>
      <c r="AH33" s="97">
        <v>-2.0947679779708531E-2</v>
      </c>
      <c r="AI33" s="97">
        <v>-2.0587067309893792E-2</v>
      </c>
      <c r="AJ33" s="97">
        <v>-1.3434903837844153E-2</v>
      </c>
      <c r="AK33" s="97">
        <v>-1.0145308267092992E-2</v>
      </c>
      <c r="AL33" s="97">
        <v>-9.7047328649498277E-3</v>
      </c>
      <c r="AM33" s="97">
        <v>-1.8718954961248618E-2</v>
      </c>
      <c r="AN33" s="97">
        <v>-4.3266738660243248E-3</v>
      </c>
      <c r="AO33" s="97">
        <v>4.7306782445369761E-3</v>
      </c>
      <c r="AP33" s="97">
        <v>-1.0136002114494447E-2</v>
      </c>
      <c r="AQ33" s="97">
        <v>-2.8279294005972885E-2</v>
      </c>
      <c r="AR33" s="97">
        <v>-2.0860473146443181E-4</v>
      </c>
      <c r="AS33" s="97">
        <v>6.2460695704027319E-3</v>
      </c>
      <c r="AT33" s="97">
        <v>-9.0286768675980206E-3</v>
      </c>
      <c r="AU33" s="97">
        <v>9.4475873117291775E-3</v>
      </c>
      <c r="AV33" s="97">
        <v>-1.0782661165996327E-2</v>
      </c>
      <c r="AW33" s="97">
        <v>-3.2853078161611177E-2</v>
      </c>
      <c r="AX33" s="97">
        <v>-2.8753654279301696E-2</v>
      </c>
      <c r="AY33" s="97">
        <v>-4.1095347562041112E-3</v>
      </c>
      <c r="AZ33" s="97">
        <v>-9.8142929837644888E-3</v>
      </c>
      <c r="BA33" s="97">
        <v>-3.0623042101955641E-2</v>
      </c>
      <c r="BB33" s="97">
        <v>-1.2121395159575804E-2</v>
      </c>
      <c r="BC33" s="97">
        <v>-2.1078426575185369E-2</v>
      </c>
      <c r="BD33" s="97">
        <v>-1.7278033014978725E-2</v>
      </c>
      <c r="BE33" s="97">
        <v>1.9740818902774793E-3</v>
      </c>
      <c r="BF33" s="97">
        <v>-6.0274422400759531E-3</v>
      </c>
      <c r="BG33" s="97">
        <v>-2.2596748824834909E-2</v>
      </c>
      <c r="BH33" s="97">
        <v>-1.5689605192997835E-2</v>
      </c>
      <c r="BI33" s="97">
        <v>-2.4176318805290697E-2</v>
      </c>
      <c r="BJ33" s="97">
        <v>-1.9180799033099993E-2</v>
      </c>
      <c r="BK33" s="97">
        <v>-1.820927220568222E-2</v>
      </c>
      <c r="BL33" s="97">
        <v>-2.0982831602406257E-2</v>
      </c>
      <c r="BM33" s="97">
        <v>-5.8609432580417065E-3</v>
      </c>
      <c r="BN33" s="97">
        <v>-3.0347492929571201E-3</v>
      </c>
      <c r="BO33" s="97">
        <v>1.1139155943531098E-2</v>
      </c>
      <c r="BP33" s="97">
        <v>-8.8453822015454597E-3</v>
      </c>
      <c r="BQ33" s="97">
        <v>-5.0411284989072686E-3</v>
      </c>
      <c r="BR33" s="97">
        <v>1.022705762559431E-3</v>
      </c>
      <c r="BS33" s="97">
        <v>-2.9686734049692645E-2</v>
      </c>
      <c r="BT33" s="97">
        <v>-1.7881818872772529E-2</v>
      </c>
      <c r="BU33" s="97">
        <v>-2.0503533422083428E-2</v>
      </c>
      <c r="BV33" s="97">
        <v>-1.4746490102971577E-2</v>
      </c>
      <c r="BW33" s="97">
        <v>-2.7872163761888571E-2</v>
      </c>
      <c r="BX33" s="97">
        <v>-2.6540847774579573E-2</v>
      </c>
      <c r="BY33" s="97">
        <v>-1.5776923877232576E-2</v>
      </c>
      <c r="BZ33" s="97">
        <v>-3.1260466070122964E-2</v>
      </c>
      <c r="CA33" s="97">
        <v>-2.6003570071077703E-2</v>
      </c>
      <c r="CB33" s="97">
        <v>-1.8447161197691561E-2</v>
      </c>
      <c r="CC33" s="97">
        <v>-3.0670037516176279E-2</v>
      </c>
      <c r="CD33" s="97">
        <v>-2.5183211966098948E-2</v>
      </c>
      <c r="CE33" s="97">
        <v>-1.3093293417619306E-2</v>
      </c>
      <c r="CF33" s="97">
        <v>-4.2695722728346291E-3</v>
      </c>
      <c r="CG33" s="97">
        <v>1.2648219955739087E-2</v>
      </c>
      <c r="CH33" s="97">
        <v>-1.2287114656869297E-2</v>
      </c>
      <c r="CI33" s="97">
        <v>-1.0463833017358801E-2</v>
      </c>
      <c r="CJ33" s="97">
        <v>-9.748732041962721E-3</v>
      </c>
      <c r="CK33" s="97">
        <v>-1.2516839481616984E-2</v>
      </c>
      <c r="CL33" s="97">
        <v>-3.2140574787090676E-2</v>
      </c>
      <c r="CM33" s="97">
        <v>-9.0128702149723794E-3</v>
      </c>
      <c r="CN33" s="97">
        <v>-3.5509594771085493E-2</v>
      </c>
      <c r="CO33" s="97">
        <v>-1.6668376448915181E-2</v>
      </c>
      <c r="CP33" s="97">
        <v>-2.4062445141333641E-2</v>
      </c>
      <c r="CQ33" s="97">
        <v>-1.9498557409548256E-2</v>
      </c>
      <c r="CR33" s="97">
        <v>-9.6399228178326302E-3</v>
      </c>
      <c r="CS33" s="97">
        <v>-2.3808520079068876E-2</v>
      </c>
      <c r="CT33" s="97">
        <v>-2.6544012800911967E-2</v>
      </c>
      <c r="CU33" s="97">
        <v>1.0598670819238681E-2</v>
      </c>
      <c r="CV33" s="97">
        <v>-3.2272057681704075E-2</v>
      </c>
      <c r="CW33" s="97">
        <v>-1.0388005674067294E-2</v>
      </c>
      <c r="CX33" s="97">
        <v>-8.5426259763011353E-3</v>
      </c>
    </row>
    <row r="34" spans="1:102" s="95" customFormat="1">
      <c r="A34" s="306" t="str">
        <f t="shared" si="0"/>
        <v>Aandelen opkomend</v>
      </c>
      <c r="B34" s="307"/>
      <c r="C34" s="97">
        <v>2.8901590732737736E-2</v>
      </c>
      <c r="D34" s="97">
        <v>3.7934673281861897E-2</v>
      </c>
      <c r="E34" s="97">
        <v>3.6519242417023923E-2</v>
      </c>
      <c r="F34" s="97">
        <v>2.1337092788101669E-2</v>
      </c>
      <c r="G34" s="97">
        <v>1.5205674413185225E-2</v>
      </c>
      <c r="H34" s="97">
        <v>3.3786876600072707E-2</v>
      </c>
      <c r="I34" s="97">
        <v>4.2770890536600215E-2</v>
      </c>
      <c r="J34" s="97">
        <v>3.4008323151246134E-2</v>
      </c>
      <c r="K34" s="97">
        <v>1.4010433515751541E-2</v>
      </c>
      <c r="L34" s="97">
        <v>1.615542897174635E-2</v>
      </c>
      <c r="M34" s="97">
        <v>1.648788574038311E-2</v>
      </c>
      <c r="N34" s="97">
        <v>5.7043126494040058E-3</v>
      </c>
      <c r="O34" s="97">
        <v>2.1426643025924633E-2</v>
      </c>
      <c r="P34" s="97">
        <v>2.2950554784425245E-2</v>
      </c>
      <c r="Q34" s="97">
        <v>2.0484962369608131E-2</v>
      </c>
      <c r="R34" s="97">
        <v>2.3028515292025986E-2</v>
      </c>
      <c r="S34" s="97">
        <v>7.1847453166667824E-3</v>
      </c>
      <c r="T34" s="97">
        <v>4.1367952880401848E-2</v>
      </c>
      <c r="U34" s="97">
        <v>3.4863494459484723E-2</v>
      </c>
      <c r="V34" s="97">
        <v>1.0983319018956425E-2</v>
      </c>
      <c r="W34" s="97">
        <v>2.1374733858818162E-2</v>
      </c>
      <c r="X34" s="97">
        <v>4.2748773520495914E-2</v>
      </c>
      <c r="Y34" s="97">
        <v>8.2362708313523381E-3</v>
      </c>
      <c r="Z34" s="97">
        <v>2.9585210138073359E-2</v>
      </c>
      <c r="AA34" s="97">
        <v>4.666307940625733E-2</v>
      </c>
      <c r="AB34" s="97">
        <v>3.1921349087757456E-2</v>
      </c>
      <c r="AC34" s="97">
        <v>-1.2801696747998664E-3</v>
      </c>
      <c r="AD34" s="97">
        <v>3.8622430549834164E-2</v>
      </c>
      <c r="AE34" s="97">
        <v>3.4919623008905248E-2</v>
      </c>
      <c r="AF34" s="97">
        <v>2.7699866163051118E-2</v>
      </c>
      <c r="AG34" s="97">
        <v>7.4774233742485319E-3</v>
      </c>
      <c r="AH34" s="97">
        <v>1.6895909722609251E-2</v>
      </c>
      <c r="AI34" s="97">
        <v>1.0718457529745637E-2</v>
      </c>
      <c r="AJ34" s="97">
        <v>3.564524303636929E-2</v>
      </c>
      <c r="AK34" s="97">
        <v>2.8573880203135671E-2</v>
      </c>
      <c r="AL34" s="97">
        <v>1.3840581068171376E-2</v>
      </c>
      <c r="AM34" s="97">
        <v>2.4005233061941439E-2</v>
      </c>
      <c r="AN34" s="97">
        <v>2.6855546466555913E-2</v>
      </c>
      <c r="AO34" s="97">
        <v>3.0374659432490236E-2</v>
      </c>
      <c r="AP34" s="97">
        <v>3.0461297352760708E-2</v>
      </c>
      <c r="AQ34" s="97">
        <v>-9.3311361117129343E-4</v>
      </c>
      <c r="AR34" s="97">
        <v>3.0126984412432223E-2</v>
      </c>
      <c r="AS34" s="97">
        <v>3.9922104005143205E-2</v>
      </c>
      <c r="AT34" s="97">
        <v>4.3950238657067264E-2</v>
      </c>
      <c r="AU34" s="97">
        <v>3.5503433164901399E-2</v>
      </c>
      <c r="AV34" s="97">
        <v>1.7621070860955046E-2</v>
      </c>
      <c r="AW34" s="97">
        <v>7.8304706022479798E-3</v>
      </c>
      <c r="AX34" s="97">
        <v>2.2438076191350076E-3</v>
      </c>
      <c r="AY34" s="97">
        <v>2.9764832950540221E-2</v>
      </c>
      <c r="AZ34" s="97">
        <v>4.0132045673839656E-2</v>
      </c>
      <c r="BA34" s="97">
        <v>3.6101793713821245E-3</v>
      </c>
      <c r="BB34" s="97">
        <v>3.1754317149259248E-2</v>
      </c>
      <c r="BC34" s="97">
        <v>1.1565252818477992E-2</v>
      </c>
      <c r="BD34" s="97">
        <v>2.4369076361533154E-2</v>
      </c>
      <c r="BE34" s="97">
        <v>2.6565168466426092E-2</v>
      </c>
      <c r="BF34" s="97">
        <v>2.058215800516873E-2</v>
      </c>
      <c r="BG34" s="97">
        <v>1.960392675572549E-2</v>
      </c>
      <c r="BH34" s="97">
        <v>3.4500297908282573E-2</v>
      </c>
      <c r="BI34" s="97">
        <v>1.4612507952202272E-2</v>
      </c>
      <c r="BJ34" s="97">
        <v>2.8375355637149852E-2</v>
      </c>
      <c r="BK34" s="97">
        <v>2.9821933702427167E-2</v>
      </c>
      <c r="BL34" s="97">
        <v>2.2640812568937838E-2</v>
      </c>
      <c r="BM34" s="97">
        <v>1.3103072441188662E-2</v>
      </c>
      <c r="BN34" s="97">
        <v>1.9360469804117625E-2</v>
      </c>
      <c r="BO34" s="97">
        <v>2.5568798965200007E-2</v>
      </c>
      <c r="BP34" s="97">
        <v>2.1760807111202027E-2</v>
      </c>
      <c r="BQ34" s="97">
        <v>3.9858113488241642E-2</v>
      </c>
      <c r="BR34" s="97">
        <v>4.0942711626187622E-2</v>
      </c>
      <c r="BS34" s="97">
        <v>9.1879056238580864E-3</v>
      </c>
      <c r="BT34" s="97">
        <v>8.021437806372253E-3</v>
      </c>
      <c r="BU34" s="97">
        <v>2.4092123050776751E-2</v>
      </c>
      <c r="BV34" s="97">
        <v>2.6266894555376313E-2</v>
      </c>
      <c r="BW34" s="97">
        <v>1.2465187764229793E-2</v>
      </c>
      <c r="BX34" s="97">
        <v>1.9791624490285792E-2</v>
      </c>
      <c r="BY34" s="97">
        <v>2.1278739895511142E-2</v>
      </c>
      <c r="BZ34" s="97">
        <v>8.1771088464443475E-3</v>
      </c>
      <c r="CA34" s="97">
        <v>2.4011745375346769E-2</v>
      </c>
      <c r="CB34" s="97">
        <v>1.3192949379861069E-2</v>
      </c>
      <c r="CC34" s="97">
        <v>4.1194138821396969E-3</v>
      </c>
      <c r="CD34" s="97">
        <v>1.9581851807254899E-2</v>
      </c>
      <c r="CE34" s="97">
        <v>1.350605098840936E-2</v>
      </c>
      <c r="CF34" s="97">
        <v>2.0363308271858158E-2</v>
      </c>
      <c r="CG34" s="97">
        <v>4.9406529262232601E-2</v>
      </c>
      <c r="CH34" s="97">
        <v>3.2464164165159876E-2</v>
      </c>
      <c r="CI34" s="97">
        <v>8.3005081609303505E-3</v>
      </c>
      <c r="CJ34" s="97">
        <v>3.2699610418128161E-2</v>
      </c>
      <c r="CK34" s="97">
        <v>3.3651574266869794E-2</v>
      </c>
      <c r="CL34" s="97">
        <v>7.8453945298791739E-3</v>
      </c>
      <c r="CM34" s="97">
        <v>2.9447044658143767E-2</v>
      </c>
      <c r="CN34" s="97">
        <v>-1.0610396176497131E-2</v>
      </c>
      <c r="CO34" s="97">
        <v>2.5111113093441023E-2</v>
      </c>
      <c r="CP34" s="97">
        <v>2.2599472411913984E-2</v>
      </c>
      <c r="CQ34" s="97">
        <v>5.7687039038138987E-3</v>
      </c>
      <c r="CR34" s="97">
        <v>3.3197021579918606E-2</v>
      </c>
      <c r="CS34" s="97">
        <v>1.7277247451958855E-2</v>
      </c>
      <c r="CT34" s="97">
        <v>9.6599351162665326E-3</v>
      </c>
      <c r="CU34" s="97">
        <v>3.0952927200799146E-2</v>
      </c>
      <c r="CV34" s="97">
        <v>1.5975058736794057E-3</v>
      </c>
      <c r="CW34" s="97">
        <v>2.1253166286834976E-2</v>
      </c>
      <c r="CX34" s="97">
        <v>3.2568244157903492E-2</v>
      </c>
    </row>
    <row r="35" spans="1:102" s="95" customFormat="1">
      <c r="A35" s="306" t="str">
        <f t="shared" si="0"/>
        <v>Hedge funds</v>
      </c>
      <c r="B35" s="307"/>
      <c r="C35" s="97">
        <v>-3.1652722698603669E-2</v>
      </c>
      <c r="D35" s="97">
        <v>-2.3629687555631218E-2</v>
      </c>
      <c r="E35" s="97">
        <v>-2.3638402438874606E-2</v>
      </c>
      <c r="F35" s="97">
        <v>-4.2255529776127447E-2</v>
      </c>
      <c r="G35" s="97">
        <v>-2.1677134622702349E-2</v>
      </c>
      <c r="H35" s="97">
        <v>-2.6308883812866626E-2</v>
      </c>
      <c r="I35" s="97">
        <v>-2.7825318640392893E-2</v>
      </c>
      <c r="J35" s="97">
        <v>-3.1015629411982548E-2</v>
      </c>
      <c r="K35" s="97">
        <v>-4.1532762306972941E-2</v>
      </c>
      <c r="L35" s="97">
        <v>-3.2022332548541851E-2</v>
      </c>
      <c r="M35" s="97">
        <v>-1.9990738899796856E-2</v>
      </c>
      <c r="N35" s="97">
        <v>-3.3220973600241052E-2</v>
      </c>
      <c r="O35" s="97">
        <v>-3.8068778633756128E-2</v>
      </c>
      <c r="P35" s="97">
        <v>-2.7368179593153519E-2</v>
      </c>
      <c r="Q35" s="97">
        <v>-3.2056221894059753E-2</v>
      </c>
      <c r="R35" s="97">
        <v>-2.875569870118122E-2</v>
      </c>
      <c r="S35" s="97">
        <v>-4.0624299956377272E-2</v>
      </c>
      <c r="T35" s="97">
        <v>-2.7534983201589369E-2</v>
      </c>
      <c r="U35" s="97">
        <v>-2.2720380253043085E-2</v>
      </c>
      <c r="V35" s="97">
        <v>-4.2583044445375674E-2</v>
      </c>
      <c r="W35" s="97">
        <v>-3.8268732045150182E-2</v>
      </c>
      <c r="X35" s="97">
        <v>-2.4610168392779214E-2</v>
      </c>
      <c r="Y35" s="97">
        <v>-4.3480998359880563E-2</v>
      </c>
      <c r="Z35" s="97">
        <v>-2.297486827907283E-2</v>
      </c>
      <c r="AA35" s="97">
        <v>-3.7869154802766633E-2</v>
      </c>
      <c r="AB35" s="97">
        <v>-3.5029036826970006E-2</v>
      </c>
      <c r="AC35" s="97">
        <v>-3.4230382708052273E-2</v>
      </c>
      <c r="AD35" s="97">
        <v>-2.4177561118100141E-2</v>
      </c>
      <c r="AE35" s="97">
        <v>-2.7654670996425032E-2</v>
      </c>
      <c r="AF35" s="97">
        <v>-3.7373977546100487E-2</v>
      </c>
      <c r="AG35" s="97">
        <v>-2.6039791367145473E-2</v>
      </c>
      <c r="AH35" s="97">
        <v>-2.7393894048491463E-2</v>
      </c>
      <c r="AI35" s="97">
        <v>-3.3170210901613345E-2</v>
      </c>
      <c r="AJ35" s="97">
        <v>-3.3644883062714792E-2</v>
      </c>
      <c r="AK35" s="97">
        <v>-2.4531350403995525E-2</v>
      </c>
      <c r="AL35" s="97">
        <v>-3.9769676011988518E-2</v>
      </c>
      <c r="AM35" s="97">
        <v>-2.7940614240509032E-2</v>
      </c>
      <c r="AN35" s="97">
        <v>-2.9509975382462195E-2</v>
      </c>
      <c r="AO35" s="97">
        <v>-2.9201184189207557E-2</v>
      </c>
      <c r="AP35" s="97">
        <v>-4.6471937374438478E-2</v>
      </c>
      <c r="AQ35" s="97">
        <v>-3.8186620872493859E-2</v>
      </c>
      <c r="AR35" s="97">
        <v>-2.8444670277344569E-2</v>
      </c>
      <c r="AS35" s="97">
        <v>-3.0860543233913226E-2</v>
      </c>
      <c r="AT35" s="97">
        <v>-3.3884840120115514E-2</v>
      </c>
      <c r="AU35" s="97">
        <v>-3.312043796834728E-2</v>
      </c>
      <c r="AV35" s="97">
        <v>-2.9895966043433975E-2</v>
      </c>
      <c r="AW35" s="97">
        <v>-2.305875258218465E-2</v>
      </c>
      <c r="AX35" s="97">
        <v>-3.578790103111168E-2</v>
      </c>
      <c r="AY35" s="97">
        <v>-2.4677972462572403E-2</v>
      </c>
      <c r="AZ35" s="97">
        <v>-3.27992000268892E-2</v>
      </c>
      <c r="BA35" s="97">
        <v>-4.6736076683042582E-2</v>
      </c>
      <c r="BB35" s="97">
        <v>-3.4647497650334702E-2</v>
      </c>
      <c r="BC35" s="97">
        <v>-3.7847561048934872E-2</v>
      </c>
      <c r="BD35" s="97">
        <v>-2.4387099241903271E-2</v>
      </c>
      <c r="BE35" s="97">
        <v>-3.4331389756392036E-2</v>
      </c>
      <c r="BF35" s="97">
        <v>-4.1974547079711703E-2</v>
      </c>
      <c r="BG35" s="97">
        <v>-3.7468109610838712E-2</v>
      </c>
      <c r="BH35" s="97">
        <v>-3.8260036946949155E-2</v>
      </c>
      <c r="BI35" s="97">
        <v>-2.609265419452432E-2</v>
      </c>
      <c r="BJ35" s="97">
        <v>-2.1854981068097426E-2</v>
      </c>
      <c r="BK35" s="97">
        <v>-2.7811365603638685E-2</v>
      </c>
      <c r="BL35" s="97">
        <v>-2.6272491658019842E-2</v>
      </c>
      <c r="BM35" s="97">
        <v>-3.9466249795873772E-2</v>
      </c>
      <c r="BN35" s="97">
        <v>-4.1551385399534534E-2</v>
      </c>
      <c r="BO35" s="97">
        <v>-2.4334448360119332E-2</v>
      </c>
      <c r="BP35" s="97">
        <v>-2.5803126292130163E-2</v>
      </c>
      <c r="BQ35" s="97">
        <v>-2.5243868435380207E-2</v>
      </c>
      <c r="BR35" s="97">
        <v>-3.502091498294356E-2</v>
      </c>
      <c r="BS35" s="97">
        <v>-2.9524625330313095E-2</v>
      </c>
      <c r="BT35" s="97">
        <v>-4.4154306815527268E-2</v>
      </c>
      <c r="BU35" s="97">
        <v>-2.8192815152085729E-2</v>
      </c>
      <c r="BV35" s="97">
        <v>-2.6221727000983783E-2</v>
      </c>
      <c r="BW35" s="97">
        <v>-3.1749134515137695E-2</v>
      </c>
      <c r="BX35" s="97">
        <v>-2.9887173786850754E-2</v>
      </c>
      <c r="BY35" s="97">
        <v>-2.6493826886819505E-2</v>
      </c>
      <c r="BZ35" s="97">
        <v>-2.1379906833477236E-2</v>
      </c>
      <c r="CA35" s="97">
        <v>-2.8042990073709764E-2</v>
      </c>
      <c r="CB35" s="97">
        <v>-4.4113456529860075E-2</v>
      </c>
      <c r="CC35" s="97">
        <v>-3.3321791902567427E-2</v>
      </c>
      <c r="CD35" s="97">
        <v>-3.7740110008241394E-2</v>
      </c>
      <c r="CE35" s="97">
        <v>-3.1552576778058394E-2</v>
      </c>
      <c r="CF35" s="97">
        <v>-4.4464448316360122E-2</v>
      </c>
      <c r="CG35" s="97">
        <v>-2.5873096240529248E-2</v>
      </c>
      <c r="CH35" s="97">
        <v>-2.2093612519977338E-2</v>
      </c>
      <c r="CI35" s="97">
        <v>-2.5151847416079953E-2</v>
      </c>
      <c r="CJ35" s="97">
        <v>-2.381369745897953E-2</v>
      </c>
      <c r="CK35" s="97">
        <v>-3.2577414298233201E-2</v>
      </c>
      <c r="CL35" s="97">
        <v>-2.485151754480816E-2</v>
      </c>
      <c r="CM35" s="97">
        <v>-3.1044457636631106E-2</v>
      </c>
      <c r="CN35" s="97">
        <v>-3.5937149404802929E-2</v>
      </c>
      <c r="CO35" s="97">
        <v>-2.6945424574050969E-2</v>
      </c>
      <c r="CP35" s="97">
        <v>-3.739541636408239E-2</v>
      </c>
      <c r="CQ35" s="97">
        <v>-3.2136378992582412E-2</v>
      </c>
      <c r="CR35" s="97">
        <v>-2.9040359565716808E-2</v>
      </c>
      <c r="CS35" s="97">
        <v>-3.8188608349878264E-2</v>
      </c>
      <c r="CT35" s="97">
        <v>-2.6678113493748393E-2</v>
      </c>
      <c r="CU35" s="97">
        <v>-2.0083696485448596E-2</v>
      </c>
      <c r="CV35" s="97">
        <v>-2.5380239878226157E-2</v>
      </c>
      <c r="CW35" s="97">
        <v>-3.6659462581980259E-2</v>
      </c>
      <c r="CX35" s="97">
        <v>-3.8704557875740328E-2</v>
      </c>
    </row>
    <row r="36" spans="1:102" s="95" customFormat="1">
      <c r="A36" s="306" t="str">
        <f t="shared" si="0"/>
        <v>Onroerend goed</v>
      </c>
      <c r="B36" s="307"/>
      <c r="C36" s="97">
        <v>-5.44187411630647E-2</v>
      </c>
      <c r="D36" s="97">
        <v>-4.673188671152384E-2</v>
      </c>
      <c r="E36" s="97">
        <v>-4.689041619913395E-2</v>
      </c>
      <c r="F36" s="97">
        <v>-6.6951912365563457E-2</v>
      </c>
      <c r="G36" s="97">
        <v>-2.1610565436566045E-2</v>
      </c>
      <c r="H36" s="97">
        <v>-5.15840134054018E-2</v>
      </c>
      <c r="I36" s="97">
        <v>-5.625696329520926E-2</v>
      </c>
      <c r="J36" s="97">
        <v>-5.637326543694101E-2</v>
      </c>
      <c r="K36" s="97">
        <v>-5.7361505761443776E-2</v>
      </c>
      <c r="L36" s="97">
        <v>-4.577945910696312E-2</v>
      </c>
      <c r="M36" s="97">
        <v>-1.8453261735559001E-2</v>
      </c>
      <c r="N36" s="97">
        <v>-4.3184528753140064E-2</v>
      </c>
      <c r="O36" s="97">
        <v>-6.2544306441714187E-2</v>
      </c>
      <c r="P36" s="97">
        <v>-4.4342039472347168E-2</v>
      </c>
      <c r="Q36" s="97">
        <v>-5.1020320324104279E-2</v>
      </c>
      <c r="R36" s="97">
        <v>-4.1648351376694502E-2</v>
      </c>
      <c r="S36" s="97">
        <v>-5.3693230726468519E-2</v>
      </c>
      <c r="T36" s="97">
        <v>-5.282449659201327E-2</v>
      </c>
      <c r="U36" s="97">
        <v>-4.4368969388316894E-2</v>
      </c>
      <c r="V36" s="97">
        <v>-5.9332575995374282E-2</v>
      </c>
      <c r="W36" s="97">
        <v>-5.2522898554244239E-2</v>
      </c>
      <c r="X36" s="97">
        <v>-4.9346224894981895E-2</v>
      </c>
      <c r="Y36" s="97">
        <v>-6.3947713756676683E-2</v>
      </c>
      <c r="Z36" s="97">
        <v>-4.0479709154063806E-2</v>
      </c>
      <c r="AA36" s="97">
        <v>-7.2727078492472341E-2</v>
      </c>
      <c r="AB36" s="97">
        <v>-5.822770597315563E-2</v>
      </c>
      <c r="AC36" s="97">
        <v>-3.4943939922278802E-2</v>
      </c>
      <c r="AD36" s="97">
        <v>-4.7927282129811039E-2</v>
      </c>
      <c r="AE36" s="97">
        <v>-4.8488744666820724E-2</v>
      </c>
      <c r="AF36" s="97">
        <v>-6.2982872257841299E-2</v>
      </c>
      <c r="AG36" s="97">
        <v>-3.5338718039844022E-2</v>
      </c>
      <c r="AH36" s="97">
        <v>-4.4405094686139644E-2</v>
      </c>
      <c r="AI36" s="97">
        <v>-4.3897533190525709E-2</v>
      </c>
      <c r="AJ36" s="97">
        <v>-6.1643723450662803E-2</v>
      </c>
      <c r="AK36" s="97">
        <v>-3.5735873173042415E-2</v>
      </c>
      <c r="AL36" s="97">
        <v>-5.8245692603406056E-2</v>
      </c>
      <c r="AM36" s="97">
        <v>-4.8482429862662442E-2</v>
      </c>
      <c r="AN36" s="97">
        <v>-5.0894929122469332E-2</v>
      </c>
      <c r="AO36" s="97">
        <v>-5.0011539193889329E-2</v>
      </c>
      <c r="AP36" s="97">
        <v>-8.1837441708093331E-2</v>
      </c>
      <c r="AQ36" s="97">
        <v>-4.0557536171053683E-2</v>
      </c>
      <c r="AR36" s="97">
        <v>-5.2237114134210109E-2</v>
      </c>
      <c r="AS36" s="97">
        <v>-6.0962825144741647E-2</v>
      </c>
      <c r="AT36" s="97">
        <v>-6.8107139071048178E-2</v>
      </c>
      <c r="AU36" s="97">
        <v>-5.6167704450552247E-2</v>
      </c>
      <c r="AV36" s="97">
        <v>-3.1141834310977848E-2</v>
      </c>
      <c r="AW36" s="97">
        <v>-2.6421373629561817E-2</v>
      </c>
      <c r="AX36" s="97">
        <v>-4.6674997541035275E-2</v>
      </c>
      <c r="AY36" s="97">
        <v>-4.7385798892350943E-2</v>
      </c>
      <c r="AZ36" s="97">
        <v>-6.0719372754877848E-2</v>
      </c>
      <c r="BA36" s="97">
        <v>-6.7975444945500285E-2</v>
      </c>
      <c r="BB36" s="97">
        <v>-6.3998732635416444E-2</v>
      </c>
      <c r="BC36" s="97">
        <v>-5.3951735578635009E-2</v>
      </c>
      <c r="BD36" s="97">
        <v>-4.3930303996223906E-2</v>
      </c>
      <c r="BE36" s="97">
        <v>-5.9064459800920746E-2</v>
      </c>
      <c r="BF36" s="97">
        <v>-6.9632190170443448E-2</v>
      </c>
      <c r="BG36" s="97">
        <v>-6.0250870874824482E-2</v>
      </c>
      <c r="BH36" s="97">
        <v>-7.166396476457404E-2</v>
      </c>
      <c r="BI36" s="97">
        <v>-2.8580886754376131E-2</v>
      </c>
      <c r="BJ36" s="97">
        <v>-3.5093285985093245E-2</v>
      </c>
      <c r="BK36" s="97">
        <v>-5.2195725102145527E-2</v>
      </c>
      <c r="BL36" s="97">
        <v>-4.6560366544086879E-2</v>
      </c>
      <c r="BM36" s="97">
        <v>-5.2819718279046204E-2</v>
      </c>
      <c r="BN36" s="97">
        <v>-5.8470944758723505E-2</v>
      </c>
      <c r="BO36" s="97">
        <v>-2.9846435368109811E-2</v>
      </c>
      <c r="BP36" s="97">
        <v>-3.1161413372472371E-2</v>
      </c>
      <c r="BQ36" s="97">
        <v>-5.0641003384630387E-2</v>
      </c>
      <c r="BR36" s="97">
        <v>-6.8086833032568253E-2</v>
      </c>
      <c r="BS36" s="97">
        <v>-4.2957517918167099E-2</v>
      </c>
      <c r="BT36" s="97">
        <v>-6.2949478000900644E-2</v>
      </c>
      <c r="BU36" s="97">
        <v>-5.0982736187374075E-2</v>
      </c>
      <c r="BV36" s="97">
        <v>-3.7990272555466637E-2</v>
      </c>
      <c r="BW36" s="97">
        <v>-5.0907761344204973E-2</v>
      </c>
      <c r="BX36" s="97">
        <v>-5.0812083136723807E-2</v>
      </c>
      <c r="BY36" s="97">
        <v>-4.4717886144779666E-2</v>
      </c>
      <c r="BZ36" s="97">
        <v>-2.4902392002004101E-2</v>
      </c>
      <c r="CA36" s="97">
        <v>-4.9107574022213496E-2</v>
      </c>
      <c r="CB36" s="97">
        <v>-6.9507365015816128E-2</v>
      </c>
      <c r="CC36" s="97">
        <v>-4.198871754808868E-2</v>
      </c>
      <c r="CD36" s="97">
        <v>-6.2392943558468403E-2</v>
      </c>
      <c r="CE36" s="97">
        <v>-4.3400275857647136E-2</v>
      </c>
      <c r="CF36" s="97">
        <v>-7.327156205886734E-2</v>
      </c>
      <c r="CG36" s="97">
        <v>-5.9553100711686555E-2</v>
      </c>
      <c r="CH36" s="97">
        <v>-4.4466791825910151E-2</v>
      </c>
      <c r="CI36" s="97">
        <v>-2.325111332090625E-2</v>
      </c>
      <c r="CJ36" s="97">
        <v>-3.1258929185106588E-2</v>
      </c>
      <c r="CK36" s="97">
        <v>-5.8682664194060055E-2</v>
      </c>
      <c r="CL36" s="97">
        <v>-3.493514633096681E-2</v>
      </c>
      <c r="CM36" s="97">
        <v>-5.6059771112462027E-2</v>
      </c>
      <c r="CN36" s="97">
        <v>-3.108846313943564E-2</v>
      </c>
      <c r="CO36" s="97">
        <v>-4.9292701182607555E-2</v>
      </c>
      <c r="CP36" s="97">
        <v>-6.1191581931957131E-2</v>
      </c>
      <c r="CQ36" s="97">
        <v>-4.0141250220549062E-2</v>
      </c>
      <c r="CR36" s="97">
        <v>-5.2318907122366545E-2</v>
      </c>
      <c r="CS36" s="97">
        <v>-5.97248886101239E-2</v>
      </c>
      <c r="CT36" s="97">
        <v>-2.5613545970834609E-2</v>
      </c>
      <c r="CU36" s="97">
        <v>-3.2540828618924655E-2</v>
      </c>
      <c r="CV36" s="97">
        <v>-2.7012432983975515E-2</v>
      </c>
      <c r="CW36" s="97">
        <v>-6.4315946377976191E-2</v>
      </c>
      <c r="CX36" s="97">
        <v>-6.9561465872748057E-2</v>
      </c>
    </row>
    <row r="37" spans="1:102" s="111" customFormat="1">
      <c r="A37" s="310" t="str">
        <f t="shared" si="0"/>
        <v>Commodities</v>
      </c>
      <c r="B37" s="311"/>
      <c r="C37" s="98">
        <v>3.5632252268452125E-2</v>
      </c>
      <c r="D37" s="98">
        <v>4.8034094611846906E-2</v>
      </c>
      <c r="E37" s="98">
        <v>5.8195206446432834E-2</v>
      </c>
      <c r="F37" s="98">
        <v>2.7243376239373812E-2</v>
      </c>
      <c r="G37" s="98">
        <v>4.4175754952218149E-2</v>
      </c>
      <c r="H37" s="98">
        <v>5.5595834678302869E-2</v>
      </c>
      <c r="I37" s="98">
        <v>4.2039358086394835E-2</v>
      </c>
      <c r="J37" s="98">
        <v>3.8522182413069844E-2</v>
      </c>
      <c r="K37" s="98">
        <v>2.206862611058448E-2</v>
      </c>
      <c r="L37" s="98">
        <v>4.5580129833358685E-2</v>
      </c>
      <c r="M37" s="98">
        <v>4.7317907399847703E-2</v>
      </c>
      <c r="N37" s="98">
        <v>4.7521524590982134E-2</v>
      </c>
      <c r="O37" s="98">
        <v>2.5231876854326096E-2</v>
      </c>
      <c r="P37" s="98">
        <v>5.1147245892571802E-2</v>
      </c>
      <c r="Q37" s="98">
        <v>4.8202146482757335E-2</v>
      </c>
      <c r="R37" s="98">
        <v>4.2565270852846421E-2</v>
      </c>
      <c r="S37" s="98">
        <v>2.2286592128903021E-2</v>
      </c>
      <c r="T37" s="98">
        <v>3.6472556410828388E-2</v>
      </c>
      <c r="U37" s="98">
        <v>5.3304765500327228E-2</v>
      </c>
      <c r="V37" s="98">
        <v>2.7690126045284591E-2</v>
      </c>
      <c r="W37" s="98">
        <v>1.5031555948464337E-2</v>
      </c>
      <c r="X37" s="98">
        <v>3.3945862849468406E-2</v>
      </c>
      <c r="Y37" s="98">
        <v>3.9018717705009864E-2</v>
      </c>
      <c r="Z37" s="98">
        <v>7.1346688383282453E-2</v>
      </c>
      <c r="AA37" s="98">
        <v>2.4422110877025838E-2</v>
      </c>
      <c r="AB37" s="98">
        <v>3.5707989074712926E-2</v>
      </c>
      <c r="AC37" s="98">
        <v>4.3573819114774731E-2</v>
      </c>
      <c r="AD37" s="98">
        <v>4.9605310300442823E-2</v>
      </c>
      <c r="AE37" s="98">
        <v>4.0063354098867493E-2</v>
      </c>
      <c r="AF37" s="98">
        <v>4.1672144452809062E-2</v>
      </c>
      <c r="AG37" s="98">
        <v>7.0592506445398329E-2</v>
      </c>
      <c r="AH37" s="98">
        <v>5.8471537887055114E-2</v>
      </c>
      <c r="AI37" s="98">
        <v>3.5520418588055158E-2</v>
      </c>
      <c r="AJ37" s="98">
        <v>4.7165680772528501E-2</v>
      </c>
      <c r="AK37" s="98">
        <v>4.5468079718035515E-2</v>
      </c>
      <c r="AL37" s="98">
        <v>2.5654098063546266E-2</v>
      </c>
      <c r="AM37" s="98">
        <v>5.5282714287392454E-2</v>
      </c>
      <c r="AN37" s="98">
        <v>6.3344584294916156E-2</v>
      </c>
      <c r="AO37" s="98">
        <v>3.8389031513305166E-2</v>
      </c>
      <c r="AP37" s="98">
        <v>1.5622644747107103E-2</v>
      </c>
      <c r="AQ37" s="98">
        <v>3.1221764124671397E-2</v>
      </c>
      <c r="AR37" s="98">
        <v>3.7063418551040256E-2</v>
      </c>
      <c r="AS37" s="98">
        <v>3.2519013764840371E-2</v>
      </c>
      <c r="AT37" s="98">
        <v>3.1933316394967187E-2</v>
      </c>
      <c r="AU37" s="98">
        <v>2.3457151323713413E-2</v>
      </c>
      <c r="AV37" s="98">
        <v>3.1448414357085702E-2</v>
      </c>
      <c r="AW37" s="98">
        <v>6.2938718710064595E-2</v>
      </c>
      <c r="AX37" s="98">
        <v>3.9021853322211558E-2</v>
      </c>
      <c r="AY37" s="98">
        <v>4.834301924621795E-2</v>
      </c>
      <c r="AZ37" s="98">
        <v>3.2742990398951399E-2</v>
      </c>
      <c r="BA37" s="98">
        <v>2.7286579253343768E-2</v>
      </c>
      <c r="BB37" s="98">
        <v>4.3663251985615326E-2</v>
      </c>
      <c r="BC37" s="98">
        <v>3.3399026845629259E-2</v>
      </c>
      <c r="BD37" s="98">
        <v>6.1566820625340329E-2</v>
      </c>
      <c r="BE37" s="98">
        <v>3.6375224621849139E-2</v>
      </c>
      <c r="BF37" s="98">
        <v>2.3352627871315479E-2</v>
      </c>
      <c r="BG37" s="98">
        <v>3.1339995758526917E-2</v>
      </c>
      <c r="BH37" s="98">
        <v>2.8657180620105499E-2</v>
      </c>
      <c r="BI37" s="98">
        <v>4.5092345028103414E-2</v>
      </c>
      <c r="BJ37" s="98">
        <v>5.4084146702172375E-2</v>
      </c>
      <c r="BK37" s="98">
        <v>4.3111276315539293E-2</v>
      </c>
      <c r="BL37" s="98">
        <v>4.4306878053227278E-2</v>
      </c>
      <c r="BM37" s="98">
        <v>2.1231765085383117E-2</v>
      </c>
      <c r="BN37" s="98">
        <v>1.6899864667157774E-2</v>
      </c>
      <c r="BO37" s="98">
        <v>3.1938225659053271E-2</v>
      </c>
      <c r="BP37" s="98">
        <v>3.6115612734745839E-2</v>
      </c>
      <c r="BQ37" s="98">
        <v>4.4612472081510757E-2</v>
      </c>
      <c r="BR37" s="98">
        <v>3.7108952211730384E-2</v>
      </c>
      <c r="BS37" s="98">
        <v>6.4651782169423577E-2</v>
      </c>
      <c r="BT37" s="98">
        <v>2.5948379919274067E-2</v>
      </c>
      <c r="BU37" s="98">
        <v>6.1665850554952606E-2</v>
      </c>
      <c r="BV37" s="98">
        <v>4.6602693220510416E-2</v>
      </c>
      <c r="BW37" s="98">
        <v>5.5305409715049075E-2</v>
      </c>
      <c r="BX37" s="98">
        <v>5.4053941834109581E-2</v>
      </c>
      <c r="BY37" s="98">
        <v>6.1158104774571453E-2</v>
      </c>
      <c r="BZ37" s="98">
        <v>7.687508525359868E-2</v>
      </c>
      <c r="CA37" s="98">
        <v>6.1256561365921364E-2</v>
      </c>
      <c r="CB37" s="98">
        <v>1.8801799986702075E-2</v>
      </c>
      <c r="CC37" s="98">
        <v>5.8981889769769758E-2</v>
      </c>
      <c r="CD37" s="98">
        <v>3.6126223074507885E-2</v>
      </c>
      <c r="CE37" s="98">
        <v>3.7155515665179467E-2</v>
      </c>
      <c r="CF37" s="98">
        <v>1.5652237766034124E-2</v>
      </c>
      <c r="CG37" s="98">
        <v>3.3650016449715103E-2</v>
      </c>
      <c r="CH37" s="98">
        <v>7.3481945388968878E-2</v>
      </c>
      <c r="CI37" s="98">
        <v>4.4610547927040972E-2</v>
      </c>
      <c r="CJ37" s="98">
        <v>4.3450642638829973E-2</v>
      </c>
      <c r="CK37" s="98">
        <v>3.8113779432979417E-2</v>
      </c>
      <c r="CL37" s="98">
        <v>6.2886293972986868E-2</v>
      </c>
      <c r="CM37" s="98">
        <v>3.4012656082656162E-2</v>
      </c>
      <c r="CN37" s="98">
        <v>3.4242696115839688E-2</v>
      </c>
      <c r="CO37" s="98">
        <v>5.3459465909315995E-2</v>
      </c>
      <c r="CP37" s="98">
        <v>4.3748221322683273E-2</v>
      </c>
      <c r="CQ37" s="98">
        <v>3.0896709727012167E-2</v>
      </c>
      <c r="CR37" s="98">
        <v>3.7520717934766967E-2</v>
      </c>
      <c r="CS37" s="98">
        <v>2.9690024940448034E-2</v>
      </c>
      <c r="CT37" s="98">
        <v>5.6731138557359895E-2</v>
      </c>
      <c r="CU37" s="98">
        <v>4.7619013147276595E-2</v>
      </c>
      <c r="CV37" s="98">
        <v>4.8845950412393591E-2</v>
      </c>
      <c r="CW37" s="98">
        <v>3.7130163915517794E-2</v>
      </c>
      <c r="CX37" s="98">
        <v>3.0586140504617193E-2</v>
      </c>
    </row>
    <row r="38" spans="1:102" s="95" customFormat="1">
      <c r="A38" s="58" t="s">
        <v>132</v>
      </c>
      <c r="B38" s="99"/>
      <c r="C38" s="100">
        <v>18.123379971185674</v>
      </c>
      <c r="D38" s="100">
        <v>17.770410941545045</v>
      </c>
      <c r="E38" s="100">
        <v>18.012932979127417</v>
      </c>
      <c r="F38" s="100">
        <v>18.41900752884824</v>
      </c>
      <c r="G38" s="100">
        <v>17.785651412211951</v>
      </c>
      <c r="H38" s="100">
        <v>18.214011287580618</v>
      </c>
      <c r="I38" s="100">
        <v>17.912894768372578</v>
      </c>
      <c r="J38" s="100">
        <v>18.113196378625418</v>
      </c>
      <c r="K38" s="100">
        <v>18.316052761277017</v>
      </c>
      <c r="L38" s="100">
        <v>18.303220496903755</v>
      </c>
      <c r="M38" s="100">
        <v>17.713511804826446</v>
      </c>
      <c r="N38" s="100">
        <v>18.221451856526429</v>
      </c>
      <c r="O38" s="100">
        <v>18.619840137737736</v>
      </c>
      <c r="P38" s="100">
        <v>17.99583878472475</v>
      </c>
      <c r="Q38" s="100">
        <v>18.459387849880159</v>
      </c>
      <c r="R38" s="100">
        <v>18.897480188476017</v>
      </c>
      <c r="S38" s="100">
        <v>18.121982216160788</v>
      </c>
      <c r="T38" s="100">
        <v>17.850468119508697</v>
      </c>
      <c r="U38" s="100">
        <v>17.946685935161774</v>
      </c>
      <c r="V38" s="100">
        <v>18.369688861868806</v>
      </c>
      <c r="W38" s="100">
        <v>17.949058482588967</v>
      </c>
      <c r="X38" s="100">
        <v>17.674026306337129</v>
      </c>
      <c r="Y38" s="100">
        <v>18.689383153832758</v>
      </c>
      <c r="Z38" s="100">
        <v>18.270921249153407</v>
      </c>
      <c r="AA38" s="100">
        <v>18.006146629749974</v>
      </c>
      <c r="AB38" s="100">
        <v>18.343104121757737</v>
      </c>
      <c r="AC38" s="100">
        <v>18.486999092975669</v>
      </c>
      <c r="AD38" s="100">
        <v>18.392587197356384</v>
      </c>
      <c r="AE38" s="100">
        <v>18.742023817854864</v>
      </c>
      <c r="AF38" s="100">
        <v>18.540418656764977</v>
      </c>
      <c r="AG38" s="100">
        <v>18.342462779818852</v>
      </c>
      <c r="AH38" s="100">
        <v>17.994196552578806</v>
      </c>
      <c r="AI38" s="100">
        <v>18.372680571248765</v>
      </c>
      <c r="AJ38" s="100">
        <v>18.436215038352998</v>
      </c>
      <c r="AK38" s="100">
        <v>17.993568896666726</v>
      </c>
      <c r="AL38" s="100">
        <v>18.485414965316057</v>
      </c>
      <c r="AM38" s="100">
        <v>18.477082046128189</v>
      </c>
      <c r="AN38" s="100">
        <v>19.061072239379804</v>
      </c>
      <c r="AO38" s="100">
        <v>19.388155308510765</v>
      </c>
      <c r="AP38" s="100">
        <v>18.303391954862683</v>
      </c>
      <c r="AQ38" s="100">
        <v>18.415088542289425</v>
      </c>
      <c r="AR38" s="100">
        <v>18.87005084612057</v>
      </c>
      <c r="AS38" s="100">
        <v>18.755388367962151</v>
      </c>
      <c r="AT38" s="100">
        <v>18.024745288054671</v>
      </c>
      <c r="AU38" s="100">
        <v>17.982512862288043</v>
      </c>
      <c r="AV38" s="100">
        <v>18.03891476495459</v>
      </c>
      <c r="AW38" s="100">
        <v>18.007807711375797</v>
      </c>
      <c r="AX38" s="100">
        <v>18.337855089364187</v>
      </c>
      <c r="AY38" s="100">
        <v>17.722908233973147</v>
      </c>
      <c r="AZ38" s="100">
        <v>18.081128641925407</v>
      </c>
      <c r="BA38" s="100">
        <v>18.504270901057836</v>
      </c>
      <c r="BB38" s="100">
        <v>19.076391505210822</v>
      </c>
      <c r="BC38" s="100">
        <v>18.652472281390082</v>
      </c>
      <c r="BD38" s="100">
        <v>18.357742071010801</v>
      </c>
      <c r="BE38" s="100">
        <v>18.500587921611992</v>
      </c>
      <c r="BF38" s="100">
        <v>18.809098864569361</v>
      </c>
      <c r="BG38" s="100">
        <v>18.403228872777245</v>
      </c>
      <c r="BH38" s="100">
        <v>18.210401051932831</v>
      </c>
      <c r="BI38" s="100">
        <v>18.274430241033766</v>
      </c>
      <c r="BJ38" s="100">
        <v>18.042746401862885</v>
      </c>
      <c r="BK38" s="100">
        <v>18.158273542334157</v>
      </c>
      <c r="BL38" s="100">
        <v>17.882668805732379</v>
      </c>
      <c r="BM38" s="100">
        <v>18.999944802241576</v>
      </c>
      <c r="BN38" s="100">
        <v>18.81213047849937</v>
      </c>
      <c r="BO38" s="100">
        <v>18.00240987468117</v>
      </c>
      <c r="BP38" s="100">
        <v>17.981481976707201</v>
      </c>
      <c r="BQ38" s="100">
        <v>18.59895981407735</v>
      </c>
      <c r="BR38" s="100">
        <v>19.259556035248352</v>
      </c>
      <c r="BS38" s="100">
        <v>18.839819688933616</v>
      </c>
      <c r="BT38" s="100">
        <v>19.182248591596544</v>
      </c>
      <c r="BU38" s="100">
        <v>18.740177818806302</v>
      </c>
      <c r="BV38" s="100">
        <v>18.002024539454283</v>
      </c>
      <c r="BW38" s="100">
        <v>18.147525560287189</v>
      </c>
      <c r="BX38" s="100">
        <v>18.636240734406027</v>
      </c>
      <c r="BY38" s="100">
        <v>18.75935832090682</v>
      </c>
      <c r="BZ38" s="100">
        <v>18.236809026135205</v>
      </c>
      <c r="CA38" s="100">
        <v>18.181391485564497</v>
      </c>
      <c r="CB38" s="100">
        <v>18.270234301582683</v>
      </c>
      <c r="CC38" s="100">
        <v>18.876481021398018</v>
      </c>
      <c r="CD38" s="100">
        <v>18.66802538620199</v>
      </c>
      <c r="CE38" s="100">
        <v>18.724033420066426</v>
      </c>
      <c r="CF38" s="100">
        <v>18.996077837796484</v>
      </c>
      <c r="CG38" s="100">
        <v>18.006997620403837</v>
      </c>
      <c r="CH38" s="100">
        <v>18.001788151587743</v>
      </c>
      <c r="CI38" s="100">
        <v>17.921938019144793</v>
      </c>
      <c r="CJ38" s="100">
        <v>18.069737596565993</v>
      </c>
      <c r="CK38" s="100">
        <v>18.939144399909281</v>
      </c>
      <c r="CL38" s="100">
        <v>18.229554659948146</v>
      </c>
      <c r="CM38" s="100">
        <v>18.312298748309587</v>
      </c>
      <c r="CN38" s="100">
        <v>18.358444397664034</v>
      </c>
      <c r="CO38" s="100">
        <v>18.729298859804736</v>
      </c>
      <c r="CP38" s="100">
        <v>18.379237138689689</v>
      </c>
      <c r="CQ38" s="100">
        <v>17.96659816466558</v>
      </c>
      <c r="CR38" s="100">
        <v>18.392536400356878</v>
      </c>
      <c r="CS38" s="100">
        <v>18.24527856997306</v>
      </c>
      <c r="CT38" s="100">
        <v>18.461860878877562</v>
      </c>
      <c r="CU38" s="100">
        <v>17.56031004075998</v>
      </c>
      <c r="CV38" s="100">
        <v>18.213878921438194</v>
      </c>
      <c r="CW38" s="100">
        <v>18.478140776354831</v>
      </c>
      <c r="CX38" s="100">
        <v>19.147566359837072</v>
      </c>
    </row>
    <row r="39" spans="1:102" s="9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95" customFormat="1">
      <c r="A40" s="124" t="s">
        <v>133</v>
      </c>
      <c r="B40" s="12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11" customFormat="1">
      <c r="A41" s="108" t="str">
        <f>Parameters!A40</f>
        <v>Basis</v>
      </c>
      <c r="B41" s="102" t="s">
        <v>29</v>
      </c>
      <c r="C41" s="103">
        <v>8.5741477244172682E-3</v>
      </c>
      <c r="D41" s="103">
        <v>1.113513469902223E-2</v>
      </c>
      <c r="E41" s="103">
        <v>1.169789396224602E-2</v>
      </c>
      <c r="F41" s="103">
        <v>7.515630051496542E-3</v>
      </c>
      <c r="G41" s="103">
        <v>8.4952710127535053E-3</v>
      </c>
      <c r="H41" s="103">
        <v>1.0975545059027163E-2</v>
      </c>
      <c r="I41" s="103">
        <v>1.0571888231152984E-2</v>
      </c>
      <c r="J41" s="103">
        <v>9.9174240439945729E-3</v>
      </c>
      <c r="K41" s="103">
        <v>6.6531621348520928E-3</v>
      </c>
      <c r="L41" s="103">
        <v>7.7506090539918946E-3</v>
      </c>
      <c r="M41" s="103">
        <v>9.5471708463450156E-3</v>
      </c>
      <c r="N41" s="103">
        <v>7.1698032686509511E-3</v>
      </c>
      <c r="O41" s="103">
        <v>6.4150844544355662E-3</v>
      </c>
      <c r="P41" s="103">
        <v>8.8638287237288657E-3</v>
      </c>
      <c r="Q41" s="103">
        <v>7.8429050599172229E-3</v>
      </c>
      <c r="R41" s="103">
        <v>8.5034985516816188E-3</v>
      </c>
      <c r="S41" s="103">
        <v>6.0951319494824243E-3</v>
      </c>
      <c r="T41" s="103">
        <v>1.0528687212094188E-2</v>
      </c>
      <c r="U41" s="103">
        <v>1.1303336537197565E-2</v>
      </c>
      <c r="V41" s="103">
        <v>6.9034894139344063E-3</v>
      </c>
      <c r="W41" s="103">
        <v>8.3063760213887665E-3</v>
      </c>
      <c r="X41" s="103">
        <v>1.0866433699123707E-2</v>
      </c>
      <c r="Y41" s="103">
        <v>6.7496472847383754E-3</v>
      </c>
      <c r="Z41" s="103">
        <v>1.2421758845996698E-2</v>
      </c>
      <c r="AA41" s="103">
        <v>1.0897648091171865E-2</v>
      </c>
      <c r="AB41" s="103">
        <v>9.4900924236245333E-3</v>
      </c>
      <c r="AC41" s="103">
        <v>6.3516876471736211E-3</v>
      </c>
      <c r="AD41" s="103">
        <v>1.0830727110793819E-2</v>
      </c>
      <c r="AE41" s="103">
        <v>8.8559913923599732E-3</v>
      </c>
      <c r="AF41" s="103">
        <v>9.1163023611940397E-3</v>
      </c>
      <c r="AG41" s="103">
        <v>8.3934770522427118E-3</v>
      </c>
      <c r="AH41" s="103">
        <v>9.1183164094070374E-3</v>
      </c>
      <c r="AI41" s="103">
        <v>6.4318005385631373E-3</v>
      </c>
      <c r="AJ41" s="103">
        <v>1.0321302053362623E-2</v>
      </c>
      <c r="AK41" s="103">
        <v>1.0188336770960911E-2</v>
      </c>
      <c r="AL41" s="103">
        <v>6.5239133015634124E-3</v>
      </c>
      <c r="AM41" s="103">
        <v>8.7506072318017884E-3</v>
      </c>
      <c r="AN41" s="103">
        <v>1.033965309860869E-2</v>
      </c>
      <c r="AO41" s="103">
        <v>7.7293363632356116E-3</v>
      </c>
      <c r="AP41" s="103">
        <v>7.3520091110301083E-3</v>
      </c>
      <c r="AQ41" s="103">
        <v>5.6185880164738803E-3</v>
      </c>
      <c r="AR41" s="103">
        <v>7.5005558908176565E-3</v>
      </c>
      <c r="AS41" s="103">
        <v>8.7942742716222919E-3</v>
      </c>
      <c r="AT41" s="103">
        <v>9.8399152187040213E-3</v>
      </c>
      <c r="AU41" s="103">
        <v>1.0194062434343261E-2</v>
      </c>
      <c r="AV41" s="103">
        <v>8.9802245841360678E-3</v>
      </c>
      <c r="AW41" s="103">
        <v>8.2936887280858941E-3</v>
      </c>
      <c r="AX41" s="103">
        <v>5.6200278326466787E-3</v>
      </c>
      <c r="AY41" s="103">
        <v>1.0374358136819533E-2</v>
      </c>
      <c r="AZ41" s="103">
        <v>9.87010828206367E-3</v>
      </c>
      <c r="BA41" s="103">
        <v>4.8334807466383521E-3</v>
      </c>
      <c r="BB41" s="103">
        <v>8.3247702288044411E-3</v>
      </c>
      <c r="BC41" s="103">
        <v>6.3005045664569735E-3</v>
      </c>
      <c r="BD41" s="103">
        <v>9.4716856516280212E-3</v>
      </c>
      <c r="BE41" s="103">
        <v>9.2488619171760995E-3</v>
      </c>
      <c r="BF41" s="103">
        <v>6.5965248710057591E-3</v>
      </c>
      <c r="BG41" s="103">
        <v>6.588600444180779E-3</v>
      </c>
      <c r="BH41" s="103">
        <v>8.1763211161054311E-3</v>
      </c>
      <c r="BI41" s="103">
        <v>8.0745612589731407E-3</v>
      </c>
      <c r="BJ41" s="103">
        <v>9.8441908502835199E-3</v>
      </c>
      <c r="BK41" s="103">
        <v>8.1716873602619838E-3</v>
      </c>
      <c r="BL41" s="103">
        <v>7.7376596605443788E-3</v>
      </c>
      <c r="BM41" s="103">
        <v>5.9873326693507551E-3</v>
      </c>
      <c r="BN41" s="103">
        <v>6.9016777139956857E-3</v>
      </c>
      <c r="BO41" s="103">
        <v>9.8365430002751528E-3</v>
      </c>
      <c r="BP41" s="103">
        <v>9.2968180623752006E-3</v>
      </c>
      <c r="BQ41" s="103">
        <v>9.5241859373483891E-3</v>
      </c>
      <c r="BR41" s="103">
        <v>9.0796779053896014E-3</v>
      </c>
      <c r="BS41" s="103">
        <v>7.6547167799056633E-3</v>
      </c>
      <c r="BT41" s="103">
        <v>5.0715921005576783E-3</v>
      </c>
      <c r="BU41" s="103">
        <v>9.1592874809759642E-3</v>
      </c>
      <c r="BV41" s="103">
        <v>1.0432631675736243E-2</v>
      </c>
      <c r="BW41" s="103">
        <v>8.4522123170892617E-3</v>
      </c>
      <c r="BX41" s="103">
        <v>7.7628903136234629E-3</v>
      </c>
      <c r="BY41" s="103">
        <v>9.2517106179387156E-3</v>
      </c>
      <c r="BZ41" s="103">
        <v>9.5722802399975226E-3</v>
      </c>
      <c r="CA41" s="103">
        <v>9.9354036071089766E-3</v>
      </c>
      <c r="CB41" s="103">
        <v>5.5458092249679658E-3</v>
      </c>
      <c r="CC41" s="103">
        <v>7.576766068912528E-3</v>
      </c>
      <c r="CD41" s="103">
        <v>6.5373140455545087E-3</v>
      </c>
      <c r="CE41" s="103">
        <v>7.1286401728104919E-3</v>
      </c>
      <c r="CF41" s="103">
        <v>5.7371306042800271E-3</v>
      </c>
      <c r="CG41" s="103">
        <v>1.0801793295988675E-2</v>
      </c>
      <c r="CH41" s="103">
        <v>1.2584008700378027E-2</v>
      </c>
      <c r="CI41" s="103">
        <v>9.3812604285581497E-3</v>
      </c>
      <c r="CJ41" s="103">
        <v>1.1214044478706279E-2</v>
      </c>
      <c r="CK41" s="103">
        <v>8.260563962522444E-3</v>
      </c>
      <c r="CL41" s="103">
        <v>7.6124774791596992E-3</v>
      </c>
      <c r="CM41" s="103">
        <v>8.4842575671576943E-3</v>
      </c>
      <c r="CN41" s="103">
        <v>4.677634278115907E-3</v>
      </c>
      <c r="CO41" s="103">
        <v>8.370672105546751E-3</v>
      </c>
      <c r="CP41" s="103">
        <v>8.9585919564486825E-3</v>
      </c>
      <c r="CQ41" s="103">
        <v>6.1907781845975517E-3</v>
      </c>
      <c r="CR41" s="103">
        <v>8.780751289218184E-3</v>
      </c>
      <c r="CS41" s="103">
        <v>6.9628881939819854E-3</v>
      </c>
      <c r="CT41" s="103">
        <v>9.1392310340886983E-3</v>
      </c>
      <c r="CU41" s="103">
        <v>1.2387914694109117E-2</v>
      </c>
      <c r="CV41" s="103">
        <v>5.8508264828207729E-3</v>
      </c>
      <c r="CW41" s="103">
        <v>8.0644831059112632E-3</v>
      </c>
      <c r="CX41" s="103">
        <v>7.761446858171657E-3</v>
      </c>
    </row>
    <row r="42" spans="1:102" s="95" customFormat="1">
      <c r="A42" s="23"/>
      <c r="B42" s="14" t="s">
        <v>30</v>
      </c>
      <c r="C42" s="105">
        <v>6.9946724727969131E-2</v>
      </c>
      <c r="D42" s="105">
        <v>7.3494070028855329E-2</v>
      </c>
      <c r="E42" s="105">
        <v>7.4802911822579213E-2</v>
      </c>
      <c r="F42" s="105">
        <v>6.8883900822307609E-2</v>
      </c>
      <c r="G42" s="105">
        <v>6.7337484607064069E-2</v>
      </c>
      <c r="H42" s="105">
        <v>7.3530728121636468E-2</v>
      </c>
      <c r="I42" s="105">
        <v>7.6309957660896238E-2</v>
      </c>
      <c r="J42" s="105">
        <v>7.2911468429533208E-2</v>
      </c>
      <c r="K42" s="105">
        <v>6.7794227091581283E-2</v>
      </c>
      <c r="L42" s="105">
        <v>6.9298290104314181E-2</v>
      </c>
      <c r="M42" s="105">
        <v>6.8702073835766486E-2</v>
      </c>
      <c r="N42" s="105">
        <v>6.7887755348554887E-2</v>
      </c>
      <c r="O42" s="105">
        <v>6.5496100539206251E-2</v>
      </c>
      <c r="P42" s="105">
        <v>7.1646898366087661E-2</v>
      </c>
      <c r="Q42" s="105">
        <v>6.9776703551957905E-2</v>
      </c>
      <c r="R42" s="105">
        <v>6.7974588034945535E-2</v>
      </c>
      <c r="S42" s="105">
        <v>6.6580551263971541E-2</v>
      </c>
      <c r="T42" s="105">
        <v>7.6974295138340074E-2</v>
      </c>
      <c r="U42" s="105">
        <v>7.4868699014178711E-2</v>
      </c>
      <c r="V42" s="105">
        <v>6.8468199465309118E-2</v>
      </c>
      <c r="W42" s="105">
        <v>7.128015315625931E-2</v>
      </c>
      <c r="X42" s="105">
        <v>7.4729751219254181E-2</v>
      </c>
      <c r="Y42" s="105">
        <v>6.755839249521825E-2</v>
      </c>
      <c r="Z42" s="105">
        <v>7.7640780188424158E-2</v>
      </c>
      <c r="AA42" s="105">
        <v>7.9978303789131774E-2</v>
      </c>
      <c r="AB42" s="105">
        <v>7.5282204088171656E-2</v>
      </c>
      <c r="AC42" s="105">
        <v>6.61383645454552E-2</v>
      </c>
      <c r="AD42" s="105">
        <v>7.3882008221000661E-2</v>
      </c>
      <c r="AE42" s="105">
        <v>7.0895452229131517E-2</v>
      </c>
      <c r="AF42" s="105">
        <v>7.355745597607985E-2</v>
      </c>
      <c r="AG42" s="105">
        <v>6.9936202732186606E-2</v>
      </c>
      <c r="AH42" s="105">
        <v>7.2091090847733005E-2</v>
      </c>
      <c r="AI42" s="105">
        <v>6.6883743606943658E-2</v>
      </c>
      <c r="AJ42" s="105">
        <v>7.6778206506869645E-2</v>
      </c>
      <c r="AK42" s="105">
        <v>7.5276663715456882E-2</v>
      </c>
      <c r="AL42" s="105">
        <v>6.6827817691200622E-2</v>
      </c>
      <c r="AM42" s="105">
        <v>7.0986182768518549E-2</v>
      </c>
      <c r="AN42" s="105">
        <v>7.298958367401627E-2</v>
      </c>
      <c r="AO42" s="105">
        <v>6.5143131619267131E-2</v>
      </c>
      <c r="AP42" s="105">
        <v>7.159903389649222E-2</v>
      </c>
      <c r="AQ42" s="105">
        <v>6.5785242279749981E-2</v>
      </c>
      <c r="AR42" s="105">
        <v>6.5679012704482509E-2</v>
      </c>
      <c r="AS42" s="105">
        <v>7.0097287910127315E-2</v>
      </c>
      <c r="AT42" s="105">
        <v>7.785374591801103E-2</v>
      </c>
      <c r="AU42" s="105">
        <v>7.4928399498670986E-2</v>
      </c>
      <c r="AV42" s="105">
        <v>7.3051220711477807E-2</v>
      </c>
      <c r="AW42" s="105">
        <v>6.8926657915818604E-2</v>
      </c>
      <c r="AX42" s="105">
        <v>6.5689754631638619E-2</v>
      </c>
      <c r="AY42" s="105">
        <v>7.3831357283807825E-2</v>
      </c>
      <c r="AZ42" s="105">
        <v>7.8119684156625555E-2</v>
      </c>
      <c r="BA42" s="105">
        <v>6.5113293340168868E-2</v>
      </c>
      <c r="BB42" s="105">
        <v>7.0004553282505849E-2</v>
      </c>
      <c r="BC42" s="105">
        <v>6.6691486127648872E-2</v>
      </c>
      <c r="BD42" s="105">
        <v>7.180693338208291E-2</v>
      </c>
      <c r="BE42" s="105">
        <v>7.0620743471618147E-2</v>
      </c>
      <c r="BF42" s="105">
        <v>6.5843609914362639E-2</v>
      </c>
      <c r="BG42" s="105">
        <v>6.8669929785462422E-2</v>
      </c>
      <c r="BH42" s="105">
        <v>7.3529618895303531E-2</v>
      </c>
      <c r="BI42" s="105">
        <v>6.9906120679810863E-2</v>
      </c>
      <c r="BJ42" s="105">
        <v>7.4070873319325437E-2</v>
      </c>
      <c r="BK42" s="105">
        <v>7.0826836170968854E-2</v>
      </c>
      <c r="BL42" s="105">
        <v>6.8922436203193174E-2</v>
      </c>
      <c r="BM42" s="105">
        <v>6.4819693614723881E-2</v>
      </c>
      <c r="BN42" s="105">
        <v>6.8009774400875592E-2</v>
      </c>
      <c r="BO42" s="105">
        <v>7.1090657830468931E-2</v>
      </c>
      <c r="BP42" s="105">
        <v>7.2608131703156747E-2</v>
      </c>
      <c r="BQ42" s="105">
        <v>7.1940988096593841E-2</v>
      </c>
      <c r="BR42" s="105">
        <v>7.1468553474015012E-2</v>
      </c>
      <c r="BS42" s="105">
        <v>6.8530284954207807E-2</v>
      </c>
      <c r="BT42" s="105">
        <v>6.3591401766046676E-2</v>
      </c>
      <c r="BU42" s="105">
        <v>7.0945946182903785E-2</v>
      </c>
      <c r="BV42" s="105">
        <v>7.612077542018908E-2</v>
      </c>
      <c r="BW42" s="105">
        <v>7.0563680644801383E-2</v>
      </c>
      <c r="BX42" s="105">
        <v>6.8661237784848311E-2</v>
      </c>
      <c r="BY42" s="105">
        <v>7.0665379652739321E-2</v>
      </c>
      <c r="BZ42" s="105">
        <v>7.1977968323380215E-2</v>
      </c>
      <c r="CA42" s="105">
        <v>7.4487318909763622E-2</v>
      </c>
      <c r="CB42" s="105">
        <v>6.6375479559486028E-2</v>
      </c>
      <c r="CC42" s="105">
        <v>6.870754389321064E-2</v>
      </c>
      <c r="CD42" s="105">
        <v>6.8010135997660648E-2</v>
      </c>
      <c r="CE42" s="105">
        <v>6.6185266688491992E-2</v>
      </c>
      <c r="CF42" s="105">
        <v>6.4201727899269811E-2</v>
      </c>
      <c r="CG42" s="105">
        <v>7.4086566696720368E-2</v>
      </c>
      <c r="CH42" s="105">
        <v>7.9371779990992306E-2</v>
      </c>
      <c r="CI42" s="105">
        <v>6.9948739126923759E-2</v>
      </c>
      <c r="CJ42" s="105">
        <v>7.9310716695805195E-2</v>
      </c>
      <c r="CK42" s="105">
        <v>7.1286246185780111E-2</v>
      </c>
      <c r="CL42" s="105">
        <v>6.8377451973330089E-2</v>
      </c>
      <c r="CM42" s="105">
        <v>7.0162799823935418E-2</v>
      </c>
      <c r="CN42" s="105">
        <v>6.3507659475153855E-2</v>
      </c>
      <c r="CO42" s="105">
        <v>6.9017036589288899E-2</v>
      </c>
      <c r="CP42" s="105">
        <v>7.3888754787171412E-2</v>
      </c>
      <c r="CQ42" s="105">
        <v>6.6606293927549978E-2</v>
      </c>
      <c r="CR42" s="105">
        <v>7.2689516935639062E-2</v>
      </c>
      <c r="CS42" s="105">
        <v>6.9610487126912854E-2</v>
      </c>
      <c r="CT42" s="105">
        <v>7.158970721584472E-2</v>
      </c>
      <c r="CU42" s="105">
        <v>7.6054241491313124E-2</v>
      </c>
      <c r="CV42" s="105">
        <v>6.4203059796686085E-2</v>
      </c>
      <c r="CW42" s="105">
        <v>6.9060426924090298E-2</v>
      </c>
      <c r="CX42" s="105">
        <v>6.9808395377489924E-2</v>
      </c>
    </row>
    <row r="43" spans="1:102" s="95" customFormat="1">
      <c r="A43" s="23"/>
      <c r="B43" s="56" t="s">
        <v>56</v>
      </c>
      <c r="C43" s="105">
        <v>6.7712752541569943E-2</v>
      </c>
      <c r="D43" s="105">
        <v>7.8200342536877507E-2</v>
      </c>
      <c r="E43" s="105">
        <v>8.0279561966405427E-2</v>
      </c>
      <c r="F43" s="105">
        <v>6.3238550083258793E-2</v>
      </c>
      <c r="G43" s="105">
        <v>6.945843357744115E-2</v>
      </c>
      <c r="H43" s="105">
        <v>7.5996382018940337E-2</v>
      </c>
      <c r="I43" s="105">
        <v>7.5220200863343967E-2</v>
      </c>
      <c r="J43" s="105">
        <v>7.1432670271888127E-2</v>
      </c>
      <c r="K43" s="105">
        <v>6.074349820536263E-2</v>
      </c>
      <c r="L43" s="105">
        <v>6.3181488953385906E-2</v>
      </c>
      <c r="M43" s="105">
        <v>7.2163834643086247E-2</v>
      </c>
      <c r="N43" s="105">
        <v>6.1311225304334312E-2</v>
      </c>
      <c r="O43" s="105">
        <v>6.3484249479842797E-2</v>
      </c>
      <c r="P43" s="105">
        <v>6.7686469131271673E-2</v>
      </c>
      <c r="Q43" s="105">
        <v>6.4716125572583938E-2</v>
      </c>
      <c r="R43" s="105">
        <v>6.8095749432438346E-2</v>
      </c>
      <c r="S43" s="105">
        <v>5.9239005788995776E-2</v>
      </c>
      <c r="T43" s="105">
        <v>7.4505820488047533E-2</v>
      </c>
      <c r="U43" s="105">
        <v>7.7379400905367268E-2</v>
      </c>
      <c r="V43" s="105">
        <v>5.9551518573090066E-2</v>
      </c>
      <c r="W43" s="105">
        <v>6.609895105138644E-2</v>
      </c>
      <c r="X43" s="105">
        <v>7.7985036021320953E-2</v>
      </c>
      <c r="Y43" s="105">
        <v>6.1183038305545556E-2</v>
      </c>
      <c r="Z43" s="105">
        <v>8.120161430440534E-2</v>
      </c>
      <c r="AA43" s="105">
        <v>7.5210307171595242E-2</v>
      </c>
      <c r="AB43" s="105">
        <v>6.7507279179714094E-2</v>
      </c>
      <c r="AC43" s="105">
        <v>5.9426749988832399E-2</v>
      </c>
      <c r="AD43" s="105">
        <v>7.4283987585038722E-2</v>
      </c>
      <c r="AE43" s="105">
        <v>7.000611087150152E-2</v>
      </c>
      <c r="AF43" s="105">
        <v>6.5716264462316626E-2</v>
      </c>
      <c r="AG43" s="105">
        <v>6.9598130748413839E-2</v>
      </c>
      <c r="AH43" s="105">
        <v>6.7240871809319563E-2</v>
      </c>
      <c r="AI43" s="105">
        <v>6.0408019917364136E-2</v>
      </c>
      <c r="AJ43" s="105">
        <v>7.0049001084785623E-2</v>
      </c>
      <c r="AK43" s="105">
        <v>6.9698104732840355E-2</v>
      </c>
      <c r="AL43" s="105">
        <v>6.1068264011967528E-2</v>
      </c>
      <c r="AM43" s="105">
        <v>6.6784216139850666E-2</v>
      </c>
      <c r="AN43" s="105">
        <v>7.3324816012894117E-2</v>
      </c>
      <c r="AO43" s="105">
        <v>6.9780410355200079E-2</v>
      </c>
      <c r="AP43" s="105">
        <v>6.4653260195031453E-2</v>
      </c>
      <c r="AQ43" s="105">
        <v>5.7463662973918049E-2</v>
      </c>
      <c r="AR43" s="105">
        <v>6.9038329258274786E-2</v>
      </c>
      <c r="AS43" s="105">
        <v>7.0752606056574172E-2</v>
      </c>
      <c r="AT43" s="105">
        <v>7.3281499851558074E-2</v>
      </c>
      <c r="AU43" s="105">
        <v>7.1749686633970272E-2</v>
      </c>
      <c r="AV43" s="105">
        <v>6.6005952454364747E-2</v>
      </c>
      <c r="AW43" s="105">
        <v>6.7515445610961053E-2</v>
      </c>
      <c r="AX43" s="105">
        <v>5.8861666623778036E-2</v>
      </c>
      <c r="AY43" s="105">
        <v>7.1192952713598573E-2</v>
      </c>
      <c r="AZ43" s="105">
        <v>7.1548339041248368E-2</v>
      </c>
      <c r="BA43" s="105">
        <v>5.7157304294420251E-2</v>
      </c>
      <c r="BB43" s="105">
        <v>6.6779035212349389E-2</v>
      </c>
      <c r="BC43" s="105">
        <v>5.9589937793095966E-2</v>
      </c>
      <c r="BD43" s="105">
        <v>6.9533940348601456E-2</v>
      </c>
      <c r="BE43" s="105">
        <v>6.7796272023873103E-2</v>
      </c>
      <c r="BF43" s="105">
        <v>6.2645254228435115E-2</v>
      </c>
      <c r="BG43" s="105">
        <v>6.1267767466439325E-2</v>
      </c>
      <c r="BH43" s="105">
        <v>6.7112139831137424E-2</v>
      </c>
      <c r="BI43" s="105">
        <v>6.4543399792610423E-2</v>
      </c>
      <c r="BJ43" s="105">
        <v>7.0251421026770913E-2</v>
      </c>
      <c r="BK43" s="105">
        <v>6.7418431838771622E-2</v>
      </c>
      <c r="BL43" s="105">
        <v>6.665132513054943E-2</v>
      </c>
      <c r="BM43" s="105">
        <v>6.1675487103419968E-2</v>
      </c>
      <c r="BN43" s="105">
        <v>6.300927067468183E-2</v>
      </c>
      <c r="BO43" s="105">
        <v>7.3704258217304405E-2</v>
      </c>
      <c r="BP43" s="105">
        <v>6.7281575163042048E-2</v>
      </c>
      <c r="BQ43" s="105">
        <v>7.3562561459265707E-2</v>
      </c>
      <c r="BR43" s="105">
        <v>6.9872584977045862E-2</v>
      </c>
      <c r="BS43" s="105">
        <v>6.6306257131767174E-2</v>
      </c>
      <c r="BT43" s="105">
        <v>5.911560593036274E-2</v>
      </c>
      <c r="BU43" s="105">
        <v>6.9218434055751579E-2</v>
      </c>
      <c r="BV43" s="105">
        <v>6.8437363971869128E-2</v>
      </c>
      <c r="BW43" s="105">
        <v>6.5076063644798024E-2</v>
      </c>
      <c r="BX43" s="105">
        <v>6.5976138978892859E-2</v>
      </c>
      <c r="BY43" s="105">
        <v>6.8556510288446962E-2</v>
      </c>
      <c r="BZ43" s="105">
        <v>7.201141084350661E-2</v>
      </c>
      <c r="CA43" s="105">
        <v>6.8829284139250033E-2</v>
      </c>
      <c r="CB43" s="105">
        <v>5.8577963189956325E-2</v>
      </c>
      <c r="CC43" s="105">
        <v>6.3313566463559373E-2</v>
      </c>
      <c r="CD43" s="105">
        <v>6.1597800519722579E-2</v>
      </c>
      <c r="CE43" s="105">
        <v>6.2626443801035409E-2</v>
      </c>
      <c r="CF43" s="105">
        <v>6.2519734936020283E-2</v>
      </c>
      <c r="CG43" s="105">
        <v>8.0033125230657642E-2</v>
      </c>
      <c r="CH43" s="105">
        <v>7.915170325468085E-2</v>
      </c>
      <c r="CI43" s="105">
        <v>6.6219667304713375E-2</v>
      </c>
      <c r="CJ43" s="105">
        <v>7.3519555193801767E-2</v>
      </c>
      <c r="CK43" s="105">
        <v>6.7036511016037942E-2</v>
      </c>
      <c r="CL43" s="105">
        <v>6.6478517826935701E-2</v>
      </c>
      <c r="CM43" s="105">
        <v>6.7581420053710817E-2</v>
      </c>
      <c r="CN43" s="105">
        <v>5.7338633873082974E-2</v>
      </c>
      <c r="CO43" s="105">
        <v>6.7216431101051619E-2</v>
      </c>
      <c r="CP43" s="105">
        <v>6.407985584210335E-2</v>
      </c>
      <c r="CQ43" s="105">
        <v>6.0151811010695333E-2</v>
      </c>
      <c r="CR43" s="105">
        <v>6.7539498776913023E-2</v>
      </c>
      <c r="CS43" s="105">
        <v>6.0761177399209429E-2</v>
      </c>
      <c r="CT43" s="105">
        <v>6.4696668408236721E-2</v>
      </c>
      <c r="CU43" s="105">
        <v>7.8947812635611056E-2</v>
      </c>
      <c r="CV43" s="105">
        <v>6.3580463365871198E-2</v>
      </c>
      <c r="CW43" s="105">
        <v>6.3917609399824965E-2</v>
      </c>
      <c r="CX43" s="105">
        <v>6.5482911803805582E-2</v>
      </c>
    </row>
    <row r="44" spans="1:102" s="95" customFormat="1">
      <c r="A44" s="106"/>
      <c r="B44" s="109" t="s">
        <v>114</v>
      </c>
      <c r="C44" s="107">
        <v>0.50813180842148897</v>
      </c>
      <c r="D44" s="107">
        <v>0.49383847947568044</v>
      </c>
      <c r="E44" s="107">
        <v>0.49094549245112257</v>
      </c>
      <c r="F44" s="107">
        <v>0.51438515203845936</v>
      </c>
      <c r="G44" s="107">
        <v>0.50891405524120636</v>
      </c>
      <c r="H44" s="107">
        <v>0.4947073181044942</v>
      </c>
      <c r="I44" s="107">
        <v>0.49701024261533749</v>
      </c>
      <c r="J44" s="107">
        <v>0.50045182237941699</v>
      </c>
      <c r="K44" s="107">
        <v>0.51968682347030504</v>
      </c>
      <c r="L44" s="107">
        <v>0.51294721116987241</v>
      </c>
      <c r="M44" s="107">
        <v>0.50262948957826259</v>
      </c>
      <c r="N44" s="107">
        <v>0.51662682995889042</v>
      </c>
      <c r="O44" s="107">
        <v>0.52182512519798885</v>
      </c>
      <c r="P44" s="107">
        <v>0.50632613237250046</v>
      </c>
      <c r="Q44" s="107">
        <v>0.51233104000690566</v>
      </c>
      <c r="R44" s="107">
        <v>0.50878224485682133</v>
      </c>
      <c r="S44" s="107">
        <v>0.52338407133382014</v>
      </c>
      <c r="T44" s="107">
        <v>0.49725994212299096</v>
      </c>
      <c r="U44" s="107">
        <v>0.49305544511510813</v>
      </c>
      <c r="V44" s="107">
        <v>0.51803622733247112</v>
      </c>
      <c r="W44" s="107">
        <v>0.50947801898089118</v>
      </c>
      <c r="X44" s="107">
        <v>0.49537467626961718</v>
      </c>
      <c r="Y44" s="107">
        <v>0.51918641037529767</v>
      </c>
      <c r="Z44" s="107">
        <v>0.48755827347153785</v>
      </c>
      <c r="AA44" s="107">
        <v>0.49552250746591003</v>
      </c>
      <c r="AB44" s="107">
        <v>0.50270212779188161</v>
      </c>
      <c r="AC44" s="107">
        <v>0.52199522583842906</v>
      </c>
      <c r="AD44" s="107">
        <v>0.49551439933957037</v>
      </c>
      <c r="AE44" s="107">
        <v>0.50643727605304056</v>
      </c>
      <c r="AF44" s="107">
        <v>0.50479265991887623</v>
      </c>
      <c r="AG44" s="107">
        <v>0.50916340238590008</v>
      </c>
      <c r="AH44" s="107">
        <v>0.50487899530456415</v>
      </c>
      <c r="AI44" s="107">
        <v>0.52127319122450422</v>
      </c>
      <c r="AJ44" s="107">
        <v>0.49833050802345946</v>
      </c>
      <c r="AK44" s="107">
        <v>0.49900187629478671</v>
      </c>
      <c r="AL44" s="107">
        <v>0.52074185445768018</v>
      </c>
      <c r="AM44" s="107">
        <v>0.50702122367719793</v>
      </c>
      <c r="AN44" s="107">
        <v>0.49814355027325818</v>
      </c>
      <c r="AO44" s="107">
        <v>0.51390292892180223</v>
      </c>
      <c r="AP44" s="107">
        <v>0.51475096373339468</v>
      </c>
      <c r="AQ44" s="107">
        <v>0.52655062205570868</v>
      </c>
      <c r="AR44" s="107">
        <v>0.51517826267731992</v>
      </c>
      <c r="AS44" s="107">
        <v>0.50686176694855078</v>
      </c>
      <c r="AT44" s="107">
        <v>0.5008203143207931</v>
      </c>
      <c r="AU44" s="107">
        <v>0.49896675193837581</v>
      </c>
      <c r="AV44" s="107">
        <v>0.50556894618376169</v>
      </c>
      <c r="AW44" s="107">
        <v>0.50987499189657259</v>
      </c>
      <c r="AX44" s="107">
        <v>0.52658043453075865</v>
      </c>
      <c r="AY44" s="107">
        <v>0.49797719215321401</v>
      </c>
      <c r="AZ44" s="107">
        <v>0.50066333184575806</v>
      </c>
      <c r="BA44" s="107">
        <v>0.53162153412200464</v>
      </c>
      <c r="BB44" s="107">
        <v>0.50954589626919256</v>
      </c>
      <c r="BC44" s="107">
        <v>0.52211869411330614</v>
      </c>
      <c r="BD44" s="107">
        <v>0.50293516265723082</v>
      </c>
      <c r="BE44" s="107">
        <v>0.5042431596575806</v>
      </c>
      <c r="BF44" s="107">
        <v>0.52061226184139309</v>
      </c>
      <c r="BG44" s="107">
        <v>0.51981059164973487</v>
      </c>
      <c r="BH44" s="107">
        <v>0.50989353733499077</v>
      </c>
      <c r="BI44" s="107">
        <v>0.51098676058291315</v>
      </c>
      <c r="BJ44" s="107">
        <v>0.5008391802184855</v>
      </c>
      <c r="BK44" s="107">
        <v>0.51029708872803281</v>
      </c>
      <c r="BL44" s="107">
        <v>0.51309270560789477</v>
      </c>
      <c r="BM44" s="107">
        <v>0.52468078292768627</v>
      </c>
      <c r="BN44" s="107">
        <v>0.51816833452671085</v>
      </c>
      <c r="BO44" s="107">
        <v>0.50091727735754221</v>
      </c>
      <c r="BP44" s="107">
        <v>0.50386354274644385</v>
      </c>
      <c r="BQ44" s="107">
        <v>0.50263856486115643</v>
      </c>
      <c r="BR44" s="107">
        <v>0.5051371579566557</v>
      </c>
      <c r="BS44" s="107">
        <v>0.51365016992937818</v>
      </c>
      <c r="BT44" s="107">
        <v>0.5308875688535083</v>
      </c>
      <c r="BU44" s="107">
        <v>0.50472737257215994</v>
      </c>
      <c r="BV44" s="107">
        <v>0.49773262769397908</v>
      </c>
      <c r="BW44" s="107">
        <v>0.50874994659352613</v>
      </c>
      <c r="BX44" s="107">
        <v>0.5129959754320027</v>
      </c>
      <c r="BY44" s="107">
        <v>0.50422439807255903</v>
      </c>
      <c r="BZ44" s="107">
        <v>0.50237064891060368</v>
      </c>
      <c r="CA44" s="107">
        <v>0.5003459680041209</v>
      </c>
      <c r="CB44" s="107">
        <v>0.52675132839120853</v>
      </c>
      <c r="CC44" s="107">
        <v>0.51406730666494527</v>
      </c>
      <c r="CD44" s="107">
        <v>0.52030308001079262</v>
      </c>
      <c r="CE44" s="107">
        <v>0.51730215290260362</v>
      </c>
      <c r="CF44" s="107">
        <v>0.52646953778404038</v>
      </c>
      <c r="CG44" s="107">
        <v>0.49568257760856482</v>
      </c>
      <c r="CH44" s="107">
        <v>0.48701442435611292</v>
      </c>
      <c r="CI44" s="107">
        <v>0.50352884354616667</v>
      </c>
      <c r="CJ44" s="107">
        <v>0.49389345123822054</v>
      </c>
      <c r="CK44" s="107">
        <v>0.50973351469288863</v>
      </c>
      <c r="CL44" s="107">
        <v>0.51392696195593335</v>
      </c>
      <c r="CM44" s="107">
        <v>0.50861776771253997</v>
      </c>
      <c r="CN44" s="107">
        <v>0.53339492924553</v>
      </c>
      <c r="CO44" s="107">
        <v>0.5094172025615803</v>
      </c>
      <c r="CP44" s="107">
        <v>0.50562261397140618</v>
      </c>
      <c r="CQ44" s="107">
        <v>0.52280312505108795</v>
      </c>
      <c r="CR44" s="107">
        <v>0.50669129572271687</v>
      </c>
      <c r="CS44" s="107">
        <v>0.51740036684119761</v>
      </c>
      <c r="CT44" s="107">
        <v>0.50479662333674313</v>
      </c>
      <c r="CU44" s="107">
        <v>0.48747625880595291</v>
      </c>
      <c r="CV44" s="107">
        <v>0.52576402526716082</v>
      </c>
      <c r="CW44" s="107">
        <v>0.51117946244667456</v>
      </c>
      <c r="CX44" s="107">
        <v>0.51279073182542767</v>
      </c>
    </row>
    <row r="45" spans="1:102" s="111" customFormat="1">
      <c r="A45" s="88" t="str">
        <f>Parameters!A41</f>
        <v>Groei recessie</v>
      </c>
      <c r="B45" s="102" t="s">
        <v>29</v>
      </c>
      <c r="C45" s="103">
        <v>-7.6289357259578779E-4</v>
      </c>
      <c r="D45" s="103">
        <v>6.0925383841826638E-4</v>
      </c>
      <c r="E45" s="103">
        <v>-9.1049557490886475E-4</v>
      </c>
      <c r="F45" s="103">
        <v>-3.8124783558515351E-3</v>
      </c>
      <c r="G45" s="103">
        <v>1.7573741736831268E-4</v>
      </c>
      <c r="H45" s="103">
        <v>-1.4510042782307922E-3</v>
      </c>
      <c r="I45" s="103">
        <v>-6.8677394743307677E-4</v>
      </c>
      <c r="J45" s="103">
        <v>-3.7376922448237922E-4</v>
      </c>
      <c r="K45" s="103">
        <v>-3.5941898411794657E-3</v>
      </c>
      <c r="L45" s="103">
        <v>-3.6311182911011441E-3</v>
      </c>
      <c r="M45" s="103">
        <v>2.9690763628174334E-5</v>
      </c>
      <c r="N45" s="103">
        <v>-4.1324601995548667E-3</v>
      </c>
      <c r="O45" s="103">
        <v>-6.0510952325581405E-4</v>
      </c>
      <c r="P45" s="103">
        <v>-2.3493521989667323E-3</v>
      </c>
      <c r="Q45" s="103">
        <v>-3.5390631500548538E-3</v>
      </c>
      <c r="R45" s="103">
        <v>-1.5027039743056702E-3</v>
      </c>
      <c r="S45" s="103">
        <v>-2.5334672537409143E-3</v>
      </c>
      <c r="T45" s="103">
        <v>-2.0756223705849361E-4</v>
      </c>
      <c r="U45" s="103">
        <v>1.0403826728527304E-3</v>
      </c>
      <c r="V45" s="103">
        <v>-4.8304884221239061E-3</v>
      </c>
      <c r="W45" s="103">
        <v>-1.8250309238363087E-3</v>
      </c>
      <c r="X45" s="103">
        <v>2.3523805112040429E-3</v>
      </c>
      <c r="Y45" s="103">
        <v>-5.8570732514200106E-3</v>
      </c>
      <c r="Z45" s="103">
        <v>-3.5666960040734897E-3</v>
      </c>
      <c r="AA45" s="103">
        <v>-2.2357764694363926E-3</v>
      </c>
      <c r="AB45" s="103">
        <v>-3.4594790805157105E-3</v>
      </c>
      <c r="AC45" s="103">
        <v>-4.9564379029799167E-3</v>
      </c>
      <c r="AD45" s="103">
        <v>2.3303184654872681E-5</v>
      </c>
      <c r="AE45" s="103">
        <v>-8.2114076573067867E-4</v>
      </c>
      <c r="AF45" s="103">
        <v>-4.8774486914623712E-3</v>
      </c>
      <c r="AG45" s="103">
        <v>-4.4850164834659362E-3</v>
      </c>
      <c r="AH45" s="103">
        <v>-2.0093723042216276E-3</v>
      </c>
      <c r="AI45" s="103">
        <v>-1.6528344392138065E-3</v>
      </c>
      <c r="AJ45" s="103">
        <v>-4.3751017169308942E-3</v>
      </c>
      <c r="AK45" s="103">
        <v>-1.1689165304621611E-3</v>
      </c>
      <c r="AL45" s="103">
        <v>-2.0514253306304457E-3</v>
      </c>
      <c r="AM45" s="103">
        <v>-1.9153500569913072E-3</v>
      </c>
      <c r="AN45" s="103">
        <v>-4.5474025434545122E-3</v>
      </c>
      <c r="AO45" s="103">
        <v>-2.6072796176270993E-4</v>
      </c>
      <c r="AP45" s="103">
        <v>-3.1597328699499551E-3</v>
      </c>
      <c r="AQ45" s="103">
        <v>-4.6861281927962975E-3</v>
      </c>
      <c r="AR45" s="103">
        <v>1.3880055749022676E-3</v>
      </c>
      <c r="AS45" s="103">
        <v>9.277093073700414E-4</v>
      </c>
      <c r="AT45" s="103">
        <v>-1.2318008752943486E-3</v>
      </c>
      <c r="AU45" s="103">
        <v>-3.2316703127154966E-4</v>
      </c>
      <c r="AV45" s="103">
        <v>-2.9090139059359324E-3</v>
      </c>
      <c r="AW45" s="103">
        <v>-2.9833759790009531E-3</v>
      </c>
      <c r="AX45" s="103">
        <v>-2.6099446294964223E-3</v>
      </c>
      <c r="AY45" s="103">
        <v>1.2307814081323346E-3</v>
      </c>
      <c r="AZ45" s="103">
        <v>-1.699953672267646E-3</v>
      </c>
      <c r="BA45" s="103">
        <v>-4.95308987058547E-3</v>
      </c>
      <c r="BB45" s="103">
        <v>-3.1504611473002452E-3</v>
      </c>
      <c r="BC45" s="103">
        <v>-3.1972394270457271E-3</v>
      </c>
      <c r="BD45" s="103">
        <v>-1.3831056273152522E-3</v>
      </c>
      <c r="BE45" s="103">
        <v>-1.8576382123906606E-3</v>
      </c>
      <c r="BF45" s="103">
        <v>-2.2430536966746503E-3</v>
      </c>
      <c r="BG45" s="103">
        <v>-2.1009463565035665E-3</v>
      </c>
      <c r="BH45" s="103">
        <v>-1.8878306076188869E-3</v>
      </c>
      <c r="BI45" s="103">
        <v>-2.644225668808189E-3</v>
      </c>
      <c r="BJ45" s="103">
        <v>-8.693067378067942E-4</v>
      </c>
      <c r="BK45" s="103">
        <v>5.7670990223706838E-4</v>
      </c>
      <c r="BL45" s="103">
        <v>1.3041907933380118E-3</v>
      </c>
      <c r="BM45" s="103">
        <v>-2.2804044121004195E-3</v>
      </c>
      <c r="BN45" s="103">
        <v>-2.9810168311046829E-3</v>
      </c>
      <c r="BO45" s="103">
        <v>1.4326031480963912E-3</v>
      </c>
      <c r="BP45" s="103">
        <v>-8.737824846361624E-4</v>
      </c>
      <c r="BQ45" s="103">
        <v>9.0038549922806044E-5</v>
      </c>
      <c r="BR45" s="103">
        <v>-2.3614272806612821E-3</v>
      </c>
      <c r="BS45" s="103">
        <v>-4.3843502645058135E-3</v>
      </c>
      <c r="BT45" s="103">
        <v>-4.0811704878216367E-3</v>
      </c>
      <c r="BU45" s="103">
        <v>-3.457699695831094E-3</v>
      </c>
      <c r="BV45" s="103">
        <v>-2.6643188058928613E-3</v>
      </c>
      <c r="BW45" s="103">
        <v>-3.9255673941691613E-3</v>
      </c>
      <c r="BX45" s="103">
        <v>-2.6938452979359752E-3</v>
      </c>
      <c r="BY45" s="103">
        <v>-2.8042186043878529E-3</v>
      </c>
      <c r="BZ45" s="103">
        <v>-4.4238019619438768E-3</v>
      </c>
      <c r="CA45" s="103">
        <v>-3.806853077070094E-3</v>
      </c>
      <c r="CB45" s="103">
        <v>-1.8481209469620287E-3</v>
      </c>
      <c r="CC45" s="103">
        <v>-6.2313893497045192E-3</v>
      </c>
      <c r="CD45" s="103">
        <v>-2.7777574690795552E-3</v>
      </c>
      <c r="CE45" s="103">
        <v>-1.7610604242181021E-3</v>
      </c>
      <c r="CF45" s="103">
        <v>-1.6873603085972959E-3</v>
      </c>
      <c r="CG45" s="103">
        <v>3.0589824483102574E-3</v>
      </c>
      <c r="CH45" s="103">
        <v>-3.0564615856735053E-3</v>
      </c>
      <c r="CI45" s="103">
        <v>-2.198793409961789E-3</v>
      </c>
      <c r="CJ45" s="103">
        <v>-2.6272496707780181E-3</v>
      </c>
      <c r="CK45" s="103">
        <v>-1.9230880956273334E-3</v>
      </c>
      <c r="CL45" s="103">
        <v>-1.8250586300968272E-3</v>
      </c>
      <c r="CM45" s="103">
        <v>-3.2433463785331781E-4</v>
      </c>
      <c r="CN45" s="103">
        <v>-4.1649044327474946E-3</v>
      </c>
      <c r="CO45" s="103">
        <v>-9.7731745536339901E-4</v>
      </c>
      <c r="CP45" s="103">
        <v>-5.3736418261944646E-3</v>
      </c>
      <c r="CQ45" s="103">
        <v>1.9505317881451933E-4</v>
      </c>
      <c r="CR45" s="103">
        <v>2.5025215650057754E-4</v>
      </c>
      <c r="CS45" s="103">
        <v>-2.8044690974577042E-3</v>
      </c>
      <c r="CT45" s="103">
        <v>-5.3934175990576483E-3</v>
      </c>
      <c r="CU45" s="103">
        <v>1.1834283495093878E-3</v>
      </c>
      <c r="CV45" s="103">
        <v>-4.3295603410264949E-4</v>
      </c>
      <c r="CW45" s="103">
        <v>-1.9986056967202688E-3</v>
      </c>
      <c r="CX45" s="103">
        <v>-2.7997584746809463E-3</v>
      </c>
    </row>
    <row r="46" spans="1:102" s="95" customFormat="1">
      <c r="A46" s="23"/>
      <c r="B46" s="14" t="s">
        <v>30</v>
      </c>
      <c r="C46" s="105">
        <v>5.0188973291791117E-2</v>
      </c>
      <c r="D46" s="105">
        <v>5.025768065159418E-2</v>
      </c>
      <c r="E46" s="105">
        <v>5.096262557846605E-2</v>
      </c>
      <c r="F46" s="105">
        <v>5.0985329681597406E-2</v>
      </c>
      <c r="G46" s="105">
        <v>4.8482039590790241E-2</v>
      </c>
      <c r="H46" s="105">
        <v>5.0851576044683149E-2</v>
      </c>
      <c r="I46" s="105">
        <v>5.5698314706533122E-2</v>
      </c>
      <c r="J46" s="105">
        <v>5.1601805274099036E-2</v>
      </c>
      <c r="K46" s="105">
        <v>5.0953017438644777E-2</v>
      </c>
      <c r="L46" s="105">
        <v>5.0876600332978049E-2</v>
      </c>
      <c r="M46" s="105">
        <v>4.8750173738920537E-2</v>
      </c>
      <c r="N46" s="105">
        <v>5.0435555486949009E-2</v>
      </c>
      <c r="O46" s="105">
        <v>4.7951460274550516E-2</v>
      </c>
      <c r="P46" s="105">
        <v>5.2017795666696551E-2</v>
      </c>
      <c r="Q46" s="105">
        <v>5.1191959361894718E-2</v>
      </c>
      <c r="R46" s="105">
        <v>4.9168752822950086E-2</v>
      </c>
      <c r="S46" s="105">
        <v>5.0172589725959463E-2</v>
      </c>
      <c r="T46" s="105">
        <v>5.723477222243803E-2</v>
      </c>
      <c r="U46" s="105">
        <v>5.1214061419585892E-2</v>
      </c>
      <c r="V46" s="105">
        <v>5.1604781656124379E-2</v>
      </c>
      <c r="W46" s="105">
        <v>5.3703125665759181E-2</v>
      </c>
      <c r="X46" s="105">
        <v>5.3571742379143784E-2</v>
      </c>
      <c r="Y46" s="105">
        <v>5.1805132831982542E-2</v>
      </c>
      <c r="Z46" s="105">
        <v>5.4753007910045656E-2</v>
      </c>
      <c r="AA46" s="105">
        <v>5.9857789391293818E-2</v>
      </c>
      <c r="AB46" s="105">
        <v>5.6027451938350362E-2</v>
      </c>
      <c r="AC46" s="105">
        <v>5.0028325357242685E-2</v>
      </c>
      <c r="AD46" s="105">
        <v>5.1340628457083745E-2</v>
      </c>
      <c r="AE46" s="105">
        <v>5.2140264638013217E-2</v>
      </c>
      <c r="AF46" s="105">
        <v>5.4220385007663782E-2</v>
      </c>
      <c r="AG46" s="105">
        <v>5.1585509981489815E-2</v>
      </c>
      <c r="AH46" s="105">
        <v>5.1594506888013682E-2</v>
      </c>
      <c r="AI46" s="105">
        <v>4.9460380263115097E-2</v>
      </c>
      <c r="AJ46" s="105">
        <v>5.6340340348354237E-2</v>
      </c>
      <c r="AK46" s="105">
        <v>5.5282666224591201E-2</v>
      </c>
      <c r="AL46" s="105">
        <v>4.9838336720213518E-2</v>
      </c>
      <c r="AM46" s="105">
        <v>5.0644947078891549E-2</v>
      </c>
      <c r="AN46" s="105">
        <v>5.3118755810608494E-2</v>
      </c>
      <c r="AO46" s="105">
        <v>4.6736298141133371E-2</v>
      </c>
      <c r="AP46" s="105">
        <v>5.3920908769404065E-2</v>
      </c>
      <c r="AQ46" s="105">
        <v>5.0058327884567468E-2</v>
      </c>
      <c r="AR46" s="105">
        <v>4.6784129972368763E-2</v>
      </c>
      <c r="AS46" s="105">
        <v>5.0246635021784149E-2</v>
      </c>
      <c r="AT46" s="105">
        <v>5.9184318297152649E-2</v>
      </c>
      <c r="AU46" s="105">
        <v>5.4828748197545081E-2</v>
      </c>
      <c r="AV46" s="105">
        <v>5.573813533133528E-2</v>
      </c>
      <c r="AW46" s="105">
        <v>4.9880809803495407E-2</v>
      </c>
      <c r="AX46" s="105">
        <v>4.9025813267360843E-2</v>
      </c>
      <c r="AY46" s="105">
        <v>5.1088104215676659E-2</v>
      </c>
      <c r="AZ46" s="105">
        <v>5.9594157082839064E-2</v>
      </c>
      <c r="BA46" s="105">
        <v>4.9458428971580037E-2</v>
      </c>
      <c r="BB46" s="105">
        <v>5.0874989735717725E-2</v>
      </c>
      <c r="BC46" s="105">
        <v>4.9649060274835968E-2</v>
      </c>
      <c r="BD46" s="105">
        <v>5.0476679227645191E-2</v>
      </c>
      <c r="BE46" s="105">
        <v>5.0907976486814221E-2</v>
      </c>
      <c r="BF46" s="105">
        <v>4.8594028581459503E-2</v>
      </c>
      <c r="BG46" s="105">
        <v>5.1071494606402784E-2</v>
      </c>
      <c r="BH46" s="105">
        <v>5.535350808269722E-2</v>
      </c>
      <c r="BI46" s="105">
        <v>5.2403820014910729E-2</v>
      </c>
      <c r="BJ46" s="105">
        <v>5.3992856338862215E-2</v>
      </c>
      <c r="BK46" s="105">
        <v>5.1479008459631097E-2</v>
      </c>
      <c r="BL46" s="105">
        <v>4.9331856770729751E-2</v>
      </c>
      <c r="BM46" s="105">
        <v>4.887764794729077E-2</v>
      </c>
      <c r="BN46" s="105">
        <v>5.1493518091229977E-2</v>
      </c>
      <c r="BO46" s="105">
        <v>5.1666005863892479E-2</v>
      </c>
      <c r="BP46" s="105">
        <v>5.4111530007512246E-2</v>
      </c>
      <c r="BQ46" s="105">
        <v>5.2332436813614228E-2</v>
      </c>
      <c r="BR46" s="105">
        <v>5.185358369886757E-2</v>
      </c>
      <c r="BS46" s="105">
        <v>5.0891697244086855E-2</v>
      </c>
      <c r="BT46" s="105">
        <v>4.8251386489731367E-2</v>
      </c>
      <c r="BU46" s="105">
        <v>5.0825445878544873E-2</v>
      </c>
      <c r="BV46" s="105">
        <v>5.6000214636282082E-2</v>
      </c>
      <c r="BW46" s="105">
        <v>5.1625513580584211E-2</v>
      </c>
      <c r="BX46" s="105">
        <v>4.9707763794603392E-2</v>
      </c>
      <c r="BY46" s="105">
        <v>5.0625943125131467E-2</v>
      </c>
      <c r="BZ46" s="105">
        <v>5.2393407583525203E-2</v>
      </c>
      <c r="CA46" s="105">
        <v>5.3557611925932329E-2</v>
      </c>
      <c r="CB46" s="105">
        <v>4.9469025299526945E-2</v>
      </c>
      <c r="CC46" s="105">
        <v>5.2230924404132552E-2</v>
      </c>
      <c r="CD46" s="105">
        <v>5.0372081642988287E-2</v>
      </c>
      <c r="CE46" s="105">
        <v>4.86812586055278E-2</v>
      </c>
      <c r="CF46" s="105">
        <v>4.7777089375282508E-2</v>
      </c>
      <c r="CG46" s="105">
        <v>5.248558518369436E-2</v>
      </c>
      <c r="CH46" s="105">
        <v>5.5113514296052872E-2</v>
      </c>
      <c r="CI46" s="105">
        <v>5.1263973459587109E-2</v>
      </c>
      <c r="CJ46" s="105">
        <v>6.075365144691474E-2</v>
      </c>
      <c r="CK46" s="105">
        <v>5.2975262618771342E-2</v>
      </c>
      <c r="CL46" s="105">
        <v>4.9361199304296929E-2</v>
      </c>
      <c r="CM46" s="105">
        <v>5.094152137024683E-2</v>
      </c>
      <c r="CN46" s="105">
        <v>4.8514110016892889E-2</v>
      </c>
      <c r="CO46" s="105">
        <v>4.8945190845020761E-2</v>
      </c>
      <c r="CP46" s="105">
        <v>5.4782683095092106E-2</v>
      </c>
      <c r="CQ46" s="105">
        <v>4.9368568015584272E-2</v>
      </c>
      <c r="CR46" s="105">
        <v>5.3434843423172972E-2</v>
      </c>
      <c r="CS46" s="105">
        <v>5.1917957203997653E-2</v>
      </c>
      <c r="CT46" s="105">
        <v>5.3219642852348405E-2</v>
      </c>
      <c r="CU46" s="105">
        <v>5.2237861847006843E-2</v>
      </c>
      <c r="CV46" s="105">
        <v>4.6878626378050438E-2</v>
      </c>
      <c r="CW46" s="105">
        <v>5.0127023296913077E-2</v>
      </c>
      <c r="CX46" s="105">
        <v>5.1649002212360851E-2</v>
      </c>
    </row>
    <row r="47" spans="1:102" s="95" customFormat="1">
      <c r="A47" s="23"/>
      <c r="B47" s="56" t="s">
        <v>56</v>
      </c>
      <c r="C47" s="105">
        <v>5.5498471288849251E-2</v>
      </c>
      <c r="D47" s="105">
        <v>6.086581456231132E-2</v>
      </c>
      <c r="E47" s="105">
        <v>5.9236829206571154E-2</v>
      </c>
      <c r="F47" s="105">
        <v>5.0533167318084077E-2</v>
      </c>
      <c r="G47" s="105">
        <v>5.7465251174574093E-2</v>
      </c>
      <c r="H47" s="105">
        <v>5.6069556819262401E-2</v>
      </c>
      <c r="I47" s="105">
        <v>6.4598700229702224E-2</v>
      </c>
      <c r="J47" s="105">
        <v>5.5593906298587889E-2</v>
      </c>
      <c r="K47" s="105">
        <v>5.0540627250519179E-2</v>
      </c>
      <c r="L47" s="105">
        <v>5.1950024509892209E-2</v>
      </c>
      <c r="M47" s="105">
        <v>5.742209066412414E-2</v>
      </c>
      <c r="N47" s="105">
        <v>4.7920303462984773E-2</v>
      </c>
      <c r="O47" s="105">
        <v>5.234450076044439E-2</v>
      </c>
      <c r="P47" s="105">
        <v>5.6702990977788234E-2</v>
      </c>
      <c r="Q47" s="105">
        <v>5.4062244990795462E-2</v>
      </c>
      <c r="R47" s="105">
        <v>5.3128732791674432E-2</v>
      </c>
      <c r="S47" s="105">
        <v>4.8298086159465924E-2</v>
      </c>
      <c r="T47" s="105">
        <v>6.554061059467424E-2</v>
      </c>
      <c r="U47" s="105">
        <v>5.7483559317780604E-2</v>
      </c>
      <c r="V47" s="105">
        <v>4.7838653819308241E-2</v>
      </c>
      <c r="W47" s="105">
        <v>5.570897004976768E-2</v>
      </c>
      <c r="X47" s="105">
        <v>6.5885354158600071E-2</v>
      </c>
      <c r="Y47" s="105">
        <v>4.6761233280758721E-2</v>
      </c>
      <c r="Z47" s="105">
        <v>5.7903550863033504E-2</v>
      </c>
      <c r="AA47" s="105">
        <v>6.4715570445984083E-2</v>
      </c>
      <c r="AB47" s="105">
        <v>5.7211825758449547E-2</v>
      </c>
      <c r="AC47" s="105">
        <v>4.7309703203198453E-2</v>
      </c>
      <c r="AD47" s="105">
        <v>5.7900993147261277E-2</v>
      </c>
      <c r="AE47" s="105">
        <v>6.0588662571827372E-2</v>
      </c>
      <c r="AF47" s="105">
        <v>5.3246997660035905E-2</v>
      </c>
      <c r="AG47" s="105">
        <v>5.2821470890401949E-2</v>
      </c>
      <c r="AH47" s="105">
        <v>5.0438678778793003E-2</v>
      </c>
      <c r="AI47" s="105">
        <v>5.0526051240634397E-2</v>
      </c>
      <c r="AJ47" s="105">
        <v>5.7592224096108764E-2</v>
      </c>
      <c r="AK47" s="105">
        <v>5.8840360473811776E-2</v>
      </c>
      <c r="AL47" s="105">
        <v>4.9229679165471253E-2</v>
      </c>
      <c r="AM47" s="105">
        <v>5.2691313416214726E-2</v>
      </c>
      <c r="AN47" s="105">
        <v>5.3506670822564634E-2</v>
      </c>
      <c r="AO47" s="105">
        <v>5.6834491722345018E-2</v>
      </c>
      <c r="AP47" s="105">
        <v>5.6876793748120255E-2</v>
      </c>
      <c r="AQ47" s="105">
        <v>4.8153304826182311E-2</v>
      </c>
      <c r="AR47" s="105">
        <v>5.7254003768220631E-2</v>
      </c>
      <c r="AS47" s="105">
        <v>5.9088736088807665E-2</v>
      </c>
      <c r="AT47" s="105">
        <v>6.644016753271155E-2</v>
      </c>
      <c r="AU47" s="105">
        <v>5.9313655344472062E-2</v>
      </c>
      <c r="AV47" s="105">
        <v>5.7636574994923064E-2</v>
      </c>
      <c r="AW47" s="105">
        <v>5.3891307465762081E-2</v>
      </c>
      <c r="AX47" s="105">
        <v>4.7394607336190935E-2</v>
      </c>
      <c r="AY47" s="105">
        <v>5.4298615310936132E-2</v>
      </c>
      <c r="AZ47" s="105">
        <v>6.4793288164266633E-2</v>
      </c>
      <c r="BA47" s="105">
        <v>4.7019077237027487E-2</v>
      </c>
      <c r="BB47" s="105">
        <v>5.4900527405263931E-2</v>
      </c>
      <c r="BC47" s="105">
        <v>4.918551309315352E-2</v>
      </c>
      <c r="BD47" s="105">
        <v>5.3240072159646962E-2</v>
      </c>
      <c r="BE47" s="105">
        <v>5.137639921767622E-2</v>
      </c>
      <c r="BF47" s="105">
        <v>5.0670212577198247E-2</v>
      </c>
      <c r="BG47" s="105">
        <v>5.356227998692447E-2</v>
      </c>
      <c r="BH47" s="105">
        <v>6.0380945304650616E-2</v>
      </c>
      <c r="BI47" s="105">
        <v>5.6448102802611859E-2</v>
      </c>
      <c r="BJ47" s="105">
        <v>6.0023930614042327E-2</v>
      </c>
      <c r="BK47" s="105">
        <v>5.8792343610641097E-2</v>
      </c>
      <c r="BL47" s="105">
        <v>5.6798843086296444E-2</v>
      </c>
      <c r="BM47" s="105">
        <v>5.1144253978639836E-2</v>
      </c>
      <c r="BN47" s="105">
        <v>5.3308647244295168E-2</v>
      </c>
      <c r="BO47" s="105">
        <v>5.9849893099507875E-2</v>
      </c>
      <c r="BP47" s="105">
        <v>5.7868771332137581E-2</v>
      </c>
      <c r="BQ47" s="105">
        <v>6.3392904605603914E-2</v>
      </c>
      <c r="BR47" s="105">
        <v>5.7664678808032083E-2</v>
      </c>
      <c r="BS47" s="105">
        <v>5.0563463701640873E-2</v>
      </c>
      <c r="BT47" s="105">
        <v>4.8120965925958409E-2</v>
      </c>
      <c r="BU47" s="105">
        <v>5.3491801967430877E-2</v>
      </c>
      <c r="BV47" s="105">
        <v>5.7052631922591877E-2</v>
      </c>
      <c r="BW47" s="105">
        <v>4.9541132708673635E-2</v>
      </c>
      <c r="BX47" s="105">
        <v>5.3730845346875299E-2</v>
      </c>
      <c r="BY47" s="105">
        <v>5.1546351534025599E-2</v>
      </c>
      <c r="BZ47" s="105">
        <v>5.3858291221355659E-2</v>
      </c>
      <c r="CA47" s="105">
        <v>5.4017348147506437E-2</v>
      </c>
      <c r="CB47" s="105">
        <v>4.9420888653312643E-2</v>
      </c>
      <c r="CC47" s="105">
        <v>4.8130770940544326E-2</v>
      </c>
      <c r="CD47" s="105">
        <v>5.2937183295736351E-2</v>
      </c>
      <c r="CE47" s="105">
        <v>5.0608988618123726E-2</v>
      </c>
      <c r="CF47" s="105">
        <v>5.1989291261736355E-2</v>
      </c>
      <c r="CG47" s="105">
        <v>6.7271278235415871E-2</v>
      </c>
      <c r="CH47" s="105">
        <v>5.7667719035968186E-2</v>
      </c>
      <c r="CI47" s="105">
        <v>5.0692022621835947E-2</v>
      </c>
      <c r="CJ47" s="105">
        <v>6.5308500720738974E-2</v>
      </c>
      <c r="CK47" s="105">
        <v>5.8659297035256588E-2</v>
      </c>
      <c r="CL47" s="105">
        <v>5.157326484122042E-2</v>
      </c>
      <c r="CM47" s="105">
        <v>5.7298077718126852E-2</v>
      </c>
      <c r="CN47" s="105">
        <v>4.771796477010061E-2</v>
      </c>
      <c r="CO47" s="105">
        <v>5.3531563991592493E-2</v>
      </c>
      <c r="CP47" s="105">
        <v>5.2178218137478749E-2</v>
      </c>
      <c r="CQ47" s="105">
        <v>4.9832370923387583E-2</v>
      </c>
      <c r="CR47" s="105">
        <v>5.8663064198229364E-2</v>
      </c>
      <c r="CS47" s="105">
        <v>5.2607709425687162E-2</v>
      </c>
      <c r="CT47" s="105">
        <v>5.1565436763244134E-2</v>
      </c>
      <c r="CU47" s="105">
        <v>5.8771842977896623E-2</v>
      </c>
      <c r="CV47" s="105">
        <v>5.2975836959011598E-2</v>
      </c>
      <c r="CW47" s="105">
        <v>4.908821138428205E-2</v>
      </c>
      <c r="CX47" s="105">
        <v>5.5824311356801076E-2</v>
      </c>
    </row>
    <row r="48" spans="1:102" s="95" customFormat="1">
      <c r="A48" s="106"/>
      <c r="B48" s="56" t="s">
        <v>114</v>
      </c>
      <c r="C48" s="105">
        <v>0.58490089950007174</v>
      </c>
      <c r="D48" s="105">
        <v>0.57411164716720919</v>
      </c>
      <c r="E48" s="105">
        <v>0.58476085204398764</v>
      </c>
      <c r="F48" s="105">
        <v>0.60677019518453401</v>
      </c>
      <c r="G48" s="105">
        <v>0.58029067662523237</v>
      </c>
      <c r="H48" s="105">
        <v>0.58908226074430858</v>
      </c>
      <c r="I48" s="105">
        <v>0.57607754749278217</v>
      </c>
      <c r="J48" s="105">
        <v>0.57966439895061272</v>
      </c>
      <c r="K48" s="105">
        <v>0.60518785458687474</v>
      </c>
      <c r="L48" s="105">
        <v>0.60562151405411391</v>
      </c>
      <c r="M48" s="105">
        <v>0.58102580628204348</v>
      </c>
      <c r="N48" s="105">
        <v>0.61034114233116588</v>
      </c>
      <c r="O48" s="105">
        <v>0.58751740936151409</v>
      </c>
      <c r="P48" s="105">
        <v>0.59382919710911097</v>
      </c>
      <c r="Q48" s="105">
        <v>0.60429356134287227</v>
      </c>
      <c r="R48" s="105">
        <v>0.59248553045410113</v>
      </c>
      <c r="S48" s="105">
        <v>0.59863172107570228</v>
      </c>
      <c r="T48" s="105">
        <v>0.57077416357308186</v>
      </c>
      <c r="U48" s="105">
        <v>0.56943837027632349</v>
      </c>
      <c r="V48" s="105">
        <v>0.61309158524897833</v>
      </c>
      <c r="W48" s="105">
        <v>0.5871394206242373</v>
      </c>
      <c r="X48" s="105">
        <v>0.55675805352886176</v>
      </c>
      <c r="Y48" s="105">
        <v>0.62023223418256312</v>
      </c>
      <c r="Z48" s="105">
        <v>0.59784765456359734</v>
      </c>
      <c r="AA48" s="105">
        <v>0.58098504580707289</v>
      </c>
      <c r="AB48" s="105">
        <v>0.59492405081458444</v>
      </c>
      <c r="AC48" s="105">
        <v>0.61751448640061868</v>
      </c>
      <c r="AD48" s="105">
        <v>0.57703875428406604</v>
      </c>
      <c r="AE48" s="105">
        <v>0.58220554882524489</v>
      </c>
      <c r="AF48" s="105">
        <v>0.60810695009888271</v>
      </c>
      <c r="AG48" s="105">
        <v>0.61056665051720294</v>
      </c>
      <c r="AH48" s="105">
        <v>0.59202788001181628</v>
      </c>
      <c r="AI48" s="105">
        <v>0.59312821888927236</v>
      </c>
      <c r="AJ48" s="105">
        <v>0.60069544330654334</v>
      </c>
      <c r="AK48" s="105">
        <v>0.58005449201451986</v>
      </c>
      <c r="AL48" s="105">
        <v>0.59553643818282165</v>
      </c>
      <c r="AM48" s="105">
        <v>0.5930012794750541</v>
      </c>
      <c r="AN48" s="105">
        <v>0.6079060646723351</v>
      </c>
      <c r="AO48" s="105">
        <v>0.5868872966248504</v>
      </c>
      <c r="AP48" s="105">
        <v>0.59640635843541312</v>
      </c>
      <c r="AQ48" s="105">
        <v>0.61538426636592336</v>
      </c>
      <c r="AR48" s="105">
        <v>0.57302441537444637</v>
      </c>
      <c r="AS48" s="105">
        <v>0.57164163423782166</v>
      </c>
      <c r="AT48" s="105">
        <v>0.57525791782681535</v>
      </c>
      <c r="AU48" s="105">
        <v>0.57467149244366655</v>
      </c>
      <c r="AV48" s="105">
        <v>0.59157607661248079</v>
      </c>
      <c r="AW48" s="105">
        <v>0.60267918397216613</v>
      </c>
      <c r="AX48" s="105">
        <v>0.60149178727435848</v>
      </c>
      <c r="AY48" s="105">
        <v>0.56814323243075038</v>
      </c>
      <c r="AZ48" s="105">
        <v>0.57782296131011313</v>
      </c>
      <c r="BA48" s="105">
        <v>0.61880223378940769</v>
      </c>
      <c r="BB48" s="105">
        <v>0.60198398702786893</v>
      </c>
      <c r="BC48" s="105">
        <v>0.60480740553263934</v>
      </c>
      <c r="BD48" s="105">
        <v>0.58920957178521938</v>
      </c>
      <c r="BE48" s="105">
        <v>0.59208939790515192</v>
      </c>
      <c r="BF48" s="105">
        <v>0.59945845974689815</v>
      </c>
      <c r="BG48" s="105">
        <v>0.59364883557125703</v>
      </c>
      <c r="BH48" s="105">
        <v>0.58502356296540514</v>
      </c>
      <c r="BI48" s="105">
        <v>0.59533265995929152</v>
      </c>
      <c r="BJ48" s="105">
        <v>0.57977194307996394</v>
      </c>
      <c r="BK48" s="105">
        <v>0.57262104544744785</v>
      </c>
      <c r="BL48" s="105">
        <v>0.56995974462585641</v>
      </c>
      <c r="BM48" s="105">
        <v>0.59918875769045754</v>
      </c>
      <c r="BN48" s="105">
        <v>0.59951436936748104</v>
      </c>
      <c r="BO48" s="105">
        <v>0.56585176128061432</v>
      </c>
      <c r="BP48" s="105">
        <v>0.57963167424581774</v>
      </c>
      <c r="BQ48" s="105">
        <v>0.57509684423555907</v>
      </c>
      <c r="BR48" s="105">
        <v>0.59421107347539248</v>
      </c>
      <c r="BS48" s="105">
        <v>0.61127601024924971</v>
      </c>
      <c r="BT48" s="105">
        <v>0.61479144613384262</v>
      </c>
      <c r="BU48" s="105">
        <v>0.60441157449142524</v>
      </c>
      <c r="BV48" s="105">
        <v>0.58945672042577324</v>
      </c>
      <c r="BW48" s="105">
        <v>0.60632061269177517</v>
      </c>
      <c r="BX48" s="105">
        <v>0.60078112570120135</v>
      </c>
      <c r="BY48" s="105">
        <v>0.59983425844424687</v>
      </c>
      <c r="BZ48" s="105">
        <v>0.60845636158167549</v>
      </c>
      <c r="CA48" s="105">
        <v>0.60171721134592593</v>
      </c>
      <c r="CB48" s="105">
        <v>0.59464331954920691</v>
      </c>
      <c r="CC48" s="105">
        <v>0.62200924058284446</v>
      </c>
      <c r="CD48" s="105">
        <v>0.60012375834570553</v>
      </c>
      <c r="CE48" s="105">
        <v>0.59545229922383824</v>
      </c>
      <c r="CF48" s="105">
        <v>0.59662570467095044</v>
      </c>
      <c r="CG48" s="105">
        <v>0.55260520777499511</v>
      </c>
      <c r="CH48" s="105">
        <v>0.59363330802877479</v>
      </c>
      <c r="CI48" s="105">
        <v>0.5940440790750503</v>
      </c>
      <c r="CJ48" s="105">
        <v>0.58232440483612413</v>
      </c>
      <c r="CK48" s="105">
        <v>0.58903719219717587</v>
      </c>
      <c r="CL48" s="105">
        <v>0.59466501603925137</v>
      </c>
      <c r="CM48" s="105">
        <v>0.58030364007553836</v>
      </c>
      <c r="CN48" s="105">
        <v>0.61484710830470113</v>
      </c>
      <c r="CO48" s="105">
        <v>0.5887294073387952</v>
      </c>
      <c r="CP48" s="105">
        <v>0.61050274044959485</v>
      </c>
      <c r="CQ48" s="105">
        <v>0.57871494004276369</v>
      </c>
      <c r="CR48" s="105">
        <v>0.57238932182248736</v>
      </c>
      <c r="CS48" s="105">
        <v>0.59740228497865155</v>
      </c>
      <c r="CT48" s="105">
        <v>0.61380234659672051</v>
      </c>
      <c r="CU48" s="105">
        <v>0.56701414089533175</v>
      </c>
      <c r="CV48" s="105">
        <v>0.58805810009782367</v>
      </c>
      <c r="CW48" s="105">
        <v>0.59458833563227487</v>
      </c>
      <c r="CX48" s="105">
        <v>0.59786392973838431</v>
      </c>
    </row>
    <row r="49" spans="1:102" s="111" customFormat="1">
      <c r="A49" s="88" t="str">
        <f>Parameters!A42</f>
        <v>Inflatie is een fiscaal verschijnsel</v>
      </c>
      <c r="B49" s="102" t="s">
        <v>29</v>
      </c>
      <c r="C49" s="103">
        <v>6.2122032239771807E-2</v>
      </c>
      <c r="D49" s="103">
        <v>6.2049971542245709E-2</v>
      </c>
      <c r="E49" s="103">
        <v>6.2042015510052707E-2</v>
      </c>
      <c r="F49" s="103">
        <v>6.1843420008866223E-2</v>
      </c>
      <c r="G49" s="103">
        <v>6.1724876098973654E-2</v>
      </c>
      <c r="H49" s="103">
        <v>6.167860300612827E-2</v>
      </c>
      <c r="I49" s="103">
        <v>6.1649426476727928E-2</v>
      </c>
      <c r="J49" s="103">
        <v>6.1643883857575577E-2</v>
      </c>
      <c r="K49" s="103">
        <v>6.1627933907908314E-2</v>
      </c>
      <c r="L49" s="103">
        <v>6.1627560383377217E-2</v>
      </c>
      <c r="M49" s="103">
        <v>6.1618920501233555E-2</v>
      </c>
      <c r="N49" s="103">
        <v>6.1209371778537032E-2</v>
      </c>
      <c r="O49" s="103">
        <v>6.1197577737087124E-2</v>
      </c>
      <c r="P49" s="103">
        <v>6.1175762589900491E-2</v>
      </c>
      <c r="Q49" s="103">
        <v>6.1136811682616206E-2</v>
      </c>
      <c r="R49" s="103">
        <v>6.1132216415024906E-2</v>
      </c>
      <c r="S49" s="103">
        <v>6.107260627082145E-2</v>
      </c>
      <c r="T49" s="103">
        <v>6.1064264694986423E-2</v>
      </c>
      <c r="U49" s="103">
        <v>6.1045924921110412E-2</v>
      </c>
      <c r="V49" s="103">
        <v>6.1022435722717538E-2</v>
      </c>
      <c r="W49" s="103">
        <v>6.1001006277980219E-2</v>
      </c>
      <c r="X49" s="103">
        <v>6.0977621997278686E-2</v>
      </c>
      <c r="Y49" s="103">
        <v>6.0964980130244713E-2</v>
      </c>
      <c r="Z49" s="103">
        <v>6.0903216983837986E-2</v>
      </c>
      <c r="AA49" s="103">
        <v>6.0866999392087853E-2</v>
      </c>
      <c r="AB49" s="103">
        <v>6.0861634680829051E-2</v>
      </c>
      <c r="AC49" s="103">
        <v>6.0858888756399068E-2</v>
      </c>
      <c r="AD49" s="103">
        <v>6.0844508551717885E-2</v>
      </c>
      <c r="AE49" s="103">
        <v>6.0820262111095556E-2</v>
      </c>
      <c r="AF49" s="103">
        <v>6.0803688292549146E-2</v>
      </c>
      <c r="AG49" s="103">
        <v>6.0793055884854279E-2</v>
      </c>
      <c r="AH49" s="103">
        <v>6.0713300973640326E-2</v>
      </c>
      <c r="AI49" s="103">
        <v>6.0702767908326433E-2</v>
      </c>
      <c r="AJ49" s="103">
        <v>6.0701102361245561E-2</v>
      </c>
      <c r="AK49" s="103">
        <v>6.0693406277227413E-2</v>
      </c>
      <c r="AL49" s="103">
        <v>6.068942784426383E-2</v>
      </c>
      <c r="AM49" s="103">
        <v>6.0679017339337768E-2</v>
      </c>
      <c r="AN49" s="103">
        <v>6.0669292697703138E-2</v>
      </c>
      <c r="AO49" s="103">
        <v>6.0661069304218149E-2</v>
      </c>
      <c r="AP49" s="103">
        <v>6.0652261139880162E-2</v>
      </c>
      <c r="AQ49" s="103">
        <v>6.0644251893865131E-2</v>
      </c>
      <c r="AR49" s="103">
        <v>6.0639645383126925E-2</v>
      </c>
      <c r="AS49" s="103">
        <v>6.0604252374337891E-2</v>
      </c>
      <c r="AT49" s="103">
        <v>6.0572475953290093E-2</v>
      </c>
      <c r="AU49" s="103">
        <v>6.055692673635301E-2</v>
      </c>
      <c r="AV49" s="103">
        <v>6.0550563036186771E-2</v>
      </c>
      <c r="AW49" s="103">
        <v>6.0535394727637644E-2</v>
      </c>
      <c r="AX49" s="103">
        <v>6.053515904608954E-2</v>
      </c>
      <c r="AY49" s="103">
        <v>6.0533615837364982E-2</v>
      </c>
      <c r="AZ49" s="103">
        <v>6.0524948079793341E-2</v>
      </c>
      <c r="BA49" s="103">
        <v>6.0522361612139974E-2</v>
      </c>
      <c r="BB49" s="103">
        <v>6.0515931861948855E-2</v>
      </c>
      <c r="BC49" s="103">
        <v>6.049896182573869E-2</v>
      </c>
      <c r="BD49" s="103">
        <v>6.0487930742723905E-2</v>
      </c>
      <c r="BE49" s="103">
        <v>6.0465256394580315E-2</v>
      </c>
      <c r="BF49" s="103">
        <v>6.0456612771141255E-2</v>
      </c>
      <c r="BG49" s="103">
        <v>6.043671585360022E-2</v>
      </c>
      <c r="BH49" s="103">
        <v>6.0434855222357559E-2</v>
      </c>
      <c r="BI49" s="103">
        <v>6.0426782234133669E-2</v>
      </c>
      <c r="BJ49" s="103">
        <v>6.0418585927871533E-2</v>
      </c>
      <c r="BK49" s="103">
        <v>6.0408760932141724E-2</v>
      </c>
      <c r="BL49" s="103">
        <v>6.0384730689185699E-2</v>
      </c>
      <c r="BM49" s="103">
        <v>6.0377768595725481E-2</v>
      </c>
      <c r="BN49" s="103">
        <v>6.0375317338840426E-2</v>
      </c>
      <c r="BO49" s="103">
        <v>6.035889309925159E-2</v>
      </c>
      <c r="BP49" s="103">
        <v>6.0350296357057825E-2</v>
      </c>
      <c r="BQ49" s="103">
        <v>6.0341489180832132E-2</v>
      </c>
      <c r="BR49" s="103">
        <v>6.032618372256409E-2</v>
      </c>
      <c r="BS49" s="103">
        <v>6.0314364274616276E-2</v>
      </c>
      <c r="BT49" s="103">
        <v>6.0301504968174414E-2</v>
      </c>
      <c r="BU49" s="103">
        <v>6.0286671976653154E-2</v>
      </c>
      <c r="BV49" s="103">
        <v>6.0278450513352261E-2</v>
      </c>
      <c r="BW49" s="103">
        <v>6.0250875982642248E-2</v>
      </c>
      <c r="BX49" s="103">
        <v>6.0225347370003852E-2</v>
      </c>
      <c r="BY49" s="103">
        <v>6.0221081330062119E-2</v>
      </c>
      <c r="BZ49" s="103">
        <v>6.0208420733391894E-2</v>
      </c>
      <c r="CA49" s="103">
        <v>6.0199397972499125E-2</v>
      </c>
      <c r="CB49" s="103">
        <v>6.0193837376773272E-2</v>
      </c>
      <c r="CC49" s="103">
        <v>6.0167348611683762E-2</v>
      </c>
      <c r="CD49" s="103">
        <v>6.0160329207335182E-2</v>
      </c>
      <c r="CE49" s="103">
        <v>6.0157237531714397E-2</v>
      </c>
      <c r="CF49" s="103">
        <v>6.0114604252160767E-2</v>
      </c>
      <c r="CG49" s="103">
        <v>6.0104741298384882E-2</v>
      </c>
      <c r="CH49" s="103">
        <v>6.009817353037375E-2</v>
      </c>
      <c r="CI49" s="103">
        <v>6.0097258453757657E-2</v>
      </c>
      <c r="CJ49" s="103">
        <v>6.0092023604657076E-2</v>
      </c>
      <c r="CK49" s="103">
        <v>6.0088360537642084E-2</v>
      </c>
      <c r="CL49" s="103">
        <v>6.0069699993098268E-2</v>
      </c>
      <c r="CM49" s="103">
        <v>6.0064798216434179E-2</v>
      </c>
      <c r="CN49" s="103">
        <v>6.0063563032113479E-2</v>
      </c>
      <c r="CO49" s="103">
        <v>6.0063264054857145E-2</v>
      </c>
      <c r="CP49" s="103">
        <v>6.0051073465887235E-2</v>
      </c>
      <c r="CQ49" s="103">
        <v>6.0037258844343473E-2</v>
      </c>
      <c r="CR49" s="103">
        <v>6.0032961503950835E-2</v>
      </c>
      <c r="CS49" s="103">
        <v>6.0027059643626091E-2</v>
      </c>
      <c r="CT49" s="103">
        <v>6.0022981350248292E-2</v>
      </c>
      <c r="CU49" s="103">
        <v>6.002264102594284E-2</v>
      </c>
      <c r="CV49" s="103">
        <v>6.0012068226074765E-2</v>
      </c>
      <c r="CW49" s="103">
        <v>6.0009237730690508E-2</v>
      </c>
      <c r="CX49" s="103">
        <v>6.0002412258999292E-2</v>
      </c>
    </row>
    <row r="50" spans="1:102" s="95" customFormat="1">
      <c r="A50" s="23"/>
      <c r="B50" s="14" t="s">
        <v>30</v>
      </c>
      <c r="C50" s="105">
        <v>5.9646517250307354E-2</v>
      </c>
      <c r="D50" s="105">
        <v>5.9865171413591621E-2</v>
      </c>
      <c r="E50" s="105">
        <v>5.9597132633073174E-2</v>
      </c>
      <c r="F50" s="105">
        <v>5.9584126144459182E-2</v>
      </c>
      <c r="G50" s="105">
        <v>5.9910344991576402E-2</v>
      </c>
      <c r="H50" s="105">
        <v>5.9340207745889544E-2</v>
      </c>
      <c r="I50" s="105">
        <v>5.9914397418484727E-2</v>
      </c>
      <c r="J50" s="105">
        <v>5.9568628007187208E-2</v>
      </c>
      <c r="K50" s="105">
        <v>5.9740823149462351E-2</v>
      </c>
      <c r="L50" s="105">
        <v>5.9622513107824154E-2</v>
      </c>
      <c r="M50" s="105">
        <v>5.98909251761785E-2</v>
      </c>
      <c r="N50" s="105">
        <v>5.9742497793938636E-2</v>
      </c>
      <c r="O50" s="105">
        <v>5.9145430882087277E-2</v>
      </c>
      <c r="P50" s="105">
        <v>5.9917067470544594E-2</v>
      </c>
      <c r="Q50" s="105">
        <v>5.9454142962272499E-2</v>
      </c>
      <c r="R50" s="105">
        <v>5.845784089595818E-2</v>
      </c>
      <c r="S50" s="105">
        <v>5.9959891748863528E-2</v>
      </c>
      <c r="T50" s="105">
        <v>5.9929631945582131E-2</v>
      </c>
      <c r="U50" s="105">
        <v>5.9587712695462848E-2</v>
      </c>
      <c r="V50" s="105">
        <v>5.9718401278105189E-2</v>
      </c>
      <c r="W50" s="105">
        <v>5.9946683109431895E-2</v>
      </c>
      <c r="X50" s="105">
        <v>5.9956310587368375E-2</v>
      </c>
      <c r="Y50" s="105">
        <v>5.9381992290584835E-2</v>
      </c>
      <c r="Z50" s="105">
        <v>5.9375277689306519E-2</v>
      </c>
      <c r="AA50" s="105">
        <v>5.9963642640569761E-2</v>
      </c>
      <c r="AB50" s="105">
        <v>5.9531479300409799E-2</v>
      </c>
      <c r="AC50" s="105">
        <v>5.9457417282845475E-2</v>
      </c>
      <c r="AD50" s="105">
        <v>5.9001760107595003E-2</v>
      </c>
      <c r="AE50" s="105">
        <v>5.8744763561200536E-2</v>
      </c>
      <c r="AF50" s="105">
        <v>5.9392508265670704E-2</v>
      </c>
      <c r="AG50" s="105">
        <v>5.9498031089621158E-2</v>
      </c>
      <c r="AH50" s="105">
        <v>5.9843550118046956E-2</v>
      </c>
      <c r="AI50" s="105">
        <v>5.9508086553789287E-2</v>
      </c>
      <c r="AJ50" s="105">
        <v>5.9455352661540652E-2</v>
      </c>
      <c r="AK50" s="105">
        <v>5.9706349883260734E-2</v>
      </c>
      <c r="AL50" s="105">
        <v>5.9391548130367948E-2</v>
      </c>
      <c r="AM50" s="105">
        <v>5.9227024606135846E-2</v>
      </c>
      <c r="AN50" s="105">
        <v>5.8451527984998843E-2</v>
      </c>
      <c r="AO50" s="105">
        <v>5.7830579175086091E-2</v>
      </c>
      <c r="AP50" s="105">
        <v>5.9922559195247131E-2</v>
      </c>
      <c r="AQ50" s="105">
        <v>5.9682197804480176E-2</v>
      </c>
      <c r="AR50" s="105">
        <v>5.8504436548785996E-2</v>
      </c>
      <c r="AS50" s="105">
        <v>5.8676566100691781E-2</v>
      </c>
      <c r="AT50" s="105">
        <v>5.9966791790286127E-2</v>
      </c>
      <c r="AU50" s="105">
        <v>5.9675239675245628E-2</v>
      </c>
      <c r="AV50" s="105">
        <v>5.976549767293738E-2</v>
      </c>
      <c r="AW50" s="105">
        <v>5.9848846867536228E-2</v>
      </c>
      <c r="AX50" s="105">
        <v>5.9692513927196017E-2</v>
      </c>
      <c r="AY50" s="105">
        <v>5.9939297802044059E-2</v>
      </c>
      <c r="AZ50" s="105">
        <v>5.984950671784512E-2</v>
      </c>
      <c r="BA50" s="105">
        <v>5.9846671772990731E-2</v>
      </c>
      <c r="BB50" s="105">
        <v>5.8579509600778457E-2</v>
      </c>
      <c r="BC50" s="105">
        <v>5.9252626749940578E-2</v>
      </c>
      <c r="BD50" s="105">
        <v>5.9249238664020647E-2</v>
      </c>
      <c r="BE50" s="105">
        <v>5.903008246194235E-2</v>
      </c>
      <c r="BF50" s="105">
        <v>5.8958529560438538E-2</v>
      </c>
      <c r="BG50" s="105">
        <v>5.9638378034399968E-2</v>
      </c>
      <c r="BH50" s="105">
        <v>5.9881067902740788E-2</v>
      </c>
      <c r="BI50" s="105">
        <v>5.9495126873010784E-2</v>
      </c>
      <c r="BJ50" s="105">
        <v>5.9671038426381759E-2</v>
      </c>
      <c r="BK50" s="105">
        <v>5.9659485988045158E-2</v>
      </c>
      <c r="BL50" s="105">
        <v>5.9984775153465369E-2</v>
      </c>
      <c r="BM50" s="105">
        <v>5.8677155607794511E-2</v>
      </c>
      <c r="BN50" s="105">
        <v>5.8961716779148021E-2</v>
      </c>
      <c r="BO50" s="105">
        <v>5.9426691560657899E-2</v>
      </c>
      <c r="BP50" s="105">
        <v>5.9679476112619111E-2</v>
      </c>
      <c r="BQ50" s="105">
        <v>5.886848838215792E-2</v>
      </c>
      <c r="BR50" s="105">
        <v>5.8237168870886584E-2</v>
      </c>
      <c r="BS50" s="105">
        <v>5.8890987476676981E-2</v>
      </c>
      <c r="BT50" s="105">
        <v>5.8720992695172752E-2</v>
      </c>
      <c r="BU50" s="105">
        <v>5.8881647112933609E-2</v>
      </c>
      <c r="BV50" s="105">
        <v>5.9729652734424425E-2</v>
      </c>
      <c r="BW50" s="105">
        <v>5.9750826122369961E-2</v>
      </c>
      <c r="BX50" s="105">
        <v>5.9128639274321083E-2</v>
      </c>
      <c r="BY50" s="105">
        <v>5.8714527684650186E-2</v>
      </c>
      <c r="BZ50" s="105">
        <v>5.9517833916211398E-2</v>
      </c>
      <c r="CA50" s="105">
        <v>5.9700304508928069E-2</v>
      </c>
      <c r="CB50" s="105">
        <v>5.990643762150534E-2</v>
      </c>
      <c r="CC50" s="105">
        <v>5.8940011568280506E-2</v>
      </c>
      <c r="CD50" s="105">
        <v>5.9319097391452601E-2</v>
      </c>
      <c r="CE50" s="105">
        <v>5.8819656841335673E-2</v>
      </c>
      <c r="CF50" s="105">
        <v>5.8786981548641218E-2</v>
      </c>
      <c r="CG50" s="105">
        <v>5.9500481733752601E-2</v>
      </c>
      <c r="CH50" s="105">
        <v>5.9784917293966726E-2</v>
      </c>
      <c r="CI50" s="105">
        <v>5.9652399305956942E-2</v>
      </c>
      <c r="CJ50" s="105">
        <v>5.9587287733368646E-2</v>
      </c>
      <c r="CK50" s="105">
        <v>5.8696800026444805E-2</v>
      </c>
      <c r="CL50" s="105">
        <v>5.9550318051476127E-2</v>
      </c>
      <c r="CM50" s="105">
        <v>5.933067234746902E-2</v>
      </c>
      <c r="CN50" s="105">
        <v>5.9754740090127344E-2</v>
      </c>
      <c r="CO50" s="105">
        <v>5.878423069737395E-2</v>
      </c>
      <c r="CP50" s="105">
        <v>5.9652019168907097E-2</v>
      </c>
      <c r="CQ50" s="105">
        <v>5.9963235426071237E-2</v>
      </c>
      <c r="CR50" s="105">
        <v>5.9264450379795386E-2</v>
      </c>
      <c r="CS50" s="105">
        <v>5.9816083036415786E-2</v>
      </c>
      <c r="CT50" s="105">
        <v>5.926037639864027E-2</v>
      </c>
      <c r="CU50" s="105">
        <v>5.9917234181244478E-2</v>
      </c>
      <c r="CV50" s="105">
        <v>5.9617080842293266E-2</v>
      </c>
      <c r="CW50" s="105">
        <v>5.9227947586578109E-2</v>
      </c>
      <c r="CX50" s="105">
        <v>5.8538908785085081E-2</v>
      </c>
    </row>
    <row r="51" spans="1:102" s="95" customFormat="1">
      <c r="A51" s="23"/>
      <c r="B51" s="56" t="s">
        <v>56</v>
      </c>
      <c r="C51" s="105">
        <v>6.4423282469403279E-2</v>
      </c>
      <c r="D51" s="105">
        <v>7.2871311881613374E-2</v>
      </c>
      <c r="E51" s="105">
        <v>7.3455377754298681E-2</v>
      </c>
      <c r="F51" s="105">
        <v>5.9848969719539874E-2</v>
      </c>
      <c r="G51" s="105">
        <v>6.9683362310442601E-2</v>
      </c>
      <c r="H51" s="105">
        <v>6.9944894605849878E-2</v>
      </c>
      <c r="I51" s="105">
        <v>6.8749947663851022E-2</v>
      </c>
      <c r="J51" s="105">
        <v>6.5982987806081625E-2</v>
      </c>
      <c r="K51" s="105">
        <v>5.8862880208174886E-2</v>
      </c>
      <c r="L51" s="105">
        <v>6.1681083756493685E-2</v>
      </c>
      <c r="M51" s="105">
        <v>7.1665450891982341E-2</v>
      </c>
      <c r="N51" s="105">
        <v>6.0525775427493551E-2</v>
      </c>
      <c r="O51" s="105">
        <v>6.1235389214979313E-2</v>
      </c>
      <c r="P51" s="105">
        <v>6.5344188273067275E-2</v>
      </c>
      <c r="Q51" s="105">
        <v>6.2573192007061851E-2</v>
      </c>
      <c r="R51" s="105">
        <v>6.5436767922448694E-2</v>
      </c>
      <c r="S51" s="105">
        <v>5.822247832791181E-2</v>
      </c>
      <c r="T51" s="105">
        <v>6.8091750810277518E-2</v>
      </c>
      <c r="U51" s="105">
        <v>7.1017806995059496E-2</v>
      </c>
      <c r="V51" s="105">
        <v>5.7725068244004585E-2</v>
      </c>
      <c r="W51" s="105">
        <v>6.2683998790473275E-2</v>
      </c>
      <c r="X51" s="105">
        <v>7.2418661966368564E-2</v>
      </c>
      <c r="Y51" s="105">
        <v>5.8379059420819321E-2</v>
      </c>
      <c r="Z51" s="105">
        <v>7.3128109996803997E-2</v>
      </c>
      <c r="AA51" s="105">
        <v>6.5531005582021185E-2</v>
      </c>
      <c r="AB51" s="105">
        <v>6.1974369919673235E-2</v>
      </c>
      <c r="AC51" s="105">
        <v>6.0061313087468524E-2</v>
      </c>
      <c r="AD51" s="105">
        <v>6.8879940657393626E-2</v>
      </c>
      <c r="AE51" s="105">
        <v>6.6439345251031873E-2</v>
      </c>
      <c r="AF51" s="105">
        <v>6.0976780235363542E-2</v>
      </c>
      <c r="AG51" s="105">
        <v>6.6767189202862856E-2</v>
      </c>
      <c r="AH51" s="105">
        <v>6.3758554536010842E-2</v>
      </c>
      <c r="AI51" s="105">
        <v>5.999075165952953E-2</v>
      </c>
      <c r="AJ51" s="105">
        <v>6.3541076153325424E-2</v>
      </c>
      <c r="AK51" s="105">
        <v>6.5757529584589802E-2</v>
      </c>
      <c r="AL51" s="105">
        <v>5.9118321739231705E-2</v>
      </c>
      <c r="AM51" s="105">
        <v>6.3638925571586388E-2</v>
      </c>
      <c r="AN51" s="105">
        <v>6.720285403946101E-2</v>
      </c>
      <c r="AO51" s="105">
        <v>6.7366512646421281E-2</v>
      </c>
      <c r="AP51" s="105">
        <v>5.9597240607602214E-2</v>
      </c>
      <c r="AQ51" s="105">
        <v>5.8443230756240076E-2</v>
      </c>
      <c r="AR51" s="105">
        <v>6.6746326520216684E-2</v>
      </c>
      <c r="AS51" s="105">
        <v>6.6254407642659538E-2</v>
      </c>
      <c r="AT51" s="105">
        <v>6.5501140259214427E-2</v>
      </c>
      <c r="AU51" s="105">
        <v>6.5939705228808529E-2</v>
      </c>
      <c r="AV51" s="105">
        <v>6.3923984901120376E-2</v>
      </c>
      <c r="AW51" s="105">
        <v>6.734797446798485E-2</v>
      </c>
      <c r="AX51" s="105">
        <v>5.8575404663753695E-2</v>
      </c>
      <c r="AY51" s="105">
        <v>6.6650194069785604E-2</v>
      </c>
      <c r="AZ51" s="105">
        <v>6.4137245330941797E-2</v>
      </c>
      <c r="BA51" s="105">
        <v>5.6181875981895217E-2</v>
      </c>
      <c r="BB51" s="105">
        <v>6.2984795615335126E-2</v>
      </c>
      <c r="BC51" s="105">
        <v>5.8663349411145482E-2</v>
      </c>
      <c r="BD51" s="105">
        <v>6.5936963758488024E-2</v>
      </c>
      <c r="BE51" s="105">
        <v>6.3707517297784136E-2</v>
      </c>
      <c r="BF51" s="105">
        <v>6.0298212964733602E-2</v>
      </c>
      <c r="BG51" s="105">
        <v>5.9358029190440052E-2</v>
      </c>
      <c r="BH51" s="105">
        <v>6.1853140029094013E-2</v>
      </c>
      <c r="BI51" s="105">
        <v>6.4425287103729786E-2</v>
      </c>
      <c r="BJ51" s="105">
        <v>6.7162138958584153E-2</v>
      </c>
      <c r="BK51" s="105">
        <v>6.46172857299563E-2</v>
      </c>
      <c r="BL51" s="105">
        <v>6.5255515985021079E-2</v>
      </c>
      <c r="BM51" s="105">
        <v>6.0411257942714409E-2</v>
      </c>
      <c r="BN51" s="105">
        <v>6.0413838415768063E-2</v>
      </c>
      <c r="BO51" s="105">
        <v>7.0696866331806107E-2</v>
      </c>
      <c r="BP51" s="105">
        <v>6.5294551596869629E-2</v>
      </c>
      <c r="BQ51" s="105">
        <v>6.9354848646221559E-2</v>
      </c>
      <c r="BR51" s="105">
        <v>6.4563440555919588E-2</v>
      </c>
      <c r="BS51" s="105">
        <v>6.3664638925558931E-2</v>
      </c>
      <c r="BT51" s="105">
        <v>5.7954003493788944E-2</v>
      </c>
      <c r="BU51" s="105">
        <v>6.5644076004190005E-2</v>
      </c>
      <c r="BV51" s="105">
        <v>6.450333592881273E-2</v>
      </c>
      <c r="BW51" s="105">
        <v>6.2572200801593814E-2</v>
      </c>
      <c r="BX51" s="105">
        <v>6.4031118016475319E-2</v>
      </c>
      <c r="BY51" s="105">
        <v>6.5152780210050401E-2</v>
      </c>
      <c r="BZ51" s="105">
        <v>6.9143749875649682E-2</v>
      </c>
      <c r="CA51" s="105">
        <v>6.4738530488677781E-2</v>
      </c>
      <c r="CB51" s="105">
        <v>5.7016453762686076E-2</v>
      </c>
      <c r="CC51" s="105">
        <v>6.1453978421215444E-2</v>
      </c>
      <c r="CD51" s="105">
        <v>5.9739312928937215E-2</v>
      </c>
      <c r="CE51" s="105">
        <v>6.2118520554716158E-2</v>
      </c>
      <c r="CF51" s="105">
        <v>6.0310062186608539E-2</v>
      </c>
      <c r="CG51" s="105">
        <v>7.3809885281098719E-2</v>
      </c>
      <c r="CH51" s="105">
        <v>7.1393136678449085E-2</v>
      </c>
      <c r="CI51" s="105">
        <v>6.6036355631857613E-2</v>
      </c>
      <c r="CJ51" s="105">
        <v>6.7623522542736986E-2</v>
      </c>
      <c r="CK51" s="105">
        <v>6.3125409261676119E-2</v>
      </c>
      <c r="CL51" s="105">
        <v>6.510231014001687E-2</v>
      </c>
      <c r="CM51" s="105">
        <v>6.4823472424189385E-2</v>
      </c>
      <c r="CN51" s="105">
        <v>5.9678311017206838E-2</v>
      </c>
      <c r="CO51" s="105">
        <v>6.4736866190243561E-2</v>
      </c>
      <c r="CP51" s="105">
        <v>6.0079360427268684E-2</v>
      </c>
      <c r="CQ51" s="105">
        <v>6.0181168445625502E-2</v>
      </c>
      <c r="CR51" s="105">
        <v>6.3543955731234544E-2</v>
      </c>
      <c r="CS51" s="105">
        <v>5.9014955286136969E-2</v>
      </c>
      <c r="CT51" s="105">
        <v>6.4026710300702297E-2</v>
      </c>
      <c r="CU51" s="105">
        <v>7.3659817528132346E-2</v>
      </c>
      <c r="CV51" s="105">
        <v>6.492942819110907E-2</v>
      </c>
      <c r="CW51" s="105">
        <v>6.089047623064231E-2</v>
      </c>
      <c r="CX51" s="105">
        <v>6.1529414587887722E-2</v>
      </c>
    </row>
    <row r="52" spans="1:102" s="96" customFormat="1">
      <c r="A52" s="106"/>
      <c r="B52" s="56" t="s">
        <v>114</v>
      </c>
      <c r="C52" s="105">
        <v>0.19110032441175187</v>
      </c>
      <c r="D52" s="105">
        <v>0.19229961715361529</v>
      </c>
      <c r="E52" s="105">
        <v>0.19126881099797646</v>
      </c>
      <c r="F52" s="105">
        <v>0.19212621776744088</v>
      </c>
      <c r="G52" s="105">
        <v>0.19396666013218217</v>
      </c>
      <c r="H52" s="105">
        <v>0.19190798531858744</v>
      </c>
      <c r="I52" s="105">
        <v>0.19432899091657424</v>
      </c>
      <c r="J52" s="105">
        <v>0.19298073939611041</v>
      </c>
      <c r="K52" s="105">
        <v>0.1937394089533237</v>
      </c>
      <c r="L52" s="105">
        <v>0.19327054098467489</v>
      </c>
      <c r="M52" s="105">
        <v>0.19437618102813928</v>
      </c>
      <c r="N52" s="105">
        <v>0.1956759556465994</v>
      </c>
      <c r="O52" s="105">
        <v>0.19334878259816815</v>
      </c>
      <c r="P52" s="105">
        <v>0.19652203988484254</v>
      </c>
      <c r="Q52" s="105">
        <v>0.19486555459814231</v>
      </c>
      <c r="R52" s="105">
        <v>0.19087256957773591</v>
      </c>
      <c r="S52" s="105">
        <v>0.19716824479406034</v>
      </c>
      <c r="T52" s="105">
        <v>0.1970875133167464</v>
      </c>
      <c r="U52" s="105">
        <v>0.19581865781130536</v>
      </c>
      <c r="V52" s="105">
        <v>0.19644617935967246</v>
      </c>
      <c r="W52" s="105">
        <v>0.19744779235000609</v>
      </c>
      <c r="X52" s="105">
        <v>0.1975941254502997</v>
      </c>
      <c r="Y52" s="105">
        <v>0.19537542528735619</v>
      </c>
      <c r="Z52" s="105">
        <v>0.19563587200566049</v>
      </c>
      <c r="AA52" s="105">
        <v>0.19813619539404079</v>
      </c>
      <c r="AB52" s="105">
        <v>0.1964512871099012</v>
      </c>
      <c r="AC52" s="105">
        <v>0.19616946051136208</v>
      </c>
      <c r="AD52" s="105">
        <v>0.19441375676668499</v>
      </c>
      <c r="AE52" s="105">
        <v>0.19349117155014586</v>
      </c>
      <c r="AF52" s="105">
        <v>0.19616796201533096</v>
      </c>
      <c r="AG52" s="105">
        <v>0.19663754181003726</v>
      </c>
      <c r="AH52" s="105">
        <v>0.19837736592215049</v>
      </c>
      <c r="AI52" s="105">
        <v>0.19709828744489971</v>
      </c>
      <c r="AJ52" s="105">
        <v>0.19689641113027917</v>
      </c>
      <c r="AK52" s="105">
        <v>0.19792799390452739</v>
      </c>
      <c r="AL52" s="105">
        <v>0.19669691674439771</v>
      </c>
      <c r="AM52" s="105">
        <v>0.19608909877991018</v>
      </c>
      <c r="AN52" s="105">
        <v>0.19300935581270134</v>
      </c>
      <c r="AO52" s="105">
        <v>0.19050805147865421</v>
      </c>
      <c r="AP52" s="105">
        <v>0.19897297603394021</v>
      </c>
      <c r="AQ52" s="105">
        <v>0.19806156543851414</v>
      </c>
      <c r="AR52" s="105">
        <v>0.19336319301899754</v>
      </c>
      <c r="AS52" s="105">
        <v>0.19422630574360303</v>
      </c>
      <c r="AT52" s="105">
        <v>0.19951877777520252</v>
      </c>
      <c r="AU52" s="105">
        <v>0.19844152940382959</v>
      </c>
      <c r="AV52" s="105">
        <v>0.19882793786959302</v>
      </c>
      <c r="AW52" s="105">
        <v>0.19922749539838783</v>
      </c>
      <c r="AX52" s="105">
        <v>0.1986115007370467</v>
      </c>
      <c r="AY52" s="105">
        <v>0.19959188599805225</v>
      </c>
      <c r="AZ52" s="105">
        <v>0.19927885291002354</v>
      </c>
      <c r="BA52" s="105">
        <v>0.19927975477076282</v>
      </c>
      <c r="BB52" s="105">
        <v>0.19424798128309326</v>
      </c>
      <c r="BC52" s="105">
        <v>0.19703341111405917</v>
      </c>
      <c r="BD52" s="105">
        <v>0.19707154749012284</v>
      </c>
      <c r="BE52" s="105">
        <v>0.19630119706845237</v>
      </c>
      <c r="BF52" s="105">
        <v>0.19605466189400939</v>
      </c>
      <c r="BG52" s="105">
        <v>0.19885753746572721</v>
      </c>
      <c r="BH52" s="105">
        <v>0.19982389545183432</v>
      </c>
      <c r="BI52" s="105">
        <v>0.19833641429196047</v>
      </c>
      <c r="BJ52" s="105">
        <v>0.19907152084682408</v>
      </c>
      <c r="BK52" s="105">
        <v>0.19907181964319398</v>
      </c>
      <c r="BL52" s="105">
        <v>0.20046578600211148</v>
      </c>
      <c r="BM52" s="105">
        <v>0.19529208109592752</v>
      </c>
      <c r="BN52" s="105">
        <v>0.19644908871180417</v>
      </c>
      <c r="BO52" s="105">
        <v>0.19838275181095277</v>
      </c>
      <c r="BP52" s="105">
        <v>0.19942451686112603</v>
      </c>
      <c r="BQ52" s="105">
        <v>0.19623357971443467</v>
      </c>
      <c r="BR52" s="105">
        <v>0.1937502281496031</v>
      </c>
      <c r="BS52" s="105">
        <v>0.19645155220026045</v>
      </c>
      <c r="BT52" s="105">
        <v>0.19582780239463987</v>
      </c>
      <c r="BU52" s="105">
        <v>0.19654428293239667</v>
      </c>
      <c r="BV52" s="105">
        <v>0.19995919382908675</v>
      </c>
      <c r="BW52" s="105">
        <v>0.20017194570983923</v>
      </c>
      <c r="BX52" s="105">
        <v>0.19782240959444786</v>
      </c>
      <c r="BY52" s="105">
        <v>0.19618054520589873</v>
      </c>
      <c r="BZ52" s="105">
        <v>0.19945035147459028</v>
      </c>
      <c r="CA52" s="105">
        <v>0.20021412352959017</v>
      </c>
      <c r="CB52" s="105">
        <v>0.20105171671447861</v>
      </c>
      <c r="CC52" s="105">
        <v>0.19734038870406057</v>
      </c>
      <c r="CD52" s="105">
        <v>0.1988874902689784</v>
      </c>
      <c r="CE52" s="105">
        <v>0.19690475358594872</v>
      </c>
      <c r="CF52" s="105">
        <v>0.19697444206805315</v>
      </c>
      <c r="CG52" s="105">
        <v>0.19986888021961918</v>
      </c>
      <c r="CH52" s="105">
        <v>0.20102280686121285</v>
      </c>
      <c r="CI52" s="105">
        <v>0.20050475076521843</v>
      </c>
      <c r="CJ52" s="105">
        <v>0.20027215979300572</v>
      </c>
      <c r="CK52" s="105">
        <v>0.19673523524047584</v>
      </c>
      <c r="CL52" s="105">
        <v>0.20023096940881904</v>
      </c>
      <c r="CM52" s="105">
        <v>0.19938316066777795</v>
      </c>
      <c r="CN52" s="105">
        <v>0.20106662277713991</v>
      </c>
      <c r="CO52" s="105">
        <v>0.19720572931479721</v>
      </c>
      <c r="CP52" s="105">
        <v>0.20072040609771383</v>
      </c>
      <c r="CQ52" s="105">
        <v>0.20200932456311169</v>
      </c>
      <c r="CR52" s="105">
        <v>0.19926981250718195</v>
      </c>
      <c r="CS52" s="105">
        <v>0.20147958688201467</v>
      </c>
      <c r="CT52" s="105">
        <v>0.1993006463496011</v>
      </c>
      <c r="CU52" s="105">
        <v>0.20189761664153058</v>
      </c>
      <c r="CV52" s="105">
        <v>0.20076601284813003</v>
      </c>
      <c r="CW52" s="105">
        <v>0.19923636003008841</v>
      </c>
      <c r="CX52" s="105">
        <v>0.19650430110142364</v>
      </c>
    </row>
    <row r="53" spans="1:102" s="95" customFormat="1">
      <c r="A53" s="88" t="str">
        <f>Parameters!A43</f>
        <v>Vermogenseffect &amp; innovatie</v>
      </c>
      <c r="B53" s="102" t="s">
        <v>29</v>
      </c>
      <c r="C53" s="103">
        <v>5.1880453353018559E-2</v>
      </c>
      <c r="D53" s="103">
        <v>6.8263852834943406E-2</v>
      </c>
      <c r="E53" s="103">
        <v>7.5957444314590852E-2</v>
      </c>
      <c r="F53" s="103">
        <v>5.1276223872095114E-2</v>
      </c>
      <c r="G53" s="103">
        <v>5.1302207840527983E-2</v>
      </c>
      <c r="H53" s="103">
        <v>7.0364692937892048E-2</v>
      </c>
      <c r="I53" s="103">
        <v>6.3532021045317494E-2</v>
      </c>
      <c r="J53" s="103">
        <v>6.7124474734929551E-2</v>
      </c>
      <c r="K53" s="103">
        <v>4.5415816193618085E-2</v>
      </c>
      <c r="L53" s="103">
        <v>4.7722150665364921E-2</v>
      </c>
      <c r="M53" s="103">
        <v>6.0919660283935785E-2</v>
      </c>
      <c r="N53" s="103">
        <v>4.4431514340125357E-2</v>
      </c>
      <c r="O53" s="103">
        <v>3.7685355790905171E-2</v>
      </c>
      <c r="P53" s="103">
        <v>5.0950353330561859E-2</v>
      </c>
      <c r="Q53" s="103">
        <v>4.6087578135028798E-2</v>
      </c>
      <c r="R53" s="103">
        <v>5.729672519691982E-2</v>
      </c>
      <c r="S53" s="103">
        <v>4.0843513954958249E-2</v>
      </c>
      <c r="T53" s="103">
        <v>6.3706447171380576E-2</v>
      </c>
      <c r="U53" s="103">
        <v>7.5578724586629689E-2</v>
      </c>
      <c r="V53" s="103">
        <v>4.8308174059990855E-2</v>
      </c>
      <c r="W53" s="103">
        <v>5.8952378638713908E-2</v>
      </c>
      <c r="X53" s="103">
        <v>6.4827976517514541E-2</v>
      </c>
      <c r="Y53" s="103">
        <v>4.7119336967305893E-2</v>
      </c>
      <c r="Z53" s="103">
        <v>8.6877733371953078E-2</v>
      </c>
      <c r="AA53" s="103">
        <v>7.4806678621716804E-2</v>
      </c>
      <c r="AB53" s="103">
        <v>6.5191550041257068E-2</v>
      </c>
      <c r="AC53" s="103">
        <v>4.2730056253819926E-2</v>
      </c>
      <c r="AD53" s="103">
        <v>6.9845043992783518E-2</v>
      </c>
      <c r="AE53" s="103">
        <v>5.2906110183508638E-2</v>
      </c>
      <c r="AF53" s="103">
        <v>6.2203882824623469E-2</v>
      </c>
      <c r="AG53" s="103">
        <v>5.0436904479278913E-2</v>
      </c>
      <c r="AH53" s="103">
        <v>5.8367685858074503E-2</v>
      </c>
      <c r="AI53" s="103">
        <v>3.9750115770356823E-2</v>
      </c>
      <c r="AJ53" s="103">
        <v>6.9519937325412395E-2</v>
      </c>
      <c r="AK53" s="103">
        <v>6.8904151891064247E-2</v>
      </c>
      <c r="AL53" s="103">
        <v>4.3832282417214014E-2</v>
      </c>
      <c r="AM53" s="103">
        <v>5.4518215261756139E-2</v>
      </c>
      <c r="AN53" s="103">
        <v>7.2481104760967918E-2</v>
      </c>
      <c r="AO53" s="103">
        <v>4.538343646233492E-2</v>
      </c>
      <c r="AP53" s="103">
        <v>4.62475342760712E-2</v>
      </c>
      <c r="AQ53" s="103">
        <v>3.7359162962338835E-2</v>
      </c>
      <c r="AR53" s="103">
        <v>4.0538125967689284E-2</v>
      </c>
      <c r="AS53" s="103">
        <v>5.3551022552339539E-2</v>
      </c>
      <c r="AT53" s="103">
        <v>5.9386239937228941E-2</v>
      </c>
      <c r="AU53" s="103">
        <v>6.9335004005805626E-2</v>
      </c>
      <c r="AV53" s="103">
        <v>6.4481360523698544E-2</v>
      </c>
      <c r="AW53" s="103">
        <v>4.7742995365470518E-2</v>
      </c>
      <c r="AX53" s="103">
        <v>3.3282238078047116E-2</v>
      </c>
      <c r="AY53" s="103">
        <v>6.5179125524539569E-2</v>
      </c>
      <c r="AZ53" s="103">
        <v>6.3045411062960799E-2</v>
      </c>
      <c r="BA53" s="103">
        <v>2.7905126759164893E-2</v>
      </c>
      <c r="BB53" s="103">
        <v>5.0702411148322003E-2</v>
      </c>
      <c r="BC53" s="103">
        <v>3.9067196807157908E-2</v>
      </c>
      <c r="BD53" s="103">
        <v>5.8193691823627783E-2</v>
      </c>
      <c r="BE53" s="103">
        <v>6.142130406082235E-2</v>
      </c>
      <c r="BF53" s="103">
        <v>3.9629323255246846E-2</v>
      </c>
      <c r="BG53" s="103">
        <v>3.7948556576694485E-2</v>
      </c>
      <c r="BH53" s="103">
        <v>4.8081364018724891E-2</v>
      </c>
      <c r="BI53" s="103">
        <v>5.0402742520512925E-2</v>
      </c>
      <c r="BJ53" s="103">
        <v>6.0487627253928151E-2</v>
      </c>
      <c r="BK53" s="103">
        <v>4.4665048540696445E-2</v>
      </c>
      <c r="BL53" s="103">
        <v>3.9114490494720766E-2</v>
      </c>
      <c r="BM53" s="103">
        <v>4.0242769135403714E-2</v>
      </c>
      <c r="BN53" s="103">
        <v>4.8799840246269446E-2</v>
      </c>
      <c r="BO53" s="103">
        <v>6.8770093018092837E-2</v>
      </c>
      <c r="BP53" s="103">
        <v>6.193380081050455E-2</v>
      </c>
      <c r="BQ53" s="103">
        <v>5.3995454619995761E-2</v>
      </c>
      <c r="BR53" s="103">
        <v>5.8329435456150887E-2</v>
      </c>
      <c r="BS53" s="103">
        <v>4.7041839621600787E-2</v>
      </c>
      <c r="BT53" s="103">
        <v>3.1497958702468715E-2</v>
      </c>
      <c r="BU53" s="103">
        <v>5.4666562894510329E-2</v>
      </c>
      <c r="BV53" s="103">
        <v>7.0164913693555597E-2</v>
      </c>
      <c r="BW53" s="103">
        <v>4.9729150095968858E-2</v>
      </c>
      <c r="BX53" s="103">
        <v>4.2755509180926979E-2</v>
      </c>
      <c r="BY53" s="103">
        <v>5.8014610880777043E-2</v>
      </c>
      <c r="BZ53" s="103">
        <v>6.1135213710893969E-2</v>
      </c>
      <c r="CA53" s="103">
        <v>6.2447932790865968E-2</v>
      </c>
      <c r="CB53" s="103">
        <v>3.229046762652156E-2</v>
      </c>
      <c r="CC53" s="103">
        <v>5.137413143299803E-2</v>
      </c>
      <c r="CD53" s="103">
        <v>3.6884250449927471E-2</v>
      </c>
      <c r="CE53" s="103">
        <v>4.2811857944001393E-2</v>
      </c>
      <c r="CF53" s="103">
        <v>3.322075400672897E-2</v>
      </c>
      <c r="CG53" s="103">
        <v>6.2256326889660887E-2</v>
      </c>
      <c r="CH53" s="103">
        <v>8.4099328303864823E-2</v>
      </c>
      <c r="CI53" s="103">
        <v>6.4161936411227832E-2</v>
      </c>
      <c r="CJ53" s="103">
        <v>7.7695633408044265E-2</v>
      </c>
      <c r="CK53" s="103">
        <v>4.9837603314919807E-2</v>
      </c>
      <c r="CL53" s="103">
        <v>4.2653759600380287E-2</v>
      </c>
      <c r="CM53" s="103">
        <v>4.6860052540670556E-2</v>
      </c>
      <c r="CN53" s="103">
        <v>2.8569638841112931E-2</v>
      </c>
      <c r="CO53" s="103">
        <v>4.7781128123408768E-2</v>
      </c>
      <c r="CP53" s="103">
        <v>5.9800060561407228E-2</v>
      </c>
      <c r="CQ53" s="103">
        <v>3.7680481798984963E-2</v>
      </c>
      <c r="CR53" s="103">
        <v>5.4903920764894795E-2</v>
      </c>
      <c r="CS53" s="103">
        <v>4.0305608747250074E-2</v>
      </c>
      <c r="CT53" s="103">
        <v>6.4809236228445422E-2</v>
      </c>
      <c r="CU53" s="103">
        <v>8.3295123962590034E-2</v>
      </c>
      <c r="CV53" s="103">
        <v>2.8723615974469291E-2</v>
      </c>
      <c r="CW53" s="103">
        <v>4.9647335996564013E-2</v>
      </c>
      <c r="CX53" s="103">
        <v>4.807453306893749E-2</v>
      </c>
    </row>
    <row r="54" spans="1:102">
      <c r="A54" s="23"/>
      <c r="B54" s="14" t="s">
        <v>30</v>
      </c>
      <c r="C54" s="105">
        <v>6.6214908027662223E-2</v>
      </c>
      <c r="D54" s="105">
        <v>6.9631665436484219E-2</v>
      </c>
      <c r="E54" s="105">
        <v>7.0859224118265202E-2</v>
      </c>
      <c r="F54" s="105">
        <v>6.4932704262509591E-2</v>
      </c>
      <c r="G54" s="105">
        <v>6.6160620727518507E-2</v>
      </c>
      <c r="H54" s="105">
        <v>6.9521582322697256E-2</v>
      </c>
      <c r="I54" s="105">
        <v>7.0508447863922727E-2</v>
      </c>
      <c r="J54" s="105">
        <v>6.6856356599851036E-2</v>
      </c>
      <c r="K54" s="105">
        <v>6.3950448039000601E-2</v>
      </c>
      <c r="L54" s="105">
        <v>6.6737982355964454E-2</v>
      </c>
      <c r="M54" s="105">
        <v>6.689784140974725E-2</v>
      </c>
      <c r="N54" s="105">
        <v>6.6160937726719563E-2</v>
      </c>
      <c r="O54" s="105">
        <v>6.3106480632384387E-2</v>
      </c>
      <c r="P54" s="105">
        <v>6.8899972689254851E-2</v>
      </c>
      <c r="Q54" s="105">
        <v>6.7485086922382004E-2</v>
      </c>
      <c r="R54" s="105">
        <v>6.4399208013706119E-2</v>
      </c>
      <c r="S54" s="105">
        <v>6.3413060728457912E-2</v>
      </c>
      <c r="T54" s="105">
        <v>6.9563056236811638E-2</v>
      </c>
      <c r="U54" s="105">
        <v>6.8820538194667227E-2</v>
      </c>
      <c r="V54" s="105">
        <v>6.4570201328753088E-2</v>
      </c>
      <c r="W54" s="105">
        <v>6.4235681183828761E-2</v>
      </c>
      <c r="X54" s="105">
        <v>6.8415662544538389E-2</v>
      </c>
      <c r="Y54" s="105">
        <v>6.5285211893383821E-2</v>
      </c>
      <c r="Z54" s="105">
        <v>7.2612998190169517E-2</v>
      </c>
      <c r="AA54" s="105">
        <v>6.951298726538048E-2</v>
      </c>
      <c r="AB54" s="105">
        <v>6.7767941203252469E-2</v>
      </c>
      <c r="AC54" s="105">
        <v>6.4659274057354069E-2</v>
      </c>
      <c r="AD54" s="105">
        <v>6.8084348822466167E-2</v>
      </c>
      <c r="AE54" s="105">
        <v>6.6439446582888792E-2</v>
      </c>
      <c r="AF54" s="105">
        <v>6.7944771630159148E-2</v>
      </c>
      <c r="AG54" s="105">
        <v>6.9536047373384424E-2</v>
      </c>
      <c r="AH54" s="105">
        <v>6.838587434444765E-2</v>
      </c>
      <c r="AI54" s="105">
        <v>6.4100632610727334E-2</v>
      </c>
      <c r="AJ54" s="105">
        <v>7.0099674776724033E-2</v>
      </c>
      <c r="AK54" s="105">
        <v>6.8069566509948651E-2</v>
      </c>
      <c r="AL54" s="105">
        <v>6.3264862039573808E-2</v>
      </c>
      <c r="AM54" s="105">
        <v>6.7613368715031708E-2</v>
      </c>
      <c r="AN54" s="105">
        <v>6.8846239973348017E-2</v>
      </c>
      <c r="AO54" s="105">
        <v>6.3379349780163546E-2</v>
      </c>
      <c r="AP54" s="105">
        <v>6.5901404420879911E-2</v>
      </c>
      <c r="AQ54" s="105">
        <v>6.3761895109749014E-2</v>
      </c>
      <c r="AR54" s="105">
        <v>6.3919469760613565E-2</v>
      </c>
      <c r="AS54" s="105">
        <v>6.5070336713895213E-2</v>
      </c>
      <c r="AT54" s="105">
        <v>7.0091752554521949E-2</v>
      </c>
      <c r="AU54" s="105">
        <v>6.601515020193871E-2</v>
      </c>
      <c r="AV54" s="105">
        <v>6.5922074192206942E-2</v>
      </c>
      <c r="AW54" s="105">
        <v>6.8491930209467602E-2</v>
      </c>
      <c r="AX54" s="105">
        <v>6.4230747500764268E-2</v>
      </c>
      <c r="AY54" s="105">
        <v>6.7949807709051888E-2</v>
      </c>
      <c r="AZ54" s="105">
        <v>6.9334268733198881E-2</v>
      </c>
      <c r="BA54" s="105">
        <v>6.4195705925628024E-2</v>
      </c>
      <c r="BB54" s="105">
        <v>6.6633859097441406E-2</v>
      </c>
      <c r="BC54" s="105">
        <v>6.404644295968788E-2</v>
      </c>
      <c r="BD54" s="105">
        <v>6.8543379462516277E-2</v>
      </c>
      <c r="BE54" s="105">
        <v>6.5283894629740935E-2</v>
      </c>
      <c r="BF54" s="105">
        <v>6.3080887517535308E-2</v>
      </c>
      <c r="BG54" s="105">
        <v>6.5255945306486027E-2</v>
      </c>
      <c r="BH54" s="105">
        <v>6.7819024512207976E-2</v>
      </c>
      <c r="BI54" s="105">
        <v>6.626226113478037E-2</v>
      </c>
      <c r="BJ54" s="105">
        <v>6.9076886132802037E-2</v>
      </c>
      <c r="BK54" s="105">
        <v>6.7259571806605564E-2</v>
      </c>
      <c r="BL54" s="105">
        <v>6.6762288294622454E-2</v>
      </c>
      <c r="BM54" s="105">
        <v>6.1847306772270516E-2</v>
      </c>
      <c r="BN54" s="105">
        <v>6.2792007382178675E-2</v>
      </c>
      <c r="BO54" s="105">
        <v>6.4966271195027972E-2</v>
      </c>
      <c r="BP54" s="105">
        <v>6.6048732052388537E-2</v>
      </c>
      <c r="BQ54" s="105">
        <v>6.7985297454179708E-2</v>
      </c>
      <c r="BR54" s="105">
        <v>6.615025950527792E-2</v>
      </c>
      <c r="BS54" s="105">
        <v>6.7449322673320253E-2</v>
      </c>
      <c r="BT54" s="105">
        <v>6.234100683445614E-2</v>
      </c>
      <c r="BU54" s="105">
        <v>6.8862620755332546E-2</v>
      </c>
      <c r="BV54" s="105">
        <v>6.8570921524511427E-2</v>
      </c>
      <c r="BW54" s="105">
        <v>6.8324887787363217E-2</v>
      </c>
      <c r="BX54" s="105">
        <v>6.7394077762492816E-2</v>
      </c>
      <c r="BY54" s="105">
        <v>6.7672385789630515E-2</v>
      </c>
      <c r="BZ54" s="105">
        <v>7.0571745150548884E-2</v>
      </c>
      <c r="CA54" s="105">
        <v>7.0500667469510669E-2</v>
      </c>
      <c r="CB54" s="105">
        <v>6.3484025472616348E-2</v>
      </c>
      <c r="CC54" s="105">
        <v>6.6749718983052195E-2</v>
      </c>
      <c r="CD54" s="105">
        <v>6.5467591460412103E-2</v>
      </c>
      <c r="CE54" s="105">
        <v>6.3672624890011534E-2</v>
      </c>
      <c r="CF54" s="105">
        <v>6.1897211409929237E-2</v>
      </c>
      <c r="CG54" s="105">
        <v>6.8318098662502436E-2</v>
      </c>
      <c r="CH54" s="105">
        <v>7.4013148775663909E-2</v>
      </c>
      <c r="CI54" s="105">
        <v>6.5897150388360803E-2</v>
      </c>
      <c r="CJ54" s="105">
        <v>6.9578989776360914E-2</v>
      </c>
      <c r="CK54" s="105">
        <v>6.6316563017150346E-2</v>
      </c>
      <c r="CL54" s="105">
        <v>6.7412823447484851E-2</v>
      </c>
      <c r="CM54" s="105">
        <v>6.5915329446247853E-2</v>
      </c>
      <c r="CN54" s="105">
        <v>6.3296029415344263E-2</v>
      </c>
      <c r="CO54" s="105">
        <v>6.6598236596668081E-2</v>
      </c>
      <c r="CP54" s="105">
        <v>6.8353181670966795E-2</v>
      </c>
      <c r="CQ54" s="105">
        <v>6.3532301824600068E-2</v>
      </c>
      <c r="CR54" s="105">
        <v>6.6347649713322535E-2</v>
      </c>
      <c r="CS54" s="105">
        <v>6.5455303503820769E-2</v>
      </c>
      <c r="CT54" s="105">
        <v>6.738423553685087E-2</v>
      </c>
      <c r="CU54" s="105">
        <v>6.8837031512818878E-2</v>
      </c>
      <c r="CV54" s="105">
        <v>6.4675484828448287E-2</v>
      </c>
      <c r="CW54" s="105">
        <v>6.5178374263625091E-2</v>
      </c>
      <c r="CX54" s="105">
        <v>6.5100132200951552E-2</v>
      </c>
    </row>
    <row r="55" spans="1:102">
      <c r="A55" s="23"/>
      <c r="B55" s="56" t="s">
        <v>56</v>
      </c>
      <c r="C55" s="105">
        <v>6.6869447503148924E-2</v>
      </c>
      <c r="D55" s="105">
        <v>7.6782272147906741E-2</v>
      </c>
      <c r="E55" s="105">
        <v>7.8043572649809476E-2</v>
      </c>
      <c r="F55" s="105">
        <v>6.1981551121168287E-2</v>
      </c>
      <c r="G55" s="105">
        <v>7.1456337533221101E-2</v>
      </c>
      <c r="H55" s="105">
        <v>7.3897878621253826E-2</v>
      </c>
      <c r="I55" s="105">
        <v>7.3623871328268725E-2</v>
      </c>
      <c r="J55" s="105">
        <v>6.8961491631606614E-2</v>
      </c>
      <c r="K55" s="105">
        <v>6.0526811152816266E-2</v>
      </c>
      <c r="L55" s="105">
        <v>6.3822992578878218E-2</v>
      </c>
      <c r="M55" s="105">
        <v>7.3849284558115333E-2</v>
      </c>
      <c r="N55" s="105">
        <v>6.1955368769579341E-2</v>
      </c>
      <c r="O55" s="105">
        <v>6.2551356995393825E-2</v>
      </c>
      <c r="P55" s="105">
        <v>6.8316294537815556E-2</v>
      </c>
      <c r="Q55" s="105">
        <v>6.5172355009272515E-2</v>
      </c>
      <c r="R55" s="105">
        <v>6.7464377956526725E-2</v>
      </c>
      <c r="S55" s="105">
        <v>5.9289568386145283E-2</v>
      </c>
      <c r="T55" s="105">
        <v>7.2555276503777008E-2</v>
      </c>
      <c r="U55" s="105">
        <v>7.4506905365576984E-2</v>
      </c>
      <c r="V55" s="105">
        <v>5.9359417671466297E-2</v>
      </c>
      <c r="W55" s="105">
        <v>6.4917964251374777E-2</v>
      </c>
      <c r="X55" s="105">
        <v>7.6106349699071124E-2</v>
      </c>
      <c r="Y55" s="105">
        <v>6.0158625888599798E-2</v>
      </c>
      <c r="Z55" s="105">
        <v>7.8588037809544528E-2</v>
      </c>
      <c r="AA55" s="105">
        <v>7.0896726224630946E-2</v>
      </c>
      <c r="AB55" s="105">
        <v>6.5758969944157142E-2</v>
      </c>
      <c r="AC55" s="105">
        <v>6.1023437529293179E-2</v>
      </c>
      <c r="AD55" s="105">
        <v>7.2434881058259099E-2</v>
      </c>
      <c r="AE55" s="105">
        <v>6.9528018150224358E-2</v>
      </c>
      <c r="AF55" s="105">
        <v>6.456020033672201E-2</v>
      </c>
      <c r="AG55" s="105">
        <v>6.9594420580860128E-2</v>
      </c>
      <c r="AH55" s="105">
        <v>6.6171526082469151E-2</v>
      </c>
      <c r="AI55" s="105">
        <v>6.1014397866436643E-2</v>
      </c>
      <c r="AJ55" s="105">
        <v>6.8389405243241386E-2</v>
      </c>
      <c r="AK55" s="105">
        <v>6.899762703375921E-2</v>
      </c>
      <c r="AL55" s="105">
        <v>6.0364533559562637E-2</v>
      </c>
      <c r="AM55" s="105">
        <v>6.6236281989636395E-2</v>
      </c>
      <c r="AN55" s="105">
        <v>7.1213609668640182E-2</v>
      </c>
      <c r="AO55" s="105">
        <v>6.9272963886405303E-2</v>
      </c>
      <c r="AP55" s="105">
        <v>6.267976541749426E-2</v>
      </c>
      <c r="AQ55" s="105">
        <v>5.9279898340874555E-2</v>
      </c>
      <c r="AR55" s="105">
        <v>6.8440217897668756E-2</v>
      </c>
      <c r="AS55" s="105">
        <v>6.8916167499565043E-2</v>
      </c>
      <c r="AT55" s="105">
        <v>7.0667427714181746E-2</v>
      </c>
      <c r="AU55" s="105">
        <v>6.8988651618790794E-2</v>
      </c>
      <c r="AV55" s="105">
        <v>6.6489080062958963E-2</v>
      </c>
      <c r="AW55" s="105">
        <v>6.9315942559417476E-2</v>
      </c>
      <c r="AX55" s="105">
        <v>5.9180301109188621E-2</v>
      </c>
      <c r="AY55" s="105">
        <v>6.9234287752346885E-2</v>
      </c>
      <c r="AZ55" s="105">
        <v>6.8919577719870104E-2</v>
      </c>
      <c r="BA55" s="105">
        <v>5.7162985307386463E-2</v>
      </c>
      <c r="BB55" s="105">
        <v>6.6068838787256168E-2</v>
      </c>
      <c r="BC55" s="105">
        <v>5.9885372480904669E-2</v>
      </c>
      <c r="BD55" s="105">
        <v>6.8792696402503323E-2</v>
      </c>
      <c r="BE55" s="105">
        <v>6.5900409395493048E-2</v>
      </c>
      <c r="BF55" s="105">
        <v>6.1645916789773492E-2</v>
      </c>
      <c r="BG55" s="105">
        <v>6.1170613487233058E-2</v>
      </c>
      <c r="BH55" s="105">
        <v>6.5556608753441492E-2</v>
      </c>
      <c r="BI55" s="105">
        <v>6.6307349351233405E-2</v>
      </c>
      <c r="BJ55" s="105">
        <v>7.0419873719321527E-2</v>
      </c>
      <c r="BK55" s="105">
        <v>6.7148934396849991E-2</v>
      </c>
      <c r="BL55" s="105">
        <v>6.6932606781815299E-2</v>
      </c>
      <c r="BM55" s="105">
        <v>6.1677755405791221E-2</v>
      </c>
      <c r="BN55" s="105">
        <v>6.2314607069516408E-2</v>
      </c>
      <c r="BO55" s="105">
        <v>7.3032708303965882E-2</v>
      </c>
      <c r="BP55" s="105">
        <v>6.7607195587517668E-2</v>
      </c>
      <c r="BQ55" s="105">
        <v>7.3009011285233558E-2</v>
      </c>
      <c r="BR55" s="105">
        <v>6.8068149523362778E-2</v>
      </c>
      <c r="BS55" s="105">
        <v>6.5876258817426064E-2</v>
      </c>
      <c r="BT55" s="105">
        <v>5.8954073226012753E-2</v>
      </c>
      <c r="BU55" s="105">
        <v>6.8956361113987563E-2</v>
      </c>
      <c r="BV55" s="105">
        <v>6.7855816030877578E-2</v>
      </c>
      <c r="BW55" s="105">
        <v>6.4908076784534779E-2</v>
      </c>
      <c r="BX55" s="105">
        <v>6.6372693695267923E-2</v>
      </c>
      <c r="BY55" s="105">
        <v>6.7883260271332221E-2</v>
      </c>
      <c r="BZ55" s="105">
        <v>7.2361132476534529E-2</v>
      </c>
      <c r="CA55" s="105">
        <v>6.8554184631778509E-2</v>
      </c>
      <c r="CB55" s="105">
        <v>5.8080253672137643E-2</v>
      </c>
      <c r="CC55" s="105">
        <v>6.3454538702658478E-2</v>
      </c>
      <c r="CD55" s="105">
        <v>6.162446097490562E-2</v>
      </c>
      <c r="CE55" s="105">
        <v>6.3263017034656338E-2</v>
      </c>
      <c r="CF55" s="105">
        <v>6.1488041757635309E-2</v>
      </c>
      <c r="CG55" s="105">
        <v>7.7687588235436478E-2</v>
      </c>
      <c r="CH55" s="105">
        <v>7.7218844307738163E-2</v>
      </c>
      <c r="CI55" s="105">
        <v>6.7734287430687629E-2</v>
      </c>
      <c r="CJ55" s="105">
        <v>7.2171386876841201E-2</v>
      </c>
      <c r="CK55" s="105">
        <v>6.6231759379881475E-2</v>
      </c>
      <c r="CL55" s="105">
        <v>6.6601106375089564E-2</v>
      </c>
      <c r="CM55" s="105">
        <v>6.704831183687443E-2</v>
      </c>
      <c r="CN55" s="105">
        <v>5.9896558690654154E-2</v>
      </c>
      <c r="CO55" s="105">
        <v>6.6938298556653383E-2</v>
      </c>
      <c r="CP55" s="105">
        <v>6.3415239805130252E-2</v>
      </c>
      <c r="CQ55" s="105">
        <v>6.0724481399315564E-2</v>
      </c>
      <c r="CR55" s="105">
        <v>6.6303390224214304E-2</v>
      </c>
      <c r="CS55" s="105">
        <v>6.0740542451874151E-2</v>
      </c>
      <c r="CT55" s="105">
        <v>6.6318511659291896E-2</v>
      </c>
      <c r="CU55" s="105">
        <v>7.701447691184804E-2</v>
      </c>
      <c r="CV55" s="105">
        <v>6.5267511552549298E-2</v>
      </c>
      <c r="CW55" s="105">
        <v>6.2575880821703456E-2</v>
      </c>
      <c r="CX55" s="105">
        <v>6.4304820138868943E-2</v>
      </c>
    </row>
    <row r="56" spans="1:102">
      <c r="A56" s="106"/>
      <c r="B56" s="56" t="s">
        <v>114</v>
      </c>
      <c r="C56" s="105">
        <v>0.26353245206547921</v>
      </c>
      <c r="D56" s="105">
        <v>0.20136834316233948</v>
      </c>
      <c r="E56" s="105">
        <v>0.17597238715077901</v>
      </c>
      <c r="F56" s="105">
        <v>0.26249349915940984</v>
      </c>
      <c r="G56" s="105">
        <v>0.26622455991031679</v>
      </c>
      <c r="H56" s="105">
        <v>0.19261859182326352</v>
      </c>
      <c r="I56" s="105">
        <v>0.22385794884107266</v>
      </c>
      <c r="J56" s="105">
        <v>0.19643174126470195</v>
      </c>
      <c r="K56" s="105">
        <v>0.28985755339794322</v>
      </c>
      <c r="L56" s="105">
        <v>0.28595947760187923</v>
      </c>
      <c r="M56" s="105">
        <v>0.22328209545104549</v>
      </c>
      <c r="N56" s="105">
        <v>0.30138523062034001</v>
      </c>
      <c r="O56" s="105">
        <v>0.33043634728424376</v>
      </c>
      <c r="P56" s="105">
        <v>0.27614069783759965</v>
      </c>
      <c r="Q56" s="105">
        <v>0.29641174033086193</v>
      </c>
      <c r="R56" s="105">
        <v>0.23134328389746647</v>
      </c>
      <c r="S56" s="105">
        <v>0.31334514207096531</v>
      </c>
      <c r="T56" s="105">
        <v>0.22004117432088691</v>
      </c>
      <c r="U56" s="105">
        <v>0.17032171841234664</v>
      </c>
      <c r="V56" s="105">
        <v>0.27649707188479528</v>
      </c>
      <c r="W56" s="105">
        <v>0.22300775191290462</v>
      </c>
      <c r="X56" s="105">
        <v>0.2114514763600715</v>
      </c>
      <c r="Y56" s="105">
        <v>0.28482334948665189</v>
      </c>
      <c r="Z56" s="105">
        <v>0.14486083537883729</v>
      </c>
      <c r="AA56" s="105">
        <v>0.17559179220541843</v>
      </c>
      <c r="AB56" s="105">
        <v>0.20770226277408302</v>
      </c>
      <c r="AC56" s="105">
        <v>0.30636066929026806</v>
      </c>
      <c r="AD56" s="105">
        <v>0.18970501250842017</v>
      </c>
      <c r="AE56" s="105">
        <v>0.25920680526781892</v>
      </c>
      <c r="AF56" s="105">
        <v>0.22114611802169823</v>
      </c>
      <c r="AG56" s="105">
        <v>0.28044355730743897</v>
      </c>
      <c r="AH56" s="105">
        <v>0.2396974967344048</v>
      </c>
      <c r="AI56" s="105">
        <v>0.32128239459826469</v>
      </c>
      <c r="AJ56" s="105">
        <v>0.19791955811399409</v>
      </c>
      <c r="AK56" s="105">
        <v>0.19342274297687181</v>
      </c>
      <c r="AL56" s="105">
        <v>0.2964037328376653</v>
      </c>
      <c r="AM56" s="105">
        <v>0.25513309367741505</v>
      </c>
      <c r="AN56" s="105">
        <v>0.18205916349973095</v>
      </c>
      <c r="AO56" s="105">
        <v>0.28832652953087645</v>
      </c>
      <c r="AP56" s="105">
        <v>0.29115051840509609</v>
      </c>
      <c r="AQ56" s="105">
        <v>0.33393131054910385</v>
      </c>
      <c r="AR56" s="105">
        <v>0.31641073920625029</v>
      </c>
      <c r="AS56" s="105">
        <v>0.25165477743784426</v>
      </c>
      <c r="AT56" s="105">
        <v>0.24053141506146006</v>
      </c>
      <c r="AU56" s="105">
        <v>0.18437723148944429</v>
      </c>
      <c r="AV56" s="105">
        <v>0.20427416710182242</v>
      </c>
      <c r="AW56" s="105">
        <v>0.29079711149073573</v>
      </c>
      <c r="AX56" s="105">
        <v>0.35849740024574128</v>
      </c>
      <c r="AY56" s="105">
        <v>0.2083794266483846</v>
      </c>
      <c r="AZ56" s="105">
        <v>0.22211560950184059</v>
      </c>
      <c r="BA56" s="105">
        <v>0.39015513935347035</v>
      </c>
      <c r="BB56" s="105">
        <v>0.27065382460157794</v>
      </c>
      <c r="BC56" s="105">
        <v>0.32496997749043033</v>
      </c>
      <c r="BD56" s="105">
        <v>0.24099288990348502</v>
      </c>
      <c r="BE56" s="105">
        <v>0.21544873812261103</v>
      </c>
      <c r="BF56" s="105">
        <v>0.31928337906902998</v>
      </c>
      <c r="BG56" s="105">
        <v>0.3342195097549952</v>
      </c>
      <c r="BH56" s="105">
        <v>0.28722343231380393</v>
      </c>
      <c r="BI56" s="105">
        <v>0.27101706934155934</v>
      </c>
      <c r="BJ56" s="105">
        <v>0.23242307523845609</v>
      </c>
      <c r="BK56" s="105">
        <v>0.30313954364963897</v>
      </c>
      <c r="BL56" s="105">
        <v>0.33138504133120605</v>
      </c>
      <c r="BM56" s="105">
        <v>0.31242407580311504</v>
      </c>
      <c r="BN56" s="105">
        <v>0.26831717084860929</v>
      </c>
      <c r="BO56" s="105">
        <v>0.18283212499345608</v>
      </c>
      <c r="BP56" s="105">
        <v>0.21584728270266751</v>
      </c>
      <c r="BQ56" s="105">
        <v>0.25877329099134488</v>
      </c>
      <c r="BR56" s="105">
        <v>0.23251149804087831</v>
      </c>
      <c r="BS56" s="105">
        <v>0.29144085937501973</v>
      </c>
      <c r="BT56" s="105">
        <v>0.36510560589073593</v>
      </c>
      <c r="BU56" s="105">
        <v>0.25828783541118422</v>
      </c>
      <c r="BV56" s="105">
        <v>0.19013159014931311</v>
      </c>
      <c r="BW56" s="105">
        <v>0.2804604970537049</v>
      </c>
      <c r="BX56" s="105">
        <v>0.31347312906348235</v>
      </c>
      <c r="BY56" s="105">
        <v>0.23900229869498082</v>
      </c>
      <c r="BZ56" s="105">
        <v>0.23435339389245488</v>
      </c>
      <c r="CA56" s="105">
        <v>0.22845781949168703</v>
      </c>
      <c r="CB56" s="105">
        <v>0.3627494184977938</v>
      </c>
      <c r="CC56" s="105">
        <v>0.26768163644583076</v>
      </c>
      <c r="CD56" s="105">
        <v>0.34066468699596231</v>
      </c>
      <c r="CE56" s="105">
        <v>0.30316426891033643</v>
      </c>
      <c r="CF56" s="105">
        <v>0.35377436564404247</v>
      </c>
      <c r="CG56" s="105">
        <v>0.22216636101534212</v>
      </c>
      <c r="CH56" s="105">
        <v>0.15837367176871966</v>
      </c>
      <c r="CI56" s="105">
        <v>0.20556229192913505</v>
      </c>
      <c r="CJ56" s="105">
        <v>0.16529352216852261</v>
      </c>
      <c r="CK56" s="105">
        <v>0.27401366183770814</v>
      </c>
      <c r="CL56" s="105">
        <v>0.31405633557755763</v>
      </c>
      <c r="CM56" s="105">
        <v>0.28801157968618762</v>
      </c>
      <c r="CN56" s="105">
        <v>0.38461676267429479</v>
      </c>
      <c r="CO56" s="105">
        <v>0.28525545115632056</v>
      </c>
      <c r="CP56" s="105">
        <v>0.23313244367426367</v>
      </c>
      <c r="CQ56" s="105">
        <v>0.33153029871083528</v>
      </c>
      <c r="CR56" s="105">
        <v>0.24926723515245147</v>
      </c>
      <c r="CS56" s="105">
        <v>0.3216832609739001</v>
      </c>
      <c r="CT56" s="105">
        <v>0.20799906193746992</v>
      </c>
      <c r="CU56" s="105">
        <v>0.14349159703839018</v>
      </c>
      <c r="CV56" s="105">
        <v>0.38609901659632395</v>
      </c>
      <c r="CW56" s="105">
        <v>0.27149766403095671</v>
      </c>
      <c r="CX56" s="105">
        <v>0.27932056797468879</v>
      </c>
    </row>
    <row r="57" spans="1:102">
      <c r="A57" s="88" t="str">
        <f>Parameters!A44</f>
        <v>Schuld deflatie</v>
      </c>
      <c r="B57" s="102" t="s">
        <v>29</v>
      </c>
      <c r="C57" s="103">
        <v>-0.10355416150428978</v>
      </c>
      <c r="D57" s="103">
        <v>-0.11425641329214636</v>
      </c>
      <c r="E57" s="103">
        <v>-0.11671105859817626</v>
      </c>
      <c r="F57" s="103">
        <v>-9.7634998830076217E-2</v>
      </c>
      <c r="G57" s="103">
        <v>-0.10718174799481046</v>
      </c>
      <c r="H57" s="103">
        <v>-0.11401739396649463</v>
      </c>
      <c r="I57" s="103">
        <v>-0.10320677131152398</v>
      </c>
      <c r="J57" s="103">
        <v>-0.11372418204316392</v>
      </c>
      <c r="K57" s="103">
        <v>-9.5691180581820579E-2</v>
      </c>
      <c r="L57" s="103">
        <v>-9.5398252737640563E-2</v>
      </c>
      <c r="M57" s="103">
        <v>-0.11389494442909685</v>
      </c>
      <c r="N57" s="103">
        <v>-9.664698980067396E-2</v>
      </c>
      <c r="O57" s="103">
        <v>-9.6228598744139499E-2</v>
      </c>
      <c r="P57" s="103">
        <v>-9.7066869723154592E-2</v>
      </c>
      <c r="Q57" s="103">
        <v>-9.1517547208282396E-2</v>
      </c>
      <c r="R57" s="103">
        <v>-0.10781503819459493</v>
      </c>
      <c r="S57" s="103">
        <v>-9.8191691396865677E-2</v>
      </c>
      <c r="T57" s="103">
        <v>-0.10536130104257758</v>
      </c>
      <c r="U57" s="103">
        <v>-0.12240298039613344</v>
      </c>
      <c r="V57" s="103">
        <v>-9.567330297093507E-2</v>
      </c>
      <c r="W57" s="103">
        <v>-0.10771701411462639</v>
      </c>
      <c r="X57" s="103">
        <v>-0.11299903704691375</v>
      </c>
      <c r="Y57" s="103">
        <v>-9.3036540921604599E-2</v>
      </c>
      <c r="Z57" s="103">
        <v>-0.11915755405754291</v>
      </c>
      <c r="AA57" s="103">
        <v>-0.10613542432350512</v>
      </c>
      <c r="AB57" s="103">
        <v>-0.102186830554793</v>
      </c>
      <c r="AC57" s="103">
        <v>-9.3768249038154367E-2</v>
      </c>
      <c r="AD57" s="103">
        <v>-0.11458878382698406</v>
      </c>
      <c r="AE57" s="103">
        <v>-9.9064168232033359E-2</v>
      </c>
      <c r="AF57" s="103">
        <v>-9.8316678758051626E-2</v>
      </c>
      <c r="AG57" s="103">
        <v>-9.6396200615973759E-2</v>
      </c>
      <c r="AH57" s="103">
        <v>-0.10803291071099275</v>
      </c>
      <c r="AI57" s="103">
        <v>-9.6599728096026433E-2</v>
      </c>
      <c r="AJ57" s="103">
        <v>-0.10090806789629933</v>
      </c>
      <c r="AK57" s="103">
        <v>-0.11120584161587072</v>
      </c>
      <c r="AL57" s="103">
        <v>-9.9195259998688654E-2</v>
      </c>
      <c r="AM57" s="103">
        <v>-0.10181291886017296</v>
      </c>
      <c r="AN57" s="103">
        <v>-0.10863618583502317</v>
      </c>
      <c r="AO57" s="103">
        <v>-9.8842786878492461E-2</v>
      </c>
      <c r="AP57" s="103">
        <v>-8.8963217041692785E-2</v>
      </c>
      <c r="AQ57" s="103">
        <v>-8.9714203010310661E-2</v>
      </c>
      <c r="AR57" s="103">
        <v>-9.9382721216765321E-2</v>
      </c>
      <c r="AS57" s="103">
        <v>-0.10404982741997348</v>
      </c>
      <c r="AT57" s="103">
        <v>-9.6676013882170786E-2</v>
      </c>
      <c r="AU57" s="103">
        <v>-0.11456524112480346</v>
      </c>
      <c r="AV57" s="103">
        <v>-0.10698504240795836</v>
      </c>
      <c r="AW57" s="103">
        <v>-9.6955257922143406E-2</v>
      </c>
      <c r="AX57" s="103">
        <v>-9.251295519736169E-2</v>
      </c>
      <c r="AY57" s="103">
        <v>-0.1184359826086602</v>
      </c>
      <c r="AZ57" s="103">
        <v>-0.1000406948234235</v>
      </c>
      <c r="BA57" s="103">
        <v>-8.0944580434304192E-2</v>
      </c>
      <c r="BB57" s="103">
        <v>-9.3293202986193952E-2</v>
      </c>
      <c r="BC57" s="103">
        <v>-9.2252686535970546E-2</v>
      </c>
      <c r="BD57" s="103">
        <v>-0.10625836182143404</v>
      </c>
      <c r="BE57" s="103">
        <v>-0.11065535576047374</v>
      </c>
      <c r="BF57" s="103">
        <v>-9.4141357381043206E-2</v>
      </c>
      <c r="BG57" s="103">
        <v>-8.9623165202408359E-2</v>
      </c>
      <c r="BH57" s="103">
        <v>-9.0964087889728568E-2</v>
      </c>
      <c r="BI57" s="103">
        <v>-9.7469787134536107E-2</v>
      </c>
      <c r="BJ57" s="103">
        <v>-0.10431484893192783</v>
      </c>
      <c r="BK57" s="103">
        <v>-9.7045780024903133E-2</v>
      </c>
      <c r="BL57" s="103">
        <v>-9.8329118053896755E-2</v>
      </c>
      <c r="BM57" s="103">
        <v>-9.5424057383318633E-2</v>
      </c>
      <c r="BN57" s="103">
        <v>-9.6955747967886877E-2</v>
      </c>
      <c r="BO57" s="103">
        <v>-0.12008040230561424</v>
      </c>
      <c r="BP57" s="103">
        <v>-0.11032639585144099</v>
      </c>
      <c r="BQ57" s="103">
        <v>-9.9202788623290211E-2</v>
      </c>
      <c r="BR57" s="103">
        <v>-9.8112835244577035E-2</v>
      </c>
      <c r="BS57" s="103">
        <v>-9.449023910317636E-2</v>
      </c>
      <c r="BT57" s="103">
        <v>-8.5627158323514335E-2</v>
      </c>
      <c r="BU57" s="103">
        <v>-9.8102198158617038E-2</v>
      </c>
      <c r="BV57" s="103">
        <v>-0.10993892116214207</v>
      </c>
      <c r="BW57" s="103">
        <v>-9.8884347666390579E-2</v>
      </c>
      <c r="BX57" s="103">
        <v>-9.14280221656254E-2</v>
      </c>
      <c r="BY57" s="103">
        <v>-0.10494479823237723</v>
      </c>
      <c r="BZ57" s="103">
        <v>-0.10282872666253892</v>
      </c>
      <c r="CA57" s="103">
        <v>-0.10128442365245757</v>
      </c>
      <c r="CB57" s="103">
        <v>-9.0333355219171255E-2</v>
      </c>
      <c r="CC57" s="103">
        <v>-9.4716634101548347E-2</v>
      </c>
      <c r="CD57" s="103">
        <v>-8.6701020203493198E-2</v>
      </c>
      <c r="CE57" s="103">
        <v>-9.9892604543493774E-2</v>
      </c>
      <c r="CF57" s="103">
        <v>-8.9883515896093308E-2</v>
      </c>
      <c r="CG57" s="103">
        <v>-0.10959155677376774</v>
      </c>
      <c r="CH57" s="103">
        <v>-0.11583747309714852</v>
      </c>
      <c r="CI57" s="103">
        <v>-0.11621454215907698</v>
      </c>
      <c r="CJ57" s="103">
        <v>-0.11001599324150912</v>
      </c>
      <c r="CK57" s="103">
        <v>-9.3672535817754823E-2</v>
      </c>
      <c r="CL57" s="103">
        <v>-9.787573823199941E-2</v>
      </c>
      <c r="CM57" s="103">
        <v>-9.974627299436542E-2</v>
      </c>
      <c r="CN57" s="103">
        <v>-8.6802603990095595E-2</v>
      </c>
      <c r="CO57" s="103">
        <v>-9.9684470778324846E-2</v>
      </c>
      <c r="CP57" s="103">
        <v>-9.6289923193399879E-2</v>
      </c>
      <c r="CQ57" s="103">
        <v>-0.10250454101102031</v>
      </c>
      <c r="CR57" s="103">
        <v>-0.10340902681549749</v>
      </c>
      <c r="CS57" s="103">
        <v>-9.1309503210628307E-2</v>
      </c>
      <c r="CT57" s="103">
        <v>-0.10295327202339341</v>
      </c>
      <c r="CU57" s="103">
        <v>-0.130238210686977</v>
      </c>
      <c r="CV57" s="103">
        <v>-9.2066408828501867E-2</v>
      </c>
      <c r="CW57" s="103">
        <v>-0.10292954661143044</v>
      </c>
      <c r="CX57" s="103">
        <v>-9.1743999996827863E-2</v>
      </c>
    </row>
    <row r="58" spans="1:102">
      <c r="A58" s="23"/>
      <c r="B58" s="14" t="s">
        <v>30</v>
      </c>
      <c r="C58" s="105">
        <v>7.215416982361969E-2</v>
      </c>
      <c r="D58" s="105">
        <v>8.052222048099221E-2</v>
      </c>
      <c r="E58" s="105">
        <v>7.9529022187203993E-2</v>
      </c>
      <c r="F58" s="105">
        <v>6.5956184033453061E-2</v>
      </c>
      <c r="G58" s="105">
        <v>6.817924058179986E-2</v>
      </c>
      <c r="H58" s="105">
        <v>7.8346983125542516E-2</v>
      </c>
      <c r="I58" s="105">
        <v>8.017270764706716E-2</v>
      </c>
      <c r="J58" s="105">
        <v>7.7355185558543899E-2</v>
      </c>
      <c r="K58" s="105">
        <v>6.3820795642869896E-2</v>
      </c>
      <c r="L58" s="105">
        <v>6.5516218123063602E-2</v>
      </c>
      <c r="M58" s="105">
        <v>7.159695856886153E-2</v>
      </c>
      <c r="N58" s="105">
        <v>6.2733596261405067E-2</v>
      </c>
      <c r="O58" s="105">
        <v>6.4010038202820668E-2</v>
      </c>
      <c r="P58" s="105">
        <v>7.0677845956343605E-2</v>
      </c>
      <c r="Q58" s="105">
        <v>6.5486374125374947E-2</v>
      </c>
      <c r="R58" s="105">
        <v>6.8460450495185024E-2</v>
      </c>
      <c r="S58" s="105">
        <v>6.3076619141591947E-2</v>
      </c>
      <c r="T58" s="105">
        <v>8.2546479910119749E-2</v>
      </c>
      <c r="U58" s="105">
        <v>8.1807125010909587E-2</v>
      </c>
      <c r="V58" s="105">
        <v>6.398165135888291E-2</v>
      </c>
      <c r="W58" s="105">
        <v>7.3367382671969461E-2</v>
      </c>
      <c r="X58" s="105">
        <v>8.4362418865151459E-2</v>
      </c>
      <c r="Y58" s="105">
        <v>5.941484218390717E-2</v>
      </c>
      <c r="Z58" s="105">
        <v>7.9222690025668244E-2</v>
      </c>
      <c r="AA58" s="105">
        <v>8.3915425213049039E-2</v>
      </c>
      <c r="AB58" s="105">
        <v>7.5687315484352327E-2</v>
      </c>
      <c r="AC58" s="105">
        <v>5.8275465909366907E-2</v>
      </c>
      <c r="AD58" s="105">
        <v>8.0936161338772281E-2</v>
      </c>
      <c r="AE58" s="105">
        <v>7.2430290705102235E-2</v>
      </c>
      <c r="AF58" s="105">
        <v>7.1799174742756044E-2</v>
      </c>
      <c r="AG58" s="105">
        <v>6.1302095465236933E-2</v>
      </c>
      <c r="AH58" s="105">
        <v>7.1381787056126855E-2</v>
      </c>
      <c r="AI58" s="105">
        <v>6.3550181428820685E-2</v>
      </c>
      <c r="AJ58" s="105">
        <v>7.6829794116536301E-2</v>
      </c>
      <c r="AK58" s="105">
        <v>7.8692293288480972E-2</v>
      </c>
      <c r="AL58" s="105">
        <v>6.4232849904331576E-2</v>
      </c>
      <c r="AM58" s="105">
        <v>6.9896631566970083E-2</v>
      </c>
      <c r="AN58" s="105">
        <v>7.1299234984661633E-2</v>
      </c>
      <c r="AO58" s="105">
        <v>6.5573819686526855E-2</v>
      </c>
      <c r="AP58" s="105">
        <v>6.8958607441142378E-2</v>
      </c>
      <c r="AQ58" s="105">
        <v>5.8271213080624308E-2</v>
      </c>
      <c r="AR58" s="105">
        <v>6.7373842325104447E-2</v>
      </c>
      <c r="AS58" s="105">
        <v>7.4406311762913416E-2</v>
      </c>
      <c r="AT58" s="105">
        <v>7.9632369234397954E-2</v>
      </c>
      <c r="AU58" s="105">
        <v>8.2789924089890277E-2</v>
      </c>
      <c r="AV58" s="105">
        <v>7.3431158220808632E-2</v>
      </c>
      <c r="AW58" s="105">
        <v>6.3878885800362981E-2</v>
      </c>
      <c r="AX58" s="105">
        <v>5.9028390617912728E-2</v>
      </c>
      <c r="AY58" s="105">
        <v>8.2300448252312197E-2</v>
      </c>
      <c r="AZ58" s="105">
        <v>7.9835071266582763E-2</v>
      </c>
      <c r="BA58" s="105">
        <v>5.5591624626961836E-2</v>
      </c>
      <c r="BB58" s="105">
        <v>6.846075027976159E-2</v>
      </c>
      <c r="BC58" s="105">
        <v>6.2306435582380443E-2</v>
      </c>
      <c r="BD58" s="105">
        <v>7.252960844744466E-2</v>
      </c>
      <c r="BE58" s="105">
        <v>7.5532682349898739E-2</v>
      </c>
      <c r="BF58" s="105">
        <v>6.4673271986053535E-2</v>
      </c>
      <c r="BG58" s="105">
        <v>6.5211847122045696E-2</v>
      </c>
      <c r="BH58" s="105">
        <v>7.2510867097501097E-2</v>
      </c>
      <c r="BI58" s="105">
        <v>6.7732214149024875E-2</v>
      </c>
      <c r="BJ58" s="105">
        <v>7.584154833585402E-2</v>
      </c>
      <c r="BK58" s="105">
        <v>7.1701131830624293E-2</v>
      </c>
      <c r="BL58" s="105">
        <v>7.0224380686670806E-2</v>
      </c>
      <c r="BM58" s="105">
        <v>6.1147484163914155E-2</v>
      </c>
      <c r="BN58" s="105">
        <v>6.5493486091902253E-2</v>
      </c>
      <c r="BO58" s="105">
        <v>7.7083555691407055E-2</v>
      </c>
      <c r="BP58" s="105">
        <v>7.6698053091795185E-2</v>
      </c>
      <c r="BQ58" s="105">
        <v>7.5140037090155126E-2</v>
      </c>
      <c r="BR58" s="105">
        <v>7.2738991903953276E-2</v>
      </c>
      <c r="BS58" s="105">
        <v>6.0272745140284439E-2</v>
      </c>
      <c r="BT58" s="105">
        <v>5.5984886055064527E-2</v>
      </c>
      <c r="BU58" s="105">
        <v>6.9306637357225656E-2</v>
      </c>
      <c r="BV58" s="105">
        <v>8.014982307264619E-2</v>
      </c>
      <c r="BW58" s="105">
        <v>6.8598456837591415E-2</v>
      </c>
      <c r="BX58" s="105">
        <v>6.4872237792658272E-2</v>
      </c>
      <c r="BY58" s="105">
        <v>7.0664974355066842E-2</v>
      </c>
      <c r="BZ58" s="105">
        <v>6.5228648233354072E-2</v>
      </c>
      <c r="CA58" s="105">
        <v>7.3753788253861599E-2</v>
      </c>
      <c r="CB58" s="105">
        <v>6.3022100979639867E-2</v>
      </c>
      <c r="CC58" s="105">
        <v>5.9933440923893029E-2</v>
      </c>
      <c r="CD58" s="105">
        <v>6.3284302156298211E-2</v>
      </c>
      <c r="CE58" s="105">
        <v>6.6173162854904627E-2</v>
      </c>
      <c r="CF58" s="105">
        <v>6.1661494811619498E-2</v>
      </c>
      <c r="CG58" s="105">
        <v>8.402917178821985E-2</v>
      </c>
      <c r="CH58" s="105">
        <v>8.2808587828959335E-2</v>
      </c>
      <c r="CI58" s="105">
        <v>7.4150385568441085E-2</v>
      </c>
      <c r="CJ58" s="105">
        <v>8.2473620213700083E-2</v>
      </c>
      <c r="CK58" s="105">
        <v>7.0690780705250408E-2</v>
      </c>
      <c r="CL58" s="105">
        <v>6.2974514526379352E-2</v>
      </c>
      <c r="CM58" s="105">
        <v>7.4718090350696528E-2</v>
      </c>
      <c r="CN58" s="105">
        <v>5.4238219788563753E-2</v>
      </c>
      <c r="CO58" s="105">
        <v>6.9543335184205315E-2</v>
      </c>
      <c r="CP58" s="105">
        <v>7.182010902117851E-2</v>
      </c>
      <c r="CQ58" s="105">
        <v>6.5625653070434442E-2</v>
      </c>
      <c r="CR58" s="105">
        <v>7.5577549213542955E-2</v>
      </c>
      <c r="CS58" s="105">
        <v>6.7882952267147176E-2</v>
      </c>
      <c r="CT58" s="105">
        <v>6.8008063969220961E-2</v>
      </c>
      <c r="CU58" s="105">
        <v>8.9061438915595217E-2</v>
      </c>
      <c r="CV58" s="105">
        <v>5.8124858489446325E-2</v>
      </c>
      <c r="CW58" s="105">
        <v>7.1402956952469857E-2</v>
      </c>
      <c r="CX58" s="105">
        <v>6.8631910150615039E-2</v>
      </c>
    </row>
    <row r="59" spans="1:102">
      <c r="A59" s="23"/>
      <c r="B59" s="56" t="s">
        <v>56</v>
      </c>
      <c r="C59" s="105">
        <v>5.974031573963437E-2</v>
      </c>
      <c r="D59" s="105">
        <v>7.2385033687054651E-2</v>
      </c>
      <c r="E59" s="105">
        <v>7.4265314783764594E-2</v>
      </c>
      <c r="F59" s="105">
        <v>5.4287822128851013E-2</v>
      </c>
      <c r="G59" s="105">
        <v>5.6584950794038587E-2</v>
      </c>
      <c r="H59" s="105">
        <v>7.128655600251925E-2</v>
      </c>
      <c r="I59" s="105">
        <v>6.805527317545694E-2</v>
      </c>
      <c r="J59" s="105">
        <v>6.5925470627964708E-2</v>
      </c>
      <c r="K59" s="105">
        <v>4.9517869678921959E-2</v>
      </c>
      <c r="L59" s="105">
        <v>5.2756929098569737E-2</v>
      </c>
      <c r="M59" s="105">
        <v>6.1152391905828114E-2</v>
      </c>
      <c r="N59" s="105">
        <v>5.0887812212853378E-2</v>
      </c>
      <c r="O59" s="105">
        <v>5.2144713720480976E-2</v>
      </c>
      <c r="P59" s="105">
        <v>5.8187561550994187E-2</v>
      </c>
      <c r="Q59" s="105">
        <v>5.3810716783877319E-2</v>
      </c>
      <c r="R59" s="105">
        <v>5.8296178826436632E-2</v>
      </c>
      <c r="S59" s="105">
        <v>4.8012332503462651E-2</v>
      </c>
      <c r="T59" s="105">
        <v>6.8112623925875734E-2</v>
      </c>
      <c r="U59" s="105">
        <v>7.274113012838003E-2</v>
      </c>
      <c r="V59" s="105">
        <v>5.0077552417038047E-2</v>
      </c>
      <c r="W59" s="105">
        <v>5.7226403892673396E-2</v>
      </c>
      <c r="X59" s="105">
        <v>7.2355498475345503E-2</v>
      </c>
      <c r="Y59" s="105">
        <v>5.1029702732348067E-2</v>
      </c>
      <c r="Z59" s="105">
        <v>7.4995905644755112E-2</v>
      </c>
      <c r="AA59" s="105">
        <v>6.9714401891688899E-2</v>
      </c>
      <c r="AB59" s="105">
        <v>6.0485510673409106E-2</v>
      </c>
      <c r="AC59" s="105">
        <v>4.6286047672296327E-2</v>
      </c>
      <c r="AD59" s="105">
        <v>7.003173682884016E-2</v>
      </c>
      <c r="AE59" s="105">
        <v>5.9836766853624372E-2</v>
      </c>
      <c r="AF59" s="105">
        <v>5.8899063173026414E-2</v>
      </c>
      <c r="AG59" s="105">
        <v>5.6420280468411022E-2</v>
      </c>
      <c r="AH59" s="105">
        <v>6.0043788891349814E-2</v>
      </c>
      <c r="AI59" s="105">
        <v>4.8344562964351002E-2</v>
      </c>
      <c r="AJ59" s="105">
        <v>6.4071755157407789E-2</v>
      </c>
      <c r="AK59" s="105">
        <v>6.2826731044460932E-2</v>
      </c>
      <c r="AL59" s="105">
        <v>5.0580652738082113E-2</v>
      </c>
      <c r="AM59" s="105">
        <v>5.8382999424103486E-2</v>
      </c>
      <c r="AN59" s="105">
        <v>6.5904874869213911E-2</v>
      </c>
      <c r="AO59" s="105">
        <v>5.7706969396736564E-2</v>
      </c>
      <c r="AP59" s="105">
        <v>5.4590524894337786E-2</v>
      </c>
      <c r="AQ59" s="105">
        <v>4.3636097075698738E-2</v>
      </c>
      <c r="AR59" s="105">
        <v>5.7481382210927148E-2</v>
      </c>
      <c r="AS59" s="105">
        <v>6.2585944556249329E-2</v>
      </c>
      <c r="AT59" s="105">
        <v>6.4932476810070555E-2</v>
      </c>
      <c r="AU59" s="105">
        <v>6.7785087377827402E-2</v>
      </c>
      <c r="AV59" s="105">
        <v>5.5762177559764668E-2</v>
      </c>
      <c r="AW59" s="105">
        <v>5.4435824755511973E-2</v>
      </c>
      <c r="AX59" s="105">
        <v>4.5960246590577881E-2</v>
      </c>
      <c r="AY59" s="105">
        <v>6.9054141646535436E-2</v>
      </c>
      <c r="AZ59" s="105">
        <v>6.3556446666505048E-2</v>
      </c>
      <c r="BA59" s="105">
        <v>4.465590112330016E-2</v>
      </c>
      <c r="BB59" s="105">
        <v>5.7927422542008902E-2</v>
      </c>
      <c r="BC59" s="105">
        <v>4.8426606350298537E-2</v>
      </c>
      <c r="BD59" s="105">
        <v>6.216878446874851E-2</v>
      </c>
      <c r="BE59" s="105">
        <v>6.3852157882501301E-2</v>
      </c>
      <c r="BF59" s="105">
        <v>5.3157923133047652E-2</v>
      </c>
      <c r="BG59" s="105">
        <v>4.9913580419663407E-2</v>
      </c>
      <c r="BH59" s="105">
        <v>5.7480832530169883E-2</v>
      </c>
      <c r="BI59" s="105">
        <v>5.2223654273991206E-2</v>
      </c>
      <c r="BJ59" s="105">
        <v>6.1522907927449487E-2</v>
      </c>
      <c r="BK59" s="105">
        <v>5.7458579704477229E-2</v>
      </c>
      <c r="BL59" s="105">
        <v>5.634919731756001E-2</v>
      </c>
      <c r="BM59" s="105">
        <v>4.8369617223749571E-2</v>
      </c>
      <c r="BN59" s="105">
        <v>5.1126102351609949E-2</v>
      </c>
      <c r="BO59" s="105">
        <v>6.4413635984892997E-2</v>
      </c>
      <c r="BP59" s="105">
        <v>5.9459192400449487E-2</v>
      </c>
      <c r="BQ59" s="105">
        <v>6.4083440213873924E-2</v>
      </c>
      <c r="BR59" s="105">
        <v>6.2043650205566868E-2</v>
      </c>
      <c r="BS59" s="105">
        <v>5.393388020478062E-2</v>
      </c>
      <c r="BT59" s="105">
        <v>4.6007402063404312E-2</v>
      </c>
      <c r="BU59" s="105">
        <v>6.1043623038077213E-2</v>
      </c>
      <c r="BV59" s="105">
        <v>6.3722557841693728E-2</v>
      </c>
      <c r="BW59" s="105">
        <v>5.7930034817771113E-2</v>
      </c>
      <c r="BX59" s="105">
        <v>5.5006675009334524E-2</v>
      </c>
      <c r="BY59" s="105">
        <v>6.1358611730482834E-2</v>
      </c>
      <c r="BZ59" s="105">
        <v>5.9540460338240793E-2</v>
      </c>
      <c r="CA59" s="105">
        <v>6.2330447216705914E-2</v>
      </c>
      <c r="CB59" s="105">
        <v>4.7745394658332059E-2</v>
      </c>
      <c r="CC59" s="105">
        <v>5.1874471400329317E-2</v>
      </c>
      <c r="CD59" s="105">
        <v>4.999980877442111E-2</v>
      </c>
      <c r="CE59" s="105">
        <v>5.2738790939443607E-2</v>
      </c>
      <c r="CF59" s="105">
        <v>5.05935277205651E-2</v>
      </c>
      <c r="CG59" s="105">
        <v>7.4035089571029972E-2</v>
      </c>
      <c r="CH59" s="105">
        <v>7.5277642394532371E-2</v>
      </c>
      <c r="CI59" s="105">
        <v>5.9918325171422357E-2</v>
      </c>
      <c r="CJ59" s="105">
        <v>6.5784997804391593E-2</v>
      </c>
      <c r="CK59" s="105">
        <v>5.6976301003605893E-2</v>
      </c>
      <c r="CL59" s="105">
        <v>5.3737019740706646E-2</v>
      </c>
      <c r="CM59" s="105">
        <v>6.0673857562123193E-2</v>
      </c>
      <c r="CN59" s="105">
        <v>4.1166606288486292E-2</v>
      </c>
      <c r="CO59" s="105">
        <v>5.8632698056986704E-2</v>
      </c>
      <c r="CP59" s="105">
        <v>5.7720922855223671E-2</v>
      </c>
      <c r="CQ59" s="105">
        <v>4.8530330786255856E-2</v>
      </c>
      <c r="CR59" s="105">
        <v>5.9620581798202912E-2</v>
      </c>
      <c r="CS59" s="105">
        <v>5.142033380163314E-2</v>
      </c>
      <c r="CT59" s="105">
        <v>5.4710500134130861E-2</v>
      </c>
      <c r="CU59" s="105">
        <v>7.8075065586171874E-2</v>
      </c>
      <c r="CV59" s="105">
        <v>4.6815407898971033E-2</v>
      </c>
      <c r="CW59" s="105">
        <v>5.8925675329014819E-2</v>
      </c>
      <c r="CX59" s="105">
        <v>5.5991015911135686E-2</v>
      </c>
    </row>
    <row r="60" spans="1:102">
      <c r="A60" s="106"/>
      <c r="B60" s="56" t="s">
        <v>114</v>
      </c>
      <c r="C60" s="105">
        <v>0.94222983409119099</v>
      </c>
      <c r="D60" s="105">
        <v>0.93860062124203014</v>
      </c>
      <c r="E60" s="105">
        <v>0.94444997650786855</v>
      </c>
      <c r="F60" s="105">
        <v>0.94865148328139126</v>
      </c>
      <c r="G60" s="105">
        <v>0.95716828249904917</v>
      </c>
      <c r="H60" s="105">
        <v>0.94328071383457968</v>
      </c>
      <c r="I60" s="105">
        <v>0.92103035948914236</v>
      </c>
      <c r="J60" s="105">
        <v>0.94513742244731691</v>
      </c>
      <c r="K60" s="105">
        <v>0.95114534608051293</v>
      </c>
      <c r="L60" s="105">
        <v>0.94616288308383589</v>
      </c>
      <c r="M60" s="105">
        <v>0.95822503080474619</v>
      </c>
      <c r="N60" s="105">
        <v>0.95543435157687939</v>
      </c>
      <c r="O60" s="105">
        <v>0.95149865641963594</v>
      </c>
      <c r="P60" s="105">
        <v>0.93509576080388501</v>
      </c>
      <c r="Q60" s="105">
        <v>0.93945428438930811</v>
      </c>
      <c r="R60" s="105">
        <v>0.95736743477411501</v>
      </c>
      <c r="S60" s="105">
        <v>0.95684960263122354</v>
      </c>
      <c r="T60" s="105">
        <v>0.91887309068286427</v>
      </c>
      <c r="U60" s="105">
        <v>0.9472201198498188</v>
      </c>
      <c r="V60" s="105">
        <v>0.95069386500433051</v>
      </c>
      <c r="W60" s="105">
        <v>0.94569662973450297</v>
      </c>
      <c r="X60" s="105">
        <v>0.92757749093205477</v>
      </c>
      <c r="Y60" s="105">
        <v>0.95855768590346435</v>
      </c>
      <c r="Z60" s="105">
        <v>0.94848201613964778</v>
      </c>
      <c r="AA60" s="105">
        <v>0.91681434276460616</v>
      </c>
      <c r="AB60" s="105">
        <v>0.93086188914382828</v>
      </c>
      <c r="AC60" s="105">
        <v>0.96251523398089178</v>
      </c>
      <c r="AD60" s="105">
        <v>0.93814011685742005</v>
      </c>
      <c r="AE60" s="105">
        <v>0.9339383212659299</v>
      </c>
      <c r="AF60" s="105">
        <v>0.93430027307469776</v>
      </c>
      <c r="AG60" s="105">
        <v>0.95868311648311599</v>
      </c>
      <c r="AH60" s="105">
        <v>0.95088987915954526</v>
      </c>
      <c r="AI60" s="105">
        <v>0.95326886046144899</v>
      </c>
      <c r="AJ60" s="105">
        <v>0.92556796768902583</v>
      </c>
      <c r="AK60" s="105">
        <v>0.93825034390209994</v>
      </c>
      <c r="AL60" s="105">
        <v>0.95543368092006431</v>
      </c>
      <c r="AM60" s="105">
        <v>0.94516627669838904</v>
      </c>
      <c r="AN60" s="105">
        <v>0.9519357389843307</v>
      </c>
      <c r="AO60" s="105">
        <v>0.9515278101308593</v>
      </c>
      <c r="AP60" s="105">
        <v>0.92437218460859305</v>
      </c>
      <c r="AQ60" s="105">
        <v>0.95647869741661529</v>
      </c>
      <c r="AR60" s="105">
        <v>0.94776076029031531</v>
      </c>
      <c r="AS60" s="105">
        <v>0.93733715267078299</v>
      </c>
      <c r="AT60" s="105">
        <v>0.90981329306317593</v>
      </c>
      <c r="AU60" s="105">
        <v>0.93378578318676619</v>
      </c>
      <c r="AV60" s="105">
        <v>0.94443396747973962</v>
      </c>
      <c r="AW60" s="105">
        <v>0.95296853832802331</v>
      </c>
      <c r="AX60" s="105">
        <v>0.95877746162408484</v>
      </c>
      <c r="AY60" s="105">
        <v>0.94068791283621855</v>
      </c>
      <c r="AZ60" s="105">
        <v>0.91595242066045035</v>
      </c>
      <c r="BA60" s="105">
        <v>0.94907396129003807</v>
      </c>
      <c r="BB60" s="105">
        <v>0.93432434569708234</v>
      </c>
      <c r="BC60" s="105">
        <v>0.94961432726420203</v>
      </c>
      <c r="BD60" s="105">
        <v>0.94552262630866757</v>
      </c>
      <c r="BE60" s="105">
        <v>0.94491090119990262</v>
      </c>
      <c r="BF60" s="105">
        <v>0.94633041525951533</v>
      </c>
      <c r="BG60" s="105">
        <v>0.93670462556284861</v>
      </c>
      <c r="BH60" s="105">
        <v>0.91809925706952189</v>
      </c>
      <c r="BI60" s="105">
        <v>0.94370816283861936</v>
      </c>
      <c r="BJ60" s="105">
        <v>0.93413122466869858</v>
      </c>
      <c r="BK60" s="105">
        <v>0.93227408685645585</v>
      </c>
      <c r="BL60" s="105">
        <v>0.93853777952197803</v>
      </c>
      <c r="BM60" s="105">
        <v>0.95765463156662567</v>
      </c>
      <c r="BN60" s="105">
        <v>0.94877334502124278</v>
      </c>
      <c r="BO60" s="105">
        <v>0.95424874535582782</v>
      </c>
      <c r="BP60" s="105">
        <v>0.94165650946237267</v>
      </c>
      <c r="BQ60" s="105">
        <v>0.92693303504193969</v>
      </c>
      <c r="BR60" s="105">
        <v>0.93140169060960065</v>
      </c>
      <c r="BS60" s="105">
        <v>0.95850753379001008</v>
      </c>
      <c r="BT60" s="105">
        <v>0.95619006907726301</v>
      </c>
      <c r="BU60" s="105">
        <v>0.9405925106670725</v>
      </c>
      <c r="BV60" s="105">
        <v>0.93272970385434095</v>
      </c>
      <c r="BW60" s="105">
        <v>0.94377437052614976</v>
      </c>
      <c r="BX60" s="105">
        <v>0.94103298642164401</v>
      </c>
      <c r="BY60" s="105">
        <v>0.94809069103061172</v>
      </c>
      <c r="BZ60" s="105">
        <v>0.95816180149244268</v>
      </c>
      <c r="CA60" s="105">
        <v>0.93433320800562791</v>
      </c>
      <c r="CB60" s="105">
        <v>0.94431151678093372</v>
      </c>
      <c r="CC60" s="105">
        <v>0.95970001385248982</v>
      </c>
      <c r="CD60" s="105">
        <v>0.93674884392607627</v>
      </c>
      <c r="CE60" s="105">
        <v>0.95161137141696317</v>
      </c>
      <c r="CF60" s="105">
        <v>0.94736974099947158</v>
      </c>
      <c r="CG60" s="105">
        <v>0.92266304458636583</v>
      </c>
      <c r="CH60" s="105">
        <v>0.93569657403453221</v>
      </c>
      <c r="CI60" s="105">
        <v>0.95563569535655457</v>
      </c>
      <c r="CJ60" s="105">
        <v>0.92719368899818755</v>
      </c>
      <c r="CK60" s="105">
        <v>0.92875261517255092</v>
      </c>
      <c r="CL60" s="105">
        <v>0.95664430694768288</v>
      </c>
      <c r="CM60" s="105">
        <v>0.92905709868602449</v>
      </c>
      <c r="CN60" s="105">
        <v>0.96285046960779319</v>
      </c>
      <c r="CO60" s="105">
        <v>0.94262643841452753</v>
      </c>
      <c r="CP60" s="105">
        <v>0.93055624543235549</v>
      </c>
      <c r="CQ60" s="105">
        <v>0.95676665225060165</v>
      </c>
      <c r="CR60" s="105">
        <v>0.93326594804499408</v>
      </c>
      <c r="CS60" s="105">
        <v>0.93220474376121232</v>
      </c>
      <c r="CT60" s="105">
        <v>0.95163128231695637</v>
      </c>
      <c r="CU60" s="105">
        <v>0.94232828131401236</v>
      </c>
      <c r="CV60" s="105">
        <v>0.96045455796467438</v>
      </c>
      <c r="CW60" s="105">
        <v>0.94312735134444814</v>
      </c>
      <c r="CX60" s="105">
        <v>0.93089091117785949</v>
      </c>
    </row>
    <row r="61" spans="1:102">
      <c r="A61" s="108" t="str">
        <f>Parameters!A45</f>
        <v>Kansgewogen</v>
      </c>
      <c r="B61" s="102" t="s">
        <v>29</v>
      </c>
      <c r="C61" s="103">
        <v>-1.9965891422709754E-3</v>
      </c>
      <c r="D61" s="103">
        <v>-3.2833461130491338E-4</v>
      </c>
      <c r="E61" s="103">
        <v>-4.5513793647785966E-4</v>
      </c>
      <c r="F61" s="103">
        <v>-3.0569612563214636E-3</v>
      </c>
      <c r="G61" s="103">
        <v>-2.1040009628240197E-3</v>
      </c>
      <c r="H61" s="103">
        <v>-1.2506474206160356E-3</v>
      </c>
      <c r="I61" s="103">
        <v>-1.9833426071802507E-4</v>
      </c>
      <c r="J61" s="103">
        <v>-1.0498292451670203E-3</v>
      </c>
      <c r="K61" s="103">
        <v>-3.5350251721472182E-3</v>
      </c>
      <c r="L61" s="103">
        <v>-3.1673302471643102E-3</v>
      </c>
      <c r="M61" s="103">
        <v>-1.7665861134738992E-3</v>
      </c>
      <c r="N61" s="103">
        <v>-4.1908602609615044E-3</v>
      </c>
      <c r="O61" s="103">
        <v>-3.0247943832299221E-3</v>
      </c>
      <c r="P61" s="103">
        <v>-2.2095125192788992E-3</v>
      </c>
      <c r="Q61" s="103">
        <v>-2.8242520827593308E-3</v>
      </c>
      <c r="R61" s="103">
        <v>-2.3661476927321762E-3</v>
      </c>
      <c r="S61" s="103">
        <v>-4.0150463414485192E-3</v>
      </c>
      <c r="T61" s="103">
        <v>-2.6633895341600334E-4</v>
      </c>
      <c r="U61" s="103">
        <v>-2.9481627560288453E-4</v>
      </c>
      <c r="V61" s="103">
        <v>-3.9008188176442196E-3</v>
      </c>
      <c r="W61" s="103">
        <v>-2.3096132478906319E-3</v>
      </c>
      <c r="X61" s="103">
        <v>2.8353142704041654E-4</v>
      </c>
      <c r="Y61" s="103">
        <v>-4.3053265309723381E-3</v>
      </c>
      <c r="Z61" s="103">
        <v>-8.916690068987718E-4</v>
      </c>
      <c r="AA61" s="103">
        <v>4.5922202278700407E-5</v>
      </c>
      <c r="AB61" s="103">
        <v>-1.5388160572569073E-3</v>
      </c>
      <c r="AC61" s="103">
        <v>-4.5437027837982071E-3</v>
      </c>
      <c r="AD61" s="103">
        <v>-6.1312820916536786E-4</v>
      </c>
      <c r="AE61" s="103">
        <v>-1.3343669556075573E-3</v>
      </c>
      <c r="AF61" s="103">
        <v>-2.2630197756367313E-3</v>
      </c>
      <c r="AG61" s="103">
        <v>-3.5055987220983598E-3</v>
      </c>
      <c r="AH61" s="103">
        <v>-2.58407701310668E-3</v>
      </c>
      <c r="AI61" s="103">
        <v>-3.448865721546083E-3</v>
      </c>
      <c r="AJ61" s="103">
        <v>-1.2631703796670199E-3</v>
      </c>
      <c r="AK61" s="103">
        <v>-9.772627492755238E-4</v>
      </c>
      <c r="AL61" s="103">
        <v>-3.4663590511730801E-3</v>
      </c>
      <c r="AM61" s="103">
        <v>-2.1755138400235312E-3</v>
      </c>
      <c r="AN61" s="103">
        <v>-2.0847744174106782E-3</v>
      </c>
      <c r="AO61" s="103">
        <v>-2.1092324090594408E-3</v>
      </c>
      <c r="AP61" s="103">
        <v>-2.2379660228251941E-3</v>
      </c>
      <c r="AQ61" s="103">
        <v>-4.6005077334870352E-3</v>
      </c>
      <c r="AR61" s="103">
        <v>-1.929921404107352E-3</v>
      </c>
      <c r="AS61" s="103">
        <v>-9.5776990828927953E-4</v>
      </c>
      <c r="AT61" s="103">
        <v>-2.7529902158887528E-4</v>
      </c>
      <c r="AU61" s="103">
        <v>-9.2274311297729956E-4</v>
      </c>
      <c r="AV61" s="103">
        <v>-2.0659043225818531E-3</v>
      </c>
      <c r="AW61" s="103">
        <v>-3.1183254981377393E-3</v>
      </c>
      <c r="AX61" s="103">
        <v>-4.3970584409860833E-3</v>
      </c>
      <c r="AY61" s="103">
        <v>-1.1966981340021969E-3</v>
      </c>
      <c r="AZ61" s="103">
        <v>-5.1676995945065709E-4</v>
      </c>
      <c r="BA61" s="103">
        <v>-4.8755358124081792E-3</v>
      </c>
      <c r="BB61" s="103">
        <v>-2.2273022778660522E-3</v>
      </c>
      <c r="BC61" s="103">
        <v>-3.8462709329754609E-3</v>
      </c>
      <c r="BD61" s="103">
        <v>-1.9907708017876976E-3</v>
      </c>
      <c r="BE61" s="103">
        <v>-2.4531650429240695E-3</v>
      </c>
      <c r="BF61" s="103">
        <v>-3.4769760597601184E-3</v>
      </c>
      <c r="BG61" s="103">
        <v>-2.9680875223991989E-3</v>
      </c>
      <c r="BH61" s="103">
        <v>-1.5216214229861263E-3</v>
      </c>
      <c r="BI61" s="103">
        <v>-2.6039138699750219E-3</v>
      </c>
      <c r="BJ61" s="103">
        <v>-1.053808701596874E-3</v>
      </c>
      <c r="BK61" s="103">
        <v>-1.4702076880745891E-3</v>
      </c>
      <c r="BL61" s="103">
        <v>-2.0612065889550218E-3</v>
      </c>
      <c r="BM61" s="103">
        <v>-3.6076590248749424E-3</v>
      </c>
      <c r="BN61" s="103">
        <v>-2.9744645230213801E-3</v>
      </c>
      <c r="BO61" s="103">
        <v>-8.010951943452191E-4</v>
      </c>
      <c r="BP61" s="103">
        <v>-1.7481291112163809E-3</v>
      </c>
      <c r="BQ61" s="103">
        <v>-6.9292805245726823E-4</v>
      </c>
      <c r="BR61" s="103">
        <v>-1.3517479644042825E-3</v>
      </c>
      <c r="BS61" s="103">
        <v>-3.7164336534781938E-3</v>
      </c>
      <c r="BT61" s="103">
        <v>-4.5379317390323816E-3</v>
      </c>
      <c r="BU61" s="103">
        <v>-2.5612979094493463E-3</v>
      </c>
      <c r="BV61" s="103">
        <v>-1.5368473524884599E-3</v>
      </c>
      <c r="BW61" s="103">
        <v>-3.703532473800529E-3</v>
      </c>
      <c r="BX61" s="103">
        <v>-2.8946493894659595E-3</v>
      </c>
      <c r="BY61" s="103">
        <v>-2.6999511323665256E-3</v>
      </c>
      <c r="BZ61" s="103">
        <v>-2.8874660465738767E-3</v>
      </c>
      <c r="CA61" s="103">
        <v>-2.0896456782308866E-3</v>
      </c>
      <c r="CB61" s="103">
        <v>-3.7959219693973426E-3</v>
      </c>
      <c r="CC61" s="103">
        <v>-4.223474148936879E-3</v>
      </c>
      <c r="CD61" s="103">
        <v>-3.1231370237490711E-3</v>
      </c>
      <c r="CE61" s="103">
        <v>-3.6030244912832756E-3</v>
      </c>
      <c r="CF61" s="103">
        <v>-3.5003700433469489E-3</v>
      </c>
      <c r="CG61" s="103">
        <v>7.4557911620861772E-4</v>
      </c>
      <c r="CH61" s="103">
        <v>-5.8478131735928657E-4</v>
      </c>
      <c r="CI61" s="103">
        <v>-3.1174410627786784E-3</v>
      </c>
      <c r="CJ61" s="103">
        <v>-4.1520141702083038E-4</v>
      </c>
      <c r="CK61" s="103">
        <v>-1.7202566790374442E-3</v>
      </c>
      <c r="CL61" s="103">
        <v>-3.3713619734911339E-3</v>
      </c>
      <c r="CM61" s="103">
        <v>-2.1210540291228012E-3</v>
      </c>
      <c r="CN61" s="103">
        <v>-5.2275311287845487E-3</v>
      </c>
      <c r="CO61" s="103">
        <v>-2.3655654659697377E-3</v>
      </c>
      <c r="CP61" s="103">
        <v>-2.6925571439268517E-3</v>
      </c>
      <c r="CQ61" s="103">
        <v>-3.6028510900822422E-3</v>
      </c>
      <c r="CR61" s="103">
        <v>-1.1223184632949759E-3</v>
      </c>
      <c r="CS61" s="103">
        <v>-3.3305596636187479E-3</v>
      </c>
      <c r="CT61" s="103">
        <v>-2.9553577936519576E-3</v>
      </c>
      <c r="CU61" s="103">
        <v>-3.2914189635812989E-4</v>
      </c>
      <c r="CV61" s="103">
        <v>-3.7599857259590008E-3</v>
      </c>
      <c r="CW61" s="103">
        <v>-3.1905712371930748E-3</v>
      </c>
      <c r="CX61" s="103">
        <v>-2.2300338980921919E-3</v>
      </c>
    </row>
    <row r="62" spans="1:102">
      <c r="A62" s="23"/>
      <c r="B62" s="14" t="s">
        <v>30</v>
      </c>
      <c r="C62" s="105">
        <v>7.55000706074581E-2</v>
      </c>
      <c r="D62" s="105">
        <v>8.1339111881223947E-2</v>
      </c>
      <c r="E62" s="105">
        <v>8.312184850410162E-2</v>
      </c>
      <c r="F62" s="105">
        <v>7.3524239002275019E-2</v>
      </c>
      <c r="G62" s="105">
        <v>7.4950914714838834E-2</v>
      </c>
      <c r="H62" s="105">
        <v>8.1376767447035009E-2</v>
      </c>
      <c r="I62" s="105">
        <v>8.0707636799250457E-2</v>
      </c>
      <c r="J62" s="105">
        <v>8.0717660565569602E-2</v>
      </c>
      <c r="K62" s="105">
        <v>7.209022230704297E-2</v>
      </c>
      <c r="L62" s="105">
        <v>7.2834748898785467E-2</v>
      </c>
      <c r="M62" s="105">
        <v>7.8127556917997401E-2</v>
      </c>
      <c r="N62" s="105">
        <v>7.2073862026163948E-2</v>
      </c>
      <c r="O62" s="105">
        <v>7.0064147124836676E-2</v>
      </c>
      <c r="P62" s="105">
        <v>7.4961758483651858E-2</v>
      </c>
      <c r="Q62" s="105">
        <v>7.2114446247016212E-2</v>
      </c>
      <c r="R62" s="105">
        <v>7.564989056064074E-2</v>
      </c>
      <c r="S62" s="105">
        <v>7.1603494850526542E-2</v>
      </c>
      <c r="T62" s="105">
        <v>8.1971673280971963E-2</v>
      </c>
      <c r="U62" s="105">
        <v>8.4383152516652196E-2</v>
      </c>
      <c r="V62" s="105">
        <v>7.2719473785387359E-2</v>
      </c>
      <c r="W62" s="105">
        <v>7.8400589025465886E-2</v>
      </c>
      <c r="X62" s="105">
        <v>8.2291416067072687E-2</v>
      </c>
      <c r="Y62" s="105">
        <v>7.1671837114773457E-2</v>
      </c>
      <c r="Z62" s="105">
        <v>8.6737000135940628E-2</v>
      </c>
      <c r="AA62" s="105">
        <v>8.4811592971491184E-2</v>
      </c>
      <c r="AB62" s="105">
        <v>7.9781226755465312E-2</v>
      </c>
      <c r="AC62" s="105">
        <v>7.0348933875875597E-2</v>
      </c>
      <c r="AD62" s="105">
        <v>8.1723471028420036E-2</v>
      </c>
      <c r="AE62" s="105">
        <v>7.5403981647958834E-2</v>
      </c>
      <c r="AF62" s="105">
        <v>7.7405324538336415E-2</v>
      </c>
      <c r="AG62" s="105">
        <v>7.3378455168997062E-2</v>
      </c>
      <c r="AH62" s="105">
        <v>7.7763481787816974E-2</v>
      </c>
      <c r="AI62" s="105">
        <v>7.0985985844515043E-2</v>
      </c>
      <c r="AJ62" s="105">
        <v>8.0692144517069964E-2</v>
      </c>
      <c r="AK62" s="105">
        <v>8.2155292622808254E-2</v>
      </c>
      <c r="AL62" s="105">
        <v>7.2008833245622988E-2</v>
      </c>
      <c r="AM62" s="105">
        <v>7.5330438622384061E-2</v>
      </c>
      <c r="AN62" s="105">
        <v>8.0265586349996976E-2</v>
      </c>
      <c r="AO62" s="105">
        <v>7.0926286245761805E-2</v>
      </c>
      <c r="AP62" s="105">
        <v>7.3110446883804775E-2</v>
      </c>
      <c r="AQ62" s="105">
        <v>6.8958688696968376E-2</v>
      </c>
      <c r="AR62" s="105">
        <v>7.1010263517767624E-2</v>
      </c>
      <c r="AS62" s="105">
        <v>7.5800357034645743E-2</v>
      </c>
      <c r="AT62" s="105">
        <v>8.0299941469158156E-2</v>
      </c>
      <c r="AU62" s="105">
        <v>8.3050948648862241E-2</v>
      </c>
      <c r="AV62" s="105">
        <v>7.9936892839486587E-2</v>
      </c>
      <c r="AW62" s="105">
        <v>7.266925867282896E-2</v>
      </c>
      <c r="AX62" s="105">
        <v>6.8855540551753261E-2</v>
      </c>
      <c r="AY62" s="105">
        <v>8.2104009214376328E-2</v>
      </c>
      <c r="AZ62" s="105">
        <v>8.1433591680934142E-2</v>
      </c>
      <c r="BA62" s="105">
        <v>6.6063791550348902E-2</v>
      </c>
      <c r="BB62" s="105">
        <v>7.2962470288677417E-2</v>
      </c>
      <c r="BC62" s="105">
        <v>6.9932705889301172E-2</v>
      </c>
      <c r="BD62" s="105">
        <v>7.7060109926077772E-2</v>
      </c>
      <c r="BE62" s="105">
        <v>7.8503115253675732E-2</v>
      </c>
      <c r="BF62" s="105">
        <v>7.0072138113770124E-2</v>
      </c>
      <c r="BG62" s="105">
        <v>7.0549626986244465E-2</v>
      </c>
      <c r="BH62" s="105">
        <v>7.5023797855715266E-2</v>
      </c>
      <c r="BI62" s="105">
        <v>7.4277102838248274E-2</v>
      </c>
      <c r="BJ62" s="105">
        <v>7.8925081386741938E-2</v>
      </c>
      <c r="BK62" s="105">
        <v>7.3963512239360291E-2</v>
      </c>
      <c r="BL62" s="105">
        <v>7.2591211361054106E-2</v>
      </c>
      <c r="BM62" s="105">
        <v>6.9826701789418924E-2</v>
      </c>
      <c r="BN62" s="105">
        <v>7.2812851457225117E-2</v>
      </c>
      <c r="BO62" s="105">
        <v>8.1953377408787609E-2</v>
      </c>
      <c r="BP62" s="105">
        <v>8.0078254930023823E-2</v>
      </c>
      <c r="BQ62" s="105">
        <v>7.6204355123576012E-2</v>
      </c>
      <c r="BR62" s="105">
        <v>7.5645006990949851E-2</v>
      </c>
      <c r="BS62" s="105">
        <v>7.1838923120735143E-2</v>
      </c>
      <c r="BT62" s="105">
        <v>6.6306011877745277E-2</v>
      </c>
      <c r="BU62" s="105">
        <v>7.4728800259703007E-2</v>
      </c>
      <c r="BV62" s="105">
        <v>8.2607330300704579E-2</v>
      </c>
      <c r="BW62" s="105">
        <v>7.4555014501764008E-2</v>
      </c>
      <c r="BX62" s="105">
        <v>7.0932671340695044E-2</v>
      </c>
      <c r="BY62" s="105">
        <v>7.6390097406981355E-2</v>
      </c>
      <c r="BZ62" s="105">
        <v>7.6805924700733677E-2</v>
      </c>
      <c r="CA62" s="105">
        <v>7.8290646636310912E-2</v>
      </c>
      <c r="CB62" s="105">
        <v>6.8977375480344549E-2</v>
      </c>
      <c r="CC62" s="105">
        <v>7.2803971217071703E-2</v>
      </c>
      <c r="CD62" s="105">
        <v>6.9327837735309997E-2</v>
      </c>
      <c r="CE62" s="105">
        <v>7.1800656293314502E-2</v>
      </c>
      <c r="CF62" s="105">
        <v>6.7737905294982845E-2</v>
      </c>
      <c r="CG62" s="105">
        <v>8.0717735554411002E-2</v>
      </c>
      <c r="CH62" s="105">
        <v>8.6430893785423055E-2</v>
      </c>
      <c r="CI62" s="105">
        <v>8.0040499021789724E-2</v>
      </c>
      <c r="CJ62" s="105">
        <v>8.6036224912253143E-2</v>
      </c>
      <c r="CK62" s="105">
        <v>7.4072193430382738E-2</v>
      </c>
      <c r="CL62" s="105">
        <v>7.1794166766912096E-2</v>
      </c>
      <c r="CM62" s="105">
        <v>7.4674623194187911E-2</v>
      </c>
      <c r="CN62" s="105">
        <v>6.6392329203868353E-2</v>
      </c>
      <c r="CO62" s="105">
        <v>7.3228539083881231E-2</v>
      </c>
      <c r="CP62" s="105">
        <v>7.6999499752392189E-2</v>
      </c>
      <c r="CQ62" s="105">
        <v>7.2179731949660667E-2</v>
      </c>
      <c r="CR62" s="105">
        <v>7.7439313097462714E-2</v>
      </c>
      <c r="CS62" s="105">
        <v>7.1813655054583259E-2</v>
      </c>
      <c r="CT62" s="105">
        <v>7.7552397166959872E-2</v>
      </c>
      <c r="CU62" s="105">
        <v>8.8559977604990861E-2</v>
      </c>
      <c r="CV62" s="105">
        <v>6.7450025202821978E-2</v>
      </c>
      <c r="CW62" s="105">
        <v>7.4643463666804716E-2</v>
      </c>
      <c r="CX62" s="105">
        <v>7.2487822509819985E-2</v>
      </c>
    </row>
    <row r="63" spans="1:102">
      <c r="A63" s="23"/>
      <c r="B63" s="56" t="s">
        <v>56</v>
      </c>
      <c r="C63" s="105">
        <v>6.3212259008653557E-2</v>
      </c>
      <c r="D63" s="105">
        <v>7.2504158190748028E-2</v>
      </c>
      <c r="E63" s="105">
        <v>7.3300312549099383E-2</v>
      </c>
      <c r="F63" s="105">
        <v>5.8351075102400965E-2</v>
      </c>
      <c r="G63" s="105">
        <v>6.5259478276575147E-2</v>
      </c>
      <c r="H63" s="105">
        <v>6.9451494638221728E-2</v>
      </c>
      <c r="I63" s="105">
        <v>7.1907940218721461E-2</v>
      </c>
      <c r="J63" s="105">
        <v>6.683516012931956E-2</v>
      </c>
      <c r="K63" s="105">
        <v>5.6783621800127602E-2</v>
      </c>
      <c r="L63" s="105">
        <v>5.8995545188214975E-2</v>
      </c>
      <c r="M63" s="105">
        <v>6.7748076060510615E-2</v>
      </c>
      <c r="N63" s="105">
        <v>5.5957843488841003E-2</v>
      </c>
      <c r="O63" s="105">
        <v>5.8166172885858E-2</v>
      </c>
      <c r="P63" s="105">
        <v>6.3737596534091584E-2</v>
      </c>
      <c r="Q63" s="105">
        <v>6.0423359500722369E-2</v>
      </c>
      <c r="R63" s="105">
        <v>6.2776635732449668E-2</v>
      </c>
      <c r="S63" s="105">
        <v>5.4840471157611453E-2</v>
      </c>
      <c r="T63" s="105">
        <v>7.2345663060960519E-2</v>
      </c>
      <c r="U63" s="105">
        <v>7.1859189548490437E-2</v>
      </c>
      <c r="V63" s="105">
        <v>5.5460604550377816E-2</v>
      </c>
      <c r="W63" s="105">
        <v>6.3468241408671952E-2</v>
      </c>
      <c r="X63" s="105">
        <v>7.461744440090784E-2</v>
      </c>
      <c r="Y63" s="105">
        <v>5.5091683097980078E-2</v>
      </c>
      <c r="Z63" s="105">
        <v>7.4586910602235323E-2</v>
      </c>
      <c r="AA63" s="105">
        <v>7.2965195274707281E-2</v>
      </c>
      <c r="AB63" s="105">
        <v>6.5279608013370585E-2</v>
      </c>
      <c r="AC63" s="105">
        <v>5.465902042313784E-2</v>
      </c>
      <c r="AD63" s="105">
        <v>6.987023089973457E-2</v>
      </c>
      <c r="AE63" s="105">
        <v>6.6632564651006407E-2</v>
      </c>
      <c r="AF63" s="105">
        <v>6.2263245931159859E-2</v>
      </c>
      <c r="AG63" s="105">
        <v>6.1784305145167875E-2</v>
      </c>
      <c r="AH63" s="105">
        <v>6.145333852030354E-2</v>
      </c>
      <c r="AI63" s="105">
        <v>5.6474287145554566E-2</v>
      </c>
      <c r="AJ63" s="105">
        <v>6.7053963427231411E-2</v>
      </c>
      <c r="AK63" s="105">
        <v>6.8165901337965323E-2</v>
      </c>
      <c r="AL63" s="105">
        <v>5.627110840367075E-2</v>
      </c>
      <c r="AM63" s="105">
        <v>6.1676880963049428E-2</v>
      </c>
      <c r="AN63" s="105">
        <v>6.6776577703407961E-2</v>
      </c>
      <c r="AO63" s="105">
        <v>6.3750355628491101E-2</v>
      </c>
      <c r="AP63" s="105">
        <v>6.1418137283607226E-2</v>
      </c>
      <c r="AQ63" s="105">
        <v>5.3862103443855718E-2</v>
      </c>
      <c r="AR63" s="105">
        <v>6.3462435989274105E-2</v>
      </c>
      <c r="AS63" s="105">
        <v>6.636077555270771E-2</v>
      </c>
      <c r="AT63" s="105">
        <v>7.1208313605050158E-2</v>
      </c>
      <c r="AU63" s="105">
        <v>6.9394078150733701E-2</v>
      </c>
      <c r="AV63" s="105">
        <v>6.5293636892607254E-2</v>
      </c>
      <c r="AW63" s="105">
        <v>6.1875733878265185E-2</v>
      </c>
      <c r="AX63" s="105">
        <v>5.3509423257122657E-2</v>
      </c>
      <c r="AY63" s="105">
        <v>6.6974893211951686E-2</v>
      </c>
      <c r="AZ63" s="105">
        <v>7.0178588620327484E-2</v>
      </c>
      <c r="BA63" s="105">
        <v>5.230494726278391E-2</v>
      </c>
      <c r="BB63" s="105">
        <v>6.2106021388024214E-2</v>
      </c>
      <c r="BC63" s="105">
        <v>5.5315774180320985E-2</v>
      </c>
      <c r="BD63" s="105">
        <v>6.3734464832581467E-2</v>
      </c>
      <c r="BE63" s="105">
        <v>6.2945213473310668E-2</v>
      </c>
      <c r="BF63" s="105">
        <v>5.7288446101237366E-2</v>
      </c>
      <c r="BG63" s="105">
        <v>5.809895898683469E-2</v>
      </c>
      <c r="BH63" s="105">
        <v>6.4601554196270158E-2</v>
      </c>
      <c r="BI63" s="105">
        <v>6.2416736393064463E-2</v>
      </c>
      <c r="BJ63" s="105">
        <v>6.7711735813362137E-2</v>
      </c>
      <c r="BK63" s="105">
        <v>6.41008477693817E-2</v>
      </c>
      <c r="BL63" s="105">
        <v>6.2558634081356077E-2</v>
      </c>
      <c r="BM63" s="105">
        <v>5.6991971725084439E-2</v>
      </c>
      <c r="BN63" s="105">
        <v>5.9374616376660694E-2</v>
      </c>
      <c r="BO63" s="105">
        <v>7.0613565365627101E-2</v>
      </c>
      <c r="BP63" s="105">
        <v>6.6103933506644244E-2</v>
      </c>
      <c r="BQ63" s="105">
        <v>6.9728079089948547E-2</v>
      </c>
      <c r="BR63" s="105">
        <v>6.5486805454294791E-2</v>
      </c>
      <c r="BS63" s="105">
        <v>5.9012294841052089E-2</v>
      </c>
      <c r="BT63" s="105">
        <v>5.3698104743687004E-2</v>
      </c>
      <c r="BU63" s="105">
        <v>6.3051920771310416E-2</v>
      </c>
      <c r="BV63" s="105">
        <v>6.7200090224055209E-2</v>
      </c>
      <c r="BW63" s="105">
        <v>5.9128396466162192E-2</v>
      </c>
      <c r="BX63" s="105">
        <v>6.0562580654878073E-2</v>
      </c>
      <c r="BY63" s="105">
        <v>6.2473722702508859E-2</v>
      </c>
      <c r="BZ63" s="105">
        <v>6.4803431042623219E-2</v>
      </c>
      <c r="CA63" s="105">
        <v>6.4299918263204983E-2</v>
      </c>
      <c r="CB63" s="105">
        <v>5.4470300892507505E-2</v>
      </c>
      <c r="CC63" s="105">
        <v>5.7310702987114853E-2</v>
      </c>
      <c r="CD63" s="105">
        <v>5.7823519191488995E-2</v>
      </c>
      <c r="CE63" s="105">
        <v>5.8059542697725688E-2</v>
      </c>
      <c r="CF63" s="105">
        <v>5.7206705815011923E-2</v>
      </c>
      <c r="CG63" s="105">
        <v>7.5631426147781677E-2</v>
      </c>
      <c r="CH63" s="105">
        <v>7.357189155738296E-2</v>
      </c>
      <c r="CI63" s="105">
        <v>6.3250887514390799E-2</v>
      </c>
      <c r="CJ63" s="105">
        <v>7.3715528245391265E-2</v>
      </c>
      <c r="CK63" s="105">
        <v>6.4012889577906545E-2</v>
      </c>
      <c r="CL63" s="105">
        <v>5.9518224163510235E-2</v>
      </c>
      <c r="CM63" s="105">
        <v>6.3980904611177447E-2</v>
      </c>
      <c r="CN63" s="105">
        <v>5.306816612713923E-2</v>
      </c>
      <c r="CO63" s="105">
        <v>6.1731908406776191E-2</v>
      </c>
      <c r="CP63" s="105">
        <v>6.1018666972566492E-2</v>
      </c>
      <c r="CQ63" s="105">
        <v>5.6236852936398699E-2</v>
      </c>
      <c r="CR63" s="105">
        <v>6.5180999050977489E-2</v>
      </c>
      <c r="CS63" s="105">
        <v>5.7870839212979287E-2</v>
      </c>
      <c r="CT63" s="105">
        <v>6.195638683472026E-2</v>
      </c>
      <c r="CU63" s="105">
        <v>7.5677136897195366E-2</v>
      </c>
      <c r="CV63" s="105">
        <v>5.8212878759540398E-2</v>
      </c>
      <c r="CW63" s="105">
        <v>5.8653840963624769E-2</v>
      </c>
      <c r="CX63" s="105">
        <v>6.1697400015886285E-2</v>
      </c>
    </row>
    <row r="64" spans="1:102">
      <c r="A64" s="106"/>
      <c r="B64" s="109" t="s">
        <v>114</v>
      </c>
      <c r="C64" s="107">
        <v>0.55091491506471879</v>
      </c>
      <c r="D64" s="107">
        <v>0.53469229467634249</v>
      </c>
      <c r="E64" s="107">
        <v>0.53804674687498732</v>
      </c>
      <c r="F64" s="107">
        <v>0.56494648625358468</v>
      </c>
      <c r="G64" s="107">
        <v>0.55107999834976251</v>
      </c>
      <c r="H64" s="107">
        <v>0.54302505082712038</v>
      </c>
      <c r="I64" s="107">
        <v>0.53681267383685893</v>
      </c>
      <c r="J64" s="107">
        <v>0.53833208786678155</v>
      </c>
      <c r="K64" s="107">
        <v>0.56863708856922557</v>
      </c>
      <c r="L64" s="107">
        <v>0.56751831663379304</v>
      </c>
      <c r="M64" s="107">
        <v>0.54527917081040878</v>
      </c>
      <c r="N64" s="107">
        <v>0.57429521829294239</v>
      </c>
      <c r="O64" s="107">
        <v>0.56413557443230722</v>
      </c>
      <c r="P64" s="107">
        <v>0.55763519105017356</v>
      </c>
      <c r="Q64" s="107">
        <v>0.56744259597356306</v>
      </c>
      <c r="R64" s="107">
        <v>0.55288518303097145</v>
      </c>
      <c r="S64" s="107">
        <v>0.56942506883015565</v>
      </c>
      <c r="T64" s="107">
        <v>0.53301038922608646</v>
      </c>
      <c r="U64" s="107">
        <v>0.52887616368624935</v>
      </c>
      <c r="V64" s="107">
        <v>0.57157820961872308</v>
      </c>
      <c r="W64" s="107">
        <v>0.54733408885665402</v>
      </c>
      <c r="X64" s="107">
        <v>0.52466858975616604</v>
      </c>
      <c r="Y64" s="107">
        <v>0.57818403834679089</v>
      </c>
      <c r="Z64" s="107">
        <v>0.54227360766649724</v>
      </c>
      <c r="AA64" s="107">
        <v>0.53226556726915142</v>
      </c>
      <c r="AB64" s="107">
        <v>0.54738418198742744</v>
      </c>
      <c r="AC64" s="107">
        <v>0.58045702338218141</v>
      </c>
      <c r="AD64" s="107">
        <v>0.53484139765198413</v>
      </c>
      <c r="AE64" s="107">
        <v>0.5476442154302239</v>
      </c>
      <c r="AF64" s="107">
        <v>0.55779792492532221</v>
      </c>
      <c r="AG64" s="107">
        <v>0.57187274555990875</v>
      </c>
      <c r="AH64" s="107">
        <v>0.55364257098339731</v>
      </c>
      <c r="AI64" s="107">
        <v>0.56676944833701037</v>
      </c>
      <c r="AJ64" s="107">
        <v>0.54863003596740689</v>
      </c>
      <c r="AK64" s="107">
        <v>0.53757645763101036</v>
      </c>
      <c r="AL64" s="107">
        <v>0.56476716664779214</v>
      </c>
      <c r="AM64" s="107">
        <v>0.55545458311939411</v>
      </c>
      <c r="AN64" s="107">
        <v>0.5541438097572805</v>
      </c>
      <c r="AO64" s="107">
        <v>0.55716133407203605</v>
      </c>
      <c r="AP64" s="107">
        <v>0.56006951811669525</v>
      </c>
      <c r="AQ64" s="107">
        <v>0.58259821755826324</v>
      </c>
      <c r="AR64" s="107">
        <v>0.5527766934510524</v>
      </c>
      <c r="AS64" s="107">
        <v>0.5407564006333474</v>
      </c>
      <c r="AT64" s="107">
        <v>0.53765833469230484</v>
      </c>
      <c r="AU64" s="107">
        <v>0.53237150060801441</v>
      </c>
      <c r="AV64" s="107">
        <v>0.54713465994168198</v>
      </c>
      <c r="AW64" s="107">
        <v>0.56809510739595237</v>
      </c>
      <c r="AX64" s="107">
        <v>0.57834745171879365</v>
      </c>
      <c r="AY64" s="107">
        <v>0.53320522898094591</v>
      </c>
      <c r="AZ64" s="107">
        <v>0.53733186660141385</v>
      </c>
      <c r="BA64" s="107">
        <v>0.59209368084724723</v>
      </c>
      <c r="BB64" s="107">
        <v>0.56136191588982975</v>
      </c>
      <c r="BC64" s="107">
        <v>0.57377543014418431</v>
      </c>
      <c r="BD64" s="107">
        <v>0.55121022525196672</v>
      </c>
      <c r="BE64" s="107">
        <v>0.54893770434831346</v>
      </c>
      <c r="BF64" s="107">
        <v>0.56912261118682173</v>
      </c>
      <c r="BG64" s="107">
        <v>0.56671367538700346</v>
      </c>
      <c r="BH64" s="107">
        <v>0.55179493073192531</v>
      </c>
      <c r="BI64" s="107">
        <v>0.55924202223179775</v>
      </c>
      <c r="BJ64" s="107">
        <v>0.54275346291873394</v>
      </c>
      <c r="BK64" s="107">
        <v>0.54879185380870232</v>
      </c>
      <c r="BL64" s="107">
        <v>0.55251084850370258</v>
      </c>
      <c r="BM64" s="107">
        <v>0.56955426882932836</v>
      </c>
      <c r="BN64" s="107">
        <v>0.56191710787214677</v>
      </c>
      <c r="BO64" s="107">
        <v>0.52991146250185639</v>
      </c>
      <c r="BP64" s="107">
        <v>0.54134702505835919</v>
      </c>
      <c r="BQ64" s="107">
        <v>0.54253741341777162</v>
      </c>
      <c r="BR64" s="107">
        <v>0.55048864519776763</v>
      </c>
      <c r="BS64" s="107">
        <v>0.57390302034433038</v>
      </c>
      <c r="BT64" s="107">
        <v>0.58665199916496935</v>
      </c>
      <c r="BU64" s="107">
        <v>0.56213342489983331</v>
      </c>
      <c r="BV64" s="107">
        <v>0.54209914573892071</v>
      </c>
      <c r="BW64" s="107">
        <v>0.56744479232302725</v>
      </c>
      <c r="BX64" s="107">
        <v>0.56842683370293456</v>
      </c>
      <c r="BY64" s="107">
        <v>0.55758255804597689</v>
      </c>
      <c r="BZ64" s="107">
        <v>0.56389613140419892</v>
      </c>
      <c r="CA64" s="107">
        <v>0.55547039328511183</v>
      </c>
      <c r="CB64" s="107">
        <v>0.5729503036927811</v>
      </c>
      <c r="CC64" s="107">
        <v>0.57704683076486074</v>
      </c>
      <c r="CD64" s="107">
        <v>0.57157503367262696</v>
      </c>
      <c r="CE64" s="107">
        <v>0.56517820094199278</v>
      </c>
      <c r="CF64" s="107">
        <v>0.57284448300590274</v>
      </c>
      <c r="CG64" s="107">
        <v>0.52327442352721509</v>
      </c>
      <c r="CH64" s="107">
        <v>0.54039280237387399</v>
      </c>
      <c r="CI64" s="107">
        <v>0.55065662061440546</v>
      </c>
      <c r="CJ64" s="107">
        <v>0.53329494055598159</v>
      </c>
      <c r="CK64" s="107">
        <v>0.55351078039389201</v>
      </c>
      <c r="CL64" s="107">
        <v>0.5674272029432188</v>
      </c>
      <c r="CM64" s="107">
        <v>0.55068080186793267</v>
      </c>
      <c r="CN64" s="107">
        <v>0.5911350121028478</v>
      </c>
      <c r="CO64" s="107">
        <v>0.55714050077038402</v>
      </c>
      <c r="CP64" s="107">
        <v>0.56092698824552112</v>
      </c>
      <c r="CQ64" s="107">
        <v>0.56067443912618486</v>
      </c>
      <c r="CR64" s="107">
        <v>0.54074055182382741</v>
      </c>
      <c r="CS64" s="107">
        <v>0.56667253038565923</v>
      </c>
      <c r="CT64" s="107">
        <v>0.56215602423115629</v>
      </c>
      <c r="CU64" s="107">
        <v>0.52327122795421244</v>
      </c>
      <c r="CV64" s="107">
        <v>0.57489449752765687</v>
      </c>
      <c r="CW64" s="107">
        <v>0.55887038968868441</v>
      </c>
      <c r="CX64" s="107">
        <v>0.55990050982605521</v>
      </c>
    </row>
    <row r="65" spans="1:102">
      <c r="A65" s="23"/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1:102">
      <c r="C66" s="112"/>
    </row>
    <row r="67" spans="1:102">
      <c r="C67" s="112"/>
    </row>
    <row r="68" spans="1:102">
      <c r="C68" s="112"/>
    </row>
    <row r="69" spans="1:102">
      <c r="C69" s="112"/>
    </row>
    <row r="70" spans="1:102">
      <c r="C70" s="112"/>
    </row>
    <row r="71" spans="1:102">
      <c r="C71" s="112"/>
    </row>
    <row r="77" spans="1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31" spans="3:3">
      <c r="C131" s="112"/>
    </row>
    <row r="141" spans="3:3">
      <c r="C141" s="112"/>
    </row>
    <row r="151" spans="3:3">
      <c r="C151" s="11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25:B25"/>
    <mergeCell ref="A16:B16"/>
    <mergeCell ref="A17:B17"/>
    <mergeCell ref="A18:B18"/>
    <mergeCell ref="A19:B19"/>
    <mergeCell ref="A24:B24"/>
    <mergeCell ref="A15:B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</mergeCells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indexed="52"/>
  </sheetPr>
  <dimension ref="A1:CX151"/>
  <sheetViews>
    <sheetView topLeftCell="A43" workbookViewId="0">
      <selection activeCell="C53" sqref="C53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Parameters!A43</f>
        <v>Vermogenseffect &amp; innovatie</v>
      </c>
      <c r="C2" s="2" t="s">
        <v>129</v>
      </c>
      <c r="D2" s="1">
        <v>4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0.59755890224478092</v>
      </c>
      <c r="D4" s="95">
        <v>0.54483241170838048</v>
      </c>
      <c r="E4" s="95">
        <v>0.58677652535125002</v>
      </c>
      <c r="F4" s="95">
        <v>0.64595208869700715</v>
      </c>
      <c r="G4" s="95">
        <v>0.61465210688798455</v>
      </c>
      <c r="H4" s="95">
        <v>0.57977397805195696</v>
      </c>
      <c r="I4" s="95">
        <v>0.57571181829598805</v>
      </c>
      <c r="J4" s="95">
        <v>0.52204062453102884</v>
      </c>
      <c r="K4" s="95">
        <v>0.57139884875638292</v>
      </c>
      <c r="L4" s="95">
        <v>0.52685216048711037</v>
      </c>
      <c r="M4" s="95">
        <v>0.53767616994902157</v>
      </c>
      <c r="N4" s="95">
        <v>0.5945524540578131</v>
      </c>
      <c r="O4" s="95">
        <v>0.5127154246753729</v>
      </c>
      <c r="P4" s="95">
        <v>0.54197662085279297</v>
      </c>
      <c r="Q4" s="95">
        <v>0.59275929015054729</v>
      </c>
      <c r="R4" s="95">
        <v>0.62724085855592593</v>
      </c>
      <c r="S4" s="95">
        <v>0.54490721194089331</v>
      </c>
      <c r="T4" s="95">
        <v>0.61317497194380433</v>
      </c>
      <c r="U4" s="95">
        <v>0.6029058016263048</v>
      </c>
      <c r="V4" s="95">
        <v>0.54459047845818409</v>
      </c>
      <c r="W4" s="95">
        <v>0.53592522029938117</v>
      </c>
      <c r="X4" s="95">
        <v>0.64287676580588071</v>
      </c>
      <c r="Y4" s="95">
        <v>0.48016947268524868</v>
      </c>
      <c r="Z4" s="95">
        <v>0.55394222014585381</v>
      </c>
      <c r="AA4" s="95">
        <v>0.61342754140715905</v>
      </c>
      <c r="AB4" s="95">
        <v>0.54750658611625536</v>
      </c>
      <c r="AC4" s="95">
        <v>0.53154079115114239</v>
      </c>
      <c r="AD4" s="95">
        <v>0.50332081104880666</v>
      </c>
      <c r="AE4" s="95">
        <v>0.67768206943887377</v>
      </c>
      <c r="AF4" s="95">
        <v>0.51963997269906148</v>
      </c>
      <c r="AG4" s="95">
        <v>0.61738658857147344</v>
      </c>
      <c r="AH4" s="95">
        <v>0.55308422840852212</v>
      </c>
      <c r="AI4" s="95">
        <v>0.59613323286098419</v>
      </c>
      <c r="AJ4" s="95">
        <v>0.5813956693610991</v>
      </c>
      <c r="AK4" s="95">
        <v>0.48865837864578865</v>
      </c>
      <c r="AL4" s="95">
        <v>0.60130706545136703</v>
      </c>
      <c r="AM4" s="95">
        <v>0.52027433441676074</v>
      </c>
      <c r="AN4" s="95">
        <v>0.56841552328253575</v>
      </c>
      <c r="AO4" s="95">
        <v>0.56823990699284843</v>
      </c>
      <c r="AP4" s="95">
        <v>0.61719136662308038</v>
      </c>
      <c r="AQ4" s="95">
        <v>0.55721068959719378</v>
      </c>
      <c r="AR4" s="95">
        <v>0.56557325068605113</v>
      </c>
      <c r="AS4" s="95">
        <v>0.69529232823236131</v>
      </c>
      <c r="AT4" s="95">
        <v>0.53097859694578453</v>
      </c>
      <c r="AU4" s="95">
        <v>0.58291428684706814</v>
      </c>
      <c r="AV4" s="95">
        <v>0.57329278940313488</v>
      </c>
      <c r="AW4" s="95">
        <v>0.60671239390767784</v>
      </c>
      <c r="AX4" s="95">
        <v>0.54442899428046565</v>
      </c>
      <c r="AY4" s="95">
        <v>0.55366926525691929</v>
      </c>
      <c r="AZ4" s="95">
        <v>0.48951549607552991</v>
      </c>
      <c r="BA4" s="95">
        <v>0.51931803944808819</v>
      </c>
      <c r="BB4" s="95">
        <v>0.47616923658364035</v>
      </c>
      <c r="BC4" s="95">
        <v>0.62362112282196369</v>
      </c>
      <c r="BD4" s="95">
        <v>0.6696016388114433</v>
      </c>
      <c r="BE4" s="95">
        <v>0.63013328090857434</v>
      </c>
      <c r="BF4" s="95">
        <v>0.55516202078235621</v>
      </c>
      <c r="BG4" s="95">
        <v>0.50477406091272681</v>
      </c>
      <c r="BH4" s="95">
        <v>0.51328617207617544</v>
      </c>
      <c r="BI4" s="95">
        <v>0.51773812427435106</v>
      </c>
      <c r="BJ4" s="95">
        <v>0.55846646831938573</v>
      </c>
      <c r="BK4" s="95">
        <v>0.49594061606472317</v>
      </c>
      <c r="BL4" s="95">
        <v>0.5621604075247838</v>
      </c>
      <c r="BM4" s="95">
        <v>0.62419824440525296</v>
      </c>
      <c r="BN4" s="95">
        <v>0.44579220086349447</v>
      </c>
      <c r="BO4" s="95">
        <v>0.47225722538542092</v>
      </c>
      <c r="BP4" s="95">
        <v>0.48665089506467568</v>
      </c>
      <c r="BQ4" s="95">
        <v>0.57392442524576914</v>
      </c>
      <c r="BR4" s="95">
        <v>0.53041631914368903</v>
      </c>
      <c r="BS4" s="95">
        <v>0.54444035195950313</v>
      </c>
      <c r="BT4" s="95">
        <v>0.7182783494974575</v>
      </c>
      <c r="BU4" s="95">
        <v>0.54799531551445479</v>
      </c>
      <c r="BV4" s="95">
        <v>0.49703732077922491</v>
      </c>
      <c r="BW4" s="95">
        <v>0.62336850279534439</v>
      </c>
      <c r="BX4" s="95">
        <v>0.6539232896126419</v>
      </c>
      <c r="BY4" s="95">
        <v>0.62771290969342319</v>
      </c>
      <c r="BZ4" s="95">
        <v>0.55732562692265408</v>
      </c>
      <c r="CA4" s="95">
        <v>0.51168833394705016</v>
      </c>
      <c r="CB4" s="95">
        <v>0.48946649727435509</v>
      </c>
      <c r="CC4" s="95">
        <v>0.55764935959449247</v>
      </c>
      <c r="CD4" s="95">
        <v>0.58162542770753589</v>
      </c>
      <c r="CE4" s="95">
        <v>0.6910220627405228</v>
      </c>
      <c r="CF4" s="95">
        <v>0.54879725916661393</v>
      </c>
      <c r="CG4" s="95">
        <v>0.56162215719116804</v>
      </c>
      <c r="CH4" s="95">
        <v>0.6158353590953588</v>
      </c>
      <c r="CI4" s="95">
        <v>0.5657369755865429</v>
      </c>
      <c r="CJ4" s="95">
        <v>0.64770301996570967</v>
      </c>
      <c r="CK4" s="95">
        <v>0.53619393312894392</v>
      </c>
      <c r="CL4" s="95">
        <v>0.57105589996011907</v>
      </c>
      <c r="CM4" s="95">
        <v>0.43725221899124328</v>
      </c>
      <c r="CN4" s="95">
        <v>0.5375604245424036</v>
      </c>
      <c r="CO4" s="95">
        <v>0.58376527262631117</v>
      </c>
      <c r="CP4" s="95">
        <v>0.45084849896142914</v>
      </c>
      <c r="CQ4" s="95">
        <v>0.46904435397574135</v>
      </c>
      <c r="CR4" s="95">
        <v>0.67408651692378629</v>
      </c>
      <c r="CS4" s="95">
        <v>0.56649023625826123</v>
      </c>
      <c r="CT4" s="95">
        <v>0.54301372139447346</v>
      </c>
      <c r="CU4" s="95">
        <v>0.58385625708778399</v>
      </c>
      <c r="CV4" s="95">
        <v>0.52616836186978877</v>
      </c>
      <c r="CW4" s="95">
        <v>0.47945378917995951</v>
      </c>
      <c r="CX4" s="95">
        <v>0.53813349647584718</v>
      </c>
    </row>
    <row r="5" spans="1:102" s="95" customFormat="1">
      <c r="A5" s="306" t="str">
        <f>Parameters!A51</f>
        <v>Reele matching</v>
      </c>
      <c r="B5" s="307"/>
      <c r="C5" s="95">
        <v>1.7288787575692098E-2</v>
      </c>
      <c r="D5" s="95">
        <v>1.2963203084558685E-4</v>
      </c>
      <c r="E5" s="95">
        <v>4.2525165347400509E-5</v>
      </c>
      <c r="F5" s="95">
        <v>3.0875947815896615E-9</v>
      </c>
      <c r="G5" s="95">
        <v>3.5213291843471008E-4</v>
      </c>
      <c r="H5" s="95">
        <v>1.0795781950952683E-5</v>
      </c>
      <c r="I5" s="95">
        <v>4.8508491971875408E-10</v>
      </c>
      <c r="J5" s="95">
        <v>2.4495165143722272E-8</v>
      </c>
      <c r="K5" s="95">
        <v>2.5321116028265211E-15</v>
      </c>
      <c r="L5" s="95">
        <v>1.4380844248083956E-4</v>
      </c>
      <c r="M5" s="95">
        <v>2.42089772002024E-3</v>
      </c>
      <c r="N5" s="95">
        <v>9.2616534182087713E-3</v>
      </c>
      <c r="O5" s="95">
        <v>2.0144205437843096E-4</v>
      </c>
      <c r="P5" s="95">
        <v>2.1174911124701132E-18</v>
      </c>
      <c r="Q5" s="95">
        <v>2.8822247714828532E-2</v>
      </c>
      <c r="R5" s="95">
        <v>4.4366943757083851E-9</v>
      </c>
      <c r="S5" s="95">
        <v>9.7486190535335006E-3</v>
      </c>
      <c r="T5" s="95">
        <v>2.7592077016465023E-2</v>
      </c>
      <c r="U5" s="95">
        <v>1.1487834800595574E-7</v>
      </c>
      <c r="V5" s="95">
        <v>2.8842915062901307E-3</v>
      </c>
      <c r="W5" s="95">
        <v>8.6191398597617046E-4</v>
      </c>
      <c r="X5" s="95">
        <v>1.2190530239326115E-5</v>
      </c>
      <c r="Y5" s="95">
        <v>1.8886760940046252E-2</v>
      </c>
      <c r="Z5" s="95">
        <v>8.5172211353412402E-10</v>
      </c>
      <c r="AA5" s="95">
        <v>1.6688994214156705E-2</v>
      </c>
      <c r="AB5" s="95">
        <v>3.8604837156087389E-2</v>
      </c>
      <c r="AC5" s="95">
        <v>1.6736598366064968E-2</v>
      </c>
      <c r="AD5" s="95">
        <v>6.9358765218521801E-4</v>
      </c>
      <c r="AE5" s="95">
        <v>1.2221794605393677E-5</v>
      </c>
      <c r="AF5" s="95">
        <v>6.8252619862731734E-3</v>
      </c>
      <c r="AG5" s="95">
        <v>9.1919595977869636E-3</v>
      </c>
      <c r="AH5" s="95">
        <v>2.661766135699551E-2</v>
      </c>
      <c r="AI5" s="95">
        <v>1.3365950014756236E-2</v>
      </c>
      <c r="AJ5" s="95">
        <v>1.604336464559997E-2</v>
      </c>
      <c r="AK5" s="95">
        <v>4.745519135746692E-13</v>
      </c>
      <c r="AL5" s="95">
        <v>2.1985217975984347E-4</v>
      </c>
      <c r="AM5" s="95">
        <v>9.5372325515314572E-7</v>
      </c>
      <c r="AN5" s="95">
        <v>9.2575991045237699E-3</v>
      </c>
      <c r="AO5" s="95">
        <v>5.6381208016702062E-6</v>
      </c>
      <c r="AP5" s="95">
        <v>2.10254516722305E-3</v>
      </c>
      <c r="AQ5" s="95">
        <v>5.8119918883424949E-3</v>
      </c>
      <c r="AR5" s="95">
        <v>1.6293424213460455E-2</v>
      </c>
      <c r="AS5" s="95">
        <v>5.8405572538432786E-3</v>
      </c>
      <c r="AT5" s="95">
        <v>9.1267922489422325E-7</v>
      </c>
      <c r="AU5" s="95">
        <v>1.9013535064352122E-9</v>
      </c>
      <c r="AV5" s="95">
        <v>1.8692713816440045E-4</v>
      </c>
      <c r="AW5" s="95">
        <v>2.7543391602471594E-2</v>
      </c>
      <c r="AX5" s="95">
        <v>1.8988921541123496E-4</v>
      </c>
      <c r="AY5" s="95">
        <v>4.174579184962475E-2</v>
      </c>
      <c r="AZ5" s="95">
        <v>7.8654459435038653E-4</v>
      </c>
      <c r="BA5" s="95">
        <v>2.9732439690405065E-10</v>
      </c>
      <c r="BB5" s="95">
        <v>5.7903775155448534E-2</v>
      </c>
      <c r="BC5" s="95">
        <v>5.5691952023320885E-4</v>
      </c>
      <c r="BD5" s="95">
        <v>3.1031835533017337E-3</v>
      </c>
      <c r="BE5" s="95">
        <v>1.0742080530515283E-3</v>
      </c>
      <c r="BF5" s="95">
        <v>1.7986168850020259E-2</v>
      </c>
      <c r="BG5" s="95">
        <v>8.1610183306730519E-2</v>
      </c>
      <c r="BH5" s="95">
        <v>1.987338556379277E-2</v>
      </c>
      <c r="BI5" s="95">
        <v>7.6612963683010543E-3</v>
      </c>
      <c r="BJ5" s="95">
        <v>1.2127245886857516E-2</v>
      </c>
      <c r="BK5" s="95">
        <v>2.2845551656197195E-3</v>
      </c>
      <c r="BL5" s="95">
        <v>2.3624845966350488E-14</v>
      </c>
      <c r="BM5" s="95">
        <v>3.2513258935266189E-4</v>
      </c>
      <c r="BN5" s="95">
        <v>5.2063101850695473E-2</v>
      </c>
      <c r="BO5" s="95">
        <v>3.2010685396676584E-2</v>
      </c>
      <c r="BP5" s="95">
        <v>7.0200731308757855E-2</v>
      </c>
      <c r="BQ5" s="95">
        <v>5.8446164417463604E-3</v>
      </c>
      <c r="BR5" s="95">
        <v>2.6665450465160395E-3</v>
      </c>
      <c r="BS5" s="95">
        <v>4.0478586225531216E-2</v>
      </c>
      <c r="BT5" s="95">
        <v>3.2694043400477939E-4</v>
      </c>
      <c r="BU5" s="95">
        <v>1.154052769305009E-5</v>
      </c>
      <c r="BV5" s="95">
        <v>1.1520753516707574E-2</v>
      </c>
      <c r="BW5" s="95">
        <v>1.3112301193593198E-4</v>
      </c>
      <c r="BX5" s="95">
        <v>2.5000456062763883E-3</v>
      </c>
      <c r="BY5" s="95">
        <v>4.2244806214700725E-3</v>
      </c>
      <c r="BZ5" s="95">
        <v>1.9124883560985594E-2</v>
      </c>
      <c r="CA5" s="95">
        <v>1.2121868102616952E-2</v>
      </c>
      <c r="CB5" s="95">
        <v>2.1373659033839677E-2</v>
      </c>
      <c r="CC5" s="95">
        <v>4.4961490808738562E-2</v>
      </c>
      <c r="CD5" s="95">
        <v>6.1820339744900391E-7</v>
      </c>
      <c r="CE5" s="95">
        <v>1.9246779403608248E-4</v>
      </c>
      <c r="CF5" s="95">
        <v>3.3952399766964472E-7</v>
      </c>
      <c r="CG5" s="95">
        <v>2.087293900087682E-2</v>
      </c>
      <c r="CH5" s="95">
        <v>1.8596000706721683E-2</v>
      </c>
      <c r="CI5" s="95">
        <v>2.2506640372557423E-13</v>
      </c>
      <c r="CJ5" s="95">
        <v>5.0072922373871391E-5</v>
      </c>
      <c r="CK5" s="95">
        <v>2.3393299728915053E-2</v>
      </c>
      <c r="CL5" s="95">
        <v>8.8220397462903185E-5</v>
      </c>
      <c r="CM5" s="95">
        <v>8.3349390847230309E-2</v>
      </c>
      <c r="CN5" s="95">
        <v>3.3764833910930811E-2</v>
      </c>
      <c r="CO5" s="95">
        <v>3.4064092216260611E-2</v>
      </c>
      <c r="CP5" s="95">
        <v>1.2191165084259407E-6</v>
      </c>
      <c r="CQ5" s="95">
        <v>5.5578185089728491E-3</v>
      </c>
      <c r="CR5" s="95">
        <v>2.8494332449738439E-3</v>
      </c>
      <c r="CS5" s="95">
        <v>1.2908874698336313E-2</v>
      </c>
      <c r="CT5" s="95">
        <v>1.1237714415295713E-3</v>
      </c>
      <c r="CU5" s="95">
        <v>1.0691336393455579E-3</v>
      </c>
      <c r="CV5" s="95">
        <v>1.5733432137854107E-8</v>
      </c>
      <c r="CW5" s="95">
        <v>9.2809257102690872E-3</v>
      </c>
      <c r="CX5" s="95">
        <v>4.7671652521242983E-3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4.9343992855846539E-3</v>
      </c>
      <c r="D7" s="95">
        <v>9.815528642656722E-2</v>
      </c>
      <c r="E7" s="95">
        <v>5.6922152108791638E-11</v>
      </c>
      <c r="F7" s="95">
        <v>7.3299748301867609E-3</v>
      </c>
      <c r="G7" s="95">
        <v>2.0163736745693148E-2</v>
      </c>
      <c r="H7" s="95">
        <v>8.2472123138425585E-2</v>
      </c>
      <c r="I7" s="95">
        <v>5.4832355548563284E-2</v>
      </c>
      <c r="J7" s="95">
        <v>0.12836446085052178</v>
      </c>
      <c r="K7" s="95">
        <v>4.3545112292137984E-2</v>
      </c>
      <c r="L7" s="95">
        <v>0.10711046335490304</v>
      </c>
      <c r="M7" s="95">
        <v>3.1035760657033201E-2</v>
      </c>
      <c r="N7" s="95">
        <v>8.1987374895198706E-5</v>
      </c>
      <c r="O7" s="95">
        <v>9.0906427367972067E-2</v>
      </c>
      <c r="P7" s="95">
        <v>0.13620687066312953</v>
      </c>
      <c r="Q7" s="95">
        <v>5.6920514062552942E-3</v>
      </c>
      <c r="R7" s="95">
        <v>5.9629627757712293E-2</v>
      </c>
      <c r="S7" s="95">
        <v>0.13212923715125477</v>
      </c>
      <c r="T7" s="95">
        <v>4.1768710437073357E-2</v>
      </c>
      <c r="U7" s="95">
        <v>6.2860183304002989E-2</v>
      </c>
      <c r="V7" s="95">
        <v>0.13454049948776817</v>
      </c>
      <c r="W7" s="95">
        <v>6.7240470273973049E-2</v>
      </c>
      <c r="X7" s="95">
        <v>5.017504350584804E-2</v>
      </c>
      <c r="Y7" s="95">
        <v>0.12033038951352114</v>
      </c>
      <c r="Z7" s="95">
        <v>0.15864613799506433</v>
      </c>
      <c r="AA7" s="95">
        <v>9.5400389903474731E-3</v>
      </c>
      <c r="AB7" s="95">
        <v>6.6611690491591033E-2</v>
      </c>
      <c r="AC7" s="95">
        <v>0.1424524316815993</v>
      </c>
      <c r="AD7" s="95">
        <v>0.20164722806027341</v>
      </c>
      <c r="AE7" s="95">
        <v>1.0568135506130479E-2</v>
      </c>
      <c r="AF7" s="95">
        <v>0.10807156390541996</v>
      </c>
      <c r="AG7" s="95">
        <v>7.249937637056357E-2</v>
      </c>
      <c r="AH7" s="95">
        <v>9.1098203065049219E-2</v>
      </c>
      <c r="AI7" s="95">
        <v>6.9407140153329952E-13</v>
      </c>
      <c r="AJ7" s="95">
        <v>0.11588138078879466</v>
      </c>
      <c r="AK7" s="95">
        <v>0.19279136354440632</v>
      </c>
      <c r="AL7" s="95">
        <v>9.7602024118089714E-2</v>
      </c>
      <c r="AM7" s="95">
        <v>0.12833287017976658</v>
      </c>
      <c r="AN7" s="95">
        <v>5.6071364455541547E-2</v>
      </c>
      <c r="AO7" s="95">
        <v>3.8680045917795759E-2</v>
      </c>
      <c r="AP7" s="95">
        <v>5.3519352068222515E-3</v>
      </c>
      <c r="AQ7" s="95">
        <v>8.5203565093972408E-2</v>
      </c>
      <c r="AR7" s="95">
        <v>0.11196996370663918</v>
      </c>
      <c r="AS7" s="95">
        <v>1.8375528901680678E-5</v>
      </c>
      <c r="AT7" s="95">
        <v>0.1402087538560787</v>
      </c>
      <c r="AU7" s="95">
        <v>1.7685064420438525E-2</v>
      </c>
      <c r="AV7" s="95">
        <v>0.14576318331771698</v>
      </c>
      <c r="AW7" s="95">
        <v>5.649046173012124E-2</v>
      </c>
      <c r="AX7" s="95">
        <v>0.10511018710379426</v>
      </c>
      <c r="AY7" s="95">
        <v>5.0179879117360094E-5</v>
      </c>
      <c r="AZ7" s="95">
        <v>0.13256913294492728</v>
      </c>
      <c r="BA7" s="95">
        <v>0.10520108741246256</v>
      </c>
      <c r="BB7" s="95">
        <v>9.3761073963528493E-2</v>
      </c>
      <c r="BC7" s="95">
        <v>2.5221410291725605E-2</v>
      </c>
      <c r="BD7" s="95">
        <v>1.7203258614903989E-4</v>
      </c>
      <c r="BE7" s="95">
        <v>7.1978651346646771E-2</v>
      </c>
      <c r="BF7" s="95">
        <v>0.11160120111989572</v>
      </c>
      <c r="BG7" s="95">
        <v>2.027143059510865E-2</v>
      </c>
      <c r="BH7" s="95">
        <v>6.800980642699099E-2</v>
      </c>
      <c r="BI7" s="95">
        <v>0.19992357253964121</v>
      </c>
      <c r="BJ7" s="95">
        <v>0.10533028138202259</v>
      </c>
      <c r="BK7" s="95">
        <v>0.13118482761130451</v>
      </c>
      <c r="BL7" s="95">
        <v>0.11184179253444383</v>
      </c>
      <c r="BM7" s="95">
        <v>1.8104216256852438E-2</v>
      </c>
      <c r="BN7" s="95">
        <v>0.17047328436837536</v>
      </c>
      <c r="BO7" s="95">
        <v>0.21172123962007117</v>
      </c>
      <c r="BP7" s="95">
        <v>0.10581677009293269</v>
      </c>
      <c r="BQ7" s="95">
        <v>6.0570557414005031E-7</v>
      </c>
      <c r="BR7" s="95">
        <v>0.17085508885211498</v>
      </c>
      <c r="BS7" s="95">
        <v>0.11677648567752726</v>
      </c>
      <c r="BT7" s="95">
        <v>1.3302683190986753E-3</v>
      </c>
      <c r="BU7" s="95">
        <v>0.12548462414966899</v>
      </c>
      <c r="BV7" s="95">
        <v>0.18901370029216838</v>
      </c>
      <c r="BW7" s="95">
        <v>5.4217480172138073E-2</v>
      </c>
      <c r="BX7" s="95">
        <v>1.4723563335969556E-3</v>
      </c>
      <c r="BY7" s="95">
        <v>6.9403284739861626E-2</v>
      </c>
      <c r="BZ7" s="95">
        <v>8.4939151678899524E-2</v>
      </c>
      <c r="CA7" s="95">
        <v>0.10354324616647229</v>
      </c>
      <c r="CB7" s="95">
        <v>0.14167340607881687</v>
      </c>
      <c r="CC7" s="95">
        <v>6.4074075505613906E-2</v>
      </c>
      <c r="CD7" s="95">
        <v>8.7762642331956645E-2</v>
      </c>
      <c r="CE7" s="95">
        <v>1.4944275604695658E-2</v>
      </c>
      <c r="CF7" s="95">
        <v>8.9508924388341488E-2</v>
      </c>
      <c r="CG7" s="95">
        <v>8.3594044662982203E-2</v>
      </c>
      <c r="CH7" s="95">
        <v>1.8512132559887109E-2</v>
      </c>
      <c r="CI7" s="95">
        <v>6.0620029039845657E-4</v>
      </c>
      <c r="CJ7" s="95">
        <v>6.7518818186243224E-2</v>
      </c>
      <c r="CK7" s="95">
        <v>3.8038137164201569E-2</v>
      </c>
      <c r="CL7" s="95">
        <v>3.8334083220182509E-2</v>
      </c>
      <c r="CM7" s="95">
        <v>0.12602930855567201</v>
      </c>
      <c r="CN7" s="95">
        <v>5.6235083297094285E-2</v>
      </c>
      <c r="CO7" s="95">
        <v>9.0597816484870204E-3</v>
      </c>
      <c r="CP7" s="95">
        <v>0.24183283738025205</v>
      </c>
      <c r="CQ7" s="95">
        <v>0.13299396647840206</v>
      </c>
      <c r="CR7" s="95">
        <v>5.108889549658566E-5</v>
      </c>
      <c r="CS7" s="95">
        <v>5.760997056767525E-2</v>
      </c>
      <c r="CT7" s="95">
        <v>5.4588164603639563E-2</v>
      </c>
      <c r="CU7" s="95">
        <v>0.15277700085927048</v>
      </c>
      <c r="CV7" s="95">
        <v>0.18745980105829904</v>
      </c>
      <c r="CW7" s="95">
        <v>0.20273656650769653</v>
      </c>
      <c r="CX7" s="95">
        <v>0.10745632433256783</v>
      </c>
    </row>
    <row r="8" spans="1:102" s="95" customFormat="1">
      <c r="A8" s="306" t="str">
        <f>Parameters!A54</f>
        <v>Emerging market debt</v>
      </c>
      <c r="B8" s="307"/>
      <c r="C8" s="95">
        <v>6.4189862789372706E-7</v>
      </c>
      <c r="D8" s="95">
        <v>3.0339549172345006E-6</v>
      </c>
      <c r="E8" s="95">
        <v>1.5670020332028892E-6</v>
      </c>
      <c r="F8" s="95">
        <v>1.4084059400070962E-7</v>
      </c>
      <c r="G8" s="95">
        <v>1.5767820968552386E-5</v>
      </c>
      <c r="H8" s="95">
        <v>1.7202729883127206E-3</v>
      </c>
      <c r="I8" s="95">
        <v>6.2703743423198516E-5</v>
      </c>
      <c r="J8" s="95">
        <v>1.0496407369909174E-2</v>
      </c>
      <c r="K8" s="95">
        <v>1.0175254885481065E-2</v>
      </c>
      <c r="L8" s="95">
        <v>3.5072069801441569E-5</v>
      </c>
      <c r="M8" s="95">
        <v>8.0756527606418102E-8</v>
      </c>
      <c r="N8" s="95">
        <v>7.3614022609998176E-4</v>
      </c>
      <c r="O8" s="95">
        <v>6.5745769363567761E-4</v>
      </c>
      <c r="P8" s="95">
        <v>5.3464893597572607E-3</v>
      </c>
      <c r="Q8" s="95">
        <v>8.2386660939611691E-3</v>
      </c>
      <c r="R8" s="95">
        <v>1.0741828332828352E-3</v>
      </c>
      <c r="S8" s="95">
        <v>4.6193068580685278E-3</v>
      </c>
      <c r="T8" s="95">
        <v>1.3816906586556232E-4</v>
      </c>
      <c r="U8" s="95">
        <v>3.3175432802067269E-14</v>
      </c>
      <c r="V8" s="95">
        <v>9.7963804317854829E-5</v>
      </c>
      <c r="W8" s="95">
        <v>2.1470101540924384E-4</v>
      </c>
      <c r="X8" s="95">
        <v>5.6544942583572395E-7</v>
      </c>
      <c r="Y8" s="95">
        <v>1.2415414713391122E-30</v>
      </c>
      <c r="Z8" s="95">
        <v>3.580743036508202E-4</v>
      </c>
      <c r="AA8" s="95">
        <v>7.3186340535552112E-8</v>
      </c>
      <c r="AB8" s="95">
        <v>8.057366577922723E-5</v>
      </c>
      <c r="AC8" s="95">
        <v>1.223061702465332E-2</v>
      </c>
      <c r="AD8" s="95">
        <v>1.260920566984532E-3</v>
      </c>
      <c r="AE8" s="95">
        <v>7.2088795014507465E-5</v>
      </c>
      <c r="AF8" s="95">
        <v>1.3154963801812726E-2</v>
      </c>
      <c r="AG8" s="95">
        <v>1.6801859453631367E-2</v>
      </c>
      <c r="AH8" s="95">
        <v>2.2555425502733283E-3</v>
      </c>
      <c r="AI8" s="95">
        <v>2.464334399184902E-4</v>
      </c>
      <c r="AJ8" s="95">
        <v>4.5705926991958357E-5</v>
      </c>
      <c r="AK8" s="95">
        <v>4.7626445595241257E-3</v>
      </c>
      <c r="AL8" s="95">
        <v>9.0004332404235372E-4</v>
      </c>
      <c r="AM8" s="95">
        <v>5.1946899506360913E-4</v>
      </c>
      <c r="AN8" s="95">
        <v>1.1325533515899532E-2</v>
      </c>
      <c r="AO8" s="95">
        <v>9.3032111404163925E-3</v>
      </c>
      <c r="AP8" s="95">
        <v>4.1654439043887261E-4</v>
      </c>
      <c r="AQ8" s="95">
        <v>7.4404444807697474E-4</v>
      </c>
      <c r="AR8" s="95">
        <v>5.0880532810021785E-3</v>
      </c>
      <c r="AS8" s="95">
        <v>2.0519935640476642E-7</v>
      </c>
      <c r="AT8" s="95">
        <v>3.9777262560287321E-3</v>
      </c>
      <c r="AU8" s="95">
        <v>3.3727337518481636E-2</v>
      </c>
      <c r="AV8" s="95">
        <v>1.527850608796214E-3</v>
      </c>
      <c r="AW8" s="95">
        <v>6.2219938719433026E-3</v>
      </c>
      <c r="AX8" s="95">
        <v>1.7032943989057244E-2</v>
      </c>
      <c r="AY8" s="95">
        <v>1.8816177231757221E-2</v>
      </c>
      <c r="AZ8" s="95">
        <v>6.3362630894516683E-3</v>
      </c>
      <c r="BA8" s="95">
        <v>3.8676067594134332E-3</v>
      </c>
      <c r="BB8" s="95">
        <v>1.5879220202663813E-3</v>
      </c>
      <c r="BC8" s="95">
        <v>2.0385095962096147E-8</v>
      </c>
      <c r="BD8" s="95">
        <v>1.9477620688088219E-2</v>
      </c>
      <c r="BE8" s="95">
        <v>1.4550310010301641E-3</v>
      </c>
      <c r="BF8" s="95">
        <v>4.3514362763715494E-5</v>
      </c>
      <c r="BG8" s="95">
        <v>6.0585036534982265E-10</v>
      </c>
      <c r="BH8" s="95">
        <v>1.2017042873505513E-2</v>
      </c>
      <c r="BI8" s="95">
        <v>1.4137876188629725E-9</v>
      </c>
      <c r="BJ8" s="95">
        <v>4.2233838454023625E-3</v>
      </c>
      <c r="BK8" s="95">
        <v>4.1810060276971112E-3</v>
      </c>
      <c r="BL8" s="95">
        <v>2.6892185724098221E-6</v>
      </c>
      <c r="BM8" s="95">
        <v>1.778602471424442E-3</v>
      </c>
      <c r="BN8" s="95">
        <v>7.167098009663554E-3</v>
      </c>
      <c r="BO8" s="95">
        <v>7.5627401687451099E-6</v>
      </c>
      <c r="BP8" s="95">
        <v>6.7668683382232598E-4</v>
      </c>
      <c r="BQ8" s="95">
        <v>5.7815238378292264E-3</v>
      </c>
      <c r="BR8" s="95">
        <v>2.6618524781408721E-3</v>
      </c>
      <c r="BS8" s="95">
        <v>9.2893466225145424E-5</v>
      </c>
      <c r="BT8" s="95">
        <v>4.5285871600704228E-3</v>
      </c>
      <c r="BU8" s="95">
        <v>9.4931067557406431E-3</v>
      </c>
      <c r="BV8" s="95">
        <v>2.3574479189424906E-6</v>
      </c>
      <c r="BW8" s="95">
        <v>4.0223720464567099E-5</v>
      </c>
      <c r="BX8" s="95">
        <v>7.7637735796060625E-5</v>
      </c>
      <c r="BY8" s="95">
        <v>2.1805107388081892E-15</v>
      </c>
      <c r="BZ8" s="95">
        <v>8.9929494734796635E-3</v>
      </c>
      <c r="CA8" s="95">
        <v>2.1704715611066454E-2</v>
      </c>
      <c r="CB8" s="95">
        <v>4.7605776576270049E-8</v>
      </c>
      <c r="CC8" s="95">
        <v>1.7171953864389009E-2</v>
      </c>
      <c r="CD8" s="95">
        <v>2.3822716387493015E-4</v>
      </c>
      <c r="CE8" s="95">
        <v>4.9379316787711777E-3</v>
      </c>
      <c r="CF8" s="95">
        <v>3.6489446093267066E-3</v>
      </c>
      <c r="CG8" s="95">
        <v>4.2814732348643962E-3</v>
      </c>
      <c r="CH8" s="95">
        <v>5.4214313152056422E-4</v>
      </c>
      <c r="CI8" s="95">
        <v>7.3753826408423618E-4</v>
      </c>
      <c r="CJ8" s="95">
        <v>2.880863919553851E-3</v>
      </c>
      <c r="CK8" s="95">
        <v>2.1701750053724676E-2</v>
      </c>
      <c r="CL8" s="95">
        <v>1.8190146863678431E-8</v>
      </c>
      <c r="CM8" s="95">
        <v>7.4583922960873589E-8</v>
      </c>
      <c r="CN8" s="95">
        <v>3.0819663442205509E-2</v>
      </c>
      <c r="CO8" s="95">
        <v>2.0731566780201175E-3</v>
      </c>
      <c r="CP8" s="95">
        <v>4.2100382338460373E-3</v>
      </c>
      <c r="CQ8" s="95">
        <v>4.7191350773073525E-3</v>
      </c>
      <c r="CR8" s="95">
        <v>5.1931102410698593E-3</v>
      </c>
      <c r="CS8" s="95">
        <v>1.9266113585270174E-2</v>
      </c>
      <c r="CT8" s="95">
        <v>2.9695978702701375E-6</v>
      </c>
      <c r="CU8" s="95">
        <v>1.5032062514169734E-4</v>
      </c>
      <c r="CV8" s="95">
        <v>8.6263372140687973E-6</v>
      </c>
      <c r="CW8" s="95">
        <v>1.0625817389972323E-4</v>
      </c>
      <c r="CX8" s="95">
        <v>7.1497537830305394E-5</v>
      </c>
    </row>
    <row r="9" spans="1:102" s="95" customFormat="1">
      <c r="A9" s="306" t="str">
        <f>Parameters!A55</f>
        <v>Aandelen ontwikkeld</v>
      </c>
      <c r="B9" s="307"/>
      <c r="C9" s="95">
        <v>0.14725319702866702</v>
      </c>
      <c r="D9" s="95">
        <v>0.15064358858636373</v>
      </c>
      <c r="E9" s="95">
        <v>0.11474264524837635</v>
      </c>
      <c r="F9" s="95">
        <v>3.4197405481574489E-2</v>
      </c>
      <c r="G9" s="95">
        <v>9.7843374681203063E-2</v>
      </c>
      <c r="H9" s="95">
        <v>0.10861939510682733</v>
      </c>
      <c r="I9" s="95">
        <v>0.17957152581910701</v>
      </c>
      <c r="J9" s="95">
        <v>7.7895574767710501E-2</v>
      </c>
      <c r="K9" s="95">
        <v>8.2217970651015437E-2</v>
      </c>
      <c r="L9" s="95">
        <v>0.12899442194434521</v>
      </c>
      <c r="M9" s="95">
        <v>0.18410659372949345</v>
      </c>
      <c r="N9" s="95">
        <v>0.11825026463693995</v>
      </c>
      <c r="O9" s="95">
        <v>0.21096043837916695</v>
      </c>
      <c r="P9" s="95">
        <v>4.079149136967971E-2</v>
      </c>
      <c r="Q9" s="95">
        <v>0.17108050742497549</v>
      </c>
      <c r="R9" s="95">
        <v>0.16310695029222766</v>
      </c>
      <c r="S9" s="95">
        <v>0.16265131118081796</v>
      </c>
      <c r="T9" s="95">
        <v>7.9617614125454414E-2</v>
      </c>
      <c r="U9" s="95">
        <v>0.10431894673931533</v>
      </c>
      <c r="V9" s="95">
        <v>0.1588907013256935</v>
      </c>
      <c r="W9" s="95">
        <v>0.21749594345545381</v>
      </c>
      <c r="X9" s="95">
        <v>0.12467081640848993</v>
      </c>
      <c r="Y9" s="95">
        <v>0.23955011464239523</v>
      </c>
      <c r="Z9" s="95">
        <v>3.5234463581906611E-3</v>
      </c>
      <c r="AA9" s="95">
        <v>8.5052245003843429E-4</v>
      </c>
      <c r="AB9" s="95">
        <v>0.1679110078084074</v>
      </c>
      <c r="AC9" s="95">
        <v>4.3070014453831504E-2</v>
      </c>
      <c r="AD9" s="95">
        <v>8.0171630284359849E-2</v>
      </c>
      <c r="AE9" s="95">
        <v>0.14700370756941145</v>
      </c>
      <c r="AF9" s="95">
        <v>0.13590892428408932</v>
      </c>
      <c r="AG9" s="95">
        <v>8.1939585731062525E-2</v>
      </c>
      <c r="AH9" s="95">
        <v>0.19925872296454511</v>
      </c>
      <c r="AI9" s="95">
        <v>0.18109208326253817</v>
      </c>
      <c r="AJ9" s="95">
        <v>5.4518443429322001E-2</v>
      </c>
      <c r="AK9" s="95">
        <v>1.6188621860413848E-2</v>
      </c>
      <c r="AL9" s="95">
        <v>6.9224292351499517E-2</v>
      </c>
      <c r="AM9" s="95">
        <v>0.21758439927001677</v>
      </c>
      <c r="AN9" s="95">
        <v>0.17847709343362536</v>
      </c>
      <c r="AO9" s="95">
        <v>0.12220910583394226</v>
      </c>
      <c r="AP9" s="95">
        <v>0.16271536248179619</v>
      </c>
      <c r="AQ9" s="95">
        <v>8.0290934902140801E-2</v>
      </c>
      <c r="AR9" s="95">
        <v>1.8947665358473836E-3</v>
      </c>
      <c r="AS9" s="95">
        <v>1.2875420218378748E-2</v>
      </c>
      <c r="AT9" s="95">
        <v>5.2893431081756724E-2</v>
      </c>
      <c r="AU9" s="95">
        <v>0.20428638822970935</v>
      </c>
      <c r="AV9" s="95">
        <v>4.4136311393628167E-5</v>
      </c>
      <c r="AW9" s="95">
        <v>0.11268161187895193</v>
      </c>
      <c r="AX9" s="95">
        <v>0.1419809468065063</v>
      </c>
      <c r="AY9" s="95">
        <v>0.1947854560420354</v>
      </c>
      <c r="AZ9" s="95">
        <v>0.15283668374007564</v>
      </c>
      <c r="BA9" s="95">
        <v>0.1623694562921244</v>
      </c>
      <c r="BB9" s="95">
        <v>0.13024030589286117</v>
      </c>
      <c r="BC9" s="95">
        <v>0.10934704838898494</v>
      </c>
      <c r="BD9" s="95">
        <v>0.15658345004842361</v>
      </c>
      <c r="BE9" s="95">
        <v>0.14080680232455509</v>
      </c>
      <c r="BF9" s="95">
        <v>5.7712595824624263E-2</v>
      </c>
      <c r="BG9" s="95">
        <v>0.20405703791531415</v>
      </c>
      <c r="BH9" s="95">
        <v>0.22082562884353044</v>
      </c>
      <c r="BI9" s="95">
        <v>8.9923388711312502E-2</v>
      </c>
      <c r="BJ9" s="95">
        <v>0.18003914247076341</v>
      </c>
      <c r="BK9" s="95">
        <v>9.6555187225066091E-2</v>
      </c>
      <c r="BL9" s="95">
        <v>9.0461190470260758E-2</v>
      </c>
      <c r="BM9" s="95">
        <v>0.18402431386416218</v>
      </c>
      <c r="BN9" s="95">
        <v>0.14197822805636301</v>
      </c>
      <c r="BO9" s="95">
        <v>2.1362213899578424E-2</v>
      </c>
      <c r="BP9" s="95">
        <v>7.43691745054295E-2</v>
      </c>
      <c r="BQ9" s="95">
        <v>8.9271083410422142E-2</v>
      </c>
      <c r="BR9" s="95">
        <v>5.3947658481944542E-2</v>
      </c>
      <c r="BS9" s="95">
        <v>0.11031385588373933</v>
      </c>
      <c r="BT9" s="95">
        <v>8.0246402309267412E-2</v>
      </c>
      <c r="BU9" s="95">
        <v>2.1350676447929859E-2</v>
      </c>
      <c r="BV9" s="95">
        <v>5.4499365223517456E-2</v>
      </c>
      <c r="BW9" s="95">
        <v>0.1705623738698574</v>
      </c>
      <c r="BX9" s="95">
        <v>0.17115516213737372</v>
      </c>
      <c r="BY9" s="95">
        <v>8.8900820781691967E-2</v>
      </c>
      <c r="BZ9" s="95">
        <v>0.15030762197713035</v>
      </c>
      <c r="CA9" s="95">
        <v>0.21320884765675016</v>
      </c>
      <c r="CB9" s="95">
        <v>0.10110371477075628</v>
      </c>
      <c r="CC9" s="95">
        <v>0.11730822783799405</v>
      </c>
      <c r="CD9" s="95">
        <v>0.18766408532496462</v>
      </c>
      <c r="CE9" s="95">
        <v>0.13072135431296728</v>
      </c>
      <c r="CF9" s="95">
        <v>0.13302050341775884</v>
      </c>
      <c r="CG9" s="95">
        <v>8.4962012805753009E-3</v>
      </c>
      <c r="CH9" s="95">
        <v>0.16066284626965618</v>
      </c>
      <c r="CI9" s="95">
        <v>0.1600793105895271</v>
      </c>
      <c r="CJ9" s="95">
        <v>0.1388866047367659</v>
      </c>
      <c r="CK9" s="95">
        <v>0.18428057744360546</v>
      </c>
      <c r="CL9" s="95">
        <v>0.12491618070956337</v>
      </c>
      <c r="CM9" s="95">
        <v>0.14782814252658857</v>
      </c>
      <c r="CN9" s="95">
        <v>0.17635967459709548</v>
      </c>
      <c r="CO9" s="95">
        <v>0.11133268044554034</v>
      </c>
      <c r="CP9" s="95">
        <v>8.8536660474532E-2</v>
      </c>
      <c r="CQ9" s="95">
        <v>0.17339784933244667</v>
      </c>
      <c r="CR9" s="95">
        <v>4.1760187103890836E-3</v>
      </c>
      <c r="CS9" s="95">
        <v>0.20632649699826638</v>
      </c>
      <c r="CT9" s="95">
        <v>0.18589578871626691</v>
      </c>
      <c r="CU9" s="95">
        <v>0.17780137039721583</v>
      </c>
      <c r="CV9" s="95">
        <v>3.5595657610614979E-3</v>
      </c>
      <c r="CW9" s="95">
        <v>0.11389416005578352</v>
      </c>
      <c r="CX9" s="95">
        <v>4.0981413773341961E-2</v>
      </c>
    </row>
    <row r="10" spans="1:102" s="95" customFormat="1">
      <c r="A10" s="306" t="str">
        <f>Parameters!A56</f>
        <v>Aandelen opkomend</v>
      </c>
      <c r="B10" s="307"/>
      <c r="C10" s="95">
        <v>9.7375528698587274E-2</v>
      </c>
      <c r="D10" s="95">
        <v>7.0721951496523106E-2</v>
      </c>
      <c r="E10" s="95">
        <v>8.8808796858205447E-2</v>
      </c>
      <c r="F10" s="95">
        <v>0.12130433803353145</v>
      </c>
      <c r="G10" s="95">
        <v>6.5860527983839193E-2</v>
      </c>
      <c r="H10" s="95">
        <v>9.3849204568782124E-2</v>
      </c>
      <c r="I10" s="95">
        <v>9.4836878576314097E-3</v>
      </c>
      <c r="J10" s="95">
        <v>7.7546069468229381E-2</v>
      </c>
      <c r="K10" s="95">
        <v>8.9952255724654595E-2</v>
      </c>
      <c r="L10" s="95">
        <v>6.7913930421582849E-2</v>
      </c>
      <c r="M10" s="95">
        <v>4.1923313492711375E-2</v>
      </c>
      <c r="N10" s="95">
        <v>8.220447749853807E-2</v>
      </c>
      <c r="O10" s="95">
        <v>2.8569319461245759E-3</v>
      </c>
      <c r="P10" s="95">
        <v>0.10919323492406813</v>
      </c>
      <c r="Q10" s="95">
        <v>8.0150373217559134E-2</v>
      </c>
      <c r="R10" s="95">
        <v>8.8868748551462443E-2</v>
      </c>
      <c r="S10" s="95">
        <v>2.882577168097325E-2</v>
      </c>
      <c r="T10" s="95">
        <v>0.12600241689496944</v>
      </c>
      <c r="U10" s="95">
        <v>0.10197477318589752</v>
      </c>
      <c r="V10" s="95">
        <v>6.2686168387096911E-2</v>
      </c>
      <c r="W10" s="95">
        <v>1.2930862910172338E-2</v>
      </c>
      <c r="X10" s="95">
        <v>6.2959066600282276E-2</v>
      </c>
      <c r="Y10" s="95">
        <v>9.2742679541729928E-6</v>
      </c>
      <c r="Z10" s="95">
        <v>0.12363286931565551</v>
      </c>
      <c r="AA10" s="95">
        <v>0.14781336764408415</v>
      </c>
      <c r="AB10" s="95">
        <v>2.4250367059907008E-2</v>
      </c>
      <c r="AC10" s="95">
        <v>7.6362657174241191E-2</v>
      </c>
      <c r="AD10" s="95">
        <v>5.8770964560310231E-2</v>
      </c>
      <c r="AE10" s="95">
        <v>4.3824408286725534E-2</v>
      </c>
      <c r="AF10" s="95">
        <v>3.824876894789081E-2</v>
      </c>
      <c r="AG10" s="95">
        <v>0.10325654192892157</v>
      </c>
      <c r="AH10" s="95">
        <v>1.4395048272584594E-2</v>
      </c>
      <c r="AI10" s="95">
        <v>7.0645433571028746E-2</v>
      </c>
      <c r="AJ10" s="95">
        <v>0.12254678616340241</v>
      </c>
      <c r="AK10" s="95">
        <v>8.1549560076048105E-2</v>
      </c>
      <c r="AL10" s="95">
        <v>7.6690895225216493E-2</v>
      </c>
      <c r="AM10" s="95">
        <v>3.7498927808544396E-3</v>
      </c>
      <c r="AN10" s="95">
        <v>2.3101699401659438E-2</v>
      </c>
      <c r="AO10" s="95">
        <v>6.6319132984051801E-2</v>
      </c>
      <c r="AP10" s="95">
        <v>5.777820745650146E-2</v>
      </c>
      <c r="AQ10" s="95">
        <v>9.5016113776784178E-2</v>
      </c>
      <c r="AR10" s="95">
        <v>0.12218383125656174</v>
      </c>
      <c r="AS10" s="95">
        <v>0.12207407625437901</v>
      </c>
      <c r="AT10" s="95">
        <v>7.372934691055516E-2</v>
      </c>
      <c r="AU10" s="95">
        <v>4.213956394123676E-2</v>
      </c>
      <c r="AV10" s="95">
        <v>0.13247806218152619</v>
      </c>
      <c r="AW10" s="95">
        <v>7.953366348426906E-2</v>
      </c>
      <c r="AX10" s="95">
        <v>3.1676663060288065E-5</v>
      </c>
      <c r="AY10" s="95">
        <v>3.6667302663885015E-2</v>
      </c>
      <c r="AZ10" s="95">
        <v>2.2997125063716629E-2</v>
      </c>
      <c r="BA10" s="95">
        <v>4.2663057183032455E-2</v>
      </c>
      <c r="BB10" s="95">
        <v>5.3814391815430095E-2</v>
      </c>
      <c r="BC10" s="95">
        <v>0.1054610509844439</v>
      </c>
      <c r="BD10" s="95">
        <v>6.8689773531234052E-2</v>
      </c>
      <c r="BE10" s="95">
        <v>5.6782352430678626E-2</v>
      </c>
      <c r="BF10" s="95">
        <v>8.5415624742121957E-2</v>
      </c>
      <c r="BG10" s="95">
        <v>4.2146549654397708E-2</v>
      </c>
      <c r="BH10" s="95">
        <v>7.281226671492419E-3</v>
      </c>
      <c r="BI10" s="95">
        <v>7.4725630387412867E-2</v>
      </c>
      <c r="BJ10" s="95">
        <v>3.993062939295406E-2</v>
      </c>
      <c r="BK10" s="95">
        <v>4.4046133685970601E-2</v>
      </c>
      <c r="BL10" s="95">
        <v>7.9912929588521503E-2</v>
      </c>
      <c r="BM10" s="95">
        <v>1.3821311567958114E-2</v>
      </c>
      <c r="BN10" s="95">
        <v>2.4125841701485459E-2</v>
      </c>
      <c r="BO10" s="95">
        <v>8.9608351125571889E-2</v>
      </c>
      <c r="BP10" s="95">
        <v>5.4447141373978582E-2</v>
      </c>
      <c r="BQ10" s="95">
        <v>7.8563704823800679E-2</v>
      </c>
      <c r="BR10" s="95">
        <v>8.6010757405710375E-2</v>
      </c>
      <c r="BS10" s="95">
        <v>7.3367754083419126E-2</v>
      </c>
      <c r="BT10" s="95">
        <v>0.10950986800135638</v>
      </c>
      <c r="BU10" s="95">
        <v>7.7181625659198824E-2</v>
      </c>
      <c r="BV10" s="95">
        <v>7.5520026159472953E-2</v>
      </c>
      <c r="BW10" s="95">
        <v>2.5154693319221821E-2</v>
      </c>
      <c r="BX10" s="95">
        <v>7.7627083290120413E-2</v>
      </c>
      <c r="BY10" s="95">
        <v>6.5539699044999636E-2</v>
      </c>
      <c r="BZ10" s="95">
        <v>2.5134205830437278E-2</v>
      </c>
      <c r="CA10" s="95">
        <v>9.6249831708346409E-4</v>
      </c>
      <c r="CB10" s="95">
        <v>5.0604164707273337E-2</v>
      </c>
      <c r="CC10" s="95">
        <v>7.1463028101484083E-2</v>
      </c>
      <c r="CD10" s="95">
        <v>6.1607958912916422E-3</v>
      </c>
      <c r="CE10" s="95">
        <v>3.7750961520585373E-2</v>
      </c>
      <c r="CF10" s="95">
        <v>6.923896361408788E-6</v>
      </c>
      <c r="CG10" s="95">
        <v>0.11197567678802105</v>
      </c>
      <c r="CH10" s="95">
        <v>6.7661639487852282E-2</v>
      </c>
      <c r="CI10" s="95">
        <v>4.1201610279787436E-2</v>
      </c>
      <c r="CJ10" s="95">
        <v>0.10118867978771195</v>
      </c>
      <c r="CK10" s="95">
        <v>3.4851862073709626E-2</v>
      </c>
      <c r="CL10" s="95">
        <v>6.1706324966795095E-2</v>
      </c>
      <c r="CM10" s="95">
        <v>3.1994652057506061E-2</v>
      </c>
      <c r="CN10" s="95">
        <v>4.685981267196402E-2</v>
      </c>
      <c r="CO10" s="95">
        <v>6.9272446412528707E-2</v>
      </c>
      <c r="CP10" s="95">
        <v>3.4614912410843961E-2</v>
      </c>
      <c r="CQ10" s="95">
        <v>4.7511593200154687E-6</v>
      </c>
      <c r="CR10" s="95">
        <v>0.12353257723244394</v>
      </c>
      <c r="CS10" s="95">
        <v>2.3793810776646149E-2</v>
      </c>
      <c r="CT10" s="95">
        <v>1.97677836048507E-3</v>
      </c>
      <c r="CU10" s="95">
        <v>3.0246807464865376E-4</v>
      </c>
      <c r="CV10" s="95">
        <v>0.10554485562197657</v>
      </c>
      <c r="CW10" s="95">
        <v>2.6047311362816599E-3</v>
      </c>
      <c r="CX10" s="95">
        <v>8.3963309458806382E-2</v>
      </c>
    </row>
    <row r="11" spans="1:102" s="95" customFormat="1">
      <c r="A11" s="306" t="str">
        <f>Parameters!A57</f>
        <v>Hedge funds</v>
      </c>
      <c r="B11" s="307"/>
      <c r="C11" s="95">
        <v>4.3605741905527913E-3</v>
      </c>
      <c r="D11" s="95">
        <v>2.9170475550260199E-4</v>
      </c>
      <c r="E11" s="95">
        <v>5.1595246003123735E-2</v>
      </c>
      <c r="F11" s="95">
        <v>2.1830402390942329E-3</v>
      </c>
      <c r="G11" s="95">
        <v>1.635264127888442E-2</v>
      </c>
      <c r="H11" s="95">
        <v>1.2076808572713332E-3</v>
      </c>
      <c r="I11" s="95">
        <v>3.7892693696375249E-4</v>
      </c>
      <c r="J11" s="95">
        <v>1.6942274398021206E-2</v>
      </c>
      <c r="K11" s="95">
        <v>6.5510445555780122E-4</v>
      </c>
      <c r="L11" s="95">
        <v>5.933321801421744E-2</v>
      </c>
      <c r="M11" s="95">
        <v>6.5923647935585236E-2</v>
      </c>
      <c r="N11" s="95">
        <v>6.3104093463320174E-2</v>
      </c>
      <c r="O11" s="95">
        <v>1.0162310474640873E-2</v>
      </c>
      <c r="P11" s="95">
        <v>2.5564980388066649E-2</v>
      </c>
      <c r="Q11" s="95">
        <v>2.6968651987852373E-2</v>
      </c>
      <c r="R11" s="95">
        <v>3.2493303533929377E-3</v>
      </c>
      <c r="S11" s="95">
        <v>1.5861942809836579E-4</v>
      </c>
      <c r="T11" s="95">
        <v>6.0323455390395279E-5</v>
      </c>
      <c r="U11" s="95">
        <v>1.4260143871729616E-3</v>
      </c>
      <c r="V11" s="95">
        <v>1.6315433634194233E-2</v>
      </c>
      <c r="W11" s="95">
        <v>2.8116161669029319E-2</v>
      </c>
      <c r="X11" s="95">
        <v>1.1196617158612232E-2</v>
      </c>
      <c r="Y11" s="95">
        <v>2.0127103554425291E-2</v>
      </c>
      <c r="Z11" s="95">
        <v>3.4803885042217704E-9</v>
      </c>
      <c r="AA11" s="95">
        <v>5.0756618362440151E-2</v>
      </c>
      <c r="AB11" s="95">
        <v>6.5040376746541284E-3</v>
      </c>
      <c r="AC11" s="95">
        <v>1.4212403484273881E-6</v>
      </c>
      <c r="AD11" s="95">
        <v>1.9523439712398799E-5</v>
      </c>
      <c r="AE11" s="95">
        <v>2.1566524887021397E-2</v>
      </c>
      <c r="AF11" s="95">
        <v>4.1474580885293176E-2</v>
      </c>
      <c r="AG11" s="95">
        <v>1.274574610125352E-2</v>
      </c>
      <c r="AH11" s="95">
        <v>9.748493357473029E-3</v>
      </c>
      <c r="AI11" s="95">
        <v>7.0704878793321893E-2</v>
      </c>
      <c r="AJ11" s="95">
        <v>1.4264535328807499E-2</v>
      </c>
      <c r="AK11" s="95">
        <v>1.9482974042075426E-7</v>
      </c>
      <c r="AL11" s="95">
        <v>3.5799568548211566E-7</v>
      </c>
      <c r="AM11" s="95">
        <v>3.8766695530350705E-2</v>
      </c>
      <c r="AN11" s="95">
        <v>5.1802676891071001E-2</v>
      </c>
      <c r="AO11" s="95">
        <v>2.7403663564852603E-3</v>
      </c>
      <c r="AP11" s="95">
        <v>1.5988004340060182E-2</v>
      </c>
      <c r="AQ11" s="95">
        <v>7.1971840702387643E-2</v>
      </c>
      <c r="AR11" s="95">
        <v>2.4107483986915E-2</v>
      </c>
      <c r="AS11" s="95">
        <v>5.2289784739592525E-3</v>
      </c>
      <c r="AT11" s="95">
        <v>5.8760701283358668E-3</v>
      </c>
      <c r="AU11" s="95">
        <v>9.1052652496532455E-3</v>
      </c>
      <c r="AV11" s="95">
        <v>1.6966647390789433E-2</v>
      </c>
      <c r="AW11" s="95">
        <v>2.3628092851602661E-3</v>
      </c>
      <c r="AX11" s="95">
        <v>1.0993960908959846E-3</v>
      </c>
      <c r="AY11" s="95">
        <v>3.1078372039087974E-3</v>
      </c>
      <c r="AZ11" s="95">
        <v>3.6646083539288325E-2</v>
      </c>
      <c r="BA11" s="95">
        <v>8.7880940830755622E-2</v>
      </c>
      <c r="BB11" s="95">
        <v>3.6645763710287126E-2</v>
      </c>
      <c r="BC11" s="95">
        <v>6.3819980544558327E-2</v>
      </c>
      <c r="BD11" s="95">
        <v>2.6132831797144596E-2</v>
      </c>
      <c r="BE11" s="95">
        <v>2.9234269987664176E-2</v>
      </c>
      <c r="BF11" s="95">
        <v>6.6869333898203556E-2</v>
      </c>
      <c r="BG11" s="95">
        <v>5.6525772695303997E-2</v>
      </c>
      <c r="BH11" s="95">
        <v>5.4089299222670036E-2</v>
      </c>
      <c r="BI11" s="95">
        <v>5.1730368318760617E-3</v>
      </c>
      <c r="BJ11" s="95">
        <v>5.2070696603042553E-2</v>
      </c>
      <c r="BK11" s="95">
        <v>2.5446283524066078E-5</v>
      </c>
      <c r="BL11" s="95">
        <v>9.7701471771100973E-3</v>
      </c>
      <c r="BM11" s="95">
        <v>7.3890491330802985E-2</v>
      </c>
      <c r="BN11" s="95">
        <v>1.2218787994625478E-3</v>
      </c>
      <c r="BO11" s="95">
        <v>2.2437714286455266E-5</v>
      </c>
      <c r="BP11" s="95">
        <v>2.7218147263104158E-3</v>
      </c>
      <c r="BQ11" s="95">
        <v>3.8278164783708594E-2</v>
      </c>
      <c r="BR11" s="95">
        <v>3.7917387396836116E-2</v>
      </c>
      <c r="BS11" s="95">
        <v>7.5649831237399132E-3</v>
      </c>
      <c r="BT11" s="95">
        <v>2.5198854292139066E-5</v>
      </c>
      <c r="BU11" s="95">
        <v>1.1275161234414383E-2</v>
      </c>
      <c r="BV11" s="95">
        <v>4.4727275104659136E-3</v>
      </c>
      <c r="BW11" s="95">
        <v>1.4162300185494249E-3</v>
      </c>
      <c r="BX11" s="95">
        <v>7.0996314704694086E-2</v>
      </c>
      <c r="BY11" s="95">
        <v>6.3223486671703223E-5</v>
      </c>
      <c r="BZ11" s="95">
        <v>4.2714227336513158E-2</v>
      </c>
      <c r="CA11" s="95">
        <v>3.0865033131154435E-2</v>
      </c>
      <c r="CB11" s="95">
        <v>2.2824992027112088E-3</v>
      </c>
      <c r="CC11" s="95">
        <v>1.7226797787380265E-6</v>
      </c>
      <c r="CD11" s="95">
        <v>2.8938083643642431E-2</v>
      </c>
      <c r="CE11" s="95">
        <v>1.276387558474607E-4</v>
      </c>
      <c r="CF11" s="95">
        <v>8.7625675211779417E-3</v>
      </c>
      <c r="CG11" s="95">
        <v>4.006212555897562E-2</v>
      </c>
      <c r="CH11" s="95">
        <v>8.6704023545471562E-2</v>
      </c>
      <c r="CI11" s="95">
        <v>0.1037074414091563</v>
      </c>
      <c r="CJ11" s="95">
        <v>1.4705172600046864E-7</v>
      </c>
      <c r="CK11" s="95">
        <v>4.3419420520786102E-2</v>
      </c>
      <c r="CL11" s="95">
        <v>6.0028598896652165E-2</v>
      </c>
      <c r="CM11" s="95">
        <v>2.1522039296991154E-2</v>
      </c>
      <c r="CN11" s="95">
        <v>1.1502812249060946E-3</v>
      </c>
      <c r="CO11" s="95">
        <v>7.4433314878004614E-2</v>
      </c>
      <c r="CP11" s="95">
        <v>1.1306817725578202E-2</v>
      </c>
      <c r="CQ11" s="95">
        <v>1.1156531508297709E-6</v>
      </c>
      <c r="CR11" s="95">
        <v>2.6822543891843437E-2</v>
      </c>
      <c r="CS11" s="95">
        <v>5.7626833759538615E-2</v>
      </c>
      <c r="CT11" s="95">
        <v>0.1130346699197185</v>
      </c>
      <c r="CU11" s="95">
        <v>7.5280466149396815E-4</v>
      </c>
      <c r="CV11" s="95">
        <v>3.7247898795205139E-2</v>
      </c>
      <c r="CW11" s="95">
        <v>8.5793091613186427E-3</v>
      </c>
      <c r="CX11" s="95">
        <v>5.7486152114977959E-6</v>
      </c>
    </row>
    <row r="12" spans="1:102" s="95" customFormat="1">
      <c r="A12" s="306" t="str">
        <f>Parameters!A58</f>
        <v>Onroerend goed</v>
      </c>
      <c r="B12" s="307"/>
      <c r="C12" s="95">
        <v>0.13040861568512416</v>
      </c>
      <c r="D12" s="95">
        <v>0.13522239038274597</v>
      </c>
      <c r="E12" s="95">
        <v>0.14905223556534028</v>
      </c>
      <c r="F12" s="95">
        <v>0.14962087836520874</v>
      </c>
      <c r="G12" s="95">
        <v>0.12422617775568895</v>
      </c>
      <c r="H12" s="95">
        <v>0.12994412122598251</v>
      </c>
      <c r="I12" s="95">
        <v>0.11330823213904279</v>
      </c>
      <c r="J12" s="95">
        <v>0.15778740943291045</v>
      </c>
      <c r="K12" s="95">
        <v>0.19660306962190657</v>
      </c>
      <c r="L12" s="95">
        <v>0.10961582440542103</v>
      </c>
      <c r="M12" s="95">
        <v>0.13645824186314984</v>
      </c>
      <c r="N12" s="95">
        <v>0.11103853414950728</v>
      </c>
      <c r="O12" s="95">
        <v>0.15304358147384142</v>
      </c>
      <c r="P12" s="95">
        <v>0.1409018116129743</v>
      </c>
      <c r="Q12" s="95">
        <v>8.1220608793341642E-2</v>
      </c>
      <c r="R12" s="95">
        <v>5.0082703496361125E-2</v>
      </c>
      <c r="S12" s="95">
        <v>7.0530571695756855E-2</v>
      </c>
      <c r="T12" s="95">
        <v>0.10703151348518031</v>
      </c>
      <c r="U12" s="95">
        <v>0.1264830540924641</v>
      </c>
      <c r="V12" s="95">
        <v>7.9993956546399556E-2</v>
      </c>
      <c r="W12" s="95">
        <v>0.12287377000519661</v>
      </c>
      <c r="X12" s="95">
        <v>4.1905453369554091E-2</v>
      </c>
      <c r="Y12" s="95">
        <v>0.12092688299355961</v>
      </c>
      <c r="Z12" s="95">
        <v>0.15837405452534581</v>
      </c>
      <c r="AA12" s="95">
        <v>0.15536306331164723</v>
      </c>
      <c r="AB12" s="95">
        <v>9.4617904677158027E-2</v>
      </c>
      <c r="AC12" s="95">
        <v>0.14060298419650577</v>
      </c>
      <c r="AD12" s="95">
        <v>0.13646434966390544</v>
      </c>
      <c r="AE12" s="95">
        <v>3.0626919809667238E-3</v>
      </c>
      <c r="AF12" s="95">
        <v>0.11260862303341149</v>
      </c>
      <c r="AG12" s="95">
        <v>5.797082348312154E-2</v>
      </c>
      <c r="AH12" s="95">
        <v>5.3219916071709859E-2</v>
      </c>
      <c r="AI12" s="95">
        <v>6.7811895181124085E-2</v>
      </c>
      <c r="AJ12" s="95">
        <v>9.5290123580560965E-2</v>
      </c>
      <c r="AK12" s="95">
        <v>0.20996994716943565</v>
      </c>
      <c r="AL12" s="95">
        <v>0.10530379545618446</v>
      </c>
      <c r="AM12" s="95">
        <v>6.7764940927425438E-2</v>
      </c>
      <c r="AN12" s="95">
        <v>5.1779204075200036E-2</v>
      </c>
      <c r="AO12" s="95">
        <v>0.1924967725463213</v>
      </c>
      <c r="AP12" s="95">
        <v>0.11701443779336036</v>
      </c>
      <c r="AQ12" s="95">
        <v>0.10354446764020704</v>
      </c>
      <c r="AR12" s="95">
        <v>0.13756260801339243</v>
      </c>
      <c r="AS12" s="95">
        <v>8.8641212174120063E-2</v>
      </c>
      <c r="AT12" s="95">
        <v>0.17588365921374238</v>
      </c>
      <c r="AU12" s="95">
        <v>0.10792523922886377</v>
      </c>
      <c r="AV12" s="95">
        <v>0.12933395886734639</v>
      </c>
      <c r="AW12" s="95">
        <v>7.1004431488811207E-2</v>
      </c>
      <c r="AX12" s="95">
        <v>0.11768230789727517</v>
      </c>
      <c r="AY12" s="95">
        <v>0.13696128148597386</v>
      </c>
      <c r="AZ12" s="95">
        <v>0.1518344314280741</v>
      </c>
      <c r="BA12" s="95">
        <v>7.7688017753799604E-2</v>
      </c>
      <c r="BB12" s="95">
        <v>0.14986928625189108</v>
      </c>
      <c r="BC12" s="95">
        <v>7.1919044466682569E-2</v>
      </c>
      <c r="BD12" s="95">
        <v>4.2545186690488854E-3</v>
      </c>
      <c r="BE12" s="95">
        <v>1.3185314335947679E-2</v>
      </c>
      <c r="BF12" s="95">
        <v>7.3848144851268907E-2</v>
      </c>
      <c r="BG12" s="95">
        <v>8.8095274757573103E-2</v>
      </c>
      <c r="BH12" s="95">
        <v>9.1933862847789496E-2</v>
      </c>
      <c r="BI12" s="95">
        <v>0.10485472844362592</v>
      </c>
      <c r="BJ12" s="95">
        <v>2.3655615631043205E-2</v>
      </c>
      <c r="BK12" s="95">
        <v>0.22444802906246952</v>
      </c>
      <c r="BL12" s="95">
        <v>0.14375089830441801</v>
      </c>
      <c r="BM12" s="95">
        <v>2.4557195107504687E-3</v>
      </c>
      <c r="BN12" s="95">
        <v>0.14342837236819891</v>
      </c>
      <c r="BO12" s="95">
        <v>0.17289287486431401</v>
      </c>
      <c r="BP12" s="95">
        <v>0.16865224467185508</v>
      </c>
      <c r="BQ12" s="95">
        <v>0.20833581634280179</v>
      </c>
      <c r="BR12" s="95">
        <v>0.10649319679222576</v>
      </c>
      <c r="BS12" s="95">
        <v>8.9305314801812127E-2</v>
      </c>
      <c r="BT12" s="95">
        <v>2.5591937588426462E-2</v>
      </c>
      <c r="BU12" s="95">
        <v>0.17320982937706828</v>
      </c>
      <c r="BV12" s="95">
        <v>0.16793373851861909</v>
      </c>
      <c r="BW12" s="95">
        <v>6.1030087738810274E-2</v>
      </c>
      <c r="BX12" s="95">
        <v>8.8696042818804276E-7</v>
      </c>
      <c r="BY12" s="95">
        <v>8.2883104925661838E-2</v>
      </c>
      <c r="BZ12" s="95">
        <v>5.5520111562942988E-2</v>
      </c>
      <c r="CA12" s="95">
        <v>8.4438951255261907E-2</v>
      </c>
      <c r="CB12" s="95">
        <v>0.19349592007462049</v>
      </c>
      <c r="CC12" s="95">
        <v>0.10701524013179044</v>
      </c>
      <c r="CD12" s="95">
        <v>4.6235293186109666E-2</v>
      </c>
      <c r="CE12" s="95">
        <v>1.0055843700512931E-2</v>
      </c>
      <c r="CF12" s="95">
        <v>0.14709991341665687</v>
      </c>
      <c r="CG12" s="95">
        <v>0.15401645598892158</v>
      </c>
      <c r="CH12" s="95">
        <v>1.3535437573413422E-3</v>
      </c>
      <c r="CI12" s="95">
        <v>0.11504108139832853</v>
      </c>
      <c r="CJ12" s="95">
        <v>4.0884104043295039E-2</v>
      </c>
      <c r="CK12" s="95">
        <v>0.11232268485353876</v>
      </c>
      <c r="CL12" s="95">
        <v>0.13689071076686243</v>
      </c>
      <c r="CM12" s="95">
        <v>0.14426229488001124</v>
      </c>
      <c r="CN12" s="95">
        <v>0.11671559506478882</v>
      </c>
      <c r="CO12" s="95">
        <v>8.0209833909672706E-2</v>
      </c>
      <c r="CP12" s="95">
        <v>0.16285395070620595</v>
      </c>
      <c r="CQ12" s="95">
        <v>0.21396619041689421</v>
      </c>
      <c r="CR12" s="95">
        <v>0.11178349640271935</v>
      </c>
      <c r="CS12" s="95">
        <v>2.6206770603209726E-2</v>
      </c>
      <c r="CT12" s="95">
        <v>5.2822508225714722E-2</v>
      </c>
      <c r="CU12" s="95">
        <v>1.3461811337009901E-4</v>
      </c>
      <c r="CV12" s="95">
        <v>0.13674624254165516</v>
      </c>
      <c r="CW12" s="95">
        <v>0.1310917603245973</v>
      </c>
      <c r="CX12" s="95">
        <v>0.22425282201141794</v>
      </c>
    </row>
    <row r="13" spans="1:102" s="96" customFormat="1">
      <c r="A13" s="310" t="str">
        <f>Parameters!A59</f>
        <v>Commodities</v>
      </c>
      <c r="B13" s="311"/>
      <c r="C13" s="96">
        <v>8.1935339238331821E-4</v>
      </c>
      <c r="D13" s="96">
        <v>6.5815398918050548E-10</v>
      </c>
      <c r="E13" s="96">
        <v>8.9804587494015636E-3</v>
      </c>
      <c r="F13" s="96">
        <v>3.941213042520833E-2</v>
      </c>
      <c r="G13" s="96">
        <v>6.053353392730345E-2</v>
      </c>
      <c r="H13" s="96">
        <v>2.4024282804905126E-3</v>
      </c>
      <c r="I13" s="96">
        <v>6.665074917419582E-2</v>
      </c>
      <c r="J13" s="96">
        <v>8.9271546865035446E-3</v>
      </c>
      <c r="K13" s="96">
        <v>5.4523836128608505E-3</v>
      </c>
      <c r="L13" s="96">
        <v>1.1008601378901806E-6</v>
      </c>
      <c r="M13" s="96">
        <v>4.5529389645746447E-4</v>
      </c>
      <c r="N13" s="96">
        <v>2.0770395174677381E-2</v>
      </c>
      <c r="O13" s="96">
        <v>1.8495985934866909E-2</v>
      </c>
      <c r="P13" s="96">
        <v>1.8500829531528753E-5</v>
      </c>
      <c r="Q13" s="96">
        <v>5.0676032106790276E-3</v>
      </c>
      <c r="R13" s="96">
        <v>6.7475937229404242E-3</v>
      </c>
      <c r="S13" s="96">
        <v>4.6429351010603498E-2</v>
      </c>
      <c r="T13" s="96">
        <v>4.61420357579708E-3</v>
      </c>
      <c r="U13" s="96">
        <v>3.111178646124792E-5</v>
      </c>
      <c r="V13" s="96">
        <v>5.0685005547525648E-7</v>
      </c>
      <c r="W13" s="96">
        <v>1.4340956385408221E-2</v>
      </c>
      <c r="X13" s="96">
        <v>6.6203481171667092E-2</v>
      </c>
      <c r="Y13" s="96">
        <v>1.4028496867086629E-9</v>
      </c>
      <c r="Z13" s="96">
        <v>1.523193024128372E-3</v>
      </c>
      <c r="AA13" s="96">
        <v>5.5597804337862711E-3</v>
      </c>
      <c r="AB13" s="96">
        <v>5.3912995350160413E-2</v>
      </c>
      <c r="AC13" s="96">
        <v>3.7002484711613208E-2</v>
      </c>
      <c r="AD13" s="96">
        <v>1.765098472346225E-2</v>
      </c>
      <c r="AE13" s="96">
        <v>9.6208151741250775E-2</v>
      </c>
      <c r="AF13" s="96">
        <v>2.4067340456747924E-2</v>
      </c>
      <c r="AG13" s="96">
        <v>2.8207518762185569E-2</v>
      </c>
      <c r="AH13" s="96">
        <v>5.0322183952847349E-2</v>
      </c>
      <c r="AI13" s="96">
        <v>9.2875634154695308E-8</v>
      </c>
      <c r="AJ13" s="96">
        <v>1.3990775421485412E-5</v>
      </c>
      <c r="AK13" s="96">
        <v>6.079289314168377E-3</v>
      </c>
      <c r="AL13" s="96">
        <v>4.8751673898155219E-2</v>
      </c>
      <c r="AM13" s="96">
        <v>2.3006444176506515E-2</v>
      </c>
      <c r="AN13" s="96">
        <v>4.9769305839943608E-2</v>
      </c>
      <c r="AO13" s="96">
        <v>5.8201073369290722E-6</v>
      </c>
      <c r="AP13" s="96">
        <v>2.1441596540717402E-2</v>
      </c>
      <c r="AQ13" s="96">
        <v>2.0635195089475128E-4</v>
      </c>
      <c r="AR13" s="96">
        <v>1.5326618320130327E-2</v>
      </c>
      <c r="AS13" s="96">
        <v>7.0028846664700203E-2</v>
      </c>
      <c r="AT13" s="96">
        <v>1.6451502928493171E-2</v>
      </c>
      <c r="AU13" s="96">
        <v>2.2168526631950853E-3</v>
      </c>
      <c r="AV13" s="96">
        <v>4.0644478113182161E-4</v>
      </c>
      <c r="AW13" s="96">
        <v>3.7449242750593574E-2</v>
      </c>
      <c r="AX13" s="96">
        <v>7.2443657953533802E-2</v>
      </c>
      <c r="AY13" s="96">
        <v>1.4196708386778334E-2</v>
      </c>
      <c r="AZ13" s="96">
        <v>6.4782395245861924E-3</v>
      </c>
      <c r="BA13" s="96">
        <v>1.0117940229992803E-3</v>
      </c>
      <c r="BB13" s="96">
        <v>8.2446066468680135E-6</v>
      </c>
      <c r="BC13" s="96">
        <v>5.340259631187383E-5</v>
      </c>
      <c r="BD13" s="96">
        <v>5.1984950315166728E-2</v>
      </c>
      <c r="BE13" s="96">
        <v>5.5350089611852046E-2</v>
      </c>
      <c r="BF13" s="96">
        <v>3.1361395568745523E-2</v>
      </c>
      <c r="BG13" s="96">
        <v>2.5196895569947657E-3</v>
      </c>
      <c r="BH13" s="96">
        <v>1.2683575474052839E-2</v>
      </c>
      <c r="BI13" s="96">
        <v>2.2102969148386252E-7</v>
      </c>
      <c r="BJ13" s="96">
        <v>2.4156536468528708E-2</v>
      </c>
      <c r="BK13" s="96">
        <v>1.3341988736250057E-3</v>
      </c>
      <c r="BL13" s="96">
        <v>2.0999451818659487E-3</v>
      </c>
      <c r="BM13" s="96">
        <v>8.1401968003443917E-2</v>
      </c>
      <c r="BN13" s="96">
        <v>1.3749993982261184E-2</v>
      </c>
      <c r="BO13" s="96">
        <v>1.1740925391178293E-4</v>
      </c>
      <c r="BP13" s="96">
        <v>3.6464541422237831E-2</v>
      </c>
      <c r="BQ13" s="96">
        <v>5.9408348115512308E-8</v>
      </c>
      <c r="BR13" s="96">
        <v>9.0311944028223512E-3</v>
      </c>
      <c r="BS13" s="96">
        <v>1.7659774778502762E-2</v>
      </c>
      <c r="BT13" s="96">
        <v>6.016244783602627E-2</v>
      </c>
      <c r="BU13" s="96">
        <v>3.3998120333831233E-2</v>
      </c>
      <c r="BV13" s="96">
        <v>1.0551904841755841E-8</v>
      </c>
      <c r="BW13" s="96">
        <v>6.4079285353677989E-2</v>
      </c>
      <c r="BX13" s="96">
        <v>2.2247223619072266E-2</v>
      </c>
      <c r="BY13" s="96">
        <v>6.1272476706217917E-2</v>
      </c>
      <c r="BZ13" s="96">
        <v>5.5941221656957217E-2</v>
      </c>
      <c r="CA13" s="96">
        <v>2.146650581254413E-2</v>
      </c>
      <c r="CB13" s="96">
        <v>9.1251850607601576E-8</v>
      </c>
      <c r="CC13" s="96">
        <v>2.0354901475718591E-2</v>
      </c>
      <c r="CD13" s="96">
        <v>6.1374826547226723E-2</v>
      </c>
      <c r="CE13" s="96">
        <v>0.11024746389206125</v>
      </c>
      <c r="CF13" s="96">
        <v>6.9154624059765066E-2</v>
      </c>
      <c r="CG13" s="96">
        <v>1.507892629361505E-2</v>
      </c>
      <c r="CH13" s="96">
        <v>3.0132311446190604E-2</v>
      </c>
      <c r="CI13" s="96">
        <v>1.2889842181950105E-2</v>
      </c>
      <c r="CJ13" s="96">
        <v>8.8768938662045689E-4</v>
      </c>
      <c r="CK13" s="96">
        <v>5.7983350325748933E-3</v>
      </c>
      <c r="CL13" s="96">
        <v>6.9799628922157485E-3</v>
      </c>
      <c r="CM13" s="96">
        <v>7.7618782608343826E-3</v>
      </c>
      <c r="CN13" s="96">
        <v>5.3463124861130432E-4</v>
      </c>
      <c r="CO13" s="96">
        <v>3.5789421185174745E-2</v>
      </c>
      <c r="CP13" s="96">
        <v>5.7950649908042745E-3</v>
      </c>
      <c r="CQ13" s="96">
        <v>3.1481939776435789E-4</v>
      </c>
      <c r="CR13" s="96">
        <v>5.1505214457277453E-2</v>
      </c>
      <c r="CS13" s="96">
        <v>2.9770892752796103E-2</v>
      </c>
      <c r="CT13" s="96">
        <v>4.7541627740301788E-2</v>
      </c>
      <c r="CU13" s="96">
        <v>8.3156026541729655E-2</v>
      </c>
      <c r="CV13" s="96">
        <v>3.2646322813677242E-3</v>
      </c>
      <c r="CW13" s="96">
        <v>5.2252499750193984E-2</v>
      </c>
      <c r="CX13" s="96">
        <v>3.6822254285273192E-4</v>
      </c>
    </row>
    <row r="15" spans="1:102" s="94" customFormat="1">
      <c r="A15" s="303" t="s">
        <v>140</v>
      </c>
      <c r="B15" s="304"/>
    </row>
    <row r="16" spans="1:102" s="95" customFormat="1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 s="95" customFormat="1">
      <c r="A17" s="306" t="s">
        <v>4</v>
      </c>
      <c r="B17" s="307"/>
      <c r="C17" s="126">
        <v>1.2811553131499152E-2</v>
      </c>
      <c r="D17" s="126">
        <v>0.21570790980415755</v>
      </c>
      <c r="E17" s="126">
        <v>1.3776567428861614E-10</v>
      </c>
      <c r="F17" s="126">
        <v>2.07033417232543E-2</v>
      </c>
      <c r="G17" s="126">
        <v>5.2373918963560952E-2</v>
      </c>
      <c r="H17" s="126">
        <v>0.19626162500315508</v>
      </c>
      <c r="I17" s="126">
        <v>0.12923375662041003</v>
      </c>
      <c r="J17" s="126">
        <v>0.2685677361243981</v>
      </c>
      <c r="K17" s="126">
        <v>0.10159821588390273</v>
      </c>
      <c r="L17" s="126">
        <v>0.22644725270630756</v>
      </c>
      <c r="M17" s="126">
        <v>6.7483285004799762E-2</v>
      </c>
      <c r="N17" s="126">
        <v>2.0694168177691141E-4</v>
      </c>
      <c r="O17" s="126">
        <v>0.18663431590749502</v>
      </c>
      <c r="P17" s="126">
        <v>0.29737973401430473</v>
      </c>
      <c r="Q17" s="126">
        <v>1.5041685265953857E-2</v>
      </c>
      <c r="R17" s="126">
        <v>0.15996825251940572</v>
      </c>
      <c r="S17" s="126">
        <v>0.29669016986635616</v>
      </c>
      <c r="T17" s="126">
        <v>0.11627193528929308</v>
      </c>
      <c r="U17" s="126">
        <v>0.15830047819067919</v>
      </c>
      <c r="V17" s="126">
        <v>0.29731049355459355</v>
      </c>
      <c r="W17" s="126">
        <v>0.14516105931175891</v>
      </c>
      <c r="X17" s="126">
        <v>0.14050263747394451</v>
      </c>
      <c r="Y17" s="126">
        <v>0.24020737973114964</v>
      </c>
      <c r="Z17" s="126">
        <v>0.35566275371290451</v>
      </c>
      <c r="AA17" s="126">
        <v>2.5792012644773009E-2</v>
      </c>
      <c r="AB17" s="126">
        <v>0.16094111854510584</v>
      </c>
      <c r="AC17" s="126">
        <v>0.31535377768526746</v>
      </c>
      <c r="AD17" s="126">
        <v>0.40655863301706818</v>
      </c>
      <c r="AE17" s="126">
        <v>3.278916636808956E-2</v>
      </c>
      <c r="AF17" s="126">
        <v>0.22822308269933683</v>
      </c>
      <c r="AG17" s="126">
        <v>0.19414893283481011</v>
      </c>
      <c r="AH17" s="126">
        <v>0.21674663969872693</v>
      </c>
      <c r="AI17" s="126">
        <v>1.7773878340245366E-12</v>
      </c>
      <c r="AJ17" s="126">
        <v>0.28786044991436904</v>
      </c>
      <c r="AK17" s="126">
        <v>0.37703045379722122</v>
      </c>
      <c r="AL17" s="126">
        <v>0.2449400685683904</v>
      </c>
      <c r="AM17" s="126">
        <v>0.26751356977670709</v>
      </c>
      <c r="AN17" s="126">
        <v>0.13276769116014095</v>
      </c>
      <c r="AO17" s="126">
        <v>8.9588064419572594E-2</v>
      </c>
      <c r="AP17" s="126">
        <v>1.4057918621659525E-2</v>
      </c>
      <c r="AQ17" s="126">
        <v>0.1949839533631359</v>
      </c>
      <c r="AR17" s="126">
        <v>0.26778531388219268</v>
      </c>
      <c r="AS17" s="126">
        <v>6.1483943897857235E-5</v>
      </c>
      <c r="AT17" s="126">
        <v>0.29893950634007294</v>
      </c>
      <c r="AU17" s="126">
        <v>4.2401511112355551E-2</v>
      </c>
      <c r="AV17" s="126">
        <v>0.34174971032023843</v>
      </c>
      <c r="AW17" s="126">
        <v>0.15445346636286666</v>
      </c>
      <c r="AX17" s="126">
        <v>0.2308180627047203</v>
      </c>
      <c r="AY17" s="126">
        <v>1.2402804404556037E-4</v>
      </c>
      <c r="AZ17" s="126">
        <v>0.26009351326255797</v>
      </c>
      <c r="BA17" s="126">
        <v>0.21885798950462809</v>
      </c>
      <c r="BB17" s="126">
        <v>0.20123555047432423</v>
      </c>
      <c r="BC17" s="126">
        <v>6.7109996576332098E-2</v>
      </c>
      <c r="BD17" s="126">
        <v>5.2561906775405243E-4</v>
      </c>
      <c r="BE17" s="126">
        <v>0.19517384218020917</v>
      </c>
      <c r="BF17" s="126">
        <v>0.26145186317420044</v>
      </c>
      <c r="BG17" s="126">
        <v>4.901029593723772E-2</v>
      </c>
      <c r="BH17" s="126">
        <v>0.14568105128848535</v>
      </c>
      <c r="BI17" s="126">
        <v>0.4212459513015257</v>
      </c>
      <c r="BJ17" s="126">
        <v>0.2452928260873492</v>
      </c>
      <c r="BK17" s="126">
        <v>0.26144162698030787</v>
      </c>
      <c r="BL17" s="126">
        <v>0.25544010741966106</v>
      </c>
      <c r="BM17" s="126">
        <v>4.8216626941891737E-2</v>
      </c>
      <c r="BN17" s="126">
        <v>0.33949036062676091</v>
      </c>
      <c r="BO17" s="126">
        <v>0.42708802642591809</v>
      </c>
      <c r="BP17" s="126">
        <v>0.2387840650908101</v>
      </c>
      <c r="BQ17" s="126">
        <v>1.4413635220317255E-6</v>
      </c>
      <c r="BR17" s="126">
        <v>0.36592165022128265</v>
      </c>
      <c r="BS17" s="126">
        <v>0.28133416920279464</v>
      </c>
      <c r="BT17" s="126">
        <v>4.7274105429155671E-3</v>
      </c>
      <c r="BU17" s="126">
        <v>0.2776250609707705</v>
      </c>
      <c r="BV17" s="126">
        <v>0.38461045019994294</v>
      </c>
      <c r="BW17" s="126">
        <v>0.14400378827880186</v>
      </c>
      <c r="BX17" s="126">
        <v>4.2853793185724737E-3</v>
      </c>
      <c r="BY17" s="126">
        <v>0.18856380114035234</v>
      </c>
      <c r="BZ17" s="126">
        <v>0.20054126797765534</v>
      </c>
      <c r="CA17" s="126">
        <v>0.21744112665192367</v>
      </c>
      <c r="CB17" s="126">
        <v>0.2896259942549127</v>
      </c>
      <c r="CC17" s="126">
        <v>0.16123760694178471</v>
      </c>
      <c r="CD17" s="126">
        <v>0.20977080784831323</v>
      </c>
      <c r="CE17" s="126">
        <v>4.8396952196509344E-2</v>
      </c>
      <c r="CF17" s="126">
        <v>0.19837865252619838</v>
      </c>
      <c r="CG17" s="126">
        <v>0.20022290493007944</v>
      </c>
      <c r="CH17" s="126">
        <v>5.063927953411046E-2</v>
      </c>
      <c r="CI17" s="126">
        <v>1.395928864119948E-3</v>
      </c>
      <c r="CJ17" s="126">
        <v>0.19168037198632099</v>
      </c>
      <c r="CK17" s="126">
        <v>8.636928809088075E-2</v>
      </c>
      <c r="CL17" s="126">
        <v>8.9386866404036758E-2</v>
      </c>
      <c r="CM17" s="126">
        <v>0.26289055437421938</v>
      </c>
      <c r="CN17" s="126">
        <v>0.13118357077488907</v>
      </c>
      <c r="CO17" s="126">
        <v>2.3706116627079433E-2</v>
      </c>
      <c r="CP17" s="126">
        <v>0.44037642397964549</v>
      </c>
      <c r="CQ17" s="126">
        <v>0.25313002740677076</v>
      </c>
      <c r="CR17" s="126">
        <v>1.581385967373131E-4</v>
      </c>
      <c r="CS17" s="126">
        <v>0.13697063431963022</v>
      </c>
      <c r="CT17" s="126">
        <v>0.1197469933275329</v>
      </c>
      <c r="CU17" s="126">
        <v>0.36807117912344933</v>
      </c>
      <c r="CV17" s="126">
        <v>0.39562534916954756</v>
      </c>
      <c r="CW17" s="126">
        <v>0.39653888580400654</v>
      </c>
      <c r="CX17" s="126">
        <v>0.23508308880687651</v>
      </c>
    </row>
    <row r="18" spans="1:102" s="95" customFormat="1">
      <c r="A18" s="306" t="s">
        <v>175</v>
      </c>
      <c r="B18" s="307"/>
      <c r="C18" s="126">
        <v>1.6666098344172602E-6</v>
      </c>
      <c r="D18" s="126">
        <v>6.6674765818783611E-6</v>
      </c>
      <c r="E18" s="126">
        <v>3.7925321464169643E-6</v>
      </c>
      <c r="F18" s="126">
        <v>3.9780094934221177E-7</v>
      </c>
      <c r="G18" s="126">
        <v>4.0955830164529923E-5</v>
      </c>
      <c r="H18" s="126">
        <v>4.0937902322291725E-3</v>
      </c>
      <c r="I18" s="126">
        <v>1.477857413870413E-4</v>
      </c>
      <c r="J18" s="126">
        <v>2.1960878782941548E-2</v>
      </c>
      <c r="K18" s="126">
        <v>2.374061491892146E-2</v>
      </c>
      <c r="L18" s="126">
        <v>7.41475072042693E-5</v>
      </c>
      <c r="M18" s="126">
        <v>1.7559472212345791E-7</v>
      </c>
      <c r="N18" s="126">
        <v>1.8580677403989814E-3</v>
      </c>
      <c r="O18" s="126">
        <v>1.3497853830855195E-3</v>
      </c>
      <c r="P18" s="126">
        <v>1.1672961694033781E-2</v>
      </c>
      <c r="Q18" s="126">
        <v>2.1771311176224335E-2</v>
      </c>
      <c r="R18" s="126">
        <v>2.8817075871209797E-3</v>
      </c>
      <c r="S18" s="126">
        <v>1.0372442662453988E-2</v>
      </c>
      <c r="T18" s="126">
        <v>3.8462247259239034E-4</v>
      </c>
      <c r="U18" s="126">
        <v>8.3545522789074674E-14</v>
      </c>
      <c r="V18" s="126">
        <v>2.1648252476478297E-4</v>
      </c>
      <c r="W18" s="126">
        <v>4.6350399848675214E-4</v>
      </c>
      <c r="X18" s="126">
        <v>1.5833994379852807E-6</v>
      </c>
      <c r="Y18" s="126">
        <v>2.4784048723154303E-30</v>
      </c>
      <c r="Z18" s="126">
        <v>8.0275318693382607E-4</v>
      </c>
      <c r="AA18" s="126">
        <v>1.978632395976058E-7</v>
      </c>
      <c r="AB18" s="126">
        <v>1.9467477555498101E-4</v>
      </c>
      <c r="AC18" s="126">
        <v>2.7075503286367406E-2</v>
      </c>
      <c r="AD18" s="126">
        <v>2.5422523631374082E-3</v>
      </c>
      <c r="AE18" s="126">
        <v>2.2366589561939395E-4</v>
      </c>
      <c r="AF18" s="126">
        <v>2.7780354823729165E-2</v>
      </c>
      <c r="AG18" s="126">
        <v>4.4994360584423854E-2</v>
      </c>
      <c r="AH18" s="126">
        <v>5.3665303158631156E-3</v>
      </c>
      <c r="AI18" s="126">
        <v>6.3107022856772569E-4</v>
      </c>
      <c r="AJ18" s="126">
        <v>1.13537900723139E-4</v>
      </c>
      <c r="AK18" s="126">
        <v>9.3140170106149316E-3</v>
      </c>
      <c r="AL18" s="126">
        <v>2.2587305488534059E-3</v>
      </c>
      <c r="AM18" s="126">
        <v>1.0828481048006237E-3</v>
      </c>
      <c r="AN18" s="126">
        <v>2.681698493809645E-2</v>
      </c>
      <c r="AO18" s="126">
        <v>2.1547458364651419E-2</v>
      </c>
      <c r="AP18" s="126">
        <v>1.0941364042737231E-3</v>
      </c>
      <c r="AQ18" s="126">
        <v>1.7027072494435358E-3</v>
      </c>
      <c r="AR18" s="126">
        <v>1.2168495012396792E-2</v>
      </c>
      <c r="AS18" s="126">
        <v>6.86590616497201E-7</v>
      </c>
      <c r="AT18" s="126">
        <v>8.4809221295395077E-3</v>
      </c>
      <c r="AU18" s="126">
        <v>8.0864284267311959E-2</v>
      </c>
      <c r="AV18" s="126">
        <v>3.5821288413453683E-3</v>
      </c>
      <c r="AW18" s="126">
        <v>1.7011872301580758E-2</v>
      </c>
      <c r="AX18" s="126">
        <v>3.7403711686193782E-2</v>
      </c>
      <c r="AY18" s="126">
        <v>4.6507359115221192E-2</v>
      </c>
      <c r="AZ18" s="126">
        <v>1.2431407608104258E-2</v>
      </c>
      <c r="BA18" s="126">
        <v>8.0460826059813046E-3</v>
      </c>
      <c r="BB18" s="126">
        <v>3.4080919549076892E-3</v>
      </c>
      <c r="BC18" s="126">
        <v>5.4241364951478865E-8</v>
      </c>
      <c r="BD18" s="126">
        <v>5.9510869756212829E-2</v>
      </c>
      <c r="BE18" s="126">
        <v>3.9453919412120635E-3</v>
      </c>
      <c r="BF18" s="126">
        <v>1.0194255174000315E-4</v>
      </c>
      <c r="BG18" s="126">
        <v>1.4647661673489924E-9</v>
      </c>
      <c r="BH18" s="126">
        <v>2.5741220732195806E-2</v>
      </c>
      <c r="BI18" s="126">
        <v>2.9788999010017415E-9</v>
      </c>
      <c r="BJ18" s="126">
        <v>9.835402939189497E-3</v>
      </c>
      <c r="BK18" s="126">
        <v>8.3324347655079952E-3</v>
      </c>
      <c r="BL18" s="126">
        <v>6.1420178042993893E-6</v>
      </c>
      <c r="BM18" s="126">
        <v>4.7369193245324574E-3</v>
      </c>
      <c r="BN18" s="126">
        <v>1.4272973603829961E-2</v>
      </c>
      <c r="BO18" s="126">
        <v>1.5255700272856158E-5</v>
      </c>
      <c r="BP18" s="126">
        <v>1.5269983465911539E-3</v>
      </c>
      <c r="BQ18" s="126">
        <v>1.3757967430686224E-2</v>
      </c>
      <c r="BR18" s="126">
        <v>5.7009098060286506E-3</v>
      </c>
      <c r="BS18" s="126">
        <v>2.2379596365819103E-4</v>
      </c>
      <c r="BT18" s="126">
        <v>1.6093362803328525E-2</v>
      </c>
      <c r="BU18" s="126">
        <v>2.1002767149551856E-2</v>
      </c>
      <c r="BV18" s="126">
        <v>4.7970020375552551E-6</v>
      </c>
      <c r="BW18" s="126">
        <v>1.0683580474737521E-4</v>
      </c>
      <c r="BX18" s="126">
        <v>2.2596917589129455E-4</v>
      </c>
      <c r="BY18" s="126">
        <v>5.9242929910041877E-15</v>
      </c>
      <c r="BZ18" s="126">
        <v>2.1232346387073844E-2</v>
      </c>
      <c r="CA18" s="126">
        <v>4.557996770298358E-2</v>
      </c>
      <c r="CB18" s="126">
        <v>9.7321514000368354E-8</v>
      </c>
      <c r="CC18" s="126">
        <v>4.3211934401866291E-2</v>
      </c>
      <c r="CD18" s="126">
        <v>5.6941203329357942E-4</v>
      </c>
      <c r="CE18" s="126">
        <v>1.5991463870756464E-2</v>
      </c>
      <c r="CF18" s="126">
        <v>8.0871568917573952E-3</v>
      </c>
      <c r="CG18" s="126">
        <v>1.0254905261744652E-2</v>
      </c>
      <c r="CH18" s="126">
        <v>1.4830132344695829E-3</v>
      </c>
      <c r="CI18" s="126">
        <v>1.6983676311856932E-3</v>
      </c>
      <c r="CJ18" s="126">
        <v>8.17853574123374E-3</v>
      </c>
      <c r="CK18" s="126">
        <v>4.927593310827099E-2</v>
      </c>
      <c r="CL18" s="126">
        <v>4.2415524019037464E-8</v>
      </c>
      <c r="CM18" s="126">
        <v>1.5557816732706088E-7</v>
      </c>
      <c r="CN18" s="126">
        <v>7.1895216711410734E-2</v>
      </c>
      <c r="CO18" s="126">
        <v>5.4246885744272779E-3</v>
      </c>
      <c r="CP18" s="126">
        <v>7.666459205138935E-3</v>
      </c>
      <c r="CQ18" s="126">
        <v>8.9820224412139518E-3</v>
      </c>
      <c r="CR18" s="126">
        <v>1.6074553153724792E-2</v>
      </c>
      <c r="CS18" s="126">
        <v>4.5806164673327807E-2</v>
      </c>
      <c r="CT18" s="126">
        <v>6.5142402009424778E-6</v>
      </c>
      <c r="CU18" s="126">
        <v>3.6215326542143747E-4</v>
      </c>
      <c r="CV18" s="126">
        <v>1.820549074043276E-5</v>
      </c>
      <c r="CW18" s="126">
        <v>2.0783373523377204E-4</v>
      </c>
      <c r="CX18" s="126">
        <v>1.5641575439725492E-4</v>
      </c>
    </row>
    <row r="19" spans="1:102" s="95" customFormat="1">
      <c r="A19" s="306" t="s">
        <v>176</v>
      </c>
      <c r="B19" s="307"/>
      <c r="C19" s="126">
        <v>0.38232458468191288</v>
      </c>
      <c r="D19" s="126">
        <v>0.33105719317188703</v>
      </c>
      <c r="E19" s="126">
        <v>0.27770555586320772</v>
      </c>
      <c r="F19" s="126">
        <v>9.6589768469326001E-2</v>
      </c>
      <c r="G19" s="126">
        <v>0.25414143426412322</v>
      </c>
      <c r="H19" s="126">
        <v>0.2584851484269991</v>
      </c>
      <c r="I19" s="126">
        <v>0.42323009164012126</v>
      </c>
      <c r="J19" s="126">
        <v>0.16297531287755776</v>
      </c>
      <c r="K19" s="126">
        <v>0.19182862764706671</v>
      </c>
      <c r="L19" s="126">
        <v>0.27271315564146592</v>
      </c>
      <c r="M19" s="126">
        <v>0.40031619889086828</v>
      </c>
      <c r="N19" s="126">
        <v>0.29847166915410339</v>
      </c>
      <c r="O19" s="126">
        <v>0.43310971776581653</v>
      </c>
      <c r="P19" s="126">
        <v>8.9059845472581126E-2</v>
      </c>
      <c r="Q19" s="126">
        <v>0.45209344824226033</v>
      </c>
      <c r="R19" s="126">
        <v>0.43756660561481686</v>
      </c>
      <c r="S19" s="126">
        <v>0.36522609366146763</v>
      </c>
      <c r="T19" s="126">
        <v>0.22163226924205182</v>
      </c>
      <c r="U19" s="126">
        <v>0.26270587015819286</v>
      </c>
      <c r="V19" s="126">
        <v>0.35112009404032496</v>
      </c>
      <c r="W19" s="126">
        <v>0.46953778608869612</v>
      </c>
      <c r="X19" s="126">
        <v>0.34910938381909218</v>
      </c>
      <c r="Y19" s="126">
        <v>0.47819761562460894</v>
      </c>
      <c r="Z19" s="126">
        <v>7.8990806215073622E-3</v>
      </c>
      <c r="AA19" s="126">
        <v>2.299433556639544E-3</v>
      </c>
      <c r="AB19" s="126">
        <v>0.40569133155587056</v>
      </c>
      <c r="AC19" s="126">
        <v>9.5346155924758938E-2</v>
      </c>
      <c r="AD19" s="126">
        <v>0.16164104376092128</v>
      </c>
      <c r="AE19" s="126">
        <v>0.45610022897826263</v>
      </c>
      <c r="AF19" s="126">
        <v>0.28700939031113665</v>
      </c>
      <c r="AG19" s="126">
        <v>0.21942924095373922</v>
      </c>
      <c r="AH19" s="126">
        <v>0.47408902898321259</v>
      </c>
      <c r="AI19" s="126">
        <v>0.46374316088796713</v>
      </c>
      <c r="AJ19" s="126">
        <v>0.1354290356860611</v>
      </c>
      <c r="AK19" s="126">
        <v>3.1659112390569219E-2</v>
      </c>
      <c r="AL19" s="126">
        <v>0.17372388604010497</v>
      </c>
      <c r="AM19" s="126">
        <v>0.45356095671286262</v>
      </c>
      <c r="AN19" s="126">
        <v>0.42260415544093849</v>
      </c>
      <c r="AO19" s="126">
        <v>0.28305233322053669</v>
      </c>
      <c r="AP19" s="126">
        <v>0.42740415118386782</v>
      </c>
      <c r="AQ19" s="126">
        <v>0.18374165317114319</v>
      </c>
      <c r="AR19" s="126">
        <v>4.5314889345211169E-3</v>
      </c>
      <c r="AS19" s="126">
        <v>4.3080752592418219E-2</v>
      </c>
      <c r="AT19" s="126">
        <v>0.11277424369981663</v>
      </c>
      <c r="AU19" s="126">
        <v>0.48979474174910664</v>
      </c>
      <c r="AV19" s="126">
        <v>1.03479982325159E-4</v>
      </c>
      <c r="AW19" s="126">
        <v>0.30808856959261299</v>
      </c>
      <c r="AX19" s="126">
        <v>0.31178488009443128</v>
      </c>
      <c r="AY19" s="126">
        <v>0.48144514387756254</v>
      </c>
      <c r="AZ19" s="126">
        <v>0.29985735854415446</v>
      </c>
      <c r="BA19" s="126">
        <v>0.33778978559155276</v>
      </c>
      <c r="BB19" s="126">
        <v>0.27952943095008864</v>
      </c>
      <c r="BC19" s="126">
        <v>0.29095438986709921</v>
      </c>
      <c r="BD19" s="126">
        <v>0.4784166121229062</v>
      </c>
      <c r="BE19" s="126">
        <v>0.38180493939016963</v>
      </c>
      <c r="BF19" s="126">
        <v>0.13520522678566038</v>
      </c>
      <c r="BG19" s="126">
        <v>0.49334928629649005</v>
      </c>
      <c r="BH19" s="126">
        <v>0.47302163395952651</v>
      </c>
      <c r="BI19" s="126">
        <v>0.18947172132212084</v>
      </c>
      <c r="BJ19" s="126">
        <v>0.41927458546155488</v>
      </c>
      <c r="BK19" s="126">
        <v>0.19242732335102922</v>
      </c>
      <c r="BL19" s="126">
        <v>0.20660806383192984</v>
      </c>
      <c r="BM19" s="126">
        <v>0.49010857824168252</v>
      </c>
      <c r="BN19" s="126">
        <v>0.28274365700520782</v>
      </c>
      <c r="BO19" s="126">
        <v>4.3092255603789473E-2</v>
      </c>
      <c r="BP19" s="126">
        <v>0.16782003259273862</v>
      </c>
      <c r="BQ19" s="126">
        <v>0.21243338132180148</v>
      </c>
      <c r="BR19" s="126">
        <v>0.11554011267626904</v>
      </c>
      <c r="BS19" s="126">
        <v>0.26576460848728117</v>
      </c>
      <c r="BT19" s="126">
        <v>0.28517381257708152</v>
      </c>
      <c r="BU19" s="126">
        <v>4.7236726338310962E-2</v>
      </c>
      <c r="BV19" s="126">
        <v>0.11089685753904405</v>
      </c>
      <c r="BW19" s="126">
        <v>0.45302046308870719</v>
      </c>
      <c r="BX19" s="126">
        <v>0.49815712090467307</v>
      </c>
      <c r="BY19" s="126">
        <v>0.24153722340269868</v>
      </c>
      <c r="BZ19" s="126">
        <v>0.35487617314510889</v>
      </c>
      <c r="CA19" s="126">
        <v>0.4477392177960689</v>
      </c>
      <c r="CB19" s="126">
        <v>0.20668850085424537</v>
      </c>
      <c r="CC19" s="126">
        <v>0.29519735996070051</v>
      </c>
      <c r="CD19" s="126">
        <v>0.44855585174648133</v>
      </c>
      <c r="CE19" s="126">
        <v>0.42334036811792847</v>
      </c>
      <c r="CF19" s="126">
        <v>0.29481337650627215</v>
      </c>
      <c r="CG19" s="126">
        <v>2.0349943684693578E-2</v>
      </c>
      <c r="CH19" s="126">
        <v>0.43948749592599878</v>
      </c>
      <c r="CI19" s="126">
        <v>0.36862293492710585</v>
      </c>
      <c r="CJ19" s="126">
        <v>0.39428764861415394</v>
      </c>
      <c r="CK19" s="126">
        <v>0.41842696486618824</v>
      </c>
      <c r="CL19" s="126">
        <v>0.29127776168935582</v>
      </c>
      <c r="CM19" s="126">
        <v>0.3083617833526307</v>
      </c>
      <c r="CN19" s="126">
        <v>0.41140673220163809</v>
      </c>
      <c r="CO19" s="126">
        <v>0.29131667952373902</v>
      </c>
      <c r="CP19" s="126">
        <v>0.16122482932112464</v>
      </c>
      <c r="CQ19" s="126">
        <v>0.33003153087343501</v>
      </c>
      <c r="CR19" s="126">
        <v>1.2926287256568863E-2</v>
      </c>
      <c r="CS19" s="126">
        <v>0.49055173769966803</v>
      </c>
      <c r="CT19" s="126">
        <v>0.40778915965859575</v>
      </c>
      <c r="CU19" s="126">
        <v>0.42836002594494765</v>
      </c>
      <c r="CV19" s="126">
        <v>7.5123009795255331E-3</v>
      </c>
      <c r="CW19" s="126">
        <v>0.2227692029419322</v>
      </c>
      <c r="CX19" s="126">
        <v>8.9655377599678607E-2</v>
      </c>
    </row>
    <row r="20" spans="1:102" s="95" customFormat="1">
      <c r="A20" s="306" t="s">
        <v>177</v>
      </c>
      <c r="B20" s="307"/>
      <c r="C20" s="126">
        <v>0.25282343147104219</v>
      </c>
      <c r="D20" s="126">
        <v>0.15541989524933969</v>
      </c>
      <c r="E20" s="126">
        <v>0.21493923417631533</v>
      </c>
      <c r="F20" s="126">
        <v>0.34262125327889659</v>
      </c>
      <c r="G20" s="126">
        <v>0.17106819033727455</v>
      </c>
      <c r="H20" s="126">
        <v>0.22333604002175722</v>
      </c>
      <c r="I20" s="126">
        <v>2.2351996302102852E-2</v>
      </c>
      <c r="J20" s="126">
        <v>0.16224406805774402</v>
      </c>
      <c r="K20" s="126">
        <v>0.20987404131708981</v>
      </c>
      <c r="L20" s="126">
        <v>0.14358002460971317</v>
      </c>
      <c r="M20" s="126">
        <v>9.115687364772497E-2</v>
      </c>
      <c r="N20" s="126">
        <v>0.207489663437632</v>
      </c>
      <c r="O20" s="126">
        <v>5.8653887826977226E-3</v>
      </c>
      <c r="P20" s="126">
        <v>0.23840100723106053</v>
      </c>
      <c r="Q20" s="126">
        <v>0.21180354881587476</v>
      </c>
      <c r="R20" s="126">
        <v>0.23840796838657513</v>
      </c>
      <c r="S20" s="126">
        <v>6.4726954313423402E-2</v>
      </c>
      <c r="T20" s="126">
        <v>0.35075406231605333</v>
      </c>
      <c r="U20" s="126">
        <v>0.25680254988511386</v>
      </c>
      <c r="V20" s="126">
        <v>0.13852524506131003</v>
      </c>
      <c r="W20" s="126">
        <v>2.7915595328343618E-2</v>
      </c>
      <c r="X20" s="126">
        <v>0.17630109098373523</v>
      </c>
      <c r="Y20" s="126">
        <v>1.8513590899214528E-5</v>
      </c>
      <c r="Z20" s="126">
        <v>0.2771678359519959</v>
      </c>
      <c r="AA20" s="126">
        <v>0.39962145345528005</v>
      </c>
      <c r="AB20" s="126">
        <v>5.8591535073614712E-2</v>
      </c>
      <c r="AC20" s="126">
        <v>0.16904767528157644</v>
      </c>
      <c r="AD20" s="126">
        <v>0.11849328772122915</v>
      </c>
      <c r="AE20" s="126">
        <v>0.13597155462881372</v>
      </c>
      <c r="AF20" s="126">
        <v>8.0772884589528235E-2</v>
      </c>
      <c r="AG20" s="126">
        <v>0.27651475677868803</v>
      </c>
      <c r="AH20" s="126">
        <v>3.4249614552284459E-2</v>
      </c>
      <c r="AI20" s="126">
        <v>0.18090982265102137</v>
      </c>
      <c r="AJ20" s="126">
        <v>0.30441795533012922</v>
      </c>
      <c r="AK20" s="126">
        <v>0.15948156119220655</v>
      </c>
      <c r="AL20" s="126">
        <v>0.19246192181739999</v>
      </c>
      <c r="AM20" s="126">
        <v>7.8167596710108818E-3</v>
      </c>
      <c r="AN20" s="126">
        <v>5.4700992587149451E-2</v>
      </c>
      <c r="AO20" s="126">
        <v>0.15360381863693542</v>
      </c>
      <c r="AP20" s="126">
        <v>0.15176591403675327</v>
      </c>
      <c r="AQ20" s="126">
        <v>0.2174394636769669</v>
      </c>
      <c r="AR20" s="126">
        <v>0.29221261239390039</v>
      </c>
      <c r="AS20" s="126">
        <v>0.40845603388975121</v>
      </c>
      <c r="AT20" s="126">
        <v>0.15719856258648132</v>
      </c>
      <c r="AU20" s="126">
        <v>0.10103334351777624</v>
      </c>
      <c r="AV20" s="126">
        <v>0.31060202133236603</v>
      </c>
      <c r="AW20" s="126">
        <v>0.21745706516562302</v>
      </c>
      <c r="AX20" s="126">
        <v>6.9560774288279588E-5</v>
      </c>
      <c r="AY20" s="126">
        <v>9.0629429759923191E-2</v>
      </c>
      <c r="AZ20" s="126">
        <v>4.5119123282229792E-2</v>
      </c>
      <c r="BA20" s="126">
        <v>8.875527003434136E-2</v>
      </c>
      <c r="BB20" s="126">
        <v>0.11549962369918554</v>
      </c>
      <c r="BC20" s="126">
        <v>0.28061439422458978</v>
      </c>
      <c r="BD20" s="126">
        <v>0.2098710223215797</v>
      </c>
      <c r="BE20" s="126">
        <v>0.1539682903831259</v>
      </c>
      <c r="BF20" s="126">
        <v>0.20010603836623822</v>
      </c>
      <c r="BG20" s="126">
        <v>0.10189783407757783</v>
      </c>
      <c r="BH20" s="126">
        <v>1.5596820692490619E-2</v>
      </c>
      <c r="BI20" s="126">
        <v>0.15744951362806625</v>
      </c>
      <c r="BJ20" s="126">
        <v>9.2990323416301063E-2</v>
      </c>
      <c r="BK20" s="126">
        <v>8.7780676033452978E-2</v>
      </c>
      <c r="BL20" s="126">
        <v>0.18251645342706016</v>
      </c>
      <c r="BM20" s="126">
        <v>3.6810045475879162E-2</v>
      </c>
      <c r="BN20" s="126">
        <v>4.8045596880521353E-2</v>
      </c>
      <c r="BO20" s="126">
        <v>0.18075963423498273</v>
      </c>
      <c r="BP20" s="126">
        <v>0.12286436014286323</v>
      </c>
      <c r="BQ20" s="126">
        <v>0.18695363411417326</v>
      </c>
      <c r="BR20" s="126">
        <v>0.18420989680864486</v>
      </c>
      <c r="BS20" s="126">
        <v>0.17675524333154205</v>
      </c>
      <c r="BT20" s="126">
        <v>0.38916818292242811</v>
      </c>
      <c r="BU20" s="126">
        <v>0.1707583990840266</v>
      </c>
      <c r="BV20" s="126">
        <v>0.15367029593838311</v>
      </c>
      <c r="BW20" s="126">
        <v>6.681186804437507E-2</v>
      </c>
      <c r="BX20" s="126">
        <v>0.22593817114902837</v>
      </c>
      <c r="BY20" s="126">
        <v>0.17806671289178655</v>
      </c>
      <c r="BZ20" s="126">
        <v>5.934183950767441E-2</v>
      </c>
      <c r="CA20" s="126">
        <v>2.0212493447494093E-3</v>
      </c>
      <c r="CB20" s="126">
        <v>0.10345118341144213</v>
      </c>
      <c r="CC20" s="126">
        <v>0.1798313521493923</v>
      </c>
      <c r="CD20" s="126">
        <v>1.4725572256776011E-2</v>
      </c>
      <c r="CE20" s="126">
        <v>0.12225627580837443</v>
      </c>
      <c r="CF20" s="126">
        <v>1.5345433316213866E-5</v>
      </c>
      <c r="CG20" s="126">
        <v>0.26820206365654525</v>
      </c>
      <c r="CH20" s="126">
        <v>0.18508600587627019</v>
      </c>
      <c r="CI20" s="126">
        <v>9.4877085921506316E-2</v>
      </c>
      <c r="CJ20" s="126">
        <v>0.28726634001519308</v>
      </c>
      <c r="CK20" s="126">
        <v>7.9134540762441946E-2</v>
      </c>
      <c r="CL20" s="126">
        <v>0.14388592507638248</v>
      </c>
      <c r="CM20" s="126">
        <v>6.673917291780207E-2</v>
      </c>
      <c r="CN20" s="126">
        <v>0.10931321146399491</v>
      </c>
      <c r="CO20" s="126">
        <v>0.18126051569606638</v>
      </c>
      <c r="CP20" s="126">
        <v>6.3033587617745482E-2</v>
      </c>
      <c r="CQ20" s="126">
        <v>9.0429748110773086E-6</v>
      </c>
      <c r="CR20" s="126">
        <v>0.38237797519400291</v>
      </c>
      <c r="CS20" s="126">
        <v>5.6570994965706847E-2</v>
      </c>
      <c r="CT20" s="126">
        <v>4.3363477570966856E-3</v>
      </c>
      <c r="CU20" s="126">
        <v>7.2870772601224293E-4</v>
      </c>
      <c r="CV20" s="126">
        <v>0.22274759773967751</v>
      </c>
      <c r="CW20" s="126">
        <v>5.0946763102102839E-3</v>
      </c>
      <c r="CX20" s="126">
        <v>0.18368722601133625</v>
      </c>
    </row>
    <row r="21" spans="1:102" s="95" customFormat="1">
      <c r="A21" s="306" t="s">
        <v>5</v>
      </c>
      <c r="B21" s="307"/>
      <c r="C21" s="126">
        <v>1.1321687746128904E-2</v>
      </c>
      <c r="D21" s="126">
        <v>6.410558756453084E-4</v>
      </c>
      <c r="E21" s="126">
        <v>0.12487324516687638</v>
      </c>
      <c r="F21" s="126">
        <v>6.1659458746642273E-3</v>
      </c>
      <c r="G21" s="126">
        <v>4.2474860685899764E-2</v>
      </c>
      <c r="H21" s="126">
        <v>2.8739578722309107E-3</v>
      </c>
      <c r="I21" s="126">
        <v>8.9308859812013231E-4</v>
      </c>
      <c r="J21" s="126">
        <v>3.544710311348151E-2</v>
      </c>
      <c r="K21" s="126">
        <v>1.5284710590649899E-3</v>
      </c>
      <c r="L21" s="126">
        <v>0.125439138182282</v>
      </c>
      <c r="M21" s="126">
        <v>0.14334252578355997</v>
      </c>
      <c r="N21" s="126">
        <v>0.15927900173654205</v>
      </c>
      <c r="O21" s="126">
        <v>2.0863605780006581E-2</v>
      </c>
      <c r="P21" s="126">
        <v>5.5815885284428129E-2</v>
      </c>
      <c r="Q21" s="126">
        <v>7.126674485099023E-2</v>
      </c>
      <c r="R21" s="126">
        <v>8.7169703725561744E-3</v>
      </c>
      <c r="S21" s="126">
        <v>3.5617268426923256E-4</v>
      </c>
      <c r="T21" s="126">
        <v>1.6792294586507345E-4</v>
      </c>
      <c r="U21" s="126">
        <v>3.5911247395597865E-3</v>
      </c>
      <c r="V21" s="126">
        <v>3.6054196653108994E-2</v>
      </c>
      <c r="W21" s="126">
        <v>6.0698144956858734E-2</v>
      </c>
      <c r="X21" s="126">
        <v>3.1353320927119586E-2</v>
      </c>
      <c r="Y21" s="126">
        <v>4.0178369121316192E-2</v>
      </c>
      <c r="Z21" s="126">
        <v>7.8025508534015656E-9</v>
      </c>
      <c r="AA21" s="126">
        <v>0.13722326962547277</v>
      </c>
      <c r="AB21" s="126">
        <v>1.5714465294203679E-2</v>
      </c>
      <c r="AC21" s="126">
        <v>3.1462678985857996E-6</v>
      </c>
      <c r="AD21" s="126">
        <v>3.9362916304961364E-5</v>
      </c>
      <c r="AE21" s="126">
        <v>6.691325750808913E-2</v>
      </c>
      <c r="AF21" s="126">
        <v>8.7585081229956105E-2</v>
      </c>
      <c r="AG21" s="126">
        <v>3.4132335029940293E-2</v>
      </c>
      <c r="AH21" s="126">
        <v>2.3194235520198708E-2</v>
      </c>
      <c r="AI21" s="126">
        <v>0.18106205081466753</v>
      </c>
      <c r="AJ21" s="126">
        <v>3.5434472126750785E-2</v>
      </c>
      <c r="AK21" s="126">
        <v>3.8101678463990034E-7</v>
      </c>
      <c r="AL21" s="126">
        <v>8.9841874224947752E-7</v>
      </c>
      <c r="AM21" s="126">
        <v>8.0810295096212237E-2</v>
      </c>
      <c r="AN21" s="126">
        <v>0.12266014700240736</v>
      </c>
      <c r="AO21" s="126">
        <v>6.3470482480756417E-3</v>
      </c>
      <c r="AP21" s="126">
        <v>4.1995662363176665E-2</v>
      </c>
      <c r="AQ21" s="126">
        <v>0.16470383622440893</v>
      </c>
      <c r="AR21" s="126">
        <v>5.765501704778337E-2</v>
      </c>
      <c r="AS21" s="126">
        <v>1.7495998120990612E-2</v>
      </c>
      <c r="AT21" s="126">
        <v>1.2528386816613994E-2</v>
      </c>
      <c r="AU21" s="126">
        <v>2.1830681330056678E-2</v>
      </c>
      <c r="AV21" s="126">
        <v>3.9779227504035654E-2</v>
      </c>
      <c r="AW21" s="126">
        <v>6.4602779526013081E-3</v>
      </c>
      <c r="AX21" s="126">
        <v>2.4142329381943756E-3</v>
      </c>
      <c r="AY21" s="126">
        <v>7.681544403710593E-3</v>
      </c>
      <c r="AZ21" s="126">
        <v>7.1897646181379893E-2</v>
      </c>
      <c r="BA21" s="126">
        <v>0.18282554390892999</v>
      </c>
      <c r="BB21" s="126">
        <v>7.8651300812319788E-2</v>
      </c>
      <c r="BC21" s="126">
        <v>0.16981440079312304</v>
      </c>
      <c r="BD21" s="126">
        <v>7.9844842157337184E-2</v>
      </c>
      <c r="BE21" s="126">
        <v>7.9270237634034305E-2</v>
      </c>
      <c r="BF21" s="126">
        <v>0.15665702305587675</v>
      </c>
      <c r="BG21" s="126">
        <v>0.13666252289793226</v>
      </c>
      <c r="BH21" s="126">
        <v>0.11586249672207244</v>
      </c>
      <c r="BI21" s="126">
        <v>1.0899769315243616E-2</v>
      </c>
      <c r="BJ21" s="126">
        <v>0.12126207353203956</v>
      </c>
      <c r="BK21" s="126">
        <v>5.0712554845487004E-5</v>
      </c>
      <c r="BL21" s="126">
        <v>2.2314444250867191E-2</v>
      </c>
      <c r="BM21" s="126">
        <v>0.19679118966013862</v>
      </c>
      <c r="BN21" s="126">
        <v>2.4333201287737192E-3</v>
      </c>
      <c r="BO21" s="126">
        <v>4.5261775008058047E-5</v>
      </c>
      <c r="BP21" s="126">
        <v>6.1419941678586467E-3</v>
      </c>
      <c r="BQ21" s="126">
        <v>9.1088398002426213E-2</v>
      </c>
      <c r="BR21" s="126">
        <v>8.1207958519394038E-2</v>
      </c>
      <c r="BS21" s="126">
        <v>1.822531505210474E-2</v>
      </c>
      <c r="BT21" s="126">
        <v>8.954985076301366E-5</v>
      </c>
      <c r="BU21" s="126">
        <v>2.494542535686288E-2</v>
      </c>
      <c r="BV21" s="126">
        <v>9.101233078675634E-3</v>
      </c>
      <c r="BW21" s="126">
        <v>3.7615633758294694E-3</v>
      </c>
      <c r="BX21" s="126">
        <v>0.2066389309353448</v>
      </c>
      <c r="BY21" s="126">
        <v>1.7177372818660819E-4</v>
      </c>
      <c r="BZ21" s="126">
        <v>0.10084825597426024</v>
      </c>
      <c r="CA21" s="126">
        <v>6.4816661894074618E-2</v>
      </c>
      <c r="CB21" s="126">
        <v>4.666162261980961E-3</v>
      </c>
      <c r="CC21" s="126">
        <v>4.3349945022052841E-6</v>
      </c>
      <c r="CD21" s="126">
        <v>6.9167985628192E-2</v>
      </c>
      <c r="CE21" s="126">
        <v>4.1335739038635626E-4</v>
      </c>
      <c r="CF21" s="126">
        <v>1.942048068837619E-2</v>
      </c>
      <c r="CG21" s="126">
        <v>9.5956059901522658E-2</v>
      </c>
      <c r="CH21" s="126">
        <v>0.23717576950399735</v>
      </c>
      <c r="CI21" s="126">
        <v>0.23881250665834092</v>
      </c>
      <c r="CJ21" s="126">
        <v>4.174677563705253E-7</v>
      </c>
      <c r="CK21" s="126">
        <v>9.8588015062634829E-2</v>
      </c>
      <c r="CL21" s="126">
        <v>0.13997382744689019</v>
      </c>
      <c r="CM21" s="126">
        <v>4.4893849747262619E-2</v>
      </c>
      <c r="CN21" s="126">
        <v>2.6833426685133363E-3</v>
      </c>
      <c r="CO21" s="126">
        <v>0.19476461043989718</v>
      </c>
      <c r="CP21" s="126">
        <v>2.0589660240187053E-2</v>
      </c>
      <c r="CQ21" s="126">
        <v>2.1234445450715395E-6</v>
      </c>
      <c r="CR21" s="126">
        <v>8.3025467878133849E-2</v>
      </c>
      <c r="CS21" s="126">
        <v>0.13701072741572831</v>
      </c>
      <c r="CT21" s="126">
        <v>0.24795781215465076</v>
      </c>
      <c r="CU21" s="126">
        <v>1.8136610736386274E-3</v>
      </c>
      <c r="CV21" s="126">
        <v>7.8609989360343538E-2</v>
      </c>
      <c r="CW21" s="126">
        <v>1.6780543117604036E-2</v>
      </c>
      <c r="CX21" s="126">
        <v>1.2576293007181477E-5</v>
      </c>
    </row>
    <row r="22" spans="1:102" s="95" customFormat="1">
      <c r="A22" s="306" t="s">
        <v>178</v>
      </c>
      <c r="B22" s="307"/>
      <c r="C22" s="126">
        <v>0.33858972733238468</v>
      </c>
      <c r="D22" s="126">
        <v>0.29716727697601664</v>
      </c>
      <c r="E22" s="126">
        <v>0.36074324276494157</v>
      </c>
      <c r="F22" s="126">
        <v>0.42260065627666793</v>
      </c>
      <c r="G22" s="126">
        <v>0.32266895015474045</v>
      </c>
      <c r="H22" s="126">
        <v>0.30923230081772773</v>
      </c>
      <c r="I22" s="126">
        <v>0.26705488664219273</v>
      </c>
      <c r="J22" s="126">
        <v>0.33012725687117633</v>
      </c>
      <c r="K22" s="126">
        <v>0.45870868300621648</v>
      </c>
      <c r="L22" s="126">
        <v>0.23174395397299305</v>
      </c>
      <c r="M22" s="126">
        <v>0.29671096283628579</v>
      </c>
      <c r="N22" s="126">
        <v>0.28026877343389239</v>
      </c>
      <c r="O22" s="126">
        <v>0.31420423131122505</v>
      </c>
      <c r="P22" s="126">
        <v>0.30763017354118277</v>
      </c>
      <c r="Q22" s="126">
        <v>0.21463172894679491</v>
      </c>
      <c r="R22" s="126">
        <v>0.13435674279761409</v>
      </c>
      <c r="S22" s="126">
        <v>0.1583731787782186</v>
      </c>
      <c r="T22" s="126">
        <v>0.29794458769831156</v>
      </c>
      <c r="U22" s="126">
        <v>0.31852162837360948</v>
      </c>
      <c r="V22" s="126">
        <v>0.17677236811772809</v>
      </c>
      <c r="W22" s="126">
        <v>0.2652641562872558</v>
      </c>
      <c r="X22" s="126">
        <v>0.11734572232662842</v>
      </c>
      <c r="Y22" s="126">
        <v>0.24139811913161219</v>
      </c>
      <c r="Z22" s="126">
        <v>0.35505278011189029</v>
      </c>
      <c r="AA22" s="126">
        <v>0.4200324650160287</v>
      </c>
      <c r="AB22" s="126">
        <v>0.22860719043091038</v>
      </c>
      <c r="AC22" s="126">
        <v>0.31125956711848429</v>
      </c>
      <c r="AD22" s="126">
        <v>0.27513772437445616</v>
      </c>
      <c r="AE22" s="126">
        <v>9.5024441009369312E-3</v>
      </c>
      <c r="AF22" s="126">
        <v>0.23780434147972782</v>
      </c>
      <c r="AG22" s="126">
        <v>0.15524234935864878</v>
      </c>
      <c r="AH22" s="126">
        <v>0.12662420975916044</v>
      </c>
      <c r="AI22" s="126">
        <v>0.17365365757876491</v>
      </c>
      <c r="AJ22" s="126">
        <v>0.23670979461567235</v>
      </c>
      <c r="AK22" s="126">
        <v>0.41062557476459011</v>
      </c>
      <c r="AL22" s="126">
        <v>0.26426827837445477</v>
      </c>
      <c r="AM22" s="126">
        <v>0.14125797410912572</v>
      </c>
      <c r="AN22" s="126">
        <v>0.12260456726757345</v>
      </c>
      <c r="AO22" s="126">
        <v>0.44584779697754823</v>
      </c>
      <c r="AP22" s="126">
        <v>0.30736161416180874</v>
      </c>
      <c r="AQ22" s="126">
        <v>0.23695616054447394</v>
      </c>
      <c r="AR22" s="126">
        <v>0.3289922131423812</v>
      </c>
      <c r="AS22" s="126">
        <v>0.29659071831413708</v>
      </c>
      <c r="AT22" s="126">
        <v>0.37500207948936309</v>
      </c>
      <c r="AU22" s="126">
        <v>0.25876033706598311</v>
      </c>
      <c r="AV22" s="126">
        <v>0.30323050012665942</v>
      </c>
      <c r="AW22" s="126">
        <v>0.19413685487233201</v>
      </c>
      <c r="AX22" s="126">
        <v>0.25842597251440841</v>
      </c>
      <c r="AY22" s="126">
        <v>0.3385229329259577</v>
      </c>
      <c r="AZ22" s="126">
        <v>0.29789099337895197</v>
      </c>
      <c r="BA22" s="126">
        <v>0.16162041469717955</v>
      </c>
      <c r="BB22" s="126">
        <v>0.32165830704781323</v>
      </c>
      <c r="BC22" s="126">
        <v>0.19136466883121003</v>
      </c>
      <c r="BD22" s="126">
        <v>1.2999026443922163E-2</v>
      </c>
      <c r="BE22" s="126">
        <v>3.5752662923721042E-2</v>
      </c>
      <c r="BF22" s="126">
        <v>0.17300651668237652</v>
      </c>
      <c r="BG22" s="126">
        <v>0.2129881986514916</v>
      </c>
      <c r="BH22" s="126">
        <v>0.19692780339045521</v>
      </c>
      <c r="BI22" s="126">
        <v>0.2209325757368622</v>
      </c>
      <c r="BJ22" s="126">
        <v>5.5089122850905246E-2</v>
      </c>
      <c r="BK22" s="126">
        <v>0.44730826696271742</v>
      </c>
      <c r="BL22" s="126">
        <v>0.32831863717889498</v>
      </c>
      <c r="BM22" s="126">
        <v>6.5402727101739871E-3</v>
      </c>
      <c r="BN22" s="126">
        <v>0.28563155828082465</v>
      </c>
      <c r="BO22" s="126">
        <v>0.34876272612709103</v>
      </c>
      <c r="BP22" s="126">
        <v>0.38057737477781067</v>
      </c>
      <c r="BQ22" s="126">
        <v>0.49576503639668251</v>
      </c>
      <c r="BR22" s="126">
        <v>0.22807729385971212</v>
      </c>
      <c r="BS22" s="126">
        <v>0.21515150416961812</v>
      </c>
      <c r="BT22" s="126">
        <v>9.0946761515854943E-2</v>
      </c>
      <c r="BU22" s="126">
        <v>0.38321339978824953</v>
      </c>
      <c r="BV22" s="126">
        <v>0.34171634477060064</v>
      </c>
      <c r="BW22" s="126">
        <v>0.16209834550541705</v>
      </c>
      <c r="BX22" s="126">
        <v>2.5815502596871386E-6</v>
      </c>
      <c r="BY22" s="126">
        <v>0.2251875163211276</v>
      </c>
      <c r="BZ22" s="126">
        <v>0.131082938209511</v>
      </c>
      <c r="CA22" s="126">
        <v>0.17732205019660874</v>
      </c>
      <c r="CB22" s="126">
        <v>0.39556787534778165</v>
      </c>
      <c r="CC22" s="126">
        <v>0.26929582813315084</v>
      </c>
      <c r="CD22" s="126">
        <v>0.11051188233449813</v>
      </c>
      <c r="CE22" s="126">
        <v>3.2565793066368247E-2</v>
      </c>
      <c r="CF22" s="126">
        <v>0.32601757656823904</v>
      </c>
      <c r="CG22" s="126">
        <v>0.3688973580529879</v>
      </c>
      <c r="CH22" s="126">
        <v>3.7025707582809351E-3</v>
      </c>
      <c r="CI22" s="126">
        <v>0.26491106755812283</v>
      </c>
      <c r="CJ22" s="126">
        <v>0.11606660901157398</v>
      </c>
      <c r="CK22" s="126">
        <v>0.25503957476620365</v>
      </c>
      <c r="CL22" s="126">
        <v>0.31919979943146037</v>
      </c>
      <c r="CM22" s="126">
        <v>0.30092361142765645</v>
      </c>
      <c r="CN22" s="126">
        <v>0.27227075391397448</v>
      </c>
      <c r="CO22" s="126">
        <v>0.20987963629552986</v>
      </c>
      <c r="CP22" s="126">
        <v>0.29655625439398176</v>
      </c>
      <c r="CQ22" s="126">
        <v>0.40724605091875682</v>
      </c>
      <c r="CR22" s="126">
        <v>0.34601032352907146</v>
      </c>
      <c r="CS22" s="126">
        <v>6.2307929645163927E-2</v>
      </c>
      <c r="CT22" s="126">
        <v>0.11587377201589377</v>
      </c>
      <c r="CU22" s="126">
        <v>3.2432268889182015E-4</v>
      </c>
      <c r="CV22" s="126">
        <v>0.2885966999204328</v>
      </c>
      <c r="CW22" s="126">
        <v>0.25640653520305245</v>
      </c>
      <c r="CX22" s="126">
        <v>0.49059975203455819</v>
      </c>
    </row>
    <row r="23" spans="1:102" s="95" customFormat="1">
      <c r="A23" s="306" t="s">
        <v>6</v>
      </c>
      <c r="B23" s="307"/>
      <c r="C23" s="126">
        <v>2.1273490271975812E-3</v>
      </c>
      <c r="D23" s="126">
        <v>1.4463716270809932E-9</v>
      </c>
      <c r="E23" s="126">
        <v>2.1734929358746487E-2</v>
      </c>
      <c r="F23" s="126">
        <v>0.11131863657624128</v>
      </c>
      <c r="G23" s="126">
        <v>0.15723168976423638</v>
      </c>
      <c r="H23" s="126">
        <v>5.7171376259006392E-3</v>
      </c>
      <c r="I23" s="126">
        <v>0.15708839445566566</v>
      </c>
      <c r="J23" s="126">
        <v>1.8677644172700333E-2</v>
      </c>
      <c r="K23" s="126">
        <v>1.2721346167737537E-2</v>
      </c>
      <c r="L23" s="126">
        <v>2.3273800339479817E-6</v>
      </c>
      <c r="M23" s="126">
        <v>9.8997824203874156E-4</v>
      </c>
      <c r="N23" s="126">
        <v>5.2425882815654037E-2</v>
      </c>
      <c r="O23" s="126">
        <v>3.7972955069673443E-2</v>
      </c>
      <c r="P23" s="126">
        <v>4.0392762408712432E-5</v>
      </c>
      <c r="Q23" s="126">
        <v>1.3391532701901323E-2</v>
      </c>
      <c r="R23" s="126">
        <v>1.8101752721910707E-2</v>
      </c>
      <c r="S23" s="126">
        <v>0.10425498803381089</v>
      </c>
      <c r="T23" s="126">
        <v>1.2844600035832335E-2</v>
      </c>
      <c r="U23" s="126">
        <v>7.834865276105894E-5</v>
      </c>
      <c r="V23" s="126">
        <v>1.1200481693263067E-6</v>
      </c>
      <c r="W23" s="126">
        <v>3.095975402859992E-2</v>
      </c>
      <c r="X23" s="126">
        <v>0.18538626107004183</v>
      </c>
      <c r="Y23" s="126">
        <v>2.8004135012218778E-9</v>
      </c>
      <c r="Z23" s="126">
        <v>3.4147886122171951E-3</v>
      </c>
      <c r="AA23" s="126">
        <v>1.503116783856605E-2</v>
      </c>
      <c r="AB23" s="126">
        <v>0.13025968432473961</v>
      </c>
      <c r="AC23" s="126">
        <v>8.1914174435646775E-2</v>
      </c>
      <c r="AD23" s="126">
        <v>3.5587695846882532E-2</v>
      </c>
      <c r="AE23" s="126">
        <v>0.29849968252018827</v>
      </c>
      <c r="AF23" s="126">
        <v>5.0824864866585016E-2</v>
      </c>
      <c r="AG23" s="126">
        <v>7.5538024459749442E-2</v>
      </c>
      <c r="AH23" s="126">
        <v>0.11972974117055346</v>
      </c>
      <c r="AI23" s="126">
        <v>2.3783723383385837E-7</v>
      </c>
      <c r="AJ23" s="126">
        <v>3.4754426294073995E-5</v>
      </c>
      <c r="AK23" s="126">
        <v>1.1888899828013088E-2</v>
      </c>
      <c r="AL23" s="126">
        <v>0.12234621623205394</v>
      </c>
      <c r="AM23" s="126">
        <v>4.7957596529280604E-2</v>
      </c>
      <c r="AN23" s="126">
        <v>0.11784546160369361</v>
      </c>
      <c r="AO23" s="126">
        <v>1.3480132679722069E-5</v>
      </c>
      <c r="AP23" s="126">
        <v>5.6320603228459921E-2</v>
      </c>
      <c r="AQ23" s="126">
        <v>4.7222577042730659E-4</v>
      </c>
      <c r="AR23" s="126">
        <v>3.6654859586824226E-2</v>
      </c>
      <c r="AS23" s="126">
        <v>0.2343143265481881</v>
      </c>
      <c r="AT23" s="126">
        <v>3.5076298938112233E-2</v>
      </c>
      <c r="AU23" s="126">
        <v>5.3151009574094951E-3</v>
      </c>
      <c r="AV23" s="126">
        <v>9.5293189302960064E-4</v>
      </c>
      <c r="AW23" s="126">
        <v>0.10239189375238301</v>
      </c>
      <c r="AX23" s="126">
        <v>0.15908357928776318</v>
      </c>
      <c r="AY23" s="126">
        <v>3.5089561873578951E-2</v>
      </c>
      <c r="AZ23" s="126">
        <v>1.2709957742621413E-2</v>
      </c>
      <c r="BA23" s="126">
        <v>2.1049136573866754E-3</v>
      </c>
      <c r="BB23" s="126">
        <v>1.7695061360667889E-5</v>
      </c>
      <c r="BC23" s="126">
        <v>1.4209546628060095E-4</v>
      </c>
      <c r="BD23" s="126">
        <v>0.15883200813028742</v>
      </c>
      <c r="BE23" s="126">
        <v>0.15008463554752771</v>
      </c>
      <c r="BF23" s="126">
        <v>7.3471389383907487E-2</v>
      </c>
      <c r="BG23" s="126">
        <v>6.091860674504063E-3</v>
      </c>
      <c r="BH23" s="126">
        <v>2.716897321477376E-2</v>
      </c>
      <c r="BI23" s="126">
        <v>4.6571728122025631E-7</v>
      </c>
      <c r="BJ23" s="126">
        <v>5.6255665712660406E-2</v>
      </c>
      <c r="BK23" s="126">
        <v>2.6589593521389619E-3</v>
      </c>
      <c r="BL23" s="126">
        <v>4.7961518737822421E-3</v>
      </c>
      <c r="BM23" s="126">
        <v>0.21679636764570129</v>
      </c>
      <c r="BN23" s="126">
        <v>2.7382533474081434E-2</v>
      </c>
      <c r="BO23" s="126">
        <v>2.3684013293756107E-4</v>
      </c>
      <c r="BP23" s="126">
        <v>8.2285174881327375E-2</v>
      </c>
      <c r="BQ23" s="126">
        <v>1.4137070803654619E-7</v>
      </c>
      <c r="BR23" s="126">
        <v>1.9342178108668361E-2</v>
      </c>
      <c r="BS23" s="126">
        <v>4.2545363793000772E-2</v>
      </c>
      <c r="BT23" s="126">
        <v>0.21380091978762786</v>
      </c>
      <c r="BU23" s="126">
        <v>7.5218221312227496E-2</v>
      </c>
      <c r="BV23" s="126">
        <v>2.147131591721358E-8</v>
      </c>
      <c r="BW23" s="126">
        <v>0.17019713590212174</v>
      </c>
      <c r="BX23" s="126">
        <v>6.4751846966229848E-2</v>
      </c>
      <c r="BY23" s="126">
        <v>0.16647297251584206</v>
      </c>
      <c r="BZ23" s="126">
        <v>0.13207717879871603</v>
      </c>
      <c r="CA23" s="126">
        <v>4.5079726413590884E-2</v>
      </c>
      <c r="CB23" s="126">
        <v>1.8654812283629453E-7</v>
      </c>
      <c r="CC23" s="126">
        <v>5.1221583418602966E-2</v>
      </c>
      <c r="CD23" s="126">
        <v>0.14669848815244546</v>
      </c>
      <c r="CE23" s="126">
        <v>0.35703578954967619</v>
      </c>
      <c r="CF23" s="126">
        <v>0.15326741138584035</v>
      </c>
      <c r="CG23" s="126">
        <v>3.6116764512426139E-2</v>
      </c>
      <c r="CH23" s="126">
        <v>8.2425865166872336E-2</v>
      </c>
      <c r="CI23" s="126">
        <v>2.968210843961815E-2</v>
      </c>
      <c r="CJ23" s="126">
        <v>2.5200771637674548E-3</v>
      </c>
      <c r="CK23" s="126">
        <v>1.3165683343379343E-2</v>
      </c>
      <c r="CL23" s="126">
        <v>1.6275777536350136E-2</v>
      </c>
      <c r="CM23" s="126">
        <v>1.6190872602261194E-2</v>
      </c>
      <c r="CN23" s="126">
        <v>1.2471722655791331E-3</v>
      </c>
      <c r="CO23" s="126">
        <v>9.3647752843260532E-2</v>
      </c>
      <c r="CP23" s="126">
        <v>1.0552785242176626E-2</v>
      </c>
      <c r="CQ23" s="126">
        <v>5.9920194046710008E-4</v>
      </c>
      <c r="CR23" s="126">
        <v>0.15942725439176048</v>
      </c>
      <c r="CS23" s="126">
        <v>7.0781811280774529E-2</v>
      </c>
      <c r="CT23" s="126">
        <v>0.10428940084602888</v>
      </c>
      <c r="CU23" s="126">
        <v>0.2003399501776385</v>
      </c>
      <c r="CV23" s="126">
        <v>6.8898573397323222E-3</v>
      </c>
      <c r="CW23" s="126">
        <v>0.10220232288796036</v>
      </c>
      <c r="CX23" s="126">
        <v>8.0556350014577248E-4</v>
      </c>
    </row>
    <row r="24" spans="1:102" s="95" customFormat="1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96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6" spans="1:102" s="10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303" t="s">
        <v>131</v>
      </c>
      <c r="B27" s="30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</row>
    <row r="28" spans="1:102">
      <c r="A28" s="308" t="str">
        <f t="shared" ref="A28:A37" si="0">A4</f>
        <v>Nominale matching</v>
      </c>
      <c r="B28" s="309"/>
      <c r="C28" s="97">
        <v>-4.9999999999999975E-2</v>
      </c>
      <c r="D28" s="97">
        <v>-4.9999999999999975E-2</v>
      </c>
      <c r="E28" s="97">
        <v>-4.9999999999999975E-2</v>
      </c>
      <c r="F28" s="97">
        <v>-4.9999999999999975E-2</v>
      </c>
      <c r="G28" s="97">
        <v>-4.9999999999999975E-2</v>
      </c>
      <c r="H28" s="97">
        <v>-4.9999999999999975E-2</v>
      </c>
      <c r="I28" s="97">
        <v>-4.9999999999999975E-2</v>
      </c>
      <c r="J28" s="97">
        <v>-4.9999999999999975E-2</v>
      </c>
      <c r="K28" s="97">
        <v>-4.9999999999999975E-2</v>
      </c>
      <c r="L28" s="97">
        <v>-4.9999999999999975E-2</v>
      </c>
      <c r="M28" s="97">
        <v>-4.9999999999999975E-2</v>
      </c>
      <c r="N28" s="97">
        <v>-4.9999999999999975E-2</v>
      </c>
      <c r="O28" s="97">
        <v>-4.9999999999999975E-2</v>
      </c>
      <c r="P28" s="97">
        <v>-4.9999999999999975E-2</v>
      </c>
      <c r="Q28" s="97">
        <v>-4.9999999999999975E-2</v>
      </c>
      <c r="R28" s="97">
        <v>-4.9999999999999975E-2</v>
      </c>
      <c r="S28" s="97">
        <v>-4.9999999999999975E-2</v>
      </c>
      <c r="T28" s="97">
        <v>-4.9999999999999975E-2</v>
      </c>
      <c r="U28" s="97">
        <v>-4.9999999999999975E-2</v>
      </c>
      <c r="V28" s="97">
        <v>-4.9999999999999975E-2</v>
      </c>
      <c r="W28" s="97">
        <v>-4.9999999999999975E-2</v>
      </c>
      <c r="X28" s="97">
        <v>-4.9999999999999975E-2</v>
      </c>
      <c r="Y28" s="97">
        <v>-4.9999999999999975E-2</v>
      </c>
      <c r="Z28" s="97">
        <v>-4.9999999999999975E-2</v>
      </c>
      <c r="AA28" s="97">
        <v>-4.9999999999999975E-2</v>
      </c>
      <c r="AB28" s="97">
        <v>-4.9999999999999975E-2</v>
      </c>
      <c r="AC28" s="97">
        <v>-4.9999999999999975E-2</v>
      </c>
      <c r="AD28" s="97">
        <v>-4.9999999999999975E-2</v>
      </c>
      <c r="AE28" s="97">
        <v>-4.9999999999999975E-2</v>
      </c>
      <c r="AF28" s="97">
        <v>-4.9999999999999975E-2</v>
      </c>
      <c r="AG28" s="97">
        <v>-4.9999999999999975E-2</v>
      </c>
      <c r="AH28" s="97">
        <v>-4.9999999999999975E-2</v>
      </c>
      <c r="AI28" s="97">
        <v>-4.9999999999999975E-2</v>
      </c>
      <c r="AJ28" s="97">
        <v>-4.9999999999999975E-2</v>
      </c>
      <c r="AK28" s="97">
        <v>-4.9999999999999975E-2</v>
      </c>
      <c r="AL28" s="97">
        <v>-4.9999999999999975E-2</v>
      </c>
      <c r="AM28" s="97">
        <v>-4.9999999999999975E-2</v>
      </c>
      <c r="AN28" s="97">
        <v>-4.9999999999999975E-2</v>
      </c>
      <c r="AO28" s="97">
        <v>-4.9999999999999975E-2</v>
      </c>
      <c r="AP28" s="97">
        <v>-4.9999999999999975E-2</v>
      </c>
      <c r="AQ28" s="97">
        <v>-4.9999999999999975E-2</v>
      </c>
      <c r="AR28" s="97">
        <v>-4.9999999999999975E-2</v>
      </c>
      <c r="AS28" s="97">
        <v>-4.9999999999999975E-2</v>
      </c>
      <c r="AT28" s="97">
        <v>-4.9999999999999975E-2</v>
      </c>
      <c r="AU28" s="97">
        <v>-4.9999999999999975E-2</v>
      </c>
      <c r="AV28" s="97">
        <v>-4.9999999999999975E-2</v>
      </c>
      <c r="AW28" s="97">
        <v>-4.9999999999999975E-2</v>
      </c>
      <c r="AX28" s="97">
        <v>-4.9999999999999975E-2</v>
      </c>
      <c r="AY28" s="97">
        <v>-4.9999999999999975E-2</v>
      </c>
      <c r="AZ28" s="97">
        <v>-4.9999999999999975E-2</v>
      </c>
      <c r="BA28" s="97">
        <v>-4.9999999999999975E-2</v>
      </c>
      <c r="BB28" s="97">
        <v>-4.9999999999999975E-2</v>
      </c>
      <c r="BC28" s="97">
        <v>-4.9999999999999975E-2</v>
      </c>
      <c r="BD28" s="97">
        <v>-4.9999999999999975E-2</v>
      </c>
      <c r="BE28" s="97">
        <v>-4.9999999999999975E-2</v>
      </c>
      <c r="BF28" s="97">
        <v>-4.9999999999999975E-2</v>
      </c>
      <c r="BG28" s="97">
        <v>-4.9999999999999975E-2</v>
      </c>
      <c r="BH28" s="97">
        <v>-4.9999999999999975E-2</v>
      </c>
      <c r="BI28" s="97">
        <v>-4.9999999999999975E-2</v>
      </c>
      <c r="BJ28" s="97">
        <v>-4.9999999999999975E-2</v>
      </c>
      <c r="BK28" s="97">
        <v>-4.9999999999999975E-2</v>
      </c>
      <c r="BL28" s="97">
        <v>-4.9999999999999975E-2</v>
      </c>
      <c r="BM28" s="97">
        <v>-4.9999999999999975E-2</v>
      </c>
      <c r="BN28" s="97">
        <v>-4.9999999999999975E-2</v>
      </c>
      <c r="BO28" s="97">
        <v>-4.9999999999999975E-2</v>
      </c>
      <c r="BP28" s="97">
        <v>-4.9999999999999975E-2</v>
      </c>
      <c r="BQ28" s="97">
        <v>-4.9999999999999975E-2</v>
      </c>
      <c r="BR28" s="97">
        <v>-4.9999999999999975E-2</v>
      </c>
      <c r="BS28" s="97">
        <v>-4.9999999999999975E-2</v>
      </c>
      <c r="BT28" s="97">
        <v>-4.9999999999999975E-2</v>
      </c>
      <c r="BU28" s="97">
        <v>-4.9999999999999975E-2</v>
      </c>
      <c r="BV28" s="97">
        <v>-4.9999999999999975E-2</v>
      </c>
      <c r="BW28" s="97">
        <v>-4.9999999999999975E-2</v>
      </c>
      <c r="BX28" s="97">
        <v>-4.9999999999999975E-2</v>
      </c>
      <c r="BY28" s="97">
        <v>-4.9999999999999975E-2</v>
      </c>
      <c r="BZ28" s="97">
        <v>-4.9999999999999975E-2</v>
      </c>
      <c r="CA28" s="97">
        <v>-4.9999999999999975E-2</v>
      </c>
      <c r="CB28" s="97">
        <v>-4.9999999999999975E-2</v>
      </c>
      <c r="CC28" s="97">
        <v>-4.9999999999999975E-2</v>
      </c>
      <c r="CD28" s="97">
        <v>-4.9999999999999975E-2</v>
      </c>
      <c r="CE28" s="97">
        <v>-4.9999999999999975E-2</v>
      </c>
      <c r="CF28" s="97">
        <v>-4.9999999999999975E-2</v>
      </c>
      <c r="CG28" s="97">
        <v>-4.9999999999999975E-2</v>
      </c>
      <c r="CH28" s="97">
        <v>-4.9999999999999975E-2</v>
      </c>
      <c r="CI28" s="97">
        <v>-4.9999999999999975E-2</v>
      </c>
      <c r="CJ28" s="97">
        <v>-4.9999999999999975E-2</v>
      </c>
      <c r="CK28" s="97">
        <v>-4.9999999999999975E-2</v>
      </c>
      <c r="CL28" s="97">
        <v>-4.9999999999999975E-2</v>
      </c>
      <c r="CM28" s="97">
        <v>-4.9999999999999975E-2</v>
      </c>
      <c r="CN28" s="97">
        <v>-4.9999999999999975E-2</v>
      </c>
      <c r="CO28" s="97">
        <v>-4.9999999999999975E-2</v>
      </c>
      <c r="CP28" s="97">
        <v>-4.9999999999999975E-2</v>
      </c>
      <c r="CQ28" s="97">
        <v>-4.9999999999999975E-2</v>
      </c>
      <c r="CR28" s="97">
        <v>-4.9999999999999975E-2</v>
      </c>
      <c r="CS28" s="97">
        <v>-4.9999999999999975E-2</v>
      </c>
      <c r="CT28" s="97">
        <v>-4.9999999999999975E-2</v>
      </c>
      <c r="CU28" s="97">
        <v>-4.9999999999999975E-2</v>
      </c>
      <c r="CV28" s="97">
        <v>-4.9999999999999975E-2</v>
      </c>
      <c r="CW28" s="97">
        <v>-4.9999999999999975E-2</v>
      </c>
      <c r="CX28" s="97">
        <v>-4.9999999999999975E-2</v>
      </c>
    </row>
    <row r="29" spans="1:102" s="111" customFormat="1">
      <c r="A29" s="306" t="str">
        <f t="shared" si="0"/>
        <v>Reele matching</v>
      </c>
      <c r="B29" s="307"/>
      <c r="C29" s="97">
        <v>5.7306491453194136E-3</v>
      </c>
      <c r="D29" s="97">
        <v>2.9981882469019838E-3</v>
      </c>
      <c r="E29" s="97">
        <v>1.3413465977349104E-3</v>
      </c>
      <c r="F29" s="97">
        <v>7.4113596348560143E-3</v>
      </c>
      <c r="G29" s="97">
        <v>1.041283871226955E-2</v>
      </c>
      <c r="H29" s="97">
        <v>5.2628369966094754E-3</v>
      </c>
      <c r="I29" s="97">
        <v>1.0664100776099132E-2</v>
      </c>
      <c r="J29" s="97">
        <v>4.4620922646083916E-3</v>
      </c>
      <c r="K29" s="97">
        <v>3.3797539577615915E-4</v>
      </c>
      <c r="L29" s="97">
        <v>4.0606642954701538E-3</v>
      </c>
      <c r="M29" s="97">
        <v>1.4361994827376268E-4</v>
      </c>
      <c r="N29" s="97">
        <v>7.7392591269118682E-3</v>
      </c>
      <c r="O29" s="97">
        <v>1.8281333603323083E-3</v>
      </c>
      <c r="P29" s="97">
        <v>4.8290903471658181E-3</v>
      </c>
      <c r="Q29" s="97">
        <v>1.026818942308684E-2</v>
      </c>
      <c r="R29" s="97">
        <v>4.5362431928312047E-3</v>
      </c>
      <c r="S29" s="97">
        <v>1.4468428610728834E-2</v>
      </c>
      <c r="T29" s="97">
        <v>1.3197198919854283E-2</v>
      </c>
      <c r="U29" s="97">
        <v>5.5318631150522712E-3</v>
      </c>
      <c r="V29" s="97">
        <v>5.6315370564221159E-3</v>
      </c>
      <c r="W29" s="97">
        <v>3.0335006417524443E-3</v>
      </c>
      <c r="X29" s="97">
        <v>1.5615579092937953E-2</v>
      </c>
      <c r="Y29" s="97">
        <v>4.9610375301524998E-3</v>
      </c>
      <c r="Z29" s="97">
        <v>6.5341635476941703E-3</v>
      </c>
      <c r="AA29" s="97">
        <v>6.9795758912929093E-3</v>
      </c>
      <c r="AB29" s="97">
        <v>2.197529496397492E-2</v>
      </c>
      <c r="AC29" s="97">
        <v>1.3840552316487773E-2</v>
      </c>
      <c r="AD29" s="97">
        <v>9.716705029440928E-3</v>
      </c>
      <c r="AE29" s="97">
        <v>1.6867906547469683E-2</v>
      </c>
      <c r="AF29" s="97">
        <v>8.4826520953168172E-3</v>
      </c>
      <c r="AG29" s="97">
        <v>1.0688998978255947E-2</v>
      </c>
      <c r="AH29" s="97">
        <v>1.8998393764676255E-2</v>
      </c>
      <c r="AI29" s="97">
        <v>6.1796723410797796E-3</v>
      </c>
      <c r="AJ29" s="97">
        <v>1.0513481058237462E-2</v>
      </c>
      <c r="AK29" s="97">
        <v>3.9758718874817051E-3</v>
      </c>
      <c r="AL29" s="97">
        <v>1.483273886124982E-2</v>
      </c>
      <c r="AM29" s="97">
        <v>6.9828039123374583E-3</v>
      </c>
      <c r="AN29" s="97">
        <v>1.2563233457897158E-2</v>
      </c>
      <c r="AO29" s="97">
        <v>-5.6673809216580689E-4</v>
      </c>
      <c r="AP29" s="97">
        <v>7.6514066542154244E-3</v>
      </c>
      <c r="AQ29" s="97">
        <v>7.114666500935965E-3</v>
      </c>
      <c r="AR29" s="97">
        <v>1.1646127751694352E-2</v>
      </c>
      <c r="AS29" s="97">
        <v>1.4821445449147319E-2</v>
      </c>
      <c r="AT29" s="97">
        <v>7.3741085989955032E-3</v>
      </c>
      <c r="AU29" s="97">
        <v>-7.0626900288564554E-4</v>
      </c>
      <c r="AV29" s="97">
        <v>6.5867812374527032E-3</v>
      </c>
      <c r="AW29" s="97">
        <v>1.9737844797315413E-2</v>
      </c>
      <c r="AX29" s="97">
        <v>1.0846764651590755E-2</v>
      </c>
      <c r="AY29" s="97">
        <v>1.1888096407907445E-2</v>
      </c>
      <c r="AZ29" s="97">
        <v>3.2892095618486314E-3</v>
      </c>
      <c r="BA29" s="97">
        <v>4.1105211904722341E-3</v>
      </c>
      <c r="BB29" s="97">
        <v>1.7801247503283241E-2</v>
      </c>
      <c r="BC29" s="97">
        <v>5.3271887430668963E-3</v>
      </c>
      <c r="BD29" s="97">
        <v>1.0814156945291635E-2</v>
      </c>
      <c r="BE29" s="97">
        <v>1.4564623508646776E-2</v>
      </c>
      <c r="BF29" s="97">
        <v>1.5268105401672477E-2</v>
      </c>
      <c r="BG29" s="97">
        <v>2.2422948047146743E-2</v>
      </c>
      <c r="BH29" s="97">
        <v>7.8222840759371165E-3</v>
      </c>
      <c r="BI29" s="97">
        <v>9.7223128453544361E-3</v>
      </c>
      <c r="BJ29" s="97">
        <v>1.1163023150074287E-2</v>
      </c>
      <c r="BK29" s="97">
        <v>3.7095496330213917E-4</v>
      </c>
      <c r="BL29" s="97">
        <v>7.7817756847804384E-3</v>
      </c>
      <c r="BM29" s="97">
        <v>1.4621837797160669E-2</v>
      </c>
      <c r="BN29" s="97">
        <v>1.8934318527011884E-2</v>
      </c>
      <c r="BO29" s="97">
        <v>1.464540212179874E-2</v>
      </c>
      <c r="BP29" s="97">
        <v>2.548597406380089E-2</v>
      </c>
      <c r="BQ29" s="97">
        <v>-1.7273673050177199E-3</v>
      </c>
      <c r="BR29" s="97">
        <v>9.235203399519526E-3</v>
      </c>
      <c r="BS29" s="97">
        <v>2.1470732278410357E-2</v>
      </c>
      <c r="BT29" s="97">
        <v>1.3886322837978055E-2</v>
      </c>
      <c r="BU29" s="97">
        <v>8.269762227254604E-3</v>
      </c>
      <c r="BV29" s="97">
        <v>1.0168646528933845E-2</v>
      </c>
      <c r="BW29" s="97">
        <v>1.7099507029580602E-2</v>
      </c>
      <c r="BX29" s="97">
        <v>7.3090579811636094E-3</v>
      </c>
      <c r="BY29" s="97">
        <v>1.885429130445937E-2</v>
      </c>
      <c r="BZ29" s="97">
        <v>1.7881797661199017E-2</v>
      </c>
      <c r="CA29" s="97">
        <v>7.7354806908408666E-3</v>
      </c>
      <c r="CB29" s="97">
        <v>9.4343141433783778E-3</v>
      </c>
      <c r="CC29" s="97">
        <v>2.0380282774180219E-2</v>
      </c>
      <c r="CD29" s="97">
        <v>1.5235407821930239E-2</v>
      </c>
      <c r="CE29" s="97">
        <v>1.9054946470315387E-2</v>
      </c>
      <c r="CF29" s="97">
        <v>9.8522547520560194E-3</v>
      </c>
      <c r="CG29" s="97">
        <v>1.2274163483692972E-2</v>
      </c>
      <c r="CH29" s="97">
        <v>1.3095461435376085E-2</v>
      </c>
      <c r="CI29" s="97">
        <v>2.8662829984579738E-3</v>
      </c>
      <c r="CJ29" s="97">
        <v>4.878651742513361E-3</v>
      </c>
      <c r="CK29" s="97">
        <v>7.8057631570035563E-3</v>
      </c>
      <c r="CL29" s="97">
        <v>4.8492446082542828E-3</v>
      </c>
      <c r="CM29" s="97">
        <v>2.4946111643483385E-2</v>
      </c>
      <c r="CN29" s="97">
        <v>1.0545198424192659E-2</v>
      </c>
      <c r="CO29" s="97">
        <v>1.872649320616418E-2</v>
      </c>
      <c r="CP29" s="97">
        <v>5.9570927799656517E-3</v>
      </c>
      <c r="CQ29" s="97">
        <v>-1.9465205685776782E-3</v>
      </c>
      <c r="CR29" s="97">
        <v>1.1465896036019399E-2</v>
      </c>
      <c r="CS29" s="97">
        <v>1.0130202941853329E-2</v>
      </c>
      <c r="CT29" s="97">
        <v>9.845366417876214E-3</v>
      </c>
      <c r="CU29" s="97">
        <v>1.7836047898023483E-2</v>
      </c>
      <c r="CV29" s="97">
        <v>7.5942481681719534E-3</v>
      </c>
      <c r="CW29" s="97">
        <v>1.4803156149141086E-2</v>
      </c>
      <c r="CX29" s="97">
        <v>3.4348903724685867E-3</v>
      </c>
    </row>
    <row r="30" spans="1:102" s="95" customFormat="1">
      <c r="A30" s="306" t="str">
        <f t="shared" si="0"/>
        <v>Credits</v>
      </c>
      <c r="B30" s="307"/>
      <c r="C30" s="97">
        <v>-3.9329943159983623E-2</v>
      </c>
      <c r="D30" s="97">
        <v>-3.5124217288558635E-2</v>
      </c>
      <c r="E30" s="97">
        <v>-4.0783621146189705E-2</v>
      </c>
      <c r="F30" s="97">
        <v>-3.044021234607527E-2</v>
      </c>
      <c r="G30" s="97">
        <v>-3.2883698049046658E-2</v>
      </c>
      <c r="H30" s="97">
        <v>-3.0611222041204499E-2</v>
      </c>
      <c r="I30" s="97">
        <v>-3.8688987868607E-2</v>
      </c>
      <c r="J30" s="97">
        <v>-3.0826732059954634E-2</v>
      </c>
      <c r="K30" s="97">
        <v>-4.4357618648267906E-2</v>
      </c>
      <c r="L30" s="97">
        <v>-2.8684558147129141E-2</v>
      </c>
      <c r="M30" s="97">
        <v>-4.5364940645397256E-2</v>
      </c>
      <c r="N30" s="97">
        <v>-3.4321247572819458E-2</v>
      </c>
      <c r="O30" s="97">
        <v>-4.7745108743487724E-2</v>
      </c>
      <c r="P30" s="97">
        <v>-2.2490261650452072E-2</v>
      </c>
      <c r="Q30" s="97">
        <v>-3.4988223033872709E-2</v>
      </c>
      <c r="R30" s="97">
        <v>-2.543983586433542E-2</v>
      </c>
      <c r="S30" s="97">
        <v>-2.3616707795386535E-2</v>
      </c>
      <c r="T30" s="97">
        <v>-2.407443154872875E-2</v>
      </c>
      <c r="U30" s="97">
        <v>-3.0745814356223342E-2</v>
      </c>
      <c r="V30" s="97">
        <v>-2.5035228444587866E-2</v>
      </c>
      <c r="W30" s="97">
        <v>-4.5031461853562736E-2</v>
      </c>
      <c r="X30" s="97">
        <v>-1.8864400898997963E-2</v>
      </c>
      <c r="Y30" s="97">
        <v>-4.2571967656429337E-2</v>
      </c>
      <c r="Z30" s="97">
        <v>-1.845240042448941E-2</v>
      </c>
      <c r="AA30" s="97">
        <v>-2.7678877227284401E-2</v>
      </c>
      <c r="AB30" s="97">
        <v>-3.0806974064516813E-2</v>
      </c>
      <c r="AC30" s="97">
        <v>-2.2458899127373651E-2</v>
      </c>
      <c r="AD30" s="97">
        <v>-2.0971736538743572E-2</v>
      </c>
      <c r="AE30" s="97">
        <v>-1.8783281078681217E-2</v>
      </c>
      <c r="AF30" s="97">
        <v>-3.1801429524902808E-2</v>
      </c>
      <c r="AG30" s="97">
        <v>-1.8425013737489643E-2</v>
      </c>
      <c r="AH30" s="97">
        <v>-2.6824545527661947E-2</v>
      </c>
      <c r="AI30" s="97">
        <v>-3.477517708063789E-2</v>
      </c>
      <c r="AJ30" s="97">
        <v>-1.5605583154058786E-2</v>
      </c>
      <c r="AK30" s="97">
        <v>-2.8625554242870058E-2</v>
      </c>
      <c r="AL30" s="97">
        <v>-1.9956776282813667E-2</v>
      </c>
      <c r="AM30" s="97">
        <v>-3.124289004374238E-2</v>
      </c>
      <c r="AN30" s="97">
        <v>-2.9423117535939212E-2</v>
      </c>
      <c r="AO30" s="97">
        <v>-5.0236072478643042E-2</v>
      </c>
      <c r="AP30" s="97">
        <v>-4.1940096834840748E-2</v>
      </c>
      <c r="AQ30" s="97">
        <v>-2.3366126714769352E-2</v>
      </c>
      <c r="AR30" s="97">
        <v>-1.8232081257309268E-2</v>
      </c>
      <c r="AS30" s="97">
        <v>-1.7902816218469043E-2</v>
      </c>
      <c r="AT30" s="97">
        <v>-2.9628420329084269E-2</v>
      </c>
      <c r="AU30" s="97">
        <v>-4.9904193185707983E-2</v>
      </c>
      <c r="AV30" s="97">
        <v>-1.454115997890483E-2</v>
      </c>
      <c r="AW30" s="97">
        <v>-2.1529779641140456E-2</v>
      </c>
      <c r="AX30" s="97">
        <v>-3.5150617819150472E-2</v>
      </c>
      <c r="AY30" s="97">
        <v>-5.0184540402349952E-2</v>
      </c>
      <c r="AZ30" s="97">
        <v>-3.9063794698223187E-2</v>
      </c>
      <c r="BA30" s="97">
        <v>-2.8913250936441013E-2</v>
      </c>
      <c r="BB30" s="97">
        <v>-3.4187647733125312E-2</v>
      </c>
      <c r="BC30" s="97">
        <v>-2.5312764760511874E-2</v>
      </c>
      <c r="BD30" s="97">
        <v>-2.394587502183633E-2</v>
      </c>
      <c r="BE30" s="97">
        <v>-1.5355548594915648E-2</v>
      </c>
      <c r="BF30" s="97">
        <v>-1.3606284048697098E-2</v>
      </c>
      <c r="BG30" s="97">
        <v>-3.5958118023228305E-2</v>
      </c>
      <c r="BH30" s="97">
        <v>-4.1020225278655814E-2</v>
      </c>
      <c r="BI30" s="97">
        <v>-1.6546404140636489E-2</v>
      </c>
      <c r="BJ30" s="97">
        <v>-2.0906758343397502E-2</v>
      </c>
      <c r="BK30" s="97">
        <v>-4.5493364265815364E-2</v>
      </c>
      <c r="BL30" s="97">
        <v>-2.9283069400437393E-2</v>
      </c>
      <c r="BM30" s="97">
        <v>-2.3789679548683159E-2</v>
      </c>
      <c r="BN30" s="97">
        <v>-3.0561172340834206E-2</v>
      </c>
      <c r="BO30" s="97">
        <v>-1.8773436396479128E-2</v>
      </c>
      <c r="BP30" s="97">
        <v>-2.9376136215821618E-2</v>
      </c>
      <c r="BQ30" s="97">
        <v>-5.1438348670946245E-2</v>
      </c>
      <c r="BR30" s="97">
        <v>-1.5623087466624302E-2</v>
      </c>
      <c r="BS30" s="97">
        <v>-1.9063563324171289E-2</v>
      </c>
      <c r="BT30" s="97">
        <v>-1.5000416092070951E-2</v>
      </c>
      <c r="BU30" s="97">
        <v>-2.7981407641302088E-2</v>
      </c>
      <c r="BV30" s="97">
        <v>-2.3821048021831395E-2</v>
      </c>
      <c r="BW30" s="97">
        <v>-2.7963907805370846E-2</v>
      </c>
      <c r="BX30" s="97">
        <v>-2.2532533476248538E-2</v>
      </c>
      <c r="BY30" s="97">
        <v>-1.9743776050816762E-2</v>
      </c>
      <c r="BZ30" s="97">
        <v>-2.3889814020269937E-2</v>
      </c>
      <c r="CA30" s="97">
        <v>-3.8171442433074236E-2</v>
      </c>
      <c r="CB30" s="97">
        <v>-3.7422992333715807E-2</v>
      </c>
      <c r="CC30" s="97">
        <v>-2.9421715676014377E-2</v>
      </c>
      <c r="CD30" s="97">
        <v>-2.5827601825972456E-2</v>
      </c>
      <c r="CE30" s="97">
        <v>-1.8667677973610942E-2</v>
      </c>
      <c r="CF30" s="97">
        <v>-3.9087289173669132E-2</v>
      </c>
      <c r="CG30" s="97">
        <v>-2.3721167490589588E-2</v>
      </c>
      <c r="CH30" s="97">
        <v>-1.9766809316063404E-2</v>
      </c>
      <c r="CI30" s="97">
        <v>-4.2562789462725396E-2</v>
      </c>
      <c r="CJ30" s="97">
        <v>-2.1058077711396166E-2</v>
      </c>
      <c r="CK30" s="97">
        <v>-4.3563138544576926E-2</v>
      </c>
      <c r="CL30" s="97">
        <v>-3.8960263750133964E-2</v>
      </c>
      <c r="CM30" s="97">
        <v>-3.1788278762322944E-2</v>
      </c>
      <c r="CN30" s="97">
        <v>-4.2585020787882094E-2</v>
      </c>
      <c r="CO30" s="97">
        <v>-2.6828614401575551E-2</v>
      </c>
      <c r="CP30" s="97">
        <v>-2.5992949865426346E-2</v>
      </c>
      <c r="CQ30" s="97">
        <v>-5.2906562367520504E-2</v>
      </c>
      <c r="CR30" s="97">
        <v>-2.2409588278665123E-2</v>
      </c>
      <c r="CS30" s="97">
        <v>-2.9988631597957519E-2</v>
      </c>
      <c r="CT30" s="97">
        <v>-3.0601126678149133E-2</v>
      </c>
      <c r="CU30" s="97">
        <v>-1.2987266538485892E-2</v>
      </c>
      <c r="CV30" s="97">
        <v>-1.4064783833791492E-2</v>
      </c>
      <c r="CW30" s="97">
        <v>-2.4665919827636884E-2</v>
      </c>
      <c r="CX30" s="97">
        <v>-3.9639896244479486E-2</v>
      </c>
    </row>
    <row r="31" spans="1:102" s="95" customFormat="1">
      <c r="A31" s="306" t="str">
        <f t="shared" si="0"/>
        <v>High Yield</v>
      </c>
      <c r="B31" s="307"/>
      <c r="C31" s="97">
        <v>6.0270513921438715E-2</v>
      </c>
      <c r="D31" s="97">
        <v>7.2493152748918779E-2</v>
      </c>
      <c r="E31" s="97">
        <v>5.177518075926861E-2</v>
      </c>
      <c r="F31" s="97">
        <v>5.353185969336563E-2</v>
      </c>
      <c r="G31" s="97">
        <v>5.3908057100538073E-2</v>
      </c>
      <c r="H31" s="97">
        <v>7.6426129578147026E-2</v>
      </c>
      <c r="I31" s="97">
        <v>5.6147029082443678E-2</v>
      </c>
      <c r="J31" s="97">
        <v>7.1620170834555102E-2</v>
      </c>
      <c r="K31" s="97">
        <v>5.0641355174542935E-2</v>
      </c>
      <c r="L31" s="97">
        <v>7.683046923516805E-2</v>
      </c>
      <c r="M31" s="97">
        <v>5.4660089771168222E-2</v>
      </c>
      <c r="N31" s="97">
        <v>5.9947046201973164E-2</v>
      </c>
      <c r="O31" s="97">
        <v>5.5639907815315207E-2</v>
      </c>
      <c r="P31" s="97">
        <v>7.9276354529987172E-2</v>
      </c>
      <c r="Q31" s="97">
        <v>6.8837904019621754E-2</v>
      </c>
      <c r="R31" s="97">
        <v>8.3215450199209687E-2</v>
      </c>
      <c r="S31" s="97">
        <v>8.357731343196366E-2</v>
      </c>
      <c r="T31" s="97">
        <v>7.5817767404727773E-2</v>
      </c>
      <c r="U31" s="97">
        <v>7.6638526097373191E-2</v>
      </c>
      <c r="V31" s="97">
        <v>8.7573522523595973E-2</v>
      </c>
      <c r="W31" s="97">
        <v>6.1550730440913443E-2</v>
      </c>
      <c r="X31" s="97">
        <v>7.8253861181687603E-2</v>
      </c>
      <c r="Y31" s="97">
        <v>6.7185972413583775E-2</v>
      </c>
      <c r="Z31" s="97">
        <v>8.2293018422044742E-2</v>
      </c>
      <c r="AA31" s="97">
        <v>5.6532838801079219E-2</v>
      </c>
      <c r="AB31" s="97">
        <v>6.7416525375726732E-2</v>
      </c>
      <c r="AC31" s="97">
        <v>7.4615035045867847E-2</v>
      </c>
      <c r="AD31" s="97">
        <v>8.7637890004935062E-2</v>
      </c>
      <c r="AE31" s="97">
        <v>6.9061572402098328E-2</v>
      </c>
      <c r="AF31" s="97">
        <v>7.32063546515518E-2</v>
      </c>
      <c r="AG31" s="97">
        <v>8.313879606357101E-2</v>
      </c>
      <c r="AH31" s="97">
        <v>7.8905624439732772E-2</v>
      </c>
      <c r="AI31" s="97">
        <v>6.9616102174064359E-2</v>
      </c>
      <c r="AJ31" s="97">
        <v>8.7563933042265771E-2</v>
      </c>
      <c r="AK31" s="97">
        <v>6.9042403544331235E-2</v>
      </c>
      <c r="AL31" s="97">
        <v>7.9338971435913022E-2</v>
      </c>
      <c r="AM31" s="97">
        <v>8.072911486299085E-2</v>
      </c>
      <c r="AN31" s="97">
        <v>7.2725848059565945E-2</v>
      </c>
      <c r="AO31" s="97">
        <v>4.9729229982144366E-2</v>
      </c>
      <c r="AP31" s="97">
        <v>6.2335927757269108E-2</v>
      </c>
      <c r="AQ31" s="97">
        <v>7.9064777472225081E-2</v>
      </c>
      <c r="AR31" s="97">
        <v>7.6118866130738136E-2</v>
      </c>
      <c r="AS31" s="97">
        <v>5.9879900678404888E-2</v>
      </c>
      <c r="AT31" s="97">
        <v>7.1495076066870944E-2</v>
      </c>
      <c r="AU31" s="97">
        <v>6.3564461290606597E-2</v>
      </c>
      <c r="AV31" s="97">
        <v>8.5780522695007591E-2</v>
      </c>
      <c r="AW31" s="97">
        <v>8.089341109566027E-2</v>
      </c>
      <c r="AX31" s="97">
        <v>6.0559912374745034E-2</v>
      </c>
      <c r="AY31" s="97">
        <v>5.153001168469365E-2</v>
      </c>
      <c r="AZ31" s="97">
        <v>6.792566752943309E-2</v>
      </c>
      <c r="BA31" s="97">
        <v>7.9883300757273581E-2</v>
      </c>
      <c r="BB31" s="97">
        <v>6.647083994730954E-2</v>
      </c>
      <c r="BC31" s="97">
        <v>7.8400484725232047E-2</v>
      </c>
      <c r="BD31" s="97">
        <v>7.6582502305421893E-2</v>
      </c>
      <c r="BE31" s="97">
        <v>8.6679802393862596E-2</v>
      </c>
      <c r="BF31" s="97">
        <v>8.2785244085317636E-2</v>
      </c>
      <c r="BG31" s="97">
        <v>6.3732463898239458E-2</v>
      </c>
      <c r="BH31" s="97">
        <v>6.7181865515981973E-2</v>
      </c>
      <c r="BI31" s="97">
        <v>9.6402225237448166E-2</v>
      </c>
      <c r="BJ31" s="97">
        <v>8.7779510495938975E-2</v>
      </c>
      <c r="BK31" s="97">
        <v>5.2601829974832898E-2</v>
      </c>
      <c r="BL31" s="97">
        <v>8.1229954633354015E-2</v>
      </c>
      <c r="BM31" s="97">
        <v>6.9437617364913759E-2</v>
      </c>
      <c r="BN31" s="97">
        <v>7.5922762544175834E-2</v>
      </c>
      <c r="BO31" s="97">
        <v>8.3489145811455542E-2</v>
      </c>
      <c r="BP31" s="97">
        <v>5.9692147243510602E-2</v>
      </c>
      <c r="BQ31" s="97">
        <v>3.5983996206718383E-2</v>
      </c>
      <c r="BR31" s="97">
        <v>9.0319987864677861E-2</v>
      </c>
      <c r="BS31" s="97">
        <v>8.8059464711503513E-2</v>
      </c>
      <c r="BT31" s="97">
        <v>7.6449058692104235E-2</v>
      </c>
      <c r="BU31" s="97">
        <v>6.5070352952071003E-2</v>
      </c>
      <c r="BV31" s="97">
        <v>8.374119465022857E-2</v>
      </c>
      <c r="BW31" s="97">
        <v>7.7047759291898235E-2</v>
      </c>
      <c r="BX31" s="97">
        <v>7.9431534571934428E-2</v>
      </c>
      <c r="BY31" s="97">
        <v>7.8720109322023099E-2</v>
      </c>
      <c r="BZ31" s="97">
        <v>7.7391206830260531E-2</v>
      </c>
      <c r="CA31" s="97">
        <v>7.4162711336097559E-2</v>
      </c>
      <c r="CB31" s="97">
        <v>6.6693885218894397E-2</v>
      </c>
      <c r="CC31" s="97">
        <v>7.6257541352016414E-2</v>
      </c>
      <c r="CD31" s="97">
        <v>8.0134847410359047E-2</v>
      </c>
      <c r="CE31" s="97">
        <v>6.6693568664414782E-2</v>
      </c>
      <c r="CF31" s="97">
        <v>5.0594162276664634E-2</v>
      </c>
      <c r="CG31" s="97">
        <v>6.8061761802952592E-2</v>
      </c>
      <c r="CH31" s="97">
        <v>7.957546607193712E-2</v>
      </c>
      <c r="CI31" s="97">
        <v>5.4495437331283078E-2</v>
      </c>
      <c r="CJ31" s="97">
        <v>8.9884644278595702E-2</v>
      </c>
      <c r="CK31" s="97">
        <v>6.4204030607063464E-2</v>
      </c>
      <c r="CL31" s="97">
        <v>6.3256612225304917E-2</v>
      </c>
      <c r="CM31" s="97">
        <v>6.8667728169824624E-2</v>
      </c>
      <c r="CN31" s="97">
        <v>7.0556664641560185E-2</v>
      </c>
      <c r="CO31" s="97">
        <v>6.6395418081568028E-2</v>
      </c>
      <c r="CP31" s="97">
        <v>8.3530745351177257E-2</v>
      </c>
      <c r="CQ31" s="97">
        <v>4.7167403530583782E-2</v>
      </c>
      <c r="CR31" s="97">
        <v>5.8706416193504529E-2</v>
      </c>
      <c r="CS31" s="97">
        <v>7.9238104761420444E-2</v>
      </c>
      <c r="CT31" s="97">
        <v>6.7639002446888113E-2</v>
      </c>
      <c r="CU31" s="97">
        <v>9.0515784765009363E-2</v>
      </c>
      <c r="CV31" s="97">
        <v>8.7521419135664566E-2</v>
      </c>
      <c r="CW31" s="97">
        <v>7.6883753106676042E-2</v>
      </c>
      <c r="CX31" s="97">
        <v>5.5592699860868774E-2</v>
      </c>
    </row>
    <row r="32" spans="1:102" s="96" customFormat="1">
      <c r="A32" s="306" t="str">
        <f t="shared" si="0"/>
        <v>Emerging market debt</v>
      </c>
      <c r="B32" s="307"/>
      <c r="C32" s="97">
        <v>0.15353334867017787</v>
      </c>
      <c r="D32" s="97">
        <v>0.15962787530940459</v>
      </c>
      <c r="E32" s="97">
        <v>0.16163766681609992</v>
      </c>
      <c r="F32" s="97">
        <v>0.17694049086986774</v>
      </c>
      <c r="G32" s="97">
        <v>0.17730413132783457</v>
      </c>
      <c r="H32" s="97">
        <v>0.17032487890957632</v>
      </c>
      <c r="I32" s="97">
        <v>0.17080371459512383</v>
      </c>
      <c r="J32" s="97">
        <v>0.17456310882855203</v>
      </c>
      <c r="K32" s="97">
        <v>0.16895131008816733</v>
      </c>
      <c r="L32" s="97">
        <v>0.16343197693352918</v>
      </c>
      <c r="M32" s="97">
        <v>0.15225311870449648</v>
      </c>
      <c r="N32" s="97">
        <v>0.16783455751132109</v>
      </c>
      <c r="O32" s="97">
        <v>0.15380083313232285</v>
      </c>
      <c r="P32" s="97">
        <v>0.17369102635451861</v>
      </c>
      <c r="Q32" s="97">
        <v>0.15388329412535184</v>
      </c>
      <c r="R32" s="97">
        <v>0.15145423659443874</v>
      </c>
      <c r="S32" s="97">
        <v>0.17192727112014733</v>
      </c>
      <c r="T32" s="97">
        <v>0.16486436610744881</v>
      </c>
      <c r="U32" s="97">
        <v>0.1717347544634702</v>
      </c>
      <c r="V32" s="97">
        <v>0.15694360182165062</v>
      </c>
      <c r="W32" s="97">
        <v>0.15529322251895106</v>
      </c>
      <c r="X32" s="97">
        <v>0.17888317128516223</v>
      </c>
      <c r="Y32" s="97">
        <v>0.14279980337574905</v>
      </c>
      <c r="Z32" s="97">
        <v>0.17916052730858872</v>
      </c>
      <c r="AA32" s="97">
        <v>0.16935069997716701</v>
      </c>
      <c r="AB32" s="97">
        <v>0.16969375347307575</v>
      </c>
      <c r="AC32" s="97">
        <v>0.18329034776947722</v>
      </c>
      <c r="AD32" s="97">
        <v>0.17980415536717226</v>
      </c>
      <c r="AE32" s="97">
        <v>0.17212193204926196</v>
      </c>
      <c r="AF32" s="97">
        <v>0.1740158412004536</v>
      </c>
      <c r="AG32" s="97">
        <v>0.17233150709111406</v>
      </c>
      <c r="AH32" s="97">
        <v>0.1654877840825007</v>
      </c>
      <c r="AI32" s="97">
        <v>0.15307409001191391</v>
      </c>
      <c r="AJ32" s="97">
        <v>0.16659579640064198</v>
      </c>
      <c r="AK32" s="97">
        <v>0.17708112842851081</v>
      </c>
      <c r="AL32" s="97">
        <v>0.19082749290415546</v>
      </c>
      <c r="AM32" s="97">
        <v>0.15847517284920798</v>
      </c>
      <c r="AN32" s="97">
        <v>0.17108037669273862</v>
      </c>
      <c r="AO32" s="97">
        <v>0.16632794990133476</v>
      </c>
      <c r="AP32" s="97">
        <v>0.17231523986722291</v>
      </c>
      <c r="AQ32" s="97">
        <v>0.17141326771158882</v>
      </c>
      <c r="AR32" s="97">
        <v>0.17958705475335618</v>
      </c>
      <c r="AS32" s="97">
        <v>0.18150131053661983</v>
      </c>
      <c r="AT32" s="97">
        <v>0.18419942161017527</v>
      </c>
      <c r="AU32" s="97">
        <v>0.16282027544224503</v>
      </c>
      <c r="AV32" s="97">
        <v>0.17681805061178668</v>
      </c>
      <c r="AW32" s="97">
        <v>0.17695876751333806</v>
      </c>
      <c r="AX32" s="97">
        <v>0.17975254366125698</v>
      </c>
      <c r="AY32" s="97">
        <v>0.15678721839182819</v>
      </c>
      <c r="AZ32" s="97">
        <v>0.16628906242960179</v>
      </c>
      <c r="BA32" s="97">
        <v>0.16161235432062682</v>
      </c>
      <c r="BB32" s="97">
        <v>0.15944185994331589</v>
      </c>
      <c r="BC32" s="97">
        <v>0.16599951476664837</v>
      </c>
      <c r="BD32" s="97">
        <v>0.16772193743491987</v>
      </c>
      <c r="BE32" s="97">
        <v>0.17233094454964065</v>
      </c>
      <c r="BF32" s="97">
        <v>0.17600204040182188</v>
      </c>
      <c r="BG32" s="97">
        <v>0.14205015707797858</v>
      </c>
      <c r="BH32" s="97">
        <v>0.15579422433207923</v>
      </c>
      <c r="BI32" s="97">
        <v>0.17009354706789542</v>
      </c>
      <c r="BJ32" s="97">
        <v>0.15815631167080996</v>
      </c>
      <c r="BK32" s="97">
        <v>0.16517942353572551</v>
      </c>
      <c r="BL32" s="97">
        <v>0.18253458921380378</v>
      </c>
      <c r="BM32" s="97">
        <v>0.17044447852692102</v>
      </c>
      <c r="BN32" s="97">
        <v>0.16415225087965568</v>
      </c>
      <c r="BO32" s="97">
        <v>0.17486384562944945</v>
      </c>
      <c r="BP32" s="97">
        <v>0.16914736340170022</v>
      </c>
      <c r="BQ32" s="97">
        <v>0.15964433569568687</v>
      </c>
      <c r="BR32" s="97">
        <v>0.17784377355985537</v>
      </c>
      <c r="BS32" s="97">
        <v>0.17173663753778812</v>
      </c>
      <c r="BT32" s="97">
        <v>0.17514147518461087</v>
      </c>
      <c r="BU32" s="97">
        <v>0.1875710899095856</v>
      </c>
      <c r="BV32" s="97">
        <v>0.17975671258920334</v>
      </c>
      <c r="BW32" s="97">
        <v>0.18494387226245607</v>
      </c>
      <c r="BX32" s="97">
        <v>0.15286706214857648</v>
      </c>
      <c r="BY32" s="97">
        <v>0.19339601032918174</v>
      </c>
      <c r="BZ32" s="97">
        <v>0.17701011041621384</v>
      </c>
      <c r="CA32" s="97">
        <v>0.16346306123617688</v>
      </c>
      <c r="CB32" s="97">
        <v>0.17050250529662897</v>
      </c>
      <c r="CC32" s="97">
        <v>0.17612249448339917</v>
      </c>
      <c r="CD32" s="97">
        <v>0.17752910630916274</v>
      </c>
      <c r="CE32" s="97">
        <v>0.1790939078662534</v>
      </c>
      <c r="CF32" s="97">
        <v>0.1759149143414187</v>
      </c>
      <c r="CG32" s="97">
        <v>0.1812272561951756</v>
      </c>
      <c r="CH32" s="97">
        <v>0.15676577636730282</v>
      </c>
      <c r="CI32" s="97">
        <v>0.16441401400502381</v>
      </c>
      <c r="CJ32" s="97">
        <v>0.15370439586582602</v>
      </c>
      <c r="CK32" s="97">
        <v>0.16337370703172371</v>
      </c>
      <c r="CL32" s="97">
        <v>0.1740559237390138</v>
      </c>
      <c r="CM32" s="97">
        <v>0.15467372196787932</v>
      </c>
      <c r="CN32" s="97">
        <v>0.16560655774997346</v>
      </c>
      <c r="CO32" s="97">
        <v>0.1736726106872627</v>
      </c>
      <c r="CP32" s="97">
        <v>0.17402105919352634</v>
      </c>
      <c r="CQ32" s="97">
        <v>0.14884481966966889</v>
      </c>
      <c r="CR32" s="97">
        <v>0.18577566379150795</v>
      </c>
      <c r="CS32" s="97">
        <v>0.16216214576298199</v>
      </c>
      <c r="CT32" s="97">
        <v>0.16841074930847522</v>
      </c>
      <c r="CU32" s="97">
        <v>0.17036439586782959</v>
      </c>
      <c r="CV32" s="97">
        <v>0.18024698237602133</v>
      </c>
      <c r="CW32" s="97">
        <v>0.18003412688434195</v>
      </c>
      <c r="CX32" s="97">
        <v>0.17560335149381362</v>
      </c>
    </row>
    <row r="33" spans="1:102" s="111" customFormat="1">
      <c r="A33" s="306" t="str">
        <f t="shared" si="0"/>
        <v>Aandelen ontwikkeld</v>
      </c>
      <c r="B33" s="307"/>
      <c r="C33" s="97">
        <v>0.17808186323167158</v>
      </c>
      <c r="D33" s="97">
        <v>0.17752362173440006</v>
      </c>
      <c r="E33" s="97">
        <v>0.16075468639298457</v>
      </c>
      <c r="F33" s="97">
        <v>0.14505915914864947</v>
      </c>
      <c r="G33" s="97">
        <v>0.15094533237192326</v>
      </c>
      <c r="H33" s="97">
        <v>0.17805174365933446</v>
      </c>
      <c r="I33" s="97">
        <v>0.16313971045249254</v>
      </c>
      <c r="J33" s="97">
        <v>0.15500517583977069</v>
      </c>
      <c r="K33" s="97">
        <v>0.15160365794233516</v>
      </c>
      <c r="L33" s="97">
        <v>0.1709393537418219</v>
      </c>
      <c r="M33" s="97">
        <v>0.17060511102206688</v>
      </c>
      <c r="N33" s="97">
        <v>0.16701883047603738</v>
      </c>
      <c r="O33" s="97">
        <v>0.16879824325642134</v>
      </c>
      <c r="P33" s="97">
        <v>0.15467870749936685</v>
      </c>
      <c r="Q33" s="97">
        <v>0.18490313411755399</v>
      </c>
      <c r="R33" s="97">
        <v>0.18993991883811012</v>
      </c>
      <c r="S33" s="97">
        <v>0.17477718556292526</v>
      </c>
      <c r="T33" s="97">
        <v>0.17411000314899222</v>
      </c>
      <c r="U33" s="97">
        <v>0.18312474658662348</v>
      </c>
      <c r="V33" s="97">
        <v>0.1835354621802826</v>
      </c>
      <c r="W33" s="97">
        <v>0.18061076007769183</v>
      </c>
      <c r="X33" s="97">
        <v>0.17251007256183998</v>
      </c>
      <c r="Y33" s="97">
        <v>0.17881991156156979</v>
      </c>
      <c r="Z33" s="97">
        <v>0.15031415275460225</v>
      </c>
      <c r="AA33" s="97">
        <v>0.14141804109997808</v>
      </c>
      <c r="AB33" s="97">
        <v>0.17038198932777948</v>
      </c>
      <c r="AC33" s="97">
        <v>0.14411887194361012</v>
      </c>
      <c r="AD33" s="97">
        <v>0.16128583078731035</v>
      </c>
      <c r="AE33" s="97">
        <v>0.16295787864443123</v>
      </c>
      <c r="AF33" s="97">
        <v>0.16495704125529637</v>
      </c>
      <c r="AG33" s="97">
        <v>0.1656029690206734</v>
      </c>
      <c r="AH33" s="97">
        <v>0.18170113849869118</v>
      </c>
      <c r="AI33" s="97">
        <v>0.18940592091475128</v>
      </c>
      <c r="AJ33" s="97">
        <v>0.16665500995366261</v>
      </c>
      <c r="AK33" s="97">
        <v>0.13433430532974899</v>
      </c>
      <c r="AL33" s="97">
        <v>0.16352568336648843</v>
      </c>
      <c r="AM33" s="97">
        <v>0.1841747644213253</v>
      </c>
      <c r="AN33" s="97">
        <v>0.17322533228825071</v>
      </c>
      <c r="AO33" s="97">
        <v>0.1625511006845744</v>
      </c>
      <c r="AP33" s="97">
        <v>0.18917607139716064</v>
      </c>
      <c r="AQ33" s="97">
        <v>0.16753142860117071</v>
      </c>
      <c r="AR33" s="97">
        <v>0.14483764006625693</v>
      </c>
      <c r="AS33" s="97">
        <v>0.1384301342726616</v>
      </c>
      <c r="AT33" s="97">
        <v>0.15182860524980968</v>
      </c>
      <c r="AU33" s="97">
        <v>0.18626027888523439</v>
      </c>
      <c r="AV33" s="97">
        <v>0.15178364010360901</v>
      </c>
      <c r="AW33" s="97">
        <v>0.17746847529679549</v>
      </c>
      <c r="AX33" s="97">
        <v>0.14711567404445142</v>
      </c>
      <c r="AY33" s="97">
        <v>0.17459852946097837</v>
      </c>
      <c r="AZ33" s="97">
        <v>0.16466833334082831</v>
      </c>
      <c r="BA33" s="97">
        <v>0.17656605806509446</v>
      </c>
      <c r="BB33" s="97">
        <v>0.16361760824485294</v>
      </c>
      <c r="BC33" s="97">
        <v>0.18292664942973175</v>
      </c>
      <c r="BD33" s="97">
        <v>0.17817900161991873</v>
      </c>
      <c r="BE33" s="97">
        <v>0.17787524171219748</v>
      </c>
      <c r="BF33" s="97">
        <v>0.154971156493108</v>
      </c>
      <c r="BG33" s="97">
        <v>0.17861183152906618</v>
      </c>
      <c r="BH33" s="97">
        <v>0.1793750064478013</v>
      </c>
      <c r="BI33" s="97">
        <v>0.17155818902466197</v>
      </c>
      <c r="BJ33" s="97">
        <v>0.18178459654430762</v>
      </c>
      <c r="BK33" s="97">
        <v>0.14382744897508459</v>
      </c>
      <c r="BL33" s="97">
        <v>0.1787032399094784</v>
      </c>
      <c r="BM33" s="97">
        <v>0.16914050355566396</v>
      </c>
      <c r="BN33" s="97">
        <v>0.16204136059663604</v>
      </c>
      <c r="BO33" s="97">
        <v>0.14607403969812172</v>
      </c>
      <c r="BP33" s="97">
        <v>0.14047946752531582</v>
      </c>
      <c r="BQ33" s="97">
        <v>0.14293236492081318</v>
      </c>
      <c r="BR33" s="97">
        <v>0.16013016883323267</v>
      </c>
      <c r="BS33" s="97">
        <v>0.17779677326321924</v>
      </c>
      <c r="BT33" s="97">
        <v>0.16776686716307548</v>
      </c>
      <c r="BU33" s="97">
        <v>0.13578026089140072</v>
      </c>
      <c r="BV33" s="97">
        <v>0.15873663988112274</v>
      </c>
      <c r="BW33" s="97">
        <v>0.18801210693802106</v>
      </c>
      <c r="BX33" s="97">
        <v>0.18810618466237417</v>
      </c>
      <c r="BY33" s="97">
        <v>0.16993667425049402</v>
      </c>
      <c r="BZ33" s="97">
        <v>0.16845001138620525</v>
      </c>
      <c r="CA33" s="97">
        <v>0.17819533759447109</v>
      </c>
      <c r="CB33" s="97">
        <v>0.15910027362857759</v>
      </c>
      <c r="CC33" s="97">
        <v>0.17477752486123321</v>
      </c>
      <c r="CD33" s="97">
        <v>0.18266950884707978</v>
      </c>
      <c r="CE33" s="97">
        <v>0.15565252872431273</v>
      </c>
      <c r="CF33" s="97">
        <v>0.14152802969098521</v>
      </c>
      <c r="CG33" s="97">
        <v>0.14333820004776804</v>
      </c>
      <c r="CH33" s="97">
        <v>0.17981281476520705</v>
      </c>
      <c r="CI33" s="97">
        <v>0.16972351664733926</v>
      </c>
      <c r="CJ33" s="97">
        <v>0.19197637197912748</v>
      </c>
      <c r="CK33" s="97">
        <v>0.17750706232945357</v>
      </c>
      <c r="CL33" s="97">
        <v>0.1743064788983158</v>
      </c>
      <c r="CM33" s="97">
        <v>0.16116440924102454</v>
      </c>
      <c r="CN33" s="97">
        <v>0.18197511740565736</v>
      </c>
      <c r="CO33" s="97">
        <v>0.16598251902276789</v>
      </c>
      <c r="CP33" s="97">
        <v>0.15286944060473828</v>
      </c>
      <c r="CQ33" s="97">
        <v>0.14838347743175379</v>
      </c>
      <c r="CR33" s="97">
        <v>0.13926976073698322</v>
      </c>
      <c r="CS33" s="97">
        <v>0.18345032434938024</v>
      </c>
      <c r="CT33" s="97">
        <v>0.16821777639506125</v>
      </c>
      <c r="CU33" s="97">
        <v>0.17032236964501407</v>
      </c>
      <c r="CV33" s="97">
        <v>0.14735804152309434</v>
      </c>
      <c r="CW33" s="97">
        <v>0.14953813021400886</v>
      </c>
      <c r="CX33" s="97">
        <v>0.14339129151149921</v>
      </c>
    </row>
    <row r="34" spans="1:102" s="95" customFormat="1">
      <c r="A34" s="306" t="str">
        <f t="shared" si="0"/>
        <v>Aandelen opkomend</v>
      </c>
      <c r="B34" s="307"/>
      <c r="C34" s="97">
        <v>0.31941658415990581</v>
      </c>
      <c r="D34" s="97">
        <v>0.30817903752634823</v>
      </c>
      <c r="E34" s="97">
        <v>0.29054510597807365</v>
      </c>
      <c r="F34" s="97">
        <v>0.31388023207870791</v>
      </c>
      <c r="G34" s="97">
        <v>0.28919678751574407</v>
      </c>
      <c r="H34" s="97">
        <v>0.33408779184649123</v>
      </c>
      <c r="I34" s="97">
        <v>0.26340413436754845</v>
      </c>
      <c r="J34" s="97">
        <v>0.29333277216562115</v>
      </c>
      <c r="K34" s="97">
        <v>0.27482712288444933</v>
      </c>
      <c r="L34" s="97">
        <v>0.30897097826719327</v>
      </c>
      <c r="M34" s="97">
        <v>0.26707768716134916</v>
      </c>
      <c r="N34" s="97">
        <v>0.3104515876313636</v>
      </c>
      <c r="O34" s="97">
        <v>0.24038064165345124</v>
      </c>
      <c r="P34" s="97">
        <v>0.32135522124595817</v>
      </c>
      <c r="Q34" s="97">
        <v>0.33115264670487893</v>
      </c>
      <c r="R34" s="97">
        <v>0.35853161178278325</v>
      </c>
      <c r="S34" s="97">
        <v>0.31180700799931832</v>
      </c>
      <c r="T34" s="97">
        <v>0.35894190739134296</v>
      </c>
      <c r="U34" s="97">
        <v>0.34711531543074042</v>
      </c>
      <c r="V34" s="97">
        <v>0.32949125895377873</v>
      </c>
      <c r="W34" s="97">
        <v>0.26695888334244916</v>
      </c>
      <c r="X34" s="97">
        <v>0.34463963287764182</v>
      </c>
      <c r="Y34" s="97">
        <v>0.25625224594285601</v>
      </c>
      <c r="Z34" s="97">
        <v>0.3297865537609791</v>
      </c>
      <c r="AA34" s="97">
        <v>0.31894082790924483</v>
      </c>
      <c r="AB34" s="97">
        <v>0.2902898939336877</v>
      </c>
      <c r="AC34" s="97">
        <v>0.29772899837894073</v>
      </c>
      <c r="AD34" s="97">
        <v>0.30553651270230758</v>
      </c>
      <c r="AE34" s="97">
        <v>0.32773254738936397</v>
      </c>
      <c r="AF34" s="97">
        <v>0.28891728929608085</v>
      </c>
      <c r="AG34" s="97">
        <v>0.35450254860459901</v>
      </c>
      <c r="AH34" s="97">
        <v>0.30783994531472753</v>
      </c>
      <c r="AI34" s="97">
        <v>0.33014228100314619</v>
      </c>
      <c r="AJ34" s="97">
        <v>0.35731275049877337</v>
      </c>
      <c r="AK34" s="97">
        <v>0.26561612832229331</v>
      </c>
      <c r="AL34" s="97">
        <v>0.33366563571583291</v>
      </c>
      <c r="AM34" s="97">
        <v>0.29174265444532049</v>
      </c>
      <c r="AN34" s="97">
        <v>0.30289042537903543</v>
      </c>
      <c r="AO34" s="97">
        <v>0.26621105108979554</v>
      </c>
      <c r="AP34" s="97">
        <v>0.31670296532450293</v>
      </c>
      <c r="AQ34" s="97">
        <v>0.33108029781242448</v>
      </c>
      <c r="AR34" s="97">
        <v>0.32652536168406432</v>
      </c>
      <c r="AS34" s="97">
        <v>0.33619073497564567</v>
      </c>
      <c r="AT34" s="97">
        <v>0.28943093377750334</v>
      </c>
      <c r="AU34" s="97">
        <v>0.29734300510503753</v>
      </c>
      <c r="AV34" s="97">
        <v>0.34490463529940885</v>
      </c>
      <c r="AW34" s="97">
        <v>0.35113961333065324</v>
      </c>
      <c r="AX34" s="97">
        <v>0.24921173722846396</v>
      </c>
      <c r="AY34" s="97">
        <v>0.2706650851523994</v>
      </c>
      <c r="AZ34" s="97">
        <v>0.26018891736339139</v>
      </c>
      <c r="BA34" s="97">
        <v>0.30507887250511262</v>
      </c>
      <c r="BB34" s="97">
        <v>0.27839665997574276</v>
      </c>
      <c r="BC34" s="97">
        <v>0.35996762245817399</v>
      </c>
      <c r="BD34" s="97">
        <v>0.35356646462011815</v>
      </c>
      <c r="BE34" s="97">
        <v>0.35216667443061805</v>
      </c>
      <c r="BF34" s="97">
        <v>0.32925291074435953</v>
      </c>
      <c r="BG34" s="97">
        <v>0.29071053943922165</v>
      </c>
      <c r="BH34" s="97">
        <v>0.27326244357787333</v>
      </c>
      <c r="BI34" s="97">
        <v>0.33267670824325363</v>
      </c>
      <c r="BJ34" s="97">
        <v>0.3294127940464856</v>
      </c>
      <c r="BK34" s="97">
        <v>0.22945107550412602</v>
      </c>
      <c r="BL34" s="97">
        <v>0.32945043739655688</v>
      </c>
      <c r="BM34" s="97">
        <v>0.30738193936762054</v>
      </c>
      <c r="BN34" s="97">
        <v>0.26916055228392843</v>
      </c>
      <c r="BO34" s="97">
        <v>0.29840896380115262</v>
      </c>
      <c r="BP34" s="97">
        <v>0.26088013534178534</v>
      </c>
      <c r="BQ34" s="97">
        <v>0.24269022296786352</v>
      </c>
      <c r="BR34" s="97">
        <v>0.32914292294613912</v>
      </c>
      <c r="BS34" s="97">
        <v>0.34119627883509401</v>
      </c>
      <c r="BT34" s="97">
        <v>0.37813341074399354</v>
      </c>
      <c r="BU34" s="97">
        <v>0.27830232650042991</v>
      </c>
      <c r="BV34" s="97">
        <v>0.3025370823822221</v>
      </c>
      <c r="BW34" s="97">
        <v>0.32761708531185241</v>
      </c>
      <c r="BX34" s="97">
        <v>0.36061425867416974</v>
      </c>
      <c r="BY34" s="97">
        <v>0.3411707856040464</v>
      </c>
      <c r="BZ34" s="97">
        <v>0.30614048208608741</v>
      </c>
      <c r="CA34" s="97">
        <v>0.27831756237931937</v>
      </c>
      <c r="CB34" s="97">
        <v>0.26512120372312531</v>
      </c>
      <c r="CC34" s="97">
        <v>0.32719390774388746</v>
      </c>
      <c r="CD34" s="97">
        <v>0.31013787199595727</v>
      </c>
      <c r="CE34" s="97">
        <v>0.32025466814959602</v>
      </c>
      <c r="CF34" s="97">
        <v>0.22884217897268794</v>
      </c>
      <c r="CG34" s="97">
        <v>0.31039441392978934</v>
      </c>
      <c r="CH34" s="97">
        <v>0.34723232591659953</v>
      </c>
      <c r="CI34" s="97">
        <v>0.27593159874873452</v>
      </c>
      <c r="CJ34" s="97">
        <v>0.37821357830506075</v>
      </c>
      <c r="CK34" s="97">
        <v>0.28517304118892389</v>
      </c>
      <c r="CL34" s="97">
        <v>0.29843996354708968</v>
      </c>
      <c r="CM34" s="97">
        <v>0.2654486637996688</v>
      </c>
      <c r="CN34" s="97">
        <v>0.30143354020162233</v>
      </c>
      <c r="CO34" s="97">
        <v>0.31779241174869932</v>
      </c>
      <c r="CP34" s="97">
        <v>0.26889946652341451</v>
      </c>
      <c r="CQ34" s="97">
        <v>0.19826761300635015</v>
      </c>
      <c r="CR34" s="97">
        <v>0.32980937515352138</v>
      </c>
      <c r="CS34" s="97">
        <v>0.31570917487094513</v>
      </c>
      <c r="CT34" s="97">
        <v>0.27802185603648999</v>
      </c>
      <c r="CU34" s="97">
        <v>0.31516408893668829</v>
      </c>
      <c r="CV34" s="97">
        <v>0.32229369872783931</v>
      </c>
      <c r="CW34" s="97">
        <v>0.25747237428631786</v>
      </c>
      <c r="CX34" s="97">
        <v>0.26221924930553631</v>
      </c>
    </row>
    <row r="35" spans="1:102" s="95" customFormat="1">
      <c r="A35" s="306" t="str">
        <f t="shared" si="0"/>
        <v>Hedge funds</v>
      </c>
      <c r="B35" s="307"/>
      <c r="C35" s="97">
        <v>0.10469602579274755</v>
      </c>
      <c r="D35" s="97">
        <v>0.10662553767345843</v>
      </c>
      <c r="E35" s="97">
        <v>0.11213780982192366</v>
      </c>
      <c r="F35" s="97">
        <v>0.11580386864474108</v>
      </c>
      <c r="G35" s="97">
        <v>0.11805036837074297</v>
      </c>
      <c r="H35" s="97">
        <v>0.11175475455671653</v>
      </c>
      <c r="I35" s="97">
        <v>0.11602640689110279</v>
      </c>
      <c r="J35" s="97">
        <v>0.11414878389319734</v>
      </c>
      <c r="K35" s="97">
        <v>0.11588239534338014</v>
      </c>
      <c r="L35" s="97">
        <v>0.10831253763041036</v>
      </c>
      <c r="M35" s="97">
        <v>0.10872897318680901</v>
      </c>
      <c r="N35" s="97">
        <v>0.11423413859454647</v>
      </c>
      <c r="O35" s="97">
        <v>0.10932897823576361</v>
      </c>
      <c r="P35" s="97">
        <v>0.11045708924772892</v>
      </c>
      <c r="Q35" s="97">
        <v>0.10222417961721013</v>
      </c>
      <c r="R35" s="97">
        <v>9.3821525620068583E-2</v>
      </c>
      <c r="S35" s="97">
        <v>0.10911474897990041</v>
      </c>
      <c r="T35" s="97">
        <v>0.10596160222264651</v>
      </c>
      <c r="U35" s="97">
        <v>0.11319031941259082</v>
      </c>
      <c r="V35" s="97">
        <v>0.10003464146516521</v>
      </c>
      <c r="W35" s="97">
        <v>0.10959781681867405</v>
      </c>
      <c r="X35" s="97">
        <v>0.11122714743170571</v>
      </c>
      <c r="Y35" s="97">
        <v>0.10040168398806208</v>
      </c>
      <c r="Z35" s="97">
        <v>0.1129699311405407</v>
      </c>
      <c r="AA35" s="97">
        <v>0.1121631159929971</v>
      </c>
      <c r="AB35" s="97">
        <v>0.11459088604514857</v>
      </c>
      <c r="AC35" s="97">
        <v>0.11627711383209842</v>
      </c>
      <c r="AD35" s="97">
        <v>0.11515126356368212</v>
      </c>
      <c r="AE35" s="97">
        <v>0.10536344958451772</v>
      </c>
      <c r="AF35" s="97">
        <v>0.11472933434701153</v>
      </c>
      <c r="AG35" s="97">
        <v>0.10315810363779344</v>
      </c>
      <c r="AH35" s="97">
        <v>0.1078516220371253</v>
      </c>
      <c r="AI35" s="97">
        <v>0.10407414202946737</v>
      </c>
      <c r="AJ35" s="97">
        <v>0.10298086057616139</v>
      </c>
      <c r="AK35" s="97">
        <v>0.1164905936917467</v>
      </c>
      <c r="AL35" s="97">
        <v>0.12144218129800131</v>
      </c>
      <c r="AM35" s="97">
        <v>0.10504057645387645</v>
      </c>
      <c r="AN35" s="97">
        <v>0.1111129034550719</v>
      </c>
      <c r="AO35" s="97">
        <v>0.11747048252272023</v>
      </c>
      <c r="AP35" s="97">
        <v>0.11976654179152398</v>
      </c>
      <c r="AQ35" s="97">
        <v>0.11214712889061827</v>
      </c>
      <c r="AR35" s="97">
        <v>0.11352871087636483</v>
      </c>
      <c r="AS35" s="97">
        <v>0.11224014351774216</v>
      </c>
      <c r="AT35" s="97">
        <v>0.1223077090792485</v>
      </c>
      <c r="AU35" s="97">
        <v>0.10798283583776679</v>
      </c>
      <c r="AV35" s="97">
        <v>0.10910907650401612</v>
      </c>
      <c r="AW35" s="97">
        <v>0.11221967711520935</v>
      </c>
      <c r="AX35" s="97">
        <v>0.11738139884342745</v>
      </c>
      <c r="AY35" s="97">
        <v>0.11053652436493917</v>
      </c>
      <c r="AZ35" s="97">
        <v>0.11447187503405688</v>
      </c>
      <c r="BA35" s="97">
        <v>0.10717741979150124</v>
      </c>
      <c r="BB35" s="97">
        <v>0.11185315111687856</v>
      </c>
      <c r="BC35" s="97">
        <v>0.10776581416605653</v>
      </c>
      <c r="BD35" s="97">
        <v>0.10065432667210213</v>
      </c>
      <c r="BE35" s="97">
        <v>0.1049899772254214</v>
      </c>
      <c r="BF35" s="97">
        <v>0.11091854299526667</v>
      </c>
      <c r="BG35" s="97">
        <v>0.10138352852935777</v>
      </c>
      <c r="BH35" s="97">
        <v>0.10733418757717282</v>
      </c>
      <c r="BI35" s="97">
        <v>0.10634612213570012</v>
      </c>
      <c r="BJ35" s="97">
        <v>9.9064623005519506E-2</v>
      </c>
      <c r="BK35" s="97">
        <v>0.11659109159257951</v>
      </c>
      <c r="BL35" s="97">
        <v>0.12193631624473868</v>
      </c>
      <c r="BM35" s="97">
        <v>0.10902289628169955</v>
      </c>
      <c r="BN35" s="97">
        <v>0.11092861201043124</v>
      </c>
      <c r="BO35" s="97">
        <v>0.11327360559795301</v>
      </c>
      <c r="BP35" s="97">
        <v>0.11624153491858789</v>
      </c>
      <c r="BQ35" s="97">
        <v>0.11541349737415742</v>
      </c>
      <c r="BR35" s="97">
        <v>0.11154751738746189</v>
      </c>
      <c r="BS35" s="97">
        <v>0.11087164209923113</v>
      </c>
      <c r="BT35" s="97">
        <v>0.10365451478926198</v>
      </c>
      <c r="BU35" s="97">
        <v>0.12235452520635971</v>
      </c>
      <c r="BV35" s="97">
        <v>0.11838050506225813</v>
      </c>
      <c r="BW35" s="97">
        <v>0.12091609949293254</v>
      </c>
      <c r="BX35" s="97">
        <v>9.5606597791031631E-2</v>
      </c>
      <c r="BY35" s="97">
        <v>0.12339196474561333</v>
      </c>
      <c r="BZ35" s="97">
        <v>0.11396109701647135</v>
      </c>
      <c r="CA35" s="97">
        <v>0.10799459874511892</v>
      </c>
      <c r="CB35" s="97">
        <v>0.11917952911055242</v>
      </c>
      <c r="CC35" s="97">
        <v>0.11500954481205293</v>
      </c>
      <c r="CD35" s="97">
        <v>0.11556376014824395</v>
      </c>
      <c r="CE35" s="97">
        <v>0.10840965269451115</v>
      </c>
      <c r="CF35" s="97">
        <v>0.12015779352826007</v>
      </c>
      <c r="CG35" s="97">
        <v>0.11895038679051557</v>
      </c>
      <c r="CH35" s="97">
        <v>9.9024535707901221E-2</v>
      </c>
      <c r="CI35" s="97">
        <v>0.11739825682895182</v>
      </c>
      <c r="CJ35" s="97">
        <v>9.2611549727678724E-2</v>
      </c>
      <c r="CK35" s="97">
        <v>0.1118089216933623</v>
      </c>
      <c r="CL35" s="97">
        <v>0.1219744971527101</v>
      </c>
      <c r="CM35" s="97">
        <v>0.10879838440927232</v>
      </c>
      <c r="CN35" s="97">
        <v>0.11000874559015646</v>
      </c>
      <c r="CO35" s="97">
        <v>0.11679302478481256</v>
      </c>
      <c r="CP35" s="97">
        <v>0.11381660248928162</v>
      </c>
      <c r="CQ35" s="97">
        <v>0.10826049577688555</v>
      </c>
      <c r="CR35" s="97">
        <v>0.11770964266297869</v>
      </c>
      <c r="CS35" s="97">
        <v>0.1032490618273552</v>
      </c>
      <c r="CT35" s="97">
        <v>0.1143644492444235</v>
      </c>
      <c r="CU35" s="97">
        <v>0.10196103353728027</v>
      </c>
      <c r="CV35" s="97">
        <v>0.11322379249186705</v>
      </c>
      <c r="CW35" s="97">
        <v>0.11842515667921262</v>
      </c>
      <c r="CX35" s="97">
        <v>0.12240338394128165</v>
      </c>
    </row>
    <row r="36" spans="1:102" s="95" customFormat="1">
      <c r="A36" s="306" t="str">
        <f t="shared" si="0"/>
        <v>Onroerend goed</v>
      </c>
      <c r="B36" s="307"/>
      <c r="C36" s="97">
        <v>8.8161721689666198E-2</v>
      </c>
      <c r="D36" s="97">
        <v>8.5460992831999441E-2</v>
      </c>
      <c r="E36" s="97">
        <v>0.11347208477083433</v>
      </c>
      <c r="F36" s="97">
        <v>0.10823077568444665</v>
      </c>
      <c r="G36" s="97">
        <v>0.11412596032181598</v>
      </c>
      <c r="H36" s="97">
        <v>8.4235745915857238E-2</v>
      </c>
      <c r="I36" s="97">
        <v>0.11648744056415301</v>
      </c>
      <c r="J36" s="97">
        <v>0.10107420350584607</v>
      </c>
      <c r="K36" s="97">
        <v>0.13181309251595819</v>
      </c>
      <c r="L36" s="97">
        <v>7.8879938703987643E-2</v>
      </c>
      <c r="M36" s="97">
        <v>0.11215564035191132</v>
      </c>
      <c r="N36" s="97">
        <v>0.10036871702590185</v>
      </c>
      <c r="O36" s="97">
        <v>0.12139517914397811</v>
      </c>
      <c r="P36" s="97">
        <v>7.9091992144961362E-2</v>
      </c>
      <c r="Q36" s="97">
        <v>6.7744043360710313E-2</v>
      </c>
      <c r="R36" s="97">
        <v>3.1053571442050343E-2</v>
      </c>
      <c r="S36" s="97">
        <v>6.7198653575410369E-2</v>
      </c>
      <c r="T36" s="97">
        <v>6.345034577188384E-2</v>
      </c>
      <c r="U36" s="97">
        <v>8.4263339087425185E-2</v>
      </c>
      <c r="V36" s="97">
        <v>4.958969519328553E-2</v>
      </c>
      <c r="W36" s="97">
        <v>0.10840192913721559</v>
      </c>
      <c r="X36" s="97">
        <v>5.9759024105521322E-2</v>
      </c>
      <c r="Y36" s="97">
        <v>9.0722252585723404E-2</v>
      </c>
      <c r="Z36" s="97">
        <v>8.1254933172639501E-2</v>
      </c>
      <c r="AA36" s="97">
        <v>9.9637526846278704E-2</v>
      </c>
      <c r="AB36" s="97">
        <v>9.7280186346640832E-2</v>
      </c>
      <c r="AC36" s="97">
        <v>9.5115316387938922E-2</v>
      </c>
      <c r="AD36" s="97">
        <v>8.5207941374757304E-2</v>
      </c>
      <c r="AE36" s="97">
        <v>5.1715333475195968E-2</v>
      </c>
      <c r="AF36" s="97">
        <v>9.6553284712338719E-2</v>
      </c>
      <c r="AG36" s="97">
        <v>4.3367163022018221E-2</v>
      </c>
      <c r="AH36" s="97">
        <v>6.8186572892516895E-2</v>
      </c>
      <c r="AI36" s="97">
        <v>6.9380343619346793E-2</v>
      </c>
      <c r="AJ36" s="97">
        <v>4.6182057947680932E-2</v>
      </c>
      <c r="AK36" s="97">
        <v>0.11822920853214096</v>
      </c>
      <c r="AL36" s="97">
        <v>8.920654914419017E-2</v>
      </c>
      <c r="AM36" s="97">
        <v>7.0475737020878254E-2</v>
      </c>
      <c r="AN36" s="97">
        <v>7.7907484309501743E-2</v>
      </c>
      <c r="AO36" s="97">
        <v>0.14076886158089674</v>
      </c>
      <c r="AP36" s="97">
        <v>0.11362662985107931</v>
      </c>
      <c r="AQ36" s="97">
        <v>7.6493426037105558E-2</v>
      </c>
      <c r="AR36" s="97">
        <v>8.2377164102144781E-2</v>
      </c>
      <c r="AS36" s="97">
        <v>7.8620085588741104E-2</v>
      </c>
      <c r="AT36" s="97">
        <v>0.11923484935679278</v>
      </c>
      <c r="AU36" s="97">
        <v>9.6620308432504118E-2</v>
      </c>
      <c r="AV36" s="97">
        <v>6.3652990909721804E-2</v>
      </c>
      <c r="AW36" s="97">
        <v>6.5434717236849918E-2</v>
      </c>
      <c r="AX36" s="97">
        <v>0.11650795255073611</v>
      </c>
      <c r="AY36" s="97">
        <v>0.1185219334637138</v>
      </c>
      <c r="AZ36" s="97">
        <v>0.11498179651934763</v>
      </c>
      <c r="BA36" s="97">
        <v>7.1996500522831797E-2</v>
      </c>
      <c r="BB36" s="97">
        <v>0.1060908053471228</v>
      </c>
      <c r="BC36" s="97">
        <v>6.0406407730610276E-2</v>
      </c>
      <c r="BD36" s="97">
        <v>3.718068367517692E-2</v>
      </c>
      <c r="BE36" s="97">
        <v>3.7704655440917625E-2</v>
      </c>
      <c r="BF36" s="97">
        <v>6.2941339962904838E-2</v>
      </c>
      <c r="BG36" s="97">
        <v>8.0436616472858366E-2</v>
      </c>
      <c r="BH36" s="97">
        <v>9.3322527325761448E-2</v>
      </c>
      <c r="BI36" s="97">
        <v>5.4385601146854798E-2</v>
      </c>
      <c r="BJ36" s="97">
        <v>3.7345988151067391E-2</v>
      </c>
      <c r="BK36" s="97">
        <v>0.14646161993089407</v>
      </c>
      <c r="BL36" s="97">
        <v>0.10271800794491735</v>
      </c>
      <c r="BM36" s="97">
        <v>6.5084554774022002E-2</v>
      </c>
      <c r="BN36" s="97">
        <v>9.7860759917815968E-2</v>
      </c>
      <c r="BO36" s="97">
        <v>9.0072108563426331E-2</v>
      </c>
      <c r="BP36" s="97">
        <v>0.11972551817157299</v>
      </c>
      <c r="BQ36" s="97">
        <v>0.1513859004073701</v>
      </c>
      <c r="BR36" s="97">
        <v>6.5967528577767831E-2</v>
      </c>
      <c r="BS36" s="97">
        <v>6.4232435068420329E-2</v>
      </c>
      <c r="BT36" s="97">
        <v>3.6162749096997029E-2</v>
      </c>
      <c r="BU36" s="97">
        <v>0.12220460756049002</v>
      </c>
      <c r="BV36" s="97">
        <v>0.10050343594540288</v>
      </c>
      <c r="BW36" s="97">
        <v>8.8478121953384878E-2</v>
      </c>
      <c r="BX36" s="97">
        <v>2.6795599311898732E-2</v>
      </c>
      <c r="BY36" s="97">
        <v>8.8020370687455926E-2</v>
      </c>
      <c r="BZ36" s="97">
        <v>7.7564457391723005E-2</v>
      </c>
      <c r="CA36" s="97">
        <v>8.6189641441608636E-2</v>
      </c>
      <c r="CB36" s="97">
        <v>0.1294549494409466</v>
      </c>
      <c r="CC36" s="97">
        <v>8.6825627215833548E-2</v>
      </c>
      <c r="CD36" s="97">
        <v>7.8062606235594342E-2</v>
      </c>
      <c r="CE36" s="97">
        <v>5.9701187432239691E-2</v>
      </c>
      <c r="CF36" s="97">
        <v>0.13807340583072791</v>
      </c>
      <c r="CG36" s="97">
        <v>0.1047564011305623</v>
      </c>
      <c r="CH36" s="97">
        <v>3.4287163785823513E-2</v>
      </c>
      <c r="CI36" s="97">
        <v>0.12106013474043005</v>
      </c>
      <c r="CJ36" s="97">
        <v>1.811247521887524E-2</v>
      </c>
      <c r="CK36" s="97">
        <v>0.10378121802062741</v>
      </c>
      <c r="CL36" s="97">
        <v>0.12189464558970715</v>
      </c>
      <c r="CM36" s="97">
        <v>0.10060543188095004</v>
      </c>
      <c r="CN36" s="97">
        <v>9.4003476573287656E-2</v>
      </c>
      <c r="CO36" s="97">
        <v>9.1979208419026695E-2</v>
      </c>
      <c r="CP36" s="97">
        <v>9.8527216581569307E-2</v>
      </c>
      <c r="CQ36" s="97">
        <v>0.14342020116746335</v>
      </c>
      <c r="CR36" s="97">
        <v>9.5766392040460294E-2</v>
      </c>
      <c r="CS36" s="97">
        <v>5.5534044405767008E-2</v>
      </c>
      <c r="CT36" s="97">
        <v>9.2818335265168125E-2</v>
      </c>
      <c r="CU36" s="97">
        <v>3.4886591696330016E-2</v>
      </c>
      <c r="CV36" s="97">
        <v>7.5123347730535153E-2</v>
      </c>
      <c r="CW36" s="97">
        <v>0.10670192409019526</v>
      </c>
      <c r="CX36" s="97">
        <v>0.14675156754178087</v>
      </c>
    </row>
    <row r="37" spans="1:102" s="111" customFormat="1">
      <c r="A37" s="310" t="str">
        <f t="shared" si="0"/>
        <v>Commodities</v>
      </c>
      <c r="B37" s="311"/>
      <c r="C37" s="98">
        <v>0.24568944662896486</v>
      </c>
      <c r="D37" s="98">
        <v>0.23649580440668172</v>
      </c>
      <c r="E37" s="98">
        <v>0.26625487212590726</v>
      </c>
      <c r="F37" s="98">
        <v>0.31521065433096529</v>
      </c>
      <c r="G37" s="98">
        <v>0.32569772160005017</v>
      </c>
      <c r="H37" s="98">
        <v>0.25722364393653696</v>
      </c>
      <c r="I37" s="98">
        <v>0.30997350315750477</v>
      </c>
      <c r="J37" s="98">
        <v>0.26582528712575304</v>
      </c>
      <c r="K37" s="98">
        <v>0.26942306071479255</v>
      </c>
      <c r="L37" s="98">
        <v>0.24294322640520083</v>
      </c>
      <c r="M37" s="98">
        <v>0.23798152119968696</v>
      </c>
      <c r="N37" s="98">
        <v>0.28422720043910565</v>
      </c>
      <c r="O37" s="98">
        <v>0.24275373408578954</v>
      </c>
      <c r="P37" s="98">
        <v>0.2583680351544731</v>
      </c>
      <c r="Q37" s="98">
        <v>0.24627011764627788</v>
      </c>
      <c r="R37" s="98">
        <v>0.22739462582943187</v>
      </c>
      <c r="S37" s="98">
        <v>0.28202932914948947</v>
      </c>
      <c r="T37" s="98">
        <v>0.26389636014347123</v>
      </c>
      <c r="U37" s="98">
        <v>0.26021974661362657</v>
      </c>
      <c r="V37" s="98">
        <v>0.22364145639220151</v>
      </c>
      <c r="W37" s="98">
        <v>0.24309847975980825</v>
      </c>
      <c r="X37" s="98">
        <v>0.32116736980006771</v>
      </c>
      <c r="Y37" s="98">
        <v>0.2089479308442293</v>
      </c>
      <c r="Z37" s="98">
        <v>0.26702675918102742</v>
      </c>
      <c r="AA37" s="98">
        <v>0.28392275041224568</v>
      </c>
      <c r="AB37" s="98">
        <v>0.30464224969582732</v>
      </c>
      <c r="AC37" s="98">
        <v>0.3015556045134089</v>
      </c>
      <c r="AD37" s="98">
        <v>0.26872873550654397</v>
      </c>
      <c r="AE37" s="98">
        <v>0.33669525619921598</v>
      </c>
      <c r="AF37" s="98">
        <v>0.27516363203873578</v>
      </c>
      <c r="AG37" s="98">
        <v>0.27811991967547256</v>
      </c>
      <c r="AH37" s="98">
        <v>0.28357098106952305</v>
      </c>
      <c r="AI37" s="98">
        <v>0.24018843181502647</v>
      </c>
      <c r="AJ37" s="98">
        <v>0.25008478614585983</v>
      </c>
      <c r="AK37" s="98">
        <v>0.26624761599275309</v>
      </c>
      <c r="AL37" s="98">
        <v>0.3249898122387414</v>
      </c>
      <c r="AM37" s="98">
        <v>0.24148750278356806</v>
      </c>
      <c r="AN37" s="98">
        <v>0.29305383563922788</v>
      </c>
      <c r="AO37" s="98">
        <v>0.25964396890942437</v>
      </c>
      <c r="AP37" s="98">
        <v>0.28668197516053739</v>
      </c>
      <c r="AQ37" s="98">
        <v>0.26129844986662537</v>
      </c>
      <c r="AR37" s="98">
        <v>0.28790889420951332</v>
      </c>
      <c r="AS37" s="98">
        <v>0.34697862309748667</v>
      </c>
      <c r="AT37" s="98">
        <v>0.28760611490563154</v>
      </c>
      <c r="AU37" s="98">
        <v>0.24302556966903505</v>
      </c>
      <c r="AV37" s="98">
        <v>0.26303492583082039</v>
      </c>
      <c r="AW37" s="98">
        <v>0.30134301465714419</v>
      </c>
      <c r="AX37" s="98">
        <v>0.31827107672672267</v>
      </c>
      <c r="AY37" s="98">
        <v>0.26232878123615744</v>
      </c>
      <c r="AZ37" s="98">
        <v>0.24861521992536967</v>
      </c>
      <c r="BA37" s="98">
        <v>0.23758660099574214</v>
      </c>
      <c r="BB37" s="98">
        <v>0.25375456098918631</v>
      </c>
      <c r="BC37" s="98">
        <v>0.25614654844084422</v>
      </c>
      <c r="BD37" s="98">
        <v>0.29223213422181632</v>
      </c>
      <c r="BE37" s="98">
        <v>0.29614815961942803</v>
      </c>
      <c r="BF37" s="98">
        <v>0.29031278086806184</v>
      </c>
      <c r="BG37" s="98">
        <v>0.23832231931438863</v>
      </c>
      <c r="BH37" s="98">
        <v>0.24300923613301317</v>
      </c>
      <c r="BI37" s="98">
        <v>0.2392425814611206</v>
      </c>
      <c r="BJ37" s="98">
        <v>0.2463243024508302</v>
      </c>
      <c r="BK37" s="98">
        <v>0.25130993088714748</v>
      </c>
      <c r="BL37" s="98">
        <v>0.27259124301827758</v>
      </c>
      <c r="BM37" s="98">
        <v>0.32007727528025548</v>
      </c>
      <c r="BN37" s="98">
        <v>0.25548460420697916</v>
      </c>
      <c r="BO37" s="98">
        <v>0.26008622518912472</v>
      </c>
      <c r="BP37" s="98">
        <v>0.30036400685477371</v>
      </c>
      <c r="BQ37" s="98">
        <v>0.26270479840124095</v>
      </c>
      <c r="BR37" s="98">
        <v>0.26441721136941254</v>
      </c>
      <c r="BS37" s="98">
        <v>0.27363839583337191</v>
      </c>
      <c r="BT37" s="98">
        <v>0.31937566974277248</v>
      </c>
      <c r="BU37" s="98">
        <v>0.30967231259231665</v>
      </c>
      <c r="BV37" s="98">
        <v>0.26279276301154209</v>
      </c>
      <c r="BW37" s="98">
        <v>0.32930200849951696</v>
      </c>
      <c r="BX37" s="98">
        <v>0.25048313094115843</v>
      </c>
      <c r="BY37" s="98">
        <v>0.3439002231407754</v>
      </c>
      <c r="BZ37" s="98">
        <v>0.30694434351130068</v>
      </c>
      <c r="CA37" s="98">
        <v>0.25118007383795526</v>
      </c>
      <c r="CB37" s="98">
        <v>0.25833505757096925</v>
      </c>
      <c r="CC37" s="98">
        <v>0.28880850521747364</v>
      </c>
      <c r="CD37" s="98">
        <v>0.3073162264595109</v>
      </c>
      <c r="CE37" s="98">
        <v>0.35932963561012943</v>
      </c>
      <c r="CF37" s="98">
        <v>0.31925754829488701</v>
      </c>
      <c r="CG37" s="98">
        <v>0.29745902053828627</v>
      </c>
      <c r="CH37" s="98">
        <v>0.26464487368707845</v>
      </c>
      <c r="CI37" s="98">
        <v>0.2709529384424042</v>
      </c>
      <c r="CJ37" s="98">
        <v>0.22394681007368694</v>
      </c>
      <c r="CK37" s="98">
        <v>0.25486936050566661</v>
      </c>
      <c r="CL37" s="98">
        <v>0.27649773972602348</v>
      </c>
      <c r="CM37" s="98">
        <v>0.25206571846100739</v>
      </c>
      <c r="CN37" s="98">
        <v>0.25038126520776238</v>
      </c>
      <c r="CO37" s="98">
        <v>0.30803288147706176</v>
      </c>
      <c r="CP37" s="98">
        <v>0.24751645181310589</v>
      </c>
      <c r="CQ37" s="98">
        <v>0.22274515416698265</v>
      </c>
      <c r="CR37" s="98">
        <v>0.34011570567266913</v>
      </c>
      <c r="CS37" s="98">
        <v>0.25987569490670814</v>
      </c>
      <c r="CT37" s="98">
        <v>0.2901925074027441</v>
      </c>
      <c r="CU37" s="98">
        <v>0.29894494054433995</v>
      </c>
      <c r="CV37" s="98">
        <v>0.26617357661665852</v>
      </c>
      <c r="CW37" s="98">
        <v>0.29707878437147262</v>
      </c>
      <c r="CX37" s="98">
        <v>0.27327797131428072</v>
      </c>
    </row>
    <row r="38" spans="1:102" s="95" customFormat="1">
      <c r="A38" s="58" t="s">
        <v>132</v>
      </c>
      <c r="B38" s="99"/>
      <c r="C38" s="100">
        <v>28.130784418872093</v>
      </c>
      <c r="D38" s="100">
        <v>27.643797838872512</v>
      </c>
      <c r="E38" s="100">
        <v>27.400523952660535</v>
      </c>
      <c r="F38" s="100">
        <v>28.533811115978349</v>
      </c>
      <c r="G38" s="100">
        <v>28.175027461619827</v>
      </c>
      <c r="H38" s="100">
        <v>29.184026040500701</v>
      </c>
      <c r="I38" s="100">
        <v>28.217668651817494</v>
      </c>
      <c r="J38" s="100">
        <v>26.89993344483721</v>
      </c>
      <c r="K38" s="100">
        <v>28.017749905894359</v>
      </c>
      <c r="L38" s="100">
        <v>26.929122755611196</v>
      </c>
      <c r="M38" s="100">
        <v>27.069631331115431</v>
      </c>
      <c r="N38" s="100">
        <v>28.111208579687904</v>
      </c>
      <c r="O38" s="100">
        <v>27.38235259838698</v>
      </c>
      <c r="P38" s="100">
        <v>27.025653260159462</v>
      </c>
      <c r="Q38" s="100">
        <v>28.182071829767924</v>
      </c>
      <c r="R38" s="100">
        <v>28.748910159320882</v>
      </c>
      <c r="S38" s="100">
        <v>27.826573495018806</v>
      </c>
      <c r="T38" s="100">
        <v>29.173998484516954</v>
      </c>
      <c r="U38" s="100">
        <v>30.403662384850094</v>
      </c>
      <c r="V38" s="100">
        <v>27.765832213197818</v>
      </c>
      <c r="W38" s="100">
        <v>28.267879668505088</v>
      </c>
      <c r="X38" s="100">
        <v>29.450944990346944</v>
      </c>
      <c r="Y38" s="100">
        <v>26.698924771914367</v>
      </c>
      <c r="Z38" s="100">
        <v>28.072867108353261</v>
      </c>
      <c r="AA38" s="100">
        <v>27.610298260318064</v>
      </c>
      <c r="AB38" s="100">
        <v>28.402174449167461</v>
      </c>
      <c r="AC38" s="100">
        <v>27.028503916719195</v>
      </c>
      <c r="AD38" s="100">
        <v>27.953534118974936</v>
      </c>
      <c r="AE38" s="100">
        <v>28.481808116072106</v>
      </c>
      <c r="AF38" s="100">
        <v>27.24057688965831</v>
      </c>
      <c r="AG38" s="100">
        <v>27.767012559989311</v>
      </c>
      <c r="AH38" s="100">
        <v>28.349706078748017</v>
      </c>
      <c r="AI38" s="100">
        <v>28.704842545305823</v>
      </c>
      <c r="AJ38" s="100">
        <v>28.125292526951188</v>
      </c>
      <c r="AK38" s="100">
        <v>26.662743223314084</v>
      </c>
      <c r="AL38" s="100">
        <v>30.047964487373637</v>
      </c>
      <c r="AM38" s="100">
        <v>27.675486694403105</v>
      </c>
      <c r="AN38" s="100">
        <v>27.63772483868102</v>
      </c>
      <c r="AO38" s="100">
        <v>29.362278760407484</v>
      </c>
      <c r="AP38" s="100">
        <v>31.672290787791486</v>
      </c>
      <c r="AQ38" s="100">
        <v>27.952596296364252</v>
      </c>
      <c r="AR38" s="100">
        <v>27.539764888703672</v>
      </c>
      <c r="AS38" s="100">
        <v>29.055129500304485</v>
      </c>
      <c r="AT38" s="100">
        <v>28.727285486849063</v>
      </c>
      <c r="AU38" s="100">
        <v>28.81014640840559</v>
      </c>
      <c r="AV38" s="100">
        <v>28.009413154291977</v>
      </c>
      <c r="AW38" s="100">
        <v>29.810172272074738</v>
      </c>
      <c r="AX38" s="100">
        <v>27.204948418313965</v>
      </c>
      <c r="AY38" s="100">
        <v>28.472519810542448</v>
      </c>
      <c r="AZ38" s="100">
        <v>27.467016509732574</v>
      </c>
      <c r="BA38" s="100">
        <v>27.045845756889648</v>
      </c>
      <c r="BB38" s="100">
        <v>27.078435191056855</v>
      </c>
      <c r="BC38" s="100">
        <v>29.629606803254571</v>
      </c>
      <c r="BD38" s="100">
        <v>28.669691203788943</v>
      </c>
      <c r="BE38" s="100">
        <v>29.070339076552493</v>
      </c>
      <c r="BF38" s="100">
        <v>27.090181752182012</v>
      </c>
      <c r="BG38" s="100">
        <v>26.889724128077916</v>
      </c>
      <c r="BH38" s="100">
        <v>27.346334801845678</v>
      </c>
      <c r="BI38" s="100">
        <v>28.22920789783992</v>
      </c>
      <c r="BJ38" s="100">
        <v>27.379888989959515</v>
      </c>
      <c r="BK38" s="100">
        <v>27.660895154886123</v>
      </c>
      <c r="BL38" s="100">
        <v>31.03529502346586</v>
      </c>
      <c r="BM38" s="100">
        <v>27.961370246781737</v>
      </c>
      <c r="BN38" s="100">
        <v>26.804143864537888</v>
      </c>
      <c r="BO38" s="100">
        <v>27.088564969274806</v>
      </c>
      <c r="BP38" s="100">
        <v>26.846342789739033</v>
      </c>
      <c r="BQ38" s="100">
        <v>28.070910451930594</v>
      </c>
      <c r="BR38" s="100">
        <v>27.743800455753689</v>
      </c>
      <c r="BS38" s="100">
        <v>29.198922372688468</v>
      </c>
      <c r="BT38" s="100">
        <v>30.390641215299102</v>
      </c>
      <c r="BU38" s="100">
        <v>27.973007856441299</v>
      </c>
      <c r="BV38" s="100">
        <v>28.680758358399178</v>
      </c>
      <c r="BW38" s="100">
        <v>31.891234868717472</v>
      </c>
      <c r="BX38" s="100">
        <v>28.780991269968329</v>
      </c>
      <c r="BY38" s="100">
        <v>31.36589599921065</v>
      </c>
      <c r="BZ38" s="100">
        <v>28.014712712686634</v>
      </c>
      <c r="CA38" s="100">
        <v>27.364663161154009</v>
      </c>
      <c r="CB38" s="100">
        <v>28.727770083520376</v>
      </c>
      <c r="CC38" s="100">
        <v>29.256580250883196</v>
      </c>
      <c r="CD38" s="100">
        <v>29.808210811312023</v>
      </c>
      <c r="CE38" s="100">
        <v>29.182087380563285</v>
      </c>
      <c r="CF38" s="100">
        <v>27.919273838881306</v>
      </c>
      <c r="CG38" s="100">
        <v>28.109366405220868</v>
      </c>
      <c r="CH38" s="100">
        <v>27.748747183392279</v>
      </c>
      <c r="CI38" s="100">
        <v>28.49185964707468</v>
      </c>
      <c r="CJ38" s="100">
        <v>30.060320463380947</v>
      </c>
      <c r="CK38" s="100">
        <v>28.111915719935421</v>
      </c>
      <c r="CL38" s="100">
        <v>30.137409461516672</v>
      </c>
      <c r="CM38" s="100">
        <v>26.448140959028954</v>
      </c>
      <c r="CN38" s="100">
        <v>28.574141138552292</v>
      </c>
      <c r="CO38" s="100">
        <v>28.59222112745941</v>
      </c>
      <c r="CP38" s="100">
        <v>26.963564713101491</v>
      </c>
      <c r="CQ38" s="100">
        <v>26.708077788724758</v>
      </c>
      <c r="CR38" s="100">
        <v>29.45239741166651</v>
      </c>
      <c r="CS38" s="100">
        <v>27.546560412311713</v>
      </c>
      <c r="CT38" s="100">
        <v>27.25415698416273</v>
      </c>
      <c r="CU38" s="100">
        <v>27.980646647663612</v>
      </c>
      <c r="CV38" s="100">
        <v>27.536407110736416</v>
      </c>
      <c r="CW38" s="100">
        <v>27.400288039984982</v>
      </c>
      <c r="CX38" s="100">
        <v>29.279341413394295</v>
      </c>
    </row>
    <row r="39" spans="1:102" s="9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95" customFormat="1">
      <c r="A40" s="124" t="s">
        <v>133</v>
      </c>
      <c r="B40" s="12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11" customFormat="1">
      <c r="A41" s="108" t="str">
        <f>Parameters!A40</f>
        <v>Basis</v>
      </c>
      <c r="B41" s="102" t="s">
        <v>29</v>
      </c>
      <c r="C41" s="103">
        <v>1.3615536556639871E-2</v>
      </c>
      <c r="D41" s="103">
        <v>1.4518290711857553E-2</v>
      </c>
      <c r="E41" s="103">
        <v>1.3583239724874616E-2</v>
      </c>
      <c r="F41" s="103">
        <v>1.3527665347927931E-2</v>
      </c>
      <c r="G41" s="103">
        <v>1.357040606924283E-2</v>
      </c>
      <c r="H41" s="103">
        <v>1.4177105215013254E-2</v>
      </c>
      <c r="I41" s="103">
        <v>1.3609380515471116E-2</v>
      </c>
      <c r="J41" s="103">
        <v>1.4722323518906158E-2</v>
      </c>
      <c r="K41" s="103">
        <v>1.354102487856634E-2</v>
      </c>
      <c r="L41" s="103">
        <v>1.4636607067654418E-2</v>
      </c>
      <c r="M41" s="103">
        <v>1.3548675411547022E-2</v>
      </c>
      <c r="N41" s="103">
        <v>1.3493473931626674E-2</v>
      </c>
      <c r="O41" s="103">
        <v>1.3703373285744898E-2</v>
      </c>
      <c r="P41" s="103">
        <v>1.4897655575347193E-2</v>
      </c>
      <c r="Q41" s="103">
        <v>1.3440293050567776E-2</v>
      </c>
      <c r="R41" s="103">
        <v>1.3977990648613346E-2</v>
      </c>
      <c r="S41" s="103">
        <v>1.4598743315881001E-2</v>
      </c>
      <c r="T41" s="103">
        <v>1.3724543592104519E-2</v>
      </c>
      <c r="U41" s="103">
        <v>1.3787064357123173E-2</v>
      </c>
      <c r="V41" s="103">
        <v>1.4639360469111665E-2</v>
      </c>
      <c r="W41" s="103">
        <v>1.3545467849321421E-2</v>
      </c>
      <c r="X41" s="103">
        <v>1.3838238568736217E-2</v>
      </c>
      <c r="Y41" s="103">
        <v>1.3974485077655805E-2</v>
      </c>
      <c r="Z41" s="103">
        <v>1.4812580122503985E-2</v>
      </c>
      <c r="AA41" s="103">
        <v>1.3474548853143666E-2</v>
      </c>
      <c r="AB41" s="103">
        <v>1.3581301788096488E-2</v>
      </c>
      <c r="AC41" s="103">
        <v>1.4642723716380604E-2</v>
      </c>
      <c r="AD41" s="103">
        <v>1.5052863190943358E-2</v>
      </c>
      <c r="AE41" s="103">
        <v>1.3444507056101007E-2</v>
      </c>
      <c r="AF41" s="103">
        <v>1.4323541622511848E-2</v>
      </c>
      <c r="AG41" s="103">
        <v>1.426696716850933E-2</v>
      </c>
      <c r="AH41" s="103">
        <v>1.3914376640875477E-2</v>
      </c>
      <c r="AI41" s="103">
        <v>1.3266119781728786E-2</v>
      </c>
      <c r="AJ41" s="103">
        <v>1.446963452190321E-2</v>
      </c>
      <c r="AK41" s="103">
        <v>1.4819691094463766E-2</v>
      </c>
      <c r="AL41" s="103">
        <v>1.4049656612671888E-2</v>
      </c>
      <c r="AM41" s="103">
        <v>1.4306213662425198E-2</v>
      </c>
      <c r="AN41" s="103">
        <v>1.3884174416143988E-2</v>
      </c>
      <c r="AO41" s="103">
        <v>1.3002127151382294E-2</v>
      </c>
      <c r="AP41" s="103">
        <v>1.279224567382552E-2</v>
      </c>
      <c r="AQ41" s="103">
        <v>1.4240777943000708E-2</v>
      </c>
      <c r="AR41" s="103">
        <v>1.4402721769424146E-2</v>
      </c>
      <c r="AS41" s="103">
        <v>1.319973696771975E-2</v>
      </c>
      <c r="AT41" s="103">
        <v>1.4237732355447393E-2</v>
      </c>
      <c r="AU41" s="103">
        <v>1.318259707330037E-2</v>
      </c>
      <c r="AV41" s="103">
        <v>1.4717365740581323E-2</v>
      </c>
      <c r="AW41" s="103">
        <v>1.3639146836288092E-2</v>
      </c>
      <c r="AX41" s="103">
        <v>1.3905979661934255E-2</v>
      </c>
      <c r="AY41" s="103">
        <v>1.2651886857296377E-2</v>
      </c>
      <c r="AZ41" s="103">
        <v>1.412668697576348E-2</v>
      </c>
      <c r="BA41" s="103">
        <v>1.4372309896698167E-2</v>
      </c>
      <c r="BB41" s="103">
        <v>1.3728838222633254E-2</v>
      </c>
      <c r="BC41" s="103">
        <v>1.3535824671731768E-2</v>
      </c>
      <c r="BD41" s="103">
        <v>1.3406856054876756E-2</v>
      </c>
      <c r="BE41" s="103">
        <v>1.3950707208345072E-2</v>
      </c>
      <c r="BF41" s="103">
        <v>1.4512150311484976E-2</v>
      </c>
      <c r="BG41" s="103">
        <v>1.3017314523583453E-2</v>
      </c>
      <c r="BH41" s="103">
        <v>1.3564986916228795E-2</v>
      </c>
      <c r="BI41" s="103">
        <v>1.494330030522955E-2</v>
      </c>
      <c r="BJ41" s="103">
        <v>1.4295232967362664E-2</v>
      </c>
      <c r="BK41" s="103">
        <v>1.3637912657763505E-2</v>
      </c>
      <c r="BL41" s="103">
        <v>1.3836698671054281E-2</v>
      </c>
      <c r="BM41" s="103">
        <v>1.3454710645398911E-2</v>
      </c>
      <c r="BN41" s="103">
        <v>1.4323405370942986E-2</v>
      </c>
      <c r="BO41" s="103">
        <v>1.4912410973081314E-2</v>
      </c>
      <c r="BP41" s="103">
        <v>1.361583851936358E-2</v>
      </c>
      <c r="BQ41" s="103">
        <v>1.2535812177756938E-2</v>
      </c>
      <c r="BR41" s="103">
        <v>1.488373093144325E-2</v>
      </c>
      <c r="BS41" s="103">
        <v>1.4036495810407964E-2</v>
      </c>
      <c r="BT41" s="103">
        <v>1.3172207118223644E-2</v>
      </c>
      <c r="BU41" s="103">
        <v>1.4084229866667037E-2</v>
      </c>
      <c r="BV41" s="103">
        <v>1.4582491216223202E-2</v>
      </c>
      <c r="BW41" s="103">
        <v>1.3217654074259559E-2</v>
      </c>
      <c r="BX41" s="103">
        <v>1.3334810852161203E-2</v>
      </c>
      <c r="BY41" s="103">
        <v>1.3512800197849109E-2</v>
      </c>
      <c r="BZ41" s="103">
        <v>1.3932950126395104E-2</v>
      </c>
      <c r="CA41" s="103">
        <v>1.3937673187186223E-2</v>
      </c>
      <c r="CB41" s="103">
        <v>1.379937021070534E-2</v>
      </c>
      <c r="CC41" s="103">
        <v>1.3505695663049056E-2</v>
      </c>
      <c r="CD41" s="103">
        <v>1.3713186251336943E-2</v>
      </c>
      <c r="CE41" s="103">
        <v>1.314200405980253E-2</v>
      </c>
      <c r="CF41" s="103">
        <v>1.3340668958524607E-2</v>
      </c>
      <c r="CG41" s="103">
        <v>1.3842248182413801E-2</v>
      </c>
      <c r="CH41" s="103">
        <v>1.358242848036529E-2</v>
      </c>
      <c r="CI41" s="103">
        <v>1.2947220199888615E-2</v>
      </c>
      <c r="CJ41" s="103">
        <v>1.363184039224589E-2</v>
      </c>
      <c r="CK41" s="103">
        <v>1.3252160106340515E-2</v>
      </c>
      <c r="CL41" s="103">
        <v>1.3141997902773289E-2</v>
      </c>
      <c r="CM41" s="103">
        <v>1.3779548982232055E-2</v>
      </c>
      <c r="CN41" s="103">
        <v>1.3358984941051959E-2</v>
      </c>
      <c r="CO41" s="103">
        <v>1.3195058583695775E-2</v>
      </c>
      <c r="CP41" s="103">
        <v>1.5095211252562631E-2</v>
      </c>
      <c r="CQ41" s="103">
        <v>1.3391774943288283E-2</v>
      </c>
      <c r="CR41" s="103">
        <v>1.3049027283909359E-2</v>
      </c>
      <c r="CS41" s="103">
        <v>1.3788173365523255E-2</v>
      </c>
      <c r="CT41" s="103">
        <v>1.3697860407281701E-2</v>
      </c>
      <c r="CU41" s="103">
        <v>1.4436577592470929E-2</v>
      </c>
      <c r="CV41" s="103">
        <v>1.4949513217475889E-2</v>
      </c>
      <c r="CW41" s="103">
        <v>1.4602145938551837E-2</v>
      </c>
      <c r="CX41" s="103">
        <v>1.3395135453590001E-2</v>
      </c>
    </row>
    <row r="42" spans="1:102" s="95" customFormat="1">
      <c r="A42" s="23"/>
      <c r="B42" s="14" t="s">
        <v>30</v>
      </c>
      <c r="C42" s="105">
        <v>7.2156776208169432E-2</v>
      </c>
      <c r="D42" s="105">
        <v>7.406951761259753E-2</v>
      </c>
      <c r="E42" s="105">
        <v>6.8940561538022735E-2</v>
      </c>
      <c r="F42" s="105">
        <v>6.7649844962005892E-2</v>
      </c>
      <c r="G42" s="105">
        <v>6.6244488767289264E-2</v>
      </c>
      <c r="H42" s="105">
        <v>7.2640128496010176E-2</v>
      </c>
      <c r="I42" s="105">
        <v>6.6292771511001602E-2</v>
      </c>
      <c r="J42" s="105">
        <v>7.214121049551879E-2</v>
      </c>
      <c r="K42" s="105">
        <v>6.6538760560055366E-2</v>
      </c>
      <c r="L42" s="105">
        <v>7.456368825091482E-2</v>
      </c>
      <c r="M42" s="105">
        <v>6.9502751978224961E-2</v>
      </c>
      <c r="N42" s="105">
        <v>6.9060472701313061E-2</v>
      </c>
      <c r="O42" s="105">
        <v>6.7998561636148314E-2</v>
      </c>
      <c r="P42" s="105">
        <v>7.5352945728112158E-2</v>
      </c>
      <c r="Q42" s="105">
        <v>7.2697505167147458E-2</v>
      </c>
      <c r="R42" s="105">
        <v>7.6057378173484527E-2</v>
      </c>
      <c r="S42" s="105">
        <v>7.2621156126250364E-2</v>
      </c>
      <c r="T42" s="105">
        <v>7.3663060437303016E-2</v>
      </c>
      <c r="U42" s="105">
        <v>7.1629656139399783E-2</v>
      </c>
      <c r="V42" s="105">
        <v>7.694413316033448E-2</v>
      </c>
      <c r="W42" s="105">
        <v>6.8965400509344688E-2</v>
      </c>
      <c r="X42" s="105">
        <v>6.957198075684333E-2</v>
      </c>
      <c r="Y42" s="105">
        <v>7.2945391830644205E-2</v>
      </c>
      <c r="Z42" s="105">
        <v>7.5117139429405247E-2</v>
      </c>
      <c r="AA42" s="105">
        <v>7.0488226367084877E-2</v>
      </c>
      <c r="AB42" s="105">
        <v>6.8158188517968302E-2</v>
      </c>
      <c r="AC42" s="105">
        <v>7.108167920738058E-2</v>
      </c>
      <c r="AD42" s="105">
        <v>7.3899234546943485E-2</v>
      </c>
      <c r="AE42" s="105">
        <v>6.8644694744382909E-2</v>
      </c>
      <c r="AF42" s="105">
        <v>7.0602706148961761E-2</v>
      </c>
      <c r="AG42" s="105">
        <v>7.4061408194741385E-2</v>
      </c>
      <c r="AH42" s="105">
        <v>7.1008258340067104E-2</v>
      </c>
      <c r="AI42" s="105">
        <v>7.2092812577608453E-2</v>
      </c>
      <c r="AJ42" s="105">
        <v>7.694482599124873E-2</v>
      </c>
      <c r="AK42" s="105">
        <v>7.1247307687933165E-2</v>
      </c>
      <c r="AL42" s="105">
        <v>6.8664393267051482E-2</v>
      </c>
      <c r="AM42" s="105">
        <v>7.3269481646999576E-2</v>
      </c>
      <c r="AN42" s="105">
        <v>7.0084851017697222E-2</v>
      </c>
      <c r="AO42" s="105">
        <v>6.4438881977166906E-2</v>
      </c>
      <c r="AP42" s="105">
        <v>6.565623836468272E-2</v>
      </c>
      <c r="AQ42" s="105">
        <v>7.3323303378375462E-2</v>
      </c>
      <c r="AR42" s="105">
        <v>7.3013201022200575E-2</v>
      </c>
      <c r="AS42" s="105">
        <v>6.7516040836197388E-2</v>
      </c>
      <c r="AT42" s="105">
        <v>6.8590207140600254E-2</v>
      </c>
      <c r="AU42" s="105">
        <v>6.890893078056981E-2</v>
      </c>
      <c r="AV42" s="105">
        <v>7.6223940435984502E-2</v>
      </c>
      <c r="AW42" s="105">
        <v>7.0279350158883647E-2</v>
      </c>
      <c r="AX42" s="105">
        <v>6.6294813234768227E-2</v>
      </c>
      <c r="AY42" s="105">
        <v>6.6118467456849947E-2</v>
      </c>
      <c r="AZ42" s="105">
        <v>6.94694002166759E-2</v>
      </c>
      <c r="BA42" s="105">
        <v>7.4102625090193497E-2</v>
      </c>
      <c r="BB42" s="105">
        <v>7.0623101707850869E-2</v>
      </c>
      <c r="BC42" s="105">
        <v>7.2546082607038959E-2</v>
      </c>
      <c r="BD42" s="105">
        <v>7.0745511496231886E-2</v>
      </c>
      <c r="BE42" s="105">
        <v>7.1501635471964156E-2</v>
      </c>
      <c r="BF42" s="105">
        <v>7.3365028230797685E-2</v>
      </c>
      <c r="BG42" s="105">
        <v>7.1924957863924416E-2</v>
      </c>
      <c r="BH42" s="105">
        <v>7.0460067946088542E-2</v>
      </c>
      <c r="BI42" s="105">
        <v>7.7253415135003459E-2</v>
      </c>
      <c r="BJ42" s="105">
        <v>7.5037178300810622E-2</v>
      </c>
      <c r="BK42" s="105">
        <v>6.5020679964900657E-2</v>
      </c>
      <c r="BL42" s="105">
        <v>6.9553684845216499E-2</v>
      </c>
      <c r="BM42" s="105">
        <v>6.9001716044675365E-2</v>
      </c>
      <c r="BN42" s="105">
        <v>7.2010628467918586E-2</v>
      </c>
      <c r="BO42" s="105">
        <v>7.5236446043880578E-2</v>
      </c>
      <c r="BP42" s="105">
        <v>6.7527434206239953E-2</v>
      </c>
      <c r="BQ42" s="105">
        <v>6.2636386549609416E-2</v>
      </c>
      <c r="BR42" s="105">
        <v>7.5279816831395896E-2</v>
      </c>
      <c r="BS42" s="105">
        <v>7.2894116405377574E-2</v>
      </c>
      <c r="BT42" s="105">
        <v>6.9452338688170592E-2</v>
      </c>
      <c r="BU42" s="105">
        <v>6.7105898096237057E-2</v>
      </c>
      <c r="BV42" s="105">
        <v>7.2488369979354178E-2</v>
      </c>
      <c r="BW42" s="105">
        <v>6.6055943850748755E-2</v>
      </c>
      <c r="BX42" s="105">
        <v>7.3133700380500322E-2</v>
      </c>
      <c r="BY42" s="105">
        <v>6.6580584561668266E-2</v>
      </c>
      <c r="BZ42" s="105">
        <v>6.9615359561878726E-2</v>
      </c>
      <c r="CA42" s="105">
        <v>7.1003227947191855E-2</v>
      </c>
      <c r="CB42" s="105">
        <v>6.7713238339496981E-2</v>
      </c>
      <c r="CC42" s="105">
        <v>6.9536931021327797E-2</v>
      </c>
      <c r="CD42" s="105">
        <v>6.8573008697081772E-2</v>
      </c>
      <c r="CE42" s="105">
        <v>6.6759614440138046E-2</v>
      </c>
      <c r="CF42" s="105">
        <v>6.3513646796586956E-2</v>
      </c>
      <c r="CG42" s="105">
        <v>6.9548709883434826E-2</v>
      </c>
      <c r="CH42" s="105">
        <v>7.3047831797618326E-2</v>
      </c>
      <c r="CI42" s="105">
        <v>6.6421203545317414E-2</v>
      </c>
      <c r="CJ42" s="105">
        <v>7.5702314764967471E-2</v>
      </c>
      <c r="CK42" s="105">
        <v>6.8583448985977444E-2</v>
      </c>
      <c r="CL42" s="105">
        <v>6.6253398673085065E-2</v>
      </c>
      <c r="CM42" s="105">
        <v>7.1408138005903482E-2</v>
      </c>
      <c r="CN42" s="105">
        <v>6.9687837747839682E-2</v>
      </c>
      <c r="CO42" s="105">
        <v>6.8077766425139088E-2</v>
      </c>
      <c r="CP42" s="105">
        <v>7.3756574049211016E-2</v>
      </c>
      <c r="CQ42" s="105">
        <v>6.5105156807467493E-2</v>
      </c>
      <c r="CR42" s="105">
        <v>6.6487239769700085E-2</v>
      </c>
      <c r="CS42" s="105">
        <v>7.2245207297955624E-2</v>
      </c>
      <c r="CT42" s="105">
        <v>6.9322999794001958E-2</v>
      </c>
      <c r="CU42" s="105">
        <v>7.228740552237381E-2</v>
      </c>
      <c r="CV42" s="105">
        <v>7.5512548849743399E-2</v>
      </c>
      <c r="CW42" s="105">
        <v>6.9595079096006499E-2</v>
      </c>
      <c r="CX42" s="105">
        <v>6.4753009020959026E-2</v>
      </c>
    </row>
    <row r="43" spans="1:102" s="95" customFormat="1">
      <c r="A43" s="23"/>
      <c r="B43" s="56" t="s">
        <v>56</v>
      </c>
      <c r="C43" s="105">
        <v>0.10630411031999057</v>
      </c>
      <c r="D43" s="105">
        <v>0.1076863465351289</v>
      </c>
      <c r="E43" s="105">
        <v>0.10517837228544713</v>
      </c>
      <c r="F43" s="105">
        <v>0.10274892304146473</v>
      </c>
      <c r="G43" s="105">
        <v>0.10196855579787563</v>
      </c>
      <c r="H43" s="105">
        <v>0.10684477212454997</v>
      </c>
      <c r="I43" s="105">
        <v>0.10289512781588683</v>
      </c>
      <c r="J43" s="105">
        <v>0.10484373946967918</v>
      </c>
      <c r="K43" s="105">
        <v>0.10350492140239613</v>
      </c>
      <c r="L43" s="105">
        <v>0.10741051414165931</v>
      </c>
      <c r="M43" s="105">
        <v>0.10638861922354886</v>
      </c>
      <c r="N43" s="105">
        <v>0.10428416109115288</v>
      </c>
      <c r="O43" s="105">
        <v>0.10524411412890912</v>
      </c>
      <c r="P43" s="105">
        <v>0.10646134342129432</v>
      </c>
      <c r="Q43" s="105">
        <v>0.10625642141111015</v>
      </c>
      <c r="R43" s="105">
        <v>0.11049529238099035</v>
      </c>
      <c r="S43" s="105">
        <v>0.10472104423130932</v>
      </c>
      <c r="T43" s="105">
        <v>0.10513003050124342</v>
      </c>
      <c r="U43" s="105">
        <v>0.10689807947244113</v>
      </c>
      <c r="V43" s="105">
        <v>0.10940670329285634</v>
      </c>
      <c r="W43" s="105">
        <v>0.10639799143910679</v>
      </c>
      <c r="X43" s="105">
        <v>0.10425560247085816</v>
      </c>
      <c r="Y43" s="105">
        <v>0.10691901344696887</v>
      </c>
      <c r="Z43" s="105">
        <v>0.1058010822810848</v>
      </c>
      <c r="AA43" s="105">
        <v>0.10317896503481104</v>
      </c>
      <c r="AB43" s="105">
        <v>0.10007076489517501</v>
      </c>
      <c r="AC43" s="105">
        <v>0.10131587463356499</v>
      </c>
      <c r="AD43" s="105">
        <v>0.10497519011270991</v>
      </c>
      <c r="AE43" s="105">
        <v>0.10404987304439224</v>
      </c>
      <c r="AF43" s="105">
        <v>0.1043168139879587</v>
      </c>
      <c r="AG43" s="105">
        <v>0.10630045233843222</v>
      </c>
      <c r="AH43" s="105">
        <v>0.10344991727570194</v>
      </c>
      <c r="AI43" s="105">
        <v>0.10779916628569815</v>
      </c>
      <c r="AJ43" s="105">
        <v>0.10700793303022689</v>
      </c>
      <c r="AK43" s="105">
        <v>0.10287258747333694</v>
      </c>
      <c r="AL43" s="105">
        <v>0.10265860180155255</v>
      </c>
      <c r="AM43" s="105">
        <v>0.10784616252058264</v>
      </c>
      <c r="AN43" s="105">
        <v>0.10466400255692657</v>
      </c>
      <c r="AO43" s="105">
        <v>0.10384529993233912</v>
      </c>
      <c r="AP43" s="105">
        <v>0.10486483255405024</v>
      </c>
      <c r="AQ43" s="105">
        <v>0.10608653390483416</v>
      </c>
      <c r="AR43" s="105">
        <v>0.10307846880116184</v>
      </c>
      <c r="AS43" s="105">
        <v>0.10178634092440221</v>
      </c>
      <c r="AT43" s="105">
        <v>0.10258073382917689</v>
      </c>
      <c r="AU43" s="105">
        <v>0.10828455171608856</v>
      </c>
      <c r="AV43" s="105">
        <v>0.10685557834348644</v>
      </c>
      <c r="AW43" s="105">
        <v>0.10272740935116134</v>
      </c>
      <c r="AX43" s="105">
        <v>0.10192717168225714</v>
      </c>
      <c r="AY43" s="105">
        <v>0.10202557042889736</v>
      </c>
      <c r="AZ43" s="105">
        <v>0.10490227615599348</v>
      </c>
      <c r="BA43" s="105">
        <v>0.10809020794538665</v>
      </c>
      <c r="BB43" s="105">
        <v>9.9907359754988351E-2</v>
      </c>
      <c r="BC43" s="105">
        <v>0.10805404704974361</v>
      </c>
      <c r="BD43" s="105">
        <v>0.10695792287877824</v>
      </c>
      <c r="BE43" s="105">
        <v>0.10578783327104242</v>
      </c>
      <c r="BF43" s="105">
        <v>0.10321912951394992</v>
      </c>
      <c r="BG43" s="105">
        <v>0.10074840166478397</v>
      </c>
      <c r="BH43" s="105">
        <v>0.10568294890732056</v>
      </c>
      <c r="BI43" s="105">
        <v>0.10752359161266856</v>
      </c>
      <c r="BJ43" s="105">
        <v>0.10758905610753416</v>
      </c>
      <c r="BK43" s="105">
        <v>0.10191995223619529</v>
      </c>
      <c r="BL43" s="105">
        <v>0.10496686447671012</v>
      </c>
      <c r="BM43" s="105">
        <v>0.10491816267754049</v>
      </c>
      <c r="BN43" s="105">
        <v>0.100324975126133</v>
      </c>
      <c r="BO43" s="105">
        <v>0.10223227140110513</v>
      </c>
      <c r="BP43" s="105">
        <v>9.4625027772916898E-2</v>
      </c>
      <c r="BQ43" s="105">
        <v>0.1023015846590894</v>
      </c>
      <c r="BR43" s="105">
        <v>0.10604420695830122</v>
      </c>
      <c r="BS43" s="105">
        <v>0.10249496278800041</v>
      </c>
      <c r="BT43" s="105">
        <v>0.10531486727762852</v>
      </c>
      <c r="BU43" s="105">
        <v>0.10112122727235909</v>
      </c>
      <c r="BV43" s="105">
        <v>0.10365150140086013</v>
      </c>
      <c r="BW43" s="105">
        <v>0.1036793233301937</v>
      </c>
      <c r="BX43" s="105">
        <v>0.10912475879155044</v>
      </c>
      <c r="BY43" s="105">
        <v>0.10189517552669429</v>
      </c>
      <c r="BZ43" s="105">
        <v>0.10252940942992689</v>
      </c>
      <c r="CA43" s="105">
        <v>0.10614948177793503</v>
      </c>
      <c r="CB43" s="105">
        <v>0.10133828237318004</v>
      </c>
      <c r="CC43" s="105">
        <v>0.10112352032149295</v>
      </c>
      <c r="CD43" s="105">
        <v>0.10458503646777045</v>
      </c>
      <c r="CE43" s="105">
        <v>0.10291460117066066</v>
      </c>
      <c r="CF43" s="105">
        <v>0.10075033320674419</v>
      </c>
      <c r="CG43" s="105">
        <v>0.10118526170879565</v>
      </c>
      <c r="CH43" s="105">
        <v>0.10646745761406938</v>
      </c>
      <c r="CI43" s="105">
        <v>0.10515280860516872</v>
      </c>
      <c r="CJ43" s="105">
        <v>0.11079431075064879</v>
      </c>
      <c r="CK43" s="105">
        <v>0.10459327273038198</v>
      </c>
      <c r="CL43" s="105">
        <v>0.10437587062625062</v>
      </c>
      <c r="CM43" s="105">
        <v>9.7398409200805378E-2</v>
      </c>
      <c r="CN43" s="105">
        <v>0.10436167367514368</v>
      </c>
      <c r="CO43" s="105">
        <v>0.10101295088529105</v>
      </c>
      <c r="CP43" s="105">
        <v>0.10510826924729776</v>
      </c>
      <c r="CQ43" s="105">
        <v>0.10315176565039362</v>
      </c>
      <c r="CR43" s="105">
        <v>0.10206027928952217</v>
      </c>
      <c r="CS43" s="105">
        <v>0.10707543367841862</v>
      </c>
      <c r="CT43" s="105">
        <v>0.10502476189758182</v>
      </c>
      <c r="CU43" s="105">
        <v>0.10510771329554991</v>
      </c>
      <c r="CV43" s="105">
        <v>0.10566551280758524</v>
      </c>
      <c r="CW43" s="105">
        <v>0.10127660019541611</v>
      </c>
      <c r="CX43" s="105">
        <v>0.1011897148772004</v>
      </c>
    </row>
    <row r="44" spans="1:102" s="95" customFormat="1">
      <c r="A44" s="106"/>
      <c r="B44" s="109" t="s">
        <v>114</v>
      </c>
      <c r="C44" s="107">
        <v>0.48001868793957264</v>
      </c>
      <c r="D44" s="107">
        <v>0.4756793349873969</v>
      </c>
      <c r="E44" s="107">
        <v>0.47927399450797081</v>
      </c>
      <c r="F44" s="107">
        <v>0.47920620047099882</v>
      </c>
      <c r="G44" s="107">
        <v>0.47850845191110425</v>
      </c>
      <c r="H44" s="107">
        <v>0.47707182008289828</v>
      </c>
      <c r="I44" s="107">
        <v>0.47828988953520918</v>
      </c>
      <c r="J44" s="107">
        <v>0.47390409807653761</v>
      </c>
      <c r="K44" s="107">
        <v>0.47877931584302191</v>
      </c>
      <c r="L44" s="107">
        <v>0.47520847945354511</v>
      </c>
      <c r="M44" s="107">
        <v>0.47963962936643462</v>
      </c>
      <c r="N44" s="107">
        <v>0.4798278198892908</v>
      </c>
      <c r="O44" s="107">
        <v>0.4782833329391587</v>
      </c>
      <c r="P44" s="107">
        <v>0.47408851056300466</v>
      </c>
      <c r="Q44" s="107">
        <v>0.48112773959373828</v>
      </c>
      <c r="R44" s="107">
        <v>0.47914383262217991</v>
      </c>
      <c r="S44" s="107">
        <v>0.47475380712268173</v>
      </c>
      <c r="T44" s="107">
        <v>0.47983731548777997</v>
      </c>
      <c r="U44" s="107">
        <v>0.47891771906491137</v>
      </c>
      <c r="V44" s="107">
        <v>0.47596026981248274</v>
      </c>
      <c r="W44" s="107">
        <v>0.4794996589025704</v>
      </c>
      <c r="X44" s="107">
        <v>0.4780017871166316</v>
      </c>
      <c r="Y44" s="107">
        <v>0.47827407699494895</v>
      </c>
      <c r="Z44" s="107">
        <v>0.47445817215339559</v>
      </c>
      <c r="AA44" s="107">
        <v>0.48034305322553889</v>
      </c>
      <c r="AB44" s="107">
        <v>0.47904763049810667</v>
      </c>
      <c r="AC44" s="107">
        <v>0.47396146627680846</v>
      </c>
      <c r="AD44" s="107">
        <v>0.47274354486510406</v>
      </c>
      <c r="AE44" s="107">
        <v>0.47998996055927273</v>
      </c>
      <c r="AF44" s="107">
        <v>0.47558498513708752</v>
      </c>
      <c r="AG44" s="107">
        <v>0.47702808549086523</v>
      </c>
      <c r="AH44" s="107">
        <v>0.47801917936100796</v>
      </c>
      <c r="AI44" s="107">
        <v>0.48193235032603277</v>
      </c>
      <c r="AJ44" s="107">
        <v>0.4768389379111202</v>
      </c>
      <c r="AK44" s="107">
        <v>0.4730331835248292</v>
      </c>
      <c r="AL44" s="107">
        <v>0.47648500097378327</v>
      </c>
      <c r="AM44" s="107">
        <v>0.47656674832199125</v>
      </c>
      <c r="AN44" s="107">
        <v>0.477901522253181</v>
      </c>
      <c r="AO44" s="107">
        <v>0.48142049808056558</v>
      </c>
      <c r="AP44" s="107">
        <v>0.48303879135604483</v>
      </c>
      <c r="AQ44" s="107">
        <v>0.47693935212981819</v>
      </c>
      <c r="AR44" s="107">
        <v>0.47595821054412096</v>
      </c>
      <c r="AS44" s="107">
        <v>0.4811003035428475</v>
      </c>
      <c r="AT44" s="107">
        <v>0.47536768389645512</v>
      </c>
      <c r="AU44" s="107">
        <v>0.48158117861984323</v>
      </c>
      <c r="AV44" s="107">
        <v>0.4753259151780817</v>
      </c>
      <c r="AW44" s="107">
        <v>0.4793515305954329</v>
      </c>
      <c r="AX44" s="107">
        <v>0.47650857922136092</v>
      </c>
      <c r="AY44" s="107">
        <v>0.48400346752874324</v>
      </c>
      <c r="AZ44" s="107">
        <v>0.47631558362761373</v>
      </c>
      <c r="BA44" s="107">
        <v>0.47647468352649791</v>
      </c>
      <c r="BB44" s="107">
        <v>0.4789459779422765</v>
      </c>
      <c r="BC44" s="107">
        <v>0.48056364131880031</v>
      </c>
      <c r="BD44" s="107">
        <v>0.48079575990961199</v>
      </c>
      <c r="BE44" s="107">
        <v>0.47796830041677757</v>
      </c>
      <c r="BF44" s="107">
        <v>0.47547941586830939</v>
      </c>
      <c r="BG44" s="107">
        <v>0.48326893201982751</v>
      </c>
      <c r="BH44" s="107">
        <v>0.47982378554249039</v>
      </c>
      <c r="BI44" s="107">
        <v>0.47448984568420627</v>
      </c>
      <c r="BJ44" s="107">
        <v>0.47717645079290372</v>
      </c>
      <c r="BK44" s="107">
        <v>0.47769078508089186</v>
      </c>
      <c r="BL44" s="107">
        <v>0.4780048254452815</v>
      </c>
      <c r="BM44" s="107">
        <v>0.48003448848488062</v>
      </c>
      <c r="BN44" s="107">
        <v>0.47606251195517557</v>
      </c>
      <c r="BO44" s="107">
        <v>0.47397036998371567</v>
      </c>
      <c r="BP44" s="107">
        <v>0.47864835454484173</v>
      </c>
      <c r="BQ44" s="107">
        <v>0.48385337232426373</v>
      </c>
      <c r="BR44" s="107">
        <v>0.47413701241262085</v>
      </c>
      <c r="BS44" s="107">
        <v>0.47791994299680263</v>
      </c>
      <c r="BT44" s="107">
        <v>0.48178480831626874</v>
      </c>
      <c r="BU44" s="107">
        <v>0.47573437430821947</v>
      </c>
      <c r="BV44" s="107">
        <v>0.47479688723945662</v>
      </c>
      <c r="BW44" s="107">
        <v>0.48057478671883391</v>
      </c>
      <c r="BX44" s="107">
        <v>0.48181500260135374</v>
      </c>
      <c r="BY44" s="107">
        <v>0.47896151503354201</v>
      </c>
      <c r="BZ44" s="107">
        <v>0.4774735654283237</v>
      </c>
      <c r="CA44" s="107">
        <v>0.47788692846253927</v>
      </c>
      <c r="CB44" s="107">
        <v>0.47762720407184656</v>
      </c>
      <c r="CC44" s="107">
        <v>0.47989589158964552</v>
      </c>
      <c r="CD44" s="107">
        <v>0.47840807318073192</v>
      </c>
      <c r="CE44" s="107">
        <v>0.48123093319860255</v>
      </c>
      <c r="CF44" s="107">
        <v>0.4790262422325553</v>
      </c>
      <c r="CG44" s="107">
        <v>0.47797146928614109</v>
      </c>
      <c r="CH44" s="107">
        <v>0.48044282134671862</v>
      </c>
      <c r="CI44" s="107">
        <v>0.48230406888116556</v>
      </c>
      <c r="CJ44" s="107">
        <v>0.48086796841509932</v>
      </c>
      <c r="CK44" s="107">
        <v>0.48108963417993583</v>
      </c>
      <c r="CL44" s="107">
        <v>0.48108767035505889</v>
      </c>
      <c r="CM44" s="107">
        <v>0.47889430798240856</v>
      </c>
      <c r="CN44" s="107">
        <v>0.48077824691072663</v>
      </c>
      <c r="CO44" s="107">
        <v>0.48128351964571964</v>
      </c>
      <c r="CP44" s="107">
        <v>0.47246239233398885</v>
      </c>
      <c r="CQ44" s="107">
        <v>0.47922575315688626</v>
      </c>
      <c r="CR44" s="107">
        <v>0.48171138271875852</v>
      </c>
      <c r="CS44" s="107">
        <v>0.47909106574301263</v>
      </c>
      <c r="CT44" s="107">
        <v>0.47872951896291238</v>
      </c>
      <c r="CU44" s="107">
        <v>0.47553062205443319</v>
      </c>
      <c r="CV44" s="107">
        <v>0.47386981150368623</v>
      </c>
      <c r="CW44" s="107">
        <v>0.47363817364723387</v>
      </c>
      <c r="CX44" s="107">
        <v>0.47909220345680542</v>
      </c>
    </row>
    <row r="45" spans="1:102" s="111" customFormat="1">
      <c r="A45" s="88" t="str">
        <f>Parameters!A41</f>
        <v>Groei recessie</v>
      </c>
      <c r="B45" s="102" t="s">
        <v>29</v>
      </c>
      <c r="C45" s="103">
        <v>5.1628153304530584E-3</v>
      </c>
      <c r="D45" s="103">
        <v>7.7799185983028936E-3</v>
      </c>
      <c r="E45" s="103">
        <v>5.781421524735016E-3</v>
      </c>
      <c r="F45" s="103">
        <v>1.9855060748868994E-3</v>
      </c>
      <c r="G45" s="103">
        <v>3.0930206874844749E-3</v>
      </c>
      <c r="H45" s="103">
        <v>6.6224396513259159E-3</v>
      </c>
      <c r="I45" s="103">
        <v>4.625075429547148E-3</v>
      </c>
      <c r="J45" s="103">
        <v>7.5937247903201978E-3</v>
      </c>
      <c r="K45" s="103">
        <v>4.8520869086692738E-3</v>
      </c>
      <c r="L45" s="103">
        <v>9.5322381896813975E-3</v>
      </c>
      <c r="M45" s="103">
        <v>8.4222212487858918E-3</v>
      </c>
      <c r="N45" s="103">
        <v>5.7606454958770209E-3</v>
      </c>
      <c r="O45" s="103">
        <v>7.9507537894761334E-3</v>
      </c>
      <c r="P45" s="103">
        <v>7.7718659548348104E-3</v>
      </c>
      <c r="Q45" s="103">
        <v>6.240875502009852E-3</v>
      </c>
      <c r="R45" s="103">
        <v>7.171485041885855E-3</v>
      </c>
      <c r="S45" s="103">
        <v>7.2766177596397105E-3</v>
      </c>
      <c r="T45" s="103">
        <v>4.6098672226164514E-3</v>
      </c>
      <c r="U45" s="103">
        <v>6.0725317511065155E-3</v>
      </c>
      <c r="V45" s="103">
        <v>9.4789872720407922E-3</v>
      </c>
      <c r="W45" s="103">
        <v>8.2665562026344921E-3</v>
      </c>
      <c r="X45" s="103">
        <v>4.3030335639336927E-3</v>
      </c>
      <c r="Y45" s="103">
        <v>1.0019950840717733E-2</v>
      </c>
      <c r="Z45" s="103">
        <v>6.6728354795672845E-3</v>
      </c>
      <c r="AA45" s="103">
        <v>3.9118187939094972E-3</v>
      </c>
      <c r="AB45" s="103">
        <v>4.8626396350185336E-3</v>
      </c>
      <c r="AC45" s="103">
        <v>5.6254672451545411E-3</v>
      </c>
      <c r="AD45" s="103">
        <v>8.5157999690169996E-3</v>
      </c>
      <c r="AE45" s="103">
        <v>3.0007463491908181E-3</v>
      </c>
      <c r="AF45" s="103">
        <v>8.2900235433009256E-3</v>
      </c>
      <c r="AG45" s="103">
        <v>5.7953993001904564E-3</v>
      </c>
      <c r="AH45" s="103">
        <v>6.6706062022461113E-3</v>
      </c>
      <c r="AI45" s="103">
        <v>7.8673236068017034E-3</v>
      </c>
      <c r="AJ45" s="103">
        <v>6.9370054474613922E-3</v>
      </c>
      <c r="AK45" s="103">
        <v>7.3787905541508681E-3</v>
      </c>
      <c r="AL45" s="103">
        <v>4.6094554435081462E-3</v>
      </c>
      <c r="AM45" s="103">
        <v>1.0140490137033569E-2</v>
      </c>
      <c r="AN45" s="103">
        <v>7.2037291570502607E-3</v>
      </c>
      <c r="AO45" s="103">
        <v>5.5386790446350963E-3</v>
      </c>
      <c r="AP45" s="103">
        <v>5.0975309007338524E-3</v>
      </c>
      <c r="AQ45" s="103">
        <v>8.4338988907123862E-3</v>
      </c>
      <c r="AR45" s="103">
        <v>5.5826219938056327E-3</v>
      </c>
      <c r="AS45" s="103">
        <v>4.9823776628948532E-4</v>
      </c>
      <c r="AT45" s="103">
        <v>6.5283429438763108E-3</v>
      </c>
      <c r="AU45" s="103">
        <v>7.3762514740741232E-3</v>
      </c>
      <c r="AV45" s="103">
        <v>6.9802337373359464E-3</v>
      </c>
      <c r="AW45" s="103">
        <v>4.5936253301187054E-3</v>
      </c>
      <c r="AX45" s="103">
        <v>5.3536671090606185E-3</v>
      </c>
      <c r="AY45" s="103">
        <v>5.0192254828995472E-3</v>
      </c>
      <c r="AZ45" s="103">
        <v>9.4102133018868755E-3</v>
      </c>
      <c r="BA45" s="103">
        <v>1.1002443130449362E-2</v>
      </c>
      <c r="BB45" s="103">
        <v>7.3295927813275879E-3</v>
      </c>
      <c r="BC45" s="103">
        <v>7.296245254218652E-3</v>
      </c>
      <c r="BD45" s="103">
        <v>5.0055119506871148E-3</v>
      </c>
      <c r="BE45" s="103">
        <v>6.1909747484753513E-3</v>
      </c>
      <c r="BF45" s="103">
        <v>7.3597724238815285E-3</v>
      </c>
      <c r="BG45" s="103">
        <v>7.0330241815081138E-3</v>
      </c>
      <c r="BH45" s="103">
        <v>9.2485146882932134E-3</v>
      </c>
      <c r="BI45" s="103">
        <v>9.4328077029767303E-3</v>
      </c>
      <c r="BJ45" s="103">
        <v>9.4020833213495046E-3</v>
      </c>
      <c r="BK45" s="103">
        <v>7.0479089855461294E-3</v>
      </c>
      <c r="BL45" s="103">
        <v>7.1050012337337595E-3</v>
      </c>
      <c r="BM45" s="103">
        <v>5.9417600772663027E-3</v>
      </c>
      <c r="BN45" s="103">
        <v>8.122788688888374E-3</v>
      </c>
      <c r="BO45" s="103">
        <v>7.7476966791813996E-3</v>
      </c>
      <c r="BP45" s="103">
        <v>3.9979957671124455E-3</v>
      </c>
      <c r="BQ45" s="103">
        <v>4.8068539603253651E-3</v>
      </c>
      <c r="BR45" s="103">
        <v>8.8923823237721418E-3</v>
      </c>
      <c r="BS45" s="103">
        <v>6.5800808618115252E-3</v>
      </c>
      <c r="BT45" s="103">
        <v>2.2938474638162128E-3</v>
      </c>
      <c r="BU45" s="103">
        <v>5.2378622164130743E-3</v>
      </c>
      <c r="BV45" s="103">
        <v>8.1494883642610587E-3</v>
      </c>
      <c r="BW45" s="103">
        <v>4.7145288163387257E-3</v>
      </c>
      <c r="BX45" s="103">
        <v>7.380586676282273E-3</v>
      </c>
      <c r="BY45" s="103">
        <v>3.6947482424691627E-3</v>
      </c>
      <c r="BZ45" s="103">
        <v>6.717296086028E-3</v>
      </c>
      <c r="CA45" s="103">
        <v>9.3553594341833392E-3</v>
      </c>
      <c r="CB45" s="103">
        <v>7.2961390176778948E-3</v>
      </c>
      <c r="CC45" s="103">
        <v>5.1729376240184158E-3</v>
      </c>
      <c r="CD45" s="103">
        <v>6.901302011344884E-3</v>
      </c>
      <c r="CE45" s="103">
        <v>1.651468582985672E-3</v>
      </c>
      <c r="CF45" s="103">
        <v>4.6799269596598924E-3</v>
      </c>
      <c r="CG45" s="103">
        <v>5.2190055068063266E-3</v>
      </c>
      <c r="CH45" s="103">
        <v>7.6028063314796997E-3</v>
      </c>
      <c r="CI45" s="103">
        <v>7.9641457790173512E-3</v>
      </c>
      <c r="CJ45" s="103">
        <v>7.0646432771202215E-3</v>
      </c>
      <c r="CK45" s="103">
        <v>7.8373020799443159E-3</v>
      </c>
      <c r="CL45" s="103">
        <v>7.1237009267155994E-3</v>
      </c>
      <c r="CM45" s="103">
        <v>7.2654880214608605E-3</v>
      </c>
      <c r="CN45" s="103">
        <v>7.0898546929672335E-3</v>
      </c>
      <c r="CO45" s="103">
        <v>5.3454951815883941E-3</v>
      </c>
      <c r="CP45" s="103">
        <v>1.0343719984157106E-2</v>
      </c>
      <c r="CQ45" s="103">
        <v>8.3516161572672332E-3</v>
      </c>
      <c r="CR45" s="103">
        <v>1.697166725245954E-3</v>
      </c>
      <c r="CS45" s="103">
        <v>8.8040552855572357E-3</v>
      </c>
      <c r="CT45" s="103">
        <v>9.0655817534295181E-3</v>
      </c>
      <c r="CU45" s="103">
        <v>6.968049817475612E-3</v>
      </c>
      <c r="CV45" s="103">
        <v>8.5182320833319426E-3</v>
      </c>
      <c r="CW45" s="103">
        <v>7.8259278592544106E-3</v>
      </c>
      <c r="CX45" s="103">
        <v>5.4289503138175875E-3</v>
      </c>
    </row>
    <row r="46" spans="1:102" s="95" customFormat="1">
      <c r="A46" s="23"/>
      <c r="B46" s="14" t="s">
        <v>30</v>
      </c>
      <c r="C46" s="105">
        <v>5.7400167745891503E-2</v>
      </c>
      <c r="D46" s="105">
        <v>5.6929655923668734E-2</v>
      </c>
      <c r="E46" s="105">
        <v>5.366914449648956E-2</v>
      </c>
      <c r="F46" s="105">
        <v>5.2918394001182742E-2</v>
      </c>
      <c r="G46" s="105">
        <v>4.6975452152888779E-2</v>
      </c>
      <c r="H46" s="105">
        <v>5.6938416664895686E-2</v>
      </c>
      <c r="I46" s="105">
        <v>4.486855963674144E-2</v>
      </c>
      <c r="J46" s="105">
        <v>5.4678879432985224E-2</v>
      </c>
      <c r="K46" s="105">
        <v>5.2578172230030973E-2</v>
      </c>
      <c r="L46" s="105">
        <v>5.6481948406133742E-2</v>
      </c>
      <c r="M46" s="105">
        <v>5.2461982865349296E-2</v>
      </c>
      <c r="N46" s="105">
        <v>5.211287162127326E-2</v>
      </c>
      <c r="O46" s="105">
        <v>4.9093696090026957E-2</v>
      </c>
      <c r="P46" s="105">
        <v>5.9495246434497426E-2</v>
      </c>
      <c r="Q46" s="105">
        <v>5.6081253124085635E-2</v>
      </c>
      <c r="R46" s="105">
        <v>5.885432454756151E-2</v>
      </c>
      <c r="S46" s="105">
        <v>4.9683902306288899E-2</v>
      </c>
      <c r="T46" s="105">
        <v>5.9387214979576622E-2</v>
      </c>
      <c r="U46" s="105">
        <v>5.7124518986633281E-2</v>
      </c>
      <c r="V46" s="105">
        <v>5.8110907809565009E-2</v>
      </c>
      <c r="W46" s="105">
        <v>5.0252333837909169E-2</v>
      </c>
      <c r="X46" s="105">
        <v>4.8317844970382516E-2</v>
      </c>
      <c r="Y46" s="105">
        <v>5.3828577304312134E-2</v>
      </c>
      <c r="Z46" s="105">
        <v>6.044633551004739E-2</v>
      </c>
      <c r="AA46" s="105">
        <v>5.8839425659328322E-2</v>
      </c>
      <c r="AB46" s="105">
        <v>4.6699694646036925E-2</v>
      </c>
      <c r="AC46" s="105">
        <v>5.145587179407754E-2</v>
      </c>
      <c r="AD46" s="105">
        <v>5.4123151842101772E-2</v>
      </c>
      <c r="AE46" s="105">
        <v>4.6147807725052128E-2</v>
      </c>
      <c r="AF46" s="105">
        <v>5.012542018223938E-2</v>
      </c>
      <c r="AG46" s="105">
        <v>5.5760677600590558E-2</v>
      </c>
      <c r="AH46" s="105">
        <v>4.8345576124545993E-2</v>
      </c>
      <c r="AI46" s="105">
        <v>5.5646522414507293E-2</v>
      </c>
      <c r="AJ46" s="105">
        <v>6.1338097789414202E-2</v>
      </c>
      <c r="AK46" s="105">
        <v>5.5119024907348581E-2</v>
      </c>
      <c r="AL46" s="105">
        <v>4.930535177595749E-2</v>
      </c>
      <c r="AM46" s="105">
        <v>5.1521468232366176E-2</v>
      </c>
      <c r="AN46" s="105">
        <v>4.7559281342085043E-2</v>
      </c>
      <c r="AO46" s="105">
        <v>5.0487978218802507E-2</v>
      </c>
      <c r="AP46" s="105">
        <v>4.9309547915373349E-2</v>
      </c>
      <c r="AQ46" s="105">
        <v>5.6983227896750623E-2</v>
      </c>
      <c r="AR46" s="105">
        <v>5.7428674553985599E-2</v>
      </c>
      <c r="AS46" s="105">
        <v>5.1214665451019291E-2</v>
      </c>
      <c r="AT46" s="105">
        <v>5.1709484667688085E-2</v>
      </c>
      <c r="AU46" s="105">
        <v>5.2102306183610433E-2</v>
      </c>
      <c r="AV46" s="105">
        <v>6.1731678748754043E-2</v>
      </c>
      <c r="AW46" s="105">
        <v>5.1350603978768644E-2</v>
      </c>
      <c r="AX46" s="105">
        <v>4.3606132103310616E-2</v>
      </c>
      <c r="AY46" s="105">
        <v>4.9071110173339053E-2</v>
      </c>
      <c r="AZ46" s="105">
        <v>5.0811242977111891E-2</v>
      </c>
      <c r="BA46" s="105">
        <v>5.4700697484734245E-2</v>
      </c>
      <c r="BB46" s="105">
        <v>5.30267160421172E-2</v>
      </c>
      <c r="BC46" s="105">
        <v>5.7697044524774387E-2</v>
      </c>
      <c r="BD46" s="105">
        <v>5.0585429314179677E-2</v>
      </c>
      <c r="BE46" s="105">
        <v>4.9580766023586027E-2</v>
      </c>
      <c r="BF46" s="105">
        <v>5.3331848196455277E-2</v>
      </c>
      <c r="BG46" s="105">
        <v>5.3582342348801007E-2</v>
      </c>
      <c r="BH46" s="105">
        <v>5.0569432864245131E-2</v>
      </c>
      <c r="BI46" s="105">
        <v>5.8641086966313032E-2</v>
      </c>
      <c r="BJ46" s="105">
        <v>5.3261780915057559E-2</v>
      </c>
      <c r="BK46" s="105">
        <v>4.9670921996113414E-2</v>
      </c>
      <c r="BL46" s="105">
        <v>5.3983797010293502E-2</v>
      </c>
      <c r="BM46" s="105">
        <v>4.5330383375587834E-2</v>
      </c>
      <c r="BN46" s="105">
        <v>5.1705321720871895E-2</v>
      </c>
      <c r="BO46" s="105">
        <v>5.8262442390423323E-2</v>
      </c>
      <c r="BP46" s="105">
        <v>4.8314197961906571E-2</v>
      </c>
      <c r="BQ46" s="105">
        <v>4.9792132483087441E-2</v>
      </c>
      <c r="BR46" s="105">
        <v>5.6910715686704798E-2</v>
      </c>
      <c r="BS46" s="105">
        <v>5.3931113873527781E-2</v>
      </c>
      <c r="BT46" s="105">
        <v>5.2047151427525244E-2</v>
      </c>
      <c r="BU46" s="105">
        <v>4.9526116073242955E-2</v>
      </c>
      <c r="BV46" s="105">
        <v>5.5773470520785642E-2</v>
      </c>
      <c r="BW46" s="105">
        <v>4.5052235013908946E-2</v>
      </c>
      <c r="BX46" s="105">
        <v>5.4873632754889858E-2</v>
      </c>
      <c r="BY46" s="105">
        <v>4.6765932087563571E-2</v>
      </c>
      <c r="BZ46" s="105">
        <v>4.6647055525105952E-2</v>
      </c>
      <c r="CA46" s="105">
        <v>4.9802886809453918E-2</v>
      </c>
      <c r="CB46" s="105">
        <v>5.1552533404166788E-2</v>
      </c>
      <c r="CC46" s="105">
        <v>5.1515215975107387E-2</v>
      </c>
      <c r="CD46" s="105">
        <v>4.5732760084935188E-2</v>
      </c>
      <c r="CE46" s="105">
        <v>4.4763894200498922E-2</v>
      </c>
      <c r="CF46" s="105">
        <v>4.2565906691174389E-2</v>
      </c>
      <c r="CG46" s="105">
        <v>5.4489534323356389E-2</v>
      </c>
      <c r="CH46" s="105">
        <v>5.2973185961713763E-2</v>
      </c>
      <c r="CI46" s="105">
        <v>4.888262187109832E-2</v>
      </c>
      <c r="CJ46" s="105">
        <v>5.9803604490600022E-2</v>
      </c>
      <c r="CK46" s="105">
        <v>5.0629707575717074E-2</v>
      </c>
      <c r="CL46" s="105">
        <v>5.0338844397563677E-2</v>
      </c>
      <c r="CM46" s="105">
        <v>5.2020961150661148E-2</v>
      </c>
      <c r="CN46" s="105">
        <v>5.2375245598274889E-2</v>
      </c>
      <c r="CO46" s="105">
        <v>4.9141735459578756E-2</v>
      </c>
      <c r="CP46" s="105">
        <v>5.4286840721298676E-2</v>
      </c>
      <c r="CQ46" s="105">
        <v>4.8706521949309994E-2</v>
      </c>
      <c r="CR46" s="105">
        <v>5.1476893496677563E-2</v>
      </c>
      <c r="CS46" s="105">
        <v>5.0510100927535162E-2</v>
      </c>
      <c r="CT46" s="105">
        <v>4.6346300621962773E-2</v>
      </c>
      <c r="CU46" s="105">
        <v>4.6423011781455671E-2</v>
      </c>
      <c r="CV46" s="105">
        <v>5.9062027714410117E-2</v>
      </c>
      <c r="CW46" s="105">
        <v>4.6700068225913924E-2</v>
      </c>
      <c r="CX46" s="105">
        <v>5.1590813950397198E-2</v>
      </c>
    </row>
    <row r="47" spans="1:102" s="95" customFormat="1">
      <c r="A47" s="23"/>
      <c r="B47" s="56" t="s">
        <v>56</v>
      </c>
      <c r="C47" s="105">
        <v>9.0923097407700493E-2</v>
      </c>
      <c r="D47" s="105">
        <v>9.0628322574139594E-2</v>
      </c>
      <c r="E47" s="105">
        <v>8.8973956000559615E-2</v>
      </c>
      <c r="F47" s="105">
        <v>8.6744745542589832E-2</v>
      </c>
      <c r="G47" s="105">
        <v>8.1427043610479991E-2</v>
      </c>
      <c r="H47" s="105">
        <v>9.1085997995195386E-2</v>
      </c>
      <c r="I47" s="105">
        <v>7.9261528678763321E-2</v>
      </c>
      <c r="J47" s="105">
        <v>8.8155427191188254E-2</v>
      </c>
      <c r="K47" s="105">
        <v>8.7914696624243907E-2</v>
      </c>
      <c r="L47" s="105">
        <v>9.0452905587234386E-2</v>
      </c>
      <c r="M47" s="105">
        <v>8.828736315268193E-2</v>
      </c>
      <c r="N47" s="105">
        <v>8.7070823865596128E-2</v>
      </c>
      <c r="O47" s="105">
        <v>8.4279507418781388E-2</v>
      </c>
      <c r="P47" s="105">
        <v>9.2066693914768141E-2</v>
      </c>
      <c r="Q47" s="105">
        <v>8.9748399105822663E-2</v>
      </c>
      <c r="R47" s="105">
        <v>9.3432313272082651E-2</v>
      </c>
      <c r="S47" s="105">
        <v>8.2595554322802536E-2</v>
      </c>
      <c r="T47" s="105">
        <v>9.1467091090018632E-2</v>
      </c>
      <c r="U47" s="105">
        <v>9.1811991780566399E-2</v>
      </c>
      <c r="V47" s="105">
        <v>9.1641883688731482E-2</v>
      </c>
      <c r="W47" s="105">
        <v>8.5992642370486497E-2</v>
      </c>
      <c r="X47" s="105">
        <v>8.2847549259961822E-2</v>
      </c>
      <c r="Y47" s="105">
        <v>8.7037046537883384E-2</v>
      </c>
      <c r="Z47" s="105">
        <v>9.2326446211240212E-2</v>
      </c>
      <c r="AA47" s="105">
        <v>9.1521301271153321E-2</v>
      </c>
      <c r="AB47" s="105">
        <v>7.8269811590993943E-2</v>
      </c>
      <c r="AC47" s="105">
        <v>8.3057974560028294E-2</v>
      </c>
      <c r="AD47" s="105">
        <v>8.6534098805004331E-2</v>
      </c>
      <c r="AE47" s="105">
        <v>8.0316049361063416E-2</v>
      </c>
      <c r="AF47" s="105">
        <v>8.4539567197942159E-2</v>
      </c>
      <c r="AG47" s="105">
        <v>8.931907005430248E-2</v>
      </c>
      <c r="AH47" s="105">
        <v>8.0886715249191027E-2</v>
      </c>
      <c r="AI47" s="105">
        <v>9.1058817417519936E-2</v>
      </c>
      <c r="AJ47" s="105">
        <v>9.3168352863121043E-2</v>
      </c>
      <c r="AK47" s="105">
        <v>8.7305549233041152E-2</v>
      </c>
      <c r="AL47" s="105">
        <v>8.3353663895391783E-2</v>
      </c>
      <c r="AM47" s="105">
        <v>8.6117463493734059E-2</v>
      </c>
      <c r="AN47" s="105">
        <v>8.2387855486631092E-2</v>
      </c>
      <c r="AO47" s="105">
        <v>8.731279015695291E-2</v>
      </c>
      <c r="AP47" s="105">
        <v>8.6227385918708876E-2</v>
      </c>
      <c r="AQ47" s="105">
        <v>9.0985531259993702E-2</v>
      </c>
      <c r="AR47" s="105">
        <v>8.9021075242876085E-2</v>
      </c>
      <c r="AS47" s="105">
        <v>8.4281484786902741E-2</v>
      </c>
      <c r="AT47" s="105">
        <v>8.562790481989177E-2</v>
      </c>
      <c r="AU47" s="105">
        <v>8.9718838917107649E-2</v>
      </c>
      <c r="AV47" s="105">
        <v>9.3856938961257644E-2</v>
      </c>
      <c r="AW47" s="105">
        <v>8.4368748855206205E-2</v>
      </c>
      <c r="AX47" s="105">
        <v>7.7722102323648776E-2</v>
      </c>
      <c r="AY47" s="105">
        <v>8.3332714965273641E-2</v>
      </c>
      <c r="AZ47" s="105">
        <v>8.5810792511082243E-2</v>
      </c>
      <c r="BA47" s="105">
        <v>8.9783641654583204E-2</v>
      </c>
      <c r="BB47" s="105">
        <v>8.3588498496773703E-2</v>
      </c>
      <c r="BC47" s="105">
        <v>9.3209398619194153E-2</v>
      </c>
      <c r="BD47" s="105">
        <v>8.6599901088639769E-2</v>
      </c>
      <c r="BE47" s="105">
        <v>8.4510275334157267E-2</v>
      </c>
      <c r="BF47" s="105">
        <v>8.5597098771660204E-2</v>
      </c>
      <c r="BG47" s="105">
        <v>8.3572094915155215E-2</v>
      </c>
      <c r="BH47" s="105">
        <v>8.5347519090132246E-2</v>
      </c>
      <c r="BI47" s="105">
        <v>9.0778416625510963E-2</v>
      </c>
      <c r="BJ47" s="105">
        <v>8.7309021722014477E-2</v>
      </c>
      <c r="BK47" s="105">
        <v>8.4752624422354275E-2</v>
      </c>
      <c r="BL47" s="105">
        <v>8.8957353638692158E-2</v>
      </c>
      <c r="BM47" s="105">
        <v>8.0543789759280754E-2</v>
      </c>
      <c r="BN47" s="105">
        <v>8.137427935162847E-2</v>
      </c>
      <c r="BO47" s="105">
        <v>8.7586200996695118E-2</v>
      </c>
      <c r="BP47" s="105">
        <v>7.6429955889188092E-2</v>
      </c>
      <c r="BQ47" s="105">
        <v>8.666063377297939E-2</v>
      </c>
      <c r="BR47" s="105">
        <v>8.9674434788677371E-2</v>
      </c>
      <c r="BS47" s="105">
        <v>8.5206480652128463E-2</v>
      </c>
      <c r="BT47" s="105">
        <v>8.7019042746671077E-2</v>
      </c>
      <c r="BU47" s="105">
        <v>8.3393477819492176E-2</v>
      </c>
      <c r="BV47" s="105">
        <v>8.7936078623093869E-2</v>
      </c>
      <c r="BW47" s="105">
        <v>8.0918191975666201E-2</v>
      </c>
      <c r="BX47" s="105">
        <v>9.0975339249722439E-2</v>
      </c>
      <c r="BY47" s="105">
        <v>8.1414278375451288E-2</v>
      </c>
      <c r="BZ47" s="105">
        <v>8.0239379449656326E-2</v>
      </c>
      <c r="CA47" s="105">
        <v>8.4752717495680502E-2</v>
      </c>
      <c r="CB47" s="105">
        <v>8.4693706186785886E-2</v>
      </c>
      <c r="CC47" s="105">
        <v>8.3865790713499297E-2</v>
      </c>
      <c r="CD47" s="105">
        <v>8.096381183106191E-2</v>
      </c>
      <c r="CE47" s="105">
        <v>7.8588181521067668E-2</v>
      </c>
      <c r="CF47" s="105">
        <v>7.7097273142663E-2</v>
      </c>
      <c r="CG47" s="105">
        <v>8.6933426867785282E-2</v>
      </c>
      <c r="CH47" s="105">
        <v>8.7606899492883278E-2</v>
      </c>
      <c r="CI47" s="105">
        <v>8.6364566235472853E-2</v>
      </c>
      <c r="CJ47" s="105">
        <v>9.4864085769071224E-2</v>
      </c>
      <c r="CK47" s="105">
        <v>8.6102287857664675E-2</v>
      </c>
      <c r="CL47" s="105">
        <v>8.7170553083027916E-2</v>
      </c>
      <c r="CM47" s="105">
        <v>7.9822232494800749E-2</v>
      </c>
      <c r="CN47" s="105">
        <v>8.6812216167586845E-2</v>
      </c>
      <c r="CO47" s="105">
        <v>8.2687906263852404E-2</v>
      </c>
      <c r="CP47" s="105">
        <v>8.6669950076936703E-2</v>
      </c>
      <c r="CQ47" s="105">
        <v>8.3962621052900255E-2</v>
      </c>
      <c r="CR47" s="105">
        <v>8.5820012751089622E-2</v>
      </c>
      <c r="CS47" s="105">
        <v>8.5925792041127033E-2</v>
      </c>
      <c r="CT47" s="105">
        <v>8.2096932758447483E-2</v>
      </c>
      <c r="CU47" s="105">
        <v>7.9473742222719065E-2</v>
      </c>
      <c r="CV47" s="105">
        <v>9.1152600522973901E-2</v>
      </c>
      <c r="CW47" s="105">
        <v>7.8517828044584251E-2</v>
      </c>
      <c r="CX47" s="105">
        <v>8.6323308700061677E-2</v>
      </c>
    </row>
    <row r="48" spans="1:102" s="95" customFormat="1">
      <c r="A48" s="106"/>
      <c r="B48" s="56" t="s">
        <v>114</v>
      </c>
      <c r="C48" s="105">
        <v>0.53357962030114392</v>
      </c>
      <c r="D48" s="105">
        <v>0.51555357903277843</v>
      </c>
      <c r="E48" s="105">
        <v>0.53132596765929041</v>
      </c>
      <c r="F48" s="105">
        <v>0.56018964850328234</v>
      </c>
      <c r="G48" s="105">
        <v>0.55844732978583955</v>
      </c>
      <c r="H48" s="105">
        <v>0.52365119872376287</v>
      </c>
      <c r="I48" s="105">
        <v>0.54767630579977</v>
      </c>
      <c r="J48" s="105">
        <v>0.51755074658654088</v>
      </c>
      <c r="K48" s="105">
        <v>0.53899800140818888</v>
      </c>
      <c r="L48" s="105">
        <v>0.50330384902554792</v>
      </c>
      <c r="M48" s="105">
        <v>0.5119962636609855</v>
      </c>
      <c r="N48" s="105">
        <v>0.53241798365744619</v>
      </c>
      <c r="O48" s="105">
        <v>0.51664762848393175</v>
      </c>
      <c r="P48" s="105">
        <v>0.51493714518479206</v>
      </c>
      <c r="Q48" s="105">
        <v>0.52672107634491105</v>
      </c>
      <c r="R48" s="105">
        <v>0.51916562595851967</v>
      </c>
      <c r="S48" s="105">
        <v>0.52185674731729026</v>
      </c>
      <c r="T48" s="105">
        <v>0.5361593506916833</v>
      </c>
      <c r="U48" s="105">
        <v>0.52740678877931257</v>
      </c>
      <c r="V48" s="105">
        <v>0.50357680216871359</v>
      </c>
      <c r="W48" s="105">
        <v>0.51375870232303633</v>
      </c>
      <c r="X48" s="105">
        <v>0.54692895182561518</v>
      </c>
      <c r="Y48" s="105">
        <v>0.49985213739414597</v>
      </c>
      <c r="Z48" s="105">
        <v>0.52194800787913931</v>
      </c>
      <c r="AA48" s="105">
        <v>0.54120546487541243</v>
      </c>
      <c r="AB48" s="105">
        <v>0.54379865767820934</v>
      </c>
      <c r="AC48" s="105">
        <v>0.53387535846311085</v>
      </c>
      <c r="AD48" s="105">
        <v>0.51093868191088421</v>
      </c>
      <c r="AE48" s="105">
        <v>0.56027652381343429</v>
      </c>
      <c r="AF48" s="105">
        <v>0.51360686077925299</v>
      </c>
      <c r="AG48" s="105">
        <v>0.53005352262484429</v>
      </c>
      <c r="AH48" s="105">
        <v>0.52745208401767485</v>
      </c>
      <c r="AI48" s="105">
        <v>0.51528588863784963</v>
      </c>
      <c r="AJ48" s="105">
        <v>0.51991340478273296</v>
      </c>
      <c r="AK48" s="105">
        <v>0.51896472696503659</v>
      </c>
      <c r="AL48" s="105">
        <v>0.54352954683783516</v>
      </c>
      <c r="AM48" s="105">
        <v>0.49891215471710226</v>
      </c>
      <c r="AN48" s="105">
        <v>0.5234424962333728</v>
      </c>
      <c r="AO48" s="105">
        <v>0.53520632323626982</v>
      </c>
      <c r="AP48" s="105">
        <v>0.53959851466953568</v>
      </c>
      <c r="AQ48" s="105">
        <v>0.51096296796881502</v>
      </c>
      <c r="AR48" s="105">
        <v>0.53065615965404178</v>
      </c>
      <c r="AS48" s="105">
        <v>0.57359259926232575</v>
      </c>
      <c r="AT48" s="105">
        <v>0.52676396847605211</v>
      </c>
      <c r="AU48" s="105">
        <v>0.52008129905642508</v>
      </c>
      <c r="AV48" s="105">
        <v>0.51950752304103098</v>
      </c>
      <c r="AW48" s="105">
        <v>0.54192459827909334</v>
      </c>
      <c r="AX48" s="105">
        <v>0.54242791184282868</v>
      </c>
      <c r="AY48" s="105">
        <v>0.54042368090379844</v>
      </c>
      <c r="AZ48" s="105">
        <v>0.50463058081416001</v>
      </c>
      <c r="BA48" s="105">
        <v>0.49268940647567122</v>
      </c>
      <c r="BB48" s="105">
        <v>0.52008210759158424</v>
      </c>
      <c r="BC48" s="105">
        <v>0.51868808782578324</v>
      </c>
      <c r="BD48" s="105">
        <v>0.53932515592974828</v>
      </c>
      <c r="BE48" s="105">
        <v>0.53061848163519831</v>
      </c>
      <c r="BF48" s="105">
        <v>0.51974183091076886</v>
      </c>
      <c r="BG48" s="105">
        <v>0.52207905555364997</v>
      </c>
      <c r="BH48" s="105">
        <v>0.50592824979523221</v>
      </c>
      <c r="BI48" s="105">
        <v>0.503858616407306</v>
      </c>
      <c r="BJ48" s="105">
        <v>0.50447843142178672</v>
      </c>
      <c r="BK48" s="105">
        <v>0.52369637819071491</v>
      </c>
      <c r="BL48" s="105">
        <v>0.52138389917734473</v>
      </c>
      <c r="BM48" s="105">
        <v>0.53566798429126783</v>
      </c>
      <c r="BN48" s="105">
        <v>0.51448080091957427</v>
      </c>
      <c r="BO48" s="105">
        <v>0.51541842798275483</v>
      </c>
      <c r="BP48" s="105">
        <v>0.54943285324406632</v>
      </c>
      <c r="BQ48" s="105">
        <v>0.54153297944395373</v>
      </c>
      <c r="BR48" s="105">
        <v>0.50776387402481493</v>
      </c>
      <c r="BS48" s="105">
        <v>0.52528107452958428</v>
      </c>
      <c r="BT48" s="105">
        <v>0.55885268048515846</v>
      </c>
      <c r="BU48" s="105">
        <v>0.53830089694082162</v>
      </c>
      <c r="BV48" s="105">
        <v>0.51323410390935054</v>
      </c>
      <c r="BW48" s="105">
        <v>0.54669626009019434</v>
      </c>
      <c r="BX48" s="105">
        <v>0.51903642864920685</v>
      </c>
      <c r="BY48" s="105">
        <v>0.55362517598127681</v>
      </c>
      <c r="BZ48" s="105">
        <v>0.52805170065754181</v>
      </c>
      <c r="CA48" s="105">
        <v>0.50516370059504978</v>
      </c>
      <c r="CB48" s="105">
        <v>0.52091439638536097</v>
      </c>
      <c r="CC48" s="105">
        <v>0.53732693286921207</v>
      </c>
      <c r="CD48" s="105">
        <v>0.52701031816565258</v>
      </c>
      <c r="CE48" s="105">
        <v>0.57397423117514013</v>
      </c>
      <c r="CF48" s="105">
        <v>0.54973203796532055</v>
      </c>
      <c r="CG48" s="105">
        <v>0.53495894013541478</v>
      </c>
      <c r="CH48" s="105">
        <v>0.51804716078849034</v>
      </c>
      <c r="CI48" s="105">
        <v>0.51661027088831579</v>
      </c>
      <c r="CJ48" s="105">
        <v>0.51957353373910831</v>
      </c>
      <c r="CK48" s="105">
        <v>0.51703603220761596</v>
      </c>
      <c r="CL48" s="105">
        <v>0.5227826689891053</v>
      </c>
      <c r="CM48" s="105">
        <v>0.52096097876464798</v>
      </c>
      <c r="CN48" s="105">
        <v>0.52215517824026592</v>
      </c>
      <c r="CO48" s="105">
        <v>0.53772976483428636</v>
      </c>
      <c r="CP48" s="105">
        <v>0.49747409286862232</v>
      </c>
      <c r="CQ48" s="105">
        <v>0.51349890057739456</v>
      </c>
      <c r="CR48" s="105">
        <v>0.5640684576660131</v>
      </c>
      <c r="CS48" s="105">
        <v>0.50944500856372288</v>
      </c>
      <c r="CT48" s="105">
        <v>0.50804279278754083</v>
      </c>
      <c r="CU48" s="105">
        <v>0.52603695242476034</v>
      </c>
      <c r="CV48" s="105">
        <v>0.51000774757385403</v>
      </c>
      <c r="CW48" s="105">
        <v>0.51856562833824038</v>
      </c>
      <c r="CX48" s="105">
        <v>0.53530089370848555</v>
      </c>
    </row>
    <row r="49" spans="1:102" s="111" customFormat="1">
      <c r="A49" s="88" t="str">
        <f>Parameters!A42</f>
        <v>Inflatie is een fiscaal verschijnsel</v>
      </c>
      <c r="B49" s="102" t="s">
        <v>29</v>
      </c>
      <c r="C49" s="103">
        <v>3.5040763552986666E-2</v>
      </c>
      <c r="D49" s="103">
        <v>3.322232350006802E-2</v>
      </c>
      <c r="E49" s="103">
        <v>3.3814320647776938E-2</v>
      </c>
      <c r="F49" s="103">
        <v>3.1563602688281053E-2</v>
      </c>
      <c r="G49" s="103">
        <v>3.4438275267023373E-2</v>
      </c>
      <c r="H49" s="103">
        <v>3.1629445697895955E-2</v>
      </c>
      <c r="I49" s="103">
        <v>3.6257676665515257E-2</v>
      </c>
      <c r="J49" s="103">
        <v>3.1983643251828051E-2</v>
      </c>
      <c r="K49" s="103">
        <v>3.1576079177910887E-2</v>
      </c>
      <c r="L49" s="103">
        <v>3.3325539506507504E-2</v>
      </c>
      <c r="M49" s="103">
        <v>3.5247732461226297E-2</v>
      </c>
      <c r="N49" s="103">
        <v>3.4995626841093676E-2</v>
      </c>
      <c r="O49" s="103">
        <v>3.505163836742007E-2</v>
      </c>
      <c r="P49" s="103">
        <v>3.0324512349498432E-2</v>
      </c>
      <c r="Q49" s="103">
        <v>3.6830044215596415E-2</v>
      </c>
      <c r="R49" s="103">
        <v>3.2671218259134389E-2</v>
      </c>
      <c r="S49" s="103">
        <v>3.5614544176974454E-2</v>
      </c>
      <c r="T49" s="103">
        <v>3.3156934682752617E-2</v>
      </c>
      <c r="U49" s="103">
        <v>3.092073762750876E-2</v>
      </c>
      <c r="V49" s="103">
        <v>3.2831188545541422E-2</v>
      </c>
      <c r="W49" s="103">
        <v>3.5231786808951233E-2</v>
      </c>
      <c r="X49" s="103">
        <v>3.4299743023840437E-2</v>
      </c>
      <c r="Y49" s="103">
        <v>3.6600367077422924E-2</v>
      </c>
      <c r="Z49" s="103">
        <v>2.8176821982103837E-2</v>
      </c>
      <c r="AA49" s="103">
        <v>3.1299876261854404E-2</v>
      </c>
      <c r="AB49" s="103">
        <v>3.8686534757588611E-2</v>
      </c>
      <c r="AC49" s="103">
        <v>3.2992603437530924E-2</v>
      </c>
      <c r="AD49" s="103">
        <v>3.0831369685202129E-2</v>
      </c>
      <c r="AE49" s="103">
        <v>3.623874151627033E-2</v>
      </c>
      <c r="AF49" s="103">
        <v>3.4859821920592518E-2</v>
      </c>
      <c r="AG49" s="103">
        <v>3.3074650107608933E-2</v>
      </c>
      <c r="AH49" s="103">
        <v>3.8057991467592332E-2</v>
      </c>
      <c r="AI49" s="103">
        <v>3.5524852748957669E-2</v>
      </c>
      <c r="AJ49" s="103">
        <v>3.1001969747924248E-2</v>
      </c>
      <c r="AK49" s="103">
        <v>2.8902342904366767E-2</v>
      </c>
      <c r="AL49" s="103">
        <v>3.1741407961077495E-2</v>
      </c>
      <c r="AM49" s="103">
        <v>3.5302358743180932E-2</v>
      </c>
      <c r="AN49" s="103">
        <v>3.7310178656842358E-2</v>
      </c>
      <c r="AO49" s="103">
        <v>3.159115553186178E-2</v>
      </c>
      <c r="AP49" s="103">
        <v>3.3455114254248262E-2</v>
      </c>
      <c r="AQ49" s="103">
        <v>3.2184425416242925E-2</v>
      </c>
      <c r="AR49" s="103">
        <v>3.0908667173716625E-2</v>
      </c>
      <c r="AS49" s="103">
        <v>3.1750453565905841E-2</v>
      </c>
      <c r="AT49" s="103">
        <v>3.0187482062335645E-2</v>
      </c>
      <c r="AU49" s="103">
        <v>3.4875663361204998E-2</v>
      </c>
      <c r="AV49" s="103">
        <v>2.8080160882752454E-2</v>
      </c>
      <c r="AW49" s="103">
        <v>3.511730183973287E-2</v>
      </c>
      <c r="AX49" s="103">
        <v>3.5456166405042754E-2</v>
      </c>
      <c r="AY49" s="103">
        <v>3.8483504285010503E-2</v>
      </c>
      <c r="AZ49" s="103">
        <v>3.325004712655634E-2</v>
      </c>
      <c r="BA49" s="103">
        <v>3.4175664838358162E-2</v>
      </c>
      <c r="BB49" s="103">
        <v>3.7774804107178463E-2</v>
      </c>
      <c r="BC49" s="103">
        <v>3.1866449731530612E-2</v>
      </c>
      <c r="BD49" s="103">
        <v>3.5480394180998506E-2</v>
      </c>
      <c r="BE49" s="103">
        <v>3.4160742948509043E-2</v>
      </c>
      <c r="BF49" s="103">
        <v>3.3704385776399101E-2</v>
      </c>
      <c r="BG49" s="103">
        <v>4.229277467107867E-2</v>
      </c>
      <c r="BH49" s="103">
        <v>3.7602151434315903E-2</v>
      </c>
      <c r="BI49" s="103">
        <v>3.0442201808662292E-2</v>
      </c>
      <c r="BJ49" s="103">
        <v>3.5606609679432751E-2</v>
      </c>
      <c r="BK49" s="103">
        <v>3.0599800142568495E-2</v>
      </c>
      <c r="BL49" s="103">
        <v>3.0029223061719769E-2</v>
      </c>
      <c r="BM49" s="103">
        <v>3.7590964342979705E-2</v>
      </c>
      <c r="BN49" s="103">
        <v>3.7255701350309083E-2</v>
      </c>
      <c r="BO49" s="103">
        <v>3.1150581673925939E-2</v>
      </c>
      <c r="BP49" s="103">
        <v>3.812708532570741E-2</v>
      </c>
      <c r="BQ49" s="103">
        <v>3.1749924516597715E-2</v>
      </c>
      <c r="BR49" s="103">
        <v>3.041577941973388E-2</v>
      </c>
      <c r="BS49" s="103">
        <v>3.5038714255264718E-2</v>
      </c>
      <c r="BT49" s="103">
        <v>3.202508688527101E-2</v>
      </c>
      <c r="BU49" s="103">
        <v>3.026845989855274E-2</v>
      </c>
      <c r="BV49" s="103">
        <v>3.0000350934591413E-2</v>
      </c>
      <c r="BW49" s="103">
        <v>3.4440954544255102E-2</v>
      </c>
      <c r="BX49" s="103">
        <v>3.4451607116422929E-2</v>
      </c>
      <c r="BY49" s="103">
        <v>3.2606755733854076E-2</v>
      </c>
      <c r="BZ49" s="103">
        <v>3.7004698638327366E-2</v>
      </c>
      <c r="CA49" s="103">
        <v>3.6773312648170124E-2</v>
      </c>
      <c r="CB49" s="103">
        <v>3.2211771903330168E-2</v>
      </c>
      <c r="CC49" s="103">
        <v>3.648112517648848E-2</v>
      </c>
      <c r="CD49" s="103">
        <v>3.5443025416536031E-2</v>
      </c>
      <c r="CE49" s="103">
        <v>3.5577312470795729E-2</v>
      </c>
      <c r="CF49" s="103">
        <v>3.4322759731970076E-2</v>
      </c>
      <c r="CG49" s="103">
        <v>3.1529921112879139E-2</v>
      </c>
      <c r="CH49" s="103">
        <v>3.6564749407793994E-2</v>
      </c>
      <c r="CI49" s="103">
        <v>3.4729313617403584E-2</v>
      </c>
      <c r="CJ49" s="103">
        <v>3.0635669119317307E-2</v>
      </c>
      <c r="CK49" s="103">
        <v>3.6794586598967262E-2</v>
      </c>
      <c r="CL49" s="103">
        <v>3.2375734574978596E-2</v>
      </c>
      <c r="CM49" s="103">
        <v>4.0301227425596969E-2</v>
      </c>
      <c r="CN49" s="103">
        <v>3.6699327207109424E-2</v>
      </c>
      <c r="CO49" s="103">
        <v>3.7068539310401119E-2</v>
      </c>
      <c r="CP49" s="103">
        <v>3.0323718528148195E-2</v>
      </c>
      <c r="CQ49" s="103">
        <v>3.2705041409445676E-2</v>
      </c>
      <c r="CR49" s="103">
        <v>3.0802090423024828E-2</v>
      </c>
      <c r="CS49" s="103">
        <v>3.7372274906883982E-2</v>
      </c>
      <c r="CT49" s="103">
        <v>3.7090305234071037E-2</v>
      </c>
      <c r="CU49" s="103">
        <v>3.5272980034339062E-2</v>
      </c>
      <c r="CV49" s="103">
        <v>2.8326940447661066E-2</v>
      </c>
      <c r="CW49" s="103">
        <v>3.3622865462710823E-2</v>
      </c>
      <c r="CX49" s="103">
        <v>2.89053061262757E-2</v>
      </c>
    </row>
    <row r="50" spans="1:102" s="95" customFormat="1">
      <c r="A50" s="23"/>
      <c r="B50" s="14" t="s">
        <v>30</v>
      </c>
      <c r="C50" s="105">
        <v>4.9059249694473624E-2</v>
      </c>
      <c r="D50" s="105">
        <v>5.0447264998640821E-2</v>
      </c>
      <c r="E50" s="105">
        <v>4.9948432361687695E-2</v>
      </c>
      <c r="F50" s="105">
        <v>4.6955481170140916E-2</v>
      </c>
      <c r="G50" s="105">
        <v>4.7970485354597983E-2</v>
      </c>
      <c r="H50" s="105">
        <v>4.7955228179175968E-2</v>
      </c>
      <c r="I50" s="105">
        <v>4.9605163803809055E-2</v>
      </c>
      <c r="J50" s="105">
        <v>5.0198326244876773E-2</v>
      </c>
      <c r="K50" s="105">
        <v>4.9935696150030323E-2</v>
      </c>
      <c r="L50" s="105">
        <v>5.0888711358156646E-2</v>
      </c>
      <c r="M50" s="105">
        <v>5.2200065831923846E-2</v>
      </c>
      <c r="N50" s="105">
        <v>4.8746669672362443E-2</v>
      </c>
      <c r="O50" s="105">
        <v>5.2763132750332113E-2</v>
      </c>
      <c r="P50" s="105">
        <v>4.9007665458363943E-2</v>
      </c>
      <c r="Q50" s="105">
        <v>4.9577607479035148E-2</v>
      </c>
      <c r="R50" s="105">
        <v>4.9430759119857989E-2</v>
      </c>
      <c r="S50" s="105">
        <v>5.0247201990196666E-2</v>
      </c>
      <c r="T50" s="105">
        <v>4.630398560023468E-2</v>
      </c>
      <c r="U50" s="105">
        <v>4.6902318548306295E-2</v>
      </c>
      <c r="V50" s="105">
        <v>5.1297235104487422E-2</v>
      </c>
      <c r="W50" s="105">
        <v>5.1997662967857808E-2</v>
      </c>
      <c r="X50" s="105">
        <v>4.6508374340957566E-2</v>
      </c>
      <c r="Y50" s="105">
        <v>5.4718952455848846E-2</v>
      </c>
      <c r="Z50" s="105">
        <v>4.7856932309533549E-2</v>
      </c>
      <c r="AA50" s="105">
        <v>4.7927565706567747E-2</v>
      </c>
      <c r="AB50" s="105">
        <v>4.9314977123319899E-2</v>
      </c>
      <c r="AC50" s="105">
        <v>4.8873368621711558E-2</v>
      </c>
      <c r="AD50" s="105">
        <v>5.0015472517953942E-2</v>
      </c>
      <c r="AE50" s="105">
        <v>4.7056546473953541E-2</v>
      </c>
      <c r="AF50" s="105">
        <v>5.0657243196071539E-2</v>
      </c>
      <c r="AG50" s="105">
        <v>4.7166978024729793E-2</v>
      </c>
      <c r="AH50" s="105">
        <v>5.0605578896799411E-2</v>
      </c>
      <c r="AI50" s="105">
        <v>4.9927286896484548E-2</v>
      </c>
      <c r="AJ50" s="105">
        <v>4.7367101053669668E-2</v>
      </c>
      <c r="AK50" s="105">
        <v>5.1514701787636188E-2</v>
      </c>
      <c r="AL50" s="105">
        <v>4.5998193423926671E-2</v>
      </c>
      <c r="AM50" s="105">
        <v>5.303685383342932E-2</v>
      </c>
      <c r="AN50" s="105">
        <v>5.012106400350344E-2</v>
      </c>
      <c r="AO50" s="105">
        <v>4.996243932714662E-2</v>
      </c>
      <c r="AP50" s="105">
        <v>4.7605431142948261E-2</v>
      </c>
      <c r="AQ50" s="105">
        <v>4.8669247075503574E-2</v>
      </c>
      <c r="AR50" s="105">
        <v>4.7580264308780575E-2</v>
      </c>
      <c r="AS50" s="105">
        <v>4.4814264865677488E-2</v>
      </c>
      <c r="AT50" s="105">
        <v>4.9066423979975217E-2</v>
      </c>
      <c r="AU50" s="105">
        <v>5.0775314014459165E-2</v>
      </c>
      <c r="AV50" s="105">
        <v>4.7260737474752193E-2</v>
      </c>
      <c r="AW50" s="105">
        <v>4.6568670937307918E-2</v>
      </c>
      <c r="AX50" s="105">
        <v>4.9971689824503417E-2</v>
      </c>
      <c r="AY50" s="105">
        <v>5.0829879166099268E-2</v>
      </c>
      <c r="AZ50" s="105">
        <v>5.2114099423730284E-2</v>
      </c>
      <c r="BA50" s="105">
        <v>5.1998466188299203E-2</v>
      </c>
      <c r="BB50" s="105">
        <v>5.1363888566535378E-2</v>
      </c>
      <c r="BC50" s="105">
        <v>4.719655792889229E-2</v>
      </c>
      <c r="BD50" s="105">
        <v>4.7953882294157479E-2</v>
      </c>
      <c r="BE50" s="105">
        <v>4.7998179308910351E-2</v>
      </c>
      <c r="BF50" s="105">
        <v>4.8376107921055254E-2</v>
      </c>
      <c r="BG50" s="105">
        <v>5.2484565976979231E-2</v>
      </c>
      <c r="BH50" s="105">
        <v>5.2858821313709718E-2</v>
      </c>
      <c r="BI50" s="105">
        <v>5.0148926835762844E-2</v>
      </c>
      <c r="BJ50" s="105">
        <v>5.1831784264166007E-2</v>
      </c>
      <c r="BK50" s="105">
        <v>5.2172537379254563E-2</v>
      </c>
      <c r="BL50" s="105">
        <v>4.736523028486217E-2</v>
      </c>
      <c r="BM50" s="105">
        <v>4.9206432582377835E-2</v>
      </c>
      <c r="BN50" s="105">
        <v>5.233817326683899E-2</v>
      </c>
      <c r="BO50" s="105">
        <v>5.040708494951443E-2</v>
      </c>
      <c r="BP50" s="105">
        <v>5.0380361493297478E-2</v>
      </c>
      <c r="BQ50" s="105">
        <v>5.1592370163444506E-2</v>
      </c>
      <c r="BR50" s="105">
        <v>4.91301421909262E-2</v>
      </c>
      <c r="BS50" s="105">
        <v>4.823301916631647E-2</v>
      </c>
      <c r="BT50" s="105">
        <v>4.4365885220700924E-2</v>
      </c>
      <c r="BU50" s="105">
        <v>4.9172594305406818E-2</v>
      </c>
      <c r="BV50" s="105">
        <v>4.9574240732631218E-2</v>
      </c>
      <c r="BW50" s="105">
        <v>4.6802142459608703E-2</v>
      </c>
      <c r="BX50" s="105">
        <v>4.9319747051413246E-2</v>
      </c>
      <c r="BY50" s="105">
        <v>4.5090736698198006E-2</v>
      </c>
      <c r="BZ50" s="105">
        <v>4.9251193410873605E-2</v>
      </c>
      <c r="CA50" s="105">
        <v>5.2738799879109753E-2</v>
      </c>
      <c r="CB50" s="105">
        <v>5.0586962782862864E-2</v>
      </c>
      <c r="CC50" s="105">
        <v>4.783897949275541E-2</v>
      </c>
      <c r="CD50" s="105">
        <v>4.9111089331693392E-2</v>
      </c>
      <c r="CE50" s="105">
        <v>4.595667168541645E-2</v>
      </c>
      <c r="CF50" s="105">
        <v>5.0050871575168361E-2</v>
      </c>
      <c r="CG50" s="105">
        <v>4.810995310242687E-2</v>
      </c>
      <c r="CH50" s="105">
        <v>4.9677515471220492E-2</v>
      </c>
      <c r="CI50" s="105">
        <v>5.0628286935489028E-2</v>
      </c>
      <c r="CJ50" s="105">
        <v>4.8230066714841889E-2</v>
      </c>
      <c r="CK50" s="105">
        <v>5.108766019858297E-2</v>
      </c>
      <c r="CL50" s="105">
        <v>4.8767579298636093E-2</v>
      </c>
      <c r="CM50" s="105">
        <v>5.2560290588985398E-2</v>
      </c>
      <c r="CN50" s="105">
        <v>5.0446412398822665E-2</v>
      </c>
      <c r="CO50" s="105">
        <v>4.7979207369143573E-2</v>
      </c>
      <c r="CP50" s="105">
        <v>5.2609094973321079E-2</v>
      </c>
      <c r="CQ50" s="105">
        <v>5.4140041545089744E-2</v>
      </c>
      <c r="CR50" s="105">
        <v>4.5615706907381717E-2</v>
      </c>
      <c r="CS50" s="105">
        <v>5.1729406741618737E-2</v>
      </c>
      <c r="CT50" s="105">
        <v>5.1268726501324892E-2</v>
      </c>
      <c r="CU50" s="105">
        <v>5.0801240566790994E-2</v>
      </c>
      <c r="CV50" s="105">
        <v>4.9056217661738573E-2</v>
      </c>
      <c r="CW50" s="105">
        <v>5.099104184771442E-2</v>
      </c>
      <c r="CX50" s="105">
        <v>5.0016508267000895E-2</v>
      </c>
    </row>
    <row r="51" spans="1:102" s="95" customFormat="1">
      <c r="A51" s="23"/>
      <c r="B51" s="56" t="s">
        <v>56</v>
      </c>
      <c r="C51" s="105">
        <v>0.10045474367423805</v>
      </c>
      <c r="D51" s="105">
        <v>0.10177195647913195</v>
      </c>
      <c r="E51" s="105">
        <v>0.10268852785733738</v>
      </c>
      <c r="F51" s="105">
        <v>0.10102901482788253</v>
      </c>
      <c r="G51" s="105">
        <v>0.10006360029123616</v>
      </c>
      <c r="H51" s="105">
        <v>0.10113175161019097</v>
      </c>
      <c r="I51" s="105">
        <v>0.10004957820425206</v>
      </c>
      <c r="J51" s="105">
        <v>0.10174318116109024</v>
      </c>
      <c r="K51" s="105">
        <v>0.10364399787285518</v>
      </c>
      <c r="L51" s="105">
        <v>0.10147137781771409</v>
      </c>
      <c r="M51" s="105">
        <v>0.10318946227568131</v>
      </c>
      <c r="N51" s="105">
        <v>0.10044240788435368</v>
      </c>
      <c r="O51" s="105">
        <v>0.10303550581318659</v>
      </c>
      <c r="P51" s="105">
        <v>0.10117381257609023</v>
      </c>
      <c r="Q51" s="105">
        <v>9.8935340062714719E-2</v>
      </c>
      <c r="R51" s="105">
        <v>0.10096986790611864</v>
      </c>
      <c r="S51" s="105">
        <v>9.8360004633927731E-2</v>
      </c>
      <c r="T51" s="105">
        <v>9.7817605153159085E-2</v>
      </c>
      <c r="U51" s="105">
        <v>0.10116973918685519</v>
      </c>
      <c r="V51" s="105">
        <v>0.10104262566822901</v>
      </c>
      <c r="W51" s="105">
        <v>0.1025688229191654</v>
      </c>
      <c r="X51" s="105">
        <v>9.7947148282642421E-2</v>
      </c>
      <c r="Y51" s="105">
        <v>0.10175045172812854</v>
      </c>
      <c r="Z51" s="105">
        <v>0.10099577269486412</v>
      </c>
      <c r="AA51" s="105">
        <v>0.10080875651001601</v>
      </c>
      <c r="AB51" s="105">
        <v>9.5848142467313158E-2</v>
      </c>
      <c r="AC51" s="105">
        <v>9.8547541801380187E-2</v>
      </c>
      <c r="AD51" s="105">
        <v>0.10043606648831906</v>
      </c>
      <c r="AE51" s="105">
        <v>9.7285125574315165E-2</v>
      </c>
      <c r="AF51" s="105">
        <v>0.1004594281382757</v>
      </c>
      <c r="AG51" s="105">
        <v>9.8538272913940725E-2</v>
      </c>
      <c r="AH51" s="105">
        <v>9.6982684583923048E-2</v>
      </c>
      <c r="AI51" s="105">
        <v>0.10069343942312158</v>
      </c>
      <c r="AJ51" s="105">
        <v>9.8646300304232631E-2</v>
      </c>
      <c r="AK51" s="105">
        <v>0.10295397741633404</v>
      </c>
      <c r="AL51" s="105">
        <v>9.8804076095295734E-2</v>
      </c>
      <c r="AM51" s="105">
        <v>0.10137981275534483</v>
      </c>
      <c r="AN51" s="105">
        <v>9.8905330622309245E-2</v>
      </c>
      <c r="AO51" s="105">
        <v>0.1041275715135596</v>
      </c>
      <c r="AP51" s="105">
        <v>0.10139782820751018</v>
      </c>
      <c r="AQ51" s="105">
        <v>0.10043327772438625</v>
      </c>
      <c r="AR51" s="105">
        <v>9.9032026233954865E-2</v>
      </c>
      <c r="AS51" s="105">
        <v>9.8373600279894821E-2</v>
      </c>
      <c r="AT51" s="105">
        <v>0.10169004865956936</v>
      </c>
      <c r="AU51" s="105">
        <v>0.10346718919260244</v>
      </c>
      <c r="AV51" s="105">
        <v>0.10058102342517375</v>
      </c>
      <c r="AW51" s="105">
        <v>9.6474650994195818E-2</v>
      </c>
      <c r="AX51" s="105">
        <v>0.10002154135272101</v>
      </c>
      <c r="AY51" s="105">
        <v>9.9357778191765722E-2</v>
      </c>
      <c r="AZ51" s="105">
        <v>0.10269881237556998</v>
      </c>
      <c r="BA51" s="105">
        <v>0.10176783908423666</v>
      </c>
      <c r="BB51" s="105">
        <v>9.6845926993253562E-2</v>
      </c>
      <c r="BC51" s="105">
        <v>0.10086151626498586</v>
      </c>
      <c r="BD51" s="105">
        <v>9.9097019878110315E-2</v>
      </c>
      <c r="BE51" s="105">
        <v>9.8277794912206604E-2</v>
      </c>
      <c r="BF51" s="105">
        <v>9.742360604161418E-2</v>
      </c>
      <c r="BG51" s="105">
        <v>9.4598351121590818E-2</v>
      </c>
      <c r="BH51" s="105">
        <v>0.10075032620958554</v>
      </c>
      <c r="BI51" s="105">
        <v>0.10004485132797078</v>
      </c>
      <c r="BJ51" s="105">
        <v>9.9294446312295448E-2</v>
      </c>
      <c r="BK51" s="105">
        <v>0.10431013254376061</v>
      </c>
      <c r="BL51" s="105">
        <v>0.1012911968621269</v>
      </c>
      <c r="BM51" s="105">
        <v>9.8314701181595951E-2</v>
      </c>
      <c r="BN51" s="105">
        <v>9.6750129430639722E-2</v>
      </c>
      <c r="BO51" s="105">
        <v>9.8501261562545767E-2</v>
      </c>
      <c r="BP51" s="105">
        <v>9.4441081674105892E-2</v>
      </c>
      <c r="BQ51" s="105">
        <v>0.10503712936897362</v>
      </c>
      <c r="BR51" s="105">
        <v>0.10008036104849177</v>
      </c>
      <c r="BS51" s="105">
        <v>9.5869780502768037E-2</v>
      </c>
      <c r="BT51" s="105">
        <v>9.8255251635267132E-2</v>
      </c>
      <c r="BU51" s="105">
        <v>0.10161602985353335</v>
      </c>
      <c r="BV51" s="105">
        <v>0.10053295676633472</v>
      </c>
      <c r="BW51" s="105">
        <v>9.8766213370850606E-2</v>
      </c>
      <c r="BX51" s="105">
        <v>0.10024926932978838</v>
      </c>
      <c r="BY51" s="105">
        <v>9.789719115486499E-2</v>
      </c>
      <c r="BZ51" s="105">
        <v>9.7208419844345348E-2</v>
      </c>
      <c r="CA51" s="105">
        <v>0.10094585801996099</v>
      </c>
      <c r="CB51" s="105">
        <v>0.10094616156864895</v>
      </c>
      <c r="CC51" s="105">
        <v>9.6277987332695589E-2</v>
      </c>
      <c r="CD51" s="105">
        <v>9.8969328045362917E-2</v>
      </c>
      <c r="CE51" s="105">
        <v>9.6933091093865484E-2</v>
      </c>
      <c r="CF51" s="105">
        <v>0.10094019361651257</v>
      </c>
      <c r="CG51" s="105">
        <v>9.953065280141532E-2</v>
      </c>
      <c r="CH51" s="105">
        <v>9.807085255327154E-2</v>
      </c>
      <c r="CI51" s="105">
        <v>0.10281416081199345</v>
      </c>
      <c r="CJ51" s="105">
        <v>0.10100895716918067</v>
      </c>
      <c r="CK51" s="105">
        <v>0.10068450050748266</v>
      </c>
      <c r="CL51" s="105">
        <v>0.10231504157151124</v>
      </c>
      <c r="CM51" s="105">
        <v>9.4025943739508816E-2</v>
      </c>
      <c r="CN51" s="105">
        <v>9.9611766483163944E-2</v>
      </c>
      <c r="CO51" s="105">
        <v>9.6850630982287564E-2</v>
      </c>
      <c r="CP51" s="105">
        <v>0.10218837423208829</v>
      </c>
      <c r="CQ51" s="105">
        <v>0.10474641951862812</v>
      </c>
      <c r="CR51" s="105">
        <v>0.10006294834062335</v>
      </c>
      <c r="CS51" s="105">
        <v>9.9762532329052189E-2</v>
      </c>
      <c r="CT51" s="105">
        <v>0.10019689115905135</v>
      </c>
      <c r="CU51" s="105">
        <v>9.7739091026973202E-2</v>
      </c>
      <c r="CV51" s="105">
        <v>0.10090832558181599</v>
      </c>
      <c r="CW51" s="105">
        <v>9.9078154719541942E-2</v>
      </c>
      <c r="CX51" s="105">
        <v>0.1035991085739803</v>
      </c>
    </row>
    <row r="52" spans="1:102" s="96" customFormat="1">
      <c r="A52" s="106"/>
      <c r="B52" s="56" t="s">
        <v>114</v>
      </c>
      <c r="C52" s="105">
        <v>0.30487904293658363</v>
      </c>
      <c r="D52" s="105">
        <v>0.32264015488595171</v>
      </c>
      <c r="E52" s="105">
        <v>0.31676005696708148</v>
      </c>
      <c r="F52" s="105">
        <v>0.32303269207625041</v>
      </c>
      <c r="G52" s="105">
        <v>0.30522052571082886</v>
      </c>
      <c r="H52" s="105">
        <v>0.32598246724918478</v>
      </c>
      <c r="I52" s="105">
        <v>0.29828704840518716</v>
      </c>
      <c r="J52" s="105">
        <v>0.3307164180998341</v>
      </c>
      <c r="K52" s="105">
        <v>0.33284262777350748</v>
      </c>
      <c r="L52" s="105">
        <v>0.32334557279205167</v>
      </c>
      <c r="M52" s="105">
        <v>0.31430918277738162</v>
      </c>
      <c r="N52" s="105">
        <v>0.30405756513753535</v>
      </c>
      <c r="O52" s="105">
        <v>0.31746677316840133</v>
      </c>
      <c r="P52" s="105">
        <v>0.33917304642349866</v>
      </c>
      <c r="Q52" s="105">
        <v>0.29419430045759543</v>
      </c>
      <c r="R52" s="105">
        <v>0.323244211182317</v>
      </c>
      <c r="S52" s="105">
        <v>0.30510610740457245</v>
      </c>
      <c r="T52" s="105">
        <v>0.3084999648740353</v>
      </c>
      <c r="U52" s="105">
        <v>0.32778088451933718</v>
      </c>
      <c r="V52" s="105">
        <v>0.32813227287376023</v>
      </c>
      <c r="W52" s="105">
        <v>0.31375004896379188</v>
      </c>
      <c r="X52" s="105">
        <v>0.30066772783900053</v>
      </c>
      <c r="Y52" s="105">
        <v>0.31343851784197296</v>
      </c>
      <c r="Z52" s="105">
        <v>0.35204105362153004</v>
      </c>
      <c r="AA52" s="105">
        <v>0.3283701756094583</v>
      </c>
      <c r="AB52" s="105">
        <v>0.28038429994239567</v>
      </c>
      <c r="AC52" s="105">
        <v>0.31901584507994502</v>
      </c>
      <c r="AD52" s="105">
        <v>0.33852262942535039</v>
      </c>
      <c r="AE52" s="105">
        <v>0.28855869694119829</v>
      </c>
      <c r="AF52" s="105">
        <v>0.3118031761730774</v>
      </c>
      <c r="AG52" s="105">
        <v>0.31234581896946917</v>
      </c>
      <c r="AH52" s="105">
        <v>0.28963729479312972</v>
      </c>
      <c r="AI52" s="105">
        <v>0.30459131991514687</v>
      </c>
      <c r="AJ52" s="105">
        <v>0.32874282007834643</v>
      </c>
      <c r="AK52" s="105">
        <v>0.3568352301092535</v>
      </c>
      <c r="AL52" s="105">
        <v>0.31822864550021879</v>
      </c>
      <c r="AM52" s="105">
        <v>0.31665568921526122</v>
      </c>
      <c r="AN52" s="105">
        <v>0.29291656265172594</v>
      </c>
      <c r="AO52" s="105">
        <v>0.33281701742730985</v>
      </c>
      <c r="AP52" s="105">
        <v>0.31111289500578138</v>
      </c>
      <c r="AQ52" s="105">
        <v>0.32425964239507898</v>
      </c>
      <c r="AR52" s="105">
        <v>0.33017140594789418</v>
      </c>
      <c r="AS52" s="105">
        <v>0.31371523280607638</v>
      </c>
      <c r="AT52" s="105">
        <v>0.34037800799776607</v>
      </c>
      <c r="AU52" s="105">
        <v>0.31209649870062273</v>
      </c>
      <c r="AV52" s="105">
        <v>0.3510222858290204</v>
      </c>
      <c r="AW52" s="105">
        <v>0.2948190639200986</v>
      </c>
      <c r="AX52" s="105">
        <v>0.30523181790310711</v>
      </c>
      <c r="AY52" s="105">
        <v>0.28761378046085273</v>
      </c>
      <c r="AZ52" s="105">
        <v>0.32774901096758591</v>
      </c>
      <c r="BA52" s="105">
        <v>0.32099066936584886</v>
      </c>
      <c r="BB52" s="105">
        <v>0.29434142225791693</v>
      </c>
      <c r="BC52" s="105">
        <v>0.32157251323920633</v>
      </c>
      <c r="BD52" s="105">
        <v>0.29758741759531437</v>
      </c>
      <c r="BE52" s="105">
        <v>0.30735281628322175</v>
      </c>
      <c r="BF52" s="105">
        <v>0.31206627000321019</v>
      </c>
      <c r="BG52" s="105">
        <v>0.26918446555643416</v>
      </c>
      <c r="BH52" s="105">
        <v>0.3007703177668446</v>
      </c>
      <c r="BI52" s="105">
        <v>0.3417727063135102</v>
      </c>
      <c r="BJ52" s="105">
        <v>0.31064145194497461</v>
      </c>
      <c r="BK52" s="105">
        <v>0.34648051824489279</v>
      </c>
      <c r="BL52" s="105">
        <v>0.33619591762224882</v>
      </c>
      <c r="BM52" s="105">
        <v>0.28749467635939452</v>
      </c>
      <c r="BN52" s="105">
        <v>0.30126649146226758</v>
      </c>
      <c r="BO52" s="105">
        <v>0.33739051959342981</v>
      </c>
      <c r="BP52" s="105">
        <v>0.28832160531705686</v>
      </c>
      <c r="BQ52" s="105">
        <v>0.33666854083903852</v>
      </c>
      <c r="BR52" s="105">
        <v>0.33887153107680146</v>
      </c>
      <c r="BS52" s="105">
        <v>0.30183860811106911</v>
      </c>
      <c r="BT52" s="105">
        <v>0.30979131455158132</v>
      </c>
      <c r="BU52" s="105">
        <v>0.34010002158984748</v>
      </c>
      <c r="BV52" s="105">
        <v>0.34331139812649569</v>
      </c>
      <c r="BW52" s="105">
        <v>0.30075902959725676</v>
      </c>
      <c r="BX52" s="105">
        <v>0.31002579909205458</v>
      </c>
      <c r="BY52" s="105">
        <v>0.30805839355386533</v>
      </c>
      <c r="BZ52" s="105">
        <v>0.29174108683506716</v>
      </c>
      <c r="CA52" s="105">
        <v>0.30584634465425953</v>
      </c>
      <c r="CB52" s="105">
        <v>0.33030143935391376</v>
      </c>
      <c r="CC52" s="105">
        <v>0.28994444182536122</v>
      </c>
      <c r="CD52" s="105">
        <v>0.30220440726061037</v>
      </c>
      <c r="CE52" s="105">
        <v>0.28891651868886309</v>
      </c>
      <c r="CF52" s="105">
        <v>0.31349749281791073</v>
      </c>
      <c r="CG52" s="105">
        <v>0.3272516641120049</v>
      </c>
      <c r="CH52" s="105">
        <v>0.29641347298851906</v>
      </c>
      <c r="CI52" s="105">
        <v>0.31261607817861825</v>
      </c>
      <c r="CJ52" s="105">
        <v>0.33437688179665626</v>
      </c>
      <c r="CK52" s="105">
        <v>0.29997147478092312</v>
      </c>
      <c r="CL52" s="105">
        <v>0.32318028836366575</v>
      </c>
      <c r="CM52" s="105">
        <v>0.28213722138631597</v>
      </c>
      <c r="CN52" s="105">
        <v>0.29831214432262754</v>
      </c>
      <c r="CO52" s="105">
        <v>0.28631844196476375</v>
      </c>
      <c r="CP52" s="105">
        <v>0.34963144299355997</v>
      </c>
      <c r="CQ52" s="105">
        <v>0.3374706310343113</v>
      </c>
      <c r="CR52" s="105">
        <v>0.32418452114718627</v>
      </c>
      <c r="CS52" s="105">
        <v>0.29835298336164878</v>
      </c>
      <c r="CT52" s="105">
        <v>0.29861147681348982</v>
      </c>
      <c r="CU52" s="105">
        <v>0.30942267257227096</v>
      </c>
      <c r="CV52" s="105">
        <v>0.35435447442580115</v>
      </c>
      <c r="CW52" s="105">
        <v>0.32158369795218689</v>
      </c>
      <c r="CX52" s="105">
        <v>0.35272223312400558</v>
      </c>
    </row>
    <row r="53" spans="1:102" s="95" customFormat="1">
      <c r="A53" s="88" t="str">
        <f>Parameters!A43</f>
        <v>Vermogenseffect &amp; innovatie</v>
      </c>
      <c r="B53" s="102" t="s">
        <v>29</v>
      </c>
      <c r="C53" s="103">
        <v>9.7742623838959264E-2</v>
      </c>
      <c r="D53" s="103">
        <v>9.7536274930004385E-2</v>
      </c>
      <c r="E53" s="103">
        <v>9.6412587981135472E-2</v>
      </c>
      <c r="F53" s="103">
        <v>9.5731709417391675E-2</v>
      </c>
      <c r="G53" s="103">
        <v>9.5334908727177481E-2</v>
      </c>
      <c r="H53" s="103">
        <v>9.5199907860637423E-2</v>
      </c>
      <c r="I53" s="103">
        <v>9.5007401041647399E-2</v>
      </c>
      <c r="J53" s="103">
        <v>9.4765141595516286E-2</v>
      </c>
      <c r="K53" s="103">
        <v>9.4701172345708517E-2</v>
      </c>
      <c r="L53" s="103">
        <v>9.4579173853550816E-2</v>
      </c>
      <c r="M53" s="103">
        <v>9.4465572349321431E-2</v>
      </c>
      <c r="N53" s="103">
        <v>9.4343992536761526E-2</v>
      </c>
      <c r="O53" s="103">
        <v>9.4210851610138813E-2</v>
      </c>
      <c r="P53" s="103">
        <v>9.4131706752675584E-2</v>
      </c>
      <c r="Q53" s="103">
        <v>9.4110302225501152E-2</v>
      </c>
      <c r="R53" s="103">
        <v>9.4040956284267632E-2</v>
      </c>
      <c r="S53" s="103">
        <v>9.3906934466417458E-2</v>
      </c>
      <c r="T53" s="103">
        <v>9.3900536549196167E-2</v>
      </c>
      <c r="U53" s="103">
        <v>9.3883236186921432E-2</v>
      </c>
      <c r="V53" s="103">
        <v>9.3653741773447097E-2</v>
      </c>
      <c r="W53" s="103">
        <v>9.3421348726246703E-2</v>
      </c>
      <c r="X53" s="103">
        <v>9.3111424595791609E-2</v>
      </c>
      <c r="Y53" s="103">
        <v>9.3059111700075636E-2</v>
      </c>
      <c r="Z53" s="103">
        <v>9.2983686232233242E-2</v>
      </c>
      <c r="AA53" s="103">
        <v>9.2896545155667615E-2</v>
      </c>
      <c r="AB53" s="103">
        <v>9.2837913567853259E-2</v>
      </c>
      <c r="AC53" s="103">
        <v>9.2630651214057169E-2</v>
      </c>
      <c r="AD53" s="103">
        <v>9.2481222116379838E-2</v>
      </c>
      <c r="AE53" s="103">
        <v>9.2424625458149376E-2</v>
      </c>
      <c r="AF53" s="103">
        <v>9.2420752433380729E-2</v>
      </c>
      <c r="AG53" s="103">
        <v>9.235272634589739E-2</v>
      </c>
      <c r="AH53" s="103">
        <v>9.2334400731868993E-2</v>
      </c>
      <c r="AI53" s="103">
        <v>9.2321970435548267E-2</v>
      </c>
      <c r="AJ53" s="103">
        <v>9.2278204388182447E-2</v>
      </c>
      <c r="AK53" s="103">
        <v>9.224094179437882E-2</v>
      </c>
      <c r="AL53" s="103">
        <v>9.2212068089081722E-2</v>
      </c>
      <c r="AM53" s="103">
        <v>9.2139679028672941E-2</v>
      </c>
      <c r="AN53" s="103">
        <v>9.211543062639671E-2</v>
      </c>
      <c r="AO53" s="103">
        <v>9.2074289262989578E-2</v>
      </c>
      <c r="AP53" s="103">
        <v>9.1885157479527649E-2</v>
      </c>
      <c r="AQ53" s="103">
        <v>9.1846796591580099E-2</v>
      </c>
      <c r="AR53" s="103">
        <v>9.1843606440737913E-2</v>
      </c>
      <c r="AS53" s="103">
        <v>9.1843309336791287E-2</v>
      </c>
      <c r="AT53" s="103">
        <v>9.168397214003457E-2</v>
      </c>
      <c r="AU53" s="103">
        <v>9.1637019206493447E-2</v>
      </c>
      <c r="AV53" s="103">
        <v>9.1618645188739661E-2</v>
      </c>
      <c r="AW53" s="103">
        <v>9.1559448757387613E-2</v>
      </c>
      <c r="AX53" s="103">
        <v>9.1533983242696015E-2</v>
      </c>
      <c r="AY53" s="103">
        <v>9.1529084386191534E-2</v>
      </c>
      <c r="AZ53" s="103">
        <v>9.1499283981510804E-2</v>
      </c>
      <c r="BA53" s="103">
        <v>9.1415373755661444E-2</v>
      </c>
      <c r="BB53" s="103">
        <v>9.1366338010425291E-2</v>
      </c>
      <c r="BC53" s="103">
        <v>9.1253225226560652E-2</v>
      </c>
      <c r="BD53" s="103">
        <v>9.1089545445496065E-2</v>
      </c>
      <c r="BE53" s="103">
        <v>9.0948208190268068E-2</v>
      </c>
      <c r="BF53" s="103">
        <v>9.0880759457255572E-2</v>
      </c>
      <c r="BG53" s="103">
        <v>9.0833015703628811E-2</v>
      </c>
      <c r="BH53" s="103">
        <v>9.0826737776563971E-2</v>
      </c>
      <c r="BI53" s="103">
        <v>9.0823511677787155E-2</v>
      </c>
      <c r="BJ53" s="103">
        <v>9.0814241819993924E-2</v>
      </c>
      <c r="BK53" s="103">
        <v>9.0792281150678972E-2</v>
      </c>
      <c r="BL53" s="103">
        <v>9.0787744140966603E-2</v>
      </c>
      <c r="BM53" s="103">
        <v>9.0787295226005496E-2</v>
      </c>
      <c r="BN53" s="103">
        <v>9.0756487933429025E-2</v>
      </c>
      <c r="BO53" s="103">
        <v>9.0745712414374693E-2</v>
      </c>
      <c r="BP53" s="103">
        <v>9.0697248457128371E-2</v>
      </c>
      <c r="BQ53" s="103">
        <v>9.0690788900793684E-2</v>
      </c>
      <c r="BR53" s="103">
        <v>9.0653090977386039E-2</v>
      </c>
      <c r="BS53" s="103">
        <v>9.0628249318768422E-2</v>
      </c>
      <c r="BT53" s="103">
        <v>9.062461179473652E-2</v>
      </c>
      <c r="BU53" s="103">
        <v>9.0536722165729139E-2</v>
      </c>
      <c r="BV53" s="103">
        <v>9.0517566099699215E-2</v>
      </c>
      <c r="BW53" s="103">
        <v>9.0509337611694302E-2</v>
      </c>
      <c r="BX53" s="103">
        <v>9.0497943129744629E-2</v>
      </c>
      <c r="BY53" s="103">
        <v>9.0474819643989957E-2</v>
      </c>
      <c r="BZ53" s="103">
        <v>9.0472198363146239E-2</v>
      </c>
      <c r="CA53" s="103">
        <v>9.0470065914299014E-2</v>
      </c>
      <c r="CB53" s="103">
        <v>9.046586893397951E-2</v>
      </c>
      <c r="CC53" s="103">
        <v>9.0456044340717412E-2</v>
      </c>
      <c r="CD53" s="103">
        <v>9.0421468336720018E-2</v>
      </c>
      <c r="CE53" s="103">
        <v>9.0411521168378445E-2</v>
      </c>
      <c r="CF53" s="103">
        <v>9.0388234872120402E-2</v>
      </c>
      <c r="CG53" s="103">
        <v>9.0326484685003178E-2</v>
      </c>
      <c r="CH53" s="103">
        <v>9.0325121821073287E-2</v>
      </c>
      <c r="CI53" s="103">
        <v>9.029056879710208E-2</v>
      </c>
      <c r="CJ53" s="103">
        <v>9.0288953195066746E-2</v>
      </c>
      <c r="CK53" s="103">
        <v>9.0288890463223068E-2</v>
      </c>
      <c r="CL53" s="103">
        <v>9.0287186212151038E-2</v>
      </c>
      <c r="CM53" s="103">
        <v>9.0269907626599144E-2</v>
      </c>
      <c r="CN53" s="103">
        <v>9.0267412236307271E-2</v>
      </c>
      <c r="CO53" s="103">
        <v>9.0260640866132003E-2</v>
      </c>
      <c r="CP53" s="103">
        <v>9.0255779035336381E-2</v>
      </c>
      <c r="CQ53" s="103">
        <v>9.0191946282812116E-2</v>
      </c>
      <c r="CR53" s="103">
        <v>9.0154859979479668E-2</v>
      </c>
      <c r="CS53" s="103">
        <v>9.012588968660773E-2</v>
      </c>
      <c r="CT53" s="103">
        <v>9.0098012306022227E-2</v>
      </c>
      <c r="CU53" s="103">
        <v>9.0067668114273136E-2</v>
      </c>
      <c r="CV53" s="103">
        <v>9.0044589561192989E-2</v>
      </c>
      <c r="CW53" s="103">
        <v>9.0042748227209091E-2</v>
      </c>
      <c r="CX53" s="103">
        <v>9.0019727184171922E-2</v>
      </c>
    </row>
    <row r="54" spans="1:102">
      <c r="A54" s="23"/>
      <c r="B54" s="14" t="s">
        <v>30</v>
      </c>
      <c r="C54" s="105">
        <v>5.9337846156145208E-2</v>
      </c>
      <c r="D54" s="105">
        <v>5.9353696574584974E-2</v>
      </c>
      <c r="E54" s="105">
        <v>5.9954021938792228E-2</v>
      </c>
      <c r="F54" s="105">
        <v>5.9411122551906878E-2</v>
      </c>
      <c r="G54" s="105">
        <v>5.9450279193237386E-2</v>
      </c>
      <c r="H54" s="105">
        <v>5.8192808029954891E-2</v>
      </c>
      <c r="I54" s="105">
        <v>5.905752010247594E-2</v>
      </c>
      <c r="J54" s="105">
        <v>5.9925011116138162E-2</v>
      </c>
      <c r="K54" s="105">
        <v>5.921229913067097E-2</v>
      </c>
      <c r="L54" s="105">
        <v>5.9932650023190391E-2</v>
      </c>
      <c r="M54" s="105">
        <v>5.9874454965738441E-2</v>
      </c>
      <c r="N54" s="105">
        <v>5.9327822191216739E-2</v>
      </c>
      <c r="O54" s="105">
        <v>5.9358048091792036E-2</v>
      </c>
      <c r="P54" s="105">
        <v>5.9954433215697912E-2</v>
      </c>
      <c r="Q54" s="105">
        <v>5.9249426261592346E-2</v>
      </c>
      <c r="R54" s="105">
        <v>5.903085158836379E-2</v>
      </c>
      <c r="S54" s="105">
        <v>5.9174618399228766E-2</v>
      </c>
      <c r="T54" s="105">
        <v>5.8515033848478233E-2</v>
      </c>
      <c r="U54" s="105">
        <v>5.7335116288247646E-2</v>
      </c>
      <c r="V54" s="105">
        <v>5.9231092574990471E-2</v>
      </c>
      <c r="W54" s="105">
        <v>5.8671292498624135E-2</v>
      </c>
      <c r="X54" s="105">
        <v>5.8548190311129629E-2</v>
      </c>
      <c r="Y54" s="105">
        <v>5.9822652526589547E-2</v>
      </c>
      <c r="Z54" s="105">
        <v>5.900940064721464E-2</v>
      </c>
      <c r="AA54" s="105">
        <v>5.9988065395004141E-2</v>
      </c>
      <c r="AB54" s="105">
        <v>5.8650659697308795E-2</v>
      </c>
      <c r="AC54" s="105">
        <v>5.9869459627662408E-2</v>
      </c>
      <c r="AD54" s="105">
        <v>5.8716503321460868E-2</v>
      </c>
      <c r="AE54" s="105">
        <v>5.9776579311488963E-2</v>
      </c>
      <c r="AF54" s="105">
        <v>5.9556358557224715E-2</v>
      </c>
      <c r="AG54" s="105">
        <v>5.9869706567680397E-2</v>
      </c>
      <c r="AH54" s="105">
        <v>5.8741686094172678E-2</v>
      </c>
      <c r="AI54" s="105">
        <v>5.8782289893362462E-2</v>
      </c>
      <c r="AJ54" s="105">
        <v>5.9198118211566703E-2</v>
      </c>
      <c r="AK54" s="105">
        <v>5.9919987848691056E-2</v>
      </c>
      <c r="AL54" s="105">
        <v>5.762485938749589E-2</v>
      </c>
      <c r="AM54" s="105">
        <v>5.9123533179417063E-2</v>
      </c>
      <c r="AN54" s="105">
        <v>5.9559065429638694E-2</v>
      </c>
      <c r="AO54" s="105">
        <v>5.792895759117115E-2</v>
      </c>
      <c r="AP54" s="105">
        <v>5.6430818064088818E-2</v>
      </c>
      <c r="AQ54" s="105">
        <v>5.9154057114421746E-2</v>
      </c>
      <c r="AR54" s="105">
        <v>5.9633266514779945E-2</v>
      </c>
      <c r="AS54" s="105">
        <v>5.9436341927680214E-2</v>
      </c>
      <c r="AT54" s="105">
        <v>5.819496923495919E-2</v>
      </c>
      <c r="AU54" s="105">
        <v>5.8563722484083681E-2</v>
      </c>
      <c r="AV54" s="105">
        <v>5.923684391779091E-2</v>
      </c>
      <c r="AW54" s="105">
        <v>5.7888482131605953E-2</v>
      </c>
      <c r="AX54" s="105">
        <v>5.979117278809027E-2</v>
      </c>
      <c r="AY54" s="105">
        <v>5.8637920339490369E-2</v>
      </c>
      <c r="AZ54" s="105">
        <v>5.909586051426842E-2</v>
      </c>
      <c r="BA54" s="105">
        <v>5.9752866551493665E-2</v>
      </c>
      <c r="BB54" s="105">
        <v>5.9420190300037264E-2</v>
      </c>
      <c r="BC54" s="105">
        <v>5.8202367594042813E-2</v>
      </c>
      <c r="BD54" s="105">
        <v>5.9520938008563534E-2</v>
      </c>
      <c r="BE54" s="105">
        <v>5.8764796569025189E-2</v>
      </c>
      <c r="BF54" s="105">
        <v>5.9999269838031902E-2</v>
      </c>
      <c r="BG54" s="105">
        <v>5.9852442209727727E-2</v>
      </c>
      <c r="BH54" s="105">
        <v>5.9401930471538057E-2</v>
      </c>
      <c r="BI54" s="105">
        <v>5.8561826645025926E-2</v>
      </c>
      <c r="BJ54" s="105">
        <v>5.9732008685107175E-2</v>
      </c>
      <c r="BK54" s="105">
        <v>5.8949613055461841E-2</v>
      </c>
      <c r="BL54" s="105">
        <v>5.6430009673567441E-2</v>
      </c>
      <c r="BM54" s="105">
        <v>5.9744351845186477E-2</v>
      </c>
      <c r="BN54" s="105">
        <v>5.9489384857981047E-2</v>
      </c>
      <c r="BO54" s="105">
        <v>5.9363975173705882E-2</v>
      </c>
      <c r="BP54" s="105">
        <v>5.9749422160182315E-2</v>
      </c>
      <c r="BQ54" s="105">
        <v>5.9183165781448679E-2</v>
      </c>
      <c r="BR54" s="105">
        <v>5.9136973986360815E-2</v>
      </c>
      <c r="BS54" s="105">
        <v>5.7883969844441593E-2</v>
      </c>
      <c r="BT54" s="105">
        <v>5.8530073581012317E-2</v>
      </c>
      <c r="BU54" s="105">
        <v>5.9056382140241739E-2</v>
      </c>
      <c r="BV54" s="105">
        <v>5.7969416783515838E-2</v>
      </c>
      <c r="BW54" s="105">
        <v>5.6318926788130996E-2</v>
      </c>
      <c r="BX54" s="105">
        <v>5.9261485540783268E-2</v>
      </c>
      <c r="BY54" s="105">
        <v>5.6780240396546208E-2</v>
      </c>
      <c r="BZ54" s="105">
        <v>5.9097186870120583E-2</v>
      </c>
      <c r="CA54" s="105">
        <v>5.9369081455312521E-2</v>
      </c>
      <c r="CB54" s="105">
        <v>5.7869577585048321E-2</v>
      </c>
      <c r="CC54" s="105">
        <v>5.7947613751900405E-2</v>
      </c>
      <c r="CD54" s="105">
        <v>5.7652074051216168E-2</v>
      </c>
      <c r="CE54" s="105">
        <v>5.9277686144514972E-2</v>
      </c>
      <c r="CF54" s="105">
        <v>5.9115481317628449E-2</v>
      </c>
      <c r="CG54" s="105">
        <v>5.9042775674008327E-2</v>
      </c>
      <c r="CH54" s="105">
        <v>5.9875109784935404E-2</v>
      </c>
      <c r="CI54" s="105">
        <v>5.8709875367771051E-2</v>
      </c>
      <c r="CJ54" s="105">
        <v>5.8065026840378765E-2</v>
      </c>
      <c r="CK54" s="105">
        <v>5.8828015907050682E-2</v>
      </c>
      <c r="CL54" s="105">
        <v>5.726967843938334E-2</v>
      </c>
      <c r="CM54" s="105">
        <v>5.9843200420565068E-2</v>
      </c>
      <c r="CN54" s="105">
        <v>5.8402064300019395E-2</v>
      </c>
      <c r="CO54" s="105">
        <v>5.8783138041890913E-2</v>
      </c>
      <c r="CP54" s="105">
        <v>5.9336123291934106E-2</v>
      </c>
      <c r="CQ54" s="105">
        <v>5.973104031439503E-2</v>
      </c>
      <c r="CR54" s="105">
        <v>5.8862034299581756E-2</v>
      </c>
      <c r="CS54" s="105">
        <v>5.9633594632327327E-2</v>
      </c>
      <c r="CT54" s="105">
        <v>5.9729617310047133E-2</v>
      </c>
      <c r="CU54" s="105">
        <v>5.9357470309986858E-2</v>
      </c>
      <c r="CV54" s="105">
        <v>5.930908939371634E-2</v>
      </c>
      <c r="CW54" s="105">
        <v>5.9089786493002915E-2</v>
      </c>
      <c r="CX54" s="105">
        <v>5.7745034228902634E-2</v>
      </c>
    </row>
    <row r="55" spans="1:102">
      <c r="A55" s="23"/>
      <c r="B55" s="56" t="s">
        <v>56</v>
      </c>
      <c r="C55" s="105">
        <v>0.10476007307355069</v>
      </c>
      <c r="D55" s="105">
        <v>0.10537762542237152</v>
      </c>
      <c r="E55" s="105">
        <v>0.10612709012222366</v>
      </c>
      <c r="F55" s="105">
        <v>0.10450614594877809</v>
      </c>
      <c r="G55" s="105">
        <v>0.10325640905242425</v>
      </c>
      <c r="H55" s="105">
        <v>0.10495309277629403</v>
      </c>
      <c r="I55" s="105">
        <v>0.10297578631583312</v>
      </c>
      <c r="J55" s="105">
        <v>0.10467911513784472</v>
      </c>
      <c r="K55" s="105">
        <v>0.10643660542039428</v>
      </c>
      <c r="L55" s="105">
        <v>0.10484672378610747</v>
      </c>
      <c r="M55" s="105">
        <v>0.1062831546188823</v>
      </c>
      <c r="N55" s="105">
        <v>0.1040568097134381</v>
      </c>
      <c r="O55" s="105">
        <v>0.10561160316850869</v>
      </c>
      <c r="P55" s="105">
        <v>0.10465620636776335</v>
      </c>
      <c r="Q55" s="105">
        <v>0.10319584338366744</v>
      </c>
      <c r="R55" s="105">
        <v>0.10538794240271009</v>
      </c>
      <c r="S55" s="105">
        <v>0.10141003191210309</v>
      </c>
      <c r="T55" s="105">
        <v>0.10250620686062382</v>
      </c>
      <c r="U55" s="105">
        <v>0.1051203595687408</v>
      </c>
      <c r="V55" s="105">
        <v>0.10448480656313371</v>
      </c>
      <c r="W55" s="105">
        <v>0.10538528194578002</v>
      </c>
      <c r="X55" s="105">
        <v>0.10192111398654945</v>
      </c>
      <c r="Y55" s="105">
        <v>0.10429572716371671</v>
      </c>
      <c r="Z55" s="105">
        <v>0.10426112807003436</v>
      </c>
      <c r="AA55" s="105">
        <v>0.10434126535659767</v>
      </c>
      <c r="AB55" s="105">
        <v>9.8932055429385865E-2</v>
      </c>
      <c r="AC55" s="105">
        <v>0.1013723624174834</v>
      </c>
      <c r="AD55" s="105">
        <v>0.10291260816377615</v>
      </c>
      <c r="AE55" s="105">
        <v>0.10145789265035388</v>
      </c>
      <c r="AF55" s="105">
        <v>0.10329141638912373</v>
      </c>
      <c r="AG55" s="105">
        <v>0.10309716847400513</v>
      </c>
      <c r="AH55" s="105">
        <v>9.9994350161061576E-2</v>
      </c>
      <c r="AI55" s="105">
        <v>0.10467571216367978</v>
      </c>
      <c r="AJ55" s="105">
        <v>0.10303993147913408</v>
      </c>
      <c r="AK55" s="105">
        <v>0.1046783896313675</v>
      </c>
      <c r="AL55" s="105">
        <v>0.10208470782435791</v>
      </c>
      <c r="AM55" s="105">
        <v>0.10389231211037046</v>
      </c>
      <c r="AN55" s="105">
        <v>0.10215600444022789</v>
      </c>
      <c r="AO55" s="105">
        <v>0.10679224433422434</v>
      </c>
      <c r="AP55" s="105">
        <v>0.1046894871429416</v>
      </c>
      <c r="AQ55" s="105">
        <v>0.10406061392538363</v>
      </c>
      <c r="AR55" s="105">
        <v>0.10244604277218088</v>
      </c>
      <c r="AS55" s="105">
        <v>0.10240440856313261</v>
      </c>
      <c r="AT55" s="105">
        <v>0.1039625059846772</v>
      </c>
      <c r="AU55" s="105">
        <v>0.10688164391305423</v>
      </c>
      <c r="AV55" s="105">
        <v>0.10432830632137087</v>
      </c>
      <c r="AW55" s="105">
        <v>0.10044016928751413</v>
      </c>
      <c r="AX55" s="105">
        <v>0.10255592487795728</v>
      </c>
      <c r="AY55" s="105">
        <v>0.10250432249453723</v>
      </c>
      <c r="AZ55" s="105">
        <v>0.105014448057228</v>
      </c>
      <c r="BA55" s="105">
        <v>0.10480915528964765</v>
      </c>
      <c r="BB55" s="105">
        <v>9.9694224416606136E-2</v>
      </c>
      <c r="BC55" s="105">
        <v>0.10520871577132963</v>
      </c>
      <c r="BD55" s="105">
        <v>0.10351950494380373</v>
      </c>
      <c r="BE55" s="105">
        <v>0.10211409777334834</v>
      </c>
      <c r="BF55" s="105">
        <v>0.10098157591906687</v>
      </c>
      <c r="BG55" s="105">
        <v>9.8038756182370887E-2</v>
      </c>
      <c r="BH55" s="105">
        <v>0.10351641625428516</v>
      </c>
      <c r="BI55" s="105">
        <v>0.1030251978163358</v>
      </c>
      <c r="BJ55" s="105">
        <v>0.10254816329319295</v>
      </c>
      <c r="BK55" s="105">
        <v>0.10606116001670297</v>
      </c>
      <c r="BL55" s="105">
        <v>0.10429130076297574</v>
      </c>
      <c r="BM55" s="105">
        <v>0.10179936857783631</v>
      </c>
      <c r="BN55" s="105">
        <v>9.9052392630962258E-2</v>
      </c>
      <c r="BO55" s="105">
        <v>0.10083221512178532</v>
      </c>
      <c r="BP55" s="105">
        <v>9.6759405245357283E-2</v>
      </c>
      <c r="BQ55" s="105">
        <v>0.10714130150794304</v>
      </c>
      <c r="BR55" s="105">
        <v>0.10316477237141868</v>
      </c>
      <c r="BS55" s="105">
        <v>9.9353228740164015E-2</v>
      </c>
      <c r="BT55" s="105">
        <v>0.10313764603458486</v>
      </c>
      <c r="BU55" s="105">
        <v>0.10362171883231978</v>
      </c>
      <c r="BV55" s="105">
        <v>0.10286228482382939</v>
      </c>
      <c r="BW55" s="105">
        <v>0.10188103863839792</v>
      </c>
      <c r="BX55" s="105">
        <v>0.10462048495584191</v>
      </c>
      <c r="BY55" s="105">
        <v>0.10124006113274697</v>
      </c>
      <c r="BZ55" s="105">
        <v>0.10031086926039</v>
      </c>
      <c r="CA55" s="105">
        <v>0.103541892735781</v>
      </c>
      <c r="CB55" s="105">
        <v>0.10308770075853348</v>
      </c>
      <c r="CC55" s="105">
        <v>9.9812963466172466E-2</v>
      </c>
      <c r="CD55" s="105">
        <v>0.10179734156747054</v>
      </c>
      <c r="CE55" s="105">
        <v>0.10098067323406619</v>
      </c>
      <c r="CF55" s="105">
        <v>0.10306825029026591</v>
      </c>
      <c r="CG55" s="105">
        <v>0.10232862679720635</v>
      </c>
      <c r="CH55" s="105">
        <v>0.10224162174044951</v>
      </c>
      <c r="CI55" s="105">
        <v>0.10560218423353859</v>
      </c>
      <c r="CJ55" s="105">
        <v>0.10552847213246597</v>
      </c>
      <c r="CK55" s="105">
        <v>0.10375035697873418</v>
      </c>
      <c r="CL55" s="105">
        <v>0.10514665116761421</v>
      </c>
      <c r="CM55" s="105">
        <v>9.6590651358605825E-2</v>
      </c>
      <c r="CN55" s="105">
        <v>0.10290279857808116</v>
      </c>
      <c r="CO55" s="105">
        <v>0.10031972734337093</v>
      </c>
      <c r="CP55" s="105">
        <v>0.10385639643680679</v>
      </c>
      <c r="CQ55" s="105">
        <v>0.10670201811592198</v>
      </c>
      <c r="CR55" s="105">
        <v>0.1034735273512022</v>
      </c>
      <c r="CS55" s="105">
        <v>0.10298736793632025</v>
      </c>
      <c r="CT55" s="105">
        <v>0.10291706883051506</v>
      </c>
      <c r="CU55" s="105">
        <v>0.10045134270189887</v>
      </c>
      <c r="CV55" s="105">
        <v>0.10368403888388406</v>
      </c>
      <c r="CW55" s="105">
        <v>0.10088330688181053</v>
      </c>
      <c r="CX55" s="105">
        <v>0.10535857379318647</v>
      </c>
    </row>
    <row r="56" spans="1:102">
      <c r="A56" s="106"/>
      <c r="B56" s="56" t="s">
        <v>114</v>
      </c>
      <c r="C56" s="105">
        <v>6.9610817789466387E-2</v>
      </c>
      <c r="D56" s="105">
        <v>7.0129891092921198E-2</v>
      </c>
      <c r="E56" s="105">
        <v>7.4747957363739348E-2</v>
      </c>
      <c r="F56" s="105">
        <v>7.450677537377591E-2</v>
      </c>
      <c r="G56" s="105">
        <v>7.5586625765263718E-2</v>
      </c>
      <c r="H56" s="105">
        <v>7.1583741736163539E-2</v>
      </c>
      <c r="I56" s="105">
        <v>7.5018596348039618E-2</v>
      </c>
      <c r="J56" s="105">
        <v>7.8604603261161629E-2</v>
      </c>
      <c r="K56" s="105">
        <v>7.6291678900303292E-2</v>
      </c>
      <c r="L56" s="105">
        <v>7.9087370289626813E-2</v>
      </c>
      <c r="M56" s="105">
        <v>7.9164873547569709E-2</v>
      </c>
      <c r="N56" s="105">
        <v>7.7562486693449589E-2</v>
      </c>
      <c r="O56" s="105">
        <v>7.7994258911366313E-2</v>
      </c>
      <c r="P56" s="105">
        <v>8.026953942402347E-2</v>
      </c>
      <c r="Q56" s="105">
        <v>7.7862533293739211E-2</v>
      </c>
      <c r="R56" s="105">
        <v>7.7269775111572556E-2</v>
      </c>
      <c r="S56" s="105">
        <v>7.8101980131359855E-2</v>
      </c>
      <c r="T56" s="105">
        <v>7.5810572361962036E-2</v>
      </c>
      <c r="U56" s="105">
        <v>7.1729010038026481E-2</v>
      </c>
      <c r="V56" s="105">
        <v>7.8926674834658872E-2</v>
      </c>
      <c r="W56" s="105">
        <v>7.7535960806751278E-2</v>
      </c>
      <c r="X56" s="105">
        <v>7.7871004701450489E-2</v>
      </c>
      <c r="Y56" s="105">
        <v>8.2504227366157076E-2</v>
      </c>
      <c r="Z56" s="105">
        <v>7.9820633395685681E-2</v>
      </c>
      <c r="AA56" s="105">
        <v>8.3503667392962444E-2</v>
      </c>
      <c r="AB56" s="105">
        <v>7.8916806143233126E-2</v>
      </c>
      <c r="AC56" s="105">
        <v>8.3765562656770751E-2</v>
      </c>
      <c r="AD56" s="105">
        <v>8.0049806783668936E-2</v>
      </c>
      <c r="AE56" s="105">
        <v>8.3966146606942543E-2</v>
      </c>
      <c r="AF56" s="105">
        <v>8.319271856735129E-2</v>
      </c>
      <c r="AG56" s="105">
        <v>8.4483210613993664E-2</v>
      </c>
      <c r="AH56" s="105">
        <v>8.0512141149011465E-2</v>
      </c>
      <c r="AI56" s="105">
        <v>8.0688507476622068E-2</v>
      </c>
      <c r="AJ56" s="105">
        <v>8.2282855239258046E-2</v>
      </c>
      <c r="AK56" s="105">
        <v>8.4951950551394151E-2</v>
      </c>
      <c r="AL56" s="105">
        <v>7.6836492634656292E-2</v>
      </c>
      <c r="AM56" s="105">
        <v>8.2372431541034768E-2</v>
      </c>
      <c r="AN56" s="105">
        <v>8.3990146530455612E-2</v>
      </c>
      <c r="AO56" s="105">
        <v>7.8269336359555158E-2</v>
      </c>
      <c r="AP56" s="105">
        <v>7.3379961810001545E-2</v>
      </c>
      <c r="AQ56" s="105">
        <v>8.3237264924722221E-2</v>
      </c>
      <c r="AR56" s="105">
        <v>8.496188007437927E-2</v>
      </c>
      <c r="AS56" s="105">
        <v>8.4257511486990289E-2</v>
      </c>
      <c r="AT56" s="105">
        <v>8.0215123671687663E-2</v>
      </c>
      <c r="AU56" s="105">
        <v>8.1660890503367806E-2</v>
      </c>
      <c r="AV56" s="105">
        <v>8.4126992559790947E-2</v>
      </c>
      <c r="AW56" s="105">
        <v>7.9431434173694068E-2</v>
      </c>
      <c r="AX56" s="105">
        <v>8.63395308327254E-2</v>
      </c>
      <c r="AY56" s="105">
        <v>8.2206518297316317E-2</v>
      </c>
      <c r="AZ56" s="105">
        <v>8.3931485276169601E-2</v>
      </c>
      <c r="BA56" s="105">
        <v>8.651454859160787E-2</v>
      </c>
      <c r="BB56" s="105">
        <v>8.5446787040045935E-2</v>
      </c>
      <c r="BC56" s="105">
        <v>8.1350211109411957E-2</v>
      </c>
      <c r="BD56" s="105">
        <v>8.654055963843317E-2</v>
      </c>
      <c r="BE56" s="105">
        <v>8.4179643624371511E-2</v>
      </c>
      <c r="BF56" s="105">
        <v>8.8824517696502792E-2</v>
      </c>
      <c r="BG56" s="105">
        <v>8.8421688054719838E-2</v>
      </c>
      <c r="BH56" s="105">
        <v>8.6808166564023334E-2</v>
      </c>
      <c r="BI56" s="105">
        <v>8.3771792101143799E-2</v>
      </c>
      <c r="BJ56" s="105">
        <v>8.8036281774439396E-2</v>
      </c>
      <c r="BK56" s="105">
        <v>8.5260578780821925E-2</v>
      </c>
      <c r="BL56" s="105">
        <v>7.6122714629828878E-2</v>
      </c>
      <c r="BM56" s="105">
        <v>8.8153041766948464E-2</v>
      </c>
      <c r="BN56" s="105">
        <v>8.7312136167113003E-2</v>
      </c>
      <c r="BO56" s="105">
        <v>8.6886429911461699E-2</v>
      </c>
      <c r="BP56" s="105">
        <v>8.8412661665521794E-2</v>
      </c>
      <c r="BQ56" s="105">
        <v>8.6377014644667224E-2</v>
      </c>
      <c r="BR56" s="105">
        <v>8.6309708254908579E-2</v>
      </c>
      <c r="BS56" s="105">
        <v>8.1820659458626946E-2</v>
      </c>
      <c r="BT56" s="105">
        <v>8.4180347471111805E-2</v>
      </c>
      <c r="BU56" s="105">
        <v>8.6326913268344907E-2</v>
      </c>
      <c r="BV56" s="105">
        <v>8.242149959462261E-2</v>
      </c>
      <c r="BW56" s="105">
        <v>7.6426636679132798E-2</v>
      </c>
      <c r="BX56" s="105">
        <v>8.7176046919421935E-2</v>
      </c>
      <c r="BY56" s="105">
        <v>7.8197141675631215E-2</v>
      </c>
      <c r="BZ56" s="105">
        <v>8.664746862699392E-2</v>
      </c>
      <c r="CA56" s="105">
        <v>8.7641822086187107E-2</v>
      </c>
      <c r="CB56" s="105">
        <v>8.2193213232462911E-2</v>
      </c>
      <c r="CC56" s="105">
        <v>8.250349604671374E-2</v>
      </c>
      <c r="CD56" s="105">
        <v>8.1516223579094188E-2</v>
      </c>
      <c r="CE56" s="105">
        <v>8.7466474182678805E-2</v>
      </c>
      <c r="CF56" s="105">
        <v>8.6938570651185293E-2</v>
      </c>
      <c r="CG56" s="105">
        <v>8.6839121223154819E-2</v>
      </c>
      <c r="CH56" s="105">
        <v>8.9871872405667561E-2</v>
      </c>
      <c r="CI56" s="105">
        <v>8.5721476889685094E-2</v>
      </c>
      <c r="CJ56" s="105">
        <v>8.337198949710807E-2</v>
      </c>
      <c r="CK56" s="105">
        <v>8.6156852227694827E-2</v>
      </c>
      <c r="CL56" s="105">
        <v>8.0470406684583856E-2</v>
      </c>
      <c r="CM56" s="105">
        <v>8.9905507390599271E-2</v>
      </c>
      <c r="CN56" s="105">
        <v>8.4659790640233781E-2</v>
      </c>
      <c r="CO56" s="105">
        <v>8.6068640678399463E-2</v>
      </c>
      <c r="CP56" s="105">
        <v>8.8097817237217477E-2</v>
      </c>
      <c r="CQ56" s="105">
        <v>8.9708761558469949E-2</v>
      </c>
      <c r="CR56" s="105">
        <v>8.6639779625392987E-2</v>
      </c>
      <c r="CS56" s="105">
        <v>8.9532938695982653E-2</v>
      </c>
      <c r="CT56" s="105">
        <v>8.9958607837517787E-2</v>
      </c>
      <c r="CU56" s="105">
        <v>8.8683525548570646E-2</v>
      </c>
      <c r="CV56" s="105">
        <v>8.8569341437320398E-2</v>
      </c>
      <c r="CW56" s="105">
        <v>8.7773262726821774E-2</v>
      </c>
      <c r="CX56" s="105">
        <v>8.2912828166328695E-2</v>
      </c>
    </row>
    <row r="57" spans="1:102">
      <c r="A57" s="88" t="str">
        <f>Parameters!A44</f>
        <v>Schuld deflatie</v>
      </c>
      <c r="B57" s="102" t="s">
        <v>29</v>
      </c>
      <c r="C57" s="103">
        <v>-0.10537982559486779</v>
      </c>
      <c r="D57" s="103">
        <v>-0.11457732100819329</v>
      </c>
      <c r="E57" s="103">
        <v>-0.10715070495346961</v>
      </c>
      <c r="F57" s="103">
        <v>-9.4741320615771563E-2</v>
      </c>
      <c r="G57" s="103">
        <v>-0.10412873371499448</v>
      </c>
      <c r="H57" s="103">
        <v>-0.10651808126980288</v>
      </c>
      <c r="I57" s="103">
        <v>-0.11395676825712059</v>
      </c>
      <c r="J57" s="103">
        <v>-0.11415494900077411</v>
      </c>
      <c r="K57" s="103">
        <v>-0.1053637525341139</v>
      </c>
      <c r="L57" s="103">
        <v>-0.11685042895126337</v>
      </c>
      <c r="M57" s="103">
        <v>-0.11705089865831812</v>
      </c>
      <c r="N57" s="103">
        <v>-0.10621582595108106</v>
      </c>
      <c r="O57" s="103">
        <v>-0.1218401414767893</v>
      </c>
      <c r="P57" s="103">
        <v>-0.10919415810229352</v>
      </c>
      <c r="Q57" s="103">
        <v>-0.10642675292649201</v>
      </c>
      <c r="R57" s="103">
        <v>-0.10258241470938691</v>
      </c>
      <c r="S57" s="103">
        <v>-0.11664310832925773</v>
      </c>
      <c r="T57" s="103">
        <v>-9.8378422973694452E-2</v>
      </c>
      <c r="U57" s="103">
        <v>-0.1021208826988555</v>
      </c>
      <c r="V57" s="103">
        <v>-0.11452931092086101</v>
      </c>
      <c r="W57" s="103">
        <v>-0.11873923510717582</v>
      </c>
      <c r="X57" s="103">
        <v>-0.10160004062861649</v>
      </c>
      <c r="Y57" s="103">
        <v>-0.12643609602685563</v>
      </c>
      <c r="Z57" s="103">
        <v>-0.10462116237650881</v>
      </c>
      <c r="AA57" s="103">
        <v>-9.5317346628036426E-2</v>
      </c>
      <c r="AB57" s="103">
        <v>-0.11455476247187134</v>
      </c>
      <c r="AC57" s="103">
        <v>-0.11079449103051306</v>
      </c>
      <c r="AD57" s="103">
        <v>-0.11695897756666732</v>
      </c>
      <c r="AE57" s="103">
        <v>-9.928277516714068E-2</v>
      </c>
      <c r="AF57" s="103">
        <v>-0.11774671737389805</v>
      </c>
      <c r="AG57" s="103">
        <v>-0.10033823547778378</v>
      </c>
      <c r="AH57" s="103">
        <v>-0.1160728528808318</v>
      </c>
      <c r="AI57" s="103">
        <v>-0.107432601619518</v>
      </c>
      <c r="AJ57" s="103">
        <v>-0.10256046355011025</v>
      </c>
      <c r="AK57" s="103">
        <v>-0.11448977806849164</v>
      </c>
      <c r="AL57" s="103">
        <v>-0.10313669573208274</v>
      </c>
      <c r="AM57" s="103">
        <v>-0.12236937596220826</v>
      </c>
      <c r="AN57" s="103">
        <v>-0.11428598744809712</v>
      </c>
      <c r="AO57" s="103">
        <v>-0.10640027745125247</v>
      </c>
      <c r="AP57" s="103">
        <v>-0.10308406198172146</v>
      </c>
      <c r="AQ57" s="103">
        <v>-0.10886319875287565</v>
      </c>
      <c r="AR57" s="103">
        <v>-0.10278692520795371</v>
      </c>
      <c r="AS57" s="103">
        <v>-8.6902812265703872E-2</v>
      </c>
      <c r="AT57" s="103">
        <v>-0.11044674639708309</v>
      </c>
      <c r="AU57" s="103">
        <v>-0.10874261539047306</v>
      </c>
      <c r="AV57" s="103">
        <v>-0.10159427315128877</v>
      </c>
      <c r="AW57" s="103">
        <v>-0.10225558558507815</v>
      </c>
      <c r="AX57" s="103">
        <v>-0.11584498583765046</v>
      </c>
      <c r="AY57" s="103">
        <v>-0.11078552914498316</v>
      </c>
      <c r="AZ57" s="103">
        <v>-0.12163950204479725</v>
      </c>
      <c r="BA57" s="103">
        <v>-0.11932494035670299</v>
      </c>
      <c r="BB57" s="103">
        <v>-0.11915992629966229</v>
      </c>
      <c r="BC57" s="103">
        <v>-0.10009452403325175</v>
      </c>
      <c r="BD57" s="103">
        <v>-9.7601318480427773E-2</v>
      </c>
      <c r="BE57" s="103">
        <v>-0.10361858375862751</v>
      </c>
      <c r="BF57" s="103">
        <v>-0.10923083923606447</v>
      </c>
      <c r="BG57" s="103">
        <v>-0.11785592811217901</v>
      </c>
      <c r="BH57" s="103">
        <v>-0.12105571856140895</v>
      </c>
      <c r="BI57" s="103">
        <v>-0.11374915388873598</v>
      </c>
      <c r="BJ57" s="103">
        <v>-0.11446999824710008</v>
      </c>
      <c r="BK57" s="103">
        <v>-0.11564149467147676</v>
      </c>
      <c r="BL57" s="103">
        <v>-0.1067139300291402</v>
      </c>
      <c r="BM57" s="103">
        <v>-0.10884135961228951</v>
      </c>
      <c r="BN57" s="103">
        <v>-0.1246717681651813</v>
      </c>
      <c r="BO57" s="103">
        <v>-0.11525461879584384</v>
      </c>
      <c r="BP57" s="103">
        <v>-0.11513090604279491</v>
      </c>
      <c r="BQ57" s="103">
        <v>-0.10363534795673968</v>
      </c>
      <c r="BR57" s="103">
        <v>-0.11142592826228762</v>
      </c>
      <c r="BS57" s="103">
        <v>-0.10969799507385622</v>
      </c>
      <c r="BT57" s="103">
        <v>-8.641175985748592E-2</v>
      </c>
      <c r="BU57" s="103">
        <v>-0.10693200470788479</v>
      </c>
      <c r="BV57" s="103">
        <v>-0.1140422091380095</v>
      </c>
      <c r="BW57" s="103">
        <v>-0.10502740065404326</v>
      </c>
      <c r="BX57" s="103">
        <v>-0.1001515608076346</v>
      </c>
      <c r="BY57" s="103">
        <v>-9.9981951938403632E-2</v>
      </c>
      <c r="BZ57" s="103">
        <v>-0.11373486196254037</v>
      </c>
      <c r="CA57" s="103">
        <v>-0.12128971318633668</v>
      </c>
      <c r="CB57" s="103">
        <v>-0.11619786860340978</v>
      </c>
      <c r="CC57" s="103">
        <v>-0.10699019575387071</v>
      </c>
      <c r="CD57" s="103">
        <v>-0.1129607777892839</v>
      </c>
      <c r="CE57" s="103">
        <v>-9.5819505211609521E-2</v>
      </c>
      <c r="CF57" s="103">
        <v>-0.11401886149081848</v>
      </c>
      <c r="CG57" s="103">
        <v>-0.1028524279948233</v>
      </c>
      <c r="CH57" s="103">
        <v>-0.1054020938009716</v>
      </c>
      <c r="CI57" s="103">
        <v>-0.11179760356539008</v>
      </c>
      <c r="CJ57" s="103">
        <v>-9.6561229833459217E-2</v>
      </c>
      <c r="CK57" s="103">
        <v>-0.11433626825875287</v>
      </c>
      <c r="CL57" s="103">
        <v>-0.10792394108316415</v>
      </c>
      <c r="CM57" s="103">
        <v>-0.12443151064997443</v>
      </c>
      <c r="CN57" s="103">
        <v>-0.1118573837237171</v>
      </c>
      <c r="CO57" s="103">
        <v>-0.10610211420894508</v>
      </c>
      <c r="CP57" s="103">
        <v>-0.12384882917127316</v>
      </c>
      <c r="CQ57" s="103">
        <v>-0.12292856494749899</v>
      </c>
      <c r="CR57" s="103">
        <v>-8.8297635271284633E-2</v>
      </c>
      <c r="CS57" s="103">
        <v>-0.11413182058794306</v>
      </c>
      <c r="CT57" s="103">
        <v>-0.11950354901931945</v>
      </c>
      <c r="CU57" s="103">
        <v>-0.11342372208917456</v>
      </c>
      <c r="CV57" s="103">
        <v>-0.10902214559480744</v>
      </c>
      <c r="CW57" s="103">
        <v>-0.12289046931719085</v>
      </c>
      <c r="CX57" s="103">
        <v>-0.10612424109498469</v>
      </c>
    </row>
    <row r="58" spans="1:102">
      <c r="A58" s="23"/>
      <c r="B58" s="14" t="s">
        <v>30</v>
      </c>
      <c r="C58" s="105">
        <v>8.745384645570918E-2</v>
      </c>
      <c r="D58" s="105">
        <v>0.10013829464761535</v>
      </c>
      <c r="E58" s="105">
        <v>8.4375504387842248E-2</v>
      </c>
      <c r="F58" s="105">
        <v>7.9749882047349549E-2</v>
      </c>
      <c r="G58" s="105">
        <v>8.141029881486718E-2</v>
      </c>
      <c r="H58" s="105">
        <v>9.6025151914700554E-2</v>
      </c>
      <c r="I58" s="105">
        <v>8.5723799363097153E-2</v>
      </c>
      <c r="J58" s="105">
        <v>0.10038812316075442</v>
      </c>
      <c r="K58" s="105">
        <v>8.4030831704891451E-2</v>
      </c>
      <c r="L58" s="105">
        <v>0.10330815598502482</v>
      </c>
      <c r="M58" s="105">
        <v>8.9622390170609162E-2</v>
      </c>
      <c r="N58" s="105">
        <v>8.5128273375915317E-2</v>
      </c>
      <c r="O58" s="105">
        <v>9.2486802884091043E-2</v>
      </c>
      <c r="P58" s="105">
        <v>0.10375163664126621</v>
      </c>
      <c r="Q58" s="105">
        <v>8.9516455316463017E-2</v>
      </c>
      <c r="R58" s="105">
        <v>9.818337239051235E-2</v>
      </c>
      <c r="S58" s="105">
        <v>0.10275468989471359</v>
      </c>
      <c r="T58" s="105">
        <v>9.1266726719823041E-2</v>
      </c>
      <c r="U58" s="105">
        <v>9.2394630291939922E-2</v>
      </c>
      <c r="V58" s="105">
        <v>0.10756698325033165</v>
      </c>
      <c r="W58" s="105">
        <v>9.205418359791484E-2</v>
      </c>
      <c r="X58" s="105">
        <v>9.0256234582473796E-2</v>
      </c>
      <c r="Y58" s="105">
        <v>0.10155988659047992</v>
      </c>
      <c r="Z58" s="105">
        <v>0.10324187881415656</v>
      </c>
      <c r="AA58" s="105">
        <v>8.3255860347670171E-2</v>
      </c>
      <c r="AB58" s="105">
        <v>8.9639377889679295E-2</v>
      </c>
      <c r="AC58" s="105">
        <v>9.8756464474016772E-2</v>
      </c>
      <c r="AD58" s="105">
        <v>0.10904482497601756</v>
      </c>
      <c r="AE58" s="105">
        <v>8.4531108623101328E-2</v>
      </c>
      <c r="AF58" s="105">
        <v>9.8481289691677271E-2</v>
      </c>
      <c r="AG58" s="105">
        <v>9.6915600845884659E-2</v>
      </c>
      <c r="AH58" s="105">
        <v>9.6833195746261466E-2</v>
      </c>
      <c r="AI58" s="105">
        <v>8.9630042564729756E-2</v>
      </c>
      <c r="AJ58" s="105">
        <v>0.1026978864785507</v>
      </c>
      <c r="AK58" s="105">
        <v>0.10271286800644737</v>
      </c>
      <c r="AL58" s="105">
        <v>9.2382230069289362E-2</v>
      </c>
      <c r="AM58" s="105">
        <v>0.10435389403108519</v>
      </c>
      <c r="AN58" s="105">
        <v>9.330317992404126E-2</v>
      </c>
      <c r="AO58" s="105">
        <v>8.1724887152194892E-2</v>
      </c>
      <c r="AP58" s="105">
        <v>8.090517551252624E-2</v>
      </c>
      <c r="AQ58" s="105">
        <v>9.8772995234056915E-2</v>
      </c>
      <c r="AR58" s="105">
        <v>9.6984199917342806E-2</v>
      </c>
      <c r="AS58" s="105">
        <v>7.7467793885590136E-2</v>
      </c>
      <c r="AT58" s="105">
        <v>9.6071126106610047E-2</v>
      </c>
      <c r="AU58" s="105">
        <v>8.6754641541577845E-2</v>
      </c>
      <c r="AV58" s="105">
        <v>0.10347738449847922</v>
      </c>
      <c r="AW58" s="105">
        <v>9.0930869097936295E-2</v>
      </c>
      <c r="AX58" s="105">
        <v>8.9828333174703318E-2</v>
      </c>
      <c r="AY58" s="105">
        <v>8.0178363393857061E-2</v>
      </c>
      <c r="AZ58" s="105">
        <v>9.9077806241282179E-2</v>
      </c>
      <c r="BA58" s="105">
        <v>0.10397339213415546</v>
      </c>
      <c r="BB58" s="105">
        <v>9.5442767196671496E-2</v>
      </c>
      <c r="BC58" s="105">
        <v>9.1593492201701654E-2</v>
      </c>
      <c r="BD58" s="105">
        <v>8.7630185109266928E-2</v>
      </c>
      <c r="BE58" s="105">
        <v>9.5993281023269636E-2</v>
      </c>
      <c r="BF58" s="105">
        <v>0.10100412937952699</v>
      </c>
      <c r="BG58" s="105">
        <v>9.0295061899673915E-2</v>
      </c>
      <c r="BH58" s="105">
        <v>9.4739688786239618E-2</v>
      </c>
      <c r="BI58" s="105">
        <v>0.11240783104829957</v>
      </c>
      <c r="BJ58" s="105">
        <v>0.10455456706214253</v>
      </c>
      <c r="BK58" s="105">
        <v>9.1050564430695285E-2</v>
      </c>
      <c r="BL58" s="105">
        <v>9.5304898747419264E-2</v>
      </c>
      <c r="BM58" s="105">
        <v>8.7662113859351354E-2</v>
      </c>
      <c r="BN58" s="105">
        <v>0.10406264484315703</v>
      </c>
      <c r="BO58" s="105">
        <v>0.10878183313059205</v>
      </c>
      <c r="BP58" s="105">
        <v>8.9936858082540649E-2</v>
      </c>
      <c r="BQ58" s="105">
        <v>7.4975430575867988E-2</v>
      </c>
      <c r="BR58" s="105">
        <v>0.10802775742594452</v>
      </c>
      <c r="BS58" s="105">
        <v>9.9861297330455651E-2</v>
      </c>
      <c r="BT58" s="105">
        <v>8.3007737694543324E-2</v>
      </c>
      <c r="BU58" s="105">
        <v>9.1617160430378139E-2</v>
      </c>
      <c r="BV58" s="105">
        <v>0.10500166380740783</v>
      </c>
      <c r="BW58" s="105">
        <v>8.6458222965370424E-2</v>
      </c>
      <c r="BX58" s="105">
        <v>9.153138143022381E-2</v>
      </c>
      <c r="BY58" s="105">
        <v>8.718781382676033E-2</v>
      </c>
      <c r="BZ58" s="105">
        <v>9.4813674193856889E-2</v>
      </c>
      <c r="CA58" s="105">
        <v>9.8814710326209837E-2</v>
      </c>
      <c r="CB58" s="105">
        <v>9.5553763404564507E-2</v>
      </c>
      <c r="CC58" s="105">
        <v>9.0609096286366944E-2</v>
      </c>
      <c r="CD58" s="105">
        <v>9.3971685791645831E-2</v>
      </c>
      <c r="CE58" s="105">
        <v>8.0737638418543811E-2</v>
      </c>
      <c r="CF58" s="105">
        <v>8.3795254890131302E-2</v>
      </c>
      <c r="CG58" s="105">
        <v>9.0554146949057349E-2</v>
      </c>
      <c r="CH58" s="105">
        <v>9.3812869984733371E-2</v>
      </c>
      <c r="CI58" s="105">
        <v>8.3209789457367081E-2</v>
      </c>
      <c r="CJ58" s="105">
        <v>9.7385851670015067E-2</v>
      </c>
      <c r="CK58" s="105">
        <v>8.8963871158377325E-2</v>
      </c>
      <c r="CL58" s="105">
        <v>8.5810637557269684E-2</v>
      </c>
      <c r="CM58" s="105">
        <v>9.8856812076439968E-2</v>
      </c>
      <c r="CN58" s="105">
        <v>9.0962426876277105E-2</v>
      </c>
      <c r="CO58" s="105">
        <v>8.4757451693061633E-2</v>
      </c>
      <c r="CP58" s="105">
        <v>0.11261040553836238</v>
      </c>
      <c r="CQ58" s="105">
        <v>9.1696917505438943E-2</v>
      </c>
      <c r="CR58" s="105">
        <v>7.6891987404663284E-2</v>
      </c>
      <c r="CS58" s="105">
        <v>9.6883826153324748E-2</v>
      </c>
      <c r="CT58" s="105">
        <v>9.2919868973311268E-2</v>
      </c>
      <c r="CU58" s="105">
        <v>0.10418704624730679</v>
      </c>
      <c r="CV58" s="105">
        <v>0.10792027993745043</v>
      </c>
      <c r="CW58" s="105">
        <v>0.10378952024065399</v>
      </c>
      <c r="CX58" s="105">
        <v>8.7014900703846071E-2</v>
      </c>
    </row>
    <row r="59" spans="1:102">
      <c r="A59" s="23"/>
      <c r="B59" s="56" t="s">
        <v>56</v>
      </c>
      <c r="C59" s="105">
        <v>8.894057220051596E-2</v>
      </c>
      <c r="D59" s="105">
        <v>9.8372170531347683E-2</v>
      </c>
      <c r="E59" s="105">
        <v>8.6685864030825524E-2</v>
      </c>
      <c r="F59" s="105">
        <v>8.3869028779668717E-2</v>
      </c>
      <c r="G59" s="105">
        <v>8.6108258523838757E-2</v>
      </c>
      <c r="H59" s="105">
        <v>9.527115104989009E-2</v>
      </c>
      <c r="I59" s="105">
        <v>9.0024356123629301E-2</v>
      </c>
      <c r="J59" s="105">
        <v>9.7398268976734453E-2</v>
      </c>
      <c r="K59" s="105">
        <v>8.5490009797392755E-2</v>
      </c>
      <c r="L59" s="105">
        <v>0.10051289959327667</v>
      </c>
      <c r="M59" s="105">
        <v>9.0664183003990831E-2</v>
      </c>
      <c r="N59" s="105">
        <v>8.7640159290923295E-2</v>
      </c>
      <c r="O59" s="105">
        <v>9.3174581441615043E-2</v>
      </c>
      <c r="P59" s="105">
        <v>9.9782325998555604E-2</v>
      </c>
      <c r="Q59" s="105">
        <v>9.1019013351462411E-2</v>
      </c>
      <c r="R59" s="105">
        <v>9.9194183185566248E-2</v>
      </c>
      <c r="S59" s="105">
        <v>0.10172135309947947</v>
      </c>
      <c r="T59" s="105">
        <v>9.0939710982546593E-2</v>
      </c>
      <c r="U59" s="105">
        <v>9.28099876387663E-2</v>
      </c>
      <c r="V59" s="105">
        <v>0.10483690625960468</v>
      </c>
      <c r="W59" s="105">
        <v>9.3458906926579655E-2</v>
      </c>
      <c r="X59" s="105">
        <v>9.4095131319243228E-2</v>
      </c>
      <c r="Y59" s="105">
        <v>9.936479710106709E-2</v>
      </c>
      <c r="Z59" s="105">
        <v>9.8900804296164768E-2</v>
      </c>
      <c r="AA59" s="105">
        <v>8.3804890878414404E-2</v>
      </c>
      <c r="AB59" s="105">
        <v>9.0615956943578782E-2</v>
      </c>
      <c r="AC59" s="105">
        <v>9.5849868141780245E-2</v>
      </c>
      <c r="AD59" s="105">
        <v>0.1044112018053374</v>
      </c>
      <c r="AE59" s="105">
        <v>9.1981091586629371E-2</v>
      </c>
      <c r="AF59" s="105">
        <v>9.7139896684001636E-2</v>
      </c>
      <c r="AG59" s="105">
        <v>9.7174688771151055E-2</v>
      </c>
      <c r="AH59" s="105">
        <v>9.7369553707514198E-2</v>
      </c>
      <c r="AI59" s="105">
        <v>9.177300894336049E-2</v>
      </c>
      <c r="AJ59" s="105">
        <v>9.9460186575277193E-2</v>
      </c>
      <c r="AK59" s="105">
        <v>9.745073314296647E-2</v>
      </c>
      <c r="AL59" s="105">
        <v>9.3329244895978145E-2</v>
      </c>
      <c r="AM59" s="105">
        <v>0.10330603446152174</v>
      </c>
      <c r="AN59" s="105">
        <v>9.5408690640014629E-2</v>
      </c>
      <c r="AO59" s="105">
        <v>8.4467631462578172E-2</v>
      </c>
      <c r="AP59" s="105">
        <v>8.6242799121931321E-2</v>
      </c>
      <c r="AQ59" s="105">
        <v>9.6577510805534839E-2</v>
      </c>
      <c r="AR59" s="105">
        <v>9.3899530184653579E-2</v>
      </c>
      <c r="AS59" s="105">
        <v>8.3949238301841492E-2</v>
      </c>
      <c r="AT59" s="105">
        <v>9.372088848991178E-2</v>
      </c>
      <c r="AU59" s="105">
        <v>9.0864687286671936E-2</v>
      </c>
      <c r="AV59" s="105">
        <v>9.956483970048681E-2</v>
      </c>
      <c r="AW59" s="105">
        <v>9.2160045521705536E-2</v>
      </c>
      <c r="AX59" s="105">
        <v>9.2341149014120008E-2</v>
      </c>
      <c r="AY59" s="105">
        <v>8.3620025108860171E-2</v>
      </c>
      <c r="AZ59" s="105">
        <v>9.6927492513085398E-2</v>
      </c>
      <c r="BA59" s="105">
        <v>0.10178708153142149</v>
      </c>
      <c r="BB59" s="105">
        <v>9.1173491350076158E-2</v>
      </c>
      <c r="BC59" s="105">
        <v>9.3041724726439193E-2</v>
      </c>
      <c r="BD59" s="105">
        <v>9.3546297835331554E-2</v>
      </c>
      <c r="BE59" s="105">
        <v>9.8394959586720177E-2</v>
      </c>
      <c r="BF59" s="105">
        <v>9.8315182337570237E-2</v>
      </c>
      <c r="BG59" s="105">
        <v>8.8386321390786504E-2</v>
      </c>
      <c r="BH59" s="105">
        <v>9.4935594484532912E-2</v>
      </c>
      <c r="BI59" s="105">
        <v>0.10728757535859418</v>
      </c>
      <c r="BJ59" s="105">
        <v>0.10349424067624871</v>
      </c>
      <c r="BK59" s="105">
        <v>8.9235692700919536E-2</v>
      </c>
      <c r="BL59" s="105">
        <v>9.4131865316173222E-2</v>
      </c>
      <c r="BM59" s="105">
        <v>9.3523254098989872E-2</v>
      </c>
      <c r="BN59" s="105">
        <v>9.856080262439533E-2</v>
      </c>
      <c r="BO59" s="105">
        <v>0.10137090466528204</v>
      </c>
      <c r="BP59" s="105">
        <v>8.6200293068616943E-2</v>
      </c>
      <c r="BQ59" s="105">
        <v>7.899922040720872E-2</v>
      </c>
      <c r="BR59" s="105">
        <v>0.10363475980284881</v>
      </c>
      <c r="BS59" s="105">
        <v>9.6929718875910564E-2</v>
      </c>
      <c r="BT59" s="105">
        <v>8.9854205799485359E-2</v>
      </c>
      <c r="BU59" s="105">
        <v>9.0542505064518913E-2</v>
      </c>
      <c r="BV59" s="105">
        <v>9.9759238157206845E-2</v>
      </c>
      <c r="BW59" s="105">
        <v>9.1706841655591981E-2</v>
      </c>
      <c r="BX59" s="105">
        <v>9.5357093076098548E-2</v>
      </c>
      <c r="BY59" s="105">
        <v>9.0583141232594616E-2</v>
      </c>
      <c r="BZ59" s="105">
        <v>9.5656012217216882E-2</v>
      </c>
      <c r="CA59" s="105">
        <v>9.8637432208309422E-2</v>
      </c>
      <c r="CB59" s="105">
        <v>9.2114161391214963E-2</v>
      </c>
      <c r="CC59" s="105">
        <v>9.0147127730749635E-2</v>
      </c>
      <c r="CD59" s="105">
        <v>9.6722310527502658E-2</v>
      </c>
      <c r="CE59" s="105">
        <v>8.9876381180594475E-2</v>
      </c>
      <c r="CF59" s="105">
        <v>8.742358798597577E-2</v>
      </c>
      <c r="CG59" s="105">
        <v>8.8622244913397777E-2</v>
      </c>
      <c r="CH59" s="105">
        <v>9.576508180802687E-2</v>
      </c>
      <c r="CI59" s="105">
        <v>8.6765954575214826E-2</v>
      </c>
      <c r="CJ59" s="105">
        <v>9.8671107701556224E-2</v>
      </c>
      <c r="CK59" s="105">
        <v>9.021007627133959E-2</v>
      </c>
      <c r="CL59" s="105">
        <v>8.7834613875271195E-2</v>
      </c>
      <c r="CM59" s="105">
        <v>9.2831260112658798E-2</v>
      </c>
      <c r="CN59" s="105">
        <v>9.1286180215066695E-2</v>
      </c>
      <c r="CO59" s="105">
        <v>8.6753320736118439E-2</v>
      </c>
      <c r="CP59" s="105">
        <v>0.10653663347118235</v>
      </c>
      <c r="CQ59" s="105">
        <v>9.0476424814775261E-2</v>
      </c>
      <c r="CR59" s="105">
        <v>8.2707712707316652E-2</v>
      </c>
      <c r="CS59" s="105">
        <v>9.8390172474481646E-2</v>
      </c>
      <c r="CT59" s="105">
        <v>9.4864678350136969E-2</v>
      </c>
      <c r="CU59" s="105">
        <v>0.10511541177446292</v>
      </c>
      <c r="CV59" s="105">
        <v>0.10256134039567215</v>
      </c>
      <c r="CW59" s="105">
        <v>0.10057358309155211</v>
      </c>
      <c r="CX59" s="105">
        <v>8.5835026260186742E-2</v>
      </c>
    </row>
    <row r="60" spans="1:102">
      <c r="A60" s="106"/>
      <c r="B60" s="56" t="s">
        <v>114</v>
      </c>
      <c r="C60" s="105">
        <v>0.90646933724646606</v>
      </c>
      <c r="D60" s="105">
        <v>0.89325992562891798</v>
      </c>
      <c r="E60" s="105">
        <v>0.91749913301604702</v>
      </c>
      <c r="F60" s="105">
        <v>0.9054713097157171</v>
      </c>
      <c r="G60" s="105">
        <v>0.91952677671824523</v>
      </c>
      <c r="H60" s="105">
        <v>0.88751384884624529</v>
      </c>
      <c r="I60" s="105">
        <v>0.92591165164788836</v>
      </c>
      <c r="J60" s="105">
        <v>0.89190992981979733</v>
      </c>
      <c r="K60" s="105">
        <v>0.91510425536784301</v>
      </c>
      <c r="L60" s="105">
        <v>0.89025473651714548</v>
      </c>
      <c r="M60" s="105">
        <v>0.92184979258871547</v>
      </c>
      <c r="N60" s="105">
        <v>0.91390251475679585</v>
      </c>
      <c r="O60" s="105">
        <v>0.92299395846208609</v>
      </c>
      <c r="P60" s="105">
        <v>0.874689273070824</v>
      </c>
      <c r="Q60" s="105">
        <v>0.90330545488513292</v>
      </c>
      <c r="R60" s="105">
        <v>0.8742377976453477</v>
      </c>
      <c r="S60" s="105">
        <v>0.89111509820385326</v>
      </c>
      <c r="T60" s="105">
        <v>0.88248301155868447</v>
      </c>
      <c r="U60" s="105">
        <v>0.88753064041302154</v>
      </c>
      <c r="V60" s="105">
        <v>0.87650488779420899</v>
      </c>
      <c r="W60" s="105">
        <v>0.91902089227368444</v>
      </c>
      <c r="X60" s="105">
        <v>0.89185992634080669</v>
      </c>
      <c r="Y60" s="105">
        <v>0.91042962390912208</v>
      </c>
      <c r="Z60" s="105">
        <v>0.86654780598550052</v>
      </c>
      <c r="AA60" s="105">
        <v>0.89706150137345142</v>
      </c>
      <c r="AB60" s="105">
        <v>0.91766105499202599</v>
      </c>
      <c r="AC60" s="105">
        <v>0.88936447381564676</v>
      </c>
      <c r="AD60" s="105">
        <v>0.87784521975268071</v>
      </c>
      <c r="AE60" s="105">
        <v>0.90196184000517121</v>
      </c>
      <c r="AF60" s="105">
        <v>0.90271320058215432</v>
      </c>
      <c r="AG60" s="105">
        <v>0.87254374144174185</v>
      </c>
      <c r="AH60" s="105">
        <v>0.90353480300544542</v>
      </c>
      <c r="AI60" s="105">
        <v>0.90493462390173873</v>
      </c>
      <c r="AJ60" s="105">
        <v>0.86346824020405211</v>
      </c>
      <c r="AK60" s="105">
        <v>0.88724713032512892</v>
      </c>
      <c r="AL60" s="105">
        <v>0.88964806710609612</v>
      </c>
      <c r="AM60" s="105">
        <v>0.89768422354023636</v>
      </c>
      <c r="AN60" s="105">
        <v>0.9085807382283253</v>
      </c>
      <c r="AO60" s="105">
        <v>0.92281932770679354</v>
      </c>
      <c r="AP60" s="105">
        <v>0.91890379351782192</v>
      </c>
      <c r="AQ60" s="105">
        <v>0.88558877803156799</v>
      </c>
      <c r="AR60" s="105">
        <v>0.87757332708027713</v>
      </c>
      <c r="AS60" s="105">
        <v>0.89451062950140925</v>
      </c>
      <c r="AT60" s="105">
        <v>0.89502896153926026</v>
      </c>
      <c r="AU60" s="105">
        <v>0.91445623586145897</v>
      </c>
      <c r="AV60" s="105">
        <v>0.85958154210275151</v>
      </c>
      <c r="AW60" s="105">
        <v>0.89149460009110104</v>
      </c>
      <c r="AX60" s="105">
        <v>0.91938545811923522</v>
      </c>
      <c r="AY60" s="105">
        <v>0.93402548686642728</v>
      </c>
      <c r="AZ60" s="105">
        <v>0.9080178908741362</v>
      </c>
      <c r="BA60" s="105">
        <v>0.89321842897167836</v>
      </c>
      <c r="BB60" s="105">
        <v>0.91201546035955205</v>
      </c>
      <c r="BC60" s="105">
        <v>0.88531643059669829</v>
      </c>
      <c r="BD60" s="105">
        <v>0.89025820405837131</v>
      </c>
      <c r="BE60" s="105">
        <v>0.88171621130521727</v>
      </c>
      <c r="BF60" s="105">
        <v>0.88109037004201329</v>
      </c>
      <c r="BG60" s="105">
        <v>0.92160920049736417</v>
      </c>
      <c r="BH60" s="105">
        <v>0.91671728275450481</v>
      </c>
      <c r="BI60" s="105">
        <v>0.86452869440146363</v>
      </c>
      <c r="BJ60" s="105">
        <v>0.88307087629008252</v>
      </c>
      <c r="BK60" s="105">
        <v>0.91619266970843638</v>
      </c>
      <c r="BL60" s="105">
        <v>0.88964403858678454</v>
      </c>
      <c r="BM60" s="105">
        <v>0.91239874392921461</v>
      </c>
      <c r="BN60" s="105">
        <v>0.90219169371695584</v>
      </c>
      <c r="BO60" s="105">
        <v>0.87522222167046237</v>
      </c>
      <c r="BP60" s="105">
        <v>0.91793572113104194</v>
      </c>
      <c r="BQ60" s="105">
        <v>0.93519409867675085</v>
      </c>
      <c r="BR60" s="105">
        <v>0.86949884524100018</v>
      </c>
      <c r="BS60" s="105">
        <v>0.88466650744218989</v>
      </c>
      <c r="BT60" s="105">
        <v>0.87727645920300623</v>
      </c>
      <c r="BU60" s="105">
        <v>0.89907722742662921</v>
      </c>
      <c r="BV60" s="105">
        <v>0.88126529549578869</v>
      </c>
      <c r="BW60" s="105">
        <v>0.90831318101761993</v>
      </c>
      <c r="BX60" s="105">
        <v>0.88559491309322169</v>
      </c>
      <c r="BY60" s="105">
        <v>0.89642431404502554</v>
      </c>
      <c r="BZ60" s="105">
        <v>0.90405899384764987</v>
      </c>
      <c r="CA60" s="105">
        <v>0.9080175116326652</v>
      </c>
      <c r="CB60" s="105">
        <v>0.90669931612603727</v>
      </c>
      <c r="CC60" s="105">
        <v>0.90167466495853377</v>
      </c>
      <c r="CD60" s="105">
        <v>0.90464599705125726</v>
      </c>
      <c r="CE60" s="105">
        <v>0.90501348669768311</v>
      </c>
      <c r="CF60" s="105">
        <v>0.93056637709604839</v>
      </c>
      <c r="CG60" s="105">
        <v>0.89366231281868824</v>
      </c>
      <c r="CH60" s="105">
        <v>0.89067592202108337</v>
      </c>
      <c r="CI60" s="105">
        <v>0.92836767376056928</v>
      </c>
      <c r="CJ60" s="105">
        <v>0.86307003591881526</v>
      </c>
      <c r="CK60" s="105">
        <v>0.91888400199297449</v>
      </c>
      <c r="CL60" s="105">
        <v>0.9153155577932971</v>
      </c>
      <c r="CM60" s="105">
        <v>0.91306302243407478</v>
      </c>
      <c r="CN60" s="105">
        <v>0.90981964854961683</v>
      </c>
      <c r="CO60" s="105">
        <v>0.91462782829512534</v>
      </c>
      <c r="CP60" s="105">
        <v>0.88270162287069176</v>
      </c>
      <c r="CQ60" s="105">
        <v>0.92642212277692326</v>
      </c>
      <c r="CR60" s="105">
        <v>0.89944330972351605</v>
      </c>
      <c r="CS60" s="105">
        <v>0.89994601145459674</v>
      </c>
      <c r="CT60" s="105">
        <v>0.91829772494493822</v>
      </c>
      <c r="CU60" s="105">
        <v>0.8819192946822193</v>
      </c>
      <c r="CV60" s="105">
        <v>0.86495840227493503</v>
      </c>
      <c r="CW60" s="105">
        <v>0.89979498867624852</v>
      </c>
      <c r="CX60" s="105">
        <v>0.90898535141425651</v>
      </c>
    </row>
    <row r="61" spans="1:102">
      <c r="A61" s="108" t="str">
        <f>Parameters!A45</f>
        <v>Kansgewogen</v>
      </c>
      <c r="B61" s="102" t="s">
        <v>29</v>
      </c>
      <c r="C61" s="103">
        <v>5.4561852901842244E-3</v>
      </c>
      <c r="D61" s="103">
        <v>5.4340265972602029E-3</v>
      </c>
      <c r="E61" s="103">
        <v>5.2395674337685806E-3</v>
      </c>
      <c r="F61" s="103">
        <v>4.4962222340032597E-3</v>
      </c>
      <c r="G61" s="103">
        <v>3.9805661910204708E-3</v>
      </c>
      <c r="H61" s="103">
        <v>5.4386823492103276E-3</v>
      </c>
      <c r="I61" s="103">
        <v>3.5584078419588377E-3</v>
      </c>
      <c r="J61" s="103">
        <v>4.8461280885862502E-3</v>
      </c>
      <c r="K61" s="103">
        <v>4.4694730347318492E-3</v>
      </c>
      <c r="L61" s="103">
        <v>5.7112085998027064E-3</v>
      </c>
      <c r="M61" s="103">
        <v>5.1903070490446589E-3</v>
      </c>
      <c r="N61" s="103">
        <v>5.175174969487651E-3</v>
      </c>
      <c r="O61" s="103">
        <v>4.1312226304301113E-3</v>
      </c>
      <c r="P61" s="103">
        <v>5.436203105408037E-3</v>
      </c>
      <c r="Q61" s="103">
        <v>5.5800621176169251E-3</v>
      </c>
      <c r="R61" s="103">
        <v>6.2887940872770609E-3</v>
      </c>
      <c r="S61" s="103">
        <v>4.5169989940552326E-3</v>
      </c>
      <c r="T61" s="103">
        <v>5.4099308381703876E-3</v>
      </c>
      <c r="U61" s="103">
        <v>5.4999458366246732E-3</v>
      </c>
      <c r="V61" s="103">
        <v>5.8391758456665319E-3</v>
      </c>
      <c r="W61" s="103">
        <v>4.6854294453364496E-3</v>
      </c>
      <c r="X61" s="103">
        <v>4.7385020358205257E-3</v>
      </c>
      <c r="Y61" s="103">
        <v>4.6654595631559336E-3</v>
      </c>
      <c r="Z61" s="103">
        <v>5.0757620643094182E-3</v>
      </c>
      <c r="AA61" s="103">
        <v>5.1139586816758165E-3</v>
      </c>
      <c r="AB61" s="103">
        <v>3.5287099211672728E-3</v>
      </c>
      <c r="AC61" s="103">
        <v>3.9499647183774342E-3</v>
      </c>
      <c r="AD61" s="103">
        <v>4.5209536323872913E-3</v>
      </c>
      <c r="AE61" s="103">
        <v>4.3955995047928291E-3</v>
      </c>
      <c r="AF61" s="103">
        <v>4.6611015769622097E-3</v>
      </c>
      <c r="AG61" s="103">
        <v>5.5868782210922105E-3</v>
      </c>
      <c r="AH61" s="103">
        <v>4.2473950457624799E-3</v>
      </c>
      <c r="AI61" s="103">
        <v>6.0062847613813301E-3</v>
      </c>
      <c r="AJ61" s="103">
        <v>5.7200613689800863E-3</v>
      </c>
      <c r="AK61" s="103">
        <v>3.9801831818102769E-3</v>
      </c>
      <c r="AL61" s="103">
        <v>4.3011199157624858E-3</v>
      </c>
      <c r="AM61" s="103">
        <v>5.0800754165079356E-3</v>
      </c>
      <c r="AN61" s="103">
        <v>4.7276718366593314E-3</v>
      </c>
      <c r="AO61" s="103">
        <v>4.3334247517278048E-3</v>
      </c>
      <c r="AP61" s="103">
        <v>4.724194290536065E-3</v>
      </c>
      <c r="AQ61" s="103">
        <v>5.7263215518573917E-3</v>
      </c>
      <c r="AR61" s="103">
        <v>4.7989420985726739E-3</v>
      </c>
      <c r="AS61" s="103">
        <v>4.2150625770273871E-3</v>
      </c>
      <c r="AT61" s="103">
        <v>4.1213378340020741E-3</v>
      </c>
      <c r="AU61" s="103">
        <v>5.3474777929680356E-3</v>
      </c>
      <c r="AV61" s="103">
        <v>5.4998121362944468E-3</v>
      </c>
      <c r="AW61" s="103">
        <v>4.6634848578909309E-3</v>
      </c>
      <c r="AX61" s="103">
        <v>3.1111665166974798E-3</v>
      </c>
      <c r="AY61" s="103">
        <v>3.9714190044220351E-3</v>
      </c>
      <c r="AZ61" s="103">
        <v>4.4500999842947923E-3</v>
      </c>
      <c r="BA61" s="103">
        <v>5.8325973719492007E-3</v>
      </c>
      <c r="BB61" s="103">
        <v>4.006197836128848E-3</v>
      </c>
      <c r="BC61" s="103">
        <v>6.2381973046805855E-3</v>
      </c>
      <c r="BD61" s="103">
        <v>5.5745806332723642E-3</v>
      </c>
      <c r="BE61" s="103">
        <v>5.2301028086821997E-3</v>
      </c>
      <c r="BF61" s="103">
        <v>5.0337900651474896E-3</v>
      </c>
      <c r="BG61" s="103">
        <v>4.3956551147302072E-3</v>
      </c>
      <c r="BH61" s="103">
        <v>4.7749768386807718E-3</v>
      </c>
      <c r="BI61" s="103">
        <v>5.2650584710099433E-3</v>
      </c>
      <c r="BJ61" s="103">
        <v>5.6535474966870536E-3</v>
      </c>
      <c r="BK61" s="103">
        <v>3.5613433774648604E-3</v>
      </c>
      <c r="BL61" s="103">
        <v>4.8769951631861897E-3</v>
      </c>
      <c r="BM61" s="103">
        <v>4.6160428227151494E-3</v>
      </c>
      <c r="BN61" s="103">
        <v>3.5119513136010918E-3</v>
      </c>
      <c r="BO61" s="103">
        <v>4.0873402176810642E-3</v>
      </c>
      <c r="BP61" s="103">
        <v>2.5464573549882274E-3</v>
      </c>
      <c r="BQ61" s="103">
        <v>4.1174209694630915E-3</v>
      </c>
      <c r="BR61" s="103">
        <v>5.2610817435014374E-3</v>
      </c>
      <c r="BS61" s="103">
        <v>4.5914580793502162E-3</v>
      </c>
      <c r="BT61" s="103">
        <v>5.210744957404416E-3</v>
      </c>
      <c r="BU61" s="103">
        <v>3.7102709383797679E-3</v>
      </c>
      <c r="BV61" s="103">
        <v>4.3610316562692347E-3</v>
      </c>
      <c r="BW61" s="103">
        <v>4.0951032878764025E-3</v>
      </c>
      <c r="BX61" s="103">
        <v>6.4254700657281633E-3</v>
      </c>
      <c r="BY61" s="103">
        <v>4.0514546747048531E-3</v>
      </c>
      <c r="BZ61" s="103">
        <v>4.241447975540419E-3</v>
      </c>
      <c r="CA61" s="103">
        <v>4.6675998345213684E-3</v>
      </c>
      <c r="CB61" s="103">
        <v>3.7390606505252129E-3</v>
      </c>
      <c r="CC61" s="103">
        <v>4.271752380086904E-3</v>
      </c>
      <c r="CD61" s="103">
        <v>4.304187330575953E-3</v>
      </c>
      <c r="CE61" s="103">
        <v>3.7374147903863147E-3</v>
      </c>
      <c r="CF61" s="103">
        <v>2.6956381561882336E-3</v>
      </c>
      <c r="CG61" s="103">
        <v>4.4055039188986896E-3</v>
      </c>
      <c r="CH61" s="103">
        <v>5.956612942682472E-3</v>
      </c>
      <c r="CI61" s="103">
        <v>5.0253636139075686E-3</v>
      </c>
      <c r="CJ61" s="103">
        <v>6.3615113824449926E-3</v>
      </c>
      <c r="CK61" s="103">
        <v>4.7747332385338452E-3</v>
      </c>
      <c r="CL61" s="103">
        <v>4.8662807828752522E-3</v>
      </c>
      <c r="CM61" s="103">
        <v>3.2651751019299189E-3</v>
      </c>
      <c r="CN61" s="103">
        <v>4.6853498133798046E-3</v>
      </c>
      <c r="CO61" s="103">
        <v>4.5379300385711844E-3</v>
      </c>
      <c r="CP61" s="103">
        <v>4.1996463229185665E-3</v>
      </c>
      <c r="CQ61" s="103">
        <v>3.3709810356018768E-3</v>
      </c>
      <c r="CR61" s="103">
        <v>4.3770927836793106E-3</v>
      </c>
      <c r="CS61" s="103">
        <v>5.4187710268224411E-3</v>
      </c>
      <c r="CT61" s="103">
        <v>4.7375490684702318E-3</v>
      </c>
      <c r="CU61" s="103">
        <v>4.2047197976840577E-3</v>
      </c>
      <c r="CV61" s="103">
        <v>5.0969998897231038E-3</v>
      </c>
      <c r="CW61" s="103">
        <v>3.1306850983264653E-3</v>
      </c>
      <c r="CX61" s="103">
        <v>3.732223714296207E-3</v>
      </c>
    </row>
    <row r="62" spans="1:102">
      <c r="A62" s="23"/>
      <c r="B62" s="14" t="s">
        <v>30</v>
      </c>
      <c r="C62" s="105">
        <v>8.4265707220450597E-2</v>
      </c>
      <c r="D62" s="105">
        <v>8.8005783996760553E-2</v>
      </c>
      <c r="E62" s="105">
        <v>8.2511872911235962E-2</v>
      </c>
      <c r="F62" s="105">
        <v>7.8657494757457702E-2</v>
      </c>
      <c r="G62" s="105">
        <v>7.8591690510347353E-2</v>
      </c>
      <c r="H62" s="105">
        <v>8.4996416562376997E-2</v>
      </c>
      <c r="I62" s="105">
        <v>8.0702856295429282E-2</v>
      </c>
      <c r="J62" s="105">
        <v>8.6668040764955101E-2</v>
      </c>
      <c r="K62" s="105">
        <v>8.1224729266580156E-2</v>
      </c>
      <c r="L62" s="105">
        <v>8.8518997176567138E-2</v>
      </c>
      <c r="M62" s="105">
        <v>8.4852629897641182E-2</v>
      </c>
      <c r="N62" s="105">
        <v>8.1394429741605934E-2</v>
      </c>
      <c r="O62" s="105">
        <v>8.5075945625671542E-2</v>
      </c>
      <c r="P62" s="105">
        <v>8.7943697667829585E-2</v>
      </c>
      <c r="Q62" s="105">
        <v>8.3766337376183123E-2</v>
      </c>
      <c r="R62" s="105">
        <v>8.5407314331061968E-2</v>
      </c>
      <c r="S62" s="105">
        <v>8.5699599404854235E-2</v>
      </c>
      <c r="T62" s="105">
        <v>8.3434522322306706E-2</v>
      </c>
      <c r="U62" s="105">
        <v>8.3219092344577486E-2</v>
      </c>
      <c r="V62" s="105">
        <v>8.9229565332411984E-2</v>
      </c>
      <c r="W62" s="105">
        <v>8.4499451335588394E-2</v>
      </c>
      <c r="X62" s="105">
        <v>7.9425011712982774E-2</v>
      </c>
      <c r="Y62" s="105">
        <v>8.939376032375787E-2</v>
      </c>
      <c r="Z62" s="105">
        <v>8.6956958067534257E-2</v>
      </c>
      <c r="AA62" s="105">
        <v>8.139250365786968E-2</v>
      </c>
      <c r="AB62" s="105">
        <v>8.1765715368154732E-2</v>
      </c>
      <c r="AC62" s="105">
        <v>8.4075432773191711E-2</v>
      </c>
      <c r="AD62" s="105">
        <v>8.8099153150245427E-2</v>
      </c>
      <c r="AE62" s="105">
        <v>7.7358446671555253E-2</v>
      </c>
      <c r="AF62" s="105">
        <v>8.5163907860748941E-2</v>
      </c>
      <c r="AG62" s="105">
        <v>8.3201122379153239E-2</v>
      </c>
      <c r="AH62" s="105">
        <v>8.387990541115381E-2</v>
      </c>
      <c r="AI62" s="105">
        <v>8.3471908074129714E-2</v>
      </c>
      <c r="AJ62" s="105">
        <v>8.6814896327387647E-2</v>
      </c>
      <c r="AK62" s="105">
        <v>8.6902802209981686E-2</v>
      </c>
      <c r="AL62" s="105">
        <v>8.0090548600593642E-2</v>
      </c>
      <c r="AM62" s="105">
        <v>8.7817314983531652E-2</v>
      </c>
      <c r="AN62" s="105">
        <v>8.2620998014702268E-2</v>
      </c>
      <c r="AO62" s="105">
        <v>7.9708757894348711E-2</v>
      </c>
      <c r="AP62" s="105">
        <v>7.8170183334960869E-2</v>
      </c>
      <c r="AQ62" s="105">
        <v>8.5615094731290087E-2</v>
      </c>
      <c r="AR62" s="105">
        <v>8.4206847169027196E-2</v>
      </c>
      <c r="AS62" s="105">
        <v>7.5405390007543802E-2</v>
      </c>
      <c r="AT62" s="105">
        <v>8.3234013213505681E-2</v>
      </c>
      <c r="AU62" s="105">
        <v>8.1786558345649282E-2</v>
      </c>
      <c r="AV62" s="105">
        <v>8.6760967172188147E-2</v>
      </c>
      <c r="AW62" s="105">
        <v>8.0511213979722204E-2</v>
      </c>
      <c r="AX62" s="105">
        <v>8.0871763876367131E-2</v>
      </c>
      <c r="AY62" s="105">
        <v>8.0176622228496378E-2</v>
      </c>
      <c r="AZ62" s="105">
        <v>8.6232794241560148E-2</v>
      </c>
      <c r="BA62" s="105">
        <v>8.8133461249124898E-2</v>
      </c>
      <c r="BB62" s="105">
        <v>8.5952595542099774E-2</v>
      </c>
      <c r="BC62" s="105">
        <v>8.2662785996691995E-2</v>
      </c>
      <c r="BD62" s="105">
        <v>7.8942377499107111E-2</v>
      </c>
      <c r="BE62" s="105">
        <v>8.1050183944679985E-2</v>
      </c>
      <c r="BF62" s="105">
        <v>8.4618088802497812E-2</v>
      </c>
      <c r="BG62" s="105">
        <v>8.5256982132271675E-2</v>
      </c>
      <c r="BH62" s="105">
        <v>8.5410221888182911E-2</v>
      </c>
      <c r="BI62" s="105">
        <v>8.9560117359530594E-2</v>
      </c>
      <c r="BJ62" s="105">
        <v>8.658019602585823E-2</v>
      </c>
      <c r="BK62" s="105">
        <v>8.2888427714795487E-2</v>
      </c>
      <c r="BL62" s="105">
        <v>8.279023333142474E-2</v>
      </c>
      <c r="BM62" s="105">
        <v>7.9483568486615253E-2</v>
      </c>
      <c r="BN62" s="105">
        <v>8.8126142459968818E-2</v>
      </c>
      <c r="BO62" s="105">
        <v>8.9098470131942581E-2</v>
      </c>
      <c r="BP62" s="105">
        <v>8.2303163741987276E-2</v>
      </c>
      <c r="BQ62" s="105">
        <v>7.7876872615700338E-2</v>
      </c>
      <c r="BR62" s="105">
        <v>8.7561905260162234E-2</v>
      </c>
      <c r="BS62" s="105">
        <v>8.4504106029981832E-2</v>
      </c>
      <c r="BT62" s="105">
        <v>7.615853555677482E-2</v>
      </c>
      <c r="BU62" s="105">
        <v>8.083758958965527E-2</v>
      </c>
      <c r="BV62" s="105">
        <v>8.6952453881355349E-2</v>
      </c>
      <c r="BW62" s="105">
        <v>7.7669052088666729E-2</v>
      </c>
      <c r="BX62" s="105">
        <v>8.1709981802598586E-2</v>
      </c>
      <c r="BY62" s="105">
        <v>7.7232211570582548E-2</v>
      </c>
      <c r="BZ62" s="105">
        <v>8.2064590304365539E-2</v>
      </c>
      <c r="CA62" s="105">
        <v>8.5790726540481824E-2</v>
      </c>
      <c r="CB62" s="105">
        <v>8.4243907262119458E-2</v>
      </c>
      <c r="CC62" s="105">
        <v>8.1434710446293176E-2</v>
      </c>
      <c r="CD62" s="105">
        <v>8.1211732335095974E-2</v>
      </c>
      <c r="CE62" s="105">
        <v>7.5072848742591E-2</v>
      </c>
      <c r="CF62" s="105">
        <v>7.8830802153608756E-2</v>
      </c>
      <c r="CG62" s="105">
        <v>8.1687270173546808E-2</v>
      </c>
      <c r="CH62" s="105">
        <v>8.2531787312329019E-2</v>
      </c>
      <c r="CI62" s="105">
        <v>8.0478040581013099E-2</v>
      </c>
      <c r="CJ62" s="105">
        <v>8.3735209733087637E-2</v>
      </c>
      <c r="CK62" s="105">
        <v>8.2695109361029057E-2</v>
      </c>
      <c r="CL62" s="105">
        <v>8.0225985985677317E-2</v>
      </c>
      <c r="CM62" s="105">
        <v>8.7357065071910434E-2</v>
      </c>
      <c r="CN62" s="105">
        <v>8.3036508111511462E-2</v>
      </c>
      <c r="CO62" s="105">
        <v>7.9496507501532282E-2</v>
      </c>
      <c r="CP62" s="105">
        <v>9.0202534247865229E-2</v>
      </c>
      <c r="CQ62" s="105">
        <v>8.4482417700225493E-2</v>
      </c>
      <c r="CR62" s="105">
        <v>7.5303857593422757E-2</v>
      </c>
      <c r="CS62" s="105">
        <v>8.4076609429931143E-2</v>
      </c>
      <c r="CT62" s="105">
        <v>8.3103209562853719E-2</v>
      </c>
      <c r="CU62" s="105">
        <v>8.3608082213231169E-2</v>
      </c>
      <c r="CV62" s="105">
        <v>8.7779126909399804E-2</v>
      </c>
      <c r="CW62" s="105">
        <v>8.5613005822183508E-2</v>
      </c>
      <c r="CX62" s="105">
        <v>8.0468856103297626E-2</v>
      </c>
    </row>
    <row r="63" spans="1:102">
      <c r="A63" s="23"/>
      <c r="B63" s="56" t="s">
        <v>56</v>
      </c>
      <c r="C63" s="105">
        <v>0.10260029778205636</v>
      </c>
      <c r="D63" s="105">
        <v>0.1044966541113784</v>
      </c>
      <c r="E63" s="105">
        <v>0.10173452673060715</v>
      </c>
      <c r="F63" s="105">
        <v>9.9533860248433526E-2</v>
      </c>
      <c r="G63" s="105">
        <v>9.6745979456994619E-2</v>
      </c>
      <c r="H63" s="105">
        <v>0.10368440159773987</v>
      </c>
      <c r="I63" s="105">
        <v>9.6379260451460419E-2</v>
      </c>
      <c r="J63" s="105">
        <v>0.10273980270593162</v>
      </c>
      <c r="K63" s="105">
        <v>0.10109542732839746</v>
      </c>
      <c r="L63" s="105">
        <v>0.10442471600453115</v>
      </c>
      <c r="M63" s="105">
        <v>0.10213406233165798</v>
      </c>
      <c r="N63" s="105">
        <v>9.9941699496747069E-2</v>
      </c>
      <c r="O63" s="105">
        <v>0.10055238045663244</v>
      </c>
      <c r="P63" s="105">
        <v>0.10491152242354841</v>
      </c>
      <c r="Q63" s="105">
        <v>0.10135501893772736</v>
      </c>
      <c r="R63" s="105">
        <v>0.10518244670762268</v>
      </c>
      <c r="S63" s="105">
        <v>9.9444016983768604E-2</v>
      </c>
      <c r="T63" s="105">
        <v>0.10206356823541976</v>
      </c>
      <c r="U63" s="105">
        <v>0.10352273097635571</v>
      </c>
      <c r="V63" s="105">
        <v>0.10540637093934062</v>
      </c>
      <c r="W63" s="105">
        <v>0.10110352793703772</v>
      </c>
      <c r="X63" s="105">
        <v>9.7820218400214917E-2</v>
      </c>
      <c r="Y63" s="105">
        <v>0.10259731337216131</v>
      </c>
      <c r="Z63" s="105">
        <v>0.10471952266491351</v>
      </c>
      <c r="AA63" s="105">
        <v>0.1017224622137938</v>
      </c>
      <c r="AB63" s="105">
        <v>9.446801665315982E-2</v>
      </c>
      <c r="AC63" s="105">
        <v>9.857209877881562E-2</v>
      </c>
      <c r="AD63" s="105">
        <v>0.10256116968932773</v>
      </c>
      <c r="AE63" s="105">
        <v>9.5780821328802543E-2</v>
      </c>
      <c r="AF63" s="105">
        <v>0.10021570766173996</v>
      </c>
      <c r="AG63" s="105">
        <v>0.10184106994476731</v>
      </c>
      <c r="AH63" s="105">
        <v>9.7150374085638591E-2</v>
      </c>
      <c r="AI63" s="105">
        <v>0.10252719389801015</v>
      </c>
      <c r="AJ63" s="105">
        <v>0.10446029216647729</v>
      </c>
      <c r="AK63" s="105">
        <v>0.10242986726798639</v>
      </c>
      <c r="AL63" s="105">
        <v>9.8251292578092661E-2</v>
      </c>
      <c r="AM63" s="105">
        <v>0.10237017000739608</v>
      </c>
      <c r="AN63" s="105">
        <v>9.8097717280706653E-2</v>
      </c>
      <c r="AO63" s="105">
        <v>0.10050887734683582</v>
      </c>
      <c r="AP63" s="105">
        <v>9.9253905682784499E-2</v>
      </c>
      <c r="AQ63" s="105">
        <v>0.10332711689411453</v>
      </c>
      <c r="AR63" s="105">
        <v>0.10137569822782347</v>
      </c>
      <c r="AS63" s="105">
        <v>9.71031235521123E-2</v>
      </c>
      <c r="AT63" s="105">
        <v>0.10043147409163208</v>
      </c>
      <c r="AU63" s="105">
        <v>0.1023402024298488</v>
      </c>
      <c r="AV63" s="105">
        <v>0.1053713522655494</v>
      </c>
      <c r="AW63" s="105">
        <v>9.7724472184122821E-2</v>
      </c>
      <c r="AX63" s="105">
        <v>9.5646999697004159E-2</v>
      </c>
      <c r="AY63" s="105">
        <v>9.6688784996822263E-2</v>
      </c>
      <c r="AZ63" s="105">
        <v>0.10161185182441468</v>
      </c>
      <c r="BA63" s="105">
        <v>0.10406405837178875</v>
      </c>
      <c r="BB63" s="105">
        <v>9.7658816984769498E-2</v>
      </c>
      <c r="BC63" s="105">
        <v>0.10387938283865694</v>
      </c>
      <c r="BD63" s="105">
        <v>9.9601868523343462E-2</v>
      </c>
      <c r="BE63" s="105">
        <v>9.9212862132392055E-2</v>
      </c>
      <c r="BF63" s="105">
        <v>9.9767762409197158E-2</v>
      </c>
      <c r="BG63" s="105">
        <v>9.6282543323100156E-2</v>
      </c>
      <c r="BH63" s="105">
        <v>0.10019188676280393</v>
      </c>
      <c r="BI63" s="105">
        <v>0.10488378328779184</v>
      </c>
      <c r="BJ63" s="105">
        <v>0.10197005672358854</v>
      </c>
      <c r="BK63" s="105">
        <v>0.10008871029442358</v>
      </c>
      <c r="BL63" s="105">
        <v>0.10200103922849096</v>
      </c>
      <c r="BM63" s="105">
        <v>9.6330459186779141E-2</v>
      </c>
      <c r="BN63" s="105">
        <v>9.7839632649407718E-2</v>
      </c>
      <c r="BO63" s="105">
        <v>0.10181849020685452</v>
      </c>
      <c r="BP63" s="105">
        <v>9.2247497151026675E-2</v>
      </c>
      <c r="BQ63" s="105">
        <v>9.9378055310075486E-2</v>
      </c>
      <c r="BR63" s="105">
        <v>0.10364350124637838</v>
      </c>
      <c r="BS63" s="105">
        <v>9.8828423772254176E-2</v>
      </c>
      <c r="BT63" s="105">
        <v>9.9234782776184777E-2</v>
      </c>
      <c r="BU63" s="105">
        <v>9.8491909505751082E-2</v>
      </c>
      <c r="BV63" s="105">
        <v>0.10228989237060607</v>
      </c>
      <c r="BW63" s="105">
        <v>9.6388579737514274E-2</v>
      </c>
      <c r="BX63" s="105">
        <v>0.10255798859023361</v>
      </c>
      <c r="BY63" s="105">
        <v>9.6278062098837089E-2</v>
      </c>
      <c r="BZ63" s="105">
        <v>9.6400045038714924E-2</v>
      </c>
      <c r="CA63" s="105">
        <v>0.10049510151870868</v>
      </c>
      <c r="CB63" s="105">
        <v>9.9497379121983254E-2</v>
      </c>
      <c r="CC63" s="105">
        <v>9.6999214018600011E-2</v>
      </c>
      <c r="CD63" s="105">
        <v>9.7423726555916954E-2</v>
      </c>
      <c r="CE63" s="105">
        <v>9.4244501167949593E-2</v>
      </c>
      <c r="CF63" s="105">
        <v>9.4684464249275763E-2</v>
      </c>
      <c r="CG63" s="105">
        <v>9.9369180661724982E-2</v>
      </c>
      <c r="CH63" s="105">
        <v>0.10024597689310549</v>
      </c>
      <c r="CI63" s="105">
        <v>9.9792832904008158E-2</v>
      </c>
      <c r="CJ63" s="105">
        <v>0.10551721048346634</v>
      </c>
      <c r="CK63" s="105">
        <v>9.9552837745434483E-2</v>
      </c>
      <c r="CL63" s="105">
        <v>0.10024419086880491</v>
      </c>
      <c r="CM63" s="105">
        <v>9.5219447043672342E-2</v>
      </c>
      <c r="CN63" s="105">
        <v>9.9699762000846903E-2</v>
      </c>
      <c r="CO63" s="105">
        <v>9.5954597192896479E-2</v>
      </c>
      <c r="CP63" s="105">
        <v>0.10353043010655637</v>
      </c>
      <c r="CQ63" s="105">
        <v>0.10020002388863061</v>
      </c>
      <c r="CR63" s="105">
        <v>9.7982273806560605E-2</v>
      </c>
      <c r="CS63" s="105">
        <v>0.1003579938764881</v>
      </c>
      <c r="CT63" s="105">
        <v>9.8251893902805587E-2</v>
      </c>
      <c r="CU63" s="105">
        <v>9.765683749200002E-2</v>
      </c>
      <c r="CV63" s="105">
        <v>0.10441836047798773</v>
      </c>
      <c r="CW63" s="105">
        <v>9.7360397908599572E-2</v>
      </c>
      <c r="CX63" s="105">
        <v>9.9885411675115041E-2</v>
      </c>
    </row>
    <row r="64" spans="1:102">
      <c r="A64" s="106"/>
      <c r="B64" s="109" t="s">
        <v>114</v>
      </c>
      <c r="C64" s="107">
        <v>0.49704769972973462</v>
      </c>
      <c r="D64" s="107">
        <v>0.48610463541653809</v>
      </c>
      <c r="E64" s="107">
        <v>0.49930864984925027</v>
      </c>
      <c r="F64" s="107">
        <v>0.51541377107301845</v>
      </c>
      <c r="G64" s="107">
        <v>0.51485746081511297</v>
      </c>
      <c r="H64" s="107">
        <v>0.4906536045465375</v>
      </c>
      <c r="I64" s="107">
        <v>0.50857402551976982</v>
      </c>
      <c r="J64" s="107">
        <v>0.48917926972405179</v>
      </c>
      <c r="K64" s="107">
        <v>0.50539245376248598</v>
      </c>
      <c r="L64" s="107">
        <v>0.47971818271554967</v>
      </c>
      <c r="M64" s="107">
        <v>0.48878087639477219</v>
      </c>
      <c r="N64" s="107">
        <v>0.49857629692575806</v>
      </c>
      <c r="O64" s="107">
        <v>0.49188348701321699</v>
      </c>
      <c r="P64" s="107">
        <v>0.48612341362745215</v>
      </c>
      <c r="Q64" s="107">
        <v>0.49262727407953699</v>
      </c>
      <c r="R64" s="107">
        <v>0.48654993260688151</v>
      </c>
      <c r="S64" s="107">
        <v>0.48900722088111337</v>
      </c>
      <c r="T64" s="107">
        <v>0.4962896444905105</v>
      </c>
      <c r="U64" s="107">
        <v>0.49311110928717844</v>
      </c>
      <c r="V64" s="107">
        <v>0.4782740429829343</v>
      </c>
      <c r="W64" s="107">
        <v>0.48911375425226633</v>
      </c>
      <c r="X64" s="107">
        <v>0.50368378353560772</v>
      </c>
      <c r="Y64" s="107">
        <v>0.48019521191197667</v>
      </c>
      <c r="Z64" s="107">
        <v>0.49032817599681455</v>
      </c>
      <c r="AA64" s="107">
        <v>0.50464507180115525</v>
      </c>
      <c r="AB64" s="107">
        <v>0.50380430377145402</v>
      </c>
      <c r="AC64" s="107">
        <v>0.49819630505672363</v>
      </c>
      <c r="AD64" s="107">
        <v>0.48409972606951801</v>
      </c>
      <c r="AE64" s="107">
        <v>0.51291098197399754</v>
      </c>
      <c r="AF64" s="107">
        <v>0.48723032195728533</v>
      </c>
      <c r="AG64" s="107">
        <v>0.49282073828021383</v>
      </c>
      <c r="AH64" s="107">
        <v>0.4930420215130864</v>
      </c>
      <c r="AI64" s="107">
        <v>0.48747413488097857</v>
      </c>
      <c r="AJ64" s="107">
        <v>0.48668498919397096</v>
      </c>
      <c r="AK64" s="107">
        <v>0.49289222132142574</v>
      </c>
      <c r="AL64" s="107">
        <v>0.50291327661383578</v>
      </c>
      <c r="AM64" s="107">
        <v>0.47802136001397816</v>
      </c>
      <c r="AN64" s="107">
        <v>0.49224278671901345</v>
      </c>
      <c r="AO64" s="107">
        <v>0.50456879529444509</v>
      </c>
      <c r="AP64" s="107">
        <v>0.50371296160147294</v>
      </c>
      <c r="AQ64" s="107">
        <v>0.48432765146424039</v>
      </c>
      <c r="AR64" s="107">
        <v>0.49579111746041293</v>
      </c>
      <c r="AS64" s="107">
        <v>0.52234230398626302</v>
      </c>
      <c r="AT64" s="107">
        <v>0.49638279466705004</v>
      </c>
      <c r="AU64" s="107">
        <v>0.49267599825864128</v>
      </c>
      <c r="AV64" s="107">
        <v>0.4883630226069019</v>
      </c>
      <c r="AW64" s="107">
        <v>0.50027557049918514</v>
      </c>
      <c r="AX64" s="107">
        <v>0.50683867723880205</v>
      </c>
      <c r="AY64" s="107">
        <v>0.5054503873629258</v>
      </c>
      <c r="AZ64" s="107">
        <v>0.48434565600780044</v>
      </c>
      <c r="BA64" s="107">
        <v>0.47467265745648052</v>
      </c>
      <c r="BB64" s="107">
        <v>0.49110274389068193</v>
      </c>
      <c r="BC64" s="107">
        <v>0.48837010027530703</v>
      </c>
      <c r="BD64" s="107">
        <v>0.49987364987190097</v>
      </c>
      <c r="BE64" s="107">
        <v>0.49399074884887945</v>
      </c>
      <c r="BF64" s="107">
        <v>0.4885389587075597</v>
      </c>
      <c r="BG64" s="107">
        <v>0.49167051317064597</v>
      </c>
      <c r="BH64" s="107">
        <v>0.48416279905160303</v>
      </c>
      <c r="BI64" s="107">
        <v>0.4787375134511257</v>
      </c>
      <c r="BJ64" s="107">
        <v>0.47941727775724774</v>
      </c>
      <c r="BK64" s="107">
        <v>0.49908386601230692</v>
      </c>
      <c r="BL64" s="107">
        <v>0.49131494425112376</v>
      </c>
      <c r="BM64" s="107">
        <v>0.50023302606512454</v>
      </c>
      <c r="BN64" s="107">
        <v>0.48724070418058163</v>
      </c>
      <c r="BO64" s="107">
        <v>0.48730640648628443</v>
      </c>
      <c r="BP64" s="107">
        <v>0.50944412989762999</v>
      </c>
      <c r="BQ64" s="107">
        <v>0.51182230874848877</v>
      </c>
      <c r="BR64" s="107">
        <v>0.48191676054695537</v>
      </c>
      <c r="BS64" s="107">
        <v>0.49032558056398001</v>
      </c>
      <c r="BT64" s="107">
        <v>0.51050926074737091</v>
      </c>
      <c r="BU64" s="107">
        <v>0.5048011614277238</v>
      </c>
      <c r="BV64" s="107">
        <v>0.48682462142182159</v>
      </c>
      <c r="BW64" s="107">
        <v>0.50580463166835521</v>
      </c>
      <c r="BX64" s="107">
        <v>0.4883400811006261</v>
      </c>
      <c r="BY64" s="107">
        <v>0.50917416330225107</v>
      </c>
      <c r="BZ64" s="107">
        <v>0.4946110984492284</v>
      </c>
      <c r="CA64" s="107">
        <v>0.48303175488028371</v>
      </c>
      <c r="CB64" s="107">
        <v>0.49391266117038296</v>
      </c>
      <c r="CC64" s="107">
        <v>0.49901732805485044</v>
      </c>
      <c r="CD64" s="107">
        <v>0.49435096472000528</v>
      </c>
      <c r="CE64" s="107">
        <v>0.52214818470602464</v>
      </c>
      <c r="CF64" s="107">
        <v>0.51381471422306846</v>
      </c>
      <c r="CG64" s="107">
        <v>0.50077574559872584</v>
      </c>
      <c r="CH64" s="107">
        <v>0.48755181293595873</v>
      </c>
      <c r="CI64" s="107">
        <v>0.49334114294838949</v>
      </c>
      <c r="CJ64" s="107">
        <v>0.48714811223551913</v>
      </c>
      <c r="CK64" s="107">
        <v>0.49097489493576224</v>
      </c>
      <c r="CL64" s="107">
        <v>0.49535552490151186</v>
      </c>
      <c r="CM64" s="107">
        <v>0.49123558887112151</v>
      </c>
      <c r="CN64" s="107">
        <v>0.4922962372548999</v>
      </c>
      <c r="CO64" s="107">
        <v>0.50137417344307689</v>
      </c>
      <c r="CP64" s="107">
        <v>0.47906751603671571</v>
      </c>
      <c r="CQ64" s="107">
        <v>0.49426603610017678</v>
      </c>
      <c r="CR64" s="107">
        <v>0.51877199011666286</v>
      </c>
      <c r="CS64" s="107">
        <v>0.48392414599698552</v>
      </c>
      <c r="CT64" s="107">
        <v>0.4859252732712418</v>
      </c>
      <c r="CU64" s="107">
        <v>0.49215486174670181</v>
      </c>
      <c r="CV64" s="107">
        <v>0.48446925754373082</v>
      </c>
      <c r="CW64" s="107">
        <v>0.49143298450862338</v>
      </c>
      <c r="CX64" s="107">
        <v>0.50523748647457967</v>
      </c>
    </row>
    <row r="65" spans="1:102">
      <c r="A65" s="23"/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1:102">
      <c r="C66" s="112"/>
    </row>
    <row r="67" spans="1:102">
      <c r="C67" s="112"/>
    </row>
    <row r="68" spans="1:102">
      <c r="C68" s="112"/>
    </row>
    <row r="69" spans="1:102">
      <c r="C69" s="112"/>
    </row>
    <row r="70" spans="1:102">
      <c r="C70" s="112"/>
    </row>
    <row r="71" spans="1:102">
      <c r="C71" s="112"/>
    </row>
    <row r="77" spans="1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31" spans="3:3">
      <c r="C131" s="112"/>
    </row>
    <row r="141" spans="3:3">
      <c r="C141" s="112"/>
    </row>
    <row r="151" spans="3:3">
      <c r="C151" s="11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25:B25"/>
    <mergeCell ref="A16:B16"/>
    <mergeCell ref="A17:B17"/>
    <mergeCell ref="A18:B18"/>
    <mergeCell ref="A19:B19"/>
    <mergeCell ref="A24:B24"/>
    <mergeCell ref="A15:B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</mergeCells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indexed="52"/>
  </sheetPr>
  <dimension ref="A1:CX151"/>
  <sheetViews>
    <sheetView topLeftCell="A28" workbookViewId="0">
      <selection activeCell="B68" sqref="B68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Parameters!A44</f>
        <v>Schuld deflatie</v>
      </c>
      <c r="C2" s="2" t="s">
        <v>129</v>
      </c>
      <c r="D2" s="1">
        <v>5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0.99999999967175279</v>
      </c>
      <c r="D4" s="95">
        <v>0.99999999755106783</v>
      </c>
      <c r="E4" s="95">
        <v>0.99999999613747836</v>
      </c>
      <c r="F4" s="95">
        <v>0.99999999691409069</v>
      </c>
      <c r="G4" s="95">
        <v>0.99999999314122046</v>
      </c>
      <c r="H4" s="95">
        <v>0.9999999939669455</v>
      </c>
      <c r="I4" s="95">
        <v>0.99999998963466818</v>
      </c>
      <c r="J4" s="95">
        <v>0.99999998776608967</v>
      </c>
      <c r="K4" s="95">
        <v>0.99999999121392169</v>
      </c>
      <c r="L4" s="95">
        <v>0.99999998898990294</v>
      </c>
      <c r="M4" s="95">
        <v>0.99999998910436105</v>
      </c>
      <c r="N4" s="95">
        <v>0.99999998911435384</v>
      </c>
      <c r="O4" s="95">
        <v>0.99999998174620286</v>
      </c>
      <c r="P4" s="95">
        <v>0.99999998649043753</v>
      </c>
      <c r="Q4" s="95">
        <v>0.9999999827142857</v>
      </c>
      <c r="R4" s="95">
        <v>0.99999998594061401</v>
      </c>
      <c r="S4" s="95">
        <v>0.99999998060278406</v>
      </c>
      <c r="T4" s="95">
        <v>0.99999997716045974</v>
      </c>
      <c r="U4" s="95">
        <v>0.99999998825984937</v>
      </c>
      <c r="V4" s="95">
        <v>0.9999999812794752</v>
      </c>
      <c r="W4" s="95">
        <v>0.99999997521074391</v>
      </c>
      <c r="X4" s="95">
        <v>0.99999998509204868</v>
      </c>
      <c r="Y4" s="95">
        <v>0.99999997792532547</v>
      </c>
      <c r="Z4" s="95">
        <v>0.99999997963157261</v>
      </c>
      <c r="AA4" s="95">
        <v>0.99999998051179095</v>
      </c>
      <c r="AB4" s="95">
        <v>0.99999997527595608</v>
      </c>
      <c r="AC4" s="95">
        <v>0.99999997186003353</v>
      </c>
      <c r="AD4" s="95">
        <v>0.99999997874564295</v>
      </c>
      <c r="AE4" s="95">
        <v>0.99999997566518728</v>
      </c>
      <c r="AF4" s="95">
        <v>0.9999999826242747</v>
      </c>
      <c r="AG4" s="95">
        <v>0.99999995505570638</v>
      </c>
      <c r="AH4" s="95">
        <v>0.99999997105760563</v>
      </c>
      <c r="AI4" s="95">
        <v>0.99999996802494562</v>
      </c>
      <c r="AJ4" s="95">
        <v>0.99999996404043268</v>
      </c>
      <c r="AK4" s="95">
        <v>0.99999993748862581</v>
      </c>
      <c r="AL4" s="95">
        <v>0.99999997749168035</v>
      </c>
      <c r="AM4" s="95">
        <v>0.99999997065631963</v>
      </c>
      <c r="AN4" s="95">
        <v>0.99999996076428177</v>
      </c>
      <c r="AO4" s="95">
        <v>0.99999993305183688</v>
      </c>
      <c r="AP4" s="95">
        <v>0.99999996021793958</v>
      </c>
      <c r="AQ4" s="95">
        <v>0.99999995989181167</v>
      </c>
      <c r="AR4" s="95">
        <v>0.99999996874810793</v>
      </c>
      <c r="AS4" s="95">
        <v>0.99999995807654052</v>
      </c>
      <c r="AT4" s="95">
        <v>0.999999914482401</v>
      </c>
      <c r="AU4" s="95">
        <v>0.99999995730722124</v>
      </c>
      <c r="AV4" s="95">
        <v>0.99999995597894109</v>
      </c>
      <c r="AW4" s="95">
        <v>0.99999996502706512</v>
      </c>
      <c r="AX4" s="95">
        <v>0.99999994925589852</v>
      </c>
      <c r="AY4" s="95">
        <v>0.99999990506737291</v>
      </c>
      <c r="AZ4" s="95">
        <v>0.99999992149527928</v>
      </c>
      <c r="BA4" s="95">
        <v>0.99999994558164507</v>
      </c>
      <c r="BB4" s="95">
        <v>0.99999993603742776</v>
      </c>
      <c r="BC4" s="95">
        <v>0.9999999439948779</v>
      </c>
      <c r="BD4" s="95">
        <v>0.99999993908240881</v>
      </c>
      <c r="BE4" s="95">
        <v>0.99999994611332332</v>
      </c>
      <c r="BF4" s="95">
        <v>0.99999993092119943</v>
      </c>
      <c r="BG4" s="95">
        <v>0.99999994439895035</v>
      </c>
      <c r="BH4" s="95">
        <v>0.99999992617214273</v>
      </c>
      <c r="BI4" s="95">
        <v>0.99999994556625604</v>
      </c>
      <c r="BJ4" s="95">
        <v>0.99999993463342607</v>
      </c>
      <c r="BK4" s="95">
        <v>0.9999999141993009</v>
      </c>
      <c r="BL4" s="95">
        <v>0.99999993194311532</v>
      </c>
      <c r="BM4" s="95">
        <v>0.9999999010877304</v>
      </c>
      <c r="BN4" s="95">
        <v>0.9999999512457628</v>
      </c>
      <c r="BO4" s="95">
        <v>0.99999992321848286</v>
      </c>
      <c r="BP4" s="95">
        <v>0.99999988762374814</v>
      </c>
      <c r="BQ4" s="95">
        <v>0.99999993998618264</v>
      </c>
      <c r="BR4" s="95">
        <v>0.99999991343115258</v>
      </c>
      <c r="BS4" s="95">
        <v>0.99999981669382065</v>
      </c>
      <c r="BT4" s="95">
        <v>0.99999990556643348</v>
      </c>
      <c r="BU4" s="95">
        <v>0.99999992312946306</v>
      </c>
      <c r="BV4" s="95">
        <v>0.99999993194339454</v>
      </c>
      <c r="BW4" s="95">
        <v>0.99999990214014145</v>
      </c>
      <c r="BX4" s="95">
        <v>0.99999989831334235</v>
      </c>
      <c r="BY4" s="95">
        <v>0.99999990584527076</v>
      </c>
      <c r="BZ4" s="95">
        <v>0.9999999294368731</v>
      </c>
      <c r="CA4" s="95">
        <v>0.99999989160878844</v>
      </c>
      <c r="CB4" s="95">
        <v>0.99999991509280572</v>
      </c>
      <c r="CC4" s="95">
        <v>0.99999993342159399</v>
      </c>
      <c r="CD4" s="95">
        <v>0.9999998837212597</v>
      </c>
      <c r="CE4" s="95">
        <v>0.99999986704516608</v>
      </c>
      <c r="CF4" s="95">
        <v>0.9999999071291964</v>
      </c>
      <c r="CG4" s="95">
        <v>0.99999990121545812</v>
      </c>
      <c r="CH4" s="95">
        <v>0.99999987715825622</v>
      </c>
      <c r="CI4" s="95">
        <v>0.99999991136669808</v>
      </c>
      <c r="CJ4" s="95">
        <v>0.99999981159310691</v>
      </c>
      <c r="CK4" s="95">
        <v>0.99999975872769309</v>
      </c>
      <c r="CL4" s="95">
        <v>0.99999983977265783</v>
      </c>
      <c r="CM4" s="95">
        <v>0.99999972191001507</v>
      </c>
      <c r="CN4" s="95">
        <v>0.99999986214063519</v>
      </c>
      <c r="CO4" s="95">
        <v>0.99999986710201516</v>
      </c>
      <c r="CP4" s="95">
        <v>0.99999986540303254</v>
      </c>
      <c r="CQ4" s="95">
        <v>0.99999971090374662</v>
      </c>
      <c r="CR4" s="95">
        <v>0.99999986207160085</v>
      </c>
      <c r="CS4" s="95">
        <v>0.99999984021266719</v>
      </c>
      <c r="CT4" s="95">
        <v>0.9999998634291043</v>
      </c>
      <c r="CU4" s="95">
        <v>0.99999985882301445</v>
      </c>
      <c r="CV4" s="95">
        <v>0.99999956473522555</v>
      </c>
      <c r="CW4" s="95">
        <v>0.99999979155338836</v>
      </c>
      <c r="CX4" s="95">
        <v>0.99999955592984457</v>
      </c>
    </row>
    <row r="5" spans="1:102" s="95" customFormat="1">
      <c r="A5" s="306" t="str">
        <f>Parameters!A51</f>
        <v>Reele matching</v>
      </c>
      <c r="B5" s="307"/>
      <c r="C5" s="95">
        <v>3.1501974827270283E-10</v>
      </c>
      <c r="D5" s="95">
        <v>9.4308335611551956E-11</v>
      </c>
      <c r="E5" s="95">
        <v>6.8221929926180925E-14</v>
      </c>
      <c r="F5" s="95">
        <v>2.8513846857098213E-10</v>
      </c>
      <c r="G5" s="95">
        <v>9.430306173451976E-10</v>
      </c>
      <c r="H5" s="95">
        <v>3.128134470271427E-14</v>
      </c>
      <c r="I5" s="95">
        <v>1.5488120189153066E-10</v>
      </c>
      <c r="J5" s="95">
        <v>1.1440367858604987E-11</v>
      </c>
      <c r="K5" s="95">
        <v>3.1190521121254275E-12</v>
      </c>
      <c r="L5" s="95">
        <v>2.7339911196439372E-9</v>
      </c>
      <c r="M5" s="95">
        <v>1.3413915663412853E-9</v>
      </c>
      <c r="N5" s="95">
        <v>9.93893101204967E-11</v>
      </c>
      <c r="O5" s="95">
        <v>1.229687394275598E-8</v>
      </c>
      <c r="P5" s="95">
        <v>9.1883246163005004E-16</v>
      </c>
      <c r="Q5" s="95">
        <v>2.4975467721529952E-24</v>
      </c>
      <c r="R5" s="95">
        <v>1.7541932568535931E-9</v>
      </c>
      <c r="S5" s="95">
        <v>1.981592238928105E-12</v>
      </c>
      <c r="T5" s="95">
        <v>5.2537258586303026E-9</v>
      </c>
      <c r="U5" s="95">
        <v>1.0547309403232205E-15</v>
      </c>
      <c r="V5" s="95">
        <v>2.2807136276970576E-11</v>
      </c>
      <c r="W5" s="95">
        <v>4.4362400545785683E-9</v>
      </c>
      <c r="X5" s="95">
        <v>2.4299321314381336E-9</v>
      </c>
      <c r="Y5" s="95">
        <v>1.2825092999402603E-9</v>
      </c>
      <c r="Z5" s="95">
        <v>3.9226457976601296E-16</v>
      </c>
      <c r="AA5" s="95">
        <v>3.7979272484064808E-16</v>
      </c>
      <c r="AB5" s="95">
        <v>9.4853684929663584E-16</v>
      </c>
      <c r="AC5" s="95">
        <v>8.2285725037447441E-9</v>
      </c>
      <c r="AD5" s="95">
        <v>2.7799805189565197E-21</v>
      </c>
      <c r="AE5" s="95">
        <v>8.0107263663027451E-10</v>
      </c>
      <c r="AF5" s="95">
        <v>2.6698748888016364E-12</v>
      </c>
      <c r="AG5" s="95">
        <v>3.8008351961913261E-8</v>
      </c>
      <c r="AH5" s="95">
        <v>4.1175959715749609E-10</v>
      </c>
      <c r="AI5" s="95">
        <v>1.1486196467846514E-11</v>
      </c>
      <c r="AJ5" s="95">
        <v>4.004355475155377E-9</v>
      </c>
      <c r="AK5" s="95">
        <v>5.3361891127039682E-8</v>
      </c>
      <c r="AL5" s="95">
        <v>7.246218323040687E-10</v>
      </c>
      <c r="AM5" s="95">
        <v>2.5744653126462839E-20</v>
      </c>
      <c r="AN5" s="95">
        <v>2.9305942091318912E-9</v>
      </c>
      <c r="AO5" s="95">
        <v>5.7901900630626782E-8</v>
      </c>
      <c r="AP5" s="95">
        <v>8.4630941768691107E-12</v>
      </c>
      <c r="AQ5" s="95">
        <v>1.0170954708899665E-12</v>
      </c>
      <c r="AR5" s="95">
        <v>1.1786217700363175E-14</v>
      </c>
      <c r="AS5" s="95">
        <v>2.0158539482945106E-9</v>
      </c>
      <c r="AT5" s="95">
        <v>8.142517306522717E-8</v>
      </c>
      <c r="AU5" s="95">
        <v>1.8708364768951786E-9</v>
      </c>
      <c r="AV5" s="95">
        <v>3.9777584872695561E-10</v>
      </c>
      <c r="AW5" s="95">
        <v>2.4986991091901192E-22</v>
      </c>
      <c r="AX5" s="95">
        <v>3.9201056131947033E-16</v>
      </c>
      <c r="AY5" s="95">
        <v>8.9198413842469523E-8</v>
      </c>
      <c r="AZ5" s="95">
        <v>6.3876338326003226E-8</v>
      </c>
      <c r="BA5" s="95">
        <v>9.7928004744158211E-9</v>
      </c>
      <c r="BB5" s="95">
        <v>1.7007982045997006E-8</v>
      </c>
      <c r="BC5" s="95">
        <v>1.1704001303169783E-12</v>
      </c>
      <c r="BD5" s="95">
        <v>1.585466187476458E-15</v>
      </c>
      <c r="BE5" s="95">
        <v>2.9599361421213152E-9</v>
      </c>
      <c r="BF5" s="95">
        <v>1.5216943107929193E-9</v>
      </c>
      <c r="BG5" s="95">
        <v>1.0178336012548534E-10</v>
      </c>
      <c r="BH5" s="95">
        <v>1.8162639018761801E-9</v>
      </c>
      <c r="BI5" s="95">
        <v>1.623101434802868E-12</v>
      </c>
      <c r="BJ5" s="95">
        <v>2.191906599906251E-9</v>
      </c>
      <c r="BK5" s="95">
        <v>1.1752985328276393E-10</v>
      </c>
      <c r="BL5" s="95">
        <v>5.3581559991436582E-13</v>
      </c>
      <c r="BM5" s="95">
        <v>6.4115793176595722E-8</v>
      </c>
      <c r="BN5" s="95">
        <v>1.4297148954029511E-9</v>
      </c>
      <c r="BO5" s="95">
        <v>9.065524734327045E-10</v>
      </c>
      <c r="BP5" s="95">
        <v>4.2654953358784663E-8</v>
      </c>
      <c r="BQ5" s="95">
        <v>2.954731507346028E-10</v>
      </c>
      <c r="BR5" s="95">
        <v>8.2054659176929956E-10</v>
      </c>
      <c r="BS5" s="95">
        <v>1.8315583245818564E-7</v>
      </c>
      <c r="BT5" s="95">
        <v>3.08651764285556E-8</v>
      </c>
      <c r="BU5" s="95">
        <v>1.8482453126372983E-8</v>
      </c>
      <c r="BV5" s="95">
        <v>6.7324173540331997E-11</v>
      </c>
      <c r="BW5" s="95">
        <v>8.7281081459963142E-11</v>
      </c>
      <c r="BX5" s="95">
        <v>4.2950520338539492E-8</v>
      </c>
      <c r="BY5" s="95">
        <v>8.2230636907365469E-10</v>
      </c>
      <c r="BZ5" s="95">
        <v>3.7090213808304947E-12</v>
      </c>
      <c r="CA5" s="95">
        <v>4.0901684349718559E-19</v>
      </c>
      <c r="CB5" s="95">
        <v>8.601960513682692E-10</v>
      </c>
      <c r="CC5" s="95">
        <v>2.2847568326451485E-10</v>
      </c>
      <c r="CD5" s="95">
        <v>5.7637594613114235E-10</v>
      </c>
      <c r="CE5" s="95">
        <v>4.6472379014091279E-8</v>
      </c>
      <c r="CF5" s="95">
        <v>1.3685463789081885E-10</v>
      </c>
      <c r="CG5" s="95">
        <v>2.5399060164289282E-18</v>
      </c>
      <c r="CH5" s="95">
        <v>4.2876446886667554E-8</v>
      </c>
      <c r="CI5" s="95">
        <v>1.6316828904517011E-9</v>
      </c>
      <c r="CJ5" s="95">
        <v>1.4801701164421732E-7</v>
      </c>
      <c r="CK5" s="95">
        <v>2.0638260755409971E-7</v>
      </c>
      <c r="CL5" s="95">
        <v>2.8658882954516417E-9</v>
      </c>
      <c r="CM5" s="95">
        <v>2.2214228563484014E-7</v>
      </c>
      <c r="CN5" s="95">
        <v>7.6485508806037864E-10</v>
      </c>
      <c r="CO5" s="95">
        <v>2.6868247306514154E-8</v>
      </c>
      <c r="CP5" s="95">
        <v>3.046444328575805E-11</v>
      </c>
      <c r="CQ5" s="95">
        <v>2.3562240188782708E-7</v>
      </c>
      <c r="CR5" s="95">
        <v>3.2314325841199969E-15</v>
      </c>
      <c r="CS5" s="95">
        <v>1.3087552952215424E-35</v>
      </c>
      <c r="CT5" s="95">
        <v>3.375807300180998E-9</v>
      </c>
      <c r="CU5" s="95">
        <v>4.7623624727748779E-14</v>
      </c>
      <c r="CV5" s="95">
        <v>4.3381025169464563E-7</v>
      </c>
      <c r="CW5" s="95">
        <v>5.3874947686627424E-8</v>
      </c>
      <c r="CX5" s="95">
        <v>4.2750728443152696E-7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9.2787193706791903E-21</v>
      </c>
      <c r="D7" s="95">
        <v>1.3684109760926821E-27</v>
      </c>
      <c r="E7" s="95">
        <v>3.7738744422090109E-9</v>
      </c>
      <c r="F7" s="95">
        <v>3.0149780123134076E-13</v>
      </c>
      <c r="G7" s="95">
        <v>1.491326223061915E-11</v>
      </c>
      <c r="H7" s="95">
        <v>7.309730085014041E-10</v>
      </c>
      <c r="I7" s="95">
        <v>9.9431745076130803E-9</v>
      </c>
      <c r="J7" s="95">
        <v>3.2927241991600713E-12</v>
      </c>
      <c r="K7" s="95">
        <v>1.6919520906871461E-9</v>
      </c>
      <c r="L7" s="95">
        <v>1.4316571564242726E-10</v>
      </c>
      <c r="M7" s="95">
        <v>4.0614142458733238E-9</v>
      </c>
      <c r="N7" s="95">
        <v>2.5418714197420908E-21</v>
      </c>
      <c r="O7" s="95">
        <v>3.9783767617342092E-10</v>
      </c>
      <c r="P7" s="95">
        <v>8.6374487508784717E-21</v>
      </c>
      <c r="Q7" s="95">
        <v>1.8074755627605883E-12</v>
      </c>
      <c r="R7" s="95">
        <v>3.3443548832119182E-10</v>
      </c>
      <c r="S7" s="95">
        <v>9.0744036392118637E-9</v>
      </c>
      <c r="T7" s="95">
        <v>2.430551041398872E-11</v>
      </c>
      <c r="U7" s="95">
        <v>1.4816735595045446E-23</v>
      </c>
      <c r="V7" s="95">
        <v>9.7619206373966457E-12</v>
      </c>
      <c r="W7" s="95">
        <v>1.6533742536570119E-11</v>
      </c>
      <c r="X7" s="95">
        <v>3.1231334982711544E-10</v>
      </c>
      <c r="Y7" s="95">
        <v>1.6737213892900715E-9</v>
      </c>
      <c r="Z7" s="95">
        <v>1.7510136985615832E-8</v>
      </c>
      <c r="AA7" s="95">
        <v>2.0915495261965349E-21</v>
      </c>
      <c r="AB7" s="95">
        <v>2.265362138411006E-8</v>
      </c>
      <c r="AC7" s="95">
        <v>1.0367387822429623E-9</v>
      </c>
      <c r="AD7" s="95">
        <v>6.973554812174606E-9</v>
      </c>
      <c r="AE7" s="95">
        <v>1.9220451736897082E-8</v>
      </c>
      <c r="AF7" s="95">
        <v>9.6841584940666415E-10</v>
      </c>
      <c r="AG7" s="95">
        <v>3.6356386215695958E-21</v>
      </c>
      <c r="AH7" s="95">
        <v>1.3383532710501399E-16</v>
      </c>
      <c r="AI7" s="95">
        <v>1.5734189886759727E-8</v>
      </c>
      <c r="AJ7" s="95">
        <v>4.7861195254886004E-10</v>
      </c>
      <c r="AK7" s="95">
        <v>7.0605553522512209E-11</v>
      </c>
      <c r="AL7" s="95">
        <v>9.2190760406522691E-17</v>
      </c>
      <c r="AM7" s="95">
        <v>7.3041237292947628E-9</v>
      </c>
      <c r="AN7" s="95">
        <v>1.3918618144393134E-21</v>
      </c>
      <c r="AO7" s="95">
        <v>7.4824193558782094E-9</v>
      </c>
      <c r="AP7" s="95">
        <v>3.1542140300704499E-10</v>
      </c>
      <c r="AQ7" s="95">
        <v>3.590199728021298E-11</v>
      </c>
      <c r="AR7" s="95">
        <v>5.5880175245297038E-12</v>
      </c>
      <c r="AS7" s="95">
        <v>2.3840704088791863E-8</v>
      </c>
      <c r="AT7" s="95">
        <v>1.0951987667240978E-13</v>
      </c>
      <c r="AU7" s="95">
        <v>3.4730115597228206E-9</v>
      </c>
      <c r="AV7" s="95">
        <v>3.1868340057734719E-8</v>
      </c>
      <c r="AW7" s="95">
        <v>3.845406462613163E-9</v>
      </c>
      <c r="AX7" s="95">
        <v>5.0546245775475157E-8</v>
      </c>
      <c r="AY7" s="95">
        <v>1.514293148279961E-9</v>
      </c>
      <c r="AZ7" s="95">
        <v>4.3784621573040797E-9</v>
      </c>
      <c r="BA7" s="95">
        <v>2.5950163514981581E-11</v>
      </c>
      <c r="BB7" s="95">
        <v>5.6366505324532365E-17</v>
      </c>
      <c r="BC7" s="95">
        <v>4.8755413929352855E-8</v>
      </c>
      <c r="BD7" s="95">
        <v>5.8902339142644066E-8</v>
      </c>
      <c r="BE7" s="95">
        <v>1.4253968264760298E-10</v>
      </c>
      <c r="BF7" s="95">
        <v>7.5159349439750516E-10</v>
      </c>
      <c r="BG7" s="95">
        <v>1.603658543434168E-8</v>
      </c>
      <c r="BH7" s="95">
        <v>3.4098929854076688E-8</v>
      </c>
      <c r="BI7" s="95">
        <v>1.8484171071503291E-9</v>
      </c>
      <c r="BJ7" s="95">
        <v>7.899049374691396E-10</v>
      </c>
      <c r="BK7" s="95">
        <v>2.2090232330189603E-9</v>
      </c>
      <c r="BL7" s="95">
        <v>2.3835667508631331E-11</v>
      </c>
      <c r="BM7" s="95">
        <v>5.4696783487469744E-10</v>
      </c>
      <c r="BN7" s="95">
        <v>6.3569836118847037E-14</v>
      </c>
      <c r="BO7" s="95">
        <v>6.3520359623283034E-8</v>
      </c>
      <c r="BP7" s="95">
        <v>1.7673553867980503E-13</v>
      </c>
      <c r="BQ7" s="95">
        <v>1.0904082691627277E-8</v>
      </c>
      <c r="BR7" s="95">
        <v>7.766241180505089E-9</v>
      </c>
      <c r="BS7" s="95">
        <v>3.5924712615938843E-15</v>
      </c>
      <c r="BT7" s="95">
        <v>3.9565106187752904E-8</v>
      </c>
      <c r="BU7" s="95">
        <v>4.0068894166594343E-10</v>
      </c>
      <c r="BV7" s="95">
        <v>2.1904865931972144E-8</v>
      </c>
      <c r="BW7" s="95">
        <v>4.6145403072286797E-13</v>
      </c>
      <c r="BX7" s="95">
        <v>9.7372109914403465E-11</v>
      </c>
      <c r="BY7" s="95">
        <v>5.2906904017761481E-8</v>
      </c>
      <c r="BZ7" s="95">
        <v>3.1380581267662471E-10</v>
      </c>
      <c r="CA7" s="95">
        <v>6.5625814907427199E-8</v>
      </c>
      <c r="CB7" s="95">
        <v>2.8183672423826578E-8</v>
      </c>
      <c r="CC7" s="95">
        <v>1.0700285012965451E-13</v>
      </c>
      <c r="CD7" s="95">
        <v>3.2628975682934511E-8</v>
      </c>
      <c r="CE7" s="95">
        <v>2.3789770371606588E-12</v>
      </c>
      <c r="CF7" s="95">
        <v>2.8062235703878949E-10</v>
      </c>
      <c r="CG7" s="95">
        <v>3.892355861280465E-8</v>
      </c>
      <c r="CH7" s="95">
        <v>3.2406123379151371E-8</v>
      </c>
      <c r="CI7" s="95">
        <v>2.7613043554695805E-8</v>
      </c>
      <c r="CJ7" s="95">
        <v>1.0263621611887049E-8</v>
      </c>
      <c r="CK7" s="95">
        <v>1.4756263766894214E-14</v>
      </c>
      <c r="CL7" s="95">
        <v>6.2402994594630679E-8</v>
      </c>
      <c r="CM7" s="95">
        <v>3.6413038527409672E-8</v>
      </c>
      <c r="CN7" s="95">
        <v>5.7473586388602314E-8</v>
      </c>
      <c r="CO7" s="95">
        <v>6.9179790059257937E-12</v>
      </c>
      <c r="CP7" s="95">
        <v>5.6429007756069627E-9</v>
      </c>
      <c r="CQ7" s="95">
        <v>9.3876980918190337E-11</v>
      </c>
      <c r="CR7" s="95">
        <v>4.5519627800608149E-12</v>
      </c>
      <c r="CS7" s="95">
        <v>5.5733492385486267E-8</v>
      </c>
      <c r="CT7" s="95">
        <v>2.4806309785277469E-8</v>
      </c>
      <c r="CU7" s="95">
        <v>2.7305277564164912E-14</v>
      </c>
      <c r="CV7" s="95">
        <v>7.4201430427294661E-17</v>
      </c>
      <c r="CW7" s="95">
        <v>6.9511298695562511E-10</v>
      </c>
      <c r="CX7" s="95">
        <v>9.7735682590627153E-10</v>
      </c>
    </row>
    <row r="8" spans="1:102" s="95" customFormat="1">
      <c r="A8" s="306" t="str">
        <f>Parameters!A54</f>
        <v>Emerging market debt</v>
      </c>
      <c r="B8" s="307"/>
      <c r="C8" s="95">
        <v>6.7027090839526338E-20</v>
      </c>
      <c r="D8" s="95">
        <v>3.6994416783572792E-10</v>
      </c>
      <c r="E8" s="95">
        <v>7.6064011947214165E-13</v>
      </c>
      <c r="F8" s="95">
        <v>3.541281659781858E-12</v>
      </c>
      <c r="G8" s="95">
        <v>1.0846638546246447E-14</v>
      </c>
      <c r="H8" s="95">
        <v>5.7298525466656088E-11</v>
      </c>
      <c r="I8" s="95">
        <v>3.6167642874825414E-15</v>
      </c>
      <c r="J8" s="95">
        <v>1.2211933763675861E-8</v>
      </c>
      <c r="K8" s="95">
        <v>1.8533287949181646E-18</v>
      </c>
      <c r="L8" s="95">
        <v>8.4166745272257572E-16</v>
      </c>
      <c r="M8" s="95">
        <v>1.1730663037559114E-16</v>
      </c>
      <c r="N8" s="95">
        <v>1.8314877367784067E-9</v>
      </c>
      <c r="O8" s="95">
        <v>2.6114746680424694E-13</v>
      </c>
      <c r="P8" s="95">
        <v>2.2005366705947031E-10</v>
      </c>
      <c r="Q8" s="95">
        <v>1.9356610881971829E-12</v>
      </c>
      <c r="R8" s="95">
        <v>4.2918915270917683E-11</v>
      </c>
      <c r="S8" s="95">
        <v>5.2134236039029747E-10</v>
      </c>
      <c r="T8" s="95">
        <v>1.8814710778912005E-12</v>
      </c>
      <c r="U8" s="95">
        <v>5.893560281949888E-13</v>
      </c>
      <c r="V8" s="95">
        <v>8.7176305748300399E-19</v>
      </c>
      <c r="W8" s="95">
        <v>1.6562439266806469E-8</v>
      </c>
      <c r="X8" s="95">
        <v>1.0308043304497444E-12</v>
      </c>
      <c r="Y8" s="95">
        <v>6.8545731965848157E-9</v>
      </c>
      <c r="Z8" s="95">
        <v>2.9861156259227297E-13</v>
      </c>
      <c r="AA8" s="95">
        <v>4.683022582716649E-10</v>
      </c>
      <c r="AB8" s="95">
        <v>1.0317811578571234E-15</v>
      </c>
      <c r="AC8" s="95">
        <v>3.0860038986704449E-11</v>
      </c>
      <c r="AD8" s="95">
        <v>2.401632759467512E-15</v>
      </c>
      <c r="AE8" s="95">
        <v>4.1724267729797037E-13</v>
      </c>
      <c r="AF8" s="95">
        <v>2.275748825079953E-13</v>
      </c>
      <c r="AG8" s="95">
        <v>2.5962081182286419E-9</v>
      </c>
      <c r="AH8" s="95">
        <v>1.1071889609803668E-11</v>
      </c>
      <c r="AI8" s="95">
        <v>1.1844167054467425E-9</v>
      </c>
      <c r="AJ8" s="95">
        <v>1.4955307059263948E-9</v>
      </c>
      <c r="AK8" s="95">
        <v>8.450361090989544E-13</v>
      </c>
      <c r="AL8" s="95">
        <v>8.6099331179327432E-10</v>
      </c>
      <c r="AM8" s="95">
        <v>5.2638419833174832E-11</v>
      </c>
      <c r="AN8" s="95">
        <v>1.2886599759473376E-8</v>
      </c>
      <c r="AO8" s="95">
        <v>1.487298977927471E-10</v>
      </c>
      <c r="AP8" s="95">
        <v>2.1446470220127659E-13</v>
      </c>
      <c r="AQ8" s="95">
        <v>2.7356488841925928E-8</v>
      </c>
      <c r="AR8" s="95">
        <v>1.7152356951274926E-13</v>
      </c>
      <c r="AS8" s="95">
        <v>1.914037807044623E-13</v>
      </c>
      <c r="AT8" s="95">
        <v>2.5173016851646346E-17</v>
      </c>
      <c r="AU8" s="95">
        <v>9.3895544266496775E-15</v>
      </c>
      <c r="AV8" s="95">
        <v>4.4281282529072206E-26</v>
      </c>
      <c r="AW8" s="95">
        <v>6.0204218499828064E-10</v>
      </c>
      <c r="AX8" s="95">
        <v>4.2229666434330901E-12</v>
      </c>
      <c r="AY8" s="95">
        <v>8.2966026762605771E-16</v>
      </c>
      <c r="AZ8" s="95">
        <v>5.0491613705227056E-10</v>
      </c>
      <c r="BA8" s="95">
        <v>5.3522488066466622E-9</v>
      </c>
      <c r="BB8" s="95">
        <v>1.6359362926827945E-9</v>
      </c>
      <c r="BC8" s="95">
        <v>8.962212185100228E-13</v>
      </c>
      <c r="BD8" s="95">
        <v>1.6125704525945796E-14</v>
      </c>
      <c r="BE8" s="95">
        <v>3.779503813905331E-13</v>
      </c>
      <c r="BF8" s="95">
        <v>5.3988799719416654E-8</v>
      </c>
      <c r="BG8" s="95">
        <v>3.1991413267982081E-9</v>
      </c>
      <c r="BH8" s="95">
        <v>1.3386402327002782E-8</v>
      </c>
      <c r="BI8" s="95">
        <v>4.5135657605939708E-13</v>
      </c>
      <c r="BJ8" s="95">
        <v>3.7679474604400024E-8</v>
      </c>
      <c r="BK8" s="95">
        <v>6.0793129815687261E-8</v>
      </c>
      <c r="BL8" s="95">
        <v>3.419906797080416E-8</v>
      </c>
      <c r="BM8" s="95">
        <v>6.415575544329842E-16</v>
      </c>
      <c r="BN8" s="95">
        <v>1.1569643819863894E-10</v>
      </c>
      <c r="BO8" s="95">
        <v>1.006637906827489E-10</v>
      </c>
      <c r="BP8" s="95">
        <v>5.9032323239917975E-8</v>
      </c>
      <c r="BQ8" s="95">
        <v>2.0036591173999822E-9</v>
      </c>
      <c r="BR8" s="95">
        <v>1.0450997008914452E-8</v>
      </c>
      <c r="BS8" s="95">
        <v>1.057735916571843E-12</v>
      </c>
      <c r="BT8" s="95">
        <v>6.5180283959246246E-12</v>
      </c>
      <c r="BU8" s="95">
        <v>7.6909864780531835E-11</v>
      </c>
      <c r="BV8" s="95">
        <v>3.4546346578754177E-17</v>
      </c>
      <c r="BW8" s="95">
        <v>7.7548662825823341E-8</v>
      </c>
      <c r="BX8" s="95">
        <v>2.8149700835536654E-15</v>
      </c>
      <c r="BY8" s="95">
        <v>1.1241175294160412E-8</v>
      </c>
      <c r="BZ8" s="95">
        <v>8.8419089952169687E-10</v>
      </c>
      <c r="CA8" s="95">
        <v>3.5782937341279461E-8</v>
      </c>
      <c r="CB8" s="95">
        <v>2.0857393085202395E-8</v>
      </c>
      <c r="CC8" s="95">
        <v>1.6097191078542595E-10</v>
      </c>
      <c r="CD8" s="95">
        <v>3.5526326250835278E-9</v>
      </c>
      <c r="CE8" s="95">
        <v>2.9591035879088662E-9</v>
      </c>
      <c r="CF8" s="95">
        <v>1.5824879789134179E-9</v>
      </c>
      <c r="CG8" s="95">
        <v>2.5630857998906864E-9</v>
      </c>
      <c r="CH8" s="95">
        <v>1.5763233260674376E-16</v>
      </c>
      <c r="CI8" s="95">
        <v>7.1465998505595435E-10</v>
      </c>
      <c r="CJ8" s="95">
        <v>4.470999639571207E-9</v>
      </c>
      <c r="CK8" s="95">
        <v>1.7067524345717061E-9</v>
      </c>
      <c r="CL8" s="95">
        <v>6.3777551780905829E-8</v>
      </c>
      <c r="CM8" s="95">
        <v>3.930376151649829E-12</v>
      </c>
      <c r="CN8" s="95">
        <v>2.1410558976463417E-14</v>
      </c>
      <c r="CO8" s="95">
        <v>1.2553476626184769E-14</v>
      </c>
      <c r="CP8" s="95">
        <v>9.4355882336755928E-11</v>
      </c>
      <c r="CQ8" s="95">
        <v>2.6827861728754357E-8</v>
      </c>
      <c r="CR8" s="95">
        <v>5.3142460719808309E-18</v>
      </c>
      <c r="CS8" s="95">
        <v>3.3431101267406203E-8</v>
      </c>
      <c r="CT8" s="95">
        <v>2.445040992704177E-12</v>
      </c>
      <c r="CU8" s="95">
        <v>2.9978168734885866E-11</v>
      </c>
      <c r="CV8" s="95">
        <v>1.4155193510090519E-18</v>
      </c>
      <c r="CW8" s="95">
        <v>5.9586345415884875E-10</v>
      </c>
      <c r="CX8" s="95">
        <v>4.6537038849526458E-10</v>
      </c>
    </row>
    <row r="9" spans="1:102" s="95" customFormat="1">
      <c r="A9" s="306" t="str">
        <f>Parameters!A55</f>
        <v>Aandelen ontwikkeld</v>
      </c>
      <c r="B9" s="307"/>
      <c r="C9" s="95">
        <v>2.8613142946674738E-15</v>
      </c>
      <c r="D9" s="95">
        <v>8.3983901676314801E-10</v>
      </c>
      <c r="E9" s="95">
        <v>8.3367522118398946E-13</v>
      </c>
      <c r="F9" s="95">
        <v>2.2038485204609975E-16</v>
      </c>
      <c r="G9" s="95">
        <v>1.8598295503811245E-9</v>
      </c>
      <c r="H9" s="95">
        <v>3.7259747112185361E-11</v>
      </c>
      <c r="I9" s="95">
        <v>1.4444318781276146E-10</v>
      </c>
      <c r="J9" s="95">
        <v>4.3859690302734464E-19</v>
      </c>
      <c r="K9" s="95">
        <v>3.2837623369615243E-14</v>
      </c>
      <c r="L9" s="95">
        <v>5.7071884342683885E-10</v>
      </c>
      <c r="M9" s="95">
        <v>2.8695386204982937E-9</v>
      </c>
      <c r="N9" s="95">
        <v>3.8688281488768087E-16</v>
      </c>
      <c r="O9" s="95">
        <v>1.879348066596602E-15</v>
      </c>
      <c r="P9" s="95">
        <v>7.6472026547517893E-10</v>
      </c>
      <c r="Q9" s="95">
        <v>6.2679805643563292E-10</v>
      </c>
      <c r="R9" s="95">
        <v>1.1433871837939137E-8</v>
      </c>
      <c r="S9" s="95">
        <v>1.6656155271583214E-14</v>
      </c>
      <c r="T9" s="95">
        <v>1.7755559974981245E-10</v>
      </c>
      <c r="U9" s="95">
        <v>1.1390947042738475E-17</v>
      </c>
      <c r="V9" s="95">
        <v>3.831262198358605E-10</v>
      </c>
      <c r="W9" s="95">
        <v>4.6048479397520455E-11</v>
      </c>
      <c r="X9" s="95">
        <v>1.9369119119468971E-9</v>
      </c>
      <c r="Y9" s="95">
        <v>8.531270808395458E-11</v>
      </c>
      <c r="Z9" s="95">
        <v>6.0919583051995794E-10</v>
      </c>
      <c r="AA9" s="95">
        <v>1.0044502402316497E-9</v>
      </c>
      <c r="AB9" s="95">
        <v>4.6605009241177266E-11</v>
      </c>
      <c r="AC9" s="95">
        <v>4.4087340071970061E-13</v>
      </c>
      <c r="AD9" s="95">
        <v>1.0937486721653031E-8</v>
      </c>
      <c r="AE9" s="95">
        <v>7.1648896276886799E-12</v>
      </c>
      <c r="AF9" s="95">
        <v>5.1701298199170242E-12</v>
      </c>
      <c r="AG9" s="95">
        <v>2.1471166948571644E-11</v>
      </c>
      <c r="AH9" s="95">
        <v>1.5791751124590989E-10</v>
      </c>
      <c r="AI9" s="95">
        <v>6.4881841592916773E-12</v>
      </c>
      <c r="AJ9" s="95">
        <v>1.9489882108835215E-9</v>
      </c>
      <c r="AK9" s="95">
        <v>5.9855284564175694E-10</v>
      </c>
      <c r="AL9" s="95">
        <v>5.3946778688911886E-10</v>
      </c>
      <c r="AM9" s="95">
        <v>7.390098658286176E-20</v>
      </c>
      <c r="AN9" s="95">
        <v>5.0105045633320058E-18</v>
      </c>
      <c r="AO9" s="95">
        <v>3.4735556048583622E-13</v>
      </c>
      <c r="AP9" s="95">
        <v>1.5295346457530898E-10</v>
      </c>
      <c r="AQ9" s="95">
        <v>1.2822543398848675E-13</v>
      </c>
      <c r="AR9" s="95">
        <v>1.5185701914056378E-9</v>
      </c>
      <c r="AS9" s="95">
        <v>7.7321758011942709E-9</v>
      </c>
      <c r="AT9" s="95">
        <v>1.1366389896130936E-11</v>
      </c>
      <c r="AU9" s="95">
        <v>1.3684770639207871E-12</v>
      </c>
      <c r="AV9" s="95">
        <v>6.9063656341156522E-9</v>
      </c>
      <c r="AW9" s="95">
        <v>2.8798457936660833E-8</v>
      </c>
      <c r="AX9" s="95">
        <v>8.5449599607151185E-16</v>
      </c>
      <c r="AY9" s="95">
        <v>1.9182576736968717E-24</v>
      </c>
      <c r="AZ9" s="95">
        <v>6.4171346942557383E-15</v>
      </c>
      <c r="BA9" s="95">
        <v>1.6333791352515909E-10</v>
      </c>
      <c r="BB9" s="95">
        <v>1.6253772380719909E-12</v>
      </c>
      <c r="BC9" s="95">
        <v>5.4672065802955395E-30</v>
      </c>
      <c r="BD9" s="95">
        <v>1.22842442400522E-10</v>
      </c>
      <c r="BE9" s="95">
        <v>1.0194245976272927E-8</v>
      </c>
      <c r="BF9" s="95">
        <v>7.9609643616142696E-9</v>
      </c>
      <c r="BG9" s="95">
        <v>1.0246912917284923E-18</v>
      </c>
      <c r="BH9" s="95">
        <v>1.160269060899858E-10</v>
      </c>
      <c r="BI9" s="95">
        <v>4.0748489211569642E-8</v>
      </c>
      <c r="BJ9" s="95">
        <v>8.4711584929621211E-14</v>
      </c>
      <c r="BK9" s="95">
        <v>6.951411318494979E-10</v>
      </c>
      <c r="BL9" s="95">
        <v>7.3253081737793532E-15</v>
      </c>
      <c r="BM9" s="95">
        <v>3.275064189551278E-8</v>
      </c>
      <c r="BN9" s="95">
        <v>4.4675826593447943E-17</v>
      </c>
      <c r="BO9" s="95">
        <v>1.5354181345893971E-10</v>
      </c>
      <c r="BP9" s="95">
        <v>1.7835270476512329E-12</v>
      </c>
      <c r="BQ9" s="95">
        <v>3.6254063791627303E-10</v>
      </c>
      <c r="BR9" s="95">
        <v>8.0007295899236066E-12</v>
      </c>
      <c r="BS9" s="95">
        <v>3.732465727946329E-12</v>
      </c>
      <c r="BT9" s="95">
        <v>1.0797495535869302E-8</v>
      </c>
      <c r="BU9" s="95">
        <v>1.7814822502466328E-9</v>
      </c>
      <c r="BV9" s="95">
        <v>8.291597682618177E-14</v>
      </c>
      <c r="BW9" s="95">
        <v>2.2531022027137405E-11</v>
      </c>
      <c r="BX9" s="95">
        <v>6.2269740102261643E-9</v>
      </c>
      <c r="BY9" s="95">
        <v>2.8954644079195409E-8</v>
      </c>
      <c r="BZ9" s="95">
        <v>4.5176333676796078E-8</v>
      </c>
      <c r="CA9" s="95">
        <v>6.9782005776325233E-9</v>
      </c>
      <c r="CB9" s="95">
        <v>4.8427368701654003E-11</v>
      </c>
      <c r="CC9" s="95">
        <v>4.7475046016887246E-9</v>
      </c>
      <c r="CD9" s="95">
        <v>1.964405743989463E-9</v>
      </c>
      <c r="CE9" s="95">
        <v>9.0059643165264813E-9</v>
      </c>
      <c r="CF9" s="95">
        <v>1.5329385298835952E-9</v>
      </c>
      <c r="CG9" s="95">
        <v>5.4133384054297666E-8</v>
      </c>
      <c r="CH9" s="95">
        <v>1.8184028827871949E-10</v>
      </c>
      <c r="CI9" s="95">
        <v>2.3010903886842222E-12</v>
      </c>
      <c r="CJ9" s="95">
        <v>7.9727548778216459E-9</v>
      </c>
      <c r="CK9" s="95">
        <v>5.5530010031118886E-13</v>
      </c>
      <c r="CL9" s="95">
        <v>6.500724316964313E-10</v>
      </c>
      <c r="CM9" s="95">
        <v>8.2582179457663005E-11</v>
      </c>
      <c r="CN9" s="95">
        <v>2.460123626419875E-8</v>
      </c>
      <c r="CO9" s="95">
        <v>5.2017355062450283E-8</v>
      </c>
      <c r="CP9" s="95">
        <v>5.2426803831896816E-8</v>
      </c>
      <c r="CQ9" s="95">
        <v>1.6229921052392152E-9</v>
      </c>
      <c r="CR9" s="95">
        <v>2.4526850648771564E-10</v>
      </c>
      <c r="CS9" s="95">
        <v>6.9596940003245002E-8</v>
      </c>
      <c r="CT9" s="95">
        <v>2.6213046339484005E-8</v>
      </c>
      <c r="CU9" s="95">
        <v>4.4491914679213232E-8</v>
      </c>
      <c r="CV9" s="95">
        <v>3.2377983369796635E-18</v>
      </c>
      <c r="CW9" s="95">
        <v>8.3856574985759472E-9</v>
      </c>
      <c r="CX9" s="95">
        <v>9.025917779357929E-9</v>
      </c>
    </row>
    <row r="10" spans="1:102" s="95" customFormat="1">
      <c r="A10" s="306" t="str">
        <f>Parameters!A56</f>
        <v>Aandelen opkomend</v>
      </c>
      <c r="B10" s="307"/>
      <c r="C10" s="95">
        <v>8.7767502008116102E-12</v>
      </c>
      <c r="D10" s="95">
        <v>3.7017040048737673E-12</v>
      </c>
      <c r="E10" s="95">
        <v>1.0515694216803843E-12</v>
      </c>
      <c r="F10" s="95">
        <v>2.7870162084107656E-9</v>
      </c>
      <c r="G10" s="95">
        <v>1.8799534549281978E-14</v>
      </c>
      <c r="H10" s="95">
        <v>2.7687929374957245E-9</v>
      </c>
      <c r="I10" s="95">
        <v>6.2285173769393473E-28</v>
      </c>
      <c r="J10" s="95">
        <v>6.7029841385910942E-18</v>
      </c>
      <c r="K10" s="95">
        <v>7.0787071672637881E-9</v>
      </c>
      <c r="L10" s="95">
        <v>4.9102942055761181E-9</v>
      </c>
      <c r="M10" s="95">
        <v>2.5545139677437753E-9</v>
      </c>
      <c r="N10" s="95">
        <v>5.2113055549101277E-9</v>
      </c>
      <c r="O10" s="95">
        <v>2.2908267466609604E-9</v>
      </c>
      <c r="P10" s="95">
        <v>2.5423984858854619E-13</v>
      </c>
      <c r="Q10" s="95">
        <v>1.9181298926334933E-10</v>
      </c>
      <c r="R10" s="95">
        <v>4.9363127541649099E-10</v>
      </c>
      <c r="S10" s="95">
        <v>5.3351985150380047E-13</v>
      </c>
      <c r="T10" s="95">
        <v>6.028638852550214E-15</v>
      </c>
      <c r="U10" s="95">
        <v>2.6174151884966522E-10</v>
      </c>
      <c r="V10" s="95">
        <v>1.6794519532480502E-9</v>
      </c>
      <c r="W10" s="95">
        <v>5.7950006458880496E-13</v>
      </c>
      <c r="X10" s="95">
        <v>5.4866133834866276E-9</v>
      </c>
      <c r="Y10" s="95">
        <v>9.1518672613124885E-15</v>
      </c>
      <c r="Z10" s="95">
        <v>2.1899760341402439E-9</v>
      </c>
      <c r="AA10" s="95">
        <v>3.3811694398377923E-18</v>
      </c>
      <c r="AB10" s="95">
        <v>8.7119338365607144E-10</v>
      </c>
      <c r="AC10" s="95">
        <v>3.6103468680324558E-11</v>
      </c>
      <c r="AD10" s="95">
        <v>4.1067488519016322E-13</v>
      </c>
      <c r="AE10" s="95">
        <v>1.065725303915987E-11</v>
      </c>
      <c r="AF10" s="95">
        <v>1.6252565767591918E-8</v>
      </c>
      <c r="AG10" s="95">
        <v>1.5224163653344172E-10</v>
      </c>
      <c r="AH10" s="95">
        <v>2.736409466320072E-9</v>
      </c>
      <c r="AI10" s="95">
        <v>3.3871071918778579E-10</v>
      </c>
      <c r="AJ10" s="95">
        <v>1.7436405026257003E-11</v>
      </c>
      <c r="AK10" s="95">
        <v>4.0373115996142203E-16</v>
      </c>
      <c r="AL10" s="95">
        <v>9.5134904124633273E-13</v>
      </c>
      <c r="AM10" s="95">
        <v>1.8289045089319683E-12</v>
      </c>
      <c r="AN10" s="95">
        <v>5.2761508177838864E-17</v>
      </c>
      <c r="AO10" s="95">
        <v>3.0656585303974221E-10</v>
      </c>
      <c r="AP10" s="95">
        <v>7.1765139694164437E-15</v>
      </c>
      <c r="AQ10" s="95">
        <v>1.1766401535364381E-8</v>
      </c>
      <c r="AR10" s="95">
        <v>2.0864413954782063E-8</v>
      </c>
      <c r="AS10" s="95">
        <v>3.0572197312334279E-10</v>
      </c>
      <c r="AT10" s="95">
        <v>1.3018920682720255E-13</v>
      </c>
      <c r="AU10" s="95">
        <v>7.2222945950458388E-9</v>
      </c>
      <c r="AV10" s="95">
        <v>1.2226221436239305E-19</v>
      </c>
      <c r="AW10" s="95">
        <v>1.0522205605280468E-9</v>
      </c>
      <c r="AX10" s="95">
        <v>7.4227104488888988E-12</v>
      </c>
      <c r="AY10" s="95">
        <v>4.2026110667215576E-9</v>
      </c>
      <c r="AZ10" s="95">
        <v>1.8083623967505701E-10</v>
      </c>
      <c r="BA10" s="95">
        <v>6.09670013911017E-9</v>
      </c>
      <c r="BB10" s="95">
        <v>7.4836610399215243E-11</v>
      </c>
      <c r="BC10" s="95">
        <v>7.2063137812012379E-9</v>
      </c>
      <c r="BD10" s="95">
        <v>1.6946803374293082E-19</v>
      </c>
      <c r="BE10" s="95">
        <v>1.1703749906176862E-11</v>
      </c>
      <c r="BF10" s="95">
        <v>2.9121452282284914E-16</v>
      </c>
      <c r="BG10" s="95">
        <v>2.0031175957053017E-8</v>
      </c>
      <c r="BH10" s="95">
        <v>2.7580650938940367E-10</v>
      </c>
      <c r="BI10" s="95">
        <v>3.6580546933875988E-17</v>
      </c>
      <c r="BJ10" s="95">
        <v>3.832444659263056E-15</v>
      </c>
      <c r="BK10" s="95">
        <v>1.8187557649072213E-29</v>
      </c>
      <c r="BL10" s="95">
        <v>2.5947701867115967E-12</v>
      </c>
      <c r="BM10" s="95">
        <v>5.9774344416053238E-16</v>
      </c>
      <c r="BN10" s="95">
        <v>1.6233287520289417E-15</v>
      </c>
      <c r="BO10" s="95">
        <v>3.3374703857393189E-21</v>
      </c>
      <c r="BP10" s="95">
        <v>1.332294999171503E-22</v>
      </c>
      <c r="BQ10" s="95">
        <v>4.5810052890297731E-8</v>
      </c>
      <c r="BR10" s="95">
        <v>1.9609398718862225E-20</v>
      </c>
      <c r="BS10" s="95">
        <v>9.6312492476690402E-11</v>
      </c>
      <c r="BT10" s="95">
        <v>1.317137387675186E-8</v>
      </c>
      <c r="BU10" s="95">
        <v>1.0334515611425876E-9</v>
      </c>
      <c r="BV10" s="95">
        <v>4.6078264442722564E-8</v>
      </c>
      <c r="BW10" s="95">
        <v>1.8611524503287246E-8</v>
      </c>
      <c r="BX10" s="95">
        <v>3.0882635626588219E-9</v>
      </c>
      <c r="BY10" s="95">
        <v>2.2967923839009966E-10</v>
      </c>
      <c r="BZ10" s="95">
        <v>2.4185080287939113E-8</v>
      </c>
      <c r="CA10" s="95">
        <v>5.5184558593331066E-15</v>
      </c>
      <c r="CB10" s="95">
        <v>3.4804262612684587E-15</v>
      </c>
      <c r="CC10" s="95">
        <v>9.2288181690048991E-12</v>
      </c>
      <c r="CD10" s="95">
        <v>1.7512935148047759E-10</v>
      </c>
      <c r="CE10" s="95">
        <v>3.0483898345634429E-9</v>
      </c>
      <c r="CF10" s="95">
        <v>5.3365065349322376E-8</v>
      </c>
      <c r="CG10" s="95">
        <v>1.8845497886375041E-13</v>
      </c>
      <c r="CH10" s="95">
        <v>4.7358847147554312E-8</v>
      </c>
      <c r="CI10" s="95">
        <v>2.775502794402174E-12</v>
      </c>
      <c r="CJ10" s="95">
        <v>8.0526348166053954E-16</v>
      </c>
      <c r="CK10" s="95">
        <v>3.6759224116806372E-23</v>
      </c>
      <c r="CL10" s="95">
        <v>7.1488447316226681E-11</v>
      </c>
      <c r="CM10" s="95">
        <v>4.260034066426662E-9</v>
      </c>
      <c r="CN10" s="95">
        <v>5.1543741485774581E-8</v>
      </c>
      <c r="CO10" s="95">
        <v>1.3213647566829531E-13</v>
      </c>
      <c r="CP10" s="95">
        <v>4.7971880485597558E-10</v>
      </c>
      <c r="CQ10" s="95">
        <v>2.289398149682388E-8</v>
      </c>
      <c r="CR10" s="95">
        <v>1.0475275127514611E-8</v>
      </c>
      <c r="CS10" s="95">
        <v>2.9703870366474181E-23</v>
      </c>
      <c r="CT10" s="95">
        <v>3.2255588999911178E-10</v>
      </c>
      <c r="CU10" s="95">
        <v>5.9709883044539079E-8</v>
      </c>
      <c r="CV10" s="95">
        <v>5.1251396844827516E-10</v>
      </c>
      <c r="CW10" s="95">
        <v>6.4233850417631583E-8</v>
      </c>
      <c r="CX10" s="95">
        <v>8.3725649764276765E-11</v>
      </c>
    </row>
    <row r="11" spans="1:102" s="95" customFormat="1">
      <c r="A11" s="306" t="str">
        <f>Parameters!A57</f>
        <v>Hedge funds</v>
      </c>
      <c r="B11" s="307"/>
      <c r="C11" s="95">
        <v>1.8960214695868866E-19</v>
      </c>
      <c r="D11" s="95">
        <v>1.0706231596538276E-9</v>
      </c>
      <c r="E11" s="95">
        <v>6.2433036825974634E-19</v>
      </c>
      <c r="F11" s="95">
        <v>2.4138062140190999E-14</v>
      </c>
      <c r="G11" s="95">
        <v>3.3061952401181122E-9</v>
      </c>
      <c r="H11" s="95">
        <v>1.8269392018609261E-18</v>
      </c>
      <c r="I11" s="95">
        <v>2.0593640531427543E-11</v>
      </c>
      <c r="J11" s="95">
        <v>2.5254367902950941E-12</v>
      </c>
      <c r="K11" s="95">
        <v>3.4809539858438109E-14</v>
      </c>
      <c r="L11" s="95">
        <v>2.6055905716959338E-9</v>
      </c>
      <c r="M11" s="95">
        <v>6.8734964906823463E-11</v>
      </c>
      <c r="N11" s="95">
        <v>2.8828150697214568E-9</v>
      </c>
      <c r="O11" s="95">
        <v>1.5889205951654948E-9</v>
      </c>
      <c r="P11" s="95">
        <v>1.2523040608304531E-8</v>
      </c>
      <c r="Q11" s="95">
        <v>1.5714499383206411E-11</v>
      </c>
      <c r="R11" s="95">
        <v>3.346657167335774E-13</v>
      </c>
      <c r="S11" s="95">
        <v>7.6387674160193918E-10</v>
      </c>
      <c r="T11" s="95">
        <v>3.8474180883092954E-13</v>
      </c>
      <c r="U11" s="95">
        <v>1.2432352559656432E-13</v>
      </c>
      <c r="V11" s="95">
        <v>1.1339393421315246E-8</v>
      </c>
      <c r="W11" s="95">
        <v>3.7266196278277814E-9</v>
      </c>
      <c r="X11" s="95">
        <v>4.0765798713836167E-21</v>
      </c>
      <c r="Y11" s="95">
        <v>9.6321349174311719E-9</v>
      </c>
      <c r="Z11" s="95">
        <v>4.46706636133567E-11</v>
      </c>
      <c r="AA11" s="95">
        <v>1.734888390863871E-8</v>
      </c>
      <c r="AB11" s="95">
        <v>7.6949823080418083E-11</v>
      </c>
      <c r="AC11" s="95">
        <v>1.8607927720033115E-8</v>
      </c>
      <c r="AD11" s="95">
        <v>2.8424575220604153E-9</v>
      </c>
      <c r="AE11" s="95">
        <v>2.5450213268458753E-12</v>
      </c>
      <c r="AF11" s="95">
        <v>1.4624014566907114E-10</v>
      </c>
      <c r="AG11" s="95">
        <v>4.2588539222021249E-13</v>
      </c>
      <c r="AH11" s="95">
        <v>2.8288368405368614E-21</v>
      </c>
      <c r="AI11" s="95">
        <v>2.0234487985145732E-13</v>
      </c>
      <c r="AJ11" s="95">
        <v>1.7510389996393844E-8</v>
      </c>
      <c r="AK11" s="95">
        <v>6.3290071649837049E-9</v>
      </c>
      <c r="AL11" s="95">
        <v>1.9290521695691499E-10</v>
      </c>
      <c r="AM11" s="95">
        <v>5.064872278397931E-9</v>
      </c>
      <c r="AN11" s="95">
        <v>2.3418102355594544E-8</v>
      </c>
      <c r="AO11" s="95">
        <v>6.7944063382460566E-13</v>
      </c>
      <c r="AP11" s="95">
        <v>3.9160387213306635E-8</v>
      </c>
      <c r="AQ11" s="95">
        <v>9.4555080330762246E-10</v>
      </c>
      <c r="AR11" s="95">
        <v>1.1679713456671996E-12</v>
      </c>
      <c r="AS11" s="95">
        <v>5.5419032606161686E-11</v>
      </c>
      <c r="AT11" s="95">
        <v>1.5737632994668585E-16</v>
      </c>
      <c r="AU11" s="95">
        <v>9.0261752843333519E-9</v>
      </c>
      <c r="AV11" s="95">
        <v>3.7197390220901493E-9</v>
      </c>
      <c r="AW11" s="95">
        <v>3.6149307453829871E-10</v>
      </c>
      <c r="AX11" s="95">
        <v>1.8620885502818224E-10</v>
      </c>
      <c r="AY11" s="95">
        <v>1.72213827143326E-11</v>
      </c>
      <c r="AZ11" s="95">
        <v>8.3654521754855878E-14</v>
      </c>
      <c r="BA11" s="95">
        <v>2.3954956228165825E-8</v>
      </c>
      <c r="BB11" s="95">
        <v>1.7162782867922538E-9</v>
      </c>
      <c r="BC11" s="95">
        <v>2.8921928173354839E-11</v>
      </c>
      <c r="BD11" s="95">
        <v>1.8659878913387248E-9</v>
      </c>
      <c r="BE11" s="95">
        <v>3.7051395750054811E-8</v>
      </c>
      <c r="BF11" s="95">
        <v>1.0681737428022231E-11</v>
      </c>
      <c r="BG11" s="95">
        <v>1.0860219110556551E-11</v>
      </c>
      <c r="BH11" s="95">
        <v>1.7789809988073531E-10</v>
      </c>
      <c r="BI11" s="95">
        <v>1.1670212547899744E-8</v>
      </c>
      <c r="BJ11" s="95">
        <v>6.5376293859994451E-11</v>
      </c>
      <c r="BK11" s="95">
        <v>9.5581835542047457E-24</v>
      </c>
      <c r="BL11" s="95">
        <v>2.3634626133482844E-14</v>
      </c>
      <c r="BM11" s="95">
        <v>1.2741837636433239E-9</v>
      </c>
      <c r="BN11" s="95">
        <v>1.3050184480828026E-11</v>
      </c>
      <c r="BO11" s="95">
        <v>2.4335885038791299E-10</v>
      </c>
      <c r="BP11" s="95">
        <v>4.7859109803258528E-10</v>
      </c>
      <c r="BQ11" s="95">
        <v>9.3444683940190826E-13</v>
      </c>
      <c r="BR11" s="95">
        <v>6.1636964144770676E-8</v>
      </c>
      <c r="BS11" s="95">
        <v>3.5635791127987648E-12</v>
      </c>
      <c r="BT11" s="95">
        <v>3.0065943565130167E-17</v>
      </c>
      <c r="BU11" s="95">
        <v>1.7192866711312571E-8</v>
      </c>
      <c r="BV11" s="95">
        <v>8.729599735692501E-13</v>
      </c>
      <c r="BW11" s="95">
        <v>7.2085154514299637E-13</v>
      </c>
      <c r="BX11" s="95">
        <v>3.021874822945028E-8</v>
      </c>
      <c r="BY11" s="95">
        <v>1.947576359357643E-14</v>
      </c>
      <c r="BZ11" s="95">
        <v>7.1104426852425108E-15</v>
      </c>
      <c r="CA11" s="95">
        <v>5.811089617289989E-14</v>
      </c>
      <c r="CB11" s="95">
        <v>5.0981989824467311E-11</v>
      </c>
      <c r="CC11" s="95">
        <v>2.1936228536118947E-9</v>
      </c>
      <c r="CD11" s="95">
        <v>1.8640623172737302E-8</v>
      </c>
      <c r="CE11" s="95">
        <v>4.4014241724736954E-8</v>
      </c>
      <c r="CF11" s="95">
        <v>9.2043566553291618E-10</v>
      </c>
      <c r="CG11" s="95">
        <v>1.9234031357098353E-9</v>
      </c>
      <c r="CH11" s="95">
        <v>4.5935773426671804E-12</v>
      </c>
      <c r="CI11" s="95">
        <v>1.3123936258747286E-9</v>
      </c>
      <c r="CJ11" s="95">
        <v>3.4770216149596896E-10</v>
      </c>
      <c r="CK11" s="95">
        <v>3.3055115203402284E-8</v>
      </c>
      <c r="CL11" s="95">
        <v>3.0458226722068846E-8</v>
      </c>
      <c r="CM11" s="95">
        <v>7.1555849581362048E-11</v>
      </c>
      <c r="CN11" s="95">
        <v>1.969485843452606E-9</v>
      </c>
      <c r="CO11" s="95">
        <v>2.7879533614136737E-9</v>
      </c>
      <c r="CP11" s="95">
        <v>3.848768413209229E-22</v>
      </c>
      <c r="CQ11" s="95">
        <v>4.0288355801866379E-10</v>
      </c>
      <c r="CR11" s="95">
        <v>6.8628624570457736E-8</v>
      </c>
      <c r="CS11" s="95">
        <v>1.2023479365785352E-11</v>
      </c>
      <c r="CT11" s="95">
        <v>2.2870098831245129E-9</v>
      </c>
      <c r="CU11" s="95">
        <v>1.1126076808283439E-10</v>
      </c>
      <c r="CV11" s="95">
        <v>2.159514683849301E-11</v>
      </c>
      <c r="CW11" s="95">
        <v>5.5603769162949452E-18</v>
      </c>
      <c r="CX11" s="95">
        <v>2.3161164763131577E-9</v>
      </c>
    </row>
    <row r="12" spans="1:102" s="95" customFormat="1">
      <c r="A12" s="306" t="str">
        <f>Parameters!A58</f>
        <v>Onroerend goed</v>
      </c>
      <c r="B12" s="307"/>
      <c r="C12" s="95">
        <v>4.414323760791369E-12</v>
      </c>
      <c r="D12" s="95">
        <v>1.3298707903092244E-11</v>
      </c>
      <c r="E12" s="95">
        <v>5.09840110373816E-12</v>
      </c>
      <c r="F12" s="95">
        <v>7.0623744153623809E-14</v>
      </c>
      <c r="G12" s="95">
        <v>2.7178280117017946E-10</v>
      </c>
      <c r="H12" s="95">
        <v>1.0660278176189866E-12</v>
      </c>
      <c r="I12" s="95">
        <v>1.013751781925057E-10</v>
      </c>
      <c r="J12" s="95">
        <v>4.7180534406734417E-12</v>
      </c>
      <c r="K12" s="95">
        <v>1.2080757246784165E-11</v>
      </c>
      <c r="L12" s="95">
        <v>4.6335657128398954E-11</v>
      </c>
      <c r="M12" s="95">
        <v>4.5348367011443003E-14</v>
      </c>
      <c r="N12" s="95">
        <v>5.4702491825898296E-10</v>
      </c>
      <c r="O12" s="95">
        <v>2.4028341509022745E-12</v>
      </c>
      <c r="P12" s="95">
        <v>1.492468425072481E-12</v>
      </c>
      <c r="Q12" s="95">
        <v>1.6447645615461811E-8</v>
      </c>
      <c r="R12" s="95">
        <v>1.852639585145125E-16</v>
      </c>
      <c r="S12" s="95">
        <v>9.0350611876307109E-9</v>
      </c>
      <c r="T12" s="95">
        <v>1.7376426843162331E-8</v>
      </c>
      <c r="U12" s="95">
        <v>1.5442214469911595E-12</v>
      </c>
      <c r="V12" s="95">
        <v>4.9280020186435643E-9</v>
      </c>
      <c r="W12" s="95">
        <v>1.4685971235839744E-23</v>
      </c>
      <c r="X12" s="95">
        <v>4.0239497806602132E-16</v>
      </c>
      <c r="Y12" s="95">
        <v>2.5464122273275278E-9</v>
      </c>
      <c r="Z12" s="95">
        <v>5.0471096467874509E-24</v>
      </c>
      <c r="AA12" s="95">
        <v>3.2860089831520216E-19</v>
      </c>
      <c r="AB12" s="95">
        <v>1.0756723533405848E-9</v>
      </c>
      <c r="AC12" s="95">
        <v>1.9801703151204628E-10</v>
      </c>
      <c r="AD12" s="95">
        <v>4.2996792103099771E-10</v>
      </c>
      <c r="AE12" s="95">
        <v>5.4770661964123041E-11</v>
      </c>
      <c r="AF12" s="95">
        <v>1.0149884665766443E-13</v>
      </c>
      <c r="AG12" s="95">
        <v>3.1160605148852966E-11</v>
      </c>
      <c r="AH12" s="95">
        <v>2.5620223087708881E-8</v>
      </c>
      <c r="AI12" s="95">
        <v>1.4495804545175257E-8</v>
      </c>
      <c r="AJ12" s="95">
        <v>1.026079987668062E-8</v>
      </c>
      <c r="AK12" s="95">
        <v>2.0847075411227622E-9</v>
      </c>
      <c r="AL12" s="95">
        <v>2.4109557549885511E-10</v>
      </c>
      <c r="AM12" s="95">
        <v>6.6197814162642094E-9</v>
      </c>
      <c r="AN12" s="95">
        <v>4.3718700511984993E-14</v>
      </c>
      <c r="AO12" s="95">
        <v>4.2375456505492789E-16</v>
      </c>
      <c r="AP12" s="95">
        <v>7.520685161223697E-11</v>
      </c>
      <c r="AQ12" s="95">
        <v>2.0126094558206248E-14</v>
      </c>
      <c r="AR12" s="95">
        <v>8.8619685739300168E-9</v>
      </c>
      <c r="AS12" s="95">
        <v>7.9733860486375916E-9</v>
      </c>
      <c r="AT12" s="95">
        <v>1.7543796315637813E-9</v>
      </c>
      <c r="AU12" s="95">
        <v>2.1099082944849198E-8</v>
      </c>
      <c r="AV12" s="95">
        <v>1.070168473729281E-9</v>
      </c>
      <c r="AW12" s="95">
        <v>6.5706268466601941E-13</v>
      </c>
      <c r="AX12" s="95">
        <v>4.7512918908098721E-20</v>
      </c>
      <c r="AY12" s="95">
        <v>8.6914868006586357E-14</v>
      </c>
      <c r="AZ12" s="95">
        <v>6.3149809824998096E-16</v>
      </c>
      <c r="BA12" s="95">
        <v>8.6675623005171249E-9</v>
      </c>
      <c r="BB12" s="95">
        <v>4.0757646936168282E-8</v>
      </c>
      <c r="BC12" s="95">
        <v>3.0254376755022023E-25</v>
      </c>
      <c r="BD12" s="95">
        <v>2.6404019813661206E-11</v>
      </c>
      <c r="BE12" s="95">
        <v>3.422539652313354E-9</v>
      </c>
      <c r="BF12" s="95">
        <v>4.8450667389926789E-9</v>
      </c>
      <c r="BG12" s="95">
        <v>1.6080880845060772E-8</v>
      </c>
      <c r="BH12" s="95">
        <v>2.0562952609500224E-8</v>
      </c>
      <c r="BI12" s="95">
        <v>1.6439371010284597E-10</v>
      </c>
      <c r="BJ12" s="95">
        <v>1.5373977302737879E-10</v>
      </c>
      <c r="BK12" s="95">
        <v>2.1022855965808588E-8</v>
      </c>
      <c r="BL12" s="95">
        <v>1.1376729629237815E-8</v>
      </c>
      <c r="BM12" s="95">
        <v>2.2467752464213482E-10</v>
      </c>
      <c r="BN12" s="95">
        <v>2.416018210027451E-13</v>
      </c>
      <c r="BO12" s="95">
        <v>2.163893026102736E-10</v>
      </c>
      <c r="BP12" s="95">
        <v>1.0200544026694903E-8</v>
      </c>
      <c r="BQ12" s="95">
        <v>6.3694168271169297E-10</v>
      </c>
      <c r="BR12" s="95">
        <v>5.8858817980703705E-9</v>
      </c>
      <c r="BS12" s="95">
        <v>2.0854846188358035E-16</v>
      </c>
      <c r="BT12" s="95">
        <v>2.766812543786714E-11</v>
      </c>
      <c r="BU12" s="95">
        <v>4.8705505460711345E-9</v>
      </c>
      <c r="BV12" s="95">
        <v>5.1951055708151785E-12</v>
      </c>
      <c r="BW12" s="95">
        <v>2.2776066598685269E-12</v>
      </c>
      <c r="BX12" s="95">
        <v>5.0678089257813306E-20</v>
      </c>
      <c r="BY12" s="95">
        <v>9.1721143080019478E-23</v>
      </c>
      <c r="BZ12" s="95">
        <v>8.9573823711987712E-22</v>
      </c>
      <c r="CA12" s="95">
        <v>6.3541435725961072E-16</v>
      </c>
      <c r="CB12" s="95">
        <v>1.2460276358870658E-25</v>
      </c>
      <c r="CC12" s="95">
        <v>3.2136011876034813E-10</v>
      </c>
      <c r="CD12" s="95">
        <v>5.871220616378627E-8</v>
      </c>
      <c r="CE12" s="95">
        <v>2.7452189803192015E-8</v>
      </c>
      <c r="CF12" s="95">
        <v>3.5051398620194469E-8</v>
      </c>
      <c r="CG12" s="95">
        <v>2.4786412076001254E-19</v>
      </c>
      <c r="CH12" s="95">
        <v>2.627547610088472E-14</v>
      </c>
      <c r="CI12" s="95">
        <v>2.9466163946536584E-12</v>
      </c>
      <c r="CJ12" s="95">
        <v>1.778345038261658E-14</v>
      </c>
      <c r="CK12" s="95">
        <v>1.2723705839572689E-10</v>
      </c>
      <c r="CL12" s="95">
        <v>1.1194417852405755E-12</v>
      </c>
      <c r="CM12" s="95">
        <v>1.5115354336869477E-8</v>
      </c>
      <c r="CN12" s="95">
        <v>1.5064383001687753E-9</v>
      </c>
      <c r="CO12" s="95">
        <v>1.5508532395995929E-9</v>
      </c>
      <c r="CP12" s="95">
        <v>4.5156735251939975E-8</v>
      </c>
      <c r="CQ12" s="95">
        <v>8.0729182594446389E-12</v>
      </c>
      <c r="CR12" s="95">
        <v>1.0252586496690855E-8</v>
      </c>
      <c r="CS12" s="95">
        <v>1.4211472272742078E-10</v>
      </c>
      <c r="CT12" s="95">
        <v>1.14877608387464E-8</v>
      </c>
      <c r="CU12" s="95">
        <v>2.5723542801712392E-8</v>
      </c>
      <c r="CV12" s="95">
        <v>5.8052658544752048E-10</v>
      </c>
      <c r="CW12" s="95">
        <v>7.6674924216262922E-8</v>
      </c>
      <c r="CX12" s="95">
        <v>2.948939283514767E-9</v>
      </c>
    </row>
    <row r="13" spans="1:102" s="96" customFormat="1">
      <c r="A13" s="310" t="str">
        <f>Parameters!A59</f>
        <v>Commodities</v>
      </c>
      <c r="B13" s="311"/>
      <c r="C13" s="96">
        <v>3.3804621198854321E-14</v>
      </c>
      <c r="D13" s="96">
        <v>5.7217366431246814E-11</v>
      </c>
      <c r="E13" s="96">
        <v>8.0834586408020839E-11</v>
      </c>
      <c r="F13" s="96">
        <v>9.8167589178692302E-12</v>
      </c>
      <c r="G13" s="96">
        <v>4.6299855661678864E-10</v>
      </c>
      <c r="H13" s="96">
        <v>2.4376327337536761E-9</v>
      </c>
      <c r="I13" s="96">
        <v>8.6062053092354348E-13</v>
      </c>
      <c r="J13" s="96">
        <v>5.4546941440856594E-27</v>
      </c>
      <c r="K13" s="96">
        <v>1.5169212262946624E-13</v>
      </c>
      <c r="L13" s="96">
        <v>6.9089296666954396E-21</v>
      </c>
      <c r="M13" s="96">
        <v>6.2621026173713118E-18</v>
      </c>
      <c r="N13" s="96">
        <v>3.136231743067595E-10</v>
      </c>
      <c r="O13" s="96">
        <v>1.6766722252528241E-9</v>
      </c>
      <c r="P13" s="96">
        <v>1.9167879625247102E-16</v>
      </c>
      <c r="Q13" s="96">
        <v>4.3727360681824367E-18</v>
      </c>
      <c r="R13" s="96">
        <v>2.6824819826845638E-16</v>
      </c>
      <c r="S13" s="96">
        <v>5.8667280264126701E-17</v>
      </c>
      <c r="T13" s="96">
        <v>5.254149820561979E-12</v>
      </c>
      <c r="U13" s="96">
        <v>1.1476150184201186E-8</v>
      </c>
      <c r="V13" s="96">
        <v>3.5798234599708996E-10</v>
      </c>
      <c r="W13" s="96">
        <v>7.9571527039563298E-13</v>
      </c>
      <c r="X13" s="96">
        <v>4.7411494192433459E-9</v>
      </c>
      <c r="Y13" s="96">
        <v>1.9964116410304828E-15</v>
      </c>
      <c r="Z13" s="96">
        <v>1.4148816753306077E-11</v>
      </c>
      <c r="AA13" s="96">
        <v>6.6657226696092962E-10</v>
      </c>
      <c r="AB13" s="96">
        <v>2.1922261008243096E-17</v>
      </c>
      <c r="AC13" s="96">
        <v>1.3059592010835916E-12</v>
      </c>
      <c r="AD13" s="96">
        <v>7.0477095569519612E-11</v>
      </c>
      <c r="AE13" s="96">
        <v>4.2377335377698707E-9</v>
      </c>
      <c r="AF13" s="96">
        <v>3.3453159678744745E-13</v>
      </c>
      <c r="AG13" s="96">
        <v>4.1344341852318352E-9</v>
      </c>
      <c r="AH13" s="96">
        <v>5.0127310003961157E-12</v>
      </c>
      <c r="AI13" s="96">
        <v>2.0375549894048358E-10</v>
      </c>
      <c r="AJ13" s="96">
        <v>2.4345473164324009E-10</v>
      </c>
      <c r="AK13" s="96">
        <v>6.5764685169613499E-11</v>
      </c>
      <c r="AL13" s="96">
        <v>1.9948284558372744E-8</v>
      </c>
      <c r="AM13" s="96">
        <v>1.0300435826218966E-8</v>
      </c>
      <c r="AN13" s="96">
        <v>3.7814767655235515E-13</v>
      </c>
      <c r="AO13" s="96">
        <v>1.1075202071931312E-9</v>
      </c>
      <c r="AP13" s="96">
        <v>6.9406568758771644E-11</v>
      </c>
      <c r="AQ13" s="96">
        <v>2.6797091465748895E-12</v>
      </c>
      <c r="AR13" s="96">
        <v>6.4030015972212414E-24</v>
      </c>
      <c r="AS13" s="96">
        <v>7.3069715863660052E-15</v>
      </c>
      <c r="AT13" s="96">
        <v>2.3264400502372165E-9</v>
      </c>
      <c r="AU13" s="96">
        <v>7.0491121138719677E-18</v>
      </c>
      <c r="AV13" s="96">
        <v>5.8669824660620653E-11</v>
      </c>
      <c r="AW13" s="96">
        <v>3.1265776132170965E-10</v>
      </c>
      <c r="AX13" s="96">
        <v>8.4443305820700586E-20</v>
      </c>
      <c r="AY13" s="96">
        <v>1.769254227424739E-20</v>
      </c>
      <c r="AZ13" s="96">
        <v>9.5640770853121214E-9</v>
      </c>
      <c r="BA13" s="96">
        <v>3.6479889050200231E-10</v>
      </c>
      <c r="BB13" s="96">
        <v>2.7682665995926993E-9</v>
      </c>
      <c r="BC13" s="96">
        <v>1.2405778101150925E-11</v>
      </c>
      <c r="BD13" s="96">
        <v>3.1925056549197796E-18</v>
      </c>
      <c r="BE13" s="96">
        <v>1.0393763109038994E-10</v>
      </c>
      <c r="BF13" s="96">
        <v>1.045030119197145E-23</v>
      </c>
      <c r="BG13" s="96">
        <v>1.4062277962939189E-10</v>
      </c>
      <c r="BH13" s="96">
        <v>3.3935769046034003E-9</v>
      </c>
      <c r="BI13" s="96">
        <v>1.5679060455130492E-13</v>
      </c>
      <c r="BJ13" s="96">
        <v>2.4486083072186747E-8</v>
      </c>
      <c r="BK13" s="96">
        <v>9.6301940618473107E-10</v>
      </c>
      <c r="BL13" s="96">
        <v>2.2454089598291875E-8</v>
      </c>
      <c r="BM13" s="96">
        <v>4.2996705777080481E-15</v>
      </c>
      <c r="BN13" s="96">
        <v>4.7195468726872758E-8</v>
      </c>
      <c r="BO13" s="96">
        <v>1.1640651331340558E-8</v>
      </c>
      <c r="BP13" s="96">
        <v>7.8797166262722328E-12</v>
      </c>
      <c r="BQ13" s="96">
        <v>1.3264403158438626E-13</v>
      </c>
      <c r="BR13" s="96">
        <v>2.1612668009954097E-13</v>
      </c>
      <c r="BS13" s="96">
        <v>4.5676987480913783E-11</v>
      </c>
      <c r="BT13" s="96">
        <v>2.2851443437448482E-13</v>
      </c>
      <c r="BU13" s="96">
        <v>3.3032133997377914E-8</v>
      </c>
      <c r="BV13" s="96">
        <v>2.1231790027861033E-17</v>
      </c>
      <c r="BW13" s="96">
        <v>1.5863991380777145E-9</v>
      </c>
      <c r="BX13" s="96">
        <v>1.9104776618206887E-8</v>
      </c>
      <c r="BY13" s="96">
        <v>7.781787650874675E-16</v>
      </c>
      <c r="BZ13" s="96">
        <v>4.8771894492308284E-26</v>
      </c>
      <c r="CA13" s="96">
        <v>4.1944901574012877E-12</v>
      </c>
      <c r="CB13" s="96">
        <v>3.4906519881161359E-8</v>
      </c>
      <c r="CC13" s="96">
        <v>5.8917135175522932E-8</v>
      </c>
      <c r="CD13" s="96">
        <v>2.8391762661758117E-11</v>
      </c>
      <c r="CE13" s="96">
        <v>1.8671627233904578E-13</v>
      </c>
      <c r="CF13" s="96">
        <v>1.0007849446789072E-12</v>
      </c>
      <c r="CG13" s="96">
        <v>1.2409216519570839E-9</v>
      </c>
      <c r="CH13" s="96">
        <v>1.3866066905687838E-11</v>
      </c>
      <c r="CI13" s="96">
        <v>5.73534989157654E-8</v>
      </c>
      <c r="CJ13" s="96">
        <v>1.7334784589688463E-8</v>
      </c>
      <c r="CK13" s="96">
        <v>2.4668331463528664E-14</v>
      </c>
      <c r="CL13" s="96">
        <v>5.2903477237768975E-16</v>
      </c>
      <c r="CM13" s="96">
        <v>1.2038320974522186E-12</v>
      </c>
      <c r="CN13" s="96">
        <v>1.0420218670838928E-19</v>
      </c>
      <c r="CO13" s="96">
        <v>4.9666513309122131E-8</v>
      </c>
      <c r="CP13" s="96">
        <v>3.0765988624337174E-8</v>
      </c>
      <c r="CQ13" s="96">
        <v>1.6241825901344928E-9</v>
      </c>
      <c r="CR13" s="96">
        <v>4.8322089087966178E-8</v>
      </c>
      <c r="CS13" s="96">
        <v>8.7166108169831142E-10</v>
      </c>
      <c r="CT13" s="96">
        <v>6.8075960530169549E-8</v>
      </c>
      <c r="CU13" s="96">
        <v>1.1110331079153063E-8</v>
      </c>
      <c r="CV13" s="96">
        <v>3.3988691484199068E-10</v>
      </c>
      <c r="CW13" s="96">
        <v>3.986255423450656E-9</v>
      </c>
      <c r="CX13" s="96">
        <v>7.4544438006377121E-10</v>
      </c>
    </row>
    <row r="15" spans="1:102" s="94" customFormat="1">
      <c r="A15" s="303" t="s">
        <v>140</v>
      </c>
      <c r="B15" s="304"/>
    </row>
    <row r="16" spans="1:102" s="95" customFormat="1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 s="95" customFormat="1">
      <c r="A17" s="306" t="s">
        <v>4</v>
      </c>
      <c r="B17" s="307"/>
      <c r="C17" s="126">
        <v>7.0145384706339703E-10</v>
      </c>
      <c r="D17" s="126">
        <v>5.8115896496909675E-19</v>
      </c>
      <c r="E17" s="126">
        <v>0.97706665598814413</v>
      </c>
      <c r="F17" s="126">
        <v>1.0764815104171033E-4</v>
      </c>
      <c r="G17" s="126">
        <v>2.5209422907586016E-3</v>
      </c>
      <c r="H17" s="126">
        <v>0.12116197776293036</v>
      </c>
      <c r="I17" s="126">
        <v>0.9738232573937633</v>
      </c>
      <c r="J17" s="126">
        <v>2.6939924386760127E-4</v>
      </c>
      <c r="K17" s="126">
        <v>0.19264031663796455</v>
      </c>
      <c r="L17" s="126">
        <v>1.729868089707275E-2</v>
      </c>
      <c r="M17" s="126">
        <v>0.42508991950729696</v>
      </c>
      <c r="N17" s="126">
        <v>2.3565834132068876E-13</v>
      </c>
      <c r="O17" s="126">
        <v>6.6785765492441945E-2</v>
      </c>
      <c r="P17" s="126">
        <v>6.3935818529657541E-13</v>
      </c>
      <c r="Q17" s="126">
        <v>1.0456470127706513E-4</v>
      </c>
      <c r="R17" s="126">
        <v>2.7178403093026642E-2</v>
      </c>
      <c r="S17" s="126">
        <v>0.46786769965882224</v>
      </c>
      <c r="T17" s="126">
        <v>1.3821088861398869E-3</v>
      </c>
      <c r="U17" s="126">
        <v>1.2620567841273791E-15</v>
      </c>
      <c r="V17" s="126">
        <v>5.22091554036266E-4</v>
      </c>
      <c r="W17" s="126">
        <v>8.1234850823652313E-4</v>
      </c>
      <c r="X17" s="126">
        <v>2.5029080380105415E-2</v>
      </c>
      <c r="Y17" s="126">
        <v>8.0497693914435675E-2</v>
      </c>
      <c r="Z17" s="126">
        <v>0.85967055528309488</v>
      </c>
      <c r="AA17" s="126">
        <v>1.0732384643669942E-13</v>
      </c>
      <c r="AB17" s="126">
        <v>0.91625877231930364</v>
      </c>
      <c r="AC17" s="126">
        <v>5.2067614331460406E-2</v>
      </c>
      <c r="AD17" s="126">
        <v>0.32810000935222677</v>
      </c>
      <c r="AE17" s="126">
        <v>0.81671894798038414</v>
      </c>
      <c r="AF17" s="126">
        <v>5.5742402017555502E-2</v>
      </c>
      <c r="AG17" s="126">
        <v>5.2417375752837434E-13</v>
      </c>
      <c r="AH17" s="126">
        <v>4.6909340602333981E-9</v>
      </c>
      <c r="AI17" s="126">
        <v>0.49225386522447906</v>
      </c>
      <c r="AJ17" s="126">
        <v>1.4977586531481957E-2</v>
      </c>
      <c r="AK17" s="126">
        <v>7.7168896836873934E-3</v>
      </c>
      <c r="AL17" s="126">
        <v>4.2320987210573527E-9</v>
      </c>
      <c r="AM17" s="126">
        <v>0.24891641271230372</v>
      </c>
      <c r="AN17" s="126">
        <v>3.83378888638963E-14</v>
      </c>
      <c r="AO17" s="126">
        <v>0.82712824718107147</v>
      </c>
      <c r="AP17" s="126">
        <v>7.9304218093250826E-3</v>
      </c>
      <c r="AQ17" s="126">
        <v>8.9515156721366596E-4</v>
      </c>
      <c r="AR17" s="126">
        <v>1.7880580192508431E-4</v>
      </c>
      <c r="AS17" s="126">
        <v>0.59739750450305673</v>
      </c>
      <c r="AT17" s="126">
        <v>2.6761601792579321E-5</v>
      </c>
      <c r="AU17" s="126">
        <v>8.507707764852708E-2</v>
      </c>
      <c r="AV17" s="126">
        <v>0.73053511299422558</v>
      </c>
      <c r="AW17" s="126">
        <v>0.10995378131265901</v>
      </c>
      <c r="AX17" s="126">
        <v>0.99610091652375465</v>
      </c>
      <c r="AY17" s="126">
        <v>0.26408035967399546</v>
      </c>
      <c r="AZ17" s="126">
        <v>0.29931280375676517</v>
      </c>
      <c r="BA17" s="126">
        <v>5.8150904299841724E-4</v>
      </c>
      <c r="BB17" s="126">
        <v>1.2004471770135496E-9</v>
      </c>
      <c r="BC17" s="126">
        <v>0.87057095823168751</v>
      </c>
      <c r="BD17" s="126">
        <v>0.96691841237139997</v>
      </c>
      <c r="BE17" s="126">
        <v>2.798916272054136E-3</v>
      </c>
      <c r="BF17" s="126">
        <v>1.112530618863819E-2</v>
      </c>
      <c r="BG17" s="126">
        <v>0.28895130329762686</v>
      </c>
      <c r="BH17" s="126">
        <v>0.47352000263385741</v>
      </c>
      <c r="BI17" s="126">
        <v>3.3958204786619497E-2</v>
      </c>
      <c r="BJ17" s="126">
        <v>1.2503507670342591E-2</v>
      </c>
      <c r="BK17" s="126">
        <v>2.5781296863511195E-2</v>
      </c>
      <c r="BL17" s="126">
        <v>3.5023429798027142E-4</v>
      </c>
      <c r="BM17" s="126">
        <v>1.5719058002803078E-2</v>
      </c>
      <c r="BN17" s="126">
        <v>1.3432747557461493E-6</v>
      </c>
      <c r="BO17" s="126">
        <v>0.83717152002464201</v>
      </c>
      <c r="BP17" s="126">
        <v>2.5348859333438562E-6</v>
      </c>
      <c r="BQ17" s="126">
        <v>0.18259184570041903</v>
      </c>
      <c r="BR17" s="126">
        <v>9.0570204679449887E-2</v>
      </c>
      <c r="BS17" s="126">
        <v>2.3894506688023954E-5</v>
      </c>
      <c r="BT17" s="126">
        <v>0.62240220240902855</v>
      </c>
      <c r="BU17" s="126">
        <v>6.8625122525684291E-3</v>
      </c>
      <c r="BV17" s="126">
        <v>0.32218116510185335</v>
      </c>
      <c r="BW17" s="126">
        <v>4.7196672371250402E-6</v>
      </c>
      <c r="BX17" s="126">
        <v>1.6577887847118065E-3</v>
      </c>
      <c r="BY17" s="126">
        <v>0.56686521496547004</v>
      </c>
      <c r="BZ17" s="126">
        <v>4.4473979813368595E-3</v>
      </c>
      <c r="CA17" s="126">
        <v>0.60545328250788055</v>
      </c>
      <c r="CB17" s="126">
        <v>0.33533229007720661</v>
      </c>
      <c r="CC17" s="126">
        <v>1.6127047789205893E-6</v>
      </c>
      <c r="CD17" s="126">
        <v>0.28200785519797938</v>
      </c>
      <c r="CE17" s="126">
        <v>2.7508204242162647E-5</v>
      </c>
      <c r="CF17" s="126">
        <v>3.0261016477496068E-3</v>
      </c>
      <c r="CG17" s="126">
        <v>0.39402479274251256</v>
      </c>
      <c r="CH17" s="126">
        <v>0.40525233567575092</v>
      </c>
      <c r="CI17" s="126">
        <v>0.31738539751320899</v>
      </c>
      <c r="CJ17" s="126">
        <v>0.25411368424806902</v>
      </c>
      <c r="CK17" s="126">
        <v>4.2294040847169946E-7</v>
      </c>
      <c r="CL17" s="126">
        <v>0.39655832473318875</v>
      </c>
      <c r="CM17" s="126">
        <v>0.65084067805877621</v>
      </c>
      <c r="CN17" s="126">
        <v>0.4192260249913779</v>
      </c>
      <c r="CO17" s="126">
        <v>6.5245648563131697E-5</v>
      </c>
      <c r="CP17" s="126">
        <v>4.193391845995998E-2</v>
      </c>
      <c r="CQ17" s="126">
        <v>1.755567970572544E-3</v>
      </c>
      <c r="CR17" s="126">
        <v>3.3002361491778494E-5</v>
      </c>
      <c r="CS17" s="126">
        <v>0.34879793864235226</v>
      </c>
      <c r="CT17" s="126">
        <v>0.18624042434154772</v>
      </c>
      <c r="CU17" s="126">
        <v>1.9341174246512726E-7</v>
      </c>
      <c r="CV17" s="126">
        <v>5.1014278161464205E-8</v>
      </c>
      <c r="CW17" s="126">
        <v>4.497027259111659E-3</v>
      </c>
      <c r="CX17" s="126">
        <v>5.9008902066906073E-2</v>
      </c>
    </row>
    <row r="18" spans="1:102" s="95" customFormat="1">
      <c r="A18" s="306" t="s">
        <v>175</v>
      </c>
      <c r="B18" s="307"/>
      <c r="C18" s="126">
        <v>5.0671228268230282E-9</v>
      </c>
      <c r="D18" s="126">
        <v>0.15711388861382811</v>
      </c>
      <c r="E18" s="126">
        <v>1.9693185592789444E-4</v>
      </c>
      <c r="F18" s="126">
        <v>1.2643953668535378E-3</v>
      </c>
      <c r="G18" s="126">
        <v>1.8335190115321831E-6</v>
      </c>
      <c r="H18" s="126">
        <v>9.4974815590969236E-3</v>
      </c>
      <c r="I18" s="126">
        <v>3.5422180079057881E-7</v>
      </c>
      <c r="J18" s="126">
        <v>0.99913795480797074</v>
      </c>
      <c r="K18" s="126">
        <v>2.1101415805591453E-10</v>
      </c>
      <c r="L18" s="126">
        <v>1.0169848710472351E-7</v>
      </c>
      <c r="M18" s="126">
        <v>1.2277956161378866E-8</v>
      </c>
      <c r="N18" s="126">
        <v>0.16979826707449039</v>
      </c>
      <c r="O18" s="126">
        <v>4.3839320711623726E-5</v>
      </c>
      <c r="P18" s="126">
        <v>1.628873493746525E-2</v>
      </c>
      <c r="Q18" s="126">
        <v>1.1198039278154638E-4</v>
      </c>
      <c r="R18" s="126">
        <v>3.4878702179721496E-3</v>
      </c>
      <c r="S18" s="126">
        <v>2.6879920773691109E-2</v>
      </c>
      <c r="T18" s="126">
        <v>1.069879978439784E-4</v>
      </c>
      <c r="U18" s="126">
        <v>5.0200043651893962E-5</v>
      </c>
      <c r="V18" s="126">
        <v>4.6624034996671224E-11</v>
      </c>
      <c r="W18" s="126">
        <v>0.81375845797701318</v>
      </c>
      <c r="X18" s="126">
        <v>8.2609611331918161E-5</v>
      </c>
      <c r="Y18" s="126">
        <v>0.32967095875307073</v>
      </c>
      <c r="Z18" s="126">
        <v>1.4660511681806443E-5</v>
      </c>
      <c r="AA18" s="126">
        <v>2.4030030856646793E-2</v>
      </c>
      <c r="AB18" s="126">
        <v>4.1731894471560069E-8</v>
      </c>
      <c r="AC18" s="126">
        <v>1.5498683330214225E-3</v>
      </c>
      <c r="AD18" s="126">
        <v>1.1299484295530841E-7</v>
      </c>
      <c r="AE18" s="126">
        <v>1.7729552100024192E-5</v>
      </c>
      <c r="AF18" s="126">
        <v>1.3099300881569543E-5</v>
      </c>
      <c r="AG18" s="126">
        <v>0.37431227531356187</v>
      </c>
      <c r="AH18" s="126">
        <v>3.8807021438382625E-4</v>
      </c>
      <c r="AI18" s="126">
        <v>3.7055209419025979E-2</v>
      </c>
      <c r="AJ18" s="126">
        <v>4.6800838213947829E-2</v>
      </c>
      <c r="AK18" s="126">
        <v>9.2358888321296905E-5</v>
      </c>
      <c r="AL18" s="126">
        <v>3.9524662532466143E-2</v>
      </c>
      <c r="AM18" s="126">
        <v>1.7938588010451401E-3</v>
      </c>
      <c r="AN18" s="126">
        <v>0.35495264277454169</v>
      </c>
      <c r="AO18" s="126">
        <v>1.644103248076987E-2</v>
      </c>
      <c r="AP18" s="126">
        <v>5.3921374245787164E-6</v>
      </c>
      <c r="AQ18" s="126">
        <v>0.68208472272960652</v>
      </c>
      <c r="AR18" s="126">
        <v>5.4884239824142751E-6</v>
      </c>
      <c r="AS18" s="126">
        <v>4.7961729871498328E-6</v>
      </c>
      <c r="AT18" s="126">
        <v>6.1511231875899213E-9</v>
      </c>
      <c r="AU18" s="126">
        <v>2.3001243655661788E-7</v>
      </c>
      <c r="AV18" s="126">
        <v>1.015083674810154E-18</v>
      </c>
      <c r="AW18" s="126">
        <v>1.7214516955201663E-2</v>
      </c>
      <c r="AX18" s="126">
        <v>8.3220838252915763E-5</v>
      </c>
      <c r="AY18" s="126">
        <v>1.4468597585003813E-7</v>
      </c>
      <c r="AZ18" s="126">
        <v>3.4516197517213014E-2</v>
      </c>
      <c r="BA18" s="126">
        <v>0.11993685818764407</v>
      </c>
      <c r="BB18" s="126">
        <v>3.4840817130991179E-2</v>
      </c>
      <c r="BC18" s="126">
        <v>1.6002821063449381E-5</v>
      </c>
      <c r="BD18" s="126">
        <v>2.6471343660627819E-7</v>
      </c>
      <c r="BE18" s="126">
        <v>7.4214524184000579E-6</v>
      </c>
      <c r="BF18" s="126">
        <v>0.7991579651937547</v>
      </c>
      <c r="BG18" s="126">
        <v>5.7642947720783863E-2</v>
      </c>
      <c r="BH18" s="126">
        <v>0.18589232249417376</v>
      </c>
      <c r="BI18" s="126">
        <v>8.2920997551478842E-6</v>
      </c>
      <c r="BJ18" s="126">
        <v>0.59643328884622993</v>
      </c>
      <c r="BK18" s="126">
        <v>0.70951074828589389</v>
      </c>
      <c r="BL18" s="126">
        <v>0.50251106070332796</v>
      </c>
      <c r="BM18" s="126">
        <v>1.8437428615119259E-8</v>
      </c>
      <c r="BN18" s="126">
        <v>2.4447460344466732E-3</v>
      </c>
      <c r="BO18" s="126">
        <v>1.3267062585462686E-3</v>
      </c>
      <c r="BP18" s="126">
        <v>0.84668995783910528</v>
      </c>
      <c r="BQ18" s="126">
        <v>3.3551819694237595E-2</v>
      </c>
      <c r="BR18" s="126">
        <v>0.12187993087025664</v>
      </c>
      <c r="BS18" s="126">
        <v>7.0352902201020273E-3</v>
      </c>
      <c r="BT18" s="126">
        <v>1.0253568408831512E-4</v>
      </c>
      <c r="BU18" s="126">
        <v>1.3172185067183769E-3</v>
      </c>
      <c r="BV18" s="126">
        <v>5.081145999852907E-10</v>
      </c>
      <c r="BW18" s="126">
        <v>0.79315350794216644</v>
      </c>
      <c r="BX18" s="126">
        <v>4.7925692869516705E-8</v>
      </c>
      <c r="BY18" s="126">
        <v>0.12044233863031446</v>
      </c>
      <c r="BZ18" s="126">
        <v>1.2531153543995956E-2</v>
      </c>
      <c r="CA18" s="126">
        <v>0.33012766243912256</v>
      </c>
      <c r="CB18" s="126">
        <v>0.24816345021057393</v>
      </c>
      <c r="CC18" s="126">
        <v>2.4261051876756524E-3</v>
      </c>
      <c r="CD18" s="126">
        <v>3.0704926708139586E-2</v>
      </c>
      <c r="CE18" s="126">
        <v>3.4216230168856498E-2</v>
      </c>
      <c r="CF18" s="126">
        <v>1.7064818110240243E-2</v>
      </c>
      <c r="CG18" s="126">
        <v>2.594622349743151E-2</v>
      </c>
      <c r="CH18" s="126">
        <v>1.9712592654016057E-9</v>
      </c>
      <c r="CI18" s="126">
        <v>8.2143296878693824E-3</v>
      </c>
      <c r="CJ18" s="126">
        <v>0.11069603241874962</v>
      </c>
      <c r="CK18" s="126">
        <v>4.8918519161829495E-2</v>
      </c>
      <c r="CL18" s="126">
        <v>0.40529335577745434</v>
      </c>
      <c r="CM18" s="126">
        <v>7.0250898662034585E-5</v>
      </c>
      <c r="CN18" s="126">
        <v>1.5617371555442452E-7</v>
      </c>
      <c r="CO18" s="126">
        <v>1.1839580945474833E-7</v>
      </c>
      <c r="CP18" s="126">
        <v>7.0118402457670513E-4</v>
      </c>
      <c r="CQ18" s="126">
        <v>0.5017005692907196</v>
      </c>
      <c r="CR18" s="126">
        <v>3.8529021083391236E-11</v>
      </c>
      <c r="CS18" s="126">
        <v>0.20922247484443685</v>
      </c>
      <c r="CT18" s="126">
        <v>1.835684049563729E-5</v>
      </c>
      <c r="CU18" s="126">
        <v>2.1234465891448268E-4</v>
      </c>
      <c r="CV18" s="126">
        <v>9.7318471489665945E-10</v>
      </c>
      <c r="CW18" s="126">
        <v>3.8549332933580129E-3</v>
      </c>
      <c r="CX18" s="126">
        <v>2.8097205597445336E-2</v>
      </c>
    </row>
    <row r="19" spans="1:102" s="95" customFormat="1">
      <c r="A19" s="306" t="s">
        <v>176</v>
      </c>
      <c r="B19" s="307"/>
      <c r="C19" s="126">
        <v>2.1631001428865009E-4</v>
      </c>
      <c r="D19" s="126">
        <v>0.35667645338272808</v>
      </c>
      <c r="E19" s="126">
        <v>2.158408481829677E-4</v>
      </c>
      <c r="F19" s="126">
        <v>7.8687213450555049E-8</v>
      </c>
      <c r="G19" s="126">
        <v>0.31438614131870463</v>
      </c>
      <c r="H19" s="126">
        <v>6.1759662785829655E-3</v>
      </c>
      <c r="I19" s="126">
        <v>1.4146602330720766E-2</v>
      </c>
      <c r="J19" s="126">
        <v>3.5884473430352495E-11</v>
      </c>
      <c r="K19" s="126">
        <v>3.7387879942816884E-6</v>
      </c>
      <c r="L19" s="126">
        <v>6.8959828196895015E-2</v>
      </c>
      <c r="M19" s="126">
        <v>0.3003416709955436</v>
      </c>
      <c r="N19" s="126">
        <v>3.5868125245753253E-8</v>
      </c>
      <c r="O19" s="126">
        <v>3.1548972551227736E-7</v>
      </c>
      <c r="P19" s="126">
        <v>5.6605853799595526E-2</v>
      </c>
      <c r="Q19" s="126">
        <v>3.6261044344154315E-2</v>
      </c>
      <c r="R19" s="126">
        <v>0.9291907963638919</v>
      </c>
      <c r="S19" s="126">
        <v>8.5877566856312294E-7</v>
      </c>
      <c r="T19" s="126">
        <v>1.0096524122236718E-2</v>
      </c>
      <c r="U19" s="126">
        <v>9.7025568828608792E-10</v>
      </c>
      <c r="V19" s="126">
        <v>2.0490533670174216E-2</v>
      </c>
      <c r="W19" s="126">
        <v>2.2624891770509016E-3</v>
      </c>
      <c r="X19" s="126">
        <v>0.15522591000397104</v>
      </c>
      <c r="Y19" s="126">
        <v>4.1031179420289885E-3</v>
      </c>
      <c r="Z19" s="126">
        <v>2.9908830429450785E-2</v>
      </c>
      <c r="AA19" s="126">
        <v>5.154143470461512E-2</v>
      </c>
      <c r="AB19" s="126">
        <v>1.8850076032966431E-3</v>
      </c>
      <c r="AC19" s="126">
        <v>2.2141764724967294E-5</v>
      </c>
      <c r="AD19" s="126">
        <v>0.51459974035038292</v>
      </c>
      <c r="AE19" s="126">
        <v>3.0445179953227021E-4</v>
      </c>
      <c r="AF19" s="126">
        <v>2.9759473172742912E-4</v>
      </c>
      <c r="AG19" s="126">
        <v>3.0956383264222607E-3</v>
      </c>
      <c r="AH19" s="126">
        <v>5.5350156661512495E-3</v>
      </c>
      <c r="AI19" s="126">
        <v>2.0298685561098806E-4</v>
      </c>
      <c r="AJ19" s="126">
        <v>6.0991246503326962E-2</v>
      </c>
      <c r="AK19" s="126">
        <v>6.5419305553661211E-2</v>
      </c>
      <c r="AL19" s="126">
        <v>2.4764747799862465E-2</v>
      </c>
      <c r="AM19" s="126">
        <v>2.518463426670642E-12</v>
      </c>
      <c r="AN19" s="126">
        <v>1.380109469979594E-10</v>
      </c>
      <c r="AO19" s="126">
        <v>3.8397686928297961E-5</v>
      </c>
      <c r="AP19" s="126">
        <v>3.8456029924284168E-3</v>
      </c>
      <c r="AQ19" s="126">
        <v>3.1970699929473524E-6</v>
      </c>
      <c r="AR19" s="126">
        <v>4.8591322353926616E-2</v>
      </c>
      <c r="AS19" s="126">
        <v>0.19375193412110589</v>
      </c>
      <c r="AT19" s="126">
        <v>2.7774209528130594E-3</v>
      </c>
      <c r="AU19" s="126">
        <v>3.3523075701109692E-5</v>
      </c>
      <c r="AV19" s="126">
        <v>0.15831833693746364</v>
      </c>
      <c r="AW19" s="126">
        <v>0.82344984253175824</v>
      </c>
      <c r="AX19" s="126">
        <v>1.6839316783951801E-8</v>
      </c>
      <c r="AY19" s="126">
        <v>3.3452847422090876E-16</v>
      </c>
      <c r="AZ19" s="126">
        <v>4.3867698484463666E-7</v>
      </c>
      <c r="BA19" s="126">
        <v>3.6601878722089011E-3</v>
      </c>
      <c r="BB19" s="126">
        <v>3.461593912540096E-5</v>
      </c>
      <c r="BC19" s="126">
        <v>9.7621800080605956E-23</v>
      </c>
      <c r="BD19" s="126">
        <v>2.0165348457569939E-3</v>
      </c>
      <c r="BE19" s="126">
        <v>0.20017471916823104</v>
      </c>
      <c r="BF19" s="126">
        <v>0.11784051716785231</v>
      </c>
      <c r="BG19" s="126">
        <v>1.8463150116022892E-11</v>
      </c>
      <c r="BH19" s="126">
        <v>1.6112253701932508E-3</v>
      </c>
      <c r="BI19" s="126">
        <v>0.74861108785404629</v>
      </c>
      <c r="BJ19" s="126">
        <v>1.3409106611335464E-6</v>
      </c>
      <c r="BK19" s="126">
        <v>8.112925031465823E-3</v>
      </c>
      <c r="BL19" s="126">
        <v>1.0763592690675495E-7</v>
      </c>
      <c r="BM19" s="126">
        <v>0.94120569210899474</v>
      </c>
      <c r="BN19" s="126">
        <v>9.4403122170829252E-10</v>
      </c>
      <c r="BO19" s="126">
        <v>2.0236162723745767E-3</v>
      </c>
      <c r="BP19" s="126">
        <v>2.5580806546329391E-5</v>
      </c>
      <c r="BQ19" s="126">
        <v>6.0708420956280063E-3</v>
      </c>
      <c r="BR19" s="126">
        <v>9.3304817569055329E-5</v>
      </c>
      <c r="BS19" s="126">
        <v>2.4825648085954218E-2</v>
      </c>
      <c r="BT19" s="126">
        <v>0.1698563620715608</v>
      </c>
      <c r="BU19" s="126">
        <v>3.0511058576313577E-2</v>
      </c>
      <c r="BV19" s="126">
        <v>1.2195448309238933E-6</v>
      </c>
      <c r="BW19" s="126">
        <v>2.3044316313337439E-4</v>
      </c>
      <c r="BX19" s="126">
        <v>0.106016062360356</v>
      </c>
      <c r="BY19" s="126">
        <v>0.31023135533864565</v>
      </c>
      <c r="BZ19" s="126">
        <v>0.64025944415958713</v>
      </c>
      <c r="CA19" s="126">
        <v>6.4379763537958573E-2</v>
      </c>
      <c r="CB19" s="126">
        <v>5.7619391131618985E-4</v>
      </c>
      <c r="CC19" s="126">
        <v>7.155251799193936E-2</v>
      </c>
      <c r="CD19" s="126">
        <v>1.6978095052208427E-2</v>
      </c>
      <c r="CE19" s="126">
        <v>0.10413631655407557</v>
      </c>
      <c r="CF19" s="126">
        <v>1.6530499779596666E-2</v>
      </c>
      <c r="CG19" s="126">
        <v>0.54799448438480114</v>
      </c>
      <c r="CH19" s="126">
        <v>2.2739900321527666E-3</v>
      </c>
      <c r="CI19" s="126">
        <v>2.6448822502297755E-5</v>
      </c>
      <c r="CJ19" s="126">
        <v>0.19739485653519995</v>
      </c>
      <c r="CK19" s="126">
        <v>1.5915875113109422E-5</v>
      </c>
      <c r="CL19" s="126">
        <v>4.1310779417458943E-3</v>
      </c>
      <c r="CM19" s="126">
        <v>1.4760603302396366E-3</v>
      </c>
      <c r="CN19" s="126">
        <v>0.17944727546981584</v>
      </c>
      <c r="CO19" s="126">
        <v>0.49059213170220994</v>
      </c>
      <c r="CP19" s="126">
        <v>0.38959772720203595</v>
      </c>
      <c r="CQ19" s="126">
        <v>3.0351135375061601E-2</v>
      </c>
      <c r="CR19" s="126">
        <v>1.7782306896516559E-3</v>
      </c>
      <c r="CS19" s="126">
        <v>0.43555980739633177</v>
      </c>
      <c r="CT19" s="126">
        <v>0.19680189902520598</v>
      </c>
      <c r="CU19" s="126">
        <v>0.31515001902085893</v>
      </c>
      <c r="CV19" s="126">
        <v>2.2260210354738429E-9</v>
      </c>
      <c r="CW19" s="126">
        <v>5.4250936271282045E-2</v>
      </c>
      <c r="CX19" s="126">
        <v>0.54494887045190143</v>
      </c>
    </row>
    <row r="20" spans="1:102" s="95" customFormat="1">
      <c r="A20" s="306" t="s">
        <v>177</v>
      </c>
      <c r="B20" s="307"/>
      <c r="C20" s="126">
        <v>0.66350591575474061</v>
      </c>
      <c r="D20" s="126">
        <v>1.5720996876516528E-3</v>
      </c>
      <c r="E20" s="126">
        <v>2.7225426656728597E-4</v>
      </c>
      <c r="F20" s="126">
        <v>0.99508898749312047</v>
      </c>
      <c r="G20" s="126">
        <v>3.1778789213910846E-6</v>
      </c>
      <c r="H20" s="126">
        <v>0.45893955648346102</v>
      </c>
      <c r="I20" s="126">
        <v>6.1001394233809815E-20</v>
      </c>
      <c r="J20" s="126">
        <v>5.4841485328579742E-10</v>
      </c>
      <c r="K20" s="126">
        <v>0.80595922165580547</v>
      </c>
      <c r="L20" s="126">
        <v>0.59330973335234805</v>
      </c>
      <c r="M20" s="126">
        <v>0.26736946078125728</v>
      </c>
      <c r="N20" s="126">
        <v>0.48314309435448133</v>
      </c>
      <c r="O20" s="126">
        <v>0.38456543220813744</v>
      </c>
      <c r="P20" s="126">
        <v>1.8819252410281082E-5</v>
      </c>
      <c r="Q20" s="126">
        <v>1.1096619139209731E-2</v>
      </c>
      <c r="R20" s="126">
        <v>4.0115688230159999E-2</v>
      </c>
      <c r="S20" s="126">
        <v>2.750778073908551E-5</v>
      </c>
      <c r="T20" s="126">
        <v>3.4281260452947792E-7</v>
      </c>
      <c r="U20" s="126">
        <v>2.2294563970115241E-2</v>
      </c>
      <c r="V20" s="126">
        <v>8.9821226044545413E-2</v>
      </c>
      <c r="W20" s="126">
        <v>2.8472441248582646E-5</v>
      </c>
      <c r="X20" s="126">
        <v>0.43970226525976769</v>
      </c>
      <c r="Y20" s="126">
        <v>4.401594042238769E-7</v>
      </c>
      <c r="Z20" s="126">
        <v>0.10751817160954098</v>
      </c>
      <c r="AA20" s="126">
        <v>1.7349821517136466E-10</v>
      </c>
      <c r="AB20" s="126">
        <v>3.5236687619460305E-2</v>
      </c>
      <c r="AC20" s="126">
        <v>1.8132064850589897E-3</v>
      </c>
      <c r="AD20" s="126">
        <v>1.9321915049176998E-5</v>
      </c>
      <c r="AE20" s="126">
        <v>4.528499438852709E-4</v>
      </c>
      <c r="AF20" s="126">
        <v>0.93550415907477902</v>
      </c>
      <c r="AG20" s="126">
        <v>2.1949670740253897E-2</v>
      </c>
      <c r="AH20" s="126">
        <v>9.5911271306072243E-2</v>
      </c>
      <c r="AI20" s="126">
        <v>1.0596774407397667E-2</v>
      </c>
      <c r="AJ20" s="126">
        <v>5.4565136471820699E-4</v>
      </c>
      <c r="AK20" s="126">
        <v>4.4126115692812555E-8</v>
      </c>
      <c r="AL20" s="126">
        <v>4.3672522528113143E-5</v>
      </c>
      <c r="AM20" s="126">
        <v>6.2327031472762074E-5</v>
      </c>
      <c r="AN20" s="126">
        <v>1.4532799275252599E-9</v>
      </c>
      <c r="AO20" s="126">
        <v>3.3888674853692499E-2</v>
      </c>
      <c r="AP20" s="126">
        <v>1.8043411878652742E-7</v>
      </c>
      <c r="AQ20" s="126">
        <v>0.29337400626041793</v>
      </c>
      <c r="AR20" s="126">
        <v>0.66762107536441673</v>
      </c>
      <c r="AS20" s="126">
        <v>7.6607445457744783E-3</v>
      </c>
      <c r="AT20" s="126">
        <v>3.1812231867487578E-5</v>
      </c>
      <c r="AU20" s="126">
        <v>0.17692187529381312</v>
      </c>
      <c r="AV20" s="126">
        <v>2.802682550215761E-12</v>
      </c>
      <c r="AW20" s="126">
        <v>3.0086710086393017E-2</v>
      </c>
      <c r="AX20" s="126">
        <v>1.4627730641107495E-4</v>
      </c>
      <c r="AY20" s="126">
        <v>0.7329010524351649</v>
      </c>
      <c r="AZ20" s="126">
        <v>1.2362012042899256E-2</v>
      </c>
      <c r="BA20" s="126">
        <v>0.13661903368337169</v>
      </c>
      <c r="BB20" s="126">
        <v>1.5938081875709422E-3</v>
      </c>
      <c r="BC20" s="126">
        <v>0.12867509448097611</v>
      </c>
      <c r="BD20" s="126">
        <v>2.7819228322595599E-12</v>
      </c>
      <c r="BE20" s="126">
        <v>2.2981541313962903E-4</v>
      </c>
      <c r="BF20" s="126">
        <v>4.3106423314367575E-9</v>
      </c>
      <c r="BG20" s="126">
        <v>0.36092685834353005</v>
      </c>
      <c r="BH20" s="126">
        <v>3.8300292593168171E-3</v>
      </c>
      <c r="BI20" s="126">
        <v>6.7203971397029472E-10</v>
      </c>
      <c r="BJ20" s="126">
        <v>6.0664263407178963E-8</v>
      </c>
      <c r="BK20" s="126">
        <v>2.122652292489175E-22</v>
      </c>
      <c r="BL20" s="126">
        <v>3.8126791055211225E-5</v>
      </c>
      <c r="BM20" s="126">
        <v>1.7178274974262743E-8</v>
      </c>
      <c r="BN20" s="126">
        <v>3.4302063148325245E-8</v>
      </c>
      <c r="BO20" s="126">
        <v>4.3986450524478388E-14</v>
      </c>
      <c r="BP20" s="126">
        <v>1.9108866715158917E-15</v>
      </c>
      <c r="BQ20" s="126">
        <v>0.76710185949855358</v>
      </c>
      <c r="BR20" s="126">
        <v>2.2868556542726215E-13</v>
      </c>
      <c r="BS20" s="126">
        <v>0.64060066958016304</v>
      </c>
      <c r="BT20" s="126">
        <v>0.20720005326766192</v>
      </c>
      <c r="BU20" s="126">
        <v>1.7699699850188728E-2</v>
      </c>
      <c r="BV20" s="126">
        <v>0.67772836273602699</v>
      </c>
      <c r="BW20" s="126">
        <v>0.19035526094227195</v>
      </c>
      <c r="BX20" s="126">
        <v>5.2578594660323857E-2</v>
      </c>
      <c r="BY20" s="126">
        <v>2.4608729854878777E-3</v>
      </c>
      <c r="BZ20" s="126">
        <v>0.34276190212541097</v>
      </c>
      <c r="CA20" s="126">
        <v>5.0912392007949602E-8</v>
      </c>
      <c r="CB20" s="126">
        <v>4.1410476643538209E-8</v>
      </c>
      <c r="CC20" s="126">
        <v>1.3909310964062467E-4</v>
      </c>
      <c r="CD20" s="126">
        <v>1.5136194673451922E-3</v>
      </c>
      <c r="CE20" s="126">
        <v>3.524865052038776E-2</v>
      </c>
      <c r="CF20" s="126">
        <v>0.57546417145775708</v>
      </c>
      <c r="CG20" s="126">
        <v>1.9077375408233082E-6</v>
      </c>
      <c r="CH20" s="126">
        <v>0.59224249679320495</v>
      </c>
      <c r="CI20" s="126">
        <v>3.190173716111609E-5</v>
      </c>
      <c r="CJ20" s="126">
        <v>1.9937257807535683E-8</v>
      </c>
      <c r="CK20" s="126">
        <v>1.0535838548741962E-15</v>
      </c>
      <c r="CL20" s="126">
        <v>4.5429452688379365E-4</v>
      </c>
      <c r="CM20" s="126">
        <v>7.6143150159236381E-2</v>
      </c>
      <c r="CN20" s="126">
        <v>0.37597232422839844</v>
      </c>
      <c r="CO20" s="126">
        <v>1.2462209044635073E-6</v>
      </c>
      <c r="CP20" s="126">
        <v>3.5649198960752875E-3</v>
      </c>
      <c r="CQ20" s="126">
        <v>0.42813414152858176</v>
      </c>
      <c r="CR20" s="126">
        <v>7.5947197547044654E-2</v>
      </c>
      <c r="CS20" s="126">
        <v>1.8589627726655607E-16</v>
      </c>
      <c r="CT20" s="126">
        <v>2.4216800623425828E-3</v>
      </c>
      <c r="CU20" s="126">
        <v>0.42294360476267351</v>
      </c>
      <c r="CV20" s="126">
        <v>0.35235884264622863</v>
      </c>
      <c r="CW20" s="126">
        <v>0.41556032142473909</v>
      </c>
      <c r="CX20" s="126">
        <v>5.0550203737995732E-3</v>
      </c>
    </row>
    <row r="21" spans="1:102" s="95" customFormat="1">
      <c r="A21" s="306" t="s">
        <v>5</v>
      </c>
      <c r="B21" s="307"/>
      <c r="C21" s="126">
        <v>1.4333568036977555E-8</v>
      </c>
      <c r="D21" s="126">
        <v>0.45468960583243734</v>
      </c>
      <c r="E21" s="126">
        <v>1.6164087981430841E-10</v>
      </c>
      <c r="F21" s="126">
        <v>8.6183638769812836E-6</v>
      </c>
      <c r="G21" s="126">
        <v>0.55888022844566498</v>
      </c>
      <c r="H21" s="126">
        <v>3.0282317455730526E-10</v>
      </c>
      <c r="I21" s="126">
        <v>2.0169178453577422E-3</v>
      </c>
      <c r="J21" s="126">
        <v>2.0662245623683523E-4</v>
      </c>
      <c r="K21" s="126">
        <v>3.9633041722995804E-6</v>
      </c>
      <c r="L21" s="126">
        <v>0.3148329168469704</v>
      </c>
      <c r="M21" s="126">
        <v>7.1941789068343661E-3</v>
      </c>
      <c r="N21" s="126">
        <v>0.26726742052663505</v>
      </c>
      <c r="O21" s="126">
        <v>0.26673511487277185</v>
      </c>
      <c r="P21" s="126">
        <v>0.92697609544792781</v>
      </c>
      <c r="Q21" s="126">
        <v>9.0910326400980097E-4</v>
      </c>
      <c r="R21" s="126">
        <v>2.7197112951321565E-5</v>
      </c>
      <c r="S21" s="126">
        <v>3.9384764897587958E-2</v>
      </c>
      <c r="T21" s="126">
        <v>2.1877963630367403E-5</v>
      </c>
      <c r="U21" s="126">
        <v>1.0589603080873267E-5</v>
      </c>
      <c r="V21" s="126">
        <v>0.60645868298535111</v>
      </c>
      <c r="W21" s="126">
        <v>0.18309913129074609</v>
      </c>
      <c r="X21" s="126">
        <v>3.2670087696623241E-13</v>
      </c>
      <c r="Y21" s="126">
        <v>0.46325789542236928</v>
      </c>
      <c r="Z21" s="126">
        <v>2.1931327107780531E-3</v>
      </c>
      <c r="AA21" s="126">
        <v>0.8902246536063646</v>
      </c>
      <c r="AB21" s="126">
        <v>3.1123478772054746E-3</v>
      </c>
      <c r="AC21" s="126">
        <v>0.93453666500084542</v>
      </c>
      <c r="AD21" s="126">
        <v>0.1337352848999129</v>
      </c>
      <c r="AE21" s="126">
        <v>1.0814351135457575E-4</v>
      </c>
      <c r="AF21" s="126">
        <v>8.4176410330187492E-3</v>
      </c>
      <c r="AG21" s="126">
        <v>6.1402677645705302E-5</v>
      </c>
      <c r="AH21" s="126">
        <v>9.9150854809098125E-14</v>
      </c>
      <c r="AI21" s="126">
        <v>6.330484755308567E-6</v>
      </c>
      <c r="AJ21" s="126">
        <v>0.54796663554742953</v>
      </c>
      <c r="AK21" s="126">
        <v>0.69173383201186711</v>
      </c>
      <c r="AL21" s="126">
        <v>8.855485282567313E-3</v>
      </c>
      <c r="AM21" s="126">
        <v>0.17260521386410482</v>
      </c>
      <c r="AN21" s="126">
        <v>0.64503573285670945</v>
      </c>
      <c r="AO21" s="126">
        <v>7.5107330101385677E-5</v>
      </c>
      <c r="AP21" s="126">
        <v>0.98458248507342316</v>
      </c>
      <c r="AQ21" s="126">
        <v>2.3575604355790255E-2</v>
      </c>
      <c r="AR21" s="126">
        <v>3.7372834313922413E-5</v>
      </c>
      <c r="AS21" s="126">
        <v>1.3886834741788973E-3</v>
      </c>
      <c r="AT21" s="126">
        <v>3.8455509644230439E-8</v>
      </c>
      <c r="AU21" s="126">
        <v>0.221110872316167</v>
      </c>
      <c r="AV21" s="126">
        <v>8.5269579836560111E-2</v>
      </c>
      <c r="AW21" s="126">
        <v>1.0336366480440725E-2</v>
      </c>
      <c r="AX21" s="126">
        <v>3.6695665189917393E-3</v>
      </c>
      <c r="AY21" s="126">
        <v>3.0032685193419912E-3</v>
      </c>
      <c r="AZ21" s="126">
        <v>5.7186447099029465E-6</v>
      </c>
      <c r="BA21" s="126">
        <v>0.53679907116067238</v>
      </c>
      <c r="BB21" s="126">
        <v>3.6551874424130895E-2</v>
      </c>
      <c r="BC21" s="126">
        <v>5.1642656055119591E-4</v>
      </c>
      <c r="BD21" s="126">
        <v>3.0631348018762314E-2</v>
      </c>
      <c r="BE21" s="126">
        <v>0.72754304303826656</v>
      </c>
      <c r="BF21" s="126">
        <v>1.581141939083E-4</v>
      </c>
      <c r="BG21" s="126">
        <v>1.9568220921724731E-4</v>
      </c>
      <c r="BH21" s="126">
        <v>2.4704091619465567E-3</v>
      </c>
      <c r="BI21" s="126">
        <v>0.21439937234508918</v>
      </c>
      <c r="BJ21" s="126">
        <v>1.0348498318747978E-3</v>
      </c>
      <c r="BK21" s="126">
        <v>1.115526373844924E-16</v>
      </c>
      <c r="BL21" s="126">
        <v>3.4728025505847693E-7</v>
      </c>
      <c r="BM21" s="126">
        <v>3.6618183391949707E-2</v>
      </c>
      <c r="BN21" s="126">
        <v>2.7575945513141263E-4</v>
      </c>
      <c r="BO21" s="126">
        <v>3.2073668962041163E-3</v>
      </c>
      <c r="BP21" s="126">
        <v>6.8643457410358186E-3</v>
      </c>
      <c r="BQ21" s="126">
        <v>1.5647567790945884E-5</v>
      </c>
      <c r="BR21" s="126">
        <v>0.71881265707083408</v>
      </c>
      <c r="BS21" s="126">
        <v>2.3702337122188631E-2</v>
      </c>
      <c r="BT21" s="126">
        <v>4.7297003080545461E-10</v>
      </c>
      <c r="BU21" s="126">
        <v>0.29445848436097893</v>
      </c>
      <c r="BV21" s="126">
        <v>1.2839670520937192E-5</v>
      </c>
      <c r="BW21" s="126">
        <v>7.3727374644725632E-6</v>
      </c>
      <c r="BX21" s="126">
        <v>0.51448306857939508</v>
      </c>
      <c r="BY21" s="126">
        <v>2.0867093096929417E-7</v>
      </c>
      <c r="BZ21" s="126">
        <v>1.0077241136812939E-7</v>
      </c>
      <c r="CA21" s="126">
        <v>5.3612184301234463E-7</v>
      </c>
      <c r="CB21" s="126">
        <v>6.0658906133462319E-4</v>
      </c>
      <c r="CC21" s="126">
        <v>3.3061418970455093E-2</v>
      </c>
      <c r="CD21" s="126">
        <v>0.16110840289867862</v>
      </c>
      <c r="CE21" s="126">
        <v>0.50893839327387158</v>
      </c>
      <c r="CF21" s="126">
        <v>9.92555230990258E-3</v>
      </c>
      <c r="CG21" s="126">
        <v>1.9470689446649189E-2</v>
      </c>
      <c r="CH21" s="126">
        <v>5.7444635553684463E-5</v>
      </c>
      <c r="CI21" s="126">
        <v>1.5084703423473853E-2</v>
      </c>
      <c r="CJ21" s="126">
        <v>8.6086452345852625E-3</v>
      </c>
      <c r="CK21" s="126">
        <v>0.94741759479598409</v>
      </c>
      <c r="CL21" s="126">
        <v>0.19355582919872449</v>
      </c>
      <c r="CM21" s="126">
        <v>1.2789775186036485E-3</v>
      </c>
      <c r="CN21" s="126">
        <v>1.4365898725108361E-2</v>
      </c>
      <c r="CO21" s="126">
        <v>2.6294070142939868E-2</v>
      </c>
      <c r="CP21" s="126">
        <v>2.8601236709398897E-15</v>
      </c>
      <c r="CQ21" s="126">
        <v>7.5342161987957731E-3</v>
      </c>
      <c r="CR21" s="126">
        <v>0.4975670466109432</v>
      </c>
      <c r="CS21" s="126">
        <v>7.5246761661519328E-5</v>
      </c>
      <c r="CT21" s="126">
        <v>1.7170377004612516E-2</v>
      </c>
      <c r="CU21" s="126">
        <v>7.880944983013412E-4</v>
      </c>
      <c r="CV21" s="126">
        <v>1.4846894748693494E-2</v>
      </c>
      <c r="CW21" s="126">
        <v>3.5972808784696014E-11</v>
      </c>
      <c r="CX21" s="126">
        <v>0.13983786341245391</v>
      </c>
    </row>
    <row r="22" spans="1:102" s="95" customFormat="1">
      <c r="A22" s="306" t="s">
        <v>178</v>
      </c>
      <c r="B22" s="307"/>
      <c r="C22" s="126">
        <v>0.33371462811724339</v>
      </c>
      <c r="D22" s="126">
        <v>5.6479109386096994E-3</v>
      </c>
      <c r="E22" s="126">
        <v>1.3199903159469807E-3</v>
      </c>
      <c r="F22" s="126">
        <v>2.5215823952052489E-5</v>
      </c>
      <c r="G22" s="126">
        <v>4.5942245685456344E-2</v>
      </c>
      <c r="H22" s="126">
        <v>1.7669877988766905E-4</v>
      </c>
      <c r="I22" s="126">
        <v>9.928570213739293E-3</v>
      </c>
      <c r="J22" s="126">
        <v>3.8601472597327906E-4</v>
      </c>
      <c r="K22" s="126">
        <v>1.3754768317947659E-3</v>
      </c>
      <c r="L22" s="126">
        <v>5.5987269244146404E-3</v>
      </c>
      <c r="M22" s="126">
        <v>4.7464091362432586E-6</v>
      </c>
      <c r="N22" s="126">
        <v>5.0714990497464717E-2</v>
      </c>
      <c r="O22" s="126">
        <v>4.0336832766295789E-4</v>
      </c>
      <c r="P22" s="126">
        <v>1.1047497141673115E-4</v>
      </c>
      <c r="Q22" s="126">
        <v>0.95151668212047558</v>
      </c>
      <c r="R22" s="126">
        <v>1.5055754305241078E-8</v>
      </c>
      <c r="S22" s="126">
        <v>0.46583923993275572</v>
      </c>
      <c r="T22" s="126">
        <v>0.98809338048182516</v>
      </c>
      <c r="U22" s="126">
        <v>1.3153336920055991E-4</v>
      </c>
      <c r="V22" s="126">
        <v>0.26356168296955335</v>
      </c>
      <c r="W22" s="126">
        <v>7.2156239272816076E-16</v>
      </c>
      <c r="X22" s="126">
        <v>3.2248305287431479E-8</v>
      </c>
      <c r="Y22" s="126">
        <v>0.12246979298169364</v>
      </c>
      <c r="Z22" s="126">
        <v>2.4779084002556336E-16</v>
      </c>
      <c r="AA22" s="126">
        <v>1.6861523912309383E-11</v>
      </c>
      <c r="AB22" s="126">
        <v>4.3507137917515752E-2</v>
      </c>
      <c r="AC22" s="126">
        <v>9.9449105256039609E-3</v>
      </c>
      <c r="AD22" s="126">
        <v>2.0229636492587681E-2</v>
      </c>
      <c r="AE22" s="126">
        <v>2.3273249781979011E-3</v>
      </c>
      <c r="AF22" s="126">
        <v>5.8423140412005905E-6</v>
      </c>
      <c r="AG22" s="126">
        <v>4.4926278950905901E-3</v>
      </c>
      <c r="AH22" s="126">
        <v>0.89798993817686235</v>
      </c>
      <c r="AI22" s="126">
        <v>0.45351021363392158</v>
      </c>
      <c r="AJ22" s="126">
        <v>0.32109941512485407</v>
      </c>
      <c r="AK22" s="126">
        <v>0.22784975564940732</v>
      </c>
      <c r="AL22" s="126">
        <v>1.1067706484055639E-2</v>
      </c>
      <c r="AM22" s="126">
        <v>0.22559478784119094</v>
      </c>
      <c r="AN22" s="126">
        <v>1.204201928750827E-6</v>
      </c>
      <c r="AO22" s="126">
        <v>4.6843053557738186E-8</v>
      </c>
      <c r="AP22" s="126">
        <v>1.8908737661757157E-3</v>
      </c>
      <c r="AQ22" s="126">
        <v>5.0180787840452652E-7</v>
      </c>
      <c r="AR22" s="126">
        <v>0.28356593202162739</v>
      </c>
      <c r="AS22" s="126">
        <v>0.19979615157989097</v>
      </c>
      <c r="AT22" s="126">
        <v>0.42868938972015452</v>
      </c>
      <c r="AU22" s="126">
        <v>0.51685641903101254</v>
      </c>
      <c r="AV22" s="126">
        <v>2.4532047965545971E-2</v>
      </c>
      <c r="AW22" s="126">
        <v>1.8787747781903054E-5</v>
      </c>
      <c r="AX22" s="126">
        <v>9.3632398103914495E-13</v>
      </c>
      <c r="AY22" s="126">
        <v>1.5157243252581717E-5</v>
      </c>
      <c r="AZ22" s="126">
        <v>4.3169373072907439E-8</v>
      </c>
      <c r="BA22" s="126">
        <v>0.19422867434315086</v>
      </c>
      <c r="BB22" s="126">
        <v>0.86802263018678782</v>
      </c>
      <c r="BC22" s="126">
        <v>5.4021860629646013E-18</v>
      </c>
      <c r="BD22" s="126">
        <v>4.3343835389322778E-4</v>
      </c>
      <c r="BE22" s="126">
        <v>6.7205158217541777E-2</v>
      </c>
      <c r="BF22" s="126">
        <v>7.1718091464974806E-2</v>
      </c>
      <c r="BG22" s="126">
        <v>0.28974942935194115</v>
      </c>
      <c r="BH22" s="126">
        <v>0.28555058517903403</v>
      </c>
      <c r="BI22" s="126">
        <v>3.0201599258681735E-3</v>
      </c>
      <c r="BJ22" s="126">
        <v>2.4335668003843316E-3</v>
      </c>
      <c r="BK22" s="126">
        <v>0.24535572214540696</v>
      </c>
      <c r="BL22" s="126">
        <v>0.16716632389525451</v>
      </c>
      <c r="BM22" s="126">
        <v>6.4569044404320444E-3</v>
      </c>
      <c r="BN22" s="126">
        <v>5.1052141535892544E-6</v>
      </c>
      <c r="BO22" s="126">
        <v>2.8519196436808843E-3</v>
      </c>
      <c r="BP22" s="126">
        <v>0.14630456193968772</v>
      </c>
      <c r="BQ22" s="126">
        <v>1.0665762608271503E-2</v>
      </c>
      <c r="BR22" s="126">
        <v>6.8641380917764908E-2</v>
      </c>
      <c r="BS22" s="126">
        <v>1.3871127294817724E-6</v>
      </c>
      <c r="BT22" s="126">
        <v>4.3524974070177825E-4</v>
      </c>
      <c r="BU22" s="126">
        <v>8.3416858624046991E-2</v>
      </c>
      <c r="BV22" s="126">
        <v>7.6410655551621107E-5</v>
      </c>
      <c r="BW22" s="126">
        <v>2.3294943409206144E-5</v>
      </c>
      <c r="BX22" s="126">
        <v>8.6280936169587227E-13</v>
      </c>
      <c r="BY22" s="126">
        <v>9.8273611836139625E-16</v>
      </c>
      <c r="BZ22" s="126">
        <v>1.2694807637863501E-14</v>
      </c>
      <c r="CA22" s="126">
        <v>5.8622313322607817E-9</v>
      </c>
      <c r="CB22" s="126">
        <v>1.4825367480792167E-18</v>
      </c>
      <c r="CC22" s="126">
        <v>4.8434130366745484E-3</v>
      </c>
      <c r="CD22" s="126">
        <v>0.5074417136193059</v>
      </c>
      <c r="CE22" s="126">
        <v>0.31743074111472502</v>
      </c>
      <c r="CF22" s="126">
        <v>0.37797806361464348</v>
      </c>
      <c r="CG22" s="126">
        <v>2.5091387399157382E-12</v>
      </c>
      <c r="CH22" s="126">
        <v>3.2858598778669319E-7</v>
      </c>
      <c r="CI22" s="126">
        <v>3.3868523543361816E-5</v>
      </c>
      <c r="CJ22" s="126">
        <v>4.4029468994995168E-7</v>
      </c>
      <c r="CK22" s="126">
        <v>3.6468373228294836E-3</v>
      </c>
      <c r="CL22" s="126">
        <v>7.113824614909251E-6</v>
      </c>
      <c r="CM22" s="126">
        <v>0.27016936414964493</v>
      </c>
      <c r="CN22" s="126">
        <v>1.0988319681400033E-2</v>
      </c>
      <c r="CO22" s="126">
        <v>1.462658752754745E-2</v>
      </c>
      <c r="CP22" s="126">
        <v>0.3355718856795194</v>
      </c>
      <c r="CQ22" s="126">
        <v>1.5096945584223696E-4</v>
      </c>
      <c r="CR22" s="126">
        <v>7.4332674087681794E-2</v>
      </c>
      <c r="CS22" s="126">
        <v>8.8939917841865444E-4</v>
      </c>
      <c r="CT22" s="126">
        <v>8.624763102056103E-2</v>
      </c>
      <c r="CU22" s="126">
        <v>0.18220782498782978</v>
      </c>
      <c r="CV22" s="126">
        <v>0.39911824528993217</v>
      </c>
      <c r="CW22" s="126">
        <v>0.49604773721896683</v>
      </c>
      <c r="CX22" s="126">
        <v>0.17804517732898398</v>
      </c>
    </row>
    <row r="23" spans="1:102" s="95" customFormat="1">
      <c r="A23" s="306" t="s">
        <v>6</v>
      </c>
      <c r="B23" s="307"/>
      <c r="C23" s="126">
        <v>2.5555661984334281E-3</v>
      </c>
      <c r="D23" s="126">
        <v>2.4299999075123438E-2</v>
      </c>
      <c r="E23" s="126">
        <v>2.0928300673309832E-2</v>
      </c>
      <c r="F23" s="126">
        <v>3.5050204094854735E-3</v>
      </c>
      <c r="G23" s="126">
        <v>7.8265413957452762E-2</v>
      </c>
      <c r="H23" s="126">
        <v>0.40404830225777988</v>
      </c>
      <c r="I23" s="126">
        <v>8.428820073128781E-5</v>
      </c>
      <c r="J23" s="126">
        <v>4.4628410673464723E-19</v>
      </c>
      <c r="K23" s="126">
        <v>1.7271185570601763E-5</v>
      </c>
      <c r="L23" s="126">
        <v>8.3480440207477391E-13</v>
      </c>
      <c r="M23" s="126">
        <v>6.554260502408824E-10</v>
      </c>
      <c r="N23" s="126">
        <v>2.9076182407511083E-2</v>
      </c>
      <c r="O23" s="126">
        <v>0.28146614750135884</v>
      </c>
      <c r="P23" s="126">
        <v>1.4188380257462923E-8</v>
      </c>
      <c r="Q23" s="126">
        <v>2.5296820059608646E-10</v>
      </c>
      <c r="R23" s="126">
        <v>2.1799593392781293E-8</v>
      </c>
      <c r="S23" s="126">
        <v>3.0248296806863618E-9</v>
      </c>
      <c r="T23" s="126">
        <v>2.9877204931806595E-4</v>
      </c>
      <c r="U23" s="126">
        <v>0.97751310352591547</v>
      </c>
      <c r="V23" s="126">
        <v>1.9145777381469498E-2</v>
      </c>
      <c r="W23" s="126">
        <v>3.9095692427602524E-5</v>
      </c>
      <c r="X23" s="126">
        <v>0.37996009448209961</v>
      </c>
      <c r="Y23" s="126">
        <v>9.6017493852458677E-8</v>
      </c>
      <c r="Z23" s="126">
        <v>6.946445458939171E-4</v>
      </c>
      <c r="AA23" s="126">
        <v>3.4203875510598433E-2</v>
      </c>
      <c r="AB23" s="126">
        <v>8.8667783473972147E-10</v>
      </c>
      <c r="AC23" s="126">
        <v>6.5588537034883546E-5</v>
      </c>
      <c r="AD23" s="126">
        <v>3.3158892900802209E-3</v>
      </c>
      <c r="AE23" s="126">
        <v>0.18007054798532765</v>
      </c>
      <c r="AF23" s="126">
        <v>1.9255771956980894E-5</v>
      </c>
      <c r="AG23" s="126">
        <v>0.59608837062884867</v>
      </c>
      <c r="AH23" s="126">
        <v>1.756964404928408E-4</v>
      </c>
      <c r="AI23" s="126">
        <v>6.3746168462474806E-3</v>
      </c>
      <c r="AJ23" s="126">
        <v>7.6186235848614767E-3</v>
      </c>
      <c r="AK23" s="126">
        <v>7.1878031573610768E-3</v>
      </c>
      <c r="AL23" s="126">
        <v>0.91574371655583298</v>
      </c>
      <c r="AM23" s="126">
        <v>0.35102739633947533</v>
      </c>
      <c r="AN23" s="126">
        <v>1.0415821058820274E-5</v>
      </c>
      <c r="AO23" s="126">
        <v>0.12242848257009431</v>
      </c>
      <c r="AP23" s="126">
        <v>1.745041272873578E-3</v>
      </c>
      <c r="AQ23" s="126">
        <v>6.6813715780524328E-5</v>
      </c>
      <c r="AR23" s="126">
        <v>2.0488372312595707E-16</v>
      </c>
      <c r="AS23" s="126">
        <v>1.8309721788887821E-7</v>
      </c>
      <c r="AT23" s="126">
        <v>0.5684745464513562</v>
      </c>
      <c r="AU23" s="126">
        <v>1.7267948820559683E-10</v>
      </c>
      <c r="AV23" s="126">
        <v>1.3449199710480475E-3</v>
      </c>
      <c r="AW23" s="126">
        <v>8.9399920264114658E-3</v>
      </c>
      <c r="AX23" s="126">
        <v>1.6641009244470411E-12</v>
      </c>
      <c r="AY23" s="126">
        <v>3.0854348992054071E-12</v>
      </c>
      <c r="AZ23" s="126">
        <v>0.65380277935602893</v>
      </c>
      <c r="BA23" s="126">
        <v>8.1746634690850542E-3</v>
      </c>
      <c r="BB23" s="126">
        <v>5.8956250801229251E-2</v>
      </c>
      <c r="BC23" s="126">
        <v>2.2151612013340976E-4</v>
      </c>
      <c r="BD23" s="126">
        <v>5.2406959456503214E-11</v>
      </c>
      <c r="BE23" s="126">
        <v>2.040924474743416E-3</v>
      </c>
      <c r="BF23" s="126">
        <v>1.5468840721854835E-16</v>
      </c>
      <c r="BG23" s="126">
        <v>2.5337772566118464E-3</v>
      </c>
      <c r="BH23" s="126">
        <v>4.7125424512813097E-2</v>
      </c>
      <c r="BI23" s="126">
        <v>2.8804794314955814E-6</v>
      </c>
      <c r="BJ23" s="126">
        <v>0.38759338369333096</v>
      </c>
      <c r="BK23" s="126">
        <v>1.1239306506631803E-2</v>
      </c>
      <c r="BL23" s="126">
        <v>0.3299337979268297</v>
      </c>
      <c r="BM23" s="126">
        <v>1.2356626275733709E-7</v>
      </c>
      <c r="BN23" s="126">
        <v>0.99727300866234869</v>
      </c>
      <c r="BO23" s="126">
        <v>0.15341886958655049</v>
      </c>
      <c r="BP23" s="126">
        <v>1.1301735340768547E-4</v>
      </c>
      <c r="BQ23" s="126">
        <v>2.221160571969518E-6</v>
      </c>
      <c r="BR23" s="126">
        <v>2.5204776929207276E-6</v>
      </c>
      <c r="BS23" s="126">
        <v>0.30381010824488619</v>
      </c>
      <c r="BT23" s="126">
        <v>3.5947808799501817E-6</v>
      </c>
      <c r="BU23" s="126">
        <v>0.56573416611650673</v>
      </c>
      <c r="BV23" s="126">
        <v>3.1228142959733312E-10</v>
      </c>
      <c r="BW23" s="126">
        <v>1.6225399581535717E-2</v>
      </c>
      <c r="BX23" s="126">
        <v>0.32526443598612825</v>
      </c>
      <c r="BY23" s="126">
        <v>8.33771094987492E-9</v>
      </c>
      <c r="BZ23" s="126">
        <v>6.912173591079677E-19</v>
      </c>
      <c r="CA23" s="126">
        <v>3.8697695987896844E-5</v>
      </c>
      <c r="CB23" s="126">
        <v>0.41532143413928169</v>
      </c>
      <c r="CC23" s="126">
        <v>0.8879758374916753</v>
      </c>
      <c r="CD23" s="126">
        <v>2.4538619205628683E-4</v>
      </c>
      <c r="CE23" s="126">
        <v>2.1590075375287748E-6</v>
      </c>
      <c r="CF23" s="126">
        <v>1.0792001756714002E-5</v>
      </c>
      <c r="CG23" s="126">
        <v>1.2561901176251535E-2</v>
      </c>
      <c r="CH23" s="126">
        <v>1.7340105554808209E-4</v>
      </c>
      <c r="CI23" s="126">
        <v>0.6592233491428372</v>
      </c>
      <c r="CJ23" s="126">
        <v>0.4291863188555809</v>
      </c>
      <c r="CK23" s="126">
        <v>7.0703765874035993E-7</v>
      </c>
      <c r="CL23" s="126">
        <v>3.361908261334491E-9</v>
      </c>
      <c r="CM23" s="126">
        <v>2.1517097453565821E-5</v>
      </c>
      <c r="CN23" s="126">
        <v>7.6007556295165414E-13</v>
      </c>
      <c r="CO23" s="126">
        <v>0.46842059941889413</v>
      </c>
      <c r="CP23" s="126">
        <v>0.22863036399470293</v>
      </c>
      <c r="CQ23" s="126">
        <v>3.0373398310353704E-2</v>
      </c>
      <c r="CR23" s="126">
        <v>0.35034184793964396</v>
      </c>
      <c r="CS23" s="126">
        <v>5.4551325509669367E-3</v>
      </c>
      <c r="CT23" s="126">
        <v>0.51109963095445621</v>
      </c>
      <c r="CU23" s="126">
        <v>7.8697917951348659E-2</v>
      </c>
      <c r="CV23" s="126">
        <v>0.23367589435059066</v>
      </c>
      <c r="CW23" s="126">
        <v>2.5789043849620486E-2</v>
      </c>
      <c r="CX23" s="126">
        <v>4.5006954730909113E-2</v>
      </c>
    </row>
    <row r="24" spans="1:102" s="95" customFormat="1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96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6" spans="1:102" s="10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303" t="s">
        <v>131</v>
      </c>
      <c r="B27" s="30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</row>
    <row r="28" spans="1:102">
      <c r="A28" s="308" t="str">
        <f t="shared" ref="A28:A37" si="0">A4</f>
        <v>Nominale matching</v>
      </c>
      <c r="B28" s="309"/>
      <c r="C28" s="97">
        <v>9.9999999999999978E-2</v>
      </c>
      <c r="D28" s="97">
        <v>9.9999999999999978E-2</v>
      </c>
      <c r="E28" s="97">
        <v>9.9999999999999978E-2</v>
      </c>
      <c r="F28" s="97">
        <v>9.9999999999999978E-2</v>
      </c>
      <c r="G28" s="97">
        <v>9.9999999999999978E-2</v>
      </c>
      <c r="H28" s="97">
        <v>9.9999999999999978E-2</v>
      </c>
      <c r="I28" s="97">
        <v>9.9999999999999978E-2</v>
      </c>
      <c r="J28" s="97">
        <v>9.9999999999999978E-2</v>
      </c>
      <c r="K28" s="97">
        <v>9.9999999999999978E-2</v>
      </c>
      <c r="L28" s="97">
        <v>9.9999999999999978E-2</v>
      </c>
      <c r="M28" s="97">
        <v>9.9999999999999978E-2</v>
      </c>
      <c r="N28" s="97">
        <v>9.9999999999999978E-2</v>
      </c>
      <c r="O28" s="97">
        <v>9.9999999999999978E-2</v>
      </c>
      <c r="P28" s="97">
        <v>9.9999999999999978E-2</v>
      </c>
      <c r="Q28" s="97">
        <v>9.9999999999999978E-2</v>
      </c>
      <c r="R28" s="97">
        <v>9.9999999999999978E-2</v>
      </c>
      <c r="S28" s="97">
        <v>9.9999999999999978E-2</v>
      </c>
      <c r="T28" s="97">
        <v>9.9999999999999978E-2</v>
      </c>
      <c r="U28" s="97">
        <v>9.9999999999999978E-2</v>
      </c>
      <c r="V28" s="97">
        <v>9.9999999999999978E-2</v>
      </c>
      <c r="W28" s="97">
        <v>9.9999999999999978E-2</v>
      </c>
      <c r="X28" s="97">
        <v>9.9999999999999978E-2</v>
      </c>
      <c r="Y28" s="97">
        <v>9.9999999999999978E-2</v>
      </c>
      <c r="Z28" s="97">
        <v>9.9999999999999978E-2</v>
      </c>
      <c r="AA28" s="97">
        <v>9.9999999999999978E-2</v>
      </c>
      <c r="AB28" s="97">
        <v>9.9999999999999978E-2</v>
      </c>
      <c r="AC28" s="97">
        <v>9.9999999999999978E-2</v>
      </c>
      <c r="AD28" s="97">
        <v>9.9999999999999978E-2</v>
      </c>
      <c r="AE28" s="97">
        <v>9.9999999999999978E-2</v>
      </c>
      <c r="AF28" s="97">
        <v>9.9999999999999978E-2</v>
      </c>
      <c r="AG28" s="97">
        <v>9.9999999999999978E-2</v>
      </c>
      <c r="AH28" s="97">
        <v>9.9999999999999978E-2</v>
      </c>
      <c r="AI28" s="97">
        <v>9.9999999999999978E-2</v>
      </c>
      <c r="AJ28" s="97">
        <v>9.9999999999999978E-2</v>
      </c>
      <c r="AK28" s="97">
        <v>9.9999999999999978E-2</v>
      </c>
      <c r="AL28" s="97">
        <v>9.9999999999999978E-2</v>
      </c>
      <c r="AM28" s="97">
        <v>9.9999999999999978E-2</v>
      </c>
      <c r="AN28" s="97">
        <v>9.9999999999999978E-2</v>
      </c>
      <c r="AO28" s="97">
        <v>9.9999999999999978E-2</v>
      </c>
      <c r="AP28" s="97">
        <v>9.9999999999999978E-2</v>
      </c>
      <c r="AQ28" s="97">
        <v>9.9999999999999978E-2</v>
      </c>
      <c r="AR28" s="97">
        <v>9.9999999999999978E-2</v>
      </c>
      <c r="AS28" s="97">
        <v>9.9999999999999978E-2</v>
      </c>
      <c r="AT28" s="97">
        <v>9.9999999999999978E-2</v>
      </c>
      <c r="AU28" s="97">
        <v>9.9999999999999978E-2</v>
      </c>
      <c r="AV28" s="97">
        <v>9.9999999999999978E-2</v>
      </c>
      <c r="AW28" s="97">
        <v>9.9999999999999978E-2</v>
      </c>
      <c r="AX28" s="97">
        <v>9.9999999999999978E-2</v>
      </c>
      <c r="AY28" s="97">
        <v>9.9999999999999978E-2</v>
      </c>
      <c r="AZ28" s="97">
        <v>9.9999999999999978E-2</v>
      </c>
      <c r="BA28" s="97">
        <v>9.9999999999999978E-2</v>
      </c>
      <c r="BB28" s="97">
        <v>9.9999999999999978E-2</v>
      </c>
      <c r="BC28" s="97">
        <v>9.9999999999999978E-2</v>
      </c>
      <c r="BD28" s="97">
        <v>9.9999999999999978E-2</v>
      </c>
      <c r="BE28" s="97">
        <v>9.9999999999999978E-2</v>
      </c>
      <c r="BF28" s="97">
        <v>9.9999999999999978E-2</v>
      </c>
      <c r="BG28" s="97">
        <v>9.9999999999999978E-2</v>
      </c>
      <c r="BH28" s="97">
        <v>9.9999999999999978E-2</v>
      </c>
      <c r="BI28" s="97">
        <v>9.9999999999999978E-2</v>
      </c>
      <c r="BJ28" s="97">
        <v>9.9999999999999978E-2</v>
      </c>
      <c r="BK28" s="97">
        <v>9.9999999999999978E-2</v>
      </c>
      <c r="BL28" s="97">
        <v>9.9999999999999978E-2</v>
      </c>
      <c r="BM28" s="97">
        <v>9.9999999999999978E-2</v>
      </c>
      <c r="BN28" s="97">
        <v>9.9999999999999978E-2</v>
      </c>
      <c r="BO28" s="97">
        <v>9.9999999999999978E-2</v>
      </c>
      <c r="BP28" s="97">
        <v>9.9999999999999978E-2</v>
      </c>
      <c r="BQ28" s="97">
        <v>9.9999999999999978E-2</v>
      </c>
      <c r="BR28" s="97">
        <v>9.9999999999999978E-2</v>
      </c>
      <c r="BS28" s="97">
        <v>9.9999999999999978E-2</v>
      </c>
      <c r="BT28" s="97">
        <v>9.9999999999999978E-2</v>
      </c>
      <c r="BU28" s="97">
        <v>9.9999999999999978E-2</v>
      </c>
      <c r="BV28" s="97">
        <v>9.9999999999999978E-2</v>
      </c>
      <c r="BW28" s="97">
        <v>9.9999999999999978E-2</v>
      </c>
      <c r="BX28" s="97">
        <v>9.9999999999999978E-2</v>
      </c>
      <c r="BY28" s="97">
        <v>9.9999999999999978E-2</v>
      </c>
      <c r="BZ28" s="97">
        <v>9.9999999999999978E-2</v>
      </c>
      <c r="CA28" s="97">
        <v>9.9999999999999978E-2</v>
      </c>
      <c r="CB28" s="97">
        <v>9.9999999999999978E-2</v>
      </c>
      <c r="CC28" s="97">
        <v>9.9999999999999978E-2</v>
      </c>
      <c r="CD28" s="97">
        <v>9.9999999999999978E-2</v>
      </c>
      <c r="CE28" s="97">
        <v>9.9999999999999978E-2</v>
      </c>
      <c r="CF28" s="97">
        <v>9.9999999999999978E-2</v>
      </c>
      <c r="CG28" s="97">
        <v>9.9999999999999978E-2</v>
      </c>
      <c r="CH28" s="97">
        <v>9.9999999999999978E-2</v>
      </c>
      <c r="CI28" s="97">
        <v>9.9999999999999978E-2</v>
      </c>
      <c r="CJ28" s="97">
        <v>9.9999999999999978E-2</v>
      </c>
      <c r="CK28" s="97">
        <v>9.9999999999999978E-2</v>
      </c>
      <c r="CL28" s="97">
        <v>9.9999999999999978E-2</v>
      </c>
      <c r="CM28" s="97">
        <v>9.9999999999999978E-2</v>
      </c>
      <c r="CN28" s="97">
        <v>9.9999999999999978E-2</v>
      </c>
      <c r="CO28" s="97">
        <v>9.9999999999999978E-2</v>
      </c>
      <c r="CP28" s="97">
        <v>9.9999999999999978E-2</v>
      </c>
      <c r="CQ28" s="97">
        <v>9.9999999999999978E-2</v>
      </c>
      <c r="CR28" s="97">
        <v>9.9999999999999978E-2</v>
      </c>
      <c r="CS28" s="97">
        <v>9.9999999999999978E-2</v>
      </c>
      <c r="CT28" s="97">
        <v>9.9999999999999978E-2</v>
      </c>
      <c r="CU28" s="97">
        <v>9.9999999999999978E-2</v>
      </c>
      <c r="CV28" s="97">
        <v>9.9999999999999978E-2</v>
      </c>
      <c r="CW28" s="97">
        <v>9.9999999999999978E-2</v>
      </c>
      <c r="CX28" s="97">
        <v>9.9999999999999978E-2</v>
      </c>
    </row>
    <row r="29" spans="1:102" s="111" customFormat="1">
      <c r="A29" s="306" t="str">
        <f t="shared" si="0"/>
        <v>Reele matching</v>
      </c>
      <c r="B29" s="307"/>
      <c r="C29" s="97">
        <v>29.298844938313184</v>
      </c>
      <c r="D29" s="97">
        <v>0.75261037117502361</v>
      </c>
      <c r="E29" s="97">
        <v>0.38121888558758299</v>
      </c>
      <c r="F29" s="97">
        <v>0.35779624907299651</v>
      </c>
      <c r="G29" s="97">
        <v>0.40276505527467832</v>
      </c>
      <c r="H29" s="97">
        <v>0.24473984653022232</v>
      </c>
      <c r="I29" s="97">
        <v>0.20821871859522756</v>
      </c>
      <c r="J29" s="97">
        <v>0.20610145092450458</v>
      </c>
      <c r="K29" s="97">
        <v>0.18550069637261329</v>
      </c>
      <c r="L29" s="97">
        <v>0.22853039320113858</v>
      </c>
      <c r="M29" s="97">
        <v>0.20504369139888143</v>
      </c>
      <c r="N29" s="97">
        <v>0.19913243740604536</v>
      </c>
      <c r="O29" s="97">
        <v>0.34524997069587537</v>
      </c>
      <c r="P29" s="97">
        <v>0.25258700782845822</v>
      </c>
      <c r="Q29" s="97">
        <v>0.43988439419631992</v>
      </c>
      <c r="R29" s="97">
        <v>0.18810794249470475</v>
      </c>
      <c r="S29" s="97">
        <v>0.21182626304794111</v>
      </c>
      <c r="T29" s="97">
        <v>0.4595076192419526</v>
      </c>
      <c r="U29" s="97">
        <v>0.1838137839944978</v>
      </c>
      <c r="V29" s="97">
        <v>0.22055091173319219</v>
      </c>
      <c r="W29" s="97">
        <v>0.19023096863940619</v>
      </c>
      <c r="X29" s="97">
        <v>0.17622769061272348</v>
      </c>
      <c r="Y29" s="97">
        <v>0.20135221946630272</v>
      </c>
      <c r="Z29" s="97">
        <v>0.15035604889529311</v>
      </c>
      <c r="AA29" s="97">
        <v>0.20326863147980084</v>
      </c>
      <c r="AB29" s="97">
        <v>0.14520484207007767</v>
      </c>
      <c r="AC29" s="97">
        <v>0.225217007074309</v>
      </c>
      <c r="AD29" s="97">
        <v>0.15491229055890082</v>
      </c>
      <c r="AE29" s="97">
        <v>0.14742035591381247</v>
      </c>
      <c r="AF29" s="97">
        <v>0.14118645656596335</v>
      </c>
      <c r="AG29" s="97">
        <v>0.2926693079124349</v>
      </c>
      <c r="AH29" s="97">
        <v>0.25728954792283265</v>
      </c>
      <c r="AI29" s="97">
        <v>0.16382999527397227</v>
      </c>
      <c r="AJ29" s="97">
        <v>0.19028445806448116</v>
      </c>
      <c r="AK29" s="97">
        <v>0.25343556848922422</v>
      </c>
      <c r="AL29" s="97">
        <v>0.14817064031563482</v>
      </c>
      <c r="AM29" s="97">
        <v>0.1555428206888485</v>
      </c>
      <c r="AN29" s="97">
        <v>0.15620507553999713</v>
      </c>
      <c r="AO29" s="97">
        <v>0.22206206034754075</v>
      </c>
      <c r="AP29" s="97">
        <v>0.15424141297753483</v>
      </c>
      <c r="AQ29" s="97">
        <v>0.12709251323615192</v>
      </c>
      <c r="AR29" s="97">
        <v>0.13242077855797846</v>
      </c>
      <c r="AS29" s="97">
        <v>0.13520030363302896</v>
      </c>
      <c r="AT29" s="97">
        <v>0.2165654640725202</v>
      </c>
      <c r="AU29" s="97">
        <v>0.15730756889762043</v>
      </c>
      <c r="AV29" s="97">
        <v>0.12686272667749468</v>
      </c>
      <c r="AW29" s="97">
        <v>0.12908304915117588</v>
      </c>
      <c r="AX29" s="97">
        <v>0.12138893078968593</v>
      </c>
      <c r="AY29" s="97">
        <v>0.19382063888643947</v>
      </c>
      <c r="AZ29" s="97">
        <v>0.19544001070161632</v>
      </c>
      <c r="BA29" s="97">
        <v>0.14813937983911202</v>
      </c>
      <c r="BB29" s="97">
        <v>0.21548745761875618</v>
      </c>
      <c r="BC29" s="97">
        <v>0.11811793019700659</v>
      </c>
      <c r="BD29" s="97">
        <v>0.11810571810551851</v>
      </c>
      <c r="BE29" s="97">
        <v>0.13923313714904514</v>
      </c>
      <c r="BF29" s="97">
        <v>0.12138601971287091</v>
      </c>
      <c r="BG29" s="97">
        <v>0.12238734104283308</v>
      </c>
      <c r="BH29" s="97">
        <v>0.12370373677447349</v>
      </c>
      <c r="BI29" s="97">
        <v>0.12145115841271488</v>
      </c>
      <c r="BJ29" s="97">
        <v>0.11953854670583017</v>
      </c>
      <c r="BK29" s="97">
        <v>0.12221233159091102</v>
      </c>
      <c r="BL29" s="97">
        <v>0.12211084668171594</v>
      </c>
      <c r="BM29" s="97">
        <v>0.1472454813457672</v>
      </c>
      <c r="BN29" s="97">
        <v>0.12135123725205564</v>
      </c>
      <c r="BO29" s="97">
        <v>0.11456158868376624</v>
      </c>
      <c r="BP29" s="97">
        <v>0.13645240192791164</v>
      </c>
      <c r="BQ29" s="97">
        <v>0.11295738269178066</v>
      </c>
      <c r="BR29" s="97">
        <v>0.12425649619007795</v>
      </c>
      <c r="BS29" s="97">
        <v>0.15452275800820156</v>
      </c>
      <c r="BT29" s="97">
        <v>0.11840919971137912</v>
      </c>
      <c r="BU29" s="97">
        <v>0.12850742733653278</v>
      </c>
      <c r="BV29" s="97">
        <v>0.11162550197682385</v>
      </c>
      <c r="BW29" s="97">
        <v>0.1117842813478334</v>
      </c>
      <c r="BX29" s="97">
        <v>0.13250462170223126</v>
      </c>
      <c r="BY29" s="97">
        <v>0.11184985359721494</v>
      </c>
      <c r="BZ29" s="97">
        <v>0.11254253287374866</v>
      </c>
      <c r="CA29" s="97">
        <v>0.11082550784733246</v>
      </c>
      <c r="CB29" s="97">
        <v>0.11366684342498058</v>
      </c>
      <c r="CC29" s="97">
        <v>0.11551615789521982</v>
      </c>
      <c r="CD29" s="97">
        <v>0.12291848833273934</v>
      </c>
      <c r="CE29" s="97">
        <v>0.13381839620852731</v>
      </c>
      <c r="CF29" s="97">
        <v>0.11282430100140742</v>
      </c>
      <c r="CG29" s="97">
        <v>0.11084267500981272</v>
      </c>
      <c r="CH29" s="97">
        <v>0.11214346552145604</v>
      </c>
      <c r="CI29" s="97">
        <v>0.11247979223138928</v>
      </c>
      <c r="CJ29" s="97">
        <v>0.13786910846876432</v>
      </c>
      <c r="CK29" s="97">
        <v>0.13919012145218856</v>
      </c>
      <c r="CL29" s="97">
        <v>0.10881005318601535</v>
      </c>
      <c r="CM29" s="97">
        <v>0.12740726240395397</v>
      </c>
      <c r="CN29" s="97">
        <v>0.10665749309752659</v>
      </c>
      <c r="CO29" s="97">
        <v>0.1117311153855631</v>
      </c>
      <c r="CP29" s="97">
        <v>0.11215549210485824</v>
      </c>
      <c r="CQ29" s="97">
        <v>0.12447980487414254</v>
      </c>
      <c r="CR29" s="97">
        <v>0.11126971967858498</v>
      </c>
      <c r="CS29" s="97">
        <v>0.1069610516775469</v>
      </c>
      <c r="CT29" s="97">
        <v>0.10901622680164909</v>
      </c>
      <c r="CU29" s="97">
        <v>0.10734001960391498</v>
      </c>
      <c r="CV29" s="97">
        <v>0.12295369421145286</v>
      </c>
      <c r="CW29" s="97">
        <v>0.11110385756562283</v>
      </c>
      <c r="CX29" s="97">
        <v>0.12234205190113623</v>
      </c>
    </row>
    <row r="30" spans="1:102" s="95" customFormat="1">
      <c r="A30" s="306" t="str">
        <f t="shared" si="0"/>
        <v>Credits</v>
      </c>
      <c r="B30" s="307"/>
      <c r="C30" s="97">
        <v>24.254435261998371</v>
      </c>
      <c r="D30" s="97">
        <v>3.0302329660767087</v>
      </c>
      <c r="E30" s="97">
        <v>1.3331084734092236</v>
      </c>
      <c r="F30" s="97">
        <v>1.1880689655237009</v>
      </c>
      <c r="G30" s="97">
        <v>1.2668974730815439</v>
      </c>
      <c r="H30" s="97">
        <v>0.7756035473407904</v>
      </c>
      <c r="I30" s="97">
        <v>0.56795521930219817</v>
      </c>
      <c r="J30" s="97">
        <v>0.74230849340099503</v>
      </c>
      <c r="K30" s="97">
        <v>0.47559024593209731</v>
      </c>
      <c r="L30" s="97">
        <v>0.57502023419821469</v>
      </c>
      <c r="M30" s="97">
        <v>0.54213241263004908</v>
      </c>
      <c r="N30" s="97">
        <v>0.53222013034671267</v>
      </c>
      <c r="O30" s="97">
        <v>0.63674285902816896</v>
      </c>
      <c r="P30" s="97">
        <v>0.70528344197388837</v>
      </c>
      <c r="Q30" s="97">
        <v>0.8949519316465846</v>
      </c>
      <c r="R30" s="97">
        <v>0.50425592084262272</v>
      </c>
      <c r="S30" s="97">
        <v>0.50760251774515308</v>
      </c>
      <c r="T30" s="97">
        <v>0.70644149563373326</v>
      </c>
      <c r="U30" s="97">
        <v>0.54649852995807602</v>
      </c>
      <c r="V30" s="97">
        <v>0.54444208137937289</v>
      </c>
      <c r="W30" s="97">
        <v>0.4841131150367175</v>
      </c>
      <c r="X30" s="97">
        <v>0.42481096456259321</v>
      </c>
      <c r="Y30" s="97">
        <v>0.50682045995959224</v>
      </c>
      <c r="Z30" s="97">
        <v>0.32120616910111555</v>
      </c>
      <c r="AA30" s="97">
        <v>0.51588039806770092</v>
      </c>
      <c r="AB30" s="97">
        <v>0.29529966241307953</v>
      </c>
      <c r="AC30" s="97">
        <v>0.46144567591828273</v>
      </c>
      <c r="AD30" s="97">
        <v>0.35719441885145831</v>
      </c>
      <c r="AE30" s="97">
        <v>0.30913752225808022</v>
      </c>
      <c r="AF30" s="97">
        <v>0.28102206960820475</v>
      </c>
      <c r="AG30" s="97">
        <v>0.34741556674927732</v>
      </c>
      <c r="AH30" s="97">
        <v>0.5144362948664658</v>
      </c>
      <c r="AI30" s="97">
        <v>0.33708050216913127</v>
      </c>
      <c r="AJ30" s="97">
        <v>0.39010152230448902</v>
      </c>
      <c r="AK30" s="97">
        <v>0.25532486639739815</v>
      </c>
      <c r="AL30" s="97">
        <v>0.35006881069718476</v>
      </c>
      <c r="AM30" s="97">
        <v>0.33864140341298149</v>
      </c>
      <c r="AN30" s="97">
        <v>0.32927359967460468</v>
      </c>
      <c r="AO30" s="97">
        <v>0.254473278653363</v>
      </c>
      <c r="AP30" s="97">
        <v>0.30983275372104807</v>
      </c>
      <c r="AQ30" s="97">
        <v>0.23647010228637214</v>
      </c>
      <c r="AR30" s="97">
        <v>0.23439864436348098</v>
      </c>
      <c r="AS30" s="97">
        <v>0.24408450457612491</v>
      </c>
      <c r="AT30" s="97">
        <v>0.18925529135522079</v>
      </c>
      <c r="AU30" s="97">
        <v>0.29339574914185484</v>
      </c>
      <c r="AV30" s="97">
        <v>0.21794797531245483</v>
      </c>
      <c r="AW30" s="97">
        <v>0.2461456246261397</v>
      </c>
      <c r="AX30" s="97">
        <v>0.19344330012566069</v>
      </c>
      <c r="AY30" s="97">
        <v>0.19508278492170028</v>
      </c>
      <c r="AZ30" s="97">
        <v>0.24333325971015604</v>
      </c>
      <c r="BA30" s="97">
        <v>0.26086692607937501</v>
      </c>
      <c r="BB30" s="97">
        <v>0.32126668253625829</v>
      </c>
      <c r="BC30" s="97">
        <v>0.17927005787835548</v>
      </c>
      <c r="BD30" s="97">
        <v>0.17893789581234443</v>
      </c>
      <c r="BE30" s="97">
        <v>0.25210950337976928</v>
      </c>
      <c r="BF30" s="97">
        <v>0.21535010774640523</v>
      </c>
      <c r="BG30" s="97">
        <v>0.19158769385424826</v>
      </c>
      <c r="BH30" s="97">
        <v>0.19640974486658069</v>
      </c>
      <c r="BI30" s="97">
        <v>0.20481436439098297</v>
      </c>
      <c r="BJ30" s="97">
        <v>0.20623772940783708</v>
      </c>
      <c r="BK30" s="97">
        <v>0.20862717829794961</v>
      </c>
      <c r="BL30" s="97">
        <v>0.21361916026056926</v>
      </c>
      <c r="BM30" s="97">
        <v>0.20712130862579756</v>
      </c>
      <c r="BN30" s="97">
        <v>0.21174622647828339</v>
      </c>
      <c r="BO30" s="97">
        <v>0.16486449963048355</v>
      </c>
      <c r="BP30" s="97">
        <v>0.20842970858878035</v>
      </c>
      <c r="BQ30" s="97">
        <v>0.15695947593466669</v>
      </c>
      <c r="BR30" s="97">
        <v>0.19635530688315028</v>
      </c>
      <c r="BS30" s="97">
        <v>0.13360783119966479</v>
      </c>
      <c r="BT30" s="97">
        <v>0.16447640623106963</v>
      </c>
      <c r="BU30" s="97">
        <v>0.20590950245452608</v>
      </c>
      <c r="BV30" s="97">
        <v>0.15103180989989612</v>
      </c>
      <c r="BW30" s="97">
        <v>0.16246507572015403</v>
      </c>
      <c r="BX30" s="97">
        <v>0.19472121720642468</v>
      </c>
      <c r="BY30" s="97">
        <v>0.15537672814965073</v>
      </c>
      <c r="BZ30" s="97">
        <v>0.16005443087138166</v>
      </c>
      <c r="CA30" s="97">
        <v>0.15119194090449747</v>
      </c>
      <c r="CB30" s="97">
        <v>0.16813782880002467</v>
      </c>
      <c r="CC30" s="97">
        <v>0.18198999441109742</v>
      </c>
      <c r="CD30" s="97">
        <v>0.17907763220934783</v>
      </c>
      <c r="CE30" s="97">
        <v>0.18551632417592351</v>
      </c>
      <c r="CF30" s="97">
        <v>0.15139235701736509</v>
      </c>
      <c r="CG30" s="97">
        <v>0.15209572016521539</v>
      </c>
      <c r="CH30" s="97">
        <v>0.14256880014806611</v>
      </c>
      <c r="CI30" s="97">
        <v>0.16119013892688419</v>
      </c>
      <c r="CJ30" s="97">
        <v>0.16085287605625237</v>
      </c>
      <c r="CK30" s="97">
        <v>0.14112521287635946</v>
      </c>
      <c r="CL30" s="97">
        <v>0.14073756421593356</v>
      </c>
      <c r="CM30" s="97">
        <v>0.13858901893657738</v>
      </c>
      <c r="CN30" s="97">
        <v>0.12966466257751708</v>
      </c>
      <c r="CO30" s="97">
        <v>0.15050976594534582</v>
      </c>
      <c r="CP30" s="97">
        <v>0.15372273201582731</v>
      </c>
      <c r="CQ30" s="97">
        <v>0.13768453839253755</v>
      </c>
      <c r="CR30" s="97">
        <v>0.14938981493499498</v>
      </c>
      <c r="CS30" s="97">
        <v>0.13428093035202396</v>
      </c>
      <c r="CT30" s="97">
        <v>0.14317164077217231</v>
      </c>
      <c r="CU30" s="97">
        <v>0.13256202852936166</v>
      </c>
      <c r="CV30" s="97">
        <v>0.11435432382165649</v>
      </c>
      <c r="CW30" s="97">
        <v>0.13502914367746052</v>
      </c>
      <c r="CX30" s="97">
        <v>0.11692405578546072</v>
      </c>
    </row>
    <row r="31" spans="1:102" s="95" customFormat="1">
      <c r="A31" s="306" t="str">
        <f t="shared" si="0"/>
        <v>High Yield</v>
      </c>
      <c r="B31" s="307"/>
      <c r="C31" s="97">
        <v>51.809740394926123</v>
      </c>
      <c r="D31" s="97">
        <v>5.913395948573541</v>
      </c>
      <c r="E31" s="97">
        <v>2.6997266518061966</v>
      </c>
      <c r="F31" s="97">
        <v>2.3700244574862706</v>
      </c>
      <c r="G31" s="97">
        <v>2.3931186538307374</v>
      </c>
      <c r="H31" s="97">
        <v>1.4710473543234746</v>
      </c>
      <c r="I31" s="97">
        <v>1.0875439373798261</v>
      </c>
      <c r="J31" s="97">
        <v>1.4127181898404615</v>
      </c>
      <c r="K31" s="97">
        <v>0.88482422871206257</v>
      </c>
      <c r="L31" s="97">
        <v>1.0789034743983819</v>
      </c>
      <c r="M31" s="97">
        <v>1.0186615709638187</v>
      </c>
      <c r="N31" s="97">
        <v>0.98598308456716532</v>
      </c>
      <c r="O31" s="97">
        <v>1.1975650828650219</v>
      </c>
      <c r="P31" s="97">
        <v>1.2753228227754674</v>
      </c>
      <c r="Q31" s="97">
        <v>1.5518422643180467</v>
      </c>
      <c r="R31" s="97">
        <v>0.91727656442686878</v>
      </c>
      <c r="S31" s="97">
        <v>0.93244009323556953</v>
      </c>
      <c r="T31" s="97">
        <v>1.2112196299678795</v>
      </c>
      <c r="U31" s="97">
        <v>0.95019023383622514</v>
      </c>
      <c r="V31" s="97">
        <v>0.96809103209886782</v>
      </c>
      <c r="W31" s="97">
        <v>0.87936555134788097</v>
      </c>
      <c r="X31" s="97">
        <v>0.75750521665115866</v>
      </c>
      <c r="Y31" s="97">
        <v>0.90925104857842143</v>
      </c>
      <c r="Z31" s="97">
        <v>0.56572474156176</v>
      </c>
      <c r="AA31" s="97">
        <v>0.90682811422561382</v>
      </c>
      <c r="AB31" s="97">
        <v>0.5115032662176805</v>
      </c>
      <c r="AC31" s="97">
        <v>0.80952071594863939</v>
      </c>
      <c r="AD31" s="97">
        <v>0.62451098434485119</v>
      </c>
      <c r="AE31" s="97">
        <v>0.53411324737304222</v>
      </c>
      <c r="AF31" s="97">
        <v>0.47770980834054605</v>
      </c>
      <c r="AG31" s="97">
        <v>0.60468698274691735</v>
      </c>
      <c r="AH31" s="97">
        <v>0.88948678217019772</v>
      </c>
      <c r="AI31" s="97">
        <v>0.58600766498974277</v>
      </c>
      <c r="AJ31" s="97">
        <v>0.66152846905973406</v>
      </c>
      <c r="AK31" s="97">
        <v>0.41965862958811356</v>
      </c>
      <c r="AL31" s="97">
        <v>0.57638514506921368</v>
      </c>
      <c r="AM31" s="97">
        <v>0.56915397529106815</v>
      </c>
      <c r="AN31" s="97">
        <v>0.55286419674091292</v>
      </c>
      <c r="AO31" s="97">
        <v>0.4277551863794854</v>
      </c>
      <c r="AP31" s="97">
        <v>0.50620024519498985</v>
      </c>
      <c r="AQ31" s="97">
        <v>0.38163935540341609</v>
      </c>
      <c r="AR31" s="97">
        <v>0.37744803647434472</v>
      </c>
      <c r="AS31" s="97">
        <v>0.39840700402727197</v>
      </c>
      <c r="AT31" s="97">
        <v>0.28791565415260711</v>
      </c>
      <c r="AU31" s="97">
        <v>0.4857939614076428</v>
      </c>
      <c r="AV31" s="97">
        <v>0.34581629285551913</v>
      </c>
      <c r="AW31" s="97">
        <v>0.39603100224909088</v>
      </c>
      <c r="AX31" s="97">
        <v>0.29737791426773086</v>
      </c>
      <c r="AY31" s="97">
        <v>0.30313768568316352</v>
      </c>
      <c r="AZ31" s="97">
        <v>0.39207604750049546</v>
      </c>
      <c r="BA31" s="97">
        <v>0.41994864713341118</v>
      </c>
      <c r="BB31" s="97">
        <v>0.51335188699411194</v>
      </c>
      <c r="BC31" s="97">
        <v>0.26707269324784999</v>
      </c>
      <c r="BD31" s="97">
        <v>0.26648414752010685</v>
      </c>
      <c r="BE31" s="97">
        <v>0.39739151373158199</v>
      </c>
      <c r="BF31" s="97">
        <v>0.33442482586290867</v>
      </c>
      <c r="BG31" s="97">
        <v>0.28950419885845546</v>
      </c>
      <c r="BH31" s="97">
        <v>0.29809180551967118</v>
      </c>
      <c r="BI31" s="97">
        <v>0.31003397401077426</v>
      </c>
      <c r="BJ31" s="97">
        <v>0.30966066351699084</v>
      </c>
      <c r="BK31" s="97">
        <v>0.31876106106491331</v>
      </c>
      <c r="BL31" s="97">
        <v>0.32247322605078849</v>
      </c>
      <c r="BM31" s="97">
        <v>0.31843799470330192</v>
      </c>
      <c r="BN31" s="97">
        <v>0.31214921262516426</v>
      </c>
      <c r="BO31" s="97">
        <v>0.23494098176477626</v>
      </c>
      <c r="BP31" s="97">
        <v>0.3213270853607415</v>
      </c>
      <c r="BQ31" s="97">
        <v>0.2189363254868511</v>
      </c>
      <c r="BR31" s="97">
        <v>0.28970129198669486</v>
      </c>
      <c r="BS31" s="97">
        <v>0.17306530658325037</v>
      </c>
      <c r="BT31" s="97">
        <v>0.23500122816362329</v>
      </c>
      <c r="BU31" s="97">
        <v>0.30392308094785647</v>
      </c>
      <c r="BV31" s="97">
        <v>0.20677589135844815</v>
      </c>
      <c r="BW31" s="97">
        <v>0.22846932597818873</v>
      </c>
      <c r="BX31" s="97">
        <v>0.28615872934311493</v>
      </c>
      <c r="BY31" s="97">
        <v>0.21492648135806186</v>
      </c>
      <c r="BZ31" s="97">
        <v>0.2228974601574315</v>
      </c>
      <c r="CA31" s="97">
        <v>0.20696605935967599</v>
      </c>
      <c r="CB31" s="97">
        <v>0.23660812092130984</v>
      </c>
      <c r="CC31" s="97">
        <v>0.25633856670875865</v>
      </c>
      <c r="CD31" s="97">
        <v>0.2579745479652088</v>
      </c>
      <c r="CE31" s="97">
        <v>0.26809138352797957</v>
      </c>
      <c r="CF31" s="97">
        <v>0.20563952617415859</v>
      </c>
      <c r="CG31" s="97">
        <v>0.20686447687142545</v>
      </c>
      <c r="CH31" s="97">
        <v>0.18928370715371506</v>
      </c>
      <c r="CI31" s="97">
        <v>0.22057458782624895</v>
      </c>
      <c r="CJ31" s="97">
        <v>0.22447327489825292</v>
      </c>
      <c r="CK31" s="97">
        <v>0.18464122655253096</v>
      </c>
      <c r="CL31" s="97">
        <v>0.18402201705996257</v>
      </c>
      <c r="CM31" s="97">
        <v>0.18154066730939081</v>
      </c>
      <c r="CN31" s="97">
        <v>0.16178815531057636</v>
      </c>
      <c r="CO31" s="97">
        <v>0.1990725353942096</v>
      </c>
      <c r="CP31" s="97">
        <v>0.20514898835429932</v>
      </c>
      <c r="CQ31" s="97">
        <v>0.17912183186639796</v>
      </c>
      <c r="CR31" s="97">
        <v>0.19570018724480548</v>
      </c>
      <c r="CS31" s="97">
        <v>0.17043601312099199</v>
      </c>
      <c r="CT31" s="97">
        <v>0.18485218290929134</v>
      </c>
      <c r="CU31" s="97">
        <v>0.16640332142215122</v>
      </c>
      <c r="CV31" s="97">
        <v>0.13115922340396807</v>
      </c>
      <c r="CW31" s="97">
        <v>0.17138045976150207</v>
      </c>
      <c r="CX31" s="97">
        <v>0.13612721402885161</v>
      </c>
    </row>
    <row r="32" spans="1:102" s="96" customFormat="1">
      <c r="A32" s="306" t="str">
        <f t="shared" si="0"/>
        <v>Emerging market debt</v>
      </c>
      <c r="B32" s="307"/>
      <c r="C32" s="97">
        <v>25.174380443494687</v>
      </c>
      <c r="D32" s="97">
        <v>3.5912067314237213</v>
      </c>
      <c r="E32" s="97">
        <v>1.6356694267319933</v>
      </c>
      <c r="F32" s="97">
        <v>1.4489156795287967</v>
      </c>
      <c r="G32" s="97">
        <v>1.4642168487107283</v>
      </c>
      <c r="H32" s="97">
        <v>0.92865597919077258</v>
      </c>
      <c r="I32" s="97">
        <v>0.68252401012035446</v>
      </c>
      <c r="J32" s="97">
        <v>0.9181656390424382</v>
      </c>
      <c r="K32" s="97">
        <v>0.56661872919570655</v>
      </c>
      <c r="L32" s="97">
        <v>0.67782052913370483</v>
      </c>
      <c r="M32" s="97">
        <v>0.64459187659222683</v>
      </c>
      <c r="N32" s="97">
        <v>0.62951888491627739</v>
      </c>
      <c r="O32" s="97">
        <v>0.72907303181289962</v>
      </c>
      <c r="P32" s="97">
        <v>0.79662914306160715</v>
      </c>
      <c r="Q32" s="97">
        <v>0.9214361914526179</v>
      </c>
      <c r="R32" s="97">
        <v>0.58922494812462634</v>
      </c>
      <c r="S32" s="97">
        <v>0.58751007047517945</v>
      </c>
      <c r="T32" s="97">
        <v>0.70427835658339222</v>
      </c>
      <c r="U32" s="97">
        <v>0.63273708328399725</v>
      </c>
      <c r="V32" s="97">
        <v>0.61240320388578728</v>
      </c>
      <c r="W32" s="97">
        <v>0.57594257940387961</v>
      </c>
      <c r="X32" s="97">
        <v>0.49586630834380763</v>
      </c>
      <c r="Y32" s="97">
        <v>0.58455496371644267</v>
      </c>
      <c r="Z32" s="97">
        <v>0.37532775578722283</v>
      </c>
      <c r="AA32" s="97">
        <v>0.57979414119613804</v>
      </c>
      <c r="AB32" s="97">
        <v>0.34280189631374319</v>
      </c>
      <c r="AC32" s="97">
        <v>0.51167004947343209</v>
      </c>
      <c r="AD32" s="97">
        <v>0.41285441079561547</v>
      </c>
      <c r="AE32" s="97">
        <v>0.35846524217269177</v>
      </c>
      <c r="AF32" s="97">
        <v>0.32476109381037155</v>
      </c>
      <c r="AG32" s="97">
        <v>0.37446032132424595</v>
      </c>
      <c r="AH32" s="97">
        <v>0.55295199569119902</v>
      </c>
      <c r="AI32" s="97">
        <v>0.38513945856242326</v>
      </c>
      <c r="AJ32" s="97">
        <v>0.42898200657537594</v>
      </c>
      <c r="AK32" s="97">
        <v>0.26187932274866399</v>
      </c>
      <c r="AL32" s="97">
        <v>0.39813855227936978</v>
      </c>
      <c r="AM32" s="97">
        <v>0.38351735820194188</v>
      </c>
      <c r="AN32" s="97">
        <v>0.37196502558969435</v>
      </c>
      <c r="AO32" s="97">
        <v>0.27396347936438942</v>
      </c>
      <c r="AP32" s="97">
        <v>0.34020223231443214</v>
      </c>
      <c r="AQ32" s="97">
        <v>0.27130754730228201</v>
      </c>
      <c r="AR32" s="97">
        <v>0.26467311242857494</v>
      </c>
      <c r="AS32" s="97">
        <v>0.2760624264246867</v>
      </c>
      <c r="AT32" s="97">
        <v>0.18958319888056158</v>
      </c>
      <c r="AU32" s="97">
        <v>0.32585032340818931</v>
      </c>
      <c r="AV32" s="97">
        <v>0.24543827352835706</v>
      </c>
      <c r="AW32" s="97">
        <v>0.27779333398840123</v>
      </c>
      <c r="AX32" s="97">
        <v>0.21645992205500192</v>
      </c>
      <c r="AY32" s="97">
        <v>0.20346268907323767</v>
      </c>
      <c r="AZ32" s="97">
        <v>0.26175941813943926</v>
      </c>
      <c r="BA32" s="97">
        <v>0.28838729682483388</v>
      </c>
      <c r="BB32" s="97">
        <v>0.33170141068341297</v>
      </c>
      <c r="BC32" s="97">
        <v>0.19874047885662899</v>
      </c>
      <c r="BD32" s="97">
        <v>0.19823730084574875</v>
      </c>
      <c r="BE32" s="97">
        <v>0.27611192134800211</v>
      </c>
      <c r="BF32" s="97">
        <v>0.24453343746340309</v>
      </c>
      <c r="BG32" s="97">
        <v>0.21223485021526758</v>
      </c>
      <c r="BH32" s="97">
        <v>0.2176911046896827</v>
      </c>
      <c r="BI32" s="97">
        <v>0.22599943980903078</v>
      </c>
      <c r="BJ32" s="97">
        <v>0.23079006329650478</v>
      </c>
      <c r="BK32" s="97">
        <v>0.23448495408959777</v>
      </c>
      <c r="BL32" s="97">
        <v>0.23829347073233689</v>
      </c>
      <c r="BM32" s="97">
        <v>0.22495109570800093</v>
      </c>
      <c r="BN32" s="97">
        <v>0.23305178149293879</v>
      </c>
      <c r="BO32" s="97">
        <v>0.18027957636799441</v>
      </c>
      <c r="BP32" s="97">
        <v>0.23267400896736565</v>
      </c>
      <c r="BQ32" s="97">
        <v>0.17075360881574725</v>
      </c>
      <c r="BR32" s="97">
        <v>0.21266457083560422</v>
      </c>
      <c r="BS32" s="97">
        <v>0.13221873214938573</v>
      </c>
      <c r="BT32" s="97">
        <v>0.17913648329201595</v>
      </c>
      <c r="BU32" s="97">
        <v>0.22384999954884321</v>
      </c>
      <c r="BV32" s="97">
        <v>0.16342661361742022</v>
      </c>
      <c r="BW32" s="97">
        <v>0.17872742321552021</v>
      </c>
      <c r="BX32" s="97">
        <v>0.20993922870833082</v>
      </c>
      <c r="BY32" s="97">
        <v>0.168508025944795</v>
      </c>
      <c r="BZ32" s="97">
        <v>0.17360594744474511</v>
      </c>
      <c r="CA32" s="97">
        <v>0.16400812224182798</v>
      </c>
      <c r="CB32" s="97">
        <v>0.18355340459861808</v>
      </c>
      <c r="CC32" s="97">
        <v>0.19769341900426618</v>
      </c>
      <c r="CD32" s="97">
        <v>0.19239603769754399</v>
      </c>
      <c r="CE32" s="97">
        <v>0.19670481621227948</v>
      </c>
      <c r="CF32" s="97">
        <v>0.16259811326656862</v>
      </c>
      <c r="CG32" s="97">
        <v>0.16384463786406972</v>
      </c>
      <c r="CH32" s="97">
        <v>0.15242171052710399</v>
      </c>
      <c r="CI32" s="97">
        <v>0.17398723572766156</v>
      </c>
      <c r="CJ32" s="97">
        <v>0.16934682694693731</v>
      </c>
      <c r="CK32" s="97">
        <v>0.1432445341514815</v>
      </c>
      <c r="CL32" s="97">
        <v>0.15045362470513418</v>
      </c>
      <c r="CM32" s="97">
        <v>0.14382588698420204</v>
      </c>
      <c r="CN32" s="97">
        <v>0.13671131703386491</v>
      </c>
      <c r="CO32" s="97">
        <v>0.16025328110316539</v>
      </c>
      <c r="CP32" s="97">
        <v>0.16350813010571091</v>
      </c>
      <c r="CQ32" s="97">
        <v>0.14363749172738152</v>
      </c>
      <c r="CR32" s="97">
        <v>0.15804641895478616</v>
      </c>
      <c r="CS32" s="97">
        <v>0.14228561929859687</v>
      </c>
      <c r="CT32" s="97">
        <v>0.15185484826738746</v>
      </c>
      <c r="CU32" s="97">
        <v>0.13969741840909525</v>
      </c>
      <c r="CV32" s="97">
        <v>0.11381587251752048</v>
      </c>
      <c r="CW32" s="97">
        <v>0.14176064746826511</v>
      </c>
      <c r="CX32" s="97">
        <v>0.11707883961708229</v>
      </c>
    </row>
    <row r="33" spans="1:102" s="111" customFormat="1">
      <c r="A33" s="306" t="str">
        <f t="shared" si="0"/>
        <v>Aandelen ontwikkeld</v>
      </c>
      <c r="B33" s="307"/>
      <c r="C33" s="97">
        <v>43.979587030370816</v>
      </c>
      <c r="D33" s="97">
        <v>5.6185404453659906</v>
      </c>
      <c r="E33" s="97">
        <v>2.4844768513719537</v>
      </c>
      <c r="F33" s="97">
        <v>2.2151174316990141</v>
      </c>
      <c r="G33" s="97">
        <v>2.2730861403016425</v>
      </c>
      <c r="H33" s="97">
        <v>1.3856160877683457</v>
      </c>
      <c r="I33" s="97">
        <v>1.0055449650508446</v>
      </c>
      <c r="J33" s="97">
        <v>1.3273475700054607</v>
      </c>
      <c r="K33" s="97">
        <v>0.83019921989649137</v>
      </c>
      <c r="L33" s="97">
        <v>1.0120166078062827</v>
      </c>
      <c r="M33" s="97">
        <v>0.95592924249153632</v>
      </c>
      <c r="N33" s="97">
        <v>0.92814426464271216</v>
      </c>
      <c r="O33" s="97">
        <v>1.1054284411013762</v>
      </c>
      <c r="P33" s="97">
        <v>1.2092560479387049</v>
      </c>
      <c r="Q33" s="97">
        <v>1.4659848826804343</v>
      </c>
      <c r="R33" s="97">
        <v>0.88041562757326775</v>
      </c>
      <c r="S33" s="97">
        <v>0.8670409182466815</v>
      </c>
      <c r="T33" s="97">
        <v>1.1254211062422481</v>
      </c>
      <c r="U33" s="97">
        <v>0.91144819173482994</v>
      </c>
      <c r="V33" s="97">
        <v>0.91641475524237437</v>
      </c>
      <c r="W33" s="97">
        <v>0.82602193885395325</v>
      </c>
      <c r="X33" s="97">
        <v>0.71781847249690323</v>
      </c>
      <c r="Y33" s="97">
        <v>0.85631346329659597</v>
      </c>
      <c r="Z33" s="97">
        <v>0.52855624609416552</v>
      </c>
      <c r="AA33" s="97">
        <v>0.8618166295979246</v>
      </c>
      <c r="AB33" s="97">
        <v>0.47763405844731815</v>
      </c>
      <c r="AC33" s="97">
        <v>0.76043793971730433</v>
      </c>
      <c r="AD33" s="97">
        <v>0.5942850252623797</v>
      </c>
      <c r="AE33" s="97">
        <v>0.50034796381725721</v>
      </c>
      <c r="AF33" s="97">
        <v>0.45202820729781995</v>
      </c>
      <c r="AG33" s="97">
        <v>0.54877981909599027</v>
      </c>
      <c r="AH33" s="97">
        <v>0.83865081983575163</v>
      </c>
      <c r="AI33" s="97">
        <v>0.54769089193472209</v>
      </c>
      <c r="AJ33" s="97">
        <v>0.62738879008399318</v>
      </c>
      <c r="AK33" s="97">
        <v>0.37852451280567795</v>
      </c>
      <c r="AL33" s="97">
        <v>0.5545467324365474</v>
      </c>
      <c r="AM33" s="97">
        <v>0.54022389911952473</v>
      </c>
      <c r="AN33" s="97">
        <v>0.52465083642650012</v>
      </c>
      <c r="AO33" s="97">
        <v>0.38741707299620914</v>
      </c>
      <c r="AP33" s="97">
        <v>0.48266917973855511</v>
      </c>
      <c r="AQ33" s="97">
        <v>0.36300378280647988</v>
      </c>
      <c r="AR33" s="97">
        <v>0.35912896582863496</v>
      </c>
      <c r="AS33" s="97">
        <v>0.37646882443441482</v>
      </c>
      <c r="AT33" s="97">
        <v>0.25829968853287222</v>
      </c>
      <c r="AU33" s="97">
        <v>0.45969054152473543</v>
      </c>
      <c r="AV33" s="97">
        <v>0.32730804744232256</v>
      </c>
      <c r="AW33" s="97">
        <v>0.38223404675372602</v>
      </c>
      <c r="AX33" s="97">
        <v>0.28090563617073905</v>
      </c>
      <c r="AY33" s="97">
        <v>0.27583801889722498</v>
      </c>
      <c r="AZ33" s="97">
        <v>0.36197155207787102</v>
      </c>
      <c r="BA33" s="97">
        <v>0.39872800868630465</v>
      </c>
      <c r="BB33" s="97">
        <v>0.48250278652166945</v>
      </c>
      <c r="BC33" s="97">
        <v>0.25361763866458242</v>
      </c>
      <c r="BD33" s="97">
        <v>0.25266919828552636</v>
      </c>
      <c r="BE33" s="97">
        <v>0.38138533412632836</v>
      </c>
      <c r="BF33" s="97">
        <v>0.32006691395942455</v>
      </c>
      <c r="BG33" s="97">
        <v>0.27587973957430201</v>
      </c>
      <c r="BH33" s="97">
        <v>0.2829171701112505</v>
      </c>
      <c r="BI33" s="97">
        <v>0.30079011203209527</v>
      </c>
      <c r="BJ33" s="97">
        <v>0.29783450148591079</v>
      </c>
      <c r="BK33" s="97">
        <v>0.30456490541678705</v>
      </c>
      <c r="BL33" s="97">
        <v>0.31012122802948672</v>
      </c>
      <c r="BM33" s="97">
        <v>0.30371997092391023</v>
      </c>
      <c r="BN33" s="97">
        <v>0.30254889345291924</v>
      </c>
      <c r="BO33" s="97">
        <v>0.22437526510553424</v>
      </c>
      <c r="BP33" s="97">
        <v>0.30400791923794374</v>
      </c>
      <c r="BQ33" s="97">
        <v>0.2106774818801381</v>
      </c>
      <c r="BR33" s="97">
        <v>0.27775604035858181</v>
      </c>
      <c r="BS33" s="97">
        <v>0.15948948335111987</v>
      </c>
      <c r="BT33" s="97">
        <v>0.22449002113448385</v>
      </c>
      <c r="BU33" s="97">
        <v>0.2926429090316498</v>
      </c>
      <c r="BV33" s="97">
        <v>0.19916818523895313</v>
      </c>
      <c r="BW33" s="97">
        <v>0.22004637937020577</v>
      </c>
      <c r="BX33" s="97">
        <v>0.27412251128978488</v>
      </c>
      <c r="BY33" s="97">
        <v>0.20703326709363234</v>
      </c>
      <c r="BZ33" s="97">
        <v>0.21638893036523721</v>
      </c>
      <c r="CA33" s="97">
        <v>0.19880410865923442</v>
      </c>
      <c r="CB33" s="97">
        <v>0.22786505405475899</v>
      </c>
      <c r="CC33" s="97">
        <v>0.24935220333921115</v>
      </c>
      <c r="CD33" s="97">
        <v>0.24651408346564446</v>
      </c>
      <c r="CE33" s="97">
        <v>0.25643431606515921</v>
      </c>
      <c r="CF33" s="97">
        <v>0.19861077458483689</v>
      </c>
      <c r="CG33" s="97">
        <v>0.20057505724810584</v>
      </c>
      <c r="CH33" s="97">
        <v>0.18239121088535187</v>
      </c>
      <c r="CI33" s="97">
        <v>0.21345481415683223</v>
      </c>
      <c r="CJ33" s="97">
        <v>0.21234144221393442</v>
      </c>
      <c r="CK33" s="97">
        <v>0.17389916262575195</v>
      </c>
      <c r="CL33" s="97">
        <v>0.17781037219942891</v>
      </c>
      <c r="CM33" s="97">
        <v>0.17204815674265256</v>
      </c>
      <c r="CN33" s="97">
        <v>0.1575081053334359</v>
      </c>
      <c r="CO33" s="97">
        <v>0.19443674131261274</v>
      </c>
      <c r="CP33" s="97">
        <v>0.20026926232436831</v>
      </c>
      <c r="CQ33" s="97">
        <v>0.17086309836025521</v>
      </c>
      <c r="CR33" s="97">
        <v>0.19054396245223998</v>
      </c>
      <c r="CS33" s="97">
        <v>0.16615972171230287</v>
      </c>
      <c r="CT33" s="97">
        <v>0.18032606587011024</v>
      </c>
      <c r="CU33" s="97">
        <v>0.16254883041345591</v>
      </c>
      <c r="CV33" s="97">
        <v>0.12543040508342115</v>
      </c>
      <c r="CW33" s="97">
        <v>0.16639174121636854</v>
      </c>
      <c r="CX33" s="97">
        <v>0.13042340942597502</v>
      </c>
    </row>
    <row r="34" spans="1:102" s="95" customFormat="1">
      <c r="A34" s="306" t="str">
        <f t="shared" si="0"/>
        <v>Aandelen opkomend</v>
      </c>
      <c r="B34" s="307"/>
      <c r="C34" s="97">
        <v>80.086234473809725</v>
      </c>
      <c r="D34" s="97">
        <v>9.1203666749022503</v>
      </c>
      <c r="E34" s="97">
        <v>4.0777888734377035</v>
      </c>
      <c r="F34" s="97">
        <v>3.6528596670024638</v>
      </c>
      <c r="G34" s="97">
        <v>3.6578670385385759</v>
      </c>
      <c r="H34" s="97">
        <v>2.2329179250688047</v>
      </c>
      <c r="I34" s="97">
        <v>1.6111627468327572</v>
      </c>
      <c r="J34" s="97">
        <v>2.1259978829695023</v>
      </c>
      <c r="K34" s="97">
        <v>1.3247569021772985</v>
      </c>
      <c r="L34" s="97">
        <v>1.6282471782488939</v>
      </c>
      <c r="M34" s="97">
        <v>1.523388345139677</v>
      </c>
      <c r="N34" s="97">
        <v>1.4823255030435765</v>
      </c>
      <c r="O34" s="97">
        <v>1.8046620716715904</v>
      </c>
      <c r="P34" s="97">
        <v>1.9211137553850102</v>
      </c>
      <c r="Q34" s="97">
        <v>2.3623908133209257</v>
      </c>
      <c r="R34" s="97">
        <v>1.371775961550715</v>
      </c>
      <c r="S34" s="97">
        <v>1.3781158901247306</v>
      </c>
      <c r="T34" s="97">
        <v>1.8283358055211045</v>
      </c>
      <c r="U34" s="97">
        <v>1.4144032344114597</v>
      </c>
      <c r="V34" s="97">
        <v>1.4489032589187159</v>
      </c>
      <c r="W34" s="97">
        <v>1.3034619131204677</v>
      </c>
      <c r="X34" s="97">
        <v>1.124132330682408</v>
      </c>
      <c r="Y34" s="97">
        <v>1.3499976919151511</v>
      </c>
      <c r="Z34" s="97">
        <v>0.81538146567520942</v>
      </c>
      <c r="AA34" s="97">
        <v>1.3499100034785489</v>
      </c>
      <c r="AB34" s="97">
        <v>0.73045123320260896</v>
      </c>
      <c r="AC34" s="97">
        <v>1.1973951376118119</v>
      </c>
      <c r="AD34" s="97">
        <v>0.9108644253273267</v>
      </c>
      <c r="AE34" s="97">
        <v>0.7651825120874538</v>
      </c>
      <c r="AF34" s="97">
        <v>0.69072879905364926</v>
      </c>
      <c r="AG34" s="97">
        <v>0.87864720455178114</v>
      </c>
      <c r="AH34" s="97">
        <v>1.3324259820422437</v>
      </c>
      <c r="AI34" s="97">
        <v>0.8462844592467994</v>
      </c>
      <c r="AJ34" s="97">
        <v>0.97026131432130247</v>
      </c>
      <c r="AK34" s="97">
        <v>0.59360628945922156</v>
      </c>
      <c r="AL34" s="97">
        <v>0.8362562843249246</v>
      </c>
      <c r="AM34" s="97">
        <v>0.82298301926159656</v>
      </c>
      <c r="AN34" s="97">
        <v>0.80045491069988217</v>
      </c>
      <c r="AO34" s="97">
        <v>0.60336358967064685</v>
      </c>
      <c r="AP34" s="97">
        <v>0.72905362199263568</v>
      </c>
      <c r="AQ34" s="97">
        <v>0.5379043865422829</v>
      </c>
      <c r="AR34" s="97">
        <v>0.53410094728837954</v>
      </c>
      <c r="AS34" s="97">
        <v>0.55879414653321136</v>
      </c>
      <c r="AT34" s="97">
        <v>0.38956429381439817</v>
      </c>
      <c r="AU34" s="97">
        <v>0.70000343765620743</v>
      </c>
      <c r="AV34" s="97">
        <v>0.47735832313220117</v>
      </c>
      <c r="AW34" s="97">
        <v>0.55991699176014709</v>
      </c>
      <c r="AX34" s="97">
        <v>0.40195319504389526</v>
      </c>
      <c r="AY34" s="97">
        <v>0.41444987366400959</v>
      </c>
      <c r="AZ34" s="97">
        <v>0.54980138169612858</v>
      </c>
      <c r="BA34" s="97">
        <v>0.59711324404398081</v>
      </c>
      <c r="BB34" s="97">
        <v>0.74157437792290271</v>
      </c>
      <c r="BC34" s="97">
        <v>0.35668078785410767</v>
      </c>
      <c r="BD34" s="97">
        <v>0.35474722779486767</v>
      </c>
      <c r="BE34" s="97">
        <v>0.56131148908253814</v>
      </c>
      <c r="BF34" s="97">
        <v>0.46237761916057957</v>
      </c>
      <c r="BG34" s="97">
        <v>0.39431382009355309</v>
      </c>
      <c r="BH34" s="97">
        <v>0.4042032540840117</v>
      </c>
      <c r="BI34" s="97">
        <v>0.42648383432223047</v>
      </c>
      <c r="BJ34" s="97">
        <v>0.42371306270910958</v>
      </c>
      <c r="BK34" s="97">
        <v>0.43784798070427905</v>
      </c>
      <c r="BL34" s="97">
        <v>0.44373025330568033</v>
      </c>
      <c r="BM34" s="97">
        <v>0.4392219136016296</v>
      </c>
      <c r="BN34" s="97">
        <v>0.42781067068366324</v>
      </c>
      <c r="BO34" s="97">
        <v>0.30672495830102176</v>
      </c>
      <c r="BP34" s="97">
        <v>0.44166045841290513</v>
      </c>
      <c r="BQ34" s="97">
        <v>0.28557557460652427</v>
      </c>
      <c r="BR34" s="97">
        <v>0.39316481951392357</v>
      </c>
      <c r="BS34" s="97">
        <v>0.21248015451531121</v>
      </c>
      <c r="BT34" s="97">
        <v>0.30839869767894434</v>
      </c>
      <c r="BU34" s="97">
        <v>0.41547412196518585</v>
      </c>
      <c r="BV34" s="97">
        <v>0.26624166578683384</v>
      </c>
      <c r="BW34" s="97">
        <v>0.29934373465795283</v>
      </c>
      <c r="BX34" s="97">
        <v>0.38839721770227453</v>
      </c>
      <c r="BY34" s="97">
        <v>0.27689561224914533</v>
      </c>
      <c r="BZ34" s="97">
        <v>0.29178270755824598</v>
      </c>
      <c r="CA34" s="97">
        <v>0.26416078683089966</v>
      </c>
      <c r="CB34" s="97">
        <v>0.31019873973346179</v>
      </c>
      <c r="CC34" s="97">
        <v>0.34173065730328006</v>
      </c>
      <c r="CD34" s="97">
        <v>0.3433424142306849</v>
      </c>
      <c r="CE34" s="97">
        <v>0.36080425095946272</v>
      </c>
      <c r="CF34" s="97">
        <v>0.26524280922057797</v>
      </c>
      <c r="CG34" s="97">
        <v>0.26508947059029164</v>
      </c>
      <c r="CH34" s="97">
        <v>0.23872219540439685</v>
      </c>
      <c r="CI34" s="97">
        <v>0.28565270803755882</v>
      </c>
      <c r="CJ34" s="97">
        <v>0.29191183856892444</v>
      </c>
      <c r="CK34" s="97">
        <v>0.23065168633677963</v>
      </c>
      <c r="CL34" s="97">
        <v>0.22914609211464795</v>
      </c>
      <c r="CM34" s="97">
        <v>0.22537892156536171</v>
      </c>
      <c r="CN34" s="97">
        <v>0.19584808658547737</v>
      </c>
      <c r="CO34" s="97">
        <v>0.25364998248380138</v>
      </c>
      <c r="CP34" s="97">
        <v>0.26317450440390305</v>
      </c>
      <c r="CQ34" s="97">
        <v>0.22279733780142624</v>
      </c>
      <c r="CR34" s="97">
        <v>0.24835924825043326</v>
      </c>
      <c r="CS34" s="97">
        <v>0.20875387490017133</v>
      </c>
      <c r="CT34" s="97">
        <v>0.23106460991113759</v>
      </c>
      <c r="CU34" s="97">
        <v>0.20367993331055192</v>
      </c>
      <c r="CV34" s="97">
        <v>0.14797739504496904</v>
      </c>
      <c r="CW34" s="97">
        <v>0.21149970149385011</v>
      </c>
      <c r="CX34" s="97">
        <v>0.15571145263099379</v>
      </c>
    </row>
    <row r="35" spans="1:102" s="95" customFormat="1">
      <c r="A35" s="306" t="str">
        <f t="shared" si="0"/>
        <v>Hedge funds</v>
      </c>
      <c r="B35" s="307"/>
      <c r="C35" s="97">
        <v>34.107139139328204</v>
      </c>
      <c r="D35" s="97">
        <v>3.5235511920132456</v>
      </c>
      <c r="E35" s="97">
        <v>1.55473229158068</v>
      </c>
      <c r="F35" s="97">
        <v>1.3871720998208046</v>
      </c>
      <c r="G35" s="97">
        <v>1.4727614671728793</v>
      </c>
      <c r="H35" s="97">
        <v>0.88130775094237146</v>
      </c>
      <c r="I35" s="97">
        <v>0.65296226779473832</v>
      </c>
      <c r="J35" s="97">
        <v>0.83552793344607657</v>
      </c>
      <c r="K35" s="97">
        <v>0.54357387189907413</v>
      </c>
      <c r="L35" s="97">
        <v>0.66547124041584405</v>
      </c>
      <c r="M35" s="97">
        <v>0.62133005374108319</v>
      </c>
      <c r="N35" s="97">
        <v>0.60924931176468577</v>
      </c>
      <c r="O35" s="97">
        <v>0.75498976614466062</v>
      </c>
      <c r="P35" s="97">
        <v>0.81847680080185004</v>
      </c>
      <c r="Q35" s="97">
        <v>1.0922271918002688</v>
      </c>
      <c r="R35" s="97">
        <v>0.57052479869543982</v>
      </c>
      <c r="S35" s="97">
        <v>0.5876999923129802</v>
      </c>
      <c r="T35" s="97">
        <v>0.8814637507140104</v>
      </c>
      <c r="U35" s="97">
        <v>0.59381118094304286</v>
      </c>
      <c r="V35" s="97">
        <v>0.63019828824663826</v>
      </c>
      <c r="W35" s="97">
        <v>0.54795928018190887</v>
      </c>
      <c r="X35" s="97">
        <v>0.47703240961810883</v>
      </c>
      <c r="Y35" s="97">
        <v>0.58055114081658399</v>
      </c>
      <c r="Z35" s="97">
        <v>0.3611327825603694</v>
      </c>
      <c r="AA35" s="97">
        <v>0.59180755727605083</v>
      </c>
      <c r="AB35" s="97">
        <v>0.33087295721792559</v>
      </c>
      <c r="AC35" s="97">
        <v>0.53752369448935255</v>
      </c>
      <c r="AD35" s="97">
        <v>0.40063204079011966</v>
      </c>
      <c r="AE35" s="97">
        <v>0.3444982137271444</v>
      </c>
      <c r="AF35" s="97">
        <v>0.31378286001037392</v>
      </c>
      <c r="AG35" s="97">
        <v>0.41601143546668551</v>
      </c>
      <c r="AH35" s="97">
        <v>0.6107311934968197</v>
      </c>
      <c r="AI35" s="97">
        <v>0.38309165368706283</v>
      </c>
      <c r="AJ35" s="97">
        <v>0.44872270059591829</v>
      </c>
      <c r="AK35" s="97">
        <v>0.31081719488373594</v>
      </c>
      <c r="AL35" s="97">
        <v>0.37711304665221207</v>
      </c>
      <c r="AM35" s="97">
        <v>0.37542196027193864</v>
      </c>
      <c r="AN35" s="97">
        <v>0.37032183314422806</v>
      </c>
      <c r="AO35" s="97">
        <v>0.30172707896131123</v>
      </c>
      <c r="AP35" s="97">
        <v>0.34973906474508565</v>
      </c>
      <c r="AQ35" s="97">
        <v>0.2588821868651548</v>
      </c>
      <c r="AR35" s="97">
        <v>0.25928721769930113</v>
      </c>
      <c r="AS35" s="97">
        <v>0.27043010140178669</v>
      </c>
      <c r="AT35" s="97">
        <v>0.22651031527159549</v>
      </c>
      <c r="AU35" s="97">
        <v>0.33267702713536818</v>
      </c>
      <c r="AV35" s="97">
        <v>0.23900858381671086</v>
      </c>
      <c r="AW35" s="97">
        <v>0.269546651568079</v>
      </c>
      <c r="AX35" s="97">
        <v>0.21038226019652212</v>
      </c>
      <c r="AY35" s="97">
        <v>0.22893958659490549</v>
      </c>
      <c r="AZ35" s="97">
        <v>0.27944901972551284</v>
      </c>
      <c r="BA35" s="97">
        <v>0.29263638634343625</v>
      </c>
      <c r="BB35" s="97">
        <v>0.37749623030168333</v>
      </c>
      <c r="BC35" s="97">
        <v>0.19363251621881411</v>
      </c>
      <c r="BD35" s="97">
        <v>0.19325685246481222</v>
      </c>
      <c r="BE35" s="97">
        <v>0.28029376045328847</v>
      </c>
      <c r="BF35" s="97">
        <v>0.23294257561401802</v>
      </c>
      <c r="BG35" s="97">
        <v>0.20862530806048735</v>
      </c>
      <c r="BH35" s="97">
        <v>0.21379100599730394</v>
      </c>
      <c r="BI35" s="97">
        <v>0.22185897049328929</v>
      </c>
      <c r="BJ35" s="97">
        <v>0.21973182384061291</v>
      </c>
      <c r="BK35" s="97">
        <v>0.22600443752466906</v>
      </c>
      <c r="BL35" s="97">
        <v>0.22872173191150375</v>
      </c>
      <c r="BM35" s="97">
        <v>0.23038236702278667</v>
      </c>
      <c r="BN35" s="97">
        <v>0.22343328558447045</v>
      </c>
      <c r="BO35" s="97">
        <v>0.17590590823917057</v>
      </c>
      <c r="BP35" s="97">
        <v>0.2290124056035196</v>
      </c>
      <c r="BQ35" s="97">
        <v>0.16724819889477127</v>
      </c>
      <c r="BR35" s="97">
        <v>0.21431944567572214</v>
      </c>
      <c r="BS35" s="97">
        <v>0.1504963535438382</v>
      </c>
      <c r="BT35" s="97">
        <v>0.17685613508525108</v>
      </c>
      <c r="BU35" s="97">
        <v>0.22151639999061884</v>
      </c>
      <c r="BV35" s="97">
        <v>0.16027037608795158</v>
      </c>
      <c r="BW35" s="97">
        <v>0.17230948627151127</v>
      </c>
      <c r="BX35" s="97">
        <v>0.2120393932485842</v>
      </c>
      <c r="BY35" s="97">
        <v>0.16484222974936469</v>
      </c>
      <c r="BZ35" s="97">
        <v>0.17012722304518885</v>
      </c>
      <c r="CA35" s="97">
        <v>0.1599505360608936</v>
      </c>
      <c r="CB35" s="97">
        <v>0.17772053284396996</v>
      </c>
      <c r="CC35" s="97">
        <v>0.19096385316251585</v>
      </c>
      <c r="CD35" s="97">
        <v>0.19497351914034716</v>
      </c>
      <c r="CE35" s="97">
        <v>0.20442203055432628</v>
      </c>
      <c r="CF35" s="97">
        <v>0.16106321654336153</v>
      </c>
      <c r="CG35" s="97">
        <v>0.16075615778948621</v>
      </c>
      <c r="CH35" s="97">
        <v>0.15083786628846829</v>
      </c>
      <c r="CI35" s="97">
        <v>0.169204338289832</v>
      </c>
      <c r="CJ35" s="97">
        <v>0.17590462195780976</v>
      </c>
      <c r="CK35" s="97">
        <v>0.1554739610403342</v>
      </c>
      <c r="CL35" s="97">
        <v>0.14773364630798141</v>
      </c>
      <c r="CM35" s="97">
        <v>0.14992579628503552</v>
      </c>
      <c r="CN35" s="97">
        <v>0.13494275308800313</v>
      </c>
      <c r="CO35" s="97">
        <v>0.15771421487710699</v>
      </c>
      <c r="CP35" s="97">
        <v>0.16204411375404146</v>
      </c>
      <c r="CQ35" s="97">
        <v>0.14794623841537721</v>
      </c>
      <c r="CR35" s="97">
        <v>0.15696866950766464</v>
      </c>
      <c r="CS35" s="97">
        <v>0.13990969897297278</v>
      </c>
      <c r="CT35" s="97">
        <v>0.14909030800370421</v>
      </c>
      <c r="CU35" s="97">
        <v>0.13817267845094955</v>
      </c>
      <c r="CV35" s="97">
        <v>0.12148743248908947</v>
      </c>
      <c r="CW35" s="97">
        <v>0.14212648802271785</v>
      </c>
      <c r="CX35" s="97">
        <v>0.12420089103564104</v>
      </c>
    </row>
    <row r="36" spans="1:102" s="95" customFormat="1">
      <c r="A36" s="306" t="str">
        <f t="shared" si="0"/>
        <v>Onroerend goed</v>
      </c>
      <c r="B36" s="307"/>
      <c r="C36" s="97">
        <v>22.357576267320979</v>
      </c>
      <c r="D36" s="97">
        <v>1.4525992300725115</v>
      </c>
      <c r="E36" s="97">
        <v>0.64326613564525437</v>
      </c>
      <c r="F36" s="97">
        <v>0.58764688563702505</v>
      </c>
      <c r="G36" s="97">
        <v>0.66744417020411417</v>
      </c>
      <c r="H36" s="97">
        <v>0.39232844210871953</v>
      </c>
      <c r="I36" s="97">
        <v>0.30721498829197902</v>
      </c>
      <c r="J36" s="97">
        <v>0.35892167444511347</v>
      </c>
      <c r="K36" s="97">
        <v>0.26650991186017781</v>
      </c>
      <c r="L36" s="97">
        <v>0.32484375973409713</v>
      </c>
      <c r="M36" s="97">
        <v>0.29820138117737061</v>
      </c>
      <c r="N36" s="97">
        <v>0.29599573328095186</v>
      </c>
      <c r="O36" s="97">
        <v>0.39976776864599056</v>
      </c>
      <c r="P36" s="97">
        <v>0.40562234983579876</v>
      </c>
      <c r="Q36" s="97">
        <v>0.62834557833670057</v>
      </c>
      <c r="R36" s="97">
        <v>0.27849321041905251</v>
      </c>
      <c r="S36" s="97">
        <v>0.30126968781780716</v>
      </c>
      <c r="T36" s="97">
        <v>0.55438988195565719</v>
      </c>
      <c r="U36" s="97">
        <v>0.28369781156981833</v>
      </c>
      <c r="V36" s="97">
        <v>0.32834872738169318</v>
      </c>
      <c r="W36" s="97">
        <v>0.27236438822271625</v>
      </c>
      <c r="X36" s="97">
        <v>0.24405047440115224</v>
      </c>
      <c r="Y36" s="97">
        <v>0.29669523089637684</v>
      </c>
      <c r="Z36" s="97">
        <v>0.19760862600132412</v>
      </c>
      <c r="AA36" s="97">
        <v>0.30779170327278937</v>
      </c>
      <c r="AB36" s="97">
        <v>0.18678320341029564</v>
      </c>
      <c r="AC36" s="97">
        <v>0.29808170732017919</v>
      </c>
      <c r="AD36" s="97">
        <v>0.21394143755376172</v>
      </c>
      <c r="AE36" s="97">
        <v>0.19169160810427366</v>
      </c>
      <c r="AF36" s="97">
        <v>0.18032513509627079</v>
      </c>
      <c r="AG36" s="97">
        <v>0.27396522398935563</v>
      </c>
      <c r="AH36" s="97">
        <v>0.35127466227336474</v>
      </c>
      <c r="AI36" s="97">
        <v>0.21548719639185809</v>
      </c>
      <c r="AJ36" s="97">
        <v>0.25671715961698127</v>
      </c>
      <c r="AK36" s="97">
        <v>0.23022236896806411</v>
      </c>
      <c r="AL36" s="97">
        <v>0.20371509189128439</v>
      </c>
      <c r="AM36" s="97">
        <v>0.209363214453819</v>
      </c>
      <c r="AN36" s="97">
        <v>0.21084730246615935</v>
      </c>
      <c r="AO36" s="97">
        <v>0.21015080613582704</v>
      </c>
      <c r="AP36" s="97">
        <v>0.20751086760868381</v>
      </c>
      <c r="AQ36" s="97">
        <v>0.15808434768000129</v>
      </c>
      <c r="AR36" s="97">
        <v>0.16177719487194325</v>
      </c>
      <c r="AS36" s="97">
        <v>0.16613985571605627</v>
      </c>
      <c r="AT36" s="97">
        <v>0.18641747401647477</v>
      </c>
      <c r="AU36" s="97">
        <v>0.20042334351723684</v>
      </c>
      <c r="AV36" s="97">
        <v>0.15257586361159717</v>
      </c>
      <c r="AW36" s="97">
        <v>0.1631370296719154</v>
      </c>
      <c r="AX36" s="97">
        <v>0.14123231064631414</v>
      </c>
      <c r="AY36" s="97">
        <v>0.17705535366252062</v>
      </c>
      <c r="AZ36" s="97">
        <v>0.1929991781803822</v>
      </c>
      <c r="BA36" s="97">
        <v>0.18259867272406693</v>
      </c>
      <c r="BB36" s="97">
        <v>0.25013555132462162</v>
      </c>
      <c r="BC36" s="97">
        <v>0.13500345876052863</v>
      </c>
      <c r="BD36" s="97">
        <v>0.13492850242737439</v>
      </c>
      <c r="BE36" s="97">
        <v>0.17600094631404084</v>
      </c>
      <c r="BF36" s="97">
        <v>0.14844371062061629</v>
      </c>
      <c r="BG36" s="97">
        <v>0.14229744075235248</v>
      </c>
      <c r="BH36" s="97">
        <v>0.14464246854035734</v>
      </c>
      <c r="BI36" s="97">
        <v>0.1464436625993093</v>
      </c>
      <c r="BJ36" s="97">
        <v>0.1436629842206838</v>
      </c>
      <c r="BK36" s="97">
        <v>0.1478897709217403</v>
      </c>
      <c r="BL36" s="97">
        <v>0.14840542897639877</v>
      </c>
      <c r="BM36" s="97">
        <v>0.15896419524162569</v>
      </c>
      <c r="BN36" s="97">
        <v>0.14610765629418751</v>
      </c>
      <c r="BO36" s="97">
        <v>0.12839264873264722</v>
      </c>
      <c r="BP36" s="97">
        <v>0.15385752704850442</v>
      </c>
      <c r="BQ36" s="97">
        <v>0.12525423404947392</v>
      </c>
      <c r="BR36" s="97">
        <v>0.14784525904252152</v>
      </c>
      <c r="BS36" s="97">
        <v>0.13756887801153203</v>
      </c>
      <c r="BT36" s="97">
        <v>0.13032974560642716</v>
      </c>
      <c r="BU36" s="97">
        <v>0.14986483208234608</v>
      </c>
      <c r="BV36" s="97">
        <v>0.12260970556377999</v>
      </c>
      <c r="BW36" s="97">
        <v>0.12612559900130313</v>
      </c>
      <c r="BX36" s="97">
        <v>0.14875587114692251</v>
      </c>
      <c r="BY36" s="97">
        <v>0.12410570624667382</v>
      </c>
      <c r="BZ36" s="97">
        <v>0.12619019396381309</v>
      </c>
      <c r="CA36" s="97">
        <v>0.12208690991495999</v>
      </c>
      <c r="CB36" s="97">
        <v>0.12872940050015291</v>
      </c>
      <c r="CC36" s="97">
        <v>0.13399220736952519</v>
      </c>
      <c r="CD36" s="97">
        <v>0.14086587277567145</v>
      </c>
      <c r="CE36" s="97">
        <v>0.14887990953826727</v>
      </c>
      <c r="CF36" s="97">
        <v>0.12407567698861903</v>
      </c>
      <c r="CG36" s="97">
        <v>0.1226573367221061</v>
      </c>
      <c r="CH36" s="97">
        <v>0.12003457327487432</v>
      </c>
      <c r="CI36" s="97">
        <v>0.12587702430414011</v>
      </c>
      <c r="CJ36" s="97">
        <v>0.13832471146169981</v>
      </c>
      <c r="CK36" s="97">
        <v>0.13372174558526467</v>
      </c>
      <c r="CL36" s="97">
        <v>0.1179923765406499</v>
      </c>
      <c r="CM36" s="97">
        <v>0.12637389088783588</v>
      </c>
      <c r="CN36" s="97">
        <v>0.11311807702839968</v>
      </c>
      <c r="CO36" s="97">
        <v>0.12235866537038678</v>
      </c>
      <c r="CP36" s="97">
        <v>0.1245942431384615</v>
      </c>
      <c r="CQ36" s="97">
        <v>0.12432592563850853</v>
      </c>
      <c r="CR36" s="97">
        <v>0.12288821723660806</v>
      </c>
      <c r="CS36" s="97">
        <v>0.11475573919730293</v>
      </c>
      <c r="CT36" s="97">
        <v>0.11863184699928352</v>
      </c>
      <c r="CU36" s="97">
        <v>0.11461720815285736</v>
      </c>
      <c r="CV36" s="97">
        <v>0.11589076097622789</v>
      </c>
      <c r="CW36" s="97">
        <v>0.11778348686365858</v>
      </c>
      <c r="CX36" s="97">
        <v>0.11650494973730795</v>
      </c>
    </row>
    <row r="37" spans="1:102" s="111" customFormat="1">
      <c r="A37" s="310" t="str">
        <f t="shared" si="0"/>
        <v>Commodities</v>
      </c>
      <c r="B37" s="311"/>
      <c r="C37" s="98">
        <v>41.227765289288598</v>
      </c>
      <c r="D37" s="98">
        <v>5.2645947021592452</v>
      </c>
      <c r="E37" s="98">
        <v>2.3122976427378497</v>
      </c>
      <c r="F37" s="98">
        <v>2.0443913396357201</v>
      </c>
      <c r="G37" s="98">
        <v>2.1427599446012042</v>
      </c>
      <c r="H37" s="98">
        <v>1.3292641982344535</v>
      </c>
      <c r="I37" s="98">
        <v>0.93820990031357665</v>
      </c>
      <c r="J37" s="98">
        <v>1.2850258121606233</v>
      </c>
      <c r="K37" s="98">
        <v>0.77160629425008498</v>
      </c>
      <c r="L37" s="98">
        <v>0.94118245588847171</v>
      </c>
      <c r="M37" s="98">
        <v>0.88936235743233283</v>
      </c>
      <c r="N37" s="98">
        <v>0.86949963462603908</v>
      </c>
      <c r="O37" s="98">
        <v>1.0547725550034364</v>
      </c>
      <c r="P37" s="98">
        <v>1.1374557244524905</v>
      </c>
      <c r="Q37" s="98">
        <v>1.3744049273258088</v>
      </c>
      <c r="R37" s="98">
        <v>0.81894889776106505</v>
      </c>
      <c r="S37" s="98">
        <v>0.812452682630177</v>
      </c>
      <c r="T37" s="98">
        <v>1.0605643476113182</v>
      </c>
      <c r="U37" s="98">
        <v>0.94133675615654866</v>
      </c>
      <c r="V37" s="98">
        <v>0.86299365769784231</v>
      </c>
      <c r="W37" s="98">
        <v>0.79674292285682358</v>
      </c>
      <c r="X37" s="98">
        <v>0.68916894450550858</v>
      </c>
      <c r="Y37" s="98">
        <v>0.81452268909379844</v>
      </c>
      <c r="Z37" s="98">
        <v>0.49620442526498809</v>
      </c>
      <c r="AA37" s="98">
        <v>0.8167897423161895</v>
      </c>
      <c r="AB37" s="98">
        <v>0.44945003472662204</v>
      </c>
      <c r="AC37" s="98">
        <v>0.71809491448356066</v>
      </c>
      <c r="AD37" s="98">
        <v>0.55687579130861431</v>
      </c>
      <c r="AE37" s="98">
        <v>0.47813858360899236</v>
      </c>
      <c r="AF37" s="98">
        <v>0.4235688406569561</v>
      </c>
      <c r="AG37" s="98">
        <v>0.54278543055757411</v>
      </c>
      <c r="AH37" s="98">
        <v>0.78594390417270965</v>
      </c>
      <c r="AI37" s="98">
        <v>0.51613431649791708</v>
      </c>
      <c r="AJ37" s="98">
        <v>0.59433971734148416</v>
      </c>
      <c r="AK37" s="98">
        <v>0.36200232432027685</v>
      </c>
      <c r="AL37" s="98">
        <v>0.57041757264010207</v>
      </c>
      <c r="AM37" s="98">
        <v>0.53086113951706215</v>
      </c>
      <c r="AN37" s="98">
        <v>0.50210491789384348</v>
      </c>
      <c r="AO37" s="98">
        <v>0.37046762267129829</v>
      </c>
      <c r="AP37" s="98">
        <v>0.45826667855904696</v>
      </c>
      <c r="AQ37" s="98">
        <v>0.34745382657407309</v>
      </c>
      <c r="AR37" s="98">
        <v>0.33835928509544788</v>
      </c>
      <c r="AS37" s="98">
        <v>0.355770130437774</v>
      </c>
      <c r="AT37" s="98">
        <v>0.25266684452689736</v>
      </c>
      <c r="AU37" s="98">
        <v>0.43337810309769209</v>
      </c>
      <c r="AV37" s="98">
        <v>0.31040238508128382</v>
      </c>
      <c r="AW37" s="98">
        <v>0.36044618008051121</v>
      </c>
      <c r="AX37" s="98">
        <v>0.2674566565195271</v>
      </c>
      <c r="AY37" s="98">
        <v>0.26409689620372478</v>
      </c>
      <c r="AZ37" s="98">
        <v>0.35739708714478163</v>
      </c>
      <c r="BA37" s="98">
        <v>0.37936739460439639</v>
      </c>
      <c r="BB37" s="98">
        <v>0.46581560210079631</v>
      </c>
      <c r="BC37" s="98">
        <v>0.24200270739594631</v>
      </c>
      <c r="BD37" s="98">
        <v>0.24134338304767153</v>
      </c>
      <c r="BE37" s="98">
        <v>0.36221166338382704</v>
      </c>
      <c r="BF37" s="98">
        <v>0.3103640394775854</v>
      </c>
      <c r="BG37" s="98">
        <v>0.2625213352426532</v>
      </c>
      <c r="BH37" s="98">
        <v>0.2719188916296279</v>
      </c>
      <c r="BI37" s="98">
        <v>0.28536104900304443</v>
      </c>
      <c r="BJ37" s="98">
        <v>0.29802685855325217</v>
      </c>
      <c r="BK37" s="98">
        <v>0.29667164742613561</v>
      </c>
      <c r="BL37" s="98">
        <v>0.3099210287788553</v>
      </c>
      <c r="BM37" s="98">
        <v>0.28845847491132443</v>
      </c>
      <c r="BN37" s="98">
        <v>0.31087711331189738</v>
      </c>
      <c r="BO37" s="98">
        <v>0.21713306558902346</v>
      </c>
      <c r="BP37" s="98">
        <v>0.29623527556847151</v>
      </c>
      <c r="BQ37" s="98">
        <v>0.20187278715016266</v>
      </c>
      <c r="BR37" s="98">
        <v>0.26677525796975798</v>
      </c>
      <c r="BS37" s="98">
        <v>0.15624901638933802</v>
      </c>
      <c r="BT37" s="98">
        <v>0.21501177009932698</v>
      </c>
      <c r="BU37" s="98">
        <v>0.29316270031099023</v>
      </c>
      <c r="BV37" s="98">
        <v>0.19127822518276835</v>
      </c>
      <c r="BW37" s="98">
        <v>0.21396789877225128</v>
      </c>
      <c r="BX37" s="98">
        <v>0.26881586649470046</v>
      </c>
      <c r="BY37" s="98">
        <v>0.19923760894728457</v>
      </c>
      <c r="BZ37" s="98">
        <v>0.20710219380184999</v>
      </c>
      <c r="CA37" s="98">
        <v>0.19232772224417172</v>
      </c>
      <c r="CB37" s="98">
        <v>0.22562878995864133</v>
      </c>
      <c r="CC37" s="98">
        <v>0.25375776495887425</v>
      </c>
      <c r="CD37" s="98">
        <v>0.23640706770907105</v>
      </c>
      <c r="CE37" s="98">
        <v>0.24607925021542915</v>
      </c>
      <c r="CF37" s="98">
        <v>0.19080715088210737</v>
      </c>
      <c r="CG37" s="98">
        <v>0.19304140137389011</v>
      </c>
      <c r="CH37" s="98">
        <v>0.17595259448872763</v>
      </c>
      <c r="CI37" s="98">
        <v>0.2134308118248969</v>
      </c>
      <c r="CJ37" s="98">
        <v>0.20874479978890237</v>
      </c>
      <c r="CK37" s="98">
        <v>0.16958315254793938</v>
      </c>
      <c r="CL37" s="98">
        <v>0.17314493920317772</v>
      </c>
      <c r="CM37" s="98">
        <v>0.16713096674467692</v>
      </c>
      <c r="CN37" s="98">
        <v>0.15300481139915756</v>
      </c>
      <c r="CO37" s="98">
        <v>0.19213793546353047</v>
      </c>
      <c r="CP37" s="98">
        <v>0.19603531684214587</v>
      </c>
      <c r="CQ37" s="98">
        <v>0.16651832404867098</v>
      </c>
      <c r="CR37" s="98">
        <v>0.1885497302760312</v>
      </c>
      <c r="CS37" s="98">
        <v>0.16150226892895242</v>
      </c>
      <c r="CT37" s="98">
        <v>0.17918201697967265</v>
      </c>
      <c r="CU37" s="98">
        <v>0.15804690765864798</v>
      </c>
      <c r="CV37" s="98">
        <v>0.12404922177647734</v>
      </c>
      <c r="CW37" s="98">
        <v>0.16144565325660384</v>
      </c>
      <c r="CX37" s="98">
        <v>0.12866082499156614</v>
      </c>
    </row>
    <row r="38" spans="1:102" s="95" customFormat="1">
      <c r="A38" s="58" t="s">
        <v>132</v>
      </c>
      <c r="B38" s="99"/>
      <c r="C38" s="100">
        <v>15483222575816.891</v>
      </c>
      <c r="D38" s="100">
        <v>51048643568.896698</v>
      </c>
      <c r="E38" s="100">
        <v>9815516628.0452061</v>
      </c>
      <c r="F38" s="100">
        <v>7657320190.834198</v>
      </c>
      <c r="G38" s="100">
        <v>8083410671.4511251</v>
      </c>
      <c r="H38" s="100">
        <v>2803251083.4540386</v>
      </c>
      <c r="I38" s="100">
        <v>1416325133.9059656</v>
      </c>
      <c r="J38" s="100">
        <v>2643193654.2096553</v>
      </c>
      <c r="K38" s="100">
        <v>910058002.22236943</v>
      </c>
      <c r="L38" s="100">
        <v>1430092709.0776422</v>
      </c>
      <c r="M38" s="100">
        <v>1237241639.1112895</v>
      </c>
      <c r="N38" s="100">
        <v>1163790724.5727651</v>
      </c>
      <c r="O38" s="100">
        <v>2112357777.3881054</v>
      </c>
      <c r="P38" s="100">
        <v>2178931788.1111279</v>
      </c>
      <c r="Q38" s="100">
        <v>4887789887.281683</v>
      </c>
      <c r="R38" s="100">
        <v>1007178597.6267743</v>
      </c>
      <c r="S38" s="100">
        <v>1033545354.6875947</v>
      </c>
      <c r="T38" s="100">
        <v>3676132829.5794473</v>
      </c>
      <c r="U38" s="100">
        <v>1218011970.9817798</v>
      </c>
      <c r="V38" s="100">
        <v>1188714715.2761986</v>
      </c>
      <c r="W38" s="100">
        <v>912989055.38580549</v>
      </c>
      <c r="X38" s="100">
        <v>646623437.10764349</v>
      </c>
      <c r="Y38" s="100">
        <v>991535674.93094242</v>
      </c>
      <c r="Z38" s="100">
        <v>315223339.90394557</v>
      </c>
      <c r="AA38" s="100">
        <v>1022194021.4573133</v>
      </c>
      <c r="AB38" s="100">
        <v>245957420.117479</v>
      </c>
      <c r="AC38" s="100">
        <v>827719267.73867404</v>
      </c>
      <c r="AD38" s="100">
        <v>406523588.52139568</v>
      </c>
      <c r="AE38" s="100">
        <v>274838236.2167514</v>
      </c>
      <c r="AF38" s="100">
        <v>211632936.07434833</v>
      </c>
      <c r="AG38" s="100">
        <v>778428952.69361651</v>
      </c>
      <c r="AH38" s="100">
        <v>1177688551.1377015</v>
      </c>
      <c r="AI38" s="100">
        <v>350133062.67100978</v>
      </c>
      <c r="AJ38" s="100">
        <v>517855790.07963324</v>
      </c>
      <c r="AK38" s="100">
        <v>445110060.51882595</v>
      </c>
      <c r="AL38" s="100">
        <v>380886917.04568034</v>
      </c>
      <c r="AM38" s="100">
        <v>335786532.90135193</v>
      </c>
      <c r="AN38" s="100">
        <v>312949690.21736014</v>
      </c>
      <c r="AO38" s="100">
        <v>312094361.54227221</v>
      </c>
      <c r="AP38" s="100">
        <v>263030766.67727315</v>
      </c>
      <c r="AQ38" s="100">
        <v>117840591.53327532</v>
      </c>
      <c r="AR38" s="100">
        <v>114575023.60680455</v>
      </c>
      <c r="AS38" s="100">
        <v>130101124.77187605</v>
      </c>
      <c r="AT38" s="100">
        <v>244309895.94109485</v>
      </c>
      <c r="AU38" s="100">
        <v>231729562.8227438</v>
      </c>
      <c r="AV38" s="100">
        <v>87939097.545959562</v>
      </c>
      <c r="AW38" s="100">
        <v>131584762.02085806</v>
      </c>
      <c r="AX38" s="100">
        <v>56575802.112970829</v>
      </c>
      <c r="AY38" s="100">
        <v>167477461.38724288</v>
      </c>
      <c r="AZ38" s="100">
        <v>212236275.68327492</v>
      </c>
      <c r="BA38" s="100">
        <v>158938098.30689061</v>
      </c>
      <c r="BB38" s="100">
        <v>407219148.6050936</v>
      </c>
      <c r="BC38" s="100">
        <v>40568440.507531866</v>
      </c>
      <c r="BD38" s="100">
        <v>40252582.531962365</v>
      </c>
      <c r="BE38" s="100">
        <v>137790031.27671304</v>
      </c>
      <c r="BF38" s="100">
        <v>82861512.805420488</v>
      </c>
      <c r="BG38" s="100">
        <v>52861364.785867803</v>
      </c>
      <c r="BH38" s="100">
        <v>57541807.802002691</v>
      </c>
      <c r="BI38" s="100">
        <v>66664564.302517995</v>
      </c>
      <c r="BJ38" s="100">
        <v>69041117.673744738</v>
      </c>
      <c r="BK38" s="100">
        <v>72309436.791985318</v>
      </c>
      <c r="BL38" s="100">
        <v>77607412.865756601</v>
      </c>
      <c r="BM38" s="100">
        <v>82897869.324693993</v>
      </c>
      <c r="BN38" s="100">
        <v>76509459.696011662</v>
      </c>
      <c r="BO38" s="100">
        <v>26526472.084806696</v>
      </c>
      <c r="BP38" s="100">
        <v>76789638.419305652</v>
      </c>
      <c r="BQ38" s="100">
        <v>20894667.416929994</v>
      </c>
      <c r="BR38" s="100">
        <v>55407267.822453246</v>
      </c>
      <c r="BS38" s="100">
        <v>52973083.509825453</v>
      </c>
      <c r="BT38" s="100">
        <v>26870034.500908326</v>
      </c>
      <c r="BU38" s="100">
        <v>66828526.578867339</v>
      </c>
      <c r="BV38" s="100">
        <v>16781073.519144077</v>
      </c>
      <c r="BW38" s="100">
        <v>24676525.08125139</v>
      </c>
      <c r="BX38" s="100">
        <v>55990358.157970898</v>
      </c>
      <c r="BY38" s="100">
        <v>19290987.99993702</v>
      </c>
      <c r="BZ38" s="100">
        <v>22524100.229476221</v>
      </c>
      <c r="CA38" s="100">
        <v>16678354.862656567</v>
      </c>
      <c r="CB38" s="100">
        <v>28232476.029248271</v>
      </c>
      <c r="CC38" s="100">
        <v>40717183.300771572</v>
      </c>
      <c r="CD38" s="100">
        <v>38517898.52736403</v>
      </c>
      <c r="CE38" s="100">
        <v>48781937.685841523</v>
      </c>
      <c r="CF38" s="100">
        <v>16656367.90708668</v>
      </c>
      <c r="CG38" s="100">
        <v>16836238.279480789</v>
      </c>
      <c r="CH38" s="100">
        <v>11821697.304927509</v>
      </c>
      <c r="CI38" s="100">
        <v>22562549.218072265</v>
      </c>
      <c r="CJ38" s="100">
        <v>35346079.446640365</v>
      </c>
      <c r="CK38" s="100">
        <v>29356964.717013016</v>
      </c>
      <c r="CL38" s="100">
        <v>10333616.798073553</v>
      </c>
      <c r="CM38" s="100">
        <v>16852470.955532085</v>
      </c>
      <c r="CN38" s="100">
        <v>5595227.4869091436</v>
      </c>
      <c r="CO38" s="100">
        <v>15207719.612564994</v>
      </c>
      <c r="CP38" s="100">
        <v>16964395.403616313</v>
      </c>
      <c r="CQ38" s="100">
        <v>14442416.834761295</v>
      </c>
      <c r="CR38" s="100">
        <v>14216267.706671132</v>
      </c>
      <c r="CS38" s="100">
        <v>7305333.2089935718</v>
      </c>
      <c r="CT38" s="100">
        <v>11089407.058736099</v>
      </c>
      <c r="CU38" s="100">
        <v>6560265.5033551762</v>
      </c>
      <c r="CV38" s="100">
        <v>9389326.2678077351</v>
      </c>
      <c r="CW38" s="100">
        <v>7839943.0555966496</v>
      </c>
      <c r="CX38" s="100">
        <v>8968328.8938970193</v>
      </c>
    </row>
    <row r="39" spans="1:102" s="9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95" customFormat="1">
      <c r="A40" s="124" t="s">
        <v>133</v>
      </c>
      <c r="B40" s="12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11" customFormat="1">
      <c r="A41" s="108" t="str">
        <f>Parameters!A40</f>
        <v>Basis</v>
      </c>
      <c r="B41" s="102" t="s">
        <v>29</v>
      </c>
      <c r="C41" s="103">
        <v>6.1989202406832569E-13</v>
      </c>
      <c r="D41" s="103">
        <v>6.4674357356857629E-11</v>
      </c>
      <c r="E41" s="103">
        <v>1.0431811407755605E-10</v>
      </c>
      <c r="F41" s="103">
        <v>1.7217750411987708E-10</v>
      </c>
      <c r="G41" s="103">
        <v>1.6255994192835237E-10</v>
      </c>
      <c r="H41" s="103">
        <v>3.169019161062969E-10</v>
      </c>
      <c r="I41" s="103">
        <v>2.7068569517779051E-10</v>
      </c>
      <c r="J41" s="103">
        <v>3.2418512044447508E-10</v>
      </c>
      <c r="K41" s="103">
        <v>4.808300746255249E-10</v>
      </c>
      <c r="L41" s="103">
        <v>3.8157266203651977E-10</v>
      </c>
      <c r="M41" s="103">
        <v>3.6491325058804956E-10</v>
      </c>
      <c r="N41" s="103">
        <v>4.5595489905420486E-10</v>
      </c>
      <c r="O41" s="103">
        <v>2.7067145847105491E-10</v>
      </c>
      <c r="P41" s="103">
        <v>2.9682787495160724E-10</v>
      </c>
      <c r="Q41" s="103">
        <v>3.2350211225750556E-10</v>
      </c>
      <c r="R41" s="103">
        <v>4.3322145196970742E-10</v>
      </c>
      <c r="S41" s="103">
        <v>4.2960129519031567E-10</v>
      </c>
      <c r="T41" s="103">
        <v>3.1315899605879708E-10</v>
      </c>
      <c r="U41" s="103">
        <v>6.0117901491247286E-10</v>
      </c>
      <c r="V41" s="103">
        <v>4.6152662015739716E-10</v>
      </c>
      <c r="W41" s="103">
        <v>5.2023148131195079E-10</v>
      </c>
      <c r="X41" s="103">
        <v>6.5430260220350131E-10</v>
      </c>
      <c r="Y41" s="103">
        <v>4.7755047453948954E-10</v>
      </c>
      <c r="Z41" s="103">
        <v>6.213769887103269E-10</v>
      </c>
      <c r="AA41" s="103">
        <v>4.4758218061672799E-10</v>
      </c>
      <c r="AB41" s="103">
        <v>6.7604693735929949E-10</v>
      </c>
      <c r="AC41" s="103">
        <v>4.2736072203840579E-10</v>
      </c>
      <c r="AD41" s="103">
        <v>6.3181329183682671E-10</v>
      </c>
      <c r="AE41" s="103">
        <v>7.2723158735556286E-10</v>
      </c>
      <c r="AF41" s="103">
        <v>1.0294879599704735E-9</v>
      </c>
      <c r="AG41" s="103">
        <v>2.9030197840344128E-10</v>
      </c>
      <c r="AH41" s="103">
        <v>6.257370472542074E-10</v>
      </c>
      <c r="AI41" s="103">
        <v>7.3513129512193987E-10</v>
      </c>
      <c r="AJ41" s="103">
        <v>6.8362832324051687E-10</v>
      </c>
      <c r="AK41" s="103">
        <v>1.9629625068216745E-10</v>
      </c>
      <c r="AL41" s="103">
        <v>1.0666620930825271E-9</v>
      </c>
      <c r="AM41" s="103">
        <v>9.4378268269689518E-10</v>
      </c>
      <c r="AN41" s="103">
        <v>8.3682233811198392E-10</v>
      </c>
      <c r="AO41" s="103">
        <v>2.7755975096062872E-10</v>
      </c>
      <c r="AP41" s="103">
        <v>8.4613893747822334E-10</v>
      </c>
      <c r="AQ41" s="103">
        <v>1.4711564096480699E-9</v>
      </c>
      <c r="AR41" s="103">
        <v>1.4929030136817059E-9</v>
      </c>
      <c r="AS41" s="103">
        <v>1.057791574588232E-9</v>
      </c>
      <c r="AT41" s="103">
        <v>1.4990016488343402E-10</v>
      </c>
      <c r="AU41" s="103">
        <v>1.0991186556358981E-9</v>
      </c>
      <c r="AV41" s="103">
        <v>1.1821320961776399E-9</v>
      </c>
      <c r="AW41" s="103">
        <v>1.1956359779981345E-9</v>
      </c>
      <c r="AX41" s="103">
        <v>1.3437974572518027E-9</v>
      </c>
      <c r="AY41" s="103">
        <v>2.9920859390136315E-10</v>
      </c>
      <c r="AZ41" s="103">
        <v>6.2809101362525955E-10</v>
      </c>
      <c r="BA41" s="103">
        <v>1.2011747087065877E-9</v>
      </c>
      <c r="BB41" s="103">
        <v>9.4340574527712858E-10</v>
      </c>
      <c r="BC41" s="103">
        <v>1.7367425184337211E-9</v>
      </c>
      <c r="BD41" s="103">
        <v>1.6048229287280682E-9</v>
      </c>
      <c r="BE41" s="103">
        <v>1.2034148229807429E-9</v>
      </c>
      <c r="BF41" s="103">
        <v>1.8112253979338707E-9</v>
      </c>
      <c r="BG41" s="103">
        <v>2.0335973341985173E-9</v>
      </c>
      <c r="BH41" s="103">
        <v>1.8185560013602463E-9</v>
      </c>
      <c r="BI41" s="103">
        <v>1.6985108151730135E-9</v>
      </c>
      <c r="BJ41" s="103">
        <v>2.2728219979439556E-9</v>
      </c>
      <c r="BK41" s="103">
        <v>2.1145626632219525E-9</v>
      </c>
      <c r="BL41" s="103">
        <v>2.2530801470489268E-9</v>
      </c>
      <c r="BM41" s="103">
        <v>1.1705719928844927E-9</v>
      </c>
      <c r="BN41" s="103">
        <v>2.4092369478708364E-9</v>
      </c>
      <c r="BO41" s="103">
        <v>2.2933668482962724E-9</v>
      </c>
      <c r="BP41" s="103">
        <v>1.7562919292324182E-9</v>
      </c>
      <c r="BQ41" s="103">
        <v>3.1859177902638966E-9</v>
      </c>
      <c r="BR41" s="103">
        <v>1.889692201925412E-9</v>
      </c>
      <c r="BS41" s="103">
        <v>8.4893453376271646E-12</v>
      </c>
      <c r="BT41" s="103">
        <v>2.2308182847121987E-9</v>
      </c>
      <c r="BU41" s="103">
        <v>2.2705320199034299E-9</v>
      </c>
      <c r="BV41" s="103">
        <v>3.4171676711565869E-9</v>
      </c>
      <c r="BW41" s="103">
        <v>3.2846995207255027E-9</v>
      </c>
      <c r="BX41" s="103">
        <v>2.0192151168972821E-9</v>
      </c>
      <c r="BY41" s="103">
        <v>2.7089654293236666E-9</v>
      </c>
      <c r="BZ41" s="103">
        <v>3.0727372549142827E-9</v>
      </c>
      <c r="CA41" s="103">
        <v>2.9280668416637603E-9</v>
      </c>
      <c r="CB41" s="103">
        <v>3.082248898405651E-9</v>
      </c>
      <c r="CC41" s="103">
        <v>3.2233930862509742E-9</v>
      </c>
      <c r="CD41" s="103">
        <v>2.4667093421751293E-9</v>
      </c>
      <c r="CE41" s="103">
        <v>1.9894669082449654E-9</v>
      </c>
      <c r="CF41" s="103">
        <v>4.0242655093846912E-9</v>
      </c>
      <c r="CG41" s="103">
        <v>3.063072860247931E-9</v>
      </c>
      <c r="CH41" s="103">
        <v>3.7811868226663759E-9</v>
      </c>
      <c r="CI41" s="103">
        <v>3.7023562391272507E-9</v>
      </c>
      <c r="CJ41" s="103">
        <v>1.5554965105363307E-9</v>
      </c>
      <c r="CK41" s="103">
        <v>7.4616130574390974E-10</v>
      </c>
      <c r="CL41" s="103">
        <v>4.0158530570289512E-9</v>
      </c>
      <c r="CM41" s="103">
        <v>1.4978434064097191E-9</v>
      </c>
      <c r="CN41" s="103">
        <v>5.6093311165387307E-9</v>
      </c>
      <c r="CO41" s="103">
        <v>4.4054109321182129E-9</v>
      </c>
      <c r="CP41" s="103">
        <v>4.3465462563289294E-9</v>
      </c>
      <c r="CQ41" s="103">
        <v>2.2707890172037961E-9</v>
      </c>
      <c r="CR41" s="103">
        <v>4.7478118480830595E-9</v>
      </c>
      <c r="CS41" s="103">
        <v>4.8018918205115389E-9</v>
      </c>
      <c r="CT41" s="103">
        <v>5.2987898629418015E-9</v>
      </c>
      <c r="CU41" s="103">
        <v>6.227062307291129E-9</v>
      </c>
      <c r="CV41" s="103">
        <v>5.9560137155287619E-11</v>
      </c>
      <c r="CW41" s="103">
        <v>5.8305175534595219E-9</v>
      </c>
      <c r="CX41" s="103">
        <v>4.9239133435994775E-10</v>
      </c>
    </row>
    <row r="42" spans="1:102" s="95" customFormat="1">
      <c r="A42" s="23"/>
      <c r="B42" s="14" t="s">
        <v>30</v>
      </c>
      <c r="C42" s="105">
        <v>2.9999999990152584E-2</v>
      </c>
      <c r="D42" s="105">
        <v>2.9999999926532035E-2</v>
      </c>
      <c r="E42" s="105">
        <v>2.9999999884124353E-2</v>
      </c>
      <c r="F42" s="105">
        <v>2.9999999907422737E-2</v>
      </c>
      <c r="G42" s="105">
        <v>2.9999999794236624E-2</v>
      </c>
      <c r="H42" s="105">
        <v>2.9999999819008406E-2</v>
      </c>
      <c r="I42" s="105">
        <v>2.9999999689040088E-2</v>
      </c>
      <c r="J42" s="105">
        <v>2.9999999632982752E-2</v>
      </c>
      <c r="K42" s="105">
        <v>2.9999999736417784E-2</v>
      </c>
      <c r="L42" s="105">
        <v>2.9999999669697172E-2</v>
      </c>
      <c r="M42" s="105">
        <v>2.9999999673130905E-2</v>
      </c>
      <c r="N42" s="105">
        <v>2.9999999673430713E-2</v>
      </c>
      <c r="O42" s="105">
        <v>2.999999945238617E-2</v>
      </c>
      <c r="P42" s="105">
        <v>2.9999999594713174E-2</v>
      </c>
      <c r="Q42" s="105">
        <v>2.9999999481428626E-2</v>
      </c>
      <c r="R42" s="105">
        <v>2.9999999578218531E-2</v>
      </c>
      <c r="S42" s="105">
        <v>2.9999999418083591E-2</v>
      </c>
      <c r="T42" s="105">
        <v>2.9999999314813869E-2</v>
      </c>
      <c r="U42" s="105">
        <v>2.9999999647795692E-2</v>
      </c>
      <c r="V42" s="105">
        <v>2.9999999438384353E-2</v>
      </c>
      <c r="W42" s="105">
        <v>2.9999999256322483E-2</v>
      </c>
      <c r="X42" s="105">
        <v>2.9999999552761648E-2</v>
      </c>
      <c r="Y42" s="105">
        <v>2.9999999337759879E-2</v>
      </c>
      <c r="Z42" s="105">
        <v>2.9999999388947388E-2</v>
      </c>
      <c r="AA42" s="105">
        <v>2.9999999415353838E-2</v>
      </c>
      <c r="AB42" s="105">
        <v>2.9999999258278932E-2</v>
      </c>
      <c r="AC42" s="105">
        <v>2.9999999155801146E-2</v>
      </c>
      <c r="AD42" s="105">
        <v>2.9999999362369481E-2</v>
      </c>
      <c r="AE42" s="105">
        <v>2.9999999269955849E-2</v>
      </c>
      <c r="AF42" s="105">
        <v>2.9999999478728872E-2</v>
      </c>
      <c r="AG42" s="105">
        <v>2.9999998651671612E-2</v>
      </c>
      <c r="AH42" s="105">
        <v>2.9999999131728333E-2</v>
      </c>
      <c r="AI42" s="105">
        <v>2.9999999040748564E-2</v>
      </c>
      <c r="AJ42" s="105">
        <v>2.9999998921213234E-2</v>
      </c>
      <c r="AK42" s="105">
        <v>2.9999998124659456E-2</v>
      </c>
      <c r="AL42" s="105">
        <v>2.9999999324751076E-2</v>
      </c>
      <c r="AM42" s="105">
        <v>2.9999999119689966E-2</v>
      </c>
      <c r="AN42" s="105">
        <v>2.9999998822928847E-2</v>
      </c>
      <c r="AO42" s="105">
        <v>2.9999997991555945E-2</v>
      </c>
      <c r="AP42" s="105">
        <v>2.999999880653861E-2</v>
      </c>
      <c r="AQ42" s="105">
        <v>2.9999998796755384E-2</v>
      </c>
      <c r="AR42" s="105">
        <v>2.9999999062444362E-2</v>
      </c>
      <c r="AS42" s="105">
        <v>2.9999998742296714E-2</v>
      </c>
      <c r="AT42" s="105">
        <v>2.999999743447351E-2</v>
      </c>
      <c r="AU42" s="105">
        <v>2.9999998719217106E-2</v>
      </c>
      <c r="AV42" s="105">
        <v>2.9999998679368936E-2</v>
      </c>
      <c r="AW42" s="105">
        <v>2.9999998950812727E-2</v>
      </c>
      <c r="AX42" s="105">
        <v>2.9999998477678036E-2</v>
      </c>
      <c r="AY42" s="105">
        <v>2.9999997152023054E-2</v>
      </c>
      <c r="AZ42" s="105">
        <v>2.9999997644859722E-2</v>
      </c>
      <c r="BA42" s="105">
        <v>2.9999998367450074E-2</v>
      </c>
      <c r="BB42" s="105">
        <v>2.9999998081123479E-2</v>
      </c>
      <c r="BC42" s="105">
        <v>2.9999998319847985E-2</v>
      </c>
      <c r="BD42" s="105">
        <v>2.9999998172473775E-2</v>
      </c>
      <c r="BE42" s="105">
        <v>2.9999998383400433E-2</v>
      </c>
      <c r="BF42" s="105">
        <v>2.9999997927637637E-2</v>
      </c>
      <c r="BG42" s="105">
        <v>2.9999998331970305E-2</v>
      </c>
      <c r="BH42" s="105">
        <v>2.9999997785165555E-2</v>
      </c>
      <c r="BI42" s="105">
        <v>2.9999998366989217E-2</v>
      </c>
      <c r="BJ42" s="105">
        <v>2.9999998039005472E-2</v>
      </c>
      <c r="BK42" s="105">
        <v>2.9999997425981251E-2</v>
      </c>
      <c r="BL42" s="105">
        <v>2.9999997958295981E-2</v>
      </c>
      <c r="BM42" s="105">
        <v>2.9999997032633952E-2</v>
      </c>
      <c r="BN42" s="105">
        <v>2.9999998537376393E-2</v>
      </c>
      <c r="BO42" s="105">
        <v>2.999999769655683E-2</v>
      </c>
      <c r="BP42" s="105">
        <v>2.9999996628714796E-2</v>
      </c>
      <c r="BQ42" s="105">
        <v>2.9999998199591229E-2</v>
      </c>
      <c r="BR42" s="105">
        <v>2.9999997402936417E-2</v>
      </c>
      <c r="BS42" s="105">
        <v>2.999999450082156E-2</v>
      </c>
      <c r="BT42" s="105">
        <v>2.9999997166996174E-2</v>
      </c>
      <c r="BU42" s="105">
        <v>2.9999997693886941E-2</v>
      </c>
      <c r="BV42" s="105">
        <v>2.9999997958308381E-2</v>
      </c>
      <c r="BW42" s="105">
        <v>2.9999997064209454E-2</v>
      </c>
      <c r="BX42" s="105">
        <v>2.9999996949403123E-2</v>
      </c>
      <c r="BY42" s="105">
        <v>2.999999717536166E-2</v>
      </c>
      <c r="BZ42" s="105">
        <v>2.9999997883111296E-2</v>
      </c>
      <c r="CA42" s="105">
        <v>2.9999996748267768E-2</v>
      </c>
      <c r="CB42" s="105">
        <v>2.9999997452788304E-2</v>
      </c>
      <c r="CC42" s="105">
        <v>2.9999998002653624E-2</v>
      </c>
      <c r="CD42" s="105">
        <v>2.999999651164011E-2</v>
      </c>
      <c r="CE42" s="105">
        <v>2.9999996011357836E-2</v>
      </c>
      <c r="CF42" s="105">
        <v>2.9999997213883491E-2</v>
      </c>
      <c r="CG42" s="105">
        <v>2.9999997036468364E-2</v>
      </c>
      <c r="CH42" s="105">
        <v>2.9999996314756989E-2</v>
      </c>
      <c r="CI42" s="105">
        <v>2.9999997341007428E-2</v>
      </c>
      <c r="CJ42" s="105">
        <v>2.9999994347800343E-2</v>
      </c>
      <c r="CK42" s="105">
        <v>2.9999992761840979E-2</v>
      </c>
      <c r="CL42" s="105">
        <v>2.9999995193187332E-2</v>
      </c>
      <c r="CM42" s="105">
        <v>2.9999991657313853E-2</v>
      </c>
      <c r="CN42" s="105">
        <v>2.9999995864235282E-2</v>
      </c>
      <c r="CO42" s="105">
        <v>2.9999996013069425E-2</v>
      </c>
      <c r="CP42" s="105">
        <v>2.9999995962097983E-2</v>
      </c>
      <c r="CQ42" s="105">
        <v>2.9999991327129265E-2</v>
      </c>
      <c r="CR42" s="105">
        <v>2.9999995862158506E-2</v>
      </c>
      <c r="CS42" s="105">
        <v>2.9999995206390604E-2</v>
      </c>
      <c r="CT42" s="105">
        <v>2.9999995902884945E-2</v>
      </c>
      <c r="CU42" s="105">
        <v>2.9999995764707955E-2</v>
      </c>
      <c r="CV42" s="105">
        <v>2.9999986942095828E-2</v>
      </c>
      <c r="CW42" s="105">
        <v>2.9999993746618242E-2</v>
      </c>
      <c r="CX42" s="105">
        <v>2.9999986677934427E-2</v>
      </c>
    </row>
    <row r="43" spans="1:102" s="95" customFormat="1">
      <c r="A43" s="23"/>
      <c r="B43" s="56" t="s">
        <v>56</v>
      </c>
      <c r="C43" s="105">
        <v>0.11132913524513033</v>
      </c>
      <c r="D43" s="105">
        <v>0.11132913515213715</v>
      </c>
      <c r="E43" s="105">
        <v>0.11132913505977637</v>
      </c>
      <c r="F43" s="105">
        <v>0.11132913492899625</v>
      </c>
      <c r="G43" s="105">
        <v>0.11132913484277752</v>
      </c>
      <c r="H43" s="105">
        <v>0.11132913462051076</v>
      </c>
      <c r="I43" s="105">
        <v>0.11132913469391094</v>
      </c>
      <c r="J43" s="105">
        <v>0.11132913488508336</v>
      </c>
      <c r="K43" s="105">
        <v>0.11132913437473331</v>
      </c>
      <c r="L43" s="105">
        <v>0.11132913424591483</v>
      </c>
      <c r="M43" s="105">
        <v>0.11132913444899606</v>
      </c>
      <c r="N43" s="105">
        <v>0.11132913441173822</v>
      </c>
      <c r="O43" s="105">
        <v>0.11132913334475986</v>
      </c>
      <c r="P43" s="105">
        <v>0.11132913462249498</v>
      </c>
      <c r="Q43" s="105">
        <v>0.11132913451176317</v>
      </c>
      <c r="R43" s="105">
        <v>0.11132913437331755</v>
      </c>
      <c r="S43" s="105">
        <v>0.1113291343280015</v>
      </c>
      <c r="T43" s="105">
        <v>0.11132913393248535</v>
      </c>
      <c r="U43" s="105">
        <v>0.11132913384480753</v>
      </c>
      <c r="V43" s="105">
        <v>0.11132913425583391</v>
      </c>
      <c r="W43" s="105">
        <v>0.111329134067507</v>
      </c>
      <c r="X43" s="105">
        <v>0.11132913367589936</v>
      </c>
      <c r="Y43" s="105">
        <v>0.11132913423996292</v>
      </c>
      <c r="Z43" s="105">
        <v>0.11132913401228552</v>
      </c>
      <c r="AA43" s="105">
        <v>0.11132913428479253</v>
      </c>
      <c r="AB43" s="105">
        <v>0.11132913386031869</v>
      </c>
      <c r="AC43" s="105">
        <v>0.11132913338823901</v>
      </c>
      <c r="AD43" s="105">
        <v>0.11132913411690297</v>
      </c>
      <c r="AE43" s="105">
        <v>0.11132913359256497</v>
      </c>
      <c r="AF43" s="105">
        <v>0.11132913335728843</v>
      </c>
      <c r="AG43" s="105">
        <v>0.11132913043936687</v>
      </c>
      <c r="AH43" s="105">
        <v>0.11132913380342217</v>
      </c>
      <c r="AI43" s="105">
        <v>0.11132913366936499</v>
      </c>
      <c r="AJ43" s="105">
        <v>0.11132913332436925</v>
      </c>
      <c r="AK43" s="105">
        <v>0.11132912889723874</v>
      </c>
      <c r="AL43" s="105">
        <v>0.11132913267811896</v>
      </c>
      <c r="AM43" s="105">
        <v>0.11132913307523747</v>
      </c>
      <c r="AN43" s="105">
        <v>0.11132913339963327</v>
      </c>
      <c r="AO43" s="105">
        <v>0.11132912824057385</v>
      </c>
      <c r="AP43" s="105">
        <v>0.11132913333763715</v>
      </c>
      <c r="AQ43" s="105">
        <v>0.11132913300099781</v>
      </c>
      <c r="AR43" s="105">
        <v>0.11132913242244721</v>
      </c>
      <c r="AS43" s="105">
        <v>0.11132913290914853</v>
      </c>
      <c r="AT43" s="105">
        <v>0.11132912585469637</v>
      </c>
      <c r="AU43" s="105">
        <v>0.11132913269885662</v>
      </c>
      <c r="AV43" s="105">
        <v>0.11132913283413931</v>
      </c>
      <c r="AW43" s="105">
        <v>0.1113291332679997</v>
      </c>
      <c r="AX43" s="105">
        <v>0.11132913244127693</v>
      </c>
      <c r="AY43" s="105">
        <v>0.11132912478387819</v>
      </c>
      <c r="AZ43" s="105">
        <v>0.11132912671574824</v>
      </c>
      <c r="BA43" s="105">
        <v>0.11132913172410078</v>
      </c>
      <c r="BB43" s="105">
        <v>0.11132913113962518</v>
      </c>
      <c r="BC43" s="105">
        <v>0.1113291317228389</v>
      </c>
      <c r="BD43" s="105">
        <v>0.11132913188471959</v>
      </c>
      <c r="BE43" s="105">
        <v>0.11132913241223608</v>
      </c>
      <c r="BF43" s="105">
        <v>0.11132913267257086</v>
      </c>
      <c r="BG43" s="105">
        <v>0.11132913126000026</v>
      </c>
      <c r="BH43" s="105">
        <v>0.11132913138492476</v>
      </c>
      <c r="BI43" s="105">
        <v>0.1113291323359248</v>
      </c>
      <c r="BJ43" s="105">
        <v>0.11132913076498745</v>
      </c>
      <c r="BK43" s="105">
        <v>0.11132913211399686</v>
      </c>
      <c r="BL43" s="105">
        <v>0.11132913093047518</v>
      </c>
      <c r="BM43" s="105">
        <v>0.11132912621908506</v>
      </c>
      <c r="BN43" s="105">
        <v>0.11132912933358469</v>
      </c>
      <c r="BO43" s="105">
        <v>0.1113291301643044</v>
      </c>
      <c r="BP43" s="105">
        <v>0.11132912815965285</v>
      </c>
      <c r="BQ43" s="105">
        <v>0.1113291292767626</v>
      </c>
      <c r="BR43" s="105">
        <v>0.11132913116414708</v>
      </c>
      <c r="BS43" s="105">
        <v>0.11132911487377327</v>
      </c>
      <c r="BT43" s="105">
        <v>0.11132912751871077</v>
      </c>
      <c r="BU43" s="105">
        <v>0.11132912788580661</v>
      </c>
      <c r="BV43" s="105">
        <v>0.111329128767758</v>
      </c>
      <c r="BW43" s="105">
        <v>0.11132913043804342</v>
      </c>
      <c r="BX43" s="105">
        <v>0.11132912598262944</v>
      </c>
      <c r="BY43" s="105">
        <v>0.11132913022726754</v>
      </c>
      <c r="BZ43" s="105">
        <v>0.11132912995052772</v>
      </c>
      <c r="CA43" s="105">
        <v>0.11132913006223193</v>
      </c>
      <c r="CB43" s="105">
        <v>0.11132912865048475</v>
      </c>
      <c r="CC43" s="105">
        <v>0.11132912764410365</v>
      </c>
      <c r="CD43" s="105">
        <v>0.11132912969489983</v>
      </c>
      <c r="CE43" s="105">
        <v>0.11132912583247738</v>
      </c>
      <c r="CF43" s="105">
        <v>0.11132912743779534</v>
      </c>
      <c r="CG43" s="105">
        <v>0.11132912976197304</v>
      </c>
      <c r="CH43" s="105">
        <v>0.11132912325539952</v>
      </c>
      <c r="CI43" s="105">
        <v>0.11132912643696861</v>
      </c>
      <c r="CJ43" s="105">
        <v>0.11132911549867931</v>
      </c>
      <c r="CK43" s="105">
        <v>0.1113291106364187</v>
      </c>
      <c r="CL43" s="105">
        <v>0.11132912788194345</v>
      </c>
      <c r="CM43" s="105">
        <v>0.11132910736108612</v>
      </c>
      <c r="CN43" s="105">
        <v>0.11132912454302428</v>
      </c>
      <c r="CO43" s="105">
        <v>0.11132912310602706</v>
      </c>
      <c r="CP43" s="105">
        <v>0.11132912626229161</v>
      </c>
      <c r="CQ43" s="105">
        <v>0.11132910524539306</v>
      </c>
      <c r="CR43" s="105">
        <v>0.11132912436290783</v>
      </c>
      <c r="CS43" s="105">
        <v>0.11132912709533913</v>
      </c>
      <c r="CT43" s="105">
        <v>0.11132912306950393</v>
      </c>
      <c r="CU43" s="105">
        <v>0.11132912348349966</v>
      </c>
      <c r="CV43" s="105">
        <v>0.11132908685912889</v>
      </c>
      <c r="CW43" s="105">
        <v>0.11132911759216822</v>
      </c>
      <c r="CX43" s="105">
        <v>0.11132908677423736</v>
      </c>
    </row>
    <row r="44" spans="1:102" s="95" customFormat="1">
      <c r="A44" s="106"/>
      <c r="B44" s="109" t="s">
        <v>114</v>
      </c>
      <c r="C44" s="107">
        <v>0.6305586598517301</v>
      </c>
      <c r="D44" s="107">
        <v>0.63055865931273103</v>
      </c>
      <c r="E44" s="107">
        <v>0.63055865899185637</v>
      </c>
      <c r="F44" s="107">
        <v>0.63055865804052968</v>
      </c>
      <c r="G44" s="107">
        <v>0.63055865863611926</v>
      </c>
      <c r="H44" s="107">
        <v>0.63055865659071175</v>
      </c>
      <c r="I44" s="107">
        <v>0.63055865771706221</v>
      </c>
      <c r="J44" s="107">
        <v>0.63055865727912597</v>
      </c>
      <c r="K44" s="107">
        <v>0.63055865487490181</v>
      </c>
      <c r="L44" s="107">
        <v>0.63055865640327391</v>
      </c>
      <c r="M44" s="107">
        <v>0.63055865659844179</v>
      </c>
      <c r="N44" s="107">
        <v>0.63055865545193157</v>
      </c>
      <c r="O44" s="107">
        <v>0.63055865870956596</v>
      </c>
      <c r="P44" s="107">
        <v>0.63055865778373488</v>
      </c>
      <c r="Q44" s="107">
        <v>0.63055865792320653</v>
      </c>
      <c r="R44" s="107">
        <v>0.63055865613714435</v>
      </c>
      <c r="S44" s="107">
        <v>0.63055865685415324</v>
      </c>
      <c r="T44" s="107">
        <v>0.63055865875195738</v>
      </c>
      <c r="U44" s="107">
        <v>0.6305586537325848</v>
      </c>
      <c r="V44" s="107">
        <v>0.63055865636742636</v>
      </c>
      <c r="W44" s="107">
        <v>0.63055865639236419</v>
      </c>
      <c r="X44" s="107">
        <v>0.63055865346281148</v>
      </c>
      <c r="Y44" s="107">
        <v>0.63055865658778842</v>
      </c>
      <c r="Z44" s="107">
        <v>0.63055865456389448</v>
      </c>
      <c r="AA44" s="107">
        <v>0.63055865663940991</v>
      </c>
      <c r="AB44" s="107">
        <v>0.63055865442408909</v>
      </c>
      <c r="AC44" s="107">
        <v>0.63055865798212718</v>
      </c>
      <c r="AD44" s="107">
        <v>0.63055865454405668</v>
      </c>
      <c r="AE44" s="107">
        <v>0.63055865373125175</v>
      </c>
      <c r="AF44" s="107">
        <v>0.63055864905361958</v>
      </c>
      <c r="AG44" s="107">
        <v>0.63055866182013887</v>
      </c>
      <c r="AH44" s="107">
        <v>0.63055865558760471</v>
      </c>
      <c r="AI44" s="107">
        <v>0.63055865459297777</v>
      </c>
      <c r="AJ44" s="107">
        <v>0.63055865574208547</v>
      </c>
      <c r="AK44" s="107">
        <v>0.63055866521251813</v>
      </c>
      <c r="AL44" s="107">
        <v>0.63055864923164129</v>
      </c>
      <c r="AM44" s="107">
        <v>0.630558651637247</v>
      </c>
      <c r="AN44" s="107">
        <v>0.63055865422711133</v>
      </c>
      <c r="AO44" s="107">
        <v>0.63055866474839128</v>
      </c>
      <c r="AP44" s="107">
        <v>0.63055865417864032</v>
      </c>
      <c r="AQ44" s="107">
        <v>0.63055864635729209</v>
      </c>
      <c r="AR44" s="107">
        <v>0.63055864496965908</v>
      </c>
      <c r="AS44" s="107">
        <v>0.63055865178554404</v>
      </c>
      <c r="AT44" s="107">
        <v>0.63055866869020649</v>
      </c>
      <c r="AU44" s="107">
        <v>0.63055865136244871</v>
      </c>
      <c r="AV44" s="107">
        <v>0.63055865048527515</v>
      </c>
      <c r="AW44" s="107">
        <v>0.63055864917720017</v>
      </c>
      <c r="AX44" s="107">
        <v>0.63055864929733474</v>
      </c>
      <c r="AY44" s="107">
        <v>0.63055866799634619</v>
      </c>
      <c r="AZ44" s="107">
        <v>0.63055866179265208</v>
      </c>
      <c r="BA44" s="107">
        <v>0.63055865155365143</v>
      </c>
      <c r="BB44" s="107">
        <v>0.63055865599685057</v>
      </c>
      <c r="BC44" s="107">
        <v>0.63055864501610981</v>
      </c>
      <c r="BD44" s="107">
        <v>0.63055864729354638</v>
      </c>
      <c r="BE44" s="107">
        <v>0.6305586514585898</v>
      </c>
      <c r="BF44" s="107">
        <v>0.63055864572375242</v>
      </c>
      <c r="BG44" s="107">
        <v>0.63055864123101135</v>
      </c>
      <c r="BH44" s="107">
        <v>0.63055864622894386</v>
      </c>
      <c r="BI44" s="107">
        <v>0.63055864529937322</v>
      </c>
      <c r="BJ44" s="107">
        <v>0.63055863945014301</v>
      </c>
      <c r="BK44" s="107">
        <v>0.63055864401145767</v>
      </c>
      <c r="BL44" s="107">
        <v>0.6305586400369112</v>
      </c>
      <c r="BM44" s="107">
        <v>0.63055865753569684</v>
      </c>
      <c r="BN44" s="107">
        <v>0.63055863564437686</v>
      </c>
      <c r="BO44" s="107">
        <v>0.63055864062763767</v>
      </c>
      <c r="BP44" s="107">
        <v>0.63055865186135918</v>
      </c>
      <c r="BQ44" s="107">
        <v>0.6305586272905479</v>
      </c>
      <c r="BR44" s="107">
        <v>0.63055864693683306</v>
      </c>
      <c r="BS44" s="107">
        <v>0.63055868277031257</v>
      </c>
      <c r="BT44" s="107">
        <v>0.63055864363498926</v>
      </c>
      <c r="BU44" s="107">
        <v>0.63055864092608238</v>
      </c>
      <c r="BV44" s="107">
        <v>0.63055862539328766</v>
      </c>
      <c r="BW44" s="107">
        <v>0.63055863080875074</v>
      </c>
      <c r="BX44" s="107">
        <v>0.63055864720923882</v>
      </c>
      <c r="BY44" s="107">
        <v>0.63055863758508712</v>
      </c>
      <c r="BZ44" s="107">
        <v>0.63055863004134249</v>
      </c>
      <c r="CA44" s="107">
        <v>0.63055863661978084</v>
      </c>
      <c r="CB44" s="107">
        <v>0.63055863172609872</v>
      </c>
      <c r="CC44" s="107">
        <v>0.63055862764491777</v>
      </c>
      <c r="CD44" s="107">
        <v>0.63055864341561563</v>
      </c>
      <c r="CE44" s="107">
        <v>0.63055865151681656</v>
      </c>
      <c r="CF44" s="107">
        <v>0.63055862087781789</v>
      </c>
      <c r="CG44" s="107">
        <v>0.63055863371301313</v>
      </c>
      <c r="CH44" s="107">
        <v>0.6305586277057813</v>
      </c>
      <c r="CI44" s="107">
        <v>0.63055862439420773</v>
      </c>
      <c r="CJ44" s="107">
        <v>0.63055866395146454</v>
      </c>
      <c r="CK44" s="107">
        <v>0.63055868078261379</v>
      </c>
      <c r="CL44" s="107">
        <v>0.63055862945671681</v>
      </c>
      <c r="CM44" s="107">
        <v>0.63055867595831727</v>
      </c>
      <c r="CN44" s="107">
        <v>0.63055860659784768</v>
      </c>
      <c r="CO44" s="107">
        <v>0.63055862111840988</v>
      </c>
      <c r="CP44" s="107">
        <v>0.63055862207262536</v>
      </c>
      <c r="CQ44" s="107">
        <v>0.630558667619604</v>
      </c>
      <c r="CR44" s="107">
        <v>0.63055861744398856</v>
      </c>
      <c r="CS44" s="107">
        <v>0.6305586195134234</v>
      </c>
      <c r="CT44" s="107">
        <v>0.63055861034222005</v>
      </c>
      <c r="CU44" s="107">
        <v>0.63055859924446578</v>
      </c>
      <c r="CV44" s="107">
        <v>0.63055871382273676</v>
      </c>
      <c r="CW44" s="107">
        <v>0.63055861269492319</v>
      </c>
      <c r="CX44" s="107">
        <v>0.63055870948562864</v>
      </c>
    </row>
    <row r="45" spans="1:102" s="111" customFormat="1">
      <c r="A45" s="88" t="str">
        <f>Parameters!A41</f>
        <v>Groei recessie</v>
      </c>
      <c r="B45" s="102" t="s">
        <v>29</v>
      </c>
      <c r="C45" s="103">
        <v>-4.5944185451608748E-12</v>
      </c>
      <c r="D45" s="103">
        <v>6.4926856567974323E-11</v>
      </c>
      <c r="E45" s="103">
        <v>1.1124997672381358E-10</v>
      </c>
      <c r="F45" s="103">
        <v>3.7381174441977145E-11</v>
      </c>
      <c r="G45" s="103">
        <v>1.3694010001396441E-10</v>
      </c>
      <c r="H45" s="103">
        <v>4.8837536318784896E-12</v>
      </c>
      <c r="I45" s="103">
        <v>3.0028244921977122E-10</v>
      </c>
      <c r="J45" s="103">
        <v>3.0531391069915937E-10</v>
      </c>
      <c r="K45" s="103">
        <v>1.5689063146563441E-10</v>
      </c>
      <c r="L45" s="103">
        <v>1.4240317989479645E-10</v>
      </c>
      <c r="M45" s="103">
        <v>2.1418345545754525E-10</v>
      </c>
      <c r="N45" s="103">
        <v>2.1552389484603142E-10</v>
      </c>
      <c r="O45" s="103">
        <v>-1.2445358678638053E-10</v>
      </c>
      <c r="P45" s="103">
        <v>4.62929564627555E-10</v>
      </c>
      <c r="Q45" s="103">
        <v>1.919976941301986E-11</v>
      </c>
      <c r="R45" s="103">
        <v>2.7805611035221088E-10</v>
      </c>
      <c r="S45" s="103">
        <v>3.1198004799356678E-10</v>
      </c>
      <c r="T45" s="103">
        <v>-7.370859314896753E-11</v>
      </c>
      <c r="U45" s="103">
        <v>-2.8295856213437534E-10</v>
      </c>
      <c r="V45" s="103">
        <v>4.22649896487483E-10</v>
      </c>
      <c r="W45" s="103">
        <v>4.7958509170569517E-10</v>
      </c>
      <c r="X45" s="103">
        <v>-1.4860548298468272E-11</v>
      </c>
      <c r="Y45" s="103">
        <v>5.4159595927412333E-10</v>
      </c>
      <c r="Z45" s="103">
        <v>5.7460085805630575E-10</v>
      </c>
      <c r="AA45" s="103">
        <v>6.2736543694480244E-10</v>
      </c>
      <c r="AB45" s="103">
        <v>6.9653492233540329E-10</v>
      </c>
      <c r="AC45" s="103">
        <v>5.6024247197213823E-10</v>
      </c>
      <c r="AD45" s="103">
        <v>5.8037411845349422E-10</v>
      </c>
      <c r="AE45" s="103">
        <v>4.5909261196286E-10</v>
      </c>
      <c r="AF45" s="103">
        <v>2.7804589829880166E-10</v>
      </c>
      <c r="AG45" s="103">
        <v>-6.0574562139322882E-10</v>
      </c>
      <c r="AH45" s="103">
        <v>3.8969168798975647E-11</v>
      </c>
      <c r="AI45" s="103">
        <v>5.0161988128101952E-10</v>
      </c>
      <c r="AJ45" s="103">
        <v>6.4744482702747694E-10</v>
      </c>
      <c r="AK45" s="103">
        <v>-5.6345411355499476E-10</v>
      </c>
      <c r="AL45" s="103">
        <v>-4.6779895838198891E-10</v>
      </c>
      <c r="AM45" s="103">
        <v>1.4022674003221739E-10</v>
      </c>
      <c r="AN45" s="103">
        <v>1.0978302105204734E-9</v>
      </c>
      <c r="AO45" s="103">
        <v>-6.6339473441127655E-10</v>
      </c>
      <c r="AP45" s="103">
        <v>1.3820433898039656E-9</v>
      </c>
      <c r="AQ45" s="103">
        <v>8.9450053858790001E-10</v>
      </c>
      <c r="AR45" s="103">
        <v>3.5114309492567257E-10</v>
      </c>
      <c r="AS45" s="103">
        <v>8.8481780662748395E-10</v>
      </c>
      <c r="AT45" s="103">
        <v>-1.2792491929150389E-9</v>
      </c>
      <c r="AU45" s="103">
        <v>5.0041280000483662E-10</v>
      </c>
      <c r="AV45" s="103">
        <v>1.2514668250124973E-9</v>
      </c>
      <c r="AW45" s="103">
        <v>8.7099381890358592E-10</v>
      </c>
      <c r="AX45" s="103">
        <v>1.5231216134931841E-9</v>
      </c>
      <c r="AY45" s="103">
        <v>-1.2289054780517593E-9</v>
      </c>
      <c r="AZ45" s="103">
        <v>-1.0505546019456722E-9</v>
      </c>
      <c r="BA45" s="103">
        <v>9.1253016360340786E-10</v>
      </c>
      <c r="BB45" s="103">
        <v>-2.2219506304704685E-10</v>
      </c>
      <c r="BC45" s="103">
        <v>1.5714640971606429E-9</v>
      </c>
      <c r="BD45" s="103">
        <v>1.8354511908195321E-9</v>
      </c>
      <c r="BE45" s="103">
        <v>1.509118713237214E-9</v>
      </c>
      <c r="BF45" s="103">
        <v>1.5488403573739885E-9</v>
      </c>
      <c r="BG45" s="103">
        <v>8.568815233578609E-10</v>
      </c>
      <c r="BH45" s="103">
        <v>1.2588087764430473E-9</v>
      </c>
      <c r="BI45" s="103">
        <v>1.4826052008567139E-9</v>
      </c>
      <c r="BJ45" s="103">
        <v>3.2294368299219298E-10</v>
      </c>
      <c r="BK45" s="103">
        <v>1.5776390377251098E-9</v>
      </c>
      <c r="BL45" s="103">
        <v>2.9437142400147422E-10</v>
      </c>
      <c r="BM45" s="103">
        <v>-8.1965465974036541E-11</v>
      </c>
      <c r="BN45" s="103">
        <v>-1.1979813416291634E-9</v>
      </c>
      <c r="BO45" s="103">
        <v>1.6158689181806457E-9</v>
      </c>
      <c r="BP45" s="103">
        <v>8.5258736637399911E-10</v>
      </c>
      <c r="BQ45" s="103">
        <v>1.0690255602637497E-9</v>
      </c>
      <c r="BR45" s="103">
        <v>2.6394423219014787E-9</v>
      </c>
      <c r="BS45" s="103">
        <v>-2.7467901360884659E-9</v>
      </c>
      <c r="BT45" s="103">
        <v>1.1916407746536008E-9</v>
      </c>
      <c r="BU45" s="103">
        <v>-4.2730756739131334E-10</v>
      </c>
      <c r="BV45" s="103">
        <v>1.3473427088282452E-9</v>
      </c>
      <c r="BW45" s="103">
        <v>2.1775225924967077E-9</v>
      </c>
      <c r="BX45" s="103">
        <v>1.4069850486470872E-10</v>
      </c>
      <c r="BY45" s="103">
        <v>2.5832138601037335E-9</v>
      </c>
      <c r="BZ45" s="103">
        <v>1.5236481066521054E-9</v>
      </c>
      <c r="CA45" s="103">
        <v>3.0377001495937315E-9</v>
      </c>
      <c r="CB45" s="103">
        <v>4.8437416811307769E-10</v>
      </c>
      <c r="CC45" s="103">
        <v>-1.2767251595907395E-9</v>
      </c>
      <c r="CD45" s="103">
        <v>1.7624885477743456E-9</v>
      </c>
      <c r="CE45" s="103">
        <v>1.1883320216880548E-9</v>
      </c>
      <c r="CF45" s="103">
        <v>9.1691772277258053E-10</v>
      </c>
      <c r="CG45" s="103">
        <v>2.6214173999763429E-9</v>
      </c>
      <c r="CH45" s="103">
        <v>1.0437798399699543E-9</v>
      </c>
      <c r="CI45" s="103">
        <v>-5.6602197327639971E-10</v>
      </c>
      <c r="CJ45" s="103">
        <v>-2.0224526903827385E-9</v>
      </c>
      <c r="CK45" s="103">
        <v>-1.896127561846E-9</v>
      </c>
      <c r="CL45" s="103">
        <v>4.5069023674784601E-9</v>
      </c>
      <c r="CM45" s="103">
        <v>-2.1712054448807845E-9</v>
      </c>
      <c r="CN45" s="103">
        <v>3.1698543340109428E-9</v>
      </c>
      <c r="CO45" s="103">
        <v>-2.4646446286081E-10</v>
      </c>
      <c r="CP45" s="103">
        <v>7.199051159391726E-10</v>
      </c>
      <c r="CQ45" s="103">
        <v>-2.5033422908103928E-9</v>
      </c>
      <c r="CR45" s="103">
        <v>1.357346982886533E-9</v>
      </c>
      <c r="CS45" s="103">
        <v>4.2263350980661959E-9</v>
      </c>
      <c r="CT45" s="103">
        <v>-2.6807586042738141E-10</v>
      </c>
      <c r="CU45" s="103">
        <v>1.7348315215747993E-9</v>
      </c>
      <c r="CV45" s="103">
        <v>-6.5072074062823051E-9</v>
      </c>
      <c r="CW45" s="103">
        <v>3.0111856900041916E-10</v>
      </c>
      <c r="CX45" s="103">
        <v>-6.0823225055835739E-9</v>
      </c>
    </row>
    <row r="46" spans="1:102" s="95" customFormat="1">
      <c r="A46" s="23"/>
      <c r="B46" s="14" t="s">
        <v>30</v>
      </c>
      <c r="C46" s="105">
        <v>2.9999999990152584E-2</v>
      </c>
      <c r="D46" s="105">
        <v>2.9999999926532035E-2</v>
      </c>
      <c r="E46" s="105">
        <v>2.9999999884124353E-2</v>
      </c>
      <c r="F46" s="105">
        <v>2.9999999907422734E-2</v>
      </c>
      <c r="G46" s="105">
        <v>2.9999999794236617E-2</v>
      </c>
      <c r="H46" s="105">
        <v>2.9999999819008385E-2</v>
      </c>
      <c r="I46" s="105">
        <v>2.9999999689040067E-2</v>
      </c>
      <c r="J46" s="105">
        <v>2.9999999632982721E-2</v>
      </c>
      <c r="K46" s="105">
        <v>2.9999999736417749E-2</v>
      </c>
      <c r="L46" s="105">
        <v>2.9999999669697144E-2</v>
      </c>
      <c r="M46" s="105">
        <v>2.999999967313087E-2</v>
      </c>
      <c r="N46" s="105">
        <v>2.9999999673430679E-2</v>
      </c>
      <c r="O46" s="105">
        <v>2.9999999452386128E-2</v>
      </c>
      <c r="P46" s="105">
        <v>2.9999999594713146E-2</v>
      </c>
      <c r="Q46" s="105">
        <v>2.9999999481428605E-2</v>
      </c>
      <c r="R46" s="105">
        <v>2.9999999578218483E-2</v>
      </c>
      <c r="S46" s="105">
        <v>2.9999999418083564E-2</v>
      </c>
      <c r="T46" s="105">
        <v>2.9999999314813841E-2</v>
      </c>
      <c r="U46" s="105">
        <v>2.9999999647795605E-2</v>
      </c>
      <c r="V46" s="105">
        <v>2.9999999438384304E-2</v>
      </c>
      <c r="W46" s="105">
        <v>2.99999992563224E-2</v>
      </c>
      <c r="X46" s="105">
        <v>2.9999999552761551E-2</v>
      </c>
      <c r="Y46" s="105">
        <v>2.9999999337759816E-2</v>
      </c>
      <c r="Z46" s="105">
        <v>2.999999938894729E-2</v>
      </c>
      <c r="AA46" s="105">
        <v>2.9999999415353772E-2</v>
      </c>
      <c r="AB46" s="105">
        <v>2.9999999258278814E-2</v>
      </c>
      <c r="AC46" s="105">
        <v>2.9999999155801066E-2</v>
      </c>
      <c r="AD46" s="105">
        <v>2.9999999362369384E-2</v>
      </c>
      <c r="AE46" s="105">
        <v>2.999999926995571E-2</v>
      </c>
      <c r="AF46" s="105">
        <v>2.9999999478728716E-2</v>
      </c>
      <c r="AG46" s="105">
        <v>2.9999998651671453E-2</v>
      </c>
      <c r="AH46" s="105">
        <v>2.9999999131728274E-2</v>
      </c>
      <c r="AI46" s="105">
        <v>2.999999904074848E-2</v>
      </c>
      <c r="AJ46" s="105">
        <v>2.9999998921213095E-2</v>
      </c>
      <c r="AK46" s="105">
        <v>2.9999998124659189E-2</v>
      </c>
      <c r="AL46" s="105">
        <v>2.9999999324750795E-2</v>
      </c>
      <c r="AM46" s="105">
        <v>2.9999999119689747E-2</v>
      </c>
      <c r="AN46" s="105">
        <v>2.9999998822928621E-2</v>
      </c>
      <c r="AO46" s="105">
        <v>2.9999997991555619E-2</v>
      </c>
      <c r="AP46" s="105">
        <v>2.9999998806538364E-2</v>
      </c>
      <c r="AQ46" s="105">
        <v>2.9999998796754992E-2</v>
      </c>
      <c r="AR46" s="105">
        <v>2.9999999062444074E-2</v>
      </c>
      <c r="AS46" s="105">
        <v>2.9999998742296474E-2</v>
      </c>
      <c r="AT46" s="105">
        <v>2.9999997434472989E-2</v>
      </c>
      <c r="AU46" s="105">
        <v>2.9999998719216919E-2</v>
      </c>
      <c r="AV46" s="105">
        <v>2.9999998679368586E-2</v>
      </c>
      <c r="AW46" s="105">
        <v>2.9999998950812373E-2</v>
      </c>
      <c r="AX46" s="105">
        <v>2.9999998477677522E-2</v>
      </c>
      <c r="AY46" s="105">
        <v>2.9999997152022329E-2</v>
      </c>
      <c r="AZ46" s="105">
        <v>2.9999997644859219E-2</v>
      </c>
      <c r="BA46" s="105">
        <v>2.9999998367449706E-2</v>
      </c>
      <c r="BB46" s="105">
        <v>2.9999998081123216E-2</v>
      </c>
      <c r="BC46" s="105">
        <v>2.9999998319847229E-2</v>
      </c>
      <c r="BD46" s="105">
        <v>2.999999817247306E-2</v>
      </c>
      <c r="BE46" s="105">
        <v>2.999999838340002E-2</v>
      </c>
      <c r="BF46" s="105">
        <v>2.9999997927636819E-2</v>
      </c>
      <c r="BG46" s="105">
        <v>2.9999998331969681E-2</v>
      </c>
      <c r="BH46" s="105">
        <v>2.9999997785164892E-2</v>
      </c>
      <c r="BI46" s="105">
        <v>2.9999998366988502E-2</v>
      </c>
      <c r="BJ46" s="105">
        <v>2.999999803900397E-2</v>
      </c>
      <c r="BK46" s="105">
        <v>2.9999997425980165E-2</v>
      </c>
      <c r="BL46" s="105">
        <v>2.9999997958294566E-2</v>
      </c>
      <c r="BM46" s="105">
        <v>2.999999703263306E-2</v>
      </c>
      <c r="BN46" s="105">
        <v>2.9999998537375002E-2</v>
      </c>
      <c r="BO46" s="105">
        <v>2.9999997696555449E-2</v>
      </c>
      <c r="BP46" s="105">
        <v>2.999999662871362E-2</v>
      </c>
      <c r="BQ46" s="105">
        <v>2.9999998199589661E-2</v>
      </c>
      <c r="BR46" s="105">
        <v>2.9999997402935373E-2</v>
      </c>
      <c r="BS46" s="105">
        <v>2.9999994500819079E-2</v>
      </c>
      <c r="BT46" s="105">
        <v>2.9999997166994689E-2</v>
      </c>
      <c r="BU46" s="105">
        <v>2.9999997693885401E-2</v>
      </c>
      <c r="BV46" s="105">
        <v>2.9999997958306442E-2</v>
      </c>
      <c r="BW46" s="105">
        <v>2.9999997064207237E-2</v>
      </c>
      <c r="BX46" s="105">
        <v>2.9999996949401541E-2</v>
      </c>
      <c r="BY46" s="105">
        <v>2.9999997175359859E-2</v>
      </c>
      <c r="BZ46" s="105">
        <v>2.9999997883109333E-2</v>
      </c>
      <c r="CA46" s="105">
        <v>2.9999996748265718E-2</v>
      </c>
      <c r="CB46" s="105">
        <v>2.9999997452785854E-2</v>
      </c>
      <c r="CC46" s="105">
        <v>2.9999998002651105E-2</v>
      </c>
      <c r="CD46" s="105">
        <v>2.999999651163909E-2</v>
      </c>
      <c r="CE46" s="105">
        <v>2.9999996011356382E-2</v>
      </c>
      <c r="CF46" s="105">
        <v>2.9999997213881514E-2</v>
      </c>
      <c r="CG46" s="105">
        <v>2.9999997036466056E-2</v>
      </c>
      <c r="CH46" s="105">
        <v>2.9999996314753582E-2</v>
      </c>
      <c r="CI46" s="105">
        <v>2.99999973410041E-2</v>
      </c>
      <c r="CJ46" s="105">
        <v>2.9999994347797466E-2</v>
      </c>
      <c r="CK46" s="105">
        <v>2.9999992761836923E-2</v>
      </c>
      <c r="CL46" s="105">
        <v>2.9999995193183436E-2</v>
      </c>
      <c r="CM46" s="105">
        <v>2.9999991657308468E-2</v>
      </c>
      <c r="CN46" s="105">
        <v>2.999999586422902E-2</v>
      </c>
      <c r="CO46" s="105">
        <v>2.9999996013064287E-2</v>
      </c>
      <c r="CP46" s="105">
        <v>2.9999995962093864E-2</v>
      </c>
      <c r="CQ46" s="105">
        <v>2.9999991327121975E-2</v>
      </c>
      <c r="CR46" s="105">
        <v>2.9999995862152167E-2</v>
      </c>
      <c r="CS46" s="105">
        <v>2.9999995206385098E-2</v>
      </c>
      <c r="CT46" s="105">
        <v>2.9999995902878208E-2</v>
      </c>
      <c r="CU46" s="105">
        <v>2.9999995764701019E-2</v>
      </c>
      <c r="CV46" s="105">
        <v>2.9999986942081863E-2</v>
      </c>
      <c r="CW46" s="105">
        <v>2.9999993746612341E-2</v>
      </c>
      <c r="CX46" s="105">
        <v>2.9999986677920216E-2</v>
      </c>
    </row>
    <row r="47" spans="1:102" s="95" customFormat="1">
      <c r="A47" s="23"/>
      <c r="B47" s="56" t="s">
        <v>56</v>
      </c>
      <c r="C47" s="105">
        <v>8.9291308853517479E-2</v>
      </c>
      <c r="D47" s="105">
        <v>8.9291308807466802E-2</v>
      </c>
      <c r="E47" s="105">
        <v>8.9291308746947962E-2</v>
      </c>
      <c r="F47" s="105">
        <v>8.9291308736724626E-2</v>
      </c>
      <c r="G47" s="105">
        <v>8.9291308585718321E-2</v>
      </c>
      <c r="H47" s="105">
        <v>8.9291308461150395E-2</v>
      </c>
      <c r="I47" s="105">
        <v>8.9291308527743612E-2</v>
      </c>
      <c r="J47" s="105">
        <v>8.9291308777484105E-2</v>
      </c>
      <c r="K47" s="105">
        <v>8.9291308523184357E-2</v>
      </c>
      <c r="L47" s="105">
        <v>8.9291308334131445E-2</v>
      </c>
      <c r="M47" s="105">
        <v>8.9291308422210086E-2</v>
      </c>
      <c r="N47" s="105">
        <v>8.9291308502633546E-2</v>
      </c>
      <c r="O47" s="105">
        <v>8.9291307440445888E-2</v>
      </c>
      <c r="P47" s="105">
        <v>8.9291308522045074E-2</v>
      </c>
      <c r="Q47" s="105">
        <v>8.9291308232138544E-2</v>
      </c>
      <c r="R47" s="105">
        <v>8.9291308318141874E-2</v>
      </c>
      <c r="S47" s="105">
        <v>8.9291308213768988E-2</v>
      </c>
      <c r="T47" s="105">
        <v>8.9291307749937709E-2</v>
      </c>
      <c r="U47" s="105">
        <v>8.9291307567545497E-2</v>
      </c>
      <c r="V47" s="105">
        <v>8.9291308267323871E-2</v>
      </c>
      <c r="W47" s="105">
        <v>8.9291308244617812E-2</v>
      </c>
      <c r="X47" s="105">
        <v>8.929130781885268E-2</v>
      </c>
      <c r="Y47" s="105">
        <v>8.929130829873462E-2</v>
      </c>
      <c r="Z47" s="105">
        <v>8.9291308182413237E-2</v>
      </c>
      <c r="AA47" s="105">
        <v>8.9291308308065628E-2</v>
      </c>
      <c r="AB47" s="105">
        <v>8.929130804580844E-2</v>
      </c>
      <c r="AC47" s="105">
        <v>8.9291307608437925E-2</v>
      </c>
      <c r="AD47" s="105">
        <v>8.9291308191318614E-2</v>
      </c>
      <c r="AE47" s="105">
        <v>8.9291307685902835E-2</v>
      </c>
      <c r="AF47" s="105">
        <v>8.9291308152508561E-2</v>
      </c>
      <c r="AG47" s="105">
        <v>8.9291304988451045E-2</v>
      </c>
      <c r="AH47" s="105">
        <v>8.9291307755839322E-2</v>
      </c>
      <c r="AI47" s="105">
        <v>8.9291307761757158E-2</v>
      </c>
      <c r="AJ47" s="105">
        <v>8.929130755061597E-2</v>
      </c>
      <c r="AK47" s="105">
        <v>8.9291303840927816E-2</v>
      </c>
      <c r="AL47" s="105">
        <v>8.9291306512595106E-2</v>
      </c>
      <c r="AM47" s="105">
        <v>8.9291307083726137E-2</v>
      </c>
      <c r="AN47" s="105">
        <v>8.9291307888447316E-2</v>
      </c>
      <c r="AO47" s="105">
        <v>8.9291303322513352E-2</v>
      </c>
      <c r="AP47" s="105">
        <v>8.9291307813413823E-2</v>
      </c>
      <c r="AQ47" s="105">
        <v>8.9291308122207674E-2</v>
      </c>
      <c r="AR47" s="105">
        <v>8.9291307607957823E-2</v>
      </c>
      <c r="AS47" s="105">
        <v>8.9291307338606504E-2</v>
      </c>
      <c r="AT47" s="105">
        <v>8.929130128080015E-2</v>
      </c>
      <c r="AU47" s="105">
        <v>8.9291307254835722E-2</v>
      </c>
      <c r="AV47" s="105">
        <v>8.9291307412058249E-2</v>
      </c>
      <c r="AW47" s="105">
        <v>8.9291307714783011E-2</v>
      </c>
      <c r="AX47" s="105">
        <v>8.9291307192157457E-2</v>
      </c>
      <c r="AY47" s="105">
        <v>8.9291300687401182E-2</v>
      </c>
      <c r="AZ47" s="105">
        <v>8.9291301934415604E-2</v>
      </c>
      <c r="BA47" s="105">
        <v>8.9291306690426689E-2</v>
      </c>
      <c r="BB47" s="105">
        <v>8.9291305447943142E-2</v>
      </c>
      <c r="BC47" s="105">
        <v>8.9291306947561391E-2</v>
      </c>
      <c r="BD47" s="105">
        <v>8.9291306864287032E-2</v>
      </c>
      <c r="BE47" s="105">
        <v>8.9291307151778521E-2</v>
      </c>
      <c r="BF47" s="105">
        <v>8.9291307820289115E-2</v>
      </c>
      <c r="BG47" s="105">
        <v>8.9291306834086745E-2</v>
      </c>
      <c r="BH47" s="105">
        <v>8.9291306288323116E-2</v>
      </c>
      <c r="BI47" s="105">
        <v>8.9291307167862155E-2</v>
      </c>
      <c r="BJ47" s="105">
        <v>8.9291305552742978E-2</v>
      </c>
      <c r="BK47" s="105">
        <v>8.9291307357984032E-2</v>
      </c>
      <c r="BL47" s="105">
        <v>8.9291305612192007E-2</v>
      </c>
      <c r="BM47" s="105">
        <v>8.9291302022909094E-2</v>
      </c>
      <c r="BN47" s="105">
        <v>8.9291303392912441E-2</v>
      </c>
      <c r="BO47" s="105">
        <v>8.9291305341455865E-2</v>
      </c>
      <c r="BP47" s="105">
        <v>8.9291304175259198E-2</v>
      </c>
      <c r="BQ47" s="105">
        <v>8.9291306485959454E-2</v>
      </c>
      <c r="BR47" s="105">
        <v>8.9291306599480605E-2</v>
      </c>
      <c r="BS47" s="105">
        <v>8.9291292518445836E-2</v>
      </c>
      <c r="BT47" s="105">
        <v>8.9291303890698795E-2</v>
      </c>
      <c r="BU47" s="105">
        <v>8.9291302722507654E-2</v>
      </c>
      <c r="BV47" s="105">
        <v>8.9291306180932201E-2</v>
      </c>
      <c r="BW47" s="105">
        <v>8.9291307243534582E-2</v>
      </c>
      <c r="BX47" s="105">
        <v>8.9291301734253842E-2</v>
      </c>
      <c r="BY47" s="105">
        <v>8.9291305991203093E-2</v>
      </c>
      <c r="BZ47" s="105">
        <v>8.9291306351536912E-2</v>
      </c>
      <c r="CA47" s="105">
        <v>8.9291306162831402E-2</v>
      </c>
      <c r="CB47" s="105">
        <v>8.9291303722033921E-2</v>
      </c>
      <c r="CC47" s="105">
        <v>8.9291301942321932E-2</v>
      </c>
      <c r="CD47" s="105">
        <v>8.9291304926006718E-2</v>
      </c>
      <c r="CE47" s="105">
        <v>8.9291302075130086E-2</v>
      </c>
      <c r="CF47" s="105">
        <v>8.9291305173670427E-2</v>
      </c>
      <c r="CG47" s="105">
        <v>8.9291305596353204E-2</v>
      </c>
      <c r="CH47" s="105">
        <v>8.9291301946392856E-2</v>
      </c>
      <c r="CI47" s="105">
        <v>8.9291301260886496E-2</v>
      </c>
      <c r="CJ47" s="105">
        <v>8.9291293046190517E-2</v>
      </c>
      <c r="CK47" s="105">
        <v>8.9291289555398598E-2</v>
      </c>
      <c r="CL47" s="105">
        <v>8.9291305172054997E-2</v>
      </c>
      <c r="CM47" s="105">
        <v>8.9291287076170345E-2</v>
      </c>
      <c r="CN47" s="105">
        <v>8.9291303784509043E-2</v>
      </c>
      <c r="CO47" s="105">
        <v>8.9291299003890795E-2</v>
      </c>
      <c r="CP47" s="105">
        <v>8.9291301752627159E-2</v>
      </c>
      <c r="CQ47" s="105">
        <v>8.9291286388055224E-2</v>
      </c>
      <c r="CR47" s="105">
        <v>8.9291300726366346E-2</v>
      </c>
      <c r="CS47" s="105">
        <v>8.9291304355361797E-2</v>
      </c>
      <c r="CT47" s="105">
        <v>8.929129865455683E-2</v>
      </c>
      <c r="CU47" s="105">
        <v>8.9291302641312617E-2</v>
      </c>
      <c r="CV47" s="105">
        <v>8.9291270063761322E-2</v>
      </c>
      <c r="CW47" s="105">
        <v>8.929129768246491E-2</v>
      </c>
      <c r="CX47" s="105">
        <v>8.9291270115929619E-2</v>
      </c>
    </row>
    <row r="48" spans="1:102" s="95" customFormat="1">
      <c r="A48" s="106"/>
      <c r="B48" s="56" t="s">
        <v>114</v>
      </c>
      <c r="C48" s="105">
        <v>0.63055865991732318</v>
      </c>
      <c r="D48" s="105">
        <v>0.63055865930955479</v>
      </c>
      <c r="E48" s="105">
        <v>0.63055865890465745</v>
      </c>
      <c r="F48" s="105">
        <v>0.63055865973619218</v>
      </c>
      <c r="G48" s="105">
        <v>0.63055865895840257</v>
      </c>
      <c r="H48" s="105">
        <v>0.63055866051572595</v>
      </c>
      <c r="I48" s="105">
        <v>0.63055865734475169</v>
      </c>
      <c r="J48" s="105">
        <v>0.63055865751651541</v>
      </c>
      <c r="K48" s="105">
        <v>0.63055865894987906</v>
      </c>
      <c r="L48" s="105">
        <v>0.63055865941189237</v>
      </c>
      <c r="M48" s="105">
        <v>0.63055865849453852</v>
      </c>
      <c r="N48" s="105">
        <v>0.63055865847641934</v>
      </c>
      <c r="O48" s="105">
        <v>0.63055866368001845</v>
      </c>
      <c r="P48" s="105">
        <v>0.6305586556942685</v>
      </c>
      <c r="Q48" s="105">
        <v>0.63055866175116004</v>
      </c>
      <c r="R48" s="105">
        <v>0.63055865808903777</v>
      </c>
      <c r="S48" s="105">
        <v>0.6305586583337629</v>
      </c>
      <c r="T48" s="105">
        <v>0.63055866361853563</v>
      </c>
      <c r="U48" s="105">
        <v>0.63055866485454171</v>
      </c>
      <c r="V48" s="105">
        <v>0.63055865685647405</v>
      </c>
      <c r="W48" s="105">
        <v>0.63055865690367341</v>
      </c>
      <c r="X48" s="105">
        <v>0.63055866188051035</v>
      </c>
      <c r="Y48" s="105">
        <v>0.63055865578213233</v>
      </c>
      <c r="Z48" s="105">
        <v>0.63055865515231246</v>
      </c>
      <c r="AA48" s="105">
        <v>0.63055865437783731</v>
      </c>
      <c r="AB48" s="105">
        <v>0.63055865416636225</v>
      </c>
      <c r="AC48" s="105">
        <v>0.63055865631054941</v>
      </c>
      <c r="AD48" s="105">
        <v>0.63055865519113319</v>
      </c>
      <c r="AE48" s="105">
        <v>0.63055865710429093</v>
      </c>
      <c r="AF48" s="105">
        <v>0.63055865850634141</v>
      </c>
      <c r="AG48" s="105">
        <v>0.63055867309191793</v>
      </c>
      <c r="AH48" s="105">
        <v>0.63055866296881702</v>
      </c>
      <c r="AI48" s="105">
        <v>0.63055865753042117</v>
      </c>
      <c r="AJ48" s="105">
        <v>0.63055865619725426</v>
      </c>
      <c r="AK48" s="105">
        <v>0.63055867476975458</v>
      </c>
      <c r="AL48" s="105">
        <v>0.63055866853430498</v>
      </c>
      <c r="AM48" s="105">
        <v>0.63055866174553266</v>
      </c>
      <c r="AN48" s="105">
        <v>0.63055865094377894</v>
      </c>
      <c r="AO48" s="105">
        <v>0.6305586765850747</v>
      </c>
      <c r="AP48" s="105">
        <v>0.63055864743726264</v>
      </c>
      <c r="AQ48" s="105">
        <v>0.63055865361130259</v>
      </c>
      <c r="AR48" s="105">
        <v>0.63055865933236233</v>
      </c>
      <c r="AS48" s="105">
        <v>0.63055865396145849</v>
      </c>
      <c r="AT48" s="105">
        <v>0.63055868666810988</v>
      </c>
      <c r="AU48" s="105">
        <v>0.63055865889383478</v>
      </c>
      <c r="AV48" s="105">
        <v>0.6305586496130845</v>
      </c>
      <c r="AW48" s="105">
        <v>0.63055865326101879</v>
      </c>
      <c r="AX48" s="105">
        <v>0.63055864704153919</v>
      </c>
      <c r="AY48" s="105">
        <v>0.63055868721917141</v>
      </c>
      <c r="AZ48" s="105">
        <v>0.6305586829090789</v>
      </c>
      <c r="BA48" s="105">
        <v>0.63055865518464005</v>
      </c>
      <c r="BB48" s="105">
        <v>0.63055867065945903</v>
      </c>
      <c r="BC48" s="105">
        <v>0.63055864709522325</v>
      </c>
      <c r="BD48" s="105">
        <v>0.63055864439237452</v>
      </c>
      <c r="BE48" s="105">
        <v>0.63055864761300717</v>
      </c>
      <c r="BF48" s="105">
        <v>0.63055864902441316</v>
      </c>
      <c r="BG48" s="105">
        <v>0.63055865603344186</v>
      </c>
      <c r="BH48" s="105">
        <v>0.63055865327025429</v>
      </c>
      <c r="BI48" s="105">
        <v>0.63055864801534833</v>
      </c>
      <c r="BJ48" s="105">
        <v>0.63055866397853022</v>
      </c>
      <c r="BK48" s="105">
        <v>0.63055865076566198</v>
      </c>
      <c r="BL48" s="105">
        <v>0.63055866467637967</v>
      </c>
      <c r="BM48" s="105">
        <v>0.63055867329192306</v>
      </c>
      <c r="BN48" s="105">
        <v>0.63055868102117429</v>
      </c>
      <c r="BO48" s="105">
        <v>0.63055864915018944</v>
      </c>
      <c r="BP48" s="105">
        <v>0.63055866322946352</v>
      </c>
      <c r="BQ48" s="105">
        <v>0.63055865391987731</v>
      </c>
      <c r="BR48" s="105">
        <v>0.63055863750539909</v>
      </c>
      <c r="BS48" s="105">
        <v>0.63055871743020353</v>
      </c>
      <c r="BT48" s="105">
        <v>0.63055865670726896</v>
      </c>
      <c r="BU48" s="105">
        <v>0.63055867486340511</v>
      </c>
      <c r="BV48" s="105">
        <v>0.63055865143053891</v>
      </c>
      <c r="BW48" s="105">
        <v>0.63055864473642842</v>
      </c>
      <c r="BX48" s="105">
        <v>0.63055867083993655</v>
      </c>
      <c r="BY48" s="105">
        <v>0.6305586391669793</v>
      </c>
      <c r="BZ48" s="105">
        <v>0.63055864952802787</v>
      </c>
      <c r="CA48" s="105">
        <v>0.63055863524066358</v>
      </c>
      <c r="CB48" s="105">
        <v>0.63055866440592379</v>
      </c>
      <c r="CC48" s="105">
        <v>0.63055868425390393</v>
      </c>
      <c r="CD48" s="105">
        <v>0.63055865227432484</v>
      </c>
      <c r="CE48" s="105">
        <v>0.63055866159465301</v>
      </c>
      <c r="CF48" s="105">
        <v>0.63055865996652838</v>
      </c>
      <c r="CG48" s="105">
        <v>0.63055863926880218</v>
      </c>
      <c r="CH48" s="105">
        <v>0.63055866214084966</v>
      </c>
      <c r="CI48" s="105">
        <v>0.63055867808803834</v>
      </c>
      <c r="CJ48" s="105">
        <v>0.63055870896008459</v>
      </c>
      <c r="CK48" s="105">
        <v>0.63055871402115438</v>
      </c>
      <c r="CL48" s="105">
        <v>0.6305586232796061</v>
      </c>
      <c r="CM48" s="105">
        <v>0.63055872211293429</v>
      </c>
      <c r="CN48" s="105">
        <v>0.63055863728513328</v>
      </c>
      <c r="CO48" s="105">
        <v>0.63055867963643131</v>
      </c>
      <c r="CP48" s="105">
        <v>0.63055866769376734</v>
      </c>
      <c r="CQ48" s="105">
        <v>0.63055872767555265</v>
      </c>
      <c r="CR48" s="105">
        <v>0.63055866009417438</v>
      </c>
      <c r="CS48" s="105">
        <v>0.63055862675362973</v>
      </c>
      <c r="CT48" s="105">
        <v>0.63055868037031726</v>
      </c>
      <c r="CU48" s="105">
        <v>0.63055865575425618</v>
      </c>
      <c r="CV48" s="105">
        <v>0.63055879642908863</v>
      </c>
      <c r="CW48" s="105">
        <v>0.63055868225171108</v>
      </c>
      <c r="CX48" s="105">
        <v>0.63055879219194255</v>
      </c>
    </row>
    <row r="49" spans="1:102" s="111" customFormat="1">
      <c r="A49" s="88" t="str">
        <f>Parameters!A42</f>
        <v>Inflatie is een fiscaal verschijnsel</v>
      </c>
      <c r="B49" s="102" t="s">
        <v>29</v>
      </c>
      <c r="C49" s="103">
        <v>3.2784436847774764E-11</v>
      </c>
      <c r="D49" s="103">
        <v>1.9747884064252257E-10</v>
      </c>
      <c r="E49" s="103">
        <v>1.3151139447013636E-10</v>
      </c>
      <c r="F49" s="103">
        <v>3.6908375717297897E-10</v>
      </c>
      <c r="G49" s="103">
        <v>5.6152138030581641E-10</v>
      </c>
      <c r="H49" s="103">
        <v>7.3369833185991402E-10</v>
      </c>
      <c r="I49" s="103">
        <v>3.4929851697413387E-10</v>
      </c>
      <c r="J49" s="103">
        <v>9.9724167081736979E-10</v>
      </c>
      <c r="K49" s="103">
        <v>9.1470512259952645E-10</v>
      </c>
      <c r="L49" s="103">
        <v>1.0904255600744324E-9</v>
      </c>
      <c r="M49" s="103">
        <v>8.6367015417716616E-10</v>
      </c>
      <c r="N49" s="103">
        <v>1.0388110653863667E-9</v>
      </c>
      <c r="O49" s="103">
        <v>1.8676665352117909E-9</v>
      </c>
      <c r="P49" s="103">
        <v>8.4589714686241074E-10</v>
      </c>
      <c r="Q49" s="103">
        <v>8.7031183661381332E-10</v>
      </c>
      <c r="R49" s="103">
        <v>1.3928658964322599E-9</v>
      </c>
      <c r="S49" s="103">
        <v>8.0461826621785562E-10</v>
      </c>
      <c r="T49" s="103">
        <v>1.3722403956922919E-9</v>
      </c>
      <c r="U49" s="103">
        <v>1.7533694080867595E-9</v>
      </c>
      <c r="V49" s="103">
        <v>1.2137663621663215E-9</v>
      </c>
      <c r="W49" s="103">
        <v>2.0228434903642097E-9</v>
      </c>
      <c r="X49" s="103">
        <v>1.8247395199064521E-9</v>
      </c>
      <c r="Y49" s="103">
        <v>1.4475171621637369E-9</v>
      </c>
      <c r="Z49" s="103">
        <v>8.8346973784075619E-10</v>
      </c>
      <c r="AA49" s="103">
        <v>1.279543806650068E-9</v>
      </c>
      <c r="AB49" s="103">
        <v>8.7990694589378432E-10</v>
      </c>
      <c r="AC49" s="103">
        <v>1.9885597975765436E-9</v>
      </c>
      <c r="AD49" s="103">
        <v>1.5150325819976524E-9</v>
      </c>
      <c r="AE49" s="103">
        <v>1.3259487226234588E-9</v>
      </c>
      <c r="AF49" s="103">
        <v>2.01582266037499E-9</v>
      </c>
      <c r="AG49" s="103">
        <v>4.654827797255245E-9</v>
      </c>
      <c r="AH49" s="103">
        <v>1.6111758850033792E-9</v>
      </c>
      <c r="AI49" s="103">
        <v>1.3559008051217701E-9</v>
      </c>
      <c r="AJ49" s="103">
        <v>2.3101677944183894E-9</v>
      </c>
      <c r="AK49" s="103">
        <v>5.8872059807525274E-9</v>
      </c>
      <c r="AL49" s="103">
        <v>3.2120167032238715E-9</v>
      </c>
      <c r="AM49" s="103">
        <v>2.3987270300480061E-9</v>
      </c>
      <c r="AN49" s="103">
        <v>2.7488264668746843E-9</v>
      </c>
      <c r="AO49" s="103">
        <v>6.2414551430601819E-9</v>
      </c>
      <c r="AP49" s="103">
        <v>2.3897098524401331E-9</v>
      </c>
      <c r="AQ49" s="103">
        <v>3.7190517491609237E-9</v>
      </c>
      <c r="AR49" s="103">
        <v>3.1103953976894696E-9</v>
      </c>
      <c r="AS49" s="103">
        <v>2.1458590130059167E-9</v>
      </c>
      <c r="AT49" s="103">
        <v>8.5761743106156996E-9</v>
      </c>
      <c r="AU49" s="103">
        <v>2.720769564787302E-9</v>
      </c>
      <c r="AV49" s="103">
        <v>2.0170927923121575E-9</v>
      </c>
      <c r="AW49" s="103">
        <v>3.246574885259298E-9</v>
      </c>
      <c r="AX49" s="103">
        <v>1.6044434017536561E-9</v>
      </c>
      <c r="AY49" s="103">
        <v>9.4794500688439986E-9</v>
      </c>
      <c r="AZ49" s="103">
        <v>8.0233045181020912E-9</v>
      </c>
      <c r="BA49" s="103">
        <v>4.0786403829525115E-9</v>
      </c>
      <c r="BB49" s="103">
        <v>4.3023317055041484E-9</v>
      </c>
      <c r="BC49" s="103">
        <v>2.4154172526302961E-9</v>
      </c>
      <c r="BD49" s="103">
        <v>1.980713114378977E-9</v>
      </c>
      <c r="BE49" s="103">
        <v>3.7230004080267239E-9</v>
      </c>
      <c r="BF49" s="103">
        <v>5.6048909855614007E-9</v>
      </c>
      <c r="BG49" s="103">
        <v>3.9985553170714499E-9</v>
      </c>
      <c r="BH49" s="103">
        <v>3.8909385582759199E-9</v>
      </c>
      <c r="BI49" s="103">
        <v>4.841330399934094E-9</v>
      </c>
      <c r="BJ49" s="103">
        <v>7.0001762454548102E-9</v>
      </c>
      <c r="BK49" s="103">
        <v>6.2526612298736181E-9</v>
      </c>
      <c r="BL49" s="103">
        <v>6.6991307662167986E-9</v>
      </c>
      <c r="BM49" s="103">
        <v>9.7910208705197063E-9</v>
      </c>
      <c r="BN49" s="103">
        <v>7.2325210472095828E-9</v>
      </c>
      <c r="BO49" s="103">
        <v>3.8858808683511103E-9</v>
      </c>
      <c r="BP49" s="103">
        <v>9.5940800084281172E-9</v>
      </c>
      <c r="BQ49" s="103">
        <v>6.1717461497401535E-9</v>
      </c>
      <c r="BR49" s="103">
        <v>5.158022388927311E-9</v>
      </c>
      <c r="BS49" s="103">
        <v>1.833481612142109E-8</v>
      </c>
      <c r="BT49" s="103">
        <v>7.0154424556121259E-9</v>
      </c>
      <c r="BU49" s="103">
        <v>8.3892163762703283E-9</v>
      </c>
      <c r="BV49" s="103">
        <v>6.2983155123439096E-9</v>
      </c>
      <c r="BW49" s="103">
        <v>8.8339631444618493E-9</v>
      </c>
      <c r="BX49" s="103">
        <v>9.9750724056779149E-9</v>
      </c>
      <c r="BY49" s="103">
        <v>5.5884663619697633E-9</v>
      </c>
      <c r="BZ49" s="103">
        <v>7.5399538136538685E-9</v>
      </c>
      <c r="CA49" s="103">
        <v>5.6827502326659746E-9</v>
      </c>
      <c r="CB49" s="103">
        <v>7.9180505592788627E-9</v>
      </c>
      <c r="CC49" s="103">
        <v>9.4963362912448383E-9</v>
      </c>
      <c r="CD49" s="103">
        <v>5.5109893803470229E-9</v>
      </c>
      <c r="CE49" s="103">
        <v>1.0107750184625134E-8</v>
      </c>
      <c r="CF49" s="103">
        <v>8.5163363083523864E-9</v>
      </c>
      <c r="CG49" s="103">
        <v>7.149819163902866E-9</v>
      </c>
      <c r="CH49" s="103">
        <v>1.108588200858314E-8</v>
      </c>
      <c r="CI49" s="103">
        <v>9.7736206551130856E-9</v>
      </c>
      <c r="CJ49" s="103">
        <v>1.8907837251529674E-8</v>
      </c>
      <c r="CK49" s="103">
        <v>2.2766834337103987E-8</v>
      </c>
      <c r="CL49" s="103">
        <v>9.3529752171904971E-9</v>
      </c>
      <c r="CM49" s="103">
        <v>2.4611737226163919E-8</v>
      </c>
      <c r="CN49" s="103">
        <v>1.0802463120093759E-8</v>
      </c>
      <c r="CO49" s="103">
        <v>1.5579893540916286E-8</v>
      </c>
      <c r="CP49" s="103">
        <v>1.2254509471355785E-8</v>
      </c>
      <c r="CQ49" s="103">
        <v>2.8965940636775309E-8</v>
      </c>
      <c r="CR49" s="103">
        <v>1.3152271919047756E-8</v>
      </c>
      <c r="CS49" s="103">
        <v>1.1578914668384144E-8</v>
      </c>
      <c r="CT49" s="103">
        <v>1.4675210547208686E-8</v>
      </c>
      <c r="CU49" s="103">
        <v>1.4608130400051415E-8</v>
      </c>
      <c r="CV49" s="103">
        <v>4.3523247841159245E-8</v>
      </c>
      <c r="CW49" s="103">
        <v>1.8353735354783497E-8</v>
      </c>
      <c r="CX49" s="103">
        <v>4.4123419967397205E-8</v>
      </c>
    </row>
    <row r="50" spans="1:102" s="95" customFormat="1">
      <c r="A50" s="23"/>
      <c r="B50" s="14" t="s">
        <v>30</v>
      </c>
      <c r="C50" s="105">
        <v>2.9999999990152584E-2</v>
      </c>
      <c r="D50" s="105">
        <v>2.9999999926532035E-2</v>
      </c>
      <c r="E50" s="105">
        <v>2.9999999884124353E-2</v>
      </c>
      <c r="F50" s="105">
        <v>2.9999999907422723E-2</v>
      </c>
      <c r="G50" s="105">
        <v>2.9999999794236617E-2</v>
      </c>
      <c r="H50" s="105">
        <v>2.9999999819008378E-2</v>
      </c>
      <c r="I50" s="105">
        <v>2.9999999689040067E-2</v>
      </c>
      <c r="J50" s="105">
        <v>2.9999999632982745E-2</v>
      </c>
      <c r="K50" s="105">
        <v>2.9999999736417687E-2</v>
      </c>
      <c r="L50" s="105">
        <v>2.9999999669697117E-2</v>
      </c>
      <c r="M50" s="105">
        <v>2.9999999673130863E-2</v>
      </c>
      <c r="N50" s="105">
        <v>2.9999999673430647E-2</v>
      </c>
      <c r="O50" s="105">
        <v>2.9999999452386142E-2</v>
      </c>
      <c r="P50" s="105">
        <v>2.9999999594713157E-2</v>
      </c>
      <c r="Q50" s="105">
        <v>2.9999999481428702E-2</v>
      </c>
      <c r="R50" s="105">
        <v>2.9999999578218483E-2</v>
      </c>
      <c r="S50" s="105">
        <v>2.9999999418083581E-2</v>
      </c>
      <c r="T50" s="105">
        <v>2.9999999314813949E-2</v>
      </c>
      <c r="U50" s="105">
        <v>2.9999999647795577E-2</v>
      </c>
      <c r="V50" s="105">
        <v>2.9999999438384328E-2</v>
      </c>
      <c r="W50" s="105">
        <v>2.9999999256322456E-2</v>
      </c>
      <c r="X50" s="105">
        <v>2.999999955276153E-2</v>
      </c>
      <c r="Y50" s="105">
        <v>2.9999999337759854E-2</v>
      </c>
      <c r="Z50" s="105">
        <v>2.9999999388947273E-2</v>
      </c>
      <c r="AA50" s="105">
        <v>2.9999999415353799E-2</v>
      </c>
      <c r="AB50" s="105">
        <v>2.9999999258278807E-2</v>
      </c>
      <c r="AC50" s="105">
        <v>2.9999999155801104E-2</v>
      </c>
      <c r="AD50" s="105">
        <v>2.9999999362369387E-2</v>
      </c>
      <c r="AE50" s="105">
        <v>2.9999999269955731E-2</v>
      </c>
      <c r="AF50" s="105">
        <v>2.9999999478728407E-2</v>
      </c>
      <c r="AG50" s="105">
        <v>2.9999998651671553E-2</v>
      </c>
      <c r="AH50" s="105">
        <v>2.9999999131728492E-2</v>
      </c>
      <c r="AI50" s="105">
        <v>2.9999999040748522E-2</v>
      </c>
      <c r="AJ50" s="105">
        <v>2.9999998921213213E-2</v>
      </c>
      <c r="AK50" s="105">
        <v>2.9999998124659394E-2</v>
      </c>
      <c r="AL50" s="105">
        <v>2.9999999324750715E-2</v>
      </c>
      <c r="AM50" s="105">
        <v>2.9999999119689796E-2</v>
      </c>
      <c r="AN50" s="105">
        <v>2.9999998822928749E-2</v>
      </c>
      <c r="AO50" s="105">
        <v>2.9999997991555855E-2</v>
      </c>
      <c r="AP50" s="105">
        <v>2.9999998806538485E-2</v>
      </c>
      <c r="AQ50" s="105">
        <v>2.9999998796754877E-2</v>
      </c>
      <c r="AR50" s="105">
        <v>2.9999999062443546E-2</v>
      </c>
      <c r="AS50" s="105">
        <v>2.9999998742296457E-2</v>
      </c>
      <c r="AT50" s="105">
        <v>2.9999997434473413E-2</v>
      </c>
      <c r="AU50" s="105">
        <v>2.9999998719217016E-2</v>
      </c>
      <c r="AV50" s="105">
        <v>2.9999998679368593E-2</v>
      </c>
      <c r="AW50" s="105">
        <v>2.9999998950812366E-2</v>
      </c>
      <c r="AX50" s="105">
        <v>2.9999998477677529E-2</v>
      </c>
      <c r="AY50" s="105">
        <v>2.9999997152022877E-2</v>
      </c>
      <c r="AZ50" s="105">
        <v>2.9999997644859482E-2</v>
      </c>
      <c r="BA50" s="105">
        <v>2.9999998367449824E-2</v>
      </c>
      <c r="BB50" s="105">
        <v>2.9999998081123885E-2</v>
      </c>
      <c r="BC50" s="105">
        <v>2.9999998319847076E-2</v>
      </c>
      <c r="BD50" s="105">
        <v>2.999999817247307E-2</v>
      </c>
      <c r="BE50" s="105">
        <v>2.9999998383400169E-2</v>
      </c>
      <c r="BF50" s="105">
        <v>2.9999997927637353E-2</v>
      </c>
      <c r="BG50" s="105">
        <v>2.9999998331969115E-2</v>
      </c>
      <c r="BH50" s="105">
        <v>2.9999997785165114E-2</v>
      </c>
      <c r="BI50" s="105">
        <v>2.9999998366988519E-2</v>
      </c>
      <c r="BJ50" s="105">
        <v>2.999999803900438E-2</v>
      </c>
      <c r="BK50" s="105">
        <v>2.9999997425981226E-2</v>
      </c>
      <c r="BL50" s="105">
        <v>2.9999997958295128E-2</v>
      </c>
      <c r="BM50" s="105">
        <v>2.999999703263349E-2</v>
      </c>
      <c r="BN50" s="105">
        <v>2.9999998537374475E-2</v>
      </c>
      <c r="BO50" s="105">
        <v>2.999999769655563E-2</v>
      </c>
      <c r="BP50" s="105">
        <v>2.999999662871454E-2</v>
      </c>
      <c r="BQ50" s="105">
        <v>2.9999998199587059E-2</v>
      </c>
      <c r="BR50" s="105">
        <v>2.9999997402935921E-2</v>
      </c>
      <c r="BS50" s="105">
        <v>2.9999994500821265E-2</v>
      </c>
      <c r="BT50" s="105">
        <v>2.9999997166994471E-2</v>
      </c>
      <c r="BU50" s="105">
        <v>2.9999997693885515E-2</v>
      </c>
      <c r="BV50" s="105">
        <v>2.999999795830369E-2</v>
      </c>
      <c r="BW50" s="105">
        <v>2.9999997064207473E-2</v>
      </c>
      <c r="BX50" s="105">
        <v>2.9999996949401985E-2</v>
      </c>
      <c r="BY50" s="105">
        <v>2.9999997175359967E-2</v>
      </c>
      <c r="BZ50" s="105">
        <v>2.9999997883108184E-2</v>
      </c>
      <c r="CA50" s="105">
        <v>2.9999996748266072E-2</v>
      </c>
      <c r="CB50" s="105">
        <v>2.9999997452786201E-2</v>
      </c>
      <c r="CC50" s="105">
        <v>2.9999998002650432E-2</v>
      </c>
      <c r="CD50" s="105">
        <v>2.9999996511640356E-2</v>
      </c>
      <c r="CE50" s="105">
        <v>2.9999996011357288E-2</v>
      </c>
      <c r="CF50" s="105">
        <v>2.9999997213878235E-2</v>
      </c>
      <c r="CG50" s="105">
        <v>2.9999997036466143E-2</v>
      </c>
      <c r="CH50" s="105">
        <v>2.9999996314750973E-2</v>
      </c>
      <c r="CI50" s="105">
        <v>2.9999997341003795E-2</v>
      </c>
      <c r="CJ50" s="105">
        <v>2.9999994347799097E-2</v>
      </c>
      <c r="CK50" s="105">
        <v>2.9999992761840098E-2</v>
      </c>
      <c r="CL50" s="105">
        <v>2.999999519318473E-2</v>
      </c>
      <c r="CM50" s="105">
        <v>2.9999991657311858E-2</v>
      </c>
      <c r="CN50" s="105">
        <v>2.9999995864224534E-2</v>
      </c>
      <c r="CO50" s="105">
        <v>2.9999996013064769E-2</v>
      </c>
      <c r="CP50" s="105">
        <v>2.9999995962095152E-2</v>
      </c>
      <c r="CQ50" s="105">
        <v>2.9999991327126052E-2</v>
      </c>
      <c r="CR50" s="105">
        <v>2.9999995862153638E-2</v>
      </c>
      <c r="CS50" s="105">
        <v>2.999999520638574E-2</v>
      </c>
      <c r="CT50" s="105">
        <v>2.9999995902878447E-2</v>
      </c>
      <c r="CU50" s="105">
        <v>2.9999995764696252E-2</v>
      </c>
      <c r="CV50" s="105">
        <v>2.9999986942094117E-2</v>
      </c>
      <c r="CW50" s="105">
        <v>2.9999993746609135E-2</v>
      </c>
      <c r="CX50" s="105">
        <v>2.9999986677932411E-2</v>
      </c>
    </row>
    <row r="51" spans="1:102" s="95" customFormat="1">
      <c r="A51" s="23"/>
      <c r="B51" s="56" t="s">
        <v>56</v>
      </c>
      <c r="C51" s="105">
        <v>0.10897750336055818</v>
      </c>
      <c r="D51" s="105">
        <v>0.10897750329578201</v>
      </c>
      <c r="E51" s="105">
        <v>0.10897750324501354</v>
      </c>
      <c r="F51" s="105">
        <v>0.10897750316914122</v>
      </c>
      <c r="G51" s="105">
        <v>0.10897750304704142</v>
      </c>
      <c r="H51" s="105">
        <v>0.10897750295651235</v>
      </c>
      <c r="I51" s="105">
        <v>0.10897750299192961</v>
      </c>
      <c r="J51" s="105">
        <v>0.1089775031298566</v>
      </c>
      <c r="K51" s="105">
        <v>0.10897750283702841</v>
      </c>
      <c r="L51" s="105">
        <v>0.10897750263440756</v>
      </c>
      <c r="M51" s="105">
        <v>0.10897750277757771</v>
      </c>
      <c r="N51" s="105">
        <v>0.10897750284782592</v>
      </c>
      <c r="O51" s="105">
        <v>0.10897750167941415</v>
      </c>
      <c r="P51" s="105">
        <v>0.10897750293525851</v>
      </c>
      <c r="Q51" s="105">
        <v>0.10897750306110041</v>
      </c>
      <c r="R51" s="105">
        <v>0.10897750260961603</v>
      </c>
      <c r="S51" s="105">
        <v>0.10897750285457554</v>
      </c>
      <c r="T51" s="105">
        <v>0.10897750250621624</v>
      </c>
      <c r="U51" s="105">
        <v>0.10897750236437875</v>
      </c>
      <c r="V51" s="105">
        <v>0.10897750275926826</v>
      </c>
      <c r="W51" s="105">
        <v>0.10897750242621765</v>
      </c>
      <c r="X51" s="105">
        <v>0.10897750222510021</v>
      </c>
      <c r="Y51" s="105">
        <v>0.10897750267272498</v>
      </c>
      <c r="Z51" s="105">
        <v>0.10897750254648608</v>
      </c>
      <c r="AA51" s="105">
        <v>0.10897750269819051</v>
      </c>
      <c r="AB51" s="105">
        <v>0.10897750245137866</v>
      </c>
      <c r="AC51" s="105">
        <v>0.10897750183017343</v>
      </c>
      <c r="AD51" s="105">
        <v>0.1089775024990237</v>
      </c>
      <c r="AE51" s="105">
        <v>0.10897750220275354</v>
      </c>
      <c r="AF51" s="105">
        <v>0.10897750221965861</v>
      </c>
      <c r="AG51" s="105">
        <v>0.1089774988202397</v>
      </c>
      <c r="AH51" s="105">
        <v>0.10897750269909945</v>
      </c>
      <c r="AI51" s="105">
        <v>0.10897750247369739</v>
      </c>
      <c r="AJ51" s="105">
        <v>0.10897750202575916</v>
      </c>
      <c r="AK51" s="105">
        <v>0.1089774972946598</v>
      </c>
      <c r="AL51" s="105">
        <v>0.10897750150075147</v>
      </c>
      <c r="AM51" s="105">
        <v>0.10897750192165799</v>
      </c>
      <c r="AN51" s="105">
        <v>0.1089775020139578</v>
      </c>
      <c r="AO51" s="105">
        <v>0.10897749667925075</v>
      </c>
      <c r="AP51" s="105">
        <v>0.10897750205782718</v>
      </c>
      <c r="AQ51" s="105">
        <v>0.10897750194964646</v>
      </c>
      <c r="AR51" s="105">
        <v>0.10897750171078427</v>
      </c>
      <c r="AS51" s="105">
        <v>0.10897750173748394</v>
      </c>
      <c r="AT51" s="105">
        <v>0.10897749428519267</v>
      </c>
      <c r="AU51" s="105">
        <v>0.1089775018814403</v>
      </c>
      <c r="AV51" s="105">
        <v>0.10897750166417025</v>
      </c>
      <c r="AW51" s="105">
        <v>0.10897750174648078</v>
      </c>
      <c r="AX51" s="105">
        <v>0.10897750147067764</v>
      </c>
      <c r="AY51" s="105">
        <v>0.10897749332376519</v>
      </c>
      <c r="AZ51" s="105">
        <v>0.10897749540067041</v>
      </c>
      <c r="BA51" s="105">
        <v>0.10897750079184351</v>
      </c>
      <c r="BB51" s="105">
        <v>0.10897750047980824</v>
      </c>
      <c r="BC51" s="105">
        <v>0.10897750104058225</v>
      </c>
      <c r="BD51" s="105">
        <v>0.10897750109166345</v>
      </c>
      <c r="BE51" s="105">
        <v>0.10897750127016691</v>
      </c>
      <c r="BF51" s="105">
        <v>0.10897750156667145</v>
      </c>
      <c r="BG51" s="105">
        <v>0.10897750101266747</v>
      </c>
      <c r="BH51" s="105">
        <v>0.1089775009206765</v>
      </c>
      <c r="BI51" s="105">
        <v>0.10897750098344362</v>
      </c>
      <c r="BJ51" s="105">
        <v>0.108977500145523</v>
      </c>
      <c r="BK51" s="105">
        <v>0.10897750149425159</v>
      </c>
      <c r="BL51" s="105">
        <v>0.1089775004718347</v>
      </c>
      <c r="BM51" s="105">
        <v>0.10897749477501252</v>
      </c>
      <c r="BN51" s="105">
        <v>0.10897749907129277</v>
      </c>
      <c r="BO51" s="105">
        <v>0.10897749983749479</v>
      </c>
      <c r="BP51" s="105">
        <v>0.10897749727312553</v>
      </c>
      <c r="BQ51" s="105">
        <v>0.10897749968212461</v>
      </c>
      <c r="BR51" s="105">
        <v>0.10897750061897889</v>
      </c>
      <c r="BS51" s="105">
        <v>0.10897748342464576</v>
      </c>
      <c r="BT51" s="105">
        <v>0.10897749709487353</v>
      </c>
      <c r="BU51" s="105">
        <v>0.10897749763060606</v>
      </c>
      <c r="BV51" s="105">
        <v>0.10897749934268373</v>
      </c>
      <c r="BW51" s="105">
        <v>0.1089775002689954</v>
      </c>
      <c r="BX51" s="105">
        <v>0.10897749550090152</v>
      </c>
      <c r="BY51" s="105">
        <v>0.10897749965459241</v>
      </c>
      <c r="BZ51" s="105">
        <v>0.10897749951689774</v>
      </c>
      <c r="CA51" s="105">
        <v>0.10897749979714103</v>
      </c>
      <c r="CB51" s="105">
        <v>0.1089774986962273</v>
      </c>
      <c r="CC51" s="105">
        <v>0.10897749786037317</v>
      </c>
      <c r="CD51" s="105">
        <v>0.10897750024852808</v>
      </c>
      <c r="CE51" s="105">
        <v>0.10897749566640996</v>
      </c>
      <c r="CF51" s="105">
        <v>0.10897749889002248</v>
      </c>
      <c r="CG51" s="105">
        <v>0.10897749910072864</v>
      </c>
      <c r="CH51" s="105">
        <v>0.10897749417968805</v>
      </c>
      <c r="CI51" s="105">
        <v>0.10897749704812124</v>
      </c>
      <c r="CJ51" s="105">
        <v>0.10897748485600582</v>
      </c>
      <c r="CK51" s="105">
        <v>0.10897747975947994</v>
      </c>
      <c r="CL51" s="105">
        <v>0.10897749828049641</v>
      </c>
      <c r="CM51" s="105">
        <v>0.10897747723465587</v>
      </c>
      <c r="CN51" s="105">
        <v>0.10897749626697648</v>
      </c>
      <c r="CO51" s="105">
        <v>0.10897749347566603</v>
      </c>
      <c r="CP51" s="105">
        <v>0.10897749712274181</v>
      </c>
      <c r="CQ51" s="105">
        <v>0.10897747530253711</v>
      </c>
      <c r="CR51" s="105">
        <v>0.10897749591098733</v>
      </c>
      <c r="CS51" s="105">
        <v>0.10897749714968517</v>
      </c>
      <c r="CT51" s="105">
        <v>0.10897749452251324</v>
      </c>
      <c r="CU51" s="105">
        <v>0.10897749566369982</v>
      </c>
      <c r="CV51" s="105">
        <v>0.10897745604329896</v>
      </c>
      <c r="CW51" s="105">
        <v>0.10897749089746667</v>
      </c>
      <c r="CX51" s="105">
        <v>0.10897745612695606</v>
      </c>
    </row>
    <row r="52" spans="1:102" s="96" customFormat="1">
      <c r="A52" s="106"/>
      <c r="B52" s="56" t="s">
        <v>114</v>
      </c>
      <c r="C52" s="105">
        <v>0.63055865944711809</v>
      </c>
      <c r="D52" s="105">
        <v>0.63055865764212493</v>
      </c>
      <c r="E52" s="105">
        <v>0.63055865864978022</v>
      </c>
      <c r="F52" s="105">
        <v>0.63055865556355917</v>
      </c>
      <c r="G52" s="105">
        <v>0.63055865361740737</v>
      </c>
      <c r="H52" s="105">
        <v>0.63055865134764599</v>
      </c>
      <c r="I52" s="105">
        <v>0.63055865672815692</v>
      </c>
      <c r="J52" s="105">
        <v>0.63055864881245072</v>
      </c>
      <c r="K52" s="105">
        <v>0.63055864941699657</v>
      </c>
      <c r="L52" s="105">
        <v>0.63055864748630075</v>
      </c>
      <c r="M52" s="105">
        <v>0.63055865032435887</v>
      </c>
      <c r="N52" s="105">
        <v>0.63055864811992701</v>
      </c>
      <c r="O52" s="105">
        <v>0.63055863862026029</v>
      </c>
      <c r="P52" s="105">
        <v>0.63055865087675023</v>
      </c>
      <c r="Q52" s="105">
        <v>0.63055865104464548</v>
      </c>
      <c r="R52" s="105">
        <v>0.63055864406535367</v>
      </c>
      <c r="S52" s="105">
        <v>0.6305586521366493</v>
      </c>
      <c r="T52" s="105">
        <v>0.63055864542930484</v>
      </c>
      <c r="U52" s="105">
        <v>0.63055863923867395</v>
      </c>
      <c r="V52" s="105">
        <v>0.63055864690467089</v>
      </c>
      <c r="W52" s="105">
        <v>0.63055863749034469</v>
      </c>
      <c r="X52" s="105">
        <v>0.63055863873936946</v>
      </c>
      <c r="Y52" s="105">
        <v>0.6305586443861495</v>
      </c>
      <c r="Z52" s="105">
        <v>0.63055865126691468</v>
      </c>
      <c r="AA52" s="105">
        <v>0.63055864617379775</v>
      </c>
      <c r="AB52" s="105">
        <v>0.63055865185964466</v>
      </c>
      <c r="AC52" s="105">
        <v>0.6305586383431151</v>
      </c>
      <c r="AD52" s="105">
        <v>0.63055864343365187</v>
      </c>
      <c r="AE52" s="105">
        <v>0.63055864619972524</v>
      </c>
      <c r="AF52" s="105">
        <v>0.63055863664608203</v>
      </c>
      <c r="AG52" s="105">
        <v>0.63055860691684074</v>
      </c>
      <c r="AH52" s="105">
        <v>0.63055864319133392</v>
      </c>
      <c r="AI52" s="105">
        <v>0.63055864678404416</v>
      </c>
      <c r="AJ52" s="105">
        <v>0.63055863528112743</v>
      </c>
      <c r="AK52" s="105">
        <v>0.6305585936240492</v>
      </c>
      <c r="AL52" s="105">
        <v>0.63055862224428005</v>
      </c>
      <c r="AM52" s="105">
        <v>0.6305586333348604</v>
      </c>
      <c r="AN52" s="105">
        <v>0.63055863017516744</v>
      </c>
      <c r="AO52" s="105">
        <v>0.63055858972591472</v>
      </c>
      <c r="AP52" s="105">
        <v>0.63055863476138074</v>
      </c>
      <c r="AQ52" s="105">
        <v>0.63055861808002578</v>
      </c>
      <c r="AR52" s="105">
        <v>0.63055862462251155</v>
      </c>
      <c r="AS52" s="105">
        <v>0.6305586380982644</v>
      </c>
      <c r="AT52" s="105">
        <v>0.63055856269237576</v>
      </c>
      <c r="AU52" s="105">
        <v>0.63055863096298603</v>
      </c>
      <c r="AV52" s="105">
        <v>0.63055863998193729</v>
      </c>
      <c r="AW52" s="105">
        <v>0.63055862337753543</v>
      </c>
      <c r="AX52" s="105">
        <v>0.63055864601855638</v>
      </c>
      <c r="AY52" s="105">
        <v>0.63055855251402559</v>
      </c>
      <c r="AZ52" s="105">
        <v>0.63055856876499061</v>
      </c>
      <c r="BA52" s="105">
        <v>0.63055861535674007</v>
      </c>
      <c r="BB52" s="105">
        <v>0.63055861374343447</v>
      </c>
      <c r="BC52" s="105">
        <v>0.63055863647876431</v>
      </c>
      <c r="BD52" s="105">
        <v>0.63055864256506056</v>
      </c>
      <c r="BE52" s="105">
        <v>0.6305586197636105</v>
      </c>
      <c r="BF52" s="105">
        <v>0.63055859800155645</v>
      </c>
      <c r="BG52" s="105">
        <v>0.63055861651294132</v>
      </c>
      <c r="BH52" s="105">
        <v>0.63055862015952924</v>
      </c>
      <c r="BI52" s="105">
        <v>0.63055860576445955</v>
      </c>
      <c r="BJ52" s="105">
        <v>0.63055857998266762</v>
      </c>
      <c r="BK52" s="105">
        <v>0.630558591956485</v>
      </c>
      <c r="BL52" s="105">
        <v>0.63055858410807752</v>
      </c>
      <c r="BM52" s="105">
        <v>0.63055854909525522</v>
      </c>
      <c r="BN52" s="105">
        <v>0.63055857497016166</v>
      </c>
      <c r="BO52" s="105">
        <v>0.63055862059470469</v>
      </c>
      <c r="BP52" s="105">
        <v>0.63055855326635213</v>
      </c>
      <c r="BQ52" s="105">
        <v>0.63055858973050993</v>
      </c>
      <c r="BR52" s="105">
        <v>0.63055860582306389</v>
      </c>
      <c r="BS52" s="105">
        <v>0.63055845223530771</v>
      </c>
      <c r="BT52" s="105">
        <v>0.63055858344709115</v>
      </c>
      <c r="BU52" s="105">
        <v>0.63055856395645005</v>
      </c>
      <c r="BV52" s="105">
        <v>0.63055858915007412</v>
      </c>
      <c r="BW52" s="105">
        <v>0.63055856100211438</v>
      </c>
      <c r="BX52" s="105">
        <v>0.63055854712899106</v>
      </c>
      <c r="BY52" s="105">
        <v>0.63055860136257769</v>
      </c>
      <c r="BZ52" s="105">
        <v>0.63055857384626202</v>
      </c>
      <c r="CA52" s="105">
        <v>0.6305586019674061</v>
      </c>
      <c r="CB52" s="105">
        <v>0.63055857089441791</v>
      </c>
      <c r="CC52" s="105">
        <v>0.63055854873480244</v>
      </c>
      <c r="CD52" s="105">
        <v>0.63055860512026796</v>
      </c>
      <c r="CE52" s="105">
        <v>0.63055854939333511</v>
      </c>
      <c r="CF52" s="105">
        <v>0.63055856437009206</v>
      </c>
      <c r="CG52" s="105">
        <v>0.63055858230403128</v>
      </c>
      <c r="CH52" s="105">
        <v>0.63055853581680732</v>
      </c>
      <c r="CI52" s="105">
        <v>0.63055854802109912</v>
      </c>
      <c r="CJ52" s="105">
        <v>0.63055844566866326</v>
      </c>
      <c r="CK52" s="105">
        <v>0.63055840377476635</v>
      </c>
      <c r="CL52" s="105">
        <v>0.63055856231870022</v>
      </c>
      <c r="CM52" s="105">
        <v>0.63055838519834972</v>
      </c>
      <c r="CN52" s="105">
        <v>0.63055854127118149</v>
      </c>
      <c r="CO52" s="105">
        <v>0.63055848054965336</v>
      </c>
      <c r="CP52" s="105">
        <v>0.63055852259486012</v>
      </c>
      <c r="CQ52" s="105">
        <v>0.63055833180939014</v>
      </c>
      <c r="CR52" s="105">
        <v>0.63055851172057653</v>
      </c>
      <c r="CS52" s="105">
        <v>0.63055853426226538</v>
      </c>
      <c r="CT52" s="105">
        <v>0.63055849239208983</v>
      </c>
      <c r="CU52" s="105">
        <v>0.63055849381533846</v>
      </c>
      <c r="CV52" s="105">
        <v>0.6305581670735082</v>
      </c>
      <c r="CW52" s="105">
        <v>0.63055845515983255</v>
      </c>
      <c r="CX52" s="105">
        <v>0.63055816063133718</v>
      </c>
    </row>
    <row r="53" spans="1:102" s="95" customFormat="1">
      <c r="A53" s="88" t="str">
        <f>Parameters!A43</f>
        <v>Vermogenseffect &amp; innovatie</v>
      </c>
      <c r="B53" s="102" t="s">
        <v>29</v>
      </c>
      <c r="C53" s="103">
        <v>4.2868695341421443E-12</v>
      </c>
      <c r="D53" s="103">
        <v>3.8826708246559686E-10</v>
      </c>
      <c r="E53" s="103">
        <v>4.3167812848583441E-10</v>
      </c>
      <c r="F53" s="103">
        <v>1.1508644592586949E-9</v>
      </c>
      <c r="G53" s="103">
        <v>1.0330528093830326E-9</v>
      </c>
      <c r="H53" s="103">
        <v>2.0857511885260451E-9</v>
      </c>
      <c r="I53" s="103">
        <v>1.1127961171529841E-9</v>
      </c>
      <c r="J53" s="103">
        <v>1.2225295485308104E-9</v>
      </c>
      <c r="K53" s="103">
        <v>3.0953885936478058E-9</v>
      </c>
      <c r="L53" s="103">
        <v>2.4723806357907765E-9</v>
      </c>
      <c r="M53" s="103">
        <v>2.2088183043538024E-9</v>
      </c>
      <c r="N53" s="103">
        <v>2.8368540091119311E-9</v>
      </c>
      <c r="O53" s="103">
        <v>1.7471883175242606E-9</v>
      </c>
      <c r="P53" s="103">
        <v>1.5910484727179099E-9</v>
      </c>
      <c r="Q53" s="103">
        <v>2.7049038833671201E-9</v>
      </c>
      <c r="R53" s="103">
        <v>3.1015726707531448E-9</v>
      </c>
      <c r="S53" s="103">
        <v>2.4580348218592882E-9</v>
      </c>
      <c r="T53" s="103">
        <v>2.6555132777649689E-9</v>
      </c>
      <c r="U53" s="103">
        <v>4.1246795890973056E-9</v>
      </c>
      <c r="V53" s="103">
        <v>2.899846620042548E-9</v>
      </c>
      <c r="W53" s="103">
        <v>2.0799619898017834E-9</v>
      </c>
      <c r="X53" s="103">
        <v>4.4350734417973775E-9</v>
      </c>
      <c r="Y53" s="103">
        <v>2.3265319184380168E-9</v>
      </c>
      <c r="Z53" s="103">
        <v>2.9282712094197515E-9</v>
      </c>
      <c r="AA53" s="103">
        <v>2.4396203107127363E-9</v>
      </c>
      <c r="AB53" s="103">
        <v>2.9525453416022361E-9</v>
      </c>
      <c r="AC53" s="103">
        <v>2.205495650833787E-9</v>
      </c>
      <c r="AD53" s="103">
        <v>3.8790318323433018E-9</v>
      </c>
      <c r="AE53" s="103">
        <v>3.544830027216414E-9</v>
      </c>
      <c r="AF53" s="103">
        <v>6.8095999629154179E-9</v>
      </c>
      <c r="AG53" s="103">
        <v>1.7794183291774173E-9</v>
      </c>
      <c r="AH53" s="103">
        <v>5.0115757577962898E-9</v>
      </c>
      <c r="AI53" s="103">
        <v>4.180805812444635E-9</v>
      </c>
      <c r="AJ53" s="103">
        <v>4.2454187604198259E-9</v>
      </c>
      <c r="AK53" s="103">
        <v>1.1891566766867237E-9</v>
      </c>
      <c r="AL53" s="103">
        <v>7.2606413321430908E-9</v>
      </c>
      <c r="AM53" s="103">
        <v>5.9391350413879475E-9</v>
      </c>
      <c r="AN53" s="103">
        <v>3.8647901675219993E-9</v>
      </c>
      <c r="AO53" s="103">
        <v>1.3256880888219376E-9</v>
      </c>
      <c r="AP53" s="103">
        <v>4.4150699263858796E-9</v>
      </c>
      <c r="AQ53" s="103">
        <v>7.6870557792319193E-9</v>
      </c>
      <c r="AR53" s="103">
        <v>1.029667167863621E-8</v>
      </c>
      <c r="AS53" s="103">
        <v>5.7999419537604544E-9</v>
      </c>
      <c r="AT53" s="103">
        <v>1.0803178239792932E-9</v>
      </c>
      <c r="AU53" s="103">
        <v>7.5003676140201513E-9</v>
      </c>
      <c r="AV53" s="103">
        <v>5.7106854986474659E-9</v>
      </c>
      <c r="AW53" s="103">
        <v>8.2516872671818222E-9</v>
      </c>
      <c r="AX53" s="103">
        <v>5.4069529582203612E-9</v>
      </c>
      <c r="AY53" s="103">
        <v>1.8928078632964965E-9</v>
      </c>
      <c r="AZ53" s="103">
        <v>3.9386451619293721E-9</v>
      </c>
      <c r="BA53" s="103">
        <v>7.1508502081325983E-9</v>
      </c>
      <c r="BB53" s="103">
        <v>7.4661308219823322E-9</v>
      </c>
      <c r="BC53" s="103">
        <v>8.1657310606586933E-9</v>
      </c>
      <c r="BD53" s="103">
        <v>6.5128178223031699E-9</v>
      </c>
      <c r="BE53" s="103">
        <v>7.1940087164921824E-9</v>
      </c>
      <c r="BF53" s="103">
        <v>8.1970981760956421E-9</v>
      </c>
      <c r="BG53" s="103">
        <v>1.2734361558858527E-8</v>
      </c>
      <c r="BH53" s="103">
        <v>9.4043347896384745E-9</v>
      </c>
      <c r="BI53" s="103">
        <v>1.1692454511384153E-8</v>
      </c>
      <c r="BJ53" s="103">
        <v>1.2452473671381773E-8</v>
      </c>
      <c r="BK53" s="103">
        <v>9.9788364455221681E-9</v>
      </c>
      <c r="BL53" s="103">
        <v>1.2988958352443525E-8</v>
      </c>
      <c r="BM53" s="103">
        <v>8.4197742300512709E-9</v>
      </c>
      <c r="BN53" s="103">
        <v>1.6531462908018124E-8</v>
      </c>
      <c r="BO53" s="103">
        <v>1.0946596492299082E-8</v>
      </c>
      <c r="BP53" s="103">
        <v>7.4891815530571744E-9</v>
      </c>
      <c r="BQ53" s="103">
        <v>2.0401598956813947E-8</v>
      </c>
      <c r="BR53" s="103">
        <v>9.5372004825163407E-9</v>
      </c>
      <c r="BS53" s="103">
        <v>5.7056773739047206E-11</v>
      </c>
      <c r="BT53" s="103">
        <v>1.2338629431710635E-8</v>
      </c>
      <c r="BU53" s="103">
        <v>1.5104107346417482E-8</v>
      </c>
      <c r="BV53" s="103">
        <v>2.1297732718598695E-8</v>
      </c>
      <c r="BW53" s="103">
        <v>1.597599897451353E-8</v>
      </c>
      <c r="BX53" s="103">
        <v>1.2848858601889005E-8</v>
      </c>
      <c r="BY53" s="103">
        <v>1.4091702280853931E-8</v>
      </c>
      <c r="BZ53" s="103">
        <v>2.1369574579797178E-8</v>
      </c>
      <c r="CA53" s="103">
        <v>1.231323291529971E-8</v>
      </c>
      <c r="CB53" s="103">
        <v>1.732219685663317E-8</v>
      </c>
      <c r="CC53" s="103">
        <v>2.2117282807906847E-8</v>
      </c>
      <c r="CD53" s="103">
        <v>1.5260545852023851E-8</v>
      </c>
      <c r="CE53" s="103">
        <v>1.2761715621315608E-8</v>
      </c>
      <c r="CF53" s="103">
        <v>2.7893692259445179E-8</v>
      </c>
      <c r="CG53" s="103">
        <v>1.8580847453799454E-8</v>
      </c>
      <c r="CH53" s="103">
        <v>2.299304387475571E-8</v>
      </c>
      <c r="CI53" s="103">
        <v>2.3232402856642455E-8</v>
      </c>
      <c r="CJ53" s="103">
        <v>9.6387521496029805E-9</v>
      </c>
      <c r="CK53" s="103">
        <v>3.8259725050206688E-9</v>
      </c>
      <c r="CL53" s="103">
        <v>1.6565961717869451E-8</v>
      </c>
      <c r="CM53" s="103">
        <v>7.9277580214900685E-9</v>
      </c>
      <c r="CN53" s="103">
        <v>3.3927078189762024E-8</v>
      </c>
      <c r="CO53" s="103">
        <v>3.0927713656929507E-8</v>
      </c>
      <c r="CP53" s="103">
        <v>3.1456125273322832E-8</v>
      </c>
      <c r="CQ53" s="103">
        <v>1.3134809118905769E-8</v>
      </c>
      <c r="CR53" s="103">
        <v>3.0372791508607352E-8</v>
      </c>
      <c r="CS53" s="103">
        <v>2.7005481892413502E-8</v>
      </c>
      <c r="CT53" s="103">
        <v>3.5129361505547296E-8</v>
      </c>
      <c r="CU53" s="103">
        <v>4.345966473295347E-8</v>
      </c>
      <c r="CV53" s="103">
        <v>4.1934598926878772E-10</v>
      </c>
      <c r="CW53" s="103">
        <v>4.1562646709488183E-8</v>
      </c>
      <c r="CX53" s="103">
        <v>3.3995789612568806E-9</v>
      </c>
    </row>
    <row r="54" spans="1:102">
      <c r="A54" s="23"/>
      <c r="B54" s="14" t="s">
        <v>30</v>
      </c>
      <c r="C54" s="105">
        <v>2.9999999990152584E-2</v>
      </c>
      <c r="D54" s="105">
        <v>2.9999999926532035E-2</v>
      </c>
      <c r="E54" s="105">
        <v>2.9999999884124353E-2</v>
      </c>
      <c r="F54" s="105">
        <v>2.999999990742273E-2</v>
      </c>
      <c r="G54" s="105">
        <v>2.9999999794236624E-2</v>
      </c>
      <c r="H54" s="105">
        <v>2.9999999819008395E-2</v>
      </c>
      <c r="I54" s="105">
        <v>2.9999999689040067E-2</v>
      </c>
      <c r="J54" s="105">
        <v>2.9999999632982766E-2</v>
      </c>
      <c r="K54" s="105">
        <v>2.9999999736417725E-2</v>
      </c>
      <c r="L54" s="105">
        <v>2.9999999669697141E-2</v>
      </c>
      <c r="M54" s="105">
        <v>2.999999967313087E-2</v>
      </c>
      <c r="N54" s="105">
        <v>2.9999999673430682E-2</v>
      </c>
      <c r="O54" s="105">
        <v>2.9999999452386159E-2</v>
      </c>
      <c r="P54" s="105">
        <v>2.9999999594713164E-2</v>
      </c>
      <c r="Q54" s="105">
        <v>2.9999999481428698E-2</v>
      </c>
      <c r="R54" s="105">
        <v>2.9999999578218486E-2</v>
      </c>
      <c r="S54" s="105">
        <v>2.9999999418083585E-2</v>
      </c>
      <c r="T54" s="105">
        <v>2.9999999314813949E-2</v>
      </c>
      <c r="U54" s="105">
        <v>2.9999999647795671E-2</v>
      </c>
      <c r="V54" s="105">
        <v>2.9999999438384346E-2</v>
      </c>
      <c r="W54" s="105">
        <v>2.9999999256322511E-2</v>
      </c>
      <c r="X54" s="105">
        <v>2.9999999552761603E-2</v>
      </c>
      <c r="Y54" s="105">
        <v>2.9999999337759882E-2</v>
      </c>
      <c r="Z54" s="105">
        <v>2.9999999388947284E-2</v>
      </c>
      <c r="AA54" s="105">
        <v>2.9999999415353817E-2</v>
      </c>
      <c r="AB54" s="105">
        <v>2.9999999258278804E-2</v>
      </c>
      <c r="AC54" s="105">
        <v>2.9999999155801125E-2</v>
      </c>
      <c r="AD54" s="105">
        <v>2.9999999362369401E-2</v>
      </c>
      <c r="AE54" s="105">
        <v>2.9999999269955759E-2</v>
      </c>
      <c r="AF54" s="105">
        <v>2.9999999478728594E-2</v>
      </c>
      <c r="AG54" s="105">
        <v>2.9999998651671609E-2</v>
      </c>
      <c r="AH54" s="105">
        <v>2.9999999131728492E-2</v>
      </c>
      <c r="AI54" s="105">
        <v>2.9999999040748543E-2</v>
      </c>
      <c r="AJ54" s="105">
        <v>2.9999998921213245E-2</v>
      </c>
      <c r="AK54" s="105">
        <v>2.9999998124659435E-2</v>
      </c>
      <c r="AL54" s="105">
        <v>2.999999932475101E-2</v>
      </c>
      <c r="AM54" s="105">
        <v>2.9999999119689928E-2</v>
      </c>
      <c r="AN54" s="105">
        <v>2.9999998822928843E-2</v>
      </c>
      <c r="AO54" s="105">
        <v>2.99999979915559E-2</v>
      </c>
      <c r="AP54" s="105">
        <v>2.9999998806538534E-2</v>
      </c>
      <c r="AQ54" s="105">
        <v>2.9999998796755276E-2</v>
      </c>
      <c r="AR54" s="105">
        <v>2.9999999062443886E-2</v>
      </c>
      <c r="AS54" s="105">
        <v>2.9999998742296488E-2</v>
      </c>
      <c r="AT54" s="105">
        <v>2.9999997434473492E-2</v>
      </c>
      <c r="AU54" s="105">
        <v>2.9999998719217102E-2</v>
      </c>
      <c r="AV54" s="105">
        <v>2.99999986793686E-2</v>
      </c>
      <c r="AW54" s="105">
        <v>2.9999998950812408E-2</v>
      </c>
      <c r="AX54" s="105">
        <v>2.9999998477677491E-2</v>
      </c>
      <c r="AY54" s="105">
        <v>2.9999997152022971E-2</v>
      </c>
      <c r="AZ54" s="105">
        <v>2.9999997644859677E-2</v>
      </c>
      <c r="BA54" s="105">
        <v>2.9999998367449991E-2</v>
      </c>
      <c r="BB54" s="105">
        <v>2.999999808112392E-2</v>
      </c>
      <c r="BC54" s="105">
        <v>2.9999998319847156E-2</v>
      </c>
      <c r="BD54" s="105">
        <v>2.9999998172473018E-2</v>
      </c>
      <c r="BE54" s="105">
        <v>2.9999998383400287E-2</v>
      </c>
      <c r="BF54" s="105">
        <v>2.9999997927637925E-2</v>
      </c>
      <c r="BG54" s="105">
        <v>2.9999998331969577E-2</v>
      </c>
      <c r="BH54" s="105">
        <v>2.999999778516535E-2</v>
      </c>
      <c r="BI54" s="105">
        <v>2.9999998366988637E-2</v>
      </c>
      <c r="BJ54" s="105">
        <v>2.9999998039005604E-2</v>
      </c>
      <c r="BK54" s="105">
        <v>2.9999997425981931E-2</v>
      </c>
      <c r="BL54" s="105">
        <v>2.9999997958296189E-2</v>
      </c>
      <c r="BM54" s="105">
        <v>2.999999703263356E-2</v>
      </c>
      <c r="BN54" s="105">
        <v>2.9999998537376029E-2</v>
      </c>
      <c r="BO54" s="105">
        <v>2.9999997696555872E-2</v>
      </c>
      <c r="BP54" s="105">
        <v>2.9999996628715279E-2</v>
      </c>
      <c r="BQ54" s="105">
        <v>2.9999998199588727E-2</v>
      </c>
      <c r="BR54" s="105">
        <v>2.9999997402936209E-2</v>
      </c>
      <c r="BS54" s="105">
        <v>2.9999994500821511E-2</v>
      </c>
      <c r="BT54" s="105">
        <v>2.9999997166994818E-2</v>
      </c>
      <c r="BU54" s="105">
        <v>2.9999997693886643E-2</v>
      </c>
      <c r="BV54" s="105">
        <v>2.9999997958305429E-2</v>
      </c>
      <c r="BW54" s="105">
        <v>2.9999997064209534E-2</v>
      </c>
      <c r="BX54" s="105">
        <v>2.999999694940279E-2</v>
      </c>
      <c r="BY54" s="105">
        <v>2.999999717536015E-2</v>
      </c>
      <c r="BZ54" s="105">
        <v>2.9999997883109104E-2</v>
      </c>
      <c r="CA54" s="105">
        <v>2.999999674826655E-2</v>
      </c>
      <c r="CB54" s="105">
        <v>2.9999997452787905E-2</v>
      </c>
      <c r="CC54" s="105">
        <v>2.9999998002653003E-2</v>
      </c>
      <c r="CD54" s="105">
        <v>2.9999996511640599E-2</v>
      </c>
      <c r="CE54" s="105">
        <v>2.9999996011357707E-2</v>
      </c>
      <c r="CF54" s="105">
        <v>2.9999997213880535E-2</v>
      </c>
      <c r="CG54" s="105">
        <v>2.9999997036466344E-2</v>
      </c>
      <c r="CH54" s="105">
        <v>2.9999996314753075E-2</v>
      </c>
      <c r="CI54" s="105">
        <v>2.9999997341006571E-2</v>
      </c>
      <c r="CJ54" s="105">
        <v>2.9999994347800037E-2</v>
      </c>
      <c r="CK54" s="105">
        <v>2.9999992761840726E-2</v>
      </c>
      <c r="CL54" s="105">
        <v>2.9999995193186291E-2</v>
      </c>
      <c r="CM54" s="105">
        <v>2.9999991657312639E-2</v>
      </c>
      <c r="CN54" s="105">
        <v>2.9999995864227719E-2</v>
      </c>
      <c r="CO54" s="105">
        <v>2.9999996013067885E-2</v>
      </c>
      <c r="CP54" s="105">
        <v>2.9999995962097282E-2</v>
      </c>
      <c r="CQ54" s="105">
        <v>2.9999991327128071E-2</v>
      </c>
      <c r="CR54" s="105">
        <v>2.999999586215725E-2</v>
      </c>
      <c r="CS54" s="105">
        <v>2.9999995206386829E-2</v>
      </c>
      <c r="CT54" s="105">
        <v>2.9999995902883221E-2</v>
      </c>
      <c r="CU54" s="105">
        <v>2.9999995764701221E-2</v>
      </c>
      <c r="CV54" s="105">
        <v>2.999998694209554E-2</v>
      </c>
      <c r="CW54" s="105">
        <v>2.9999993746613558E-2</v>
      </c>
      <c r="CX54" s="105">
        <v>2.9999986677933924E-2</v>
      </c>
    </row>
    <row r="55" spans="1:102">
      <c r="A55" s="23"/>
      <c r="B55" s="56" t="s">
        <v>56</v>
      </c>
      <c r="C55" s="105">
        <v>0.11097723365626398</v>
      </c>
      <c r="D55" s="105">
        <v>0.11097723357483379</v>
      </c>
      <c r="E55" s="105">
        <v>0.11097723352112139</v>
      </c>
      <c r="F55" s="105">
        <v>0.11097723342524697</v>
      </c>
      <c r="G55" s="105">
        <v>0.11097723329309772</v>
      </c>
      <c r="H55" s="105">
        <v>0.11097723313028078</v>
      </c>
      <c r="I55" s="105">
        <v>0.11097723324036939</v>
      </c>
      <c r="J55" s="105">
        <v>0.1109772332530706</v>
      </c>
      <c r="K55" s="105">
        <v>0.11097723302526645</v>
      </c>
      <c r="L55" s="105">
        <v>0.11097723283034162</v>
      </c>
      <c r="M55" s="105">
        <v>0.11097723301594335</v>
      </c>
      <c r="N55" s="105">
        <v>0.11097723300194313</v>
      </c>
      <c r="O55" s="105">
        <v>0.1109772318474828</v>
      </c>
      <c r="P55" s="105">
        <v>0.11097723311064837</v>
      </c>
      <c r="Q55" s="105">
        <v>0.11097723320277485</v>
      </c>
      <c r="R55" s="105">
        <v>0.1109772328950247</v>
      </c>
      <c r="S55" s="105">
        <v>0.11097723301042438</v>
      </c>
      <c r="T55" s="105">
        <v>0.11097723263132254</v>
      </c>
      <c r="U55" s="105">
        <v>0.11097723228384618</v>
      </c>
      <c r="V55" s="105">
        <v>0.11097723286784666</v>
      </c>
      <c r="W55" s="105">
        <v>0.11097723244372634</v>
      </c>
      <c r="X55" s="105">
        <v>0.11097723228363772</v>
      </c>
      <c r="Y55" s="105">
        <v>0.11097723274726387</v>
      </c>
      <c r="Z55" s="105">
        <v>0.11097723272909762</v>
      </c>
      <c r="AA55" s="105">
        <v>0.11097723280292476</v>
      </c>
      <c r="AB55" s="105">
        <v>0.11097723261868742</v>
      </c>
      <c r="AC55" s="105">
        <v>0.11097723192708471</v>
      </c>
      <c r="AD55" s="105">
        <v>0.11097723273127366</v>
      </c>
      <c r="AE55" s="105">
        <v>0.1109772322690144</v>
      </c>
      <c r="AF55" s="105">
        <v>0.1109772322801445</v>
      </c>
      <c r="AG55" s="105">
        <v>0.11097722886698491</v>
      </c>
      <c r="AH55" s="105">
        <v>0.11097723271895123</v>
      </c>
      <c r="AI55" s="105">
        <v>0.11097723253421939</v>
      </c>
      <c r="AJ55" s="105">
        <v>0.11097723202296529</v>
      </c>
      <c r="AK55" s="105">
        <v>0.1109772274031091</v>
      </c>
      <c r="AL55" s="105">
        <v>0.11097723113071459</v>
      </c>
      <c r="AM55" s="105">
        <v>0.11097723173914634</v>
      </c>
      <c r="AN55" s="105">
        <v>0.11097723190102739</v>
      </c>
      <c r="AO55" s="105">
        <v>0.11097722678240544</v>
      </c>
      <c r="AP55" s="105">
        <v>0.11097723198065527</v>
      </c>
      <c r="AQ55" s="105">
        <v>0.11097723168245253</v>
      </c>
      <c r="AR55" s="105">
        <v>0.11097723163018673</v>
      </c>
      <c r="AS55" s="105">
        <v>0.11097723184071429</v>
      </c>
      <c r="AT55" s="105">
        <v>0.11097722432697452</v>
      </c>
      <c r="AU55" s="105">
        <v>0.11097723177556543</v>
      </c>
      <c r="AV55" s="105">
        <v>0.1109772317645622</v>
      </c>
      <c r="AW55" s="105">
        <v>0.11097723199192265</v>
      </c>
      <c r="AX55" s="105">
        <v>0.11097723152829993</v>
      </c>
      <c r="AY55" s="105">
        <v>0.11097722337513835</v>
      </c>
      <c r="AZ55" s="105">
        <v>0.11097722522808165</v>
      </c>
      <c r="BA55" s="105">
        <v>0.11097723058860749</v>
      </c>
      <c r="BB55" s="105">
        <v>0.11097723023511251</v>
      </c>
      <c r="BC55" s="105">
        <v>0.110977231005814</v>
      </c>
      <c r="BD55" s="105">
        <v>0.11097723109421177</v>
      </c>
      <c r="BE55" s="105">
        <v>0.11097723117695031</v>
      </c>
      <c r="BF55" s="105">
        <v>0.11097723104719227</v>
      </c>
      <c r="BG55" s="105">
        <v>0.11097723075154807</v>
      </c>
      <c r="BH55" s="105">
        <v>0.11097723055784964</v>
      </c>
      <c r="BI55" s="105">
        <v>0.1109772311653469</v>
      </c>
      <c r="BJ55" s="105">
        <v>0.11097722910105148</v>
      </c>
      <c r="BK55" s="105">
        <v>0.11097723069250187</v>
      </c>
      <c r="BL55" s="105">
        <v>0.11097722944764475</v>
      </c>
      <c r="BM55" s="105">
        <v>0.1109772249311774</v>
      </c>
      <c r="BN55" s="105">
        <v>0.11097722782795781</v>
      </c>
      <c r="BO55" s="105">
        <v>0.11097722945004564</v>
      </c>
      <c r="BP55" s="105">
        <v>0.11097722654812248</v>
      </c>
      <c r="BQ55" s="105">
        <v>0.11097722924414893</v>
      </c>
      <c r="BR55" s="105">
        <v>0.11097723009364213</v>
      </c>
      <c r="BS55" s="105">
        <v>0.11097721335198801</v>
      </c>
      <c r="BT55" s="105">
        <v>0.11097722695885347</v>
      </c>
      <c r="BU55" s="105">
        <v>0.1109772265911733</v>
      </c>
      <c r="BV55" s="105">
        <v>0.11097722888400435</v>
      </c>
      <c r="BW55" s="105">
        <v>0.1109772291504732</v>
      </c>
      <c r="BX55" s="105">
        <v>0.11097722476181263</v>
      </c>
      <c r="BY55" s="105">
        <v>0.11097722954276447</v>
      </c>
      <c r="BZ55" s="105">
        <v>0.11097722946326095</v>
      </c>
      <c r="CA55" s="105">
        <v>0.11097722927936868</v>
      </c>
      <c r="CB55" s="105">
        <v>0.11097722742715752</v>
      </c>
      <c r="CC55" s="105">
        <v>0.1109772262145045</v>
      </c>
      <c r="CD55" s="105">
        <v>0.11097722961900122</v>
      </c>
      <c r="CE55" s="105">
        <v>0.11097722511735754</v>
      </c>
      <c r="CF55" s="105">
        <v>0.11097722807458126</v>
      </c>
      <c r="CG55" s="105">
        <v>0.11097722912739783</v>
      </c>
      <c r="CH55" s="105">
        <v>0.11097722356763091</v>
      </c>
      <c r="CI55" s="105">
        <v>0.110977225323696</v>
      </c>
      <c r="CJ55" s="105">
        <v>0.11097721417893827</v>
      </c>
      <c r="CK55" s="105">
        <v>0.11097720930621463</v>
      </c>
      <c r="CL55" s="105">
        <v>0.11097722708614755</v>
      </c>
      <c r="CM55" s="105">
        <v>0.11097720671546413</v>
      </c>
      <c r="CN55" s="105">
        <v>0.11097722553375365</v>
      </c>
      <c r="CO55" s="105">
        <v>0.11097722206939058</v>
      </c>
      <c r="CP55" s="105">
        <v>0.11097722597372134</v>
      </c>
      <c r="CQ55" s="105">
        <v>0.11097720436638404</v>
      </c>
      <c r="CR55" s="105">
        <v>0.11097722374549374</v>
      </c>
      <c r="CS55" s="105">
        <v>0.11097722669066219</v>
      </c>
      <c r="CT55" s="105">
        <v>0.11097722235283412</v>
      </c>
      <c r="CU55" s="105">
        <v>0.11097722452045829</v>
      </c>
      <c r="CV55" s="105">
        <v>0.11097718544841682</v>
      </c>
      <c r="CW55" s="105">
        <v>0.11097721932804286</v>
      </c>
      <c r="CX55" s="105">
        <v>0.11097718548409895</v>
      </c>
    </row>
    <row r="56" spans="1:102">
      <c r="A56" s="106"/>
      <c r="B56" s="56" t="s">
        <v>114</v>
      </c>
      <c r="C56" s="105">
        <v>0.63055865980560166</v>
      </c>
      <c r="D56" s="105">
        <v>0.63055865524211552</v>
      </c>
      <c r="E56" s="105">
        <v>0.63055865487385043</v>
      </c>
      <c r="F56" s="105">
        <v>0.63055864572919484</v>
      </c>
      <c r="G56" s="105">
        <v>0.6305586476858055</v>
      </c>
      <c r="H56" s="105">
        <v>0.63055863433957648</v>
      </c>
      <c r="I56" s="105">
        <v>0.63055864712378384</v>
      </c>
      <c r="J56" s="105">
        <v>0.63055864597845512</v>
      </c>
      <c r="K56" s="105">
        <v>0.63055862198521662</v>
      </c>
      <c r="L56" s="105">
        <v>0.63055863010207791</v>
      </c>
      <c r="M56" s="105">
        <v>0.63055863340314666</v>
      </c>
      <c r="N56" s="105">
        <v>0.63055862550155117</v>
      </c>
      <c r="O56" s="105">
        <v>0.63055864013580887</v>
      </c>
      <c r="P56" s="105">
        <v>0.63055864150316299</v>
      </c>
      <c r="Q56" s="105">
        <v>0.63055862796650242</v>
      </c>
      <c r="R56" s="105">
        <v>0.63055862257077688</v>
      </c>
      <c r="S56" s="105">
        <v>0.6305586313375926</v>
      </c>
      <c r="T56" s="105">
        <v>0.63055862928644868</v>
      </c>
      <c r="U56" s="105">
        <v>0.63055860940891595</v>
      </c>
      <c r="V56" s="105">
        <v>0.63055862569472287</v>
      </c>
      <c r="W56" s="105">
        <v>0.63055863677182555</v>
      </c>
      <c r="X56" s="105">
        <v>0.6305586059028262</v>
      </c>
      <c r="Y56" s="105">
        <v>0.63055863332863482</v>
      </c>
      <c r="Z56" s="105">
        <v>0.6305586255444543</v>
      </c>
      <c r="AA56" s="105">
        <v>0.63055863158068326</v>
      </c>
      <c r="AB56" s="105">
        <v>0.63055862578701127</v>
      </c>
      <c r="AC56" s="105">
        <v>0.63055863561418313</v>
      </c>
      <c r="AD56" s="105">
        <v>0.63055861369586141</v>
      </c>
      <c r="AE56" s="105">
        <v>0.63055861828743742</v>
      </c>
      <c r="AF56" s="105">
        <v>0.63055857634303902</v>
      </c>
      <c r="AG56" s="105">
        <v>0.63055864308788678</v>
      </c>
      <c r="AH56" s="105">
        <v>0.63055860041620193</v>
      </c>
      <c r="AI56" s="105">
        <v>0.63055861124831636</v>
      </c>
      <c r="AJ56" s="105">
        <v>0.63055861093675047</v>
      </c>
      <c r="AK56" s="105">
        <v>0.63055865272288836</v>
      </c>
      <c r="AL56" s="105">
        <v>0.63055857131484039</v>
      </c>
      <c r="AM56" s="105">
        <v>0.63055858879850324</v>
      </c>
      <c r="AN56" s="105">
        <v>0.63055861613696651</v>
      </c>
      <c r="AO56" s="105">
        <v>0.63055865156352209</v>
      </c>
      <c r="AP56" s="105">
        <v>0.63055860928348129</v>
      </c>
      <c r="AQ56" s="105">
        <v>0.63055856816474687</v>
      </c>
      <c r="AR56" s="105">
        <v>0.63055853422316299</v>
      </c>
      <c r="AS56" s="105">
        <v>0.63055859213193999</v>
      </c>
      <c r="AT56" s="105">
        <v>0.6305586569860715</v>
      </c>
      <c r="AU56" s="105">
        <v>0.63055857083830869</v>
      </c>
      <c r="AV56" s="105">
        <v>0.63055859351860222</v>
      </c>
      <c r="AW56" s="105">
        <v>0.63055856041601377</v>
      </c>
      <c r="AX56" s="105">
        <v>0.63055859818510829</v>
      </c>
      <c r="AY56" s="105">
        <v>0.63055864794975669</v>
      </c>
      <c r="AZ56" s="105">
        <v>0.6305586201477279</v>
      </c>
      <c r="BA56" s="105">
        <v>0.63055857671005311</v>
      </c>
      <c r="BB56" s="105">
        <v>0.63055857394460546</v>
      </c>
      <c r="BC56" s="105">
        <v>0.63055856414302336</v>
      </c>
      <c r="BD56" s="105">
        <v>0.63055858555371158</v>
      </c>
      <c r="BE56" s="105">
        <v>0.63055857610026123</v>
      </c>
      <c r="BF56" s="105">
        <v>0.63055856539303234</v>
      </c>
      <c r="BG56" s="105">
        <v>0.63055850662136526</v>
      </c>
      <c r="BH56" s="105">
        <v>0.6305585508040763</v>
      </c>
      <c r="BI56" s="105">
        <v>0.63055851958113585</v>
      </c>
      <c r="BJ56" s="105">
        <v>0.63055851139579766</v>
      </c>
      <c r="BK56" s="105">
        <v>0.63055854508327314</v>
      </c>
      <c r="BL56" s="105">
        <v>0.63055850498554511</v>
      </c>
      <c r="BM56" s="105">
        <v>0.63055856634477436</v>
      </c>
      <c r="BN56" s="105">
        <v>0.63055845799464472</v>
      </c>
      <c r="BO56" s="105">
        <v>0.63055853177483523</v>
      </c>
      <c r="BP56" s="105">
        <v>0.6305585797447999</v>
      </c>
      <c r="BQ56" s="105">
        <v>0.63055841072687424</v>
      </c>
      <c r="BR56" s="105">
        <v>0.63055855073544176</v>
      </c>
      <c r="BS56" s="105">
        <v>0.63055868215936151</v>
      </c>
      <c r="BT56" s="105">
        <v>0.63055851648436079</v>
      </c>
      <c r="BU56" s="105">
        <v>0.63055847948685428</v>
      </c>
      <c r="BV56" s="105">
        <v>0.63055840046574385</v>
      </c>
      <c r="BW56" s="105">
        <v>0.63055847115926777</v>
      </c>
      <c r="BX56" s="105">
        <v>0.63055851097835625</v>
      </c>
      <c r="BY56" s="105">
        <v>0.63055849439660239</v>
      </c>
      <c r="BZ56" s="105">
        <v>0.63055839987732187</v>
      </c>
      <c r="CA56" s="105">
        <v>0.63055851855962253</v>
      </c>
      <c r="CB56" s="105">
        <v>0.63055845259548249</v>
      </c>
      <c r="CC56" s="105">
        <v>0.63055838997030333</v>
      </c>
      <c r="CD56" s="105">
        <v>0.63055848247627055</v>
      </c>
      <c r="CE56" s="105">
        <v>0.63055851600792368</v>
      </c>
      <c r="CF56" s="105">
        <v>0.63055832061370853</v>
      </c>
      <c r="CG56" s="105">
        <v>0.63055843850805215</v>
      </c>
      <c r="CH56" s="105">
        <v>0.63055838603131453</v>
      </c>
      <c r="CI56" s="105">
        <v>0.63055837871708753</v>
      </c>
      <c r="CJ56" s="105">
        <v>0.63055856226860574</v>
      </c>
      <c r="CK56" s="105">
        <v>0.63055864204030243</v>
      </c>
      <c r="CL56" s="105">
        <v>0.63055847158333012</v>
      </c>
      <c r="CM56" s="105">
        <v>0.63055859507356704</v>
      </c>
      <c r="CN56" s="105">
        <v>0.63055825037633106</v>
      </c>
      <c r="CO56" s="105">
        <v>0.63055828748257114</v>
      </c>
      <c r="CP56" s="105">
        <v>0.630558281049172</v>
      </c>
      <c r="CQ56" s="105">
        <v>0.63055853095626313</v>
      </c>
      <c r="CR56" s="105">
        <v>0.63055829509597361</v>
      </c>
      <c r="CS56" s="105">
        <v>0.63055834020460066</v>
      </c>
      <c r="CT56" s="105">
        <v>0.63055823509018372</v>
      </c>
      <c r="CU56" s="105">
        <v>0.63055813087898327</v>
      </c>
      <c r="CV56" s="105">
        <v>0.63055870929683133</v>
      </c>
      <c r="CW56" s="105">
        <v>0.6305581632045334</v>
      </c>
      <c r="CX56" s="105">
        <v>0.63055867291482048</v>
      </c>
    </row>
    <row r="57" spans="1:102">
      <c r="A57" s="88" t="str">
        <f>Parameters!A44</f>
        <v>Schuld deflatie</v>
      </c>
      <c r="B57" s="102" t="s">
        <v>29</v>
      </c>
      <c r="C57" s="103">
        <v>-3.5206089711029357E-11</v>
      </c>
      <c r="D57" s="103">
        <v>-5.8737994903748714E-10</v>
      </c>
      <c r="E57" s="103">
        <v>-7.8481701623850137E-10</v>
      </c>
      <c r="F57" s="103">
        <v>-9.2451213066676219E-10</v>
      </c>
      <c r="G57" s="103">
        <v>-1.5990115554168716E-9</v>
      </c>
      <c r="H57" s="103">
        <v>-1.9070877913302745E-9</v>
      </c>
      <c r="I57" s="103">
        <v>-2.0725634828144104E-9</v>
      </c>
      <c r="J57" s="103">
        <v>-2.201449868145881E-9</v>
      </c>
      <c r="K57" s="103">
        <v>-2.6063753702847119E-9</v>
      </c>
      <c r="L57" s="103">
        <v>-2.6270392626066348E-9</v>
      </c>
      <c r="M57" s="103">
        <v>-2.6398588468961235E-9</v>
      </c>
      <c r="N57" s="103">
        <v>-2.8606170272666406E-9</v>
      </c>
      <c r="O57" s="103">
        <v>-2.9792454353953126E-9</v>
      </c>
      <c r="P57" s="103">
        <v>-3.0244746829493705E-9</v>
      </c>
      <c r="Q57" s="103">
        <v>-3.5431158020905149E-9</v>
      </c>
      <c r="R57" s="103">
        <v>-3.8382291450107216E-9</v>
      </c>
      <c r="S57" s="103">
        <v>-3.8841613763477014E-9</v>
      </c>
      <c r="T57" s="103">
        <v>-4.0610499260968305E-9</v>
      </c>
      <c r="U57" s="103">
        <v>-4.1008522389427945E-9</v>
      </c>
      <c r="V57" s="103">
        <v>-4.2621563664192768E-9</v>
      </c>
      <c r="W57" s="103">
        <v>-4.2623046242970126E-9</v>
      </c>
      <c r="X57" s="103">
        <v>-4.3018336614035716E-9</v>
      </c>
      <c r="Y57" s="103">
        <v>-4.3507679503044554E-9</v>
      </c>
      <c r="Z57" s="103">
        <v>-4.4004118983703585E-9</v>
      </c>
      <c r="AA57" s="103">
        <v>-4.435684271022621E-9</v>
      </c>
      <c r="AB57" s="103">
        <v>-5.0555513823572087E-9</v>
      </c>
      <c r="AC57" s="103">
        <v>-5.1812497762686684E-9</v>
      </c>
      <c r="AD57" s="103">
        <v>-5.4120900496970886E-9</v>
      </c>
      <c r="AE57" s="103">
        <v>-5.4245532778893874E-9</v>
      </c>
      <c r="AF57" s="103">
        <v>-5.4286734232998592E-9</v>
      </c>
      <c r="AG57" s="103">
        <v>-5.7766891118956823E-9</v>
      </c>
      <c r="AH57" s="103">
        <v>-6.0919942826013137E-9</v>
      </c>
      <c r="AI57" s="103">
        <v>-6.4420353389048143E-9</v>
      </c>
      <c r="AJ57" s="103">
        <v>-7.3452845085834235E-9</v>
      </c>
      <c r="AK57" s="103">
        <v>-7.3623690371249389E-9</v>
      </c>
      <c r="AL57" s="103">
        <v>-7.4621436238120371E-9</v>
      </c>
      <c r="AM57" s="103">
        <v>-7.5142656345735545E-9</v>
      </c>
      <c r="AN57" s="103">
        <v>-7.7647710096632052E-9</v>
      </c>
      <c r="AO57" s="103">
        <v>-7.7994322296898296E-9</v>
      </c>
      <c r="AP57" s="103">
        <v>-8.7644763858380322E-9</v>
      </c>
      <c r="AQ57" s="103">
        <v>-8.9057001596444892E-9</v>
      </c>
      <c r="AR57" s="103">
        <v>-8.9059838478031947E-9</v>
      </c>
      <c r="AS57" s="103">
        <v>-8.9941163913670353E-9</v>
      </c>
      <c r="AT57" s="103">
        <v>-9.3111207710627922E-9</v>
      </c>
      <c r="AU57" s="103">
        <v>-9.3988076172780926E-9</v>
      </c>
      <c r="AV57" s="103">
        <v>-9.5382660049303732E-9</v>
      </c>
      <c r="AW57" s="103">
        <v>-1.0042786951587528E-8</v>
      </c>
      <c r="AX57" s="103">
        <v>-1.0153350800129622E-8</v>
      </c>
      <c r="AY57" s="103">
        <v>-1.057134179176964E-8</v>
      </c>
      <c r="AZ57" s="103">
        <v>-1.0759526200720623E-8</v>
      </c>
      <c r="BA57" s="103">
        <v>-1.1079102725889387E-8</v>
      </c>
      <c r="BB57" s="103">
        <v>-1.1517705997240472E-8</v>
      </c>
      <c r="BC57" s="103">
        <v>-1.2068086402220888E-8</v>
      </c>
      <c r="BD57" s="103">
        <v>-1.2233121763651279E-8</v>
      </c>
      <c r="BE57" s="103">
        <v>-1.2258781741018524E-8</v>
      </c>
      <c r="BF57" s="103">
        <v>-1.3380124811159421E-8</v>
      </c>
      <c r="BG57" s="103">
        <v>-1.3471100558355707E-8</v>
      </c>
      <c r="BH57" s="103">
        <v>-1.4873510955180068E-8</v>
      </c>
      <c r="BI57" s="103">
        <v>-1.5194854130204003E-8</v>
      </c>
      <c r="BJ57" s="103">
        <v>-1.5774763530654264E-8</v>
      </c>
      <c r="BK57" s="103">
        <v>-1.6146491323637001E-8</v>
      </c>
      <c r="BL57" s="103">
        <v>-1.6295767958726137E-8</v>
      </c>
      <c r="BM57" s="103">
        <v>-1.6671423197861262E-8</v>
      </c>
      <c r="BN57" s="103">
        <v>-1.6685143510606674E-8</v>
      </c>
      <c r="BO57" s="103">
        <v>-1.7029953971938132E-8</v>
      </c>
      <c r="BP57" s="103">
        <v>-1.704004067201112E-8</v>
      </c>
      <c r="BQ57" s="103">
        <v>-1.7466641951059143E-8</v>
      </c>
      <c r="BR57" s="103">
        <v>-1.8256266691567462E-8</v>
      </c>
      <c r="BS57" s="103">
        <v>-1.836448506882155E-8</v>
      </c>
      <c r="BT57" s="103">
        <v>-1.8460414038592916E-8</v>
      </c>
      <c r="BU57" s="103">
        <v>-1.9125163736055865E-8</v>
      </c>
      <c r="BV57" s="103">
        <v>-1.9134006186170562E-8</v>
      </c>
      <c r="BW57" s="103">
        <v>-2.048588066225951E-8</v>
      </c>
      <c r="BX57" s="103">
        <v>-2.0505659932511726E-8</v>
      </c>
      <c r="BY57" s="103">
        <v>-2.1446918130482577E-8</v>
      </c>
      <c r="BZ57" s="103">
        <v>-2.1514413786064216E-8</v>
      </c>
      <c r="CA57" s="103">
        <v>-2.1661034625187414E-8</v>
      </c>
      <c r="CB57" s="103">
        <v>-2.1720112165753341E-8</v>
      </c>
      <c r="CC57" s="103">
        <v>-2.2646914878138273E-8</v>
      </c>
      <c r="CD57" s="103">
        <v>-2.3721585167076728E-8</v>
      </c>
      <c r="CE57" s="103">
        <v>-2.4031262875434253E-8</v>
      </c>
      <c r="CF57" s="103">
        <v>-2.5104486087336277E-8</v>
      </c>
      <c r="CG57" s="103">
        <v>-2.5343613956768498E-8</v>
      </c>
      <c r="CH57" s="103">
        <v>-2.5984121532099462E-8</v>
      </c>
      <c r="CI57" s="103">
        <v>-2.6179034826794491E-8</v>
      </c>
      <c r="CJ57" s="103">
        <v>-2.6194704781562918E-8</v>
      </c>
      <c r="CK57" s="103">
        <v>-2.8243227125259397E-8</v>
      </c>
      <c r="CL57" s="103">
        <v>-3.1166079054058858E-8</v>
      </c>
      <c r="CM57" s="103">
        <v>-3.3924763787282993E-8</v>
      </c>
      <c r="CN57" s="103">
        <v>-3.6180149340764427E-8</v>
      </c>
      <c r="CO57" s="103">
        <v>-3.6600259434109358E-8</v>
      </c>
      <c r="CP57" s="103">
        <v>-3.6829604894299628E-8</v>
      </c>
      <c r="CQ57" s="103">
        <v>-3.6881715279660604E-8</v>
      </c>
      <c r="CR57" s="103">
        <v>-3.748812519503387E-8</v>
      </c>
      <c r="CS57" s="103">
        <v>-3.8379528194804249E-8</v>
      </c>
      <c r="CT57" s="103">
        <v>-3.9893695108693218E-8</v>
      </c>
      <c r="CU57" s="103">
        <v>-4.1517945078831014E-8</v>
      </c>
      <c r="CV57" s="103">
        <v>-4.3784846325023094E-8</v>
      </c>
      <c r="CW57" s="103">
        <v>-4.5434476413700964E-8</v>
      </c>
      <c r="CX57" s="103">
        <v>-4.7124773034509211E-8</v>
      </c>
    </row>
    <row r="58" spans="1:102">
      <c r="A58" s="23"/>
      <c r="B58" s="14" t="s">
        <v>30</v>
      </c>
      <c r="C58" s="105">
        <v>2.9999999990152584E-2</v>
      </c>
      <c r="D58" s="105">
        <v>2.9999999926532038E-2</v>
      </c>
      <c r="E58" s="105">
        <v>2.9999999884124367E-2</v>
      </c>
      <c r="F58" s="105">
        <v>2.9999999907422741E-2</v>
      </c>
      <c r="G58" s="105">
        <v>2.9999999794236631E-2</v>
      </c>
      <c r="H58" s="105">
        <v>2.9999999819008423E-2</v>
      </c>
      <c r="I58" s="105">
        <v>2.9999999689040161E-2</v>
      </c>
      <c r="J58" s="105">
        <v>2.9999999632982752E-2</v>
      </c>
      <c r="K58" s="105">
        <v>2.9999999736417832E-2</v>
      </c>
      <c r="L58" s="105">
        <v>2.9999999669697203E-2</v>
      </c>
      <c r="M58" s="105">
        <v>2.9999999673130967E-2</v>
      </c>
      <c r="N58" s="105">
        <v>2.9999999673430758E-2</v>
      </c>
      <c r="O58" s="105">
        <v>2.9999999452386166E-2</v>
      </c>
      <c r="P58" s="105">
        <v>2.9999999594713202E-2</v>
      </c>
      <c r="Q58" s="105">
        <v>2.9999999481428605E-2</v>
      </c>
      <c r="R58" s="105">
        <v>2.9999999578218587E-2</v>
      </c>
      <c r="S58" s="105">
        <v>2.9999999418083682E-2</v>
      </c>
      <c r="T58" s="105">
        <v>2.9999999314813838E-2</v>
      </c>
      <c r="U58" s="105">
        <v>2.9999999647795619E-2</v>
      </c>
      <c r="V58" s="105">
        <v>2.9999999438384398E-2</v>
      </c>
      <c r="W58" s="105">
        <v>2.9999999256322501E-2</v>
      </c>
      <c r="X58" s="105">
        <v>2.9999999552761718E-2</v>
      </c>
      <c r="Y58" s="105">
        <v>2.9999999337759934E-2</v>
      </c>
      <c r="Z58" s="105">
        <v>2.9999999388947707E-2</v>
      </c>
      <c r="AA58" s="105">
        <v>2.999999941535389E-2</v>
      </c>
      <c r="AB58" s="105">
        <v>2.9999999258279363E-2</v>
      </c>
      <c r="AC58" s="105">
        <v>2.9999999155801205E-2</v>
      </c>
      <c r="AD58" s="105">
        <v>2.99999993623697E-2</v>
      </c>
      <c r="AE58" s="105">
        <v>2.9999999269956223E-2</v>
      </c>
      <c r="AF58" s="105">
        <v>2.9999999478729028E-2</v>
      </c>
      <c r="AG58" s="105">
        <v>2.9999998651671425E-2</v>
      </c>
      <c r="AH58" s="105">
        <v>2.9999999131728308E-2</v>
      </c>
      <c r="AI58" s="105">
        <v>2.9999999040748845E-2</v>
      </c>
      <c r="AJ58" s="105">
        <v>2.9999998921213303E-2</v>
      </c>
      <c r="AK58" s="105">
        <v>2.9999998124659189E-2</v>
      </c>
      <c r="AL58" s="105">
        <v>2.9999999324750847E-2</v>
      </c>
      <c r="AM58" s="105">
        <v>2.9999999119690084E-2</v>
      </c>
      <c r="AN58" s="105">
        <v>2.9999998822928985E-2</v>
      </c>
      <c r="AO58" s="105">
        <v>2.9999997991555692E-2</v>
      </c>
      <c r="AP58" s="105">
        <v>2.9999998806538822E-2</v>
      </c>
      <c r="AQ58" s="105">
        <v>2.9999998796755765E-2</v>
      </c>
      <c r="AR58" s="105">
        <v>2.9999999062444691E-2</v>
      </c>
      <c r="AS58" s="105">
        <v>2.9999998742297498E-2</v>
      </c>
      <c r="AT58" s="105">
        <v>2.9999997434472812E-2</v>
      </c>
      <c r="AU58" s="105">
        <v>2.9999998719217356E-2</v>
      </c>
      <c r="AV58" s="105">
        <v>2.999999867937013E-2</v>
      </c>
      <c r="AW58" s="105">
        <v>2.999999895081322E-2</v>
      </c>
      <c r="AX58" s="105">
        <v>2.9999998477679899E-2</v>
      </c>
      <c r="AY58" s="105">
        <v>2.9999997152022301E-2</v>
      </c>
      <c r="AZ58" s="105">
        <v>2.9999997644859229E-2</v>
      </c>
      <c r="BA58" s="105">
        <v>2.9999998367450403E-2</v>
      </c>
      <c r="BB58" s="105">
        <v>2.999999808112325E-2</v>
      </c>
      <c r="BC58" s="105">
        <v>2.9999998319850448E-2</v>
      </c>
      <c r="BD58" s="105">
        <v>2.9999998172476405E-2</v>
      </c>
      <c r="BE58" s="105">
        <v>2.9999998383400908E-2</v>
      </c>
      <c r="BF58" s="105">
        <v>2.9999997927637995E-2</v>
      </c>
      <c r="BG58" s="105">
        <v>2.9999998331971662E-2</v>
      </c>
      <c r="BH58" s="105">
        <v>2.9999997785167178E-2</v>
      </c>
      <c r="BI58" s="105">
        <v>2.9999998366990181E-2</v>
      </c>
      <c r="BJ58" s="105">
        <v>2.9999998039005195E-2</v>
      </c>
      <c r="BK58" s="105">
        <v>2.9999997425981331E-2</v>
      </c>
      <c r="BL58" s="105">
        <v>2.9999997958295607E-2</v>
      </c>
      <c r="BM58" s="105">
        <v>2.9999997032633983E-2</v>
      </c>
      <c r="BN58" s="105">
        <v>2.9999998537375061E-2</v>
      </c>
      <c r="BO58" s="105">
        <v>2.9999997696560771E-2</v>
      </c>
      <c r="BP58" s="105">
        <v>2.999999662871464E-2</v>
      </c>
      <c r="BQ58" s="105">
        <v>2.999999819959346E-2</v>
      </c>
      <c r="BR58" s="105">
        <v>2.9999997402937583E-2</v>
      </c>
      <c r="BS58" s="105">
        <v>2.9999994500818267E-2</v>
      </c>
      <c r="BT58" s="105">
        <v>2.9999997166999217E-2</v>
      </c>
      <c r="BU58" s="105">
        <v>2.999999769388639E-2</v>
      </c>
      <c r="BV58" s="105">
        <v>2.9999997958311767E-2</v>
      </c>
      <c r="BW58" s="105">
        <v>2.9999997064210998E-2</v>
      </c>
      <c r="BX58" s="105">
        <v>2.9999996949403276E-2</v>
      </c>
      <c r="BY58" s="105">
        <v>2.999999717536676E-2</v>
      </c>
      <c r="BZ58" s="105">
        <v>2.9999997883113593E-2</v>
      </c>
      <c r="CA58" s="105">
        <v>2.9999996748273645E-2</v>
      </c>
      <c r="CB58" s="105">
        <v>2.9999997452790077E-2</v>
      </c>
      <c r="CC58" s="105">
        <v>2.9999998002651913E-2</v>
      </c>
      <c r="CD58" s="105">
        <v>2.9999996511642119E-2</v>
      </c>
      <c r="CE58" s="105">
        <v>2.9999996011358429E-2</v>
      </c>
      <c r="CF58" s="105">
        <v>2.9999997213885896E-2</v>
      </c>
      <c r="CG58" s="105">
        <v>2.9999997036473644E-2</v>
      </c>
      <c r="CH58" s="105">
        <v>2.9999996314761811E-2</v>
      </c>
      <c r="CI58" s="105">
        <v>2.9999997341008326E-2</v>
      </c>
      <c r="CJ58" s="105">
        <v>2.9999994347798251E-2</v>
      </c>
      <c r="CK58" s="105">
        <v>2.9999992761837107E-2</v>
      </c>
      <c r="CL58" s="105">
        <v>2.9999995193195864E-2</v>
      </c>
      <c r="CM58" s="105">
        <v>2.9999991657311081E-2</v>
      </c>
      <c r="CN58" s="105">
        <v>2.9999995864248841E-2</v>
      </c>
      <c r="CO58" s="105">
        <v>2.9999996013071423E-2</v>
      </c>
      <c r="CP58" s="105">
        <v>2.99999959621008E-2</v>
      </c>
      <c r="CQ58" s="105">
        <v>2.9999991327124768E-2</v>
      </c>
      <c r="CR58" s="105">
        <v>2.9999995862159748E-2</v>
      </c>
      <c r="CS58" s="105">
        <v>2.999999520640283E-2</v>
      </c>
      <c r="CT58" s="105">
        <v>2.9999995902888155E-2</v>
      </c>
      <c r="CU58" s="105">
        <v>2.9999995764715841E-2</v>
      </c>
      <c r="CV58" s="105">
        <v>2.9999986942077339E-2</v>
      </c>
      <c r="CW58" s="105">
        <v>2.9999993746622954E-2</v>
      </c>
      <c r="CX58" s="105">
        <v>2.999998667791666E-2</v>
      </c>
    </row>
    <row r="59" spans="1:102">
      <c r="A59" s="23"/>
      <c r="B59" s="56" t="s">
        <v>56</v>
      </c>
      <c r="C59" s="105">
        <v>8.0695994715342362E-2</v>
      </c>
      <c r="D59" s="105">
        <v>8.0695994556637243E-2</v>
      </c>
      <c r="E59" s="105">
        <v>8.0695994344252661E-2</v>
      </c>
      <c r="F59" s="105">
        <v>8.0695994290752499E-2</v>
      </c>
      <c r="G59" s="105">
        <v>8.0695994201726365E-2</v>
      </c>
      <c r="H59" s="105">
        <v>8.0695994035242413E-2</v>
      </c>
      <c r="I59" s="105">
        <v>8.0695993679905084E-2</v>
      </c>
      <c r="J59" s="105">
        <v>8.0695994108488919E-2</v>
      </c>
      <c r="K59" s="105">
        <v>8.0695993480125822E-2</v>
      </c>
      <c r="L59" s="105">
        <v>8.0695993505822683E-2</v>
      </c>
      <c r="M59" s="105">
        <v>8.0695993568738605E-2</v>
      </c>
      <c r="N59" s="105">
        <v>8.069599356539113E-2</v>
      </c>
      <c r="O59" s="105">
        <v>8.0695993100025065E-2</v>
      </c>
      <c r="P59" s="105">
        <v>8.0695993723896617E-2</v>
      </c>
      <c r="Q59" s="105">
        <v>8.06959936878648E-2</v>
      </c>
      <c r="R59" s="105">
        <v>8.069599350150089E-2</v>
      </c>
      <c r="S59" s="105">
        <v>8.0695993185241663E-2</v>
      </c>
      <c r="T59" s="105">
        <v>8.0695993275749417E-2</v>
      </c>
      <c r="U59" s="105">
        <v>8.0695993758704704E-2</v>
      </c>
      <c r="V59" s="105">
        <v>8.0695993276856726E-2</v>
      </c>
      <c r="W59" s="105">
        <v>8.0695993241175629E-2</v>
      </c>
      <c r="X59" s="105">
        <v>8.0695993115242587E-2</v>
      </c>
      <c r="Y59" s="105">
        <v>8.069599322947725E-2</v>
      </c>
      <c r="Z59" s="105">
        <v>8.0695992535587055E-2</v>
      </c>
      <c r="AA59" s="105">
        <v>8.0695993273082758E-2</v>
      </c>
      <c r="AB59" s="105">
        <v>8.0695992189049742E-2</v>
      </c>
      <c r="AC59" s="105">
        <v>8.0695992553843895E-2</v>
      </c>
      <c r="AD59" s="105">
        <v>8.0695992831414903E-2</v>
      </c>
      <c r="AE59" s="105">
        <v>8.069599233282998E-2</v>
      </c>
      <c r="AF59" s="105">
        <v>8.0695992136904954E-2</v>
      </c>
      <c r="AG59" s="105">
        <v>8.0695991173914239E-2</v>
      </c>
      <c r="AH59" s="105">
        <v>8.0695992764505259E-2</v>
      </c>
      <c r="AI59" s="105">
        <v>8.06959921266341E-2</v>
      </c>
      <c r="AJ59" s="105">
        <v>8.0695992180827444E-2</v>
      </c>
      <c r="AK59" s="105">
        <v>8.0695989773427346E-2</v>
      </c>
      <c r="AL59" s="105">
        <v>8.0695992924102511E-2</v>
      </c>
      <c r="AM59" s="105">
        <v>8.06959923652983E-2</v>
      </c>
      <c r="AN59" s="105">
        <v>8.0695992079168472E-2</v>
      </c>
      <c r="AO59" s="105">
        <v>8.0695989149039443E-2</v>
      </c>
      <c r="AP59" s="105">
        <v>8.0695991743205103E-2</v>
      </c>
      <c r="AQ59" s="105">
        <v>8.069599144598269E-2</v>
      </c>
      <c r="AR59" s="105">
        <v>8.0695990887260108E-2</v>
      </c>
      <c r="AS59" s="105">
        <v>8.0695990921958019E-2</v>
      </c>
      <c r="AT59" s="105">
        <v>8.0695987876020087E-2</v>
      </c>
      <c r="AU59" s="105">
        <v>8.0695991201588213E-2</v>
      </c>
      <c r="AV59" s="105">
        <v>8.069599046597023E-2</v>
      </c>
      <c r="AW59" s="105">
        <v>8.069599161338227E-2</v>
      </c>
      <c r="AX59" s="105">
        <v>8.0695989491461159E-2</v>
      </c>
      <c r="AY59" s="105">
        <v>8.0695986741505507E-2</v>
      </c>
      <c r="AZ59" s="105">
        <v>8.0695988294199217E-2</v>
      </c>
      <c r="BA59" s="105">
        <v>8.069599038208454E-2</v>
      </c>
      <c r="BB59" s="105">
        <v>8.0695990514572352E-2</v>
      </c>
      <c r="BC59" s="105">
        <v>8.0695988583379522E-2</v>
      </c>
      <c r="BD59" s="105">
        <v>8.0695988488922885E-2</v>
      </c>
      <c r="BE59" s="105">
        <v>8.0695990612932547E-2</v>
      </c>
      <c r="BF59" s="105">
        <v>8.0695990773596168E-2</v>
      </c>
      <c r="BG59" s="105">
        <v>8.0695988874035479E-2</v>
      </c>
      <c r="BH59" s="105">
        <v>8.0695988814143332E-2</v>
      </c>
      <c r="BI59" s="105">
        <v>8.0695990147748003E-2</v>
      </c>
      <c r="BJ59" s="105">
        <v>8.0695990506368956E-2</v>
      </c>
      <c r="BK59" s="105">
        <v>8.0695989978753921E-2</v>
      </c>
      <c r="BL59" s="105">
        <v>8.0695990452723645E-2</v>
      </c>
      <c r="BM59" s="105">
        <v>8.0695986576602569E-2</v>
      </c>
      <c r="BN59" s="105">
        <v>8.0695990740372717E-2</v>
      </c>
      <c r="BO59" s="105">
        <v>8.0695987083396162E-2</v>
      </c>
      <c r="BP59" s="105">
        <v>8.0695987606414346E-2</v>
      </c>
      <c r="BQ59" s="105">
        <v>8.0695986388291396E-2</v>
      </c>
      <c r="BR59" s="105">
        <v>8.0695988351754053E-2</v>
      </c>
      <c r="BS59" s="105">
        <v>8.0695979943254961E-2</v>
      </c>
      <c r="BT59" s="105">
        <v>8.0695985199022865E-2</v>
      </c>
      <c r="BU59" s="105">
        <v>8.0695988598831925E-2</v>
      </c>
      <c r="BV59" s="105">
        <v>8.0695985398348866E-2</v>
      </c>
      <c r="BW59" s="105">
        <v>8.0695987733053975E-2</v>
      </c>
      <c r="BX59" s="105">
        <v>8.0695986414108786E-2</v>
      </c>
      <c r="BY59" s="105">
        <v>8.0695986080134938E-2</v>
      </c>
      <c r="BZ59" s="105">
        <v>8.0695987054803381E-2</v>
      </c>
      <c r="CA59" s="105">
        <v>8.0695985490028876E-2</v>
      </c>
      <c r="CB59" s="105">
        <v>8.0695987796567573E-2</v>
      </c>
      <c r="CC59" s="105">
        <v>8.0695989277517421E-2</v>
      </c>
      <c r="CD59" s="105">
        <v>8.0695986072059578E-2</v>
      </c>
      <c r="CE59" s="105">
        <v>8.0695984668566798E-2</v>
      </c>
      <c r="CF59" s="105">
        <v>8.0695984165425477E-2</v>
      </c>
      <c r="CG59" s="105">
        <v>8.0695985659964303E-2</v>
      </c>
      <c r="CH59" s="105">
        <v>8.0695980642841877E-2</v>
      </c>
      <c r="CI59" s="105">
        <v>8.0695986899486094E-2</v>
      </c>
      <c r="CJ59" s="105">
        <v>8.0695979364324863E-2</v>
      </c>
      <c r="CK59" s="105">
        <v>8.0695975508500661E-2</v>
      </c>
      <c r="CL59" s="105">
        <v>8.0695982390253135E-2</v>
      </c>
      <c r="CM59" s="105">
        <v>8.0695971487362753E-2</v>
      </c>
      <c r="CN59" s="105">
        <v>8.0695978459969467E-2</v>
      </c>
      <c r="CO59" s="105">
        <v>8.0695983700932117E-2</v>
      </c>
      <c r="CP59" s="105">
        <v>8.0695984361849549E-2</v>
      </c>
      <c r="CQ59" s="105">
        <v>8.0695970513411222E-2</v>
      </c>
      <c r="CR59" s="105">
        <v>8.0695983380355135E-2</v>
      </c>
      <c r="CS59" s="105">
        <v>8.0695981152100249E-2</v>
      </c>
      <c r="CT59" s="105">
        <v>8.0695983143755035E-2</v>
      </c>
      <c r="CU59" s="105">
        <v>8.0695979302712217E-2</v>
      </c>
      <c r="CV59" s="105">
        <v>8.0695959593212144E-2</v>
      </c>
      <c r="CW59" s="105">
        <v>8.0695974866291778E-2</v>
      </c>
      <c r="CX59" s="105">
        <v>8.0695958918043639E-2</v>
      </c>
    </row>
    <row r="60" spans="1:102">
      <c r="A60" s="106"/>
      <c r="B60" s="56" t="s">
        <v>114</v>
      </c>
      <c r="C60" s="105">
        <v>0.63055866030240093</v>
      </c>
      <c r="D60" s="105">
        <v>0.63055866751520973</v>
      </c>
      <c r="E60" s="105">
        <v>0.63055867017667921</v>
      </c>
      <c r="F60" s="105">
        <v>0.63055867183627212</v>
      </c>
      <c r="G60" s="105">
        <v>0.63055868079570376</v>
      </c>
      <c r="H60" s="105">
        <v>0.63055868456725872</v>
      </c>
      <c r="I60" s="105">
        <v>0.63055868719382646</v>
      </c>
      <c r="J60" s="105">
        <v>0.63055868905020218</v>
      </c>
      <c r="K60" s="105">
        <v>0.63055869371021989</v>
      </c>
      <c r="L60" s="105">
        <v>0.63055869424992961</v>
      </c>
      <c r="M60" s="105">
        <v>0.63055869439679446</v>
      </c>
      <c r="N60" s="105">
        <v>0.63055869717255186</v>
      </c>
      <c r="O60" s="105">
        <v>0.63055869959170363</v>
      </c>
      <c r="P60" s="105">
        <v>0.6305586995638639</v>
      </c>
      <c r="Q60" s="105">
        <v>0.6305587065630982</v>
      </c>
      <c r="R60" s="105">
        <v>0.63055870986960416</v>
      </c>
      <c r="S60" s="105">
        <v>0.6305587111188754</v>
      </c>
      <c r="T60" s="105">
        <v>0.63055871377706019</v>
      </c>
      <c r="U60" s="105">
        <v>0.63055871288150889</v>
      </c>
      <c r="V60" s="105">
        <v>0.63055871578871703</v>
      </c>
      <c r="W60" s="105">
        <v>0.63055871655399454</v>
      </c>
      <c r="X60" s="105">
        <v>0.63055871580823408</v>
      </c>
      <c r="Y60" s="105">
        <v>0.63055871732533453</v>
      </c>
      <c r="Z60" s="105">
        <v>0.63055871773518968</v>
      </c>
      <c r="AA60" s="105">
        <v>0.63055871806817132</v>
      </c>
      <c r="AB60" s="105">
        <v>0.6305587265243896</v>
      </c>
      <c r="AC60" s="105">
        <v>0.63055872853531136</v>
      </c>
      <c r="AD60" s="105">
        <v>0.63055873057298029</v>
      </c>
      <c r="AE60" s="105">
        <v>0.63055873111726424</v>
      </c>
      <c r="AF60" s="105">
        <v>0.63055873029367782</v>
      </c>
      <c r="AG60" s="105">
        <v>0.63055873813949648</v>
      </c>
      <c r="AH60" s="105">
        <v>0.6305587400929088</v>
      </c>
      <c r="AI60" s="105">
        <v>0.6305587448777199</v>
      </c>
      <c r="AJ60" s="105">
        <v>0.63055875674131934</v>
      </c>
      <c r="AK60" s="105">
        <v>0.6305587602963042</v>
      </c>
      <c r="AL60" s="105">
        <v>0.6305587565192482</v>
      </c>
      <c r="AM60" s="105">
        <v>0.63055875803476447</v>
      </c>
      <c r="AN60" s="105">
        <v>0.6305587624303457</v>
      </c>
      <c r="AO60" s="105">
        <v>0.63055876635243757</v>
      </c>
      <c r="AP60" s="105">
        <v>0.63055877507480607</v>
      </c>
      <c r="AQ60" s="105">
        <v>0.63055877689234396</v>
      </c>
      <c r="AR60" s="105">
        <v>0.63055877578183894</v>
      </c>
      <c r="AS60" s="105">
        <v>0.63055877823292228</v>
      </c>
      <c r="AT60" s="105">
        <v>0.63055878770456619</v>
      </c>
      <c r="AU60" s="105">
        <v>0.63055878342048988</v>
      </c>
      <c r="AV60" s="105">
        <v>0.63055878534188381</v>
      </c>
      <c r="AW60" s="105">
        <v>0.63055879055027286</v>
      </c>
      <c r="AX60" s="105">
        <v>0.63055879392502368</v>
      </c>
      <c r="AY60" s="105">
        <v>0.63055880474179937</v>
      </c>
      <c r="AZ60" s="105">
        <v>0.63055880504251405</v>
      </c>
      <c r="BA60" s="105">
        <v>0.63055880603267345</v>
      </c>
      <c r="BB60" s="105">
        <v>0.63055881275067016</v>
      </c>
      <c r="BC60" s="105">
        <v>0.63055881867312802</v>
      </c>
      <c r="BD60" s="105">
        <v>0.63055882136714225</v>
      </c>
      <c r="BE60" s="105">
        <v>0.63055882080549186</v>
      </c>
      <c r="BF60" s="105">
        <v>0.63055883682244285</v>
      </c>
      <c r="BG60" s="105">
        <v>0.63055883627143405</v>
      </c>
      <c r="BH60" s="105">
        <v>0.63055885620580576</v>
      </c>
      <c r="BI60" s="105">
        <v>0.63055885780844989</v>
      </c>
      <c r="BJ60" s="105">
        <v>0.63055886647867632</v>
      </c>
      <c r="BK60" s="105">
        <v>0.63055887372530672</v>
      </c>
      <c r="BL60" s="105">
        <v>0.63055887337104766</v>
      </c>
      <c r="BM60" s="105">
        <v>0.63055888197802157</v>
      </c>
      <c r="BN60" s="105">
        <v>0.63055887584100467</v>
      </c>
      <c r="BO60" s="105">
        <v>0.63055888370419055</v>
      </c>
      <c r="BP60" s="105">
        <v>0.63055888830871898</v>
      </c>
      <c r="BQ60" s="105">
        <v>0.63055888708818697</v>
      </c>
      <c r="BR60" s="105">
        <v>0.63055890036172435</v>
      </c>
      <c r="BS60" s="105">
        <v>0.63055891389208663</v>
      </c>
      <c r="BT60" s="105">
        <v>0.63055890391910963</v>
      </c>
      <c r="BU60" s="105">
        <v>0.63055891007196863</v>
      </c>
      <c r="BV60" s="105">
        <v>0.63055890907442513</v>
      </c>
      <c r="BW60" s="105">
        <v>0.63055892982935091</v>
      </c>
      <c r="BX60" s="105">
        <v>0.63055893055956957</v>
      </c>
      <c r="BY60" s="105">
        <v>0.63055894145256974</v>
      </c>
      <c r="BZ60" s="105">
        <v>0.63055893933393459</v>
      </c>
      <c r="CA60" s="105">
        <v>0.63055894593690309</v>
      </c>
      <c r="CB60" s="105">
        <v>0.63055894372591825</v>
      </c>
      <c r="CC60" s="105">
        <v>0.63055895307891974</v>
      </c>
      <c r="CD60" s="105">
        <v>0.63055897284970597</v>
      </c>
      <c r="CE60" s="105">
        <v>0.63055897884304579</v>
      </c>
      <c r="CF60" s="105">
        <v>0.63055898730120497</v>
      </c>
      <c r="CG60" s="105">
        <v>0.63055899105321678</v>
      </c>
      <c r="CH60" s="105">
        <v>0.63055900213669369</v>
      </c>
      <c r="CI60" s="105">
        <v>0.63055900028538026</v>
      </c>
      <c r="CJ60" s="105">
        <v>0.6305590130335017</v>
      </c>
      <c r="CK60" s="105">
        <v>0.63055904545295172</v>
      </c>
      <c r="CL60" s="105">
        <v>0.63055907202571393</v>
      </c>
      <c r="CM60" s="105">
        <v>0.63055912155495331</v>
      </c>
      <c r="CN60" s="105">
        <v>0.63055913228606653</v>
      </c>
      <c r="CO60" s="105">
        <v>0.63055913694677801</v>
      </c>
      <c r="CP60" s="105">
        <v>0.63055914004554292</v>
      </c>
      <c r="CQ60" s="105">
        <v>0.63055916013626945</v>
      </c>
      <c r="CR60" s="105">
        <v>0.63055914874842678</v>
      </c>
      <c r="CS60" s="105">
        <v>0.63055916271147006</v>
      </c>
      <c r="CT60" s="105">
        <v>0.63055917883836121</v>
      </c>
      <c r="CU60" s="105">
        <v>0.63055919984989006</v>
      </c>
      <c r="CV60" s="105">
        <v>0.63055926536101459</v>
      </c>
      <c r="CW60" s="105">
        <v>0.6305592575798441</v>
      </c>
      <c r="CX60" s="105">
        <v>0.6305593084830905</v>
      </c>
    </row>
    <row r="61" spans="1:102">
      <c r="A61" s="108" t="str">
        <f>Parameters!A45</f>
        <v>Kansgewogen</v>
      </c>
      <c r="B61" s="102" t="s">
        <v>29</v>
      </c>
      <c r="C61" s="103">
        <v>-4.1160904688521291E-12</v>
      </c>
      <c r="D61" s="103">
        <v>2.8837068019253328E-11</v>
      </c>
      <c r="E61" s="103">
        <v>2.6930292318401727E-11</v>
      </c>
      <c r="F61" s="103">
        <v>9.3289929671274063E-11</v>
      </c>
      <c r="G61" s="103">
        <v>5.342238613388449E-11</v>
      </c>
      <c r="H61" s="103">
        <v>1.0309959494448405E-10</v>
      </c>
      <c r="I61" s="103">
        <v>7.1134216380062164E-11</v>
      </c>
      <c r="J61" s="103">
        <v>1.3607446555897197E-10</v>
      </c>
      <c r="K61" s="103">
        <v>2.5895687464379741E-10</v>
      </c>
      <c r="L61" s="103">
        <v>1.7128566992194236E-10</v>
      </c>
      <c r="M61" s="103">
        <v>1.5022100731089557E-10</v>
      </c>
      <c r="N61" s="103">
        <v>2.2963099072304907E-10</v>
      </c>
      <c r="O61" s="103">
        <v>-7.2714066231307004E-11</v>
      </c>
      <c r="P61" s="103">
        <v>1.4733352192805486E-10</v>
      </c>
      <c r="Q61" s="103">
        <v>-2.7180742499315885E-11</v>
      </c>
      <c r="R61" s="103">
        <v>1.9562178471591594E-10</v>
      </c>
      <c r="S61" s="103">
        <v>5.3730872244663738E-11</v>
      </c>
      <c r="T61" s="103">
        <v>-1.1783161356993053E-10</v>
      </c>
      <c r="U61" s="103">
        <v>9.1359060512274558E-12</v>
      </c>
      <c r="V61" s="103">
        <v>1.7062011215261256E-10</v>
      </c>
      <c r="W61" s="103">
        <v>1.626840088855536E-10</v>
      </c>
      <c r="X61" s="103">
        <v>1.9354359007063507E-10</v>
      </c>
      <c r="Y61" s="103">
        <v>1.6607388700088183E-10</v>
      </c>
      <c r="Z61" s="103">
        <v>2.12286385275268E-10</v>
      </c>
      <c r="AA61" s="103">
        <v>2.0496404878540537E-10</v>
      </c>
      <c r="AB61" s="103">
        <v>1.9046074187737459E-10</v>
      </c>
      <c r="AC61" s="103">
        <v>8.8638344125705091E-11</v>
      </c>
      <c r="AD61" s="103">
        <v>2.6976899666879373E-10</v>
      </c>
      <c r="AE61" s="103">
        <v>1.260919518391161E-10</v>
      </c>
      <c r="AF61" s="103">
        <v>5.7554878595911365E-10</v>
      </c>
      <c r="AG61" s="103">
        <v>-4.975552105181525E-10</v>
      </c>
      <c r="AH61" s="103">
        <v>2.2436311058969756E-11</v>
      </c>
      <c r="AI61" s="103">
        <v>9.7377580311761894E-11</v>
      </c>
      <c r="AJ61" s="103">
        <v>1.5450381343378533E-10</v>
      </c>
      <c r="AK61" s="103">
        <v>-6.7533372412347634E-10</v>
      </c>
      <c r="AL61" s="103">
        <v>1.0296951542852105E-11</v>
      </c>
      <c r="AM61" s="103">
        <v>8.7739158046289949E-11</v>
      </c>
      <c r="AN61" s="103">
        <v>3.4858364667857146E-10</v>
      </c>
      <c r="AO61" s="103">
        <v>-7.4495294747093127E-10</v>
      </c>
      <c r="AP61" s="103">
        <v>4.1578605020856925E-10</v>
      </c>
      <c r="AQ61" s="103">
        <v>7.2580884100694681E-10</v>
      </c>
      <c r="AR61" s="103">
        <v>7.3032857134930243E-10</v>
      </c>
      <c r="AS61" s="103">
        <v>2.6635041963609474E-10</v>
      </c>
      <c r="AT61" s="103">
        <v>-1.1445525267499783E-9</v>
      </c>
      <c r="AU61" s="103">
        <v>2.87558635992941E-10</v>
      </c>
      <c r="AV61" s="103">
        <v>3.784522982962781E-10</v>
      </c>
      <c r="AW61" s="103">
        <v>5.7858882720722548E-10</v>
      </c>
      <c r="AX61" s="103">
        <v>3.6235763198488711E-10</v>
      </c>
      <c r="AY61" s="103">
        <v>-1.0911783692176269E-9</v>
      </c>
      <c r="AZ61" s="103">
        <v>-8.5113446517588173E-10</v>
      </c>
      <c r="BA61" s="103">
        <v>3.6614425879377715E-10</v>
      </c>
      <c r="BB61" s="103">
        <v>-3.1082014356653414E-10</v>
      </c>
      <c r="BC61" s="103">
        <v>5.9906688232508635E-10</v>
      </c>
      <c r="BD61" s="103">
        <v>4.4129643472740083E-10</v>
      </c>
      <c r="BE61" s="103">
        <v>5.1805531506604953E-10</v>
      </c>
      <c r="BF61" s="103">
        <v>7.1233931772096647E-10</v>
      </c>
      <c r="BG61" s="103">
        <v>8.0347359579728445E-10</v>
      </c>
      <c r="BH61" s="103">
        <v>3.2400269686218159E-10</v>
      </c>
      <c r="BI61" s="103">
        <v>8.4833621768445987E-10</v>
      </c>
      <c r="BJ61" s="103">
        <v>3.9544035544992299E-10</v>
      </c>
      <c r="BK61" s="103">
        <v>6.4670131390520311E-10</v>
      </c>
      <c r="BL61" s="103">
        <v>3.5051449008017273E-10</v>
      </c>
      <c r="BM61" s="103">
        <v>-3.0782453770394963E-10</v>
      </c>
      <c r="BN61" s="103">
        <v>-1.8588790644822246E-11</v>
      </c>
      <c r="BO61" s="103">
        <v>4.4560581579764116E-10</v>
      </c>
      <c r="BP61" s="103">
        <v>3.8331552824119472E-11</v>
      </c>
      <c r="BQ61" s="103">
        <v>1.6988335019954859E-9</v>
      </c>
      <c r="BR61" s="103">
        <v>7.9160770067594988E-10</v>
      </c>
      <c r="BS61" s="103">
        <v>-2.5607067137733456E-9</v>
      </c>
      <c r="BT61" s="103">
        <v>4.9826101932103101E-10</v>
      </c>
      <c r="BU61" s="103">
        <v>-2.0621361253513079E-11</v>
      </c>
      <c r="BV61" s="103">
        <v>1.7627961563955582E-9</v>
      </c>
      <c r="BW61" s="103">
        <v>1.513427616782312E-9</v>
      </c>
      <c r="BX61" s="103">
        <v>-6.6593856106791424E-11</v>
      </c>
      <c r="BY61" s="103">
        <v>1.0054925748149192E-9</v>
      </c>
      <c r="BZ61" s="103">
        <v>1.6464583644165942E-9</v>
      </c>
      <c r="CA61" s="103">
        <v>9.8872485653968121E-10</v>
      </c>
      <c r="CB61" s="103">
        <v>4.2274226042770776E-10</v>
      </c>
      <c r="CC61" s="103">
        <v>1.0415372283532669E-10</v>
      </c>
      <c r="CD61" s="103">
        <v>3.3943616944137796E-10</v>
      </c>
      <c r="CE61" s="103">
        <v>3.3342143357549402E-11</v>
      </c>
      <c r="CF61" s="103">
        <v>1.8201651903151217E-9</v>
      </c>
      <c r="CG61" s="103">
        <v>1.2734173809307358E-9</v>
      </c>
      <c r="CH61" s="103">
        <v>1.286194456238724E-9</v>
      </c>
      <c r="CI61" s="103">
        <v>1.9575408602266334E-10</v>
      </c>
      <c r="CJ61" s="103">
        <v>-1.8060807838706664E-9</v>
      </c>
      <c r="CK61" s="103">
        <v>-2.5235812964330099E-9</v>
      </c>
      <c r="CL61" s="103">
        <v>1.4494213417777149E-9</v>
      </c>
      <c r="CM61" s="103">
        <v>-2.7411004091810159E-9</v>
      </c>
      <c r="CN61" s="103">
        <v>2.6441982397655816E-9</v>
      </c>
      <c r="CO61" s="103">
        <v>5.5922880979816546E-10</v>
      </c>
      <c r="CP61" s="103">
        <v>8.5137207355256438E-10</v>
      </c>
      <c r="CQ61" s="103">
        <v>-2.1674472349219301E-9</v>
      </c>
      <c r="CR61" s="103">
        <v>1.0623353286727175E-9</v>
      </c>
      <c r="CS61" s="103">
        <v>1.9875855803195199E-9</v>
      </c>
      <c r="CT61" s="103">
        <v>5.9202549799255113E-10</v>
      </c>
      <c r="CU61" s="103">
        <v>2.7929699010683878E-9</v>
      </c>
      <c r="CV61" s="103">
        <v>-6.0568247100166034E-9</v>
      </c>
      <c r="CW61" s="103">
        <v>1.4352702212466852E-9</v>
      </c>
      <c r="CX61" s="103">
        <v>-5.7958306175982733E-9</v>
      </c>
    </row>
    <row r="62" spans="1:102">
      <c r="A62" s="23"/>
      <c r="B62" s="14" t="s">
        <v>30</v>
      </c>
      <c r="C62" s="105">
        <v>2.9999999990152584E-2</v>
      </c>
      <c r="D62" s="105">
        <v>2.9999999926532038E-2</v>
      </c>
      <c r="E62" s="105">
        <v>2.9999999884124356E-2</v>
      </c>
      <c r="F62" s="105">
        <v>2.9999999907422737E-2</v>
      </c>
      <c r="G62" s="105">
        <v>2.9999999794236627E-2</v>
      </c>
      <c r="H62" s="105">
        <v>2.9999999819008413E-2</v>
      </c>
      <c r="I62" s="105">
        <v>2.9999999689040095E-2</v>
      </c>
      <c r="J62" s="105">
        <v>2.9999999632982752E-2</v>
      </c>
      <c r="K62" s="105">
        <v>2.9999999736417791E-2</v>
      </c>
      <c r="L62" s="105">
        <v>2.9999999669697186E-2</v>
      </c>
      <c r="M62" s="105">
        <v>2.9999999673130915E-2</v>
      </c>
      <c r="N62" s="105">
        <v>2.9999999673430727E-2</v>
      </c>
      <c r="O62" s="105">
        <v>2.9999999452386177E-2</v>
      </c>
      <c r="P62" s="105">
        <v>2.9999999594713191E-2</v>
      </c>
      <c r="Q62" s="105">
        <v>2.9999999481428681E-2</v>
      </c>
      <c r="R62" s="105">
        <v>2.9999999578218563E-2</v>
      </c>
      <c r="S62" s="105">
        <v>2.999999941808364E-2</v>
      </c>
      <c r="T62" s="105">
        <v>2.9999999314813928E-2</v>
      </c>
      <c r="U62" s="105">
        <v>2.9999999647795705E-2</v>
      </c>
      <c r="V62" s="105">
        <v>2.9999999438384394E-2</v>
      </c>
      <c r="W62" s="105">
        <v>2.9999999256322501E-2</v>
      </c>
      <c r="X62" s="105">
        <v>2.9999999552761683E-2</v>
      </c>
      <c r="Y62" s="105">
        <v>2.9999999337759913E-2</v>
      </c>
      <c r="Z62" s="105">
        <v>2.9999999388947422E-2</v>
      </c>
      <c r="AA62" s="105">
        <v>2.9999999415353869E-2</v>
      </c>
      <c r="AB62" s="105">
        <v>2.9999999258278984E-2</v>
      </c>
      <c r="AC62" s="105">
        <v>2.9999999155801187E-2</v>
      </c>
      <c r="AD62" s="105">
        <v>2.999999936236955E-2</v>
      </c>
      <c r="AE62" s="105">
        <v>2.9999999269955904E-2</v>
      </c>
      <c r="AF62" s="105">
        <v>2.9999999478728907E-2</v>
      </c>
      <c r="AG62" s="105">
        <v>2.9999998651671609E-2</v>
      </c>
      <c r="AH62" s="105">
        <v>2.9999999131728492E-2</v>
      </c>
      <c r="AI62" s="105">
        <v>2.9999999040748702E-2</v>
      </c>
      <c r="AJ62" s="105">
        <v>2.9999998921213352E-2</v>
      </c>
      <c r="AK62" s="105">
        <v>2.9999998124659439E-2</v>
      </c>
      <c r="AL62" s="105">
        <v>2.9999999324751118E-2</v>
      </c>
      <c r="AM62" s="105">
        <v>2.999999911969007E-2</v>
      </c>
      <c r="AN62" s="105">
        <v>2.999999882292893E-2</v>
      </c>
      <c r="AO62" s="105">
        <v>2.9999997991555911E-2</v>
      </c>
      <c r="AP62" s="105">
        <v>2.9999998806538739E-2</v>
      </c>
      <c r="AQ62" s="105">
        <v>2.9999998796755509E-2</v>
      </c>
      <c r="AR62" s="105">
        <v>2.9999999062444556E-2</v>
      </c>
      <c r="AS62" s="105">
        <v>2.9999998742296929E-2</v>
      </c>
      <c r="AT62" s="105">
        <v>2.9999997434473416E-2</v>
      </c>
      <c r="AU62" s="105">
        <v>2.9999998719217397E-2</v>
      </c>
      <c r="AV62" s="105">
        <v>2.9999998679369151E-2</v>
      </c>
      <c r="AW62" s="105">
        <v>2.9999998950812946E-2</v>
      </c>
      <c r="AX62" s="105">
        <v>2.9999998477678234E-2</v>
      </c>
      <c r="AY62" s="105">
        <v>2.9999997152022909E-2</v>
      </c>
      <c r="AZ62" s="105">
        <v>2.9999997644859746E-2</v>
      </c>
      <c r="BA62" s="105">
        <v>2.9999998367450334E-2</v>
      </c>
      <c r="BB62" s="105">
        <v>2.9999998081123896E-2</v>
      </c>
      <c r="BC62" s="105">
        <v>2.9999998319848245E-2</v>
      </c>
      <c r="BD62" s="105">
        <v>2.9999998172474073E-2</v>
      </c>
      <c r="BE62" s="105">
        <v>2.9999998383400756E-2</v>
      </c>
      <c r="BF62" s="105">
        <v>2.9999997927637898E-2</v>
      </c>
      <c r="BG62" s="105">
        <v>2.9999998331970788E-2</v>
      </c>
      <c r="BH62" s="105">
        <v>2.9999997785166137E-2</v>
      </c>
      <c r="BI62" s="105">
        <v>2.9999998366989744E-2</v>
      </c>
      <c r="BJ62" s="105">
        <v>2.9999998039005531E-2</v>
      </c>
      <c r="BK62" s="105">
        <v>2.9999997425981695E-2</v>
      </c>
      <c r="BL62" s="105">
        <v>2.9999997958296179E-2</v>
      </c>
      <c r="BM62" s="105">
        <v>2.9999997032634347E-2</v>
      </c>
      <c r="BN62" s="105">
        <v>2.9999998537376595E-2</v>
      </c>
      <c r="BO62" s="105">
        <v>2.9999997696557403E-2</v>
      </c>
      <c r="BP62" s="105">
        <v>2.999999662871514E-2</v>
      </c>
      <c r="BQ62" s="105">
        <v>2.9999998199591663E-2</v>
      </c>
      <c r="BR62" s="105">
        <v>2.9999997402937049E-2</v>
      </c>
      <c r="BS62" s="105">
        <v>2.9999994500820911E-2</v>
      </c>
      <c r="BT62" s="105">
        <v>2.9999997166996688E-2</v>
      </c>
      <c r="BU62" s="105">
        <v>2.9999997693887354E-2</v>
      </c>
      <c r="BV62" s="105">
        <v>2.9999997958308895E-2</v>
      </c>
      <c r="BW62" s="105">
        <v>2.9999997064209999E-2</v>
      </c>
      <c r="BX62" s="105">
        <v>2.9999996949403661E-2</v>
      </c>
      <c r="BY62" s="105">
        <v>2.9999997175362694E-2</v>
      </c>
      <c r="BZ62" s="105">
        <v>2.9999997883112195E-2</v>
      </c>
      <c r="CA62" s="105">
        <v>2.9999996748268747E-2</v>
      </c>
      <c r="CB62" s="105">
        <v>2.9999997452788862E-2</v>
      </c>
      <c r="CC62" s="105">
        <v>2.9999998002654116E-2</v>
      </c>
      <c r="CD62" s="105">
        <v>2.9999996511641966E-2</v>
      </c>
      <c r="CE62" s="105">
        <v>2.9999996011359012E-2</v>
      </c>
      <c r="CF62" s="105">
        <v>2.9999997213885292E-2</v>
      </c>
      <c r="CG62" s="105">
        <v>2.9999997036469842E-2</v>
      </c>
      <c r="CH62" s="105">
        <v>2.9999996314757679E-2</v>
      </c>
      <c r="CI62" s="105">
        <v>2.9999997341008298E-2</v>
      </c>
      <c r="CJ62" s="105">
        <v>2.9999994347800662E-2</v>
      </c>
      <c r="CK62" s="105">
        <v>2.9999992761840663E-2</v>
      </c>
      <c r="CL62" s="105">
        <v>2.9999995193189286E-2</v>
      </c>
      <c r="CM62" s="105">
        <v>2.999999165731379E-2</v>
      </c>
      <c r="CN62" s="105">
        <v>2.9999995864237679E-2</v>
      </c>
      <c r="CO62" s="105">
        <v>2.9999996013072086E-2</v>
      </c>
      <c r="CP62" s="105">
        <v>2.9999995962101653E-2</v>
      </c>
      <c r="CQ62" s="105">
        <v>2.9999991327128932E-2</v>
      </c>
      <c r="CR62" s="105">
        <v>2.9999995862160324E-2</v>
      </c>
      <c r="CS62" s="105">
        <v>2.9999995206393921E-2</v>
      </c>
      <c r="CT62" s="105">
        <v>2.9999995902887898E-2</v>
      </c>
      <c r="CU62" s="105">
        <v>2.9999995764712083E-2</v>
      </c>
      <c r="CV62" s="105">
        <v>2.9999986942092226E-2</v>
      </c>
      <c r="CW62" s="105">
        <v>2.9999993746623804E-2</v>
      </c>
      <c r="CX62" s="105">
        <v>2.9999986677931596E-2</v>
      </c>
    </row>
    <row r="63" spans="1:102">
      <c r="A63" s="23"/>
      <c r="B63" s="56" t="s">
        <v>56</v>
      </c>
      <c r="C63" s="105">
        <v>0.10599311683887593</v>
      </c>
      <c r="D63" s="105">
        <v>0.10599311668589584</v>
      </c>
      <c r="E63" s="105">
        <v>0.10599311659986435</v>
      </c>
      <c r="F63" s="105">
        <v>0.10599311650850821</v>
      </c>
      <c r="G63" s="105">
        <v>0.10599311628881586</v>
      </c>
      <c r="H63" s="105">
        <v>0.10599311609434382</v>
      </c>
      <c r="I63" s="105">
        <v>0.10599311615050884</v>
      </c>
      <c r="J63" s="105">
        <v>0.10599311625434067</v>
      </c>
      <c r="K63" s="105">
        <v>0.10599311590980867</v>
      </c>
      <c r="L63" s="105">
        <v>0.10599311575658626</v>
      </c>
      <c r="M63" s="105">
        <v>0.10599311588061706</v>
      </c>
      <c r="N63" s="105">
        <v>0.1059931158677689</v>
      </c>
      <c r="O63" s="105">
        <v>0.1059931148923727</v>
      </c>
      <c r="P63" s="105">
        <v>0.10599311594863321</v>
      </c>
      <c r="Q63" s="105">
        <v>0.10599311573506304</v>
      </c>
      <c r="R63" s="105">
        <v>0.10599311556398459</v>
      </c>
      <c r="S63" s="105">
        <v>0.10599311558904202</v>
      </c>
      <c r="T63" s="105">
        <v>0.10599311518090164</v>
      </c>
      <c r="U63" s="105">
        <v>0.10599311499857975</v>
      </c>
      <c r="V63" s="105">
        <v>0.10599311549624586</v>
      </c>
      <c r="W63" s="105">
        <v>0.10599311530937053</v>
      </c>
      <c r="X63" s="105">
        <v>0.10599311500099938</v>
      </c>
      <c r="Y63" s="105">
        <v>0.10599311545498268</v>
      </c>
      <c r="Z63" s="105">
        <v>0.10599311534400133</v>
      </c>
      <c r="AA63" s="105">
        <v>0.10599311548201513</v>
      </c>
      <c r="AB63" s="105">
        <v>0.10599311512911844</v>
      </c>
      <c r="AC63" s="105">
        <v>0.10599311465670941</v>
      </c>
      <c r="AD63" s="105">
        <v>0.10599311516788908</v>
      </c>
      <c r="AE63" s="105">
        <v>0.10599311477717982</v>
      </c>
      <c r="AF63" s="105">
        <v>0.10599311485373097</v>
      </c>
      <c r="AG63" s="105">
        <v>0.10599311202737241</v>
      </c>
      <c r="AH63" s="105">
        <v>0.10599311484017589</v>
      </c>
      <c r="AI63" s="105">
        <v>0.1059931147220671</v>
      </c>
      <c r="AJ63" s="105">
        <v>0.10599311428216338</v>
      </c>
      <c r="AK63" s="105">
        <v>0.10599311058705492</v>
      </c>
      <c r="AL63" s="105">
        <v>0.10599311347098947</v>
      </c>
      <c r="AM63" s="105">
        <v>0.10599311394544088</v>
      </c>
      <c r="AN63" s="105">
        <v>0.1059931143328056</v>
      </c>
      <c r="AO63" s="105">
        <v>0.10599310999839222</v>
      </c>
      <c r="AP63" s="105">
        <v>0.10599311418118958</v>
      </c>
      <c r="AQ63" s="105">
        <v>0.10599311401762145</v>
      </c>
      <c r="AR63" s="105">
        <v>0.10599311367176768</v>
      </c>
      <c r="AS63" s="105">
        <v>0.1059931137605209</v>
      </c>
      <c r="AT63" s="105">
        <v>0.10599310775552312</v>
      </c>
      <c r="AU63" s="105">
        <v>0.1059931136077281</v>
      </c>
      <c r="AV63" s="105">
        <v>0.10599311367754294</v>
      </c>
      <c r="AW63" s="105">
        <v>0.10599311375962492</v>
      </c>
      <c r="AX63" s="105">
        <v>0.10599311337518241</v>
      </c>
      <c r="AY63" s="105">
        <v>0.10599310681134601</v>
      </c>
      <c r="AZ63" s="105">
        <v>0.10599310821771057</v>
      </c>
      <c r="BA63" s="105">
        <v>0.10599311258912497</v>
      </c>
      <c r="BB63" s="105">
        <v>0.10599311179852593</v>
      </c>
      <c r="BC63" s="105">
        <v>0.10599311264692511</v>
      </c>
      <c r="BD63" s="105">
        <v>0.10599311267409317</v>
      </c>
      <c r="BE63" s="105">
        <v>0.10599311288745952</v>
      </c>
      <c r="BF63" s="105">
        <v>0.10599311289528761</v>
      </c>
      <c r="BG63" s="105">
        <v>0.10599311214436841</v>
      </c>
      <c r="BH63" s="105">
        <v>0.10599311173093501</v>
      </c>
      <c r="BI63" s="105">
        <v>0.10599311224426843</v>
      </c>
      <c r="BJ63" s="105">
        <v>0.10599311073410243</v>
      </c>
      <c r="BK63" s="105">
        <v>0.1059931120661993</v>
      </c>
      <c r="BL63" s="105">
        <v>0.10599311080418702</v>
      </c>
      <c r="BM63" s="105">
        <v>0.10599310696239503</v>
      </c>
      <c r="BN63" s="105">
        <v>0.10599310913352308</v>
      </c>
      <c r="BO63" s="105">
        <v>0.10599311047888929</v>
      </c>
      <c r="BP63" s="105">
        <v>0.10599310867875471</v>
      </c>
      <c r="BQ63" s="105">
        <v>0.10599311044026714</v>
      </c>
      <c r="BR63" s="105">
        <v>0.10599311118868303</v>
      </c>
      <c r="BS63" s="105">
        <v>0.10599309744086494</v>
      </c>
      <c r="BT63" s="105">
        <v>0.10599310831649236</v>
      </c>
      <c r="BU63" s="105">
        <v>0.10599310781900301</v>
      </c>
      <c r="BV63" s="105">
        <v>0.10599310984885589</v>
      </c>
      <c r="BW63" s="105">
        <v>0.10599311046255219</v>
      </c>
      <c r="BX63" s="105">
        <v>0.10599310627303297</v>
      </c>
      <c r="BY63" s="105">
        <v>0.10599310991096383</v>
      </c>
      <c r="BZ63" s="105">
        <v>0.10599310980946341</v>
      </c>
      <c r="CA63" s="105">
        <v>0.10599310990522218</v>
      </c>
      <c r="CB63" s="105">
        <v>0.10599310816952695</v>
      </c>
      <c r="CC63" s="105">
        <v>0.10599310677517526</v>
      </c>
      <c r="CD63" s="105">
        <v>0.10599310914836022</v>
      </c>
      <c r="CE63" s="105">
        <v>0.10599310588314632</v>
      </c>
      <c r="CF63" s="105">
        <v>0.10599310792694698</v>
      </c>
      <c r="CG63" s="105">
        <v>0.10599310881031428</v>
      </c>
      <c r="CH63" s="105">
        <v>0.10599310441568596</v>
      </c>
      <c r="CI63" s="105">
        <v>0.10599310545797895</v>
      </c>
      <c r="CJ63" s="105">
        <v>0.10599309671819049</v>
      </c>
      <c r="CK63" s="105">
        <v>0.10599309267564858</v>
      </c>
      <c r="CL63" s="105">
        <v>0.10599310692253776</v>
      </c>
      <c r="CM63" s="105">
        <v>0.10599308932409005</v>
      </c>
      <c r="CN63" s="105">
        <v>0.10599310420384928</v>
      </c>
      <c r="CO63" s="105">
        <v>0.10599310103002059</v>
      </c>
      <c r="CP63" s="105">
        <v>0.10599310380777321</v>
      </c>
      <c r="CQ63" s="105">
        <v>0.10599308736423355</v>
      </c>
      <c r="CR63" s="105">
        <v>0.10599310255078756</v>
      </c>
      <c r="CS63" s="105">
        <v>0.1059931048642105</v>
      </c>
      <c r="CT63" s="105">
        <v>0.1059931005550702</v>
      </c>
      <c r="CU63" s="105">
        <v>0.10599310224514258</v>
      </c>
      <c r="CV63" s="105">
        <v>0.10599307073807401</v>
      </c>
      <c r="CW63" s="105">
        <v>0.10599309707644597</v>
      </c>
      <c r="CX63" s="105">
        <v>0.1059930701738627</v>
      </c>
    </row>
    <row r="64" spans="1:102">
      <c r="A64" s="106"/>
      <c r="B64" s="109" t="s">
        <v>114</v>
      </c>
      <c r="C64" s="107">
        <v>0.63055865991130611</v>
      </c>
      <c r="D64" s="107">
        <v>0.63055865976354419</v>
      </c>
      <c r="E64" s="107">
        <v>0.63055865996535188</v>
      </c>
      <c r="F64" s="107">
        <v>0.63055865903289132</v>
      </c>
      <c r="G64" s="107">
        <v>0.63055866000900862</v>
      </c>
      <c r="H64" s="107">
        <v>0.63055865928022548</v>
      </c>
      <c r="I64" s="107">
        <v>0.63055866022730822</v>
      </c>
      <c r="J64" s="107">
        <v>0.63055865964545288</v>
      </c>
      <c r="K64" s="107">
        <v>0.63055865766594255</v>
      </c>
      <c r="L64" s="107">
        <v>0.63055865904856667</v>
      </c>
      <c r="M64" s="107">
        <v>0.63055865929915011</v>
      </c>
      <c r="N64" s="107">
        <v>0.63055865829895974</v>
      </c>
      <c r="O64" s="107">
        <v>0.63055866302916397</v>
      </c>
      <c r="P64" s="107">
        <v>0.63055865966429014</v>
      </c>
      <c r="Q64" s="107">
        <v>0.63055866233460056</v>
      </c>
      <c r="R64" s="107">
        <v>0.63055865912601516</v>
      </c>
      <c r="S64" s="107">
        <v>0.63055866158239293</v>
      </c>
      <c r="T64" s="107">
        <v>0.6305586641735782</v>
      </c>
      <c r="U64" s="107">
        <v>0.63055866118015613</v>
      </c>
      <c r="V64" s="107">
        <v>0.63055866002686745</v>
      </c>
      <c r="W64" s="107">
        <v>0.63055866089011148</v>
      </c>
      <c r="X64" s="107">
        <v>0.6305586592589022</v>
      </c>
      <c r="Y64" s="107">
        <v>0.63055866050598974</v>
      </c>
      <c r="Z64" s="107">
        <v>0.63055865971002545</v>
      </c>
      <c r="AA64" s="107">
        <v>0.63055865969141034</v>
      </c>
      <c r="AB64" s="107">
        <v>0.63055866053249199</v>
      </c>
      <c r="AC64" s="107">
        <v>0.63055866224306534</v>
      </c>
      <c r="AD64" s="107">
        <v>0.63055865909837128</v>
      </c>
      <c r="AE64" s="107">
        <v>0.63055866129325233</v>
      </c>
      <c r="AF64" s="107">
        <v>0.63055865476392048</v>
      </c>
      <c r="AG64" s="107">
        <v>0.63055867173094227</v>
      </c>
      <c r="AH64" s="107">
        <v>0.63055866317679021</v>
      </c>
      <c r="AI64" s="107">
        <v>0.63055866261556259</v>
      </c>
      <c r="AJ64" s="107">
        <v>0.63055866239817582</v>
      </c>
      <c r="AK64" s="107">
        <v>0.63055867617713657</v>
      </c>
      <c r="AL64" s="107">
        <v>0.63055866252012427</v>
      </c>
      <c r="AM64" s="107">
        <v>0.63055866240579572</v>
      </c>
      <c r="AN64" s="107">
        <v>0.63055866036888097</v>
      </c>
      <c r="AO64" s="107">
        <v>0.63055867761103024</v>
      </c>
      <c r="AP64" s="107">
        <v>0.63055865959223878</v>
      </c>
      <c r="AQ64" s="107">
        <v>0.63055865573334779</v>
      </c>
      <c r="AR64" s="107">
        <v>0.63055865456241877</v>
      </c>
      <c r="AS64" s="107">
        <v>0.63055866174143083</v>
      </c>
      <c r="AT64" s="107">
        <v>0.63055868497369916</v>
      </c>
      <c r="AU64" s="107">
        <v>0.63055866157141915</v>
      </c>
      <c r="AV64" s="107">
        <v>0.63055866059511734</v>
      </c>
      <c r="AW64" s="107">
        <v>0.63055865693930779</v>
      </c>
      <c r="AX64" s="107">
        <v>0.63055866164329899</v>
      </c>
      <c r="AY64" s="107">
        <v>0.63055868548663885</v>
      </c>
      <c r="AZ64" s="107">
        <v>0.63055868040048257</v>
      </c>
      <c r="BA64" s="107">
        <v>0.63055866205786704</v>
      </c>
      <c r="BB64" s="107">
        <v>0.63055867177431013</v>
      </c>
      <c r="BC64" s="107">
        <v>0.63055865932743305</v>
      </c>
      <c r="BD64" s="107">
        <v>0.63055866193005883</v>
      </c>
      <c r="BE64" s="107">
        <v>0.63055866008002837</v>
      </c>
      <c r="BF64" s="107">
        <v>0.63055865954712487</v>
      </c>
      <c r="BG64" s="107">
        <v>0.63055865670527911</v>
      </c>
      <c r="BH64" s="107">
        <v>0.63055866502958779</v>
      </c>
      <c r="BI64" s="107">
        <v>0.63055865599409278</v>
      </c>
      <c r="BJ64" s="107">
        <v>0.63055866306655606</v>
      </c>
      <c r="BK64" s="107">
        <v>0.63055866247633263</v>
      </c>
      <c r="BL64" s="107">
        <v>0.63055866397012439</v>
      </c>
      <c r="BM64" s="107">
        <v>0.63055867613309868</v>
      </c>
      <c r="BN64" s="107">
        <v>0.63055866618506817</v>
      </c>
      <c r="BO64" s="107">
        <v>0.630558663871438</v>
      </c>
      <c r="BP64" s="107">
        <v>0.63055867347234118</v>
      </c>
      <c r="BQ64" s="107">
        <v>0.63055864599723654</v>
      </c>
      <c r="BR64" s="107">
        <v>0.63055866075012068</v>
      </c>
      <c r="BS64" s="107">
        <v>0.63055871508937011</v>
      </c>
      <c r="BT64" s="107">
        <v>0.63055866542959105</v>
      </c>
      <c r="BU64" s="107">
        <v>0.63055866974751151</v>
      </c>
      <c r="BV64" s="107">
        <v>0.63055864620435609</v>
      </c>
      <c r="BW64" s="107">
        <v>0.63055865309036119</v>
      </c>
      <c r="BX64" s="107">
        <v>0.6305586734475499</v>
      </c>
      <c r="BY64" s="107">
        <v>0.63055865901382113</v>
      </c>
      <c r="BZ64" s="107">
        <v>0.63055864798313144</v>
      </c>
      <c r="CA64" s="107">
        <v>0.63055866101561753</v>
      </c>
      <c r="CB64" s="107">
        <v>0.63055866518120618</v>
      </c>
      <c r="CC64" s="107">
        <v>0.63055866688320605</v>
      </c>
      <c r="CD64" s="107">
        <v>0.63055867017551814</v>
      </c>
      <c r="CE64" s="107">
        <v>0.6305586761237707</v>
      </c>
      <c r="CF64" s="107">
        <v>0.63055864860416322</v>
      </c>
      <c r="CG64" s="107">
        <v>0.63055865622587481</v>
      </c>
      <c r="CH64" s="107">
        <v>0.63055865909139175</v>
      </c>
      <c r="CI64" s="107">
        <v>0.63055866850530307</v>
      </c>
      <c r="CJ64" s="107">
        <v>0.63055870623823318</v>
      </c>
      <c r="CK64" s="107">
        <v>0.63055872191415741</v>
      </c>
      <c r="CL64" s="107">
        <v>0.63055866174099029</v>
      </c>
      <c r="CM64" s="107">
        <v>0.63055872928187351</v>
      </c>
      <c r="CN64" s="107">
        <v>0.63055864389755778</v>
      </c>
      <c r="CO64" s="107">
        <v>0.63055866950122641</v>
      </c>
      <c r="CP64" s="107">
        <v>0.63055866603995359</v>
      </c>
      <c r="CQ64" s="107">
        <v>0.63055872345015052</v>
      </c>
      <c r="CR64" s="107">
        <v>0.63055866380522241</v>
      </c>
      <c r="CS64" s="107">
        <v>0.63055865491581486</v>
      </c>
      <c r="CT64" s="107">
        <v>0.63055866955068107</v>
      </c>
      <c r="CU64" s="107">
        <v>0.63055864244341853</v>
      </c>
      <c r="CV64" s="107">
        <v>0.63055879076348098</v>
      </c>
      <c r="CW64" s="107">
        <v>0.63055866798466653</v>
      </c>
      <c r="CX64" s="107">
        <v>0.63055878858798586</v>
      </c>
    </row>
    <row r="65" spans="1:102">
      <c r="A65" s="23"/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1:102">
      <c r="C66" s="112"/>
    </row>
    <row r="67" spans="1:102">
      <c r="C67" s="112"/>
    </row>
    <row r="68" spans="1:102">
      <c r="C68" s="112"/>
    </row>
    <row r="69" spans="1:102">
      <c r="C69" s="112"/>
    </row>
    <row r="70" spans="1:102">
      <c r="C70" s="112"/>
    </row>
    <row r="71" spans="1:102">
      <c r="C71" s="112"/>
    </row>
    <row r="77" spans="1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31" spans="3:3">
      <c r="C131" s="112"/>
    </row>
    <row r="141" spans="3:3">
      <c r="C141" s="112"/>
    </row>
    <row r="151" spans="3:3">
      <c r="C151" s="11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52"/>
  </sheetPr>
  <dimension ref="A1:CX151"/>
  <sheetViews>
    <sheetView topLeftCell="A22" workbookViewId="0">
      <selection activeCell="O61" sqref="O61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Parameters!A45</f>
        <v>Kansgewogen</v>
      </c>
      <c r="C2" s="2" t="s">
        <v>129</v>
      </c>
      <c r="D2" s="1">
        <v>6</v>
      </c>
    </row>
    <row r="3" spans="1:102" s="94" customFormat="1">
      <c r="A3" s="303" t="s">
        <v>130</v>
      </c>
      <c r="B3" s="304"/>
    </row>
    <row r="4" spans="1:102" s="95" customFormat="1">
      <c r="A4" s="308" t="str">
        <f>Parameters!A50</f>
        <v>Nominale matching</v>
      </c>
      <c r="B4" s="309"/>
      <c r="C4" s="95">
        <v>0.67202038338508718</v>
      </c>
      <c r="D4" s="95">
        <v>0.68449081798745248</v>
      </c>
      <c r="E4" s="95">
        <v>0.67696634289642521</v>
      </c>
      <c r="F4" s="95">
        <v>0.68057771167046133</v>
      </c>
      <c r="G4" s="95">
        <v>0.68613931586530752</v>
      </c>
      <c r="H4" s="95">
        <v>0.68001990211346286</v>
      </c>
      <c r="I4" s="95">
        <v>0.69050066143182198</v>
      </c>
      <c r="J4" s="95">
        <v>0.68716476780184921</v>
      </c>
      <c r="K4" s="95">
        <v>0.68849803140653809</v>
      </c>
      <c r="L4" s="95">
        <v>0.69013795823340351</v>
      </c>
      <c r="M4" s="95">
        <v>0.68007093536757512</v>
      </c>
      <c r="N4" s="95">
        <v>0.67748543423543905</v>
      </c>
      <c r="O4" s="95">
        <v>0.68657105993802592</v>
      </c>
      <c r="P4" s="95">
        <v>0.68251219619295866</v>
      </c>
      <c r="Q4" s="95">
        <v>0.65951984187873491</v>
      </c>
      <c r="R4" s="95">
        <v>0.6762648980569439</v>
      </c>
      <c r="S4" s="95">
        <v>0.67332328198075697</v>
      </c>
      <c r="T4" s="95">
        <v>0.6685602188338805</v>
      </c>
      <c r="U4" s="95">
        <v>0.67603023013798447</v>
      </c>
      <c r="V4" s="95">
        <v>0.67550890491844906</v>
      </c>
      <c r="W4" s="95">
        <v>0.68333465009471261</v>
      </c>
      <c r="X4" s="95">
        <v>0.68019368743004993</v>
      </c>
      <c r="Y4" s="95">
        <v>0.68238750834813022</v>
      </c>
      <c r="Z4" s="95">
        <v>0.69015576625008934</v>
      </c>
      <c r="AA4" s="95">
        <v>0.68615915544684736</v>
      </c>
      <c r="AB4" s="95">
        <v>0.68670201007583764</v>
      </c>
      <c r="AC4" s="95">
        <v>0.68731751346831893</v>
      </c>
      <c r="AD4" s="95">
        <v>0.69438033999216453</v>
      </c>
      <c r="AE4" s="95">
        <v>0.66576348856990397</v>
      </c>
      <c r="AF4" s="95">
        <v>0.68875958950080562</v>
      </c>
      <c r="AG4" s="95">
        <v>0.69548060517665511</v>
      </c>
      <c r="AH4" s="95">
        <v>0.66430678719620384</v>
      </c>
      <c r="AI4" s="95">
        <v>0.66809779389412072</v>
      </c>
      <c r="AJ4" s="95">
        <v>0.68395812701019998</v>
      </c>
      <c r="AK4" s="95">
        <v>0.68399514084414892</v>
      </c>
      <c r="AL4" s="95">
        <v>0.68735214141230871</v>
      </c>
      <c r="AM4" s="95">
        <v>0.67424589375798027</v>
      </c>
      <c r="AN4" s="95">
        <v>0.65712229087218166</v>
      </c>
      <c r="AO4" s="95">
        <v>0.67013131554662431</v>
      </c>
      <c r="AP4" s="95">
        <v>0.68315258434949455</v>
      </c>
      <c r="AQ4" s="95">
        <v>0.68423708702231556</v>
      </c>
      <c r="AR4" s="95">
        <v>0.68959260823675927</v>
      </c>
      <c r="AS4" s="95">
        <v>0.66084711637880444</v>
      </c>
      <c r="AT4" s="95">
        <v>0.68277451807898371</v>
      </c>
      <c r="AU4" s="95">
        <v>0.68574039487620653</v>
      </c>
      <c r="AV4" s="95">
        <v>0.66311506711721147</v>
      </c>
      <c r="AW4" s="95">
        <v>0.67553114176283002</v>
      </c>
      <c r="AX4" s="95">
        <v>0.68793445921507246</v>
      </c>
      <c r="AY4" s="95">
        <v>0.6780311119737793</v>
      </c>
      <c r="AZ4" s="95">
        <v>0.67670971801892066</v>
      </c>
      <c r="BA4" s="95">
        <v>0.67918802833799019</v>
      </c>
      <c r="BB4" s="95">
        <v>0.67588647645233324</v>
      </c>
      <c r="BC4" s="95">
        <v>0.68721289518111883</v>
      </c>
      <c r="BD4" s="95">
        <v>0.68890597340080673</v>
      </c>
      <c r="BE4" s="95">
        <v>0.67508564108217084</v>
      </c>
      <c r="BF4" s="95">
        <v>0.68761930321740217</v>
      </c>
      <c r="BG4" s="95">
        <v>0.69064715004972299</v>
      </c>
      <c r="BH4" s="95">
        <v>0.6615951915106203</v>
      </c>
      <c r="BI4" s="95">
        <v>0.68261828299485783</v>
      </c>
      <c r="BJ4" s="95">
        <v>0.66708725907582067</v>
      </c>
      <c r="BK4" s="95">
        <v>0.65987274383548666</v>
      </c>
      <c r="BL4" s="95">
        <v>0.69712767177814161</v>
      </c>
      <c r="BM4" s="95">
        <v>0.68536724695855022</v>
      </c>
      <c r="BN4" s="95">
        <v>0.67862705678292479</v>
      </c>
      <c r="BO4" s="95">
        <v>0.68351250147632148</v>
      </c>
      <c r="BP4" s="95">
        <v>0.66201284968868923</v>
      </c>
      <c r="BQ4" s="95">
        <v>0.69908694629382495</v>
      </c>
      <c r="BR4" s="95">
        <v>0.70041221834921341</v>
      </c>
      <c r="BS4" s="95">
        <v>0.68754839977490412</v>
      </c>
      <c r="BT4" s="95">
        <v>0.69392038653589339</v>
      </c>
      <c r="BU4" s="95">
        <v>0.694257413894796</v>
      </c>
      <c r="BV4" s="95">
        <v>0.69953441350775591</v>
      </c>
      <c r="BW4" s="95">
        <v>0.68054374780268478</v>
      </c>
      <c r="BX4" s="95">
        <v>0.67188223974933614</v>
      </c>
      <c r="BY4" s="95">
        <v>0.64974854132411264</v>
      </c>
      <c r="BZ4" s="95">
        <v>0.67912827987624125</v>
      </c>
      <c r="CA4" s="95">
        <v>0.68474592915030486</v>
      </c>
      <c r="CB4" s="95">
        <v>0.67906310835609929</v>
      </c>
      <c r="CC4" s="95">
        <v>0.69770466204614157</v>
      </c>
      <c r="CD4" s="95">
        <v>0.70103888559541483</v>
      </c>
      <c r="CE4" s="95">
        <v>0.69226016043608407</v>
      </c>
      <c r="CF4" s="95">
        <v>0.67223108287028988</v>
      </c>
      <c r="CG4" s="95">
        <v>0.66230018210047714</v>
      </c>
      <c r="CH4" s="95">
        <v>0.68255424356210304</v>
      </c>
      <c r="CI4" s="95">
        <v>0.68819425848939075</v>
      </c>
      <c r="CJ4" s="95">
        <v>0.67385096471712425</v>
      </c>
      <c r="CK4" s="95">
        <v>0.66474231490953894</v>
      </c>
      <c r="CL4" s="95">
        <v>0.64042046596091806</v>
      </c>
      <c r="CM4" s="95">
        <v>0.70559439101573984</v>
      </c>
      <c r="CN4" s="95">
        <v>0.68684944911097467</v>
      </c>
      <c r="CO4" s="95">
        <v>0.69146746125365166</v>
      </c>
      <c r="CP4" s="95">
        <v>0.67631472588562258</v>
      </c>
      <c r="CQ4" s="95">
        <v>0.67421698978875377</v>
      </c>
      <c r="CR4" s="95">
        <v>0.68149954857003769</v>
      </c>
      <c r="CS4" s="95">
        <v>0.66588872233052265</v>
      </c>
      <c r="CT4" s="95">
        <v>0.69877360610742056</v>
      </c>
      <c r="CU4" s="95">
        <v>0.67402755608054987</v>
      </c>
      <c r="CV4" s="95">
        <v>0.68937677206888093</v>
      </c>
      <c r="CW4" s="95">
        <v>0.69730220460545389</v>
      </c>
      <c r="CX4" s="95">
        <v>0.69864915132833827</v>
      </c>
    </row>
    <row r="5" spans="1:102" s="95" customFormat="1">
      <c r="A5" s="306" t="str">
        <f>Parameters!A51</f>
        <v>Reele matching</v>
      </c>
      <c r="B5" s="307"/>
      <c r="C5" s="95">
        <v>3.5876853604999126E-7</v>
      </c>
      <c r="D5" s="95">
        <v>3.6143706784554585E-4</v>
      </c>
      <c r="E5" s="95">
        <v>1.005839477620974E-5</v>
      </c>
      <c r="F5" s="95">
        <v>4.0935505929405152E-4</v>
      </c>
      <c r="G5" s="95">
        <v>1.0204961140797035E-5</v>
      </c>
      <c r="H5" s="95">
        <v>1.6451123901620001E-6</v>
      </c>
      <c r="I5" s="95">
        <v>7.6174717949844499E-6</v>
      </c>
      <c r="J5" s="95">
        <v>3.6271433877859977E-4</v>
      </c>
      <c r="K5" s="95">
        <v>2.956148678800916E-7</v>
      </c>
      <c r="L5" s="95">
        <v>7.802504567197995E-5</v>
      </c>
      <c r="M5" s="95">
        <v>1.5989012752676342E-4</v>
      </c>
      <c r="N5" s="95">
        <v>3.9013764771132701E-6</v>
      </c>
      <c r="O5" s="95">
        <v>1.3051506235036426E-6</v>
      </c>
      <c r="P5" s="95">
        <v>2.7307824968506829E-7</v>
      </c>
      <c r="Q5" s="95">
        <v>1.4571646317559849E-4</v>
      </c>
      <c r="R5" s="95">
        <v>2.0747631142009005E-10</v>
      </c>
      <c r="S5" s="95">
        <v>5.9714024763330036E-5</v>
      </c>
      <c r="T5" s="95">
        <v>2.4701718952891495E-4</v>
      </c>
      <c r="U5" s="95">
        <v>2.6143647623461115E-7</v>
      </c>
      <c r="V5" s="95">
        <v>4.1531373208670241E-7</v>
      </c>
      <c r="W5" s="95">
        <v>5.3046076871771661E-4</v>
      </c>
      <c r="X5" s="95">
        <v>5.2013956946669741E-4</v>
      </c>
      <c r="Y5" s="95">
        <v>2.3970521112358226E-4</v>
      </c>
      <c r="Z5" s="95">
        <v>2.588807486159141E-11</v>
      </c>
      <c r="AA5" s="95">
        <v>2.7254786302596665E-4</v>
      </c>
      <c r="AB5" s="95">
        <v>8.622745468049582E-4</v>
      </c>
      <c r="AC5" s="95">
        <v>1.3993143782383144E-6</v>
      </c>
      <c r="AD5" s="95">
        <v>3.5866305360165724E-4</v>
      </c>
      <c r="AE5" s="95">
        <v>3.5862352059934214E-5</v>
      </c>
      <c r="AF5" s="95">
        <v>1.1730416745840554E-3</v>
      </c>
      <c r="AG5" s="95">
        <v>2.8486838787203779E-7</v>
      </c>
      <c r="AH5" s="95">
        <v>1.5457707426412705E-4</v>
      </c>
      <c r="AI5" s="95">
        <v>2.0411414448824193E-6</v>
      </c>
      <c r="AJ5" s="95">
        <v>3.3589207250854421E-7</v>
      </c>
      <c r="AK5" s="95">
        <v>1.5208054191203908E-4</v>
      </c>
      <c r="AL5" s="95">
        <v>9.7494696141995241E-4</v>
      </c>
      <c r="AM5" s="95">
        <v>1.3288547519918903E-5</v>
      </c>
      <c r="AN5" s="95">
        <v>2.1688797994414539E-4</v>
      </c>
      <c r="AO5" s="95">
        <v>3.1659275531664944E-5</v>
      </c>
      <c r="AP5" s="95">
        <v>4.3500597443587273E-4</v>
      </c>
      <c r="AQ5" s="95">
        <v>3.586201570245138E-15</v>
      </c>
      <c r="AR5" s="95">
        <v>3.4517216238966277E-6</v>
      </c>
      <c r="AS5" s="95">
        <v>7.6886057004876315E-9</v>
      </c>
      <c r="AT5" s="95">
        <v>8.2160804664219709E-4</v>
      </c>
      <c r="AU5" s="95">
        <v>1.3739173449076264E-4</v>
      </c>
      <c r="AV5" s="95">
        <v>5.0681898862478751E-7</v>
      </c>
      <c r="AW5" s="95">
        <v>4.7075957064625929E-7</v>
      </c>
      <c r="AX5" s="95">
        <v>6.5899011380068058E-5</v>
      </c>
      <c r="AY5" s="95">
        <v>1.8437004224051995E-4</v>
      </c>
      <c r="AZ5" s="95">
        <v>1.38363954886418E-4</v>
      </c>
      <c r="BA5" s="95">
        <v>3.5089788011926533E-6</v>
      </c>
      <c r="BB5" s="95">
        <v>4.8205336006729057E-4</v>
      </c>
      <c r="BC5" s="95">
        <v>8.2457289925340117E-6</v>
      </c>
      <c r="BD5" s="95">
        <v>2.5617185522969392E-6</v>
      </c>
      <c r="BE5" s="95">
        <v>5.5533697810651851E-5</v>
      </c>
      <c r="BF5" s="95">
        <v>1.5444551609894994E-4</v>
      </c>
      <c r="BG5" s="95">
        <v>3.3098860441232157E-4</v>
      </c>
      <c r="BH5" s="95">
        <v>4.8205648025265852E-4</v>
      </c>
      <c r="BI5" s="95">
        <v>1.6296198348522825E-4</v>
      </c>
      <c r="BJ5" s="95">
        <v>1.1387473760001838E-7</v>
      </c>
      <c r="BK5" s="95">
        <v>4.5178923931432538E-4</v>
      </c>
      <c r="BL5" s="95">
        <v>2.4048877724382652E-8</v>
      </c>
      <c r="BM5" s="95">
        <v>7.7773628560236753E-5</v>
      </c>
      <c r="BN5" s="95">
        <v>4.2492648605366321E-5</v>
      </c>
      <c r="BO5" s="95">
        <v>5.008000561274987E-5</v>
      </c>
      <c r="BP5" s="95">
        <v>3.7713082231639368E-4</v>
      </c>
      <c r="BQ5" s="95">
        <v>3.0518261725658366E-5</v>
      </c>
      <c r="BR5" s="95">
        <v>1.0660566995406189E-4</v>
      </c>
      <c r="BS5" s="95">
        <v>3.8447696281810312E-10</v>
      </c>
      <c r="BT5" s="95">
        <v>2.6790860396550213E-9</v>
      </c>
      <c r="BU5" s="95">
        <v>1.0277862845599781E-5</v>
      </c>
      <c r="BV5" s="95">
        <v>2.551970090439519E-5</v>
      </c>
      <c r="BW5" s="95">
        <v>1.4536179717285027E-4</v>
      </c>
      <c r="BX5" s="95">
        <v>4.9444593863775375E-6</v>
      </c>
      <c r="BY5" s="95">
        <v>9.2273672456855637E-5</v>
      </c>
      <c r="BZ5" s="95">
        <v>1.4895011719258852E-4</v>
      </c>
      <c r="CA5" s="95">
        <v>7.5350732890041802E-4</v>
      </c>
      <c r="CB5" s="95">
        <v>3.2322174788248863E-4</v>
      </c>
      <c r="CC5" s="95">
        <v>7.6289984659398445E-8</v>
      </c>
      <c r="CD5" s="95">
        <v>5.2697366481821717E-5</v>
      </c>
      <c r="CE5" s="95">
        <v>1.2013565992404294E-3</v>
      </c>
      <c r="CF5" s="95">
        <v>1.0177305164986458E-3</v>
      </c>
      <c r="CG5" s="95">
        <v>1.0204892683022855E-4</v>
      </c>
      <c r="CH5" s="95">
        <v>1.9739300883437504E-5</v>
      </c>
      <c r="CI5" s="95">
        <v>9.8619740526583203E-4</v>
      </c>
      <c r="CJ5" s="95">
        <v>6.1156156232118901E-4</v>
      </c>
      <c r="CK5" s="95">
        <v>4.9117571609582733E-4</v>
      </c>
      <c r="CL5" s="95">
        <v>1.4502876885325988E-6</v>
      </c>
      <c r="CM5" s="95">
        <v>2.0736522520758247E-7</v>
      </c>
      <c r="CN5" s="95">
        <v>4.8048061825549778E-4</v>
      </c>
      <c r="CO5" s="95">
        <v>2.2399771117689345E-4</v>
      </c>
      <c r="CP5" s="95">
        <v>2.7422613306758898E-4</v>
      </c>
      <c r="CQ5" s="95">
        <v>2.3054811635176903E-4</v>
      </c>
      <c r="CR5" s="95">
        <v>4.3629474018889335E-4</v>
      </c>
      <c r="CS5" s="95">
        <v>5.0307013185471854E-4</v>
      </c>
      <c r="CT5" s="95">
        <v>1.4953691612399565E-4</v>
      </c>
      <c r="CU5" s="95">
        <v>7.4560242906947856E-5</v>
      </c>
      <c r="CV5" s="95">
        <v>9.1520160538187216E-4</v>
      </c>
      <c r="CW5" s="95">
        <v>4.756551804923595E-7</v>
      </c>
      <c r="CX5" s="95">
        <v>4.1506952543673081E-4</v>
      </c>
    </row>
    <row r="6" spans="1:102" s="95" customFormat="1">
      <c r="A6" s="306" t="str">
        <f>Parameters!A52</f>
        <v>Credits</v>
      </c>
      <c r="B6" s="307"/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0</v>
      </c>
      <c r="AG6" s="95">
        <v>0</v>
      </c>
      <c r="AH6" s="95">
        <v>0</v>
      </c>
      <c r="AI6" s="95">
        <v>0</v>
      </c>
      <c r="AJ6" s="9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0</v>
      </c>
      <c r="AP6" s="95">
        <v>0</v>
      </c>
      <c r="AQ6" s="95">
        <v>0</v>
      </c>
      <c r="AR6" s="95">
        <v>0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  <c r="BB6" s="95">
        <v>0</v>
      </c>
      <c r="BC6" s="95">
        <v>0</v>
      </c>
      <c r="BD6" s="95">
        <v>0</v>
      </c>
      <c r="BE6" s="95">
        <v>0</v>
      </c>
      <c r="BF6" s="95">
        <v>0</v>
      </c>
      <c r="BG6" s="95">
        <v>0</v>
      </c>
      <c r="BH6" s="95">
        <v>0</v>
      </c>
      <c r="BI6" s="95">
        <v>0</v>
      </c>
      <c r="BJ6" s="95">
        <v>0</v>
      </c>
      <c r="BK6" s="95">
        <v>0</v>
      </c>
      <c r="BL6" s="95">
        <v>0</v>
      </c>
      <c r="BM6" s="95">
        <v>0</v>
      </c>
      <c r="BN6" s="95">
        <v>0</v>
      </c>
      <c r="BO6" s="95">
        <v>0</v>
      </c>
      <c r="BP6" s="95">
        <v>0</v>
      </c>
      <c r="BQ6" s="95">
        <v>0</v>
      </c>
      <c r="BR6" s="95">
        <v>0</v>
      </c>
      <c r="BS6" s="95">
        <v>0</v>
      </c>
      <c r="BT6" s="95">
        <v>0</v>
      </c>
      <c r="BU6" s="95">
        <v>0</v>
      </c>
      <c r="BV6" s="95">
        <v>0</v>
      </c>
      <c r="BW6" s="95">
        <v>0</v>
      </c>
      <c r="BX6" s="95">
        <v>0</v>
      </c>
      <c r="BY6" s="95">
        <v>0</v>
      </c>
      <c r="BZ6" s="95">
        <v>0</v>
      </c>
      <c r="CA6" s="95">
        <v>0</v>
      </c>
      <c r="CB6" s="95">
        <v>0</v>
      </c>
      <c r="CC6" s="95">
        <v>0</v>
      </c>
      <c r="CD6" s="95">
        <v>0</v>
      </c>
      <c r="CE6" s="95">
        <v>0</v>
      </c>
      <c r="CF6" s="95">
        <v>0</v>
      </c>
      <c r="CG6" s="95">
        <v>0</v>
      </c>
      <c r="CH6" s="95">
        <v>0</v>
      </c>
      <c r="CI6" s="95">
        <v>0</v>
      </c>
      <c r="CJ6" s="95">
        <v>0</v>
      </c>
      <c r="CK6" s="95">
        <v>0</v>
      </c>
      <c r="CL6" s="95">
        <v>0</v>
      </c>
      <c r="CM6" s="95">
        <v>0</v>
      </c>
      <c r="CN6" s="95">
        <v>0</v>
      </c>
      <c r="CO6" s="95">
        <v>0</v>
      </c>
      <c r="CP6" s="95">
        <v>0</v>
      </c>
      <c r="CQ6" s="95">
        <v>0</v>
      </c>
      <c r="CR6" s="95">
        <v>0</v>
      </c>
      <c r="CS6" s="95">
        <v>0</v>
      </c>
      <c r="CT6" s="95">
        <v>0</v>
      </c>
      <c r="CU6" s="95">
        <v>0</v>
      </c>
      <c r="CV6" s="95">
        <v>0</v>
      </c>
      <c r="CW6" s="95">
        <v>0</v>
      </c>
      <c r="CX6" s="95">
        <v>0</v>
      </c>
    </row>
    <row r="7" spans="1:102" s="95" customFormat="1">
      <c r="A7" s="306" t="str">
        <f>Parameters!A53</f>
        <v>High Yield</v>
      </c>
      <c r="B7" s="307"/>
      <c r="C7" s="95">
        <v>1.420290048956277E-3</v>
      </c>
      <c r="D7" s="95">
        <v>8.0343810654731889E-6</v>
      </c>
      <c r="E7" s="95">
        <v>9.8307182155775246E-4</v>
      </c>
      <c r="F7" s="95">
        <v>5.233455076206248E-5</v>
      </c>
      <c r="G7" s="95">
        <v>4.9417117311601302E-4</v>
      </c>
      <c r="H7" s="95">
        <v>2.2426987368932933E-3</v>
      </c>
      <c r="I7" s="95">
        <v>5.0055854593217253E-4</v>
      </c>
      <c r="J7" s="95">
        <v>3.0197429341693306E-3</v>
      </c>
      <c r="K7" s="95">
        <v>8.596326896231761E-4</v>
      </c>
      <c r="L7" s="95">
        <v>3.8809310310682645E-3</v>
      </c>
      <c r="M7" s="95">
        <v>4.3131221151999075E-4</v>
      </c>
      <c r="N7" s="95">
        <v>9.9681830787328937E-4</v>
      </c>
      <c r="O7" s="95">
        <v>7.3373266284130296E-4</v>
      </c>
      <c r="P7" s="95">
        <v>3.8553715491107744E-3</v>
      </c>
      <c r="Q7" s="95">
        <v>1.0200018296359218E-4</v>
      </c>
      <c r="R7" s="95">
        <v>5.9441026166524033E-3</v>
      </c>
      <c r="S7" s="95">
        <v>1.2255368558982938E-6</v>
      </c>
      <c r="T7" s="95">
        <v>2.7784068176433885E-3</v>
      </c>
      <c r="U7" s="95">
        <v>3.9269201663326608E-5</v>
      </c>
      <c r="V7" s="95">
        <v>5.3721015788276577E-4</v>
      </c>
      <c r="W7" s="95">
        <v>1.0014698358883779E-8</v>
      </c>
      <c r="X7" s="95">
        <v>6.3088175045341948E-4</v>
      </c>
      <c r="Y7" s="95">
        <v>1.7373023016769276E-3</v>
      </c>
      <c r="Z7" s="95">
        <v>3.8782331385774646E-3</v>
      </c>
      <c r="AA7" s="95">
        <v>1.6343759716806771E-3</v>
      </c>
      <c r="AB7" s="95">
        <v>3.3464335063042167E-3</v>
      </c>
      <c r="AC7" s="95">
        <v>2.7678030593412729E-3</v>
      </c>
      <c r="AD7" s="95">
        <v>1.2901384274650474E-3</v>
      </c>
      <c r="AE7" s="95">
        <v>1.3084317017255109E-9</v>
      </c>
      <c r="AF7" s="95">
        <v>1.6866412748718434E-3</v>
      </c>
      <c r="AG7" s="95">
        <v>1.4307651443284611E-3</v>
      </c>
      <c r="AH7" s="95">
        <v>4.7319164066434113E-6</v>
      </c>
      <c r="AI7" s="95">
        <v>1.3577134547436891E-3</v>
      </c>
      <c r="AJ7" s="95">
        <v>7.5933680850686809E-3</v>
      </c>
      <c r="AK7" s="95">
        <v>2.774171226833288E-9</v>
      </c>
      <c r="AL7" s="95">
        <v>7.8649218204395702E-4</v>
      </c>
      <c r="AM7" s="95">
        <v>2.484168220582073E-9</v>
      </c>
      <c r="AN7" s="95">
        <v>3.6300023664370603E-4</v>
      </c>
      <c r="AO7" s="95">
        <v>1.3590460639032801E-3</v>
      </c>
      <c r="AP7" s="95">
        <v>2.1566059992938198E-4</v>
      </c>
      <c r="AQ7" s="95">
        <v>7.5244301175999007E-3</v>
      </c>
      <c r="AR7" s="95">
        <v>5.3086422232369364E-3</v>
      </c>
      <c r="AS7" s="95">
        <v>2.6876560139195418E-3</v>
      </c>
      <c r="AT7" s="95">
        <v>5.1349244166836606E-3</v>
      </c>
      <c r="AU7" s="95">
        <v>1.0710247629352749E-5</v>
      </c>
      <c r="AV7" s="95">
        <v>1.3817145767328401E-3</v>
      </c>
      <c r="AW7" s="95">
        <v>3.592971855484909E-3</v>
      </c>
      <c r="AX7" s="95">
        <v>7.4449538824107988E-3</v>
      </c>
      <c r="AY7" s="95">
        <v>1.5749229080595749E-3</v>
      </c>
      <c r="AZ7" s="95">
        <v>2.1565414516464079E-3</v>
      </c>
      <c r="BA7" s="95">
        <v>3.32046734610151E-3</v>
      </c>
      <c r="BB7" s="95">
        <v>1.1015490641094756E-2</v>
      </c>
      <c r="BC7" s="95">
        <v>1.4764247776659525E-3</v>
      </c>
      <c r="BD7" s="95">
        <v>2.7947456588748171E-3</v>
      </c>
      <c r="BE7" s="95">
        <v>1.1207782928489064E-5</v>
      </c>
      <c r="BF7" s="95">
        <v>3.3682121549459725E-3</v>
      </c>
      <c r="BG7" s="95">
        <v>3.1151898378698061E-3</v>
      </c>
      <c r="BH7" s="95">
        <v>9.0707907609556071E-4</v>
      </c>
      <c r="BI7" s="95">
        <v>1.2000182434358552E-3</v>
      </c>
      <c r="BJ7" s="95">
        <v>4.765943799209681E-3</v>
      </c>
      <c r="BK7" s="95">
        <v>7.7262387259917987E-3</v>
      </c>
      <c r="BL7" s="95">
        <v>7.6022907673325892E-4</v>
      </c>
      <c r="BM7" s="95">
        <v>2.9315324791804563E-3</v>
      </c>
      <c r="BN7" s="95">
        <v>5.0021157485681554E-5</v>
      </c>
      <c r="BO7" s="95">
        <v>9.9404676623448488E-4</v>
      </c>
      <c r="BP7" s="95">
        <v>3.0129600035306973E-5</v>
      </c>
      <c r="BQ7" s="95">
        <v>1.4655953064983792E-4</v>
      </c>
      <c r="BR7" s="95">
        <v>3.8369587088968271E-9</v>
      </c>
      <c r="BS7" s="95">
        <v>6.3599518712292337E-3</v>
      </c>
      <c r="BT7" s="95">
        <v>1.1153092583195389E-2</v>
      </c>
      <c r="BU7" s="95">
        <v>2.9321264880463999E-3</v>
      </c>
      <c r="BV7" s="95">
        <v>4.6829868972095047E-3</v>
      </c>
      <c r="BW7" s="95">
        <v>8.7151821710175024E-3</v>
      </c>
      <c r="BX7" s="95">
        <v>1.4515188120397515E-2</v>
      </c>
      <c r="BY7" s="95">
        <v>3.0933182013473835E-3</v>
      </c>
      <c r="BZ7" s="95">
        <v>8.7605573070799383E-3</v>
      </c>
      <c r="CA7" s="95">
        <v>2.6715767886454776E-4</v>
      </c>
      <c r="CB7" s="95">
        <v>8.7602560739059171E-3</v>
      </c>
      <c r="CC7" s="95">
        <v>8.7702271246824139E-4</v>
      </c>
      <c r="CD7" s="95">
        <v>2.0890075299387963E-3</v>
      </c>
      <c r="CE7" s="95">
        <v>2.4435394552198906E-3</v>
      </c>
      <c r="CF7" s="95">
        <v>4.7069896952555689E-6</v>
      </c>
      <c r="CG7" s="95">
        <v>4.1965086896002873E-3</v>
      </c>
      <c r="CH7" s="95">
        <v>5.1356766298172448E-3</v>
      </c>
      <c r="CI7" s="95">
        <v>5.6035820576008907E-9</v>
      </c>
      <c r="CJ7" s="95">
        <v>4.517478909547882E-4</v>
      </c>
      <c r="CK7" s="95">
        <v>1.9480023187465432E-4</v>
      </c>
      <c r="CL7" s="95">
        <v>2.1379932803693206E-3</v>
      </c>
      <c r="CM7" s="95">
        <v>2.5835607964101981E-12</v>
      </c>
      <c r="CN7" s="95">
        <v>6.8732570046127299E-4</v>
      </c>
      <c r="CO7" s="95">
        <v>7.8347655140730658E-3</v>
      </c>
      <c r="CP7" s="95">
        <v>1.8230680517798811E-3</v>
      </c>
      <c r="CQ7" s="95">
        <v>1.0911398761206916E-2</v>
      </c>
      <c r="CR7" s="95">
        <v>5.4974176702828432E-3</v>
      </c>
      <c r="CS7" s="95">
        <v>2.9325551861024259E-3</v>
      </c>
      <c r="CT7" s="95">
        <v>3.9333611183292877E-5</v>
      </c>
      <c r="CU7" s="95">
        <v>1.977942125188988E-4</v>
      </c>
      <c r="CV7" s="95">
        <v>9.5938465462557508E-4</v>
      </c>
      <c r="CW7" s="95">
        <v>4.189630100284284E-4</v>
      </c>
      <c r="CX7" s="95">
        <v>3.2688950956010119E-3</v>
      </c>
    </row>
    <row r="8" spans="1:102" s="95" customFormat="1">
      <c r="A8" s="306" t="str">
        <f>Parameters!A54</f>
        <v>Emerging market debt</v>
      </c>
      <c r="B8" s="307"/>
      <c r="C8" s="95">
        <v>4.1201543658252064E-2</v>
      </c>
      <c r="D8" s="95">
        <v>5.6531109421349542E-2</v>
      </c>
      <c r="E8" s="95">
        <v>2.4417545406536387E-2</v>
      </c>
      <c r="F8" s="95">
        <v>5.1838593140564632E-2</v>
      </c>
      <c r="G8" s="95">
        <v>4.6340033471471273E-3</v>
      </c>
      <c r="H8" s="95">
        <v>5.3869129018025194E-2</v>
      </c>
      <c r="I8" s="95">
        <v>7.222626756304161E-2</v>
      </c>
      <c r="J8" s="95">
        <v>4.6637839946791645E-2</v>
      </c>
      <c r="K8" s="95">
        <v>5.0038255616498079E-2</v>
      </c>
      <c r="L8" s="95">
        <v>4.2606450581115118E-2</v>
      </c>
      <c r="M8" s="95">
        <v>5.1186850358546622E-2</v>
      </c>
      <c r="N8" s="95">
        <v>5.4257246704780743E-2</v>
      </c>
      <c r="O8" s="95">
        <v>7.5905110835815068E-2</v>
      </c>
      <c r="P8" s="95">
        <v>1.6820780038995418E-2</v>
      </c>
      <c r="Q8" s="95">
        <v>7.1438468505629862E-2</v>
      </c>
      <c r="R8" s="95">
        <v>1.4697267388797574E-2</v>
      </c>
      <c r="S8" s="95">
        <v>3.4250079964506894E-2</v>
      </c>
      <c r="T8" s="95">
        <v>5.822523038468605E-2</v>
      </c>
      <c r="U8" s="95">
        <v>7.2935071008770586E-2</v>
      </c>
      <c r="V8" s="95">
        <v>8.1988744610060629E-2</v>
      </c>
      <c r="W8" s="95">
        <v>1.5023123597673431E-2</v>
      </c>
      <c r="X8" s="95">
        <v>6.7732494342287439E-2</v>
      </c>
      <c r="Y8" s="95">
        <v>1.6240523637622881E-2</v>
      </c>
      <c r="Z8" s="95">
        <v>6.2339284558399724E-2</v>
      </c>
      <c r="AA8" s="95">
        <v>5.6637613332421021E-3</v>
      </c>
      <c r="AB8" s="95">
        <v>6.3120834490983074E-2</v>
      </c>
      <c r="AC8" s="95">
        <v>2.8367779690880186E-3</v>
      </c>
      <c r="AD8" s="95">
        <v>4.954575403331915E-2</v>
      </c>
      <c r="AE8" s="95">
        <v>9.01755261941391E-2</v>
      </c>
      <c r="AF8" s="95">
        <v>5.9674906312484878E-2</v>
      </c>
      <c r="AG8" s="95">
        <v>1.0190913651178709E-2</v>
      </c>
      <c r="AH8" s="95">
        <v>8.0370469294508445E-2</v>
      </c>
      <c r="AI8" s="95">
        <v>0.11106130088324234</v>
      </c>
      <c r="AJ8" s="95">
        <v>1.7481339054903035E-2</v>
      </c>
      <c r="AK8" s="95">
        <v>3.2161460804172211E-2</v>
      </c>
      <c r="AL8" s="95">
        <v>1.6814711301810017E-2</v>
      </c>
      <c r="AM8" s="95">
        <v>6.7687842920130109E-2</v>
      </c>
      <c r="AN8" s="95">
        <v>3.6213431854108996E-2</v>
      </c>
      <c r="AO8" s="95">
        <v>0.10690027608060451</v>
      </c>
      <c r="AP8" s="95">
        <v>4.4950078504476847E-2</v>
      </c>
      <c r="AQ8" s="95">
        <v>4.357630132550918E-2</v>
      </c>
      <c r="AR8" s="95">
        <v>3.6916607572948998E-2</v>
      </c>
      <c r="AS8" s="95">
        <v>3.1843744336307468E-2</v>
      </c>
      <c r="AT8" s="95">
        <v>2.7767838439348325E-2</v>
      </c>
      <c r="AU8" s="95">
        <v>3.9345405250807403E-2</v>
      </c>
      <c r="AV8" s="95">
        <v>2.7068701090348004E-2</v>
      </c>
      <c r="AW8" s="95">
        <v>1.0844099491588868E-2</v>
      </c>
      <c r="AX8" s="95">
        <v>4.2317349954841904E-2</v>
      </c>
      <c r="AY8" s="95">
        <v>8.7057255202362214E-3</v>
      </c>
      <c r="AZ8" s="95">
        <v>1.7311812041355176E-2</v>
      </c>
      <c r="BA8" s="95">
        <v>0.10383191703737979</v>
      </c>
      <c r="BB8" s="95">
        <v>4.3640165278955657E-4</v>
      </c>
      <c r="BC8" s="95">
        <v>4.7932592519367677E-2</v>
      </c>
      <c r="BD8" s="95">
        <v>3.1591273639994262E-2</v>
      </c>
      <c r="BE8" s="95">
        <v>5.6843380447660706E-2</v>
      </c>
      <c r="BF8" s="95">
        <v>5.8170655801584282E-5</v>
      </c>
      <c r="BG8" s="95">
        <v>9.9386746635443848E-2</v>
      </c>
      <c r="BH8" s="95">
        <v>0.11403621513475155</v>
      </c>
      <c r="BI8" s="95">
        <v>1.5545278808275238E-2</v>
      </c>
      <c r="BJ8" s="95">
        <v>6.3941088333888105E-2</v>
      </c>
      <c r="BK8" s="95">
        <v>2.2310920932301932E-2</v>
      </c>
      <c r="BL8" s="95">
        <v>9.8137205036361239E-2</v>
      </c>
      <c r="BM8" s="95">
        <v>8.326220523571401E-2</v>
      </c>
      <c r="BN8" s="95">
        <v>6.4548561313150815E-2</v>
      </c>
      <c r="BO8" s="95">
        <v>2.8677557523659254E-2</v>
      </c>
      <c r="BP8" s="95">
        <v>7.9482969739383777E-2</v>
      </c>
      <c r="BQ8" s="95">
        <v>8.4676156447309997E-2</v>
      </c>
      <c r="BR8" s="95">
        <v>8.6829806107368804E-2</v>
      </c>
      <c r="BS8" s="95">
        <v>9.8573103522018785E-2</v>
      </c>
      <c r="BT8" s="95">
        <v>3.7525515888698091E-3</v>
      </c>
      <c r="BU8" s="95">
        <v>3.014097949363008E-2</v>
      </c>
      <c r="BV8" s="95">
        <v>6.2974509390380629E-2</v>
      </c>
      <c r="BW8" s="95">
        <v>6.1474306138355458E-2</v>
      </c>
      <c r="BX8" s="95">
        <v>2.123381736374701E-2</v>
      </c>
      <c r="BY8" s="95">
        <v>6.994471249939109E-2</v>
      </c>
      <c r="BZ8" s="95">
        <v>1.7329710372433981E-2</v>
      </c>
      <c r="CA8" s="95">
        <v>3.4925298403230574E-2</v>
      </c>
      <c r="CB8" s="95">
        <v>5.4142549523489562E-2</v>
      </c>
      <c r="CC8" s="95">
        <v>2.4188256776222353E-4</v>
      </c>
      <c r="CD8" s="95">
        <v>8.185751684607212E-2</v>
      </c>
      <c r="CE8" s="95">
        <v>8.8368440005409707E-2</v>
      </c>
      <c r="CF8" s="95">
        <v>1.7566300196230653E-2</v>
      </c>
      <c r="CG8" s="95">
        <v>1.181016782259263E-3</v>
      </c>
      <c r="CH8" s="95">
        <v>0.12273389738554061</v>
      </c>
      <c r="CI8" s="95">
        <v>1.49321069496918E-2</v>
      </c>
      <c r="CJ8" s="95">
        <v>2.1205534572342397E-2</v>
      </c>
      <c r="CK8" s="95">
        <v>3.2081039328366832E-2</v>
      </c>
      <c r="CL8" s="95">
        <v>6.1282908814938288E-2</v>
      </c>
      <c r="CM8" s="95">
        <v>9.3666038407741833E-2</v>
      </c>
      <c r="CN8" s="95">
        <v>4.9563099001288552E-2</v>
      </c>
      <c r="CO8" s="95">
        <v>5.5566219892554697E-2</v>
      </c>
      <c r="CP8" s="95">
        <v>9.3810896677656963E-2</v>
      </c>
      <c r="CQ8" s="95">
        <v>3.8495747748150599E-5</v>
      </c>
      <c r="CR8" s="95">
        <v>0.1128293095045417</v>
      </c>
      <c r="CS8" s="95">
        <v>6.8682780152544518E-2</v>
      </c>
      <c r="CT8" s="95">
        <v>4.7534649678114375E-2</v>
      </c>
      <c r="CU8" s="95">
        <v>4.3433094492271944E-2</v>
      </c>
      <c r="CV8" s="95">
        <v>6.3686301789557129E-2</v>
      </c>
      <c r="CW8" s="95">
        <v>0.10275241338492298</v>
      </c>
      <c r="CX8" s="95">
        <v>0.10750000224727882</v>
      </c>
    </row>
    <row r="9" spans="1:102" s="95" customFormat="1">
      <c r="A9" s="306" t="str">
        <f>Parameters!A55</f>
        <v>Aandelen ontwikkeld</v>
      </c>
      <c r="B9" s="307"/>
      <c r="C9" s="95">
        <v>2.047352385131714E-3</v>
      </c>
      <c r="D9" s="95">
        <v>3.8239949904462756E-3</v>
      </c>
      <c r="E9" s="95">
        <v>1.0761395201111622E-2</v>
      </c>
      <c r="F9" s="95">
        <v>1.0263856677539131E-2</v>
      </c>
      <c r="G9" s="95">
        <v>3.1023457621779647E-5</v>
      </c>
      <c r="H9" s="95">
        <v>2.3103139145063912E-3</v>
      </c>
      <c r="I9" s="95">
        <v>7.5416431151787379E-3</v>
      </c>
      <c r="J9" s="95">
        <v>1.8392385005777088E-3</v>
      </c>
      <c r="K9" s="95">
        <v>1.8925220951157902E-2</v>
      </c>
      <c r="L9" s="95">
        <v>7.9749992082340446E-3</v>
      </c>
      <c r="M9" s="95">
        <v>1.1909338641885071E-2</v>
      </c>
      <c r="N9" s="95">
        <v>1.7695858257916385E-2</v>
      </c>
      <c r="O9" s="95">
        <v>1.0001718217238028E-2</v>
      </c>
      <c r="P9" s="95">
        <v>1.1921240862000002E-2</v>
      </c>
      <c r="Q9" s="95">
        <v>2.9594793762233642E-3</v>
      </c>
      <c r="R9" s="95">
        <v>1.4654717612331365E-3</v>
      </c>
      <c r="S9" s="95">
        <v>2.6388176243532416E-2</v>
      </c>
      <c r="T9" s="95">
        <v>2.6767388222271277E-3</v>
      </c>
      <c r="U9" s="95">
        <v>1.6772696949692628E-5</v>
      </c>
      <c r="V9" s="95">
        <v>1.6115995222821921E-3</v>
      </c>
      <c r="W9" s="95">
        <v>2.9948850680565128E-2</v>
      </c>
      <c r="X9" s="95">
        <v>1.7158721475051177E-2</v>
      </c>
      <c r="Y9" s="95">
        <v>1.3893122876167719E-2</v>
      </c>
      <c r="Z9" s="95">
        <v>1.5517034811177418E-2</v>
      </c>
      <c r="AA9" s="95">
        <v>3.4553433210261809E-2</v>
      </c>
      <c r="AB9" s="95">
        <v>9.0633673439999437E-4</v>
      </c>
      <c r="AC9" s="95">
        <v>3.2737926369140566E-2</v>
      </c>
      <c r="AD9" s="95">
        <v>1.7482135989883279E-2</v>
      </c>
      <c r="AE9" s="95">
        <v>8.2539653806427277E-3</v>
      </c>
      <c r="AF9" s="95">
        <v>6.1481286469756797E-3</v>
      </c>
      <c r="AG9" s="95">
        <v>3.2579496475206332E-2</v>
      </c>
      <c r="AH9" s="95">
        <v>1.3980008588563157E-2</v>
      </c>
      <c r="AI9" s="95">
        <v>1.0516983007424921E-4</v>
      </c>
      <c r="AJ9" s="95">
        <v>7.4488087439757841E-3</v>
      </c>
      <c r="AK9" s="95">
        <v>3.4882592798899631E-2</v>
      </c>
      <c r="AL9" s="95">
        <v>7.6909336482728395E-3</v>
      </c>
      <c r="AM9" s="95">
        <v>3.513135547028183E-2</v>
      </c>
      <c r="AN9" s="95">
        <v>1.2149804950026316E-2</v>
      </c>
      <c r="AO9" s="95">
        <v>9.8019762941086783E-5</v>
      </c>
      <c r="AP9" s="95">
        <v>4.5377300949865675E-2</v>
      </c>
      <c r="AQ9" s="95">
        <v>8.7627194339969221E-3</v>
      </c>
      <c r="AR9" s="95">
        <v>2.6668232623260592E-2</v>
      </c>
      <c r="AS9" s="95">
        <v>1.3567525407876129E-2</v>
      </c>
      <c r="AT9" s="95">
        <v>4.9513973040886065E-3</v>
      </c>
      <c r="AU9" s="95">
        <v>4.2342014732053887E-2</v>
      </c>
      <c r="AV9" s="95">
        <v>1.8470522510118565E-2</v>
      </c>
      <c r="AW9" s="95">
        <v>8.3261447681951884E-4</v>
      </c>
      <c r="AX9" s="95">
        <v>1.3233524376273948E-2</v>
      </c>
      <c r="AY9" s="95">
        <v>3.4927525252103631E-2</v>
      </c>
      <c r="AZ9" s="95">
        <v>3.3358762602516863E-2</v>
      </c>
      <c r="BA9" s="95">
        <v>5.0238728428538808E-3</v>
      </c>
      <c r="BB9" s="95">
        <v>1.4896523517169784E-5</v>
      </c>
      <c r="BC9" s="95">
        <v>3.4115677958283866E-2</v>
      </c>
      <c r="BD9" s="95">
        <v>4.7081506552617246E-2</v>
      </c>
      <c r="BE9" s="95">
        <v>4.5637473848364911E-2</v>
      </c>
      <c r="BF9" s="95">
        <v>1.6923450120773047E-2</v>
      </c>
      <c r="BG9" s="95">
        <v>2.0713253098907192E-2</v>
      </c>
      <c r="BH9" s="95">
        <v>7.3554385671733055E-3</v>
      </c>
      <c r="BI9" s="95">
        <v>4.2938341850621002E-2</v>
      </c>
      <c r="BJ9" s="95">
        <v>7.5061752337324192E-3</v>
      </c>
      <c r="BK9" s="95">
        <v>2.1844031710814326E-3</v>
      </c>
      <c r="BL9" s="95">
        <v>2.3639936386949684E-2</v>
      </c>
      <c r="BM9" s="95">
        <v>1.8356383313530251E-2</v>
      </c>
      <c r="BN9" s="95">
        <v>3.1006625316587912E-2</v>
      </c>
      <c r="BO9" s="95">
        <v>4.0121678883162371E-2</v>
      </c>
      <c r="BP9" s="95">
        <v>5.2725901453260964E-3</v>
      </c>
      <c r="BQ9" s="95">
        <v>5.2181195791280631E-2</v>
      </c>
      <c r="BR9" s="95">
        <v>5.3600908771631518E-2</v>
      </c>
      <c r="BS9" s="95">
        <v>1.0912996854126467E-2</v>
      </c>
      <c r="BT9" s="95">
        <v>1.969824853520601E-2</v>
      </c>
      <c r="BU9" s="95">
        <v>4.3187167300569672E-2</v>
      </c>
      <c r="BV9" s="95">
        <v>4.687205397565003E-2</v>
      </c>
      <c r="BW9" s="95">
        <v>6.2916753688302979E-3</v>
      </c>
      <c r="BX9" s="95">
        <v>6.4623901390705374E-4</v>
      </c>
      <c r="BY9" s="95">
        <v>1.8033501497625389E-2</v>
      </c>
      <c r="BZ9" s="95">
        <v>1.0769841575314605E-2</v>
      </c>
      <c r="CA9" s="95">
        <v>4.8410613393150781E-2</v>
      </c>
      <c r="CB9" s="95">
        <v>2.8471227181284388E-3</v>
      </c>
      <c r="CC9" s="95">
        <v>6.0540911753693256E-2</v>
      </c>
      <c r="CD9" s="95">
        <v>4.9581359844026146E-2</v>
      </c>
      <c r="CE9" s="95">
        <v>3.3931800060000572E-2</v>
      </c>
      <c r="CF9" s="95">
        <v>4.9445565516982787E-2</v>
      </c>
      <c r="CG9" s="95">
        <v>2.8434838710234171E-2</v>
      </c>
      <c r="CH9" s="95">
        <v>1.1515261024955719E-2</v>
      </c>
      <c r="CI9" s="95">
        <v>4.6405372380005541E-2</v>
      </c>
      <c r="CJ9" s="95">
        <v>3.0644618023251295E-2</v>
      </c>
      <c r="CK9" s="95">
        <v>5.0166864038747531E-2</v>
      </c>
      <c r="CL9" s="95">
        <v>7.1294552479294884E-3</v>
      </c>
      <c r="CM9" s="95">
        <v>5.7406020391869345E-2</v>
      </c>
      <c r="CN9" s="95">
        <v>5.5382694670584834E-2</v>
      </c>
      <c r="CO9" s="95">
        <v>1.1159279241365179E-2</v>
      </c>
      <c r="CP9" s="95">
        <v>3.1273737144426467E-2</v>
      </c>
      <c r="CQ9" s="95">
        <v>3.588850448066087E-3</v>
      </c>
      <c r="CR9" s="95">
        <v>1.3447069245640417E-2</v>
      </c>
      <c r="CS9" s="95">
        <v>2.671967085313837E-2</v>
      </c>
      <c r="CT9" s="95">
        <v>3.4231446155333821E-2</v>
      </c>
      <c r="CU9" s="95">
        <v>6.044568818124308E-2</v>
      </c>
      <c r="CV9" s="95">
        <v>4.3476650932336852E-2</v>
      </c>
      <c r="CW9" s="95">
        <v>3.1636938536623943E-2</v>
      </c>
      <c r="CX9" s="95">
        <v>3.6059849276598457E-2</v>
      </c>
    </row>
    <row r="10" spans="1:102" s="95" customFormat="1">
      <c r="A10" s="306" t="str">
        <f>Parameters!A56</f>
        <v>Aandelen opkomend</v>
      </c>
      <c r="B10" s="307"/>
      <c r="C10" s="95">
        <v>0.14840059324289867</v>
      </c>
      <c r="D10" s="95">
        <v>0.15290817134664406</v>
      </c>
      <c r="E10" s="95">
        <v>0.14830996152982764</v>
      </c>
      <c r="F10" s="95">
        <v>0.14949620194866187</v>
      </c>
      <c r="G10" s="95">
        <v>0.15665840740120723</v>
      </c>
      <c r="H10" s="95">
        <v>0.15125016486531592</v>
      </c>
      <c r="I10" s="95">
        <v>0.15333019441972276</v>
      </c>
      <c r="J10" s="95">
        <v>0.15495681644677567</v>
      </c>
      <c r="K10" s="95">
        <v>0.14993523847712756</v>
      </c>
      <c r="L10" s="95">
        <v>0.15433482500946435</v>
      </c>
      <c r="M10" s="95">
        <v>0.14874302297278455</v>
      </c>
      <c r="N10" s="95">
        <v>0.14540702110136072</v>
      </c>
      <c r="O10" s="95">
        <v>0.15087180554648807</v>
      </c>
      <c r="P10" s="95">
        <v>0.15034064555235527</v>
      </c>
      <c r="Q10" s="95">
        <v>0.1411339326708419</v>
      </c>
      <c r="R10" s="95">
        <v>0.15087170029125982</v>
      </c>
      <c r="S10" s="95">
        <v>0.14120161972415141</v>
      </c>
      <c r="T10" s="95">
        <v>0.14570521748793602</v>
      </c>
      <c r="U10" s="95">
        <v>0.14984837752062896</v>
      </c>
      <c r="V10" s="95">
        <v>0.14812277354457651</v>
      </c>
      <c r="W10" s="95">
        <v>0.14503157998776794</v>
      </c>
      <c r="X10" s="95">
        <v>0.1463840574673651</v>
      </c>
      <c r="Y10" s="95">
        <v>0.14908530969318912</v>
      </c>
      <c r="Z10" s="95">
        <v>0.15098271603223976</v>
      </c>
      <c r="AA10" s="95">
        <v>0.14485828755575689</v>
      </c>
      <c r="AB10" s="95">
        <v>0.15406230183738387</v>
      </c>
      <c r="AC10" s="95">
        <v>0.14578945572169849</v>
      </c>
      <c r="AD10" s="95">
        <v>0.15197466565698547</v>
      </c>
      <c r="AE10" s="95">
        <v>0.14071415956368899</v>
      </c>
      <c r="AF10" s="95">
        <v>0.15415439677548939</v>
      </c>
      <c r="AG10" s="95">
        <v>0.14936302068994708</v>
      </c>
      <c r="AH10" s="95">
        <v>0.13910576344965694</v>
      </c>
      <c r="AI10" s="95">
        <v>0.14369861383157345</v>
      </c>
      <c r="AJ10" s="95">
        <v>0.15222769252298052</v>
      </c>
      <c r="AK10" s="95">
        <v>0.14305520805075098</v>
      </c>
      <c r="AL10" s="95">
        <v>0.15360321808700636</v>
      </c>
      <c r="AM10" s="95">
        <v>0.13714135489659673</v>
      </c>
      <c r="AN10" s="95">
        <v>0.13813571407308639</v>
      </c>
      <c r="AO10" s="95">
        <v>0.14499875749457208</v>
      </c>
      <c r="AP10" s="95">
        <v>0.13895552278527892</v>
      </c>
      <c r="AQ10" s="95">
        <v>0.15048849467335829</v>
      </c>
      <c r="AR10" s="95">
        <v>0.14753174797007165</v>
      </c>
      <c r="AS10" s="95">
        <v>0.13902638833698527</v>
      </c>
      <c r="AT10" s="95">
        <v>0.15255348604060701</v>
      </c>
      <c r="AU10" s="95">
        <v>0.14136348941629276</v>
      </c>
      <c r="AV10" s="95">
        <v>0.13890831890306085</v>
      </c>
      <c r="AW10" s="95">
        <v>0.15118841645580233</v>
      </c>
      <c r="AX10" s="95">
        <v>0.1508696544653263</v>
      </c>
      <c r="AY10" s="95">
        <v>0.14056321810839345</v>
      </c>
      <c r="AZ10" s="95">
        <v>0.14074472098945362</v>
      </c>
      <c r="BA10" s="95">
        <v>0.14684387969965007</v>
      </c>
      <c r="BB10" s="95">
        <v>0.15125095334815433</v>
      </c>
      <c r="BC10" s="95">
        <v>0.14465370281110035</v>
      </c>
      <c r="BD10" s="95">
        <v>0.14095801491469917</v>
      </c>
      <c r="BE10" s="95">
        <v>0.13445444178155549</v>
      </c>
      <c r="BF10" s="95">
        <v>0.15073317464946376</v>
      </c>
      <c r="BG10" s="95">
        <v>0.14771970163840228</v>
      </c>
      <c r="BH10" s="95">
        <v>0.13825093007361516</v>
      </c>
      <c r="BI10" s="95">
        <v>0.13943301604638403</v>
      </c>
      <c r="BJ10" s="95">
        <v>0.14326926156565192</v>
      </c>
      <c r="BK10" s="95">
        <v>0.14223256346644636</v>
      </c>
      <c r="BL10" s="95">
        <v>0.14893002955932091</v>
      </c>
      <c r="BM10" s="95">
        <v>0.14657917645583038</v>
      </c>
      <c r="BN10" s="95">
        <v>0.14155168638244797</v>
      </c>
      <c r="BO10" s="95">
        <v>0.14120566448635197</v>
      </c>
      <c r="BP10" s="95">
        <v>0.14113654086487271</v>
      </c>
      <c r="BQ10" s="95">
        <v>0.14165346380246527</v>
      </c>
      <c r="BR10" s="95">
        <v>0.1418388329452773</v>
      </c>
      <c r="BS10" s="95">
        <v>0.14865858615890493</v>
      </c>
      <c r="BT10" s="95">
        <v>0.15221662129378638</v>
      </c>
      <c r="BU10" s="95">
        <v>0.14364488781049753</v>
      </c>
      <c r="BV10" s="95">
        <v>0.1443709038319313</v>
      </c>
      <c r="BW10" s="95">
        <v>0.14863097986729348</v>
      </c>
      <c r="BX10" s="95">
        <v>0.14805522296515009</v>
      </c>
      <c r="BY10" s="95">
        <v>0.13157682092903714</v>
      </c>
      <c r="BZ10" s="95">
        <v>0.14842662601834869</v>
      </c>
      <c r="CA10" s="95">
        <v>0.13919978334866587</v>
      </c>
      <c r="CB10" s="95">
        <v>0.15038626157048363</v>
      </c>
      <c r="CC10" s="95">
        <v>0.14086909845832937</v>
      </c>
      <c r="CD10" s="95">
        <v>0.14310826322294806</v>
      </c>
      <c r="CE10" s="95">
        <v>0.14470187852211497</v>
      </c>
      <c r="CF10" s="95">
        <v>0.13350880347597108</v>
      </c>
      <c r="CG10" s="95">
        <v>0.13545182385774437</v>
      </c>
      <c r="CH10" s="95">
        <v>0.14523836619712444</v>
      </c>
      <c r="CI10" s="95">
        <v>0.1412648403475909</v>
      </c>
      <c r="CJ10" s="95">
        <v>0.14076848426426999</v>
      </c>
      <c r="CK10" s="95">
        <v>0.12894823906398084</v>
      </c>
      <c r="CL10" s="95">
        <v>0.12951055582240678</v>
      </c>
      <c r="CM10" s="95">
        <v>0.1420936906401461</v>
      </c>
      <c r="CN10" s="95">
        <v>0.13610709756517556</v>
      </c>
      <c r="CO10" s="95">
        <v>0.1534848249333764</v>
      </c>
      <c r="CP10" s="95">
        <v>0.13763440367592356</v>
      </c>
      <c r="CQ10" s="95">
        <v>0.14934198130967816</v>
      </c>
      <c r="CR10" s="95">
        <v>0.14493168010705565</v>
      </c>
      <c r="CS10" s="95">
        <v>0.13653467609167586</v>
      </c>
      <c r="CT10" s="95">
        <v>0.14950209124187447</v>
      </c>
      <c r="CU10" s="95">
        <v>0.12879376285155866</v>
      </c>
      <c r="CV10" s="95">
        <v>0.14168009483458727</v>
      </c>
      <c r="CW10" s="95">
        <v>0.14684546115471372</v>
      </c>
      <c r="CX10" s="95">
        <v>0.14541051315403114</v>
      </c>
    </row>
    <row r="11" spans="1:102" s="95" customFormat="1">
      <c r="A11" s="306" t="str">
        <f>Parameters!A57</f>
        <v>Hedge funds</v>
      </c>
      <c r="B11" s="307"/>
      <c r="C11" s="95">
        <v>0.13486452050511752</v>
      </c>
      <c r="D11" s="95">
        <v>0.10187576450717407</v>
      </c>
      <c r="E11" s="95">
        <v>0.13854002456293821</v>
      </c>
      <c r="F11" s="95">
        <v>0.10736194557671422</v>
      </c>
      <c r="G11" s="95">
        <v>0.15021376979183354</v>
      </c>
      <c r="H11" s="95">
        <v>0.10986159029830882</v>
      </c>
      <c r="I11" s="95">
        <v>7.5892209114833881E-2</v>
      </c>
      <c r="J11" s="95">
        <v>0.10590163945724243</v>
      </c>
      <c r="K11" s="95">
        <v>9.1439382965366023E-2</v>
      </c>
      <c r="L11" s="95">
        <v>0.10096163411988723</v>
      </c>
      <c r="M11" s="95">
        <v>0.10638655983773485</v>
      </c>
      <c r="N11" s="95">
        <v>0.10370256550285223</v>
      </c>
      <c r="O11" s="95">
        <v>7.546678807927569E-2</v>
      </c>
      <c r="P11" s="95">
        <v>0.13448957336610309</v>
      </c>
      <c r="Q11" s="95">
        <v>0.12469094104192466</v>
      </c>
      <c r="R11" s="95">
        <v>0.15069285255787265</v>
      </c>
      <c r="S11" s="95">
        <v>0.12460222688090945</v>
      </c>
      <c r="T11" s="95">
        <v>0.12162643570291855</v>
      </c>
      <c r="U11" s="95">
        <v>9.8584750595531775E-2</v>
      </c>
      <c r="V11" s="95">
        <v>9.1031716247304606E-2</v>
      </c>
      <c r="W11" s="95">
        <v>0.12606336991659373</v>
      </c>
      <c r="X11" s="95">
        <v>8.6603577822058617E-2</v>
      </c>
      <c r="Y11" s="95">
        <v>0.1359889830797999</v>
      </c>
      <c r="Z11" s="95">
        <v>7.6278031107392896E-2</v>
      </c>
      <c r="AA11" s="95">
        <v>0.12667690850342792</v>
      </c>
      <c r="AB11" s="95">
        <v>9.0715227156048073E-2</v>
      </c>
      <c r="AC11" s="95">
        <v>0.12839059644738962</v>
      </c>
      <c r="AD11" s="95">
        <v>8.4961462717774522E-2</v>
      </c>
      <c r="AE11" s="95">
        <v>9.5045355855731303E-2</v>
      </c>
      <c r="AF11" s="95">
        <v>8.6947201512600741E-2</v>
      </c>
      <c r="AG11" s="95">
        <v>0.10970059188196857</v>
      </c>
      <c r="AH11" s="95">
        <v>0.10132493086827588</v>
      </c>
      <c r="AI11" s="95">
        <v>7.5439346570457713E-2</v>
      </c>
      <c r="AJ11" s="95">
        <v>0.13025647974156893</v>
      </c>
      <c r="AK11" s="95">
        <v>0.10468970444240303</v>
      </c>
      <c r="AL11" s="95">
        <v>0.13164982058902683</v>
      </c>
      <c r="AM11" s="95">
        <v>8.5778403690824179E-2</v>
      </c>
      <c r="AN11" s="95">
        <v>0.154271129173495</v>
      </c>
      <c r="AO11" s="95">
        <v>7.5444295189630625E-2</v>
      </c>
      <c r="AP11" s="95">
        <v>8.6880147475945926E-2</v>
      </c>
      <c r="AQ11" s="95">
        <v>0.10541095204508875</v>
      </c>
      <c r="AR11" s="95">
        <v>9.392090607978118E-2</v>
      </c>
      <c r="AS11" s="95">
        <v>0.15108156023006314</v>
      </c>
      <c r="AT11" s="95">
        <v>0.12447443042653995</v>
      </c>
      <c r="AU11" s="95">
        <v>8.969197869042328E-2</v>
      </c>
      <c r="AV11" s="95">
        <v>0.14930060050384958</v>
      </c>
      <c r="AW11" s="95">
        <v>0.15395928382451027</v>
      </c>
      <c r="AX11" s="95">
        <v>9.7596986159719609E-2</v>
      </c>
      <c r="AY11" s="95">
        <v>0.13533448512901333</v>
      </c>
      <c r="AZ11" s="95">
        <v>0.12806561835311742</v>
      </c>
      <c r="BA11" s="95">
        <v>6.1785477700957957E-2</v>
      </c>
      <c r="BB11" s="95">
        <v>0.16068687153845387</v>
      </c>
      <c r="BC11" s="95">
        <v>8.1804800089751314E-2</v>
      </c>
      <c r="BD11" s="95">
        <v>8.8283714890764337E-2</v>
      </c>
      <c r="BE11" s="95">
        <v>8.7391123609305621E-2</v>
      </c>
      <c r="BF11" s="95">
        <v>0.13924240670878066</v>
      </c>
      <c r="BG11" s="95">
        <v>3.7709488319460388E-2</v>
      </c>
      <c r="BH11" s="95">
        <v>7.737306057010393E-2</v>
      </c>
      <c r="BI11" s="95">
        <v>0.11796950550408231</v>
      </c>
      <c r="BJ11" s="95">
        <v>0.11081943968934059</v>
      </c>
      <c r="BK11" s="95">
        <v>0.16522131796435771</v>
      </c>
      <c r="BL11" s="95">
        <v>3.0827373053835316E-2</v>
      </c>
      <c r="BM11" s="95">
        <v>6.1978652688845996E-2</v>
      </c>
      <c r="BN11" s="95">
        <v>7.9915424103288002E-2</v>
      </c>
      <c r="BO11" s="95">
        <v>0.10278403837331919</v>
      </c>
      <c r="BP11" s="95">
        <v>0.10843387261292051</v>
      </c>
      <c r="BQ11" s="95">
        <v>2.1654897861001342E-2</v>
      </c>
      <c r="BR11" s="95">
        <v>1.6603202039756786E-2</v>
      </c>
      <c r="BS11" s="95">
        <v>4.7716097866684744E-2</v>
      </c>
      <c r="BT11" s="95">
        <v>0.11878825095976937</v>
      </c>
      <c r="BU11" s="95">
        <v>8.558596612077711E-2</v>
      </c>
      <c r="BV11" s="95">
        <v>4.1095396317887389E-2</v>
      </c>
      <c r="BW11" s="95">
        <v>9.3515095017877581E-2</v>
      </c>
      <c r="BX11" s="95">
        <v>0.14323839567907315</v>
      </c>
      <c r="BY11" s="95">
        <v>0.12553480112805215</v>
      </c>
      <c r="BZ11" s="95">
        <v>0.13371108313335245</v>
      </c>
      <c r="CA11" s="95">
        <v>8.9609876248304812E-2</v>
      </c>
      <c r="CB11" s="95">
        <v>0.10172659770296835</v>
      </c>
      <c r="CC11" s="95">
        <v>9.8795285792646292E-2</v>
      </c>
      <c r="CD11" s="95">
        <v>2.1921036989273762E-2</v>
      </c>
      <c r="CE11" s="95">
        <v>3.6997988820112272E-2</v>
      </c>
      <c r="CF11" s="95">
        <v>0.12514034108111574</v>
      </c>
      <c r="CG11" s="95">
        <v>0.16702984544056007</v>
      </c>
      <c r="CH11" s="95">
        <v>3.2538210049599482E-2</v>
      </c>
      <c r="CI11" s="95">
        <v>0.10679647573977195</v>
      </c>
      <c r="CJ11" s="95">
        <v>0.12812796545825411</v>
      </c>
      <c r="CK11" s="95">
        <v>0.12238436376436432</v>
      </c>
      <c r="CL11" s="95">
        <v>0.15915482124687169</v>
      </c>
      <c r="CM11" s="95">
        <v>5.8617985805244402E-4</v>
      </c>
      <c r="CN11" s="95">
        <v>7.0815985200283454E-2</v>
      </c>
      <c r="CO11" s="95">
        <v>7.6218344359342105E-2</v>
      </c>
      <c r="CP11" s="95">
        <v>5.7948745044620428E-2</v>
      </c>
      <c r="CQ11" s="95">
        <v>0.1590138187015758</v>
      </c>
      <c r="CR11" s="95">
        <v>4.0872608519445949E-2</v>
      </c>
      <c r="CS11" s="95">
        <v>9.5948073790856347E-2</v>
      </c>
      <c r="CT11" s="95">
        <v>6.4809785603741718E-2</v>
      </c>
      <c r="CU11" s="95">
        <v>9.2824953773684757E-2</v>
      </c>
      <c r="CV11" s="95">
        <v>5.7815385351488786E-2</v>
      </c>
      <c r="CW11" s="95">
        <v>1.8136991505366233E-2</v>
      </c>
      <c r="CX11" s="95">
        <v>8.3743163087193605E-3</v>
      </c>
    </row>
    <row r="12" spans="1:102" s="95" customFormat="1">
      <c r="A12" s="306" t="str">
        <f>Parameters!A58</f>
        <v>Onroerend goed</v>
      </c>
      <c r="B12" s="307"/>
      <c r="C12" s="95">
        <v>4.4955334142519276E-5</v>
      </c>
      <c r="D12" s="95">
        <v>5.707601283278284E-8</v>
      </c>
      <c r="E12" s="95">
        <v>1.1600186789506079E-5</v>
      </c>
      <c r="F12" s="95">
        <v>1.3760024674549256E-9</v>
      </c>
      <c r="G12" s="95">
        <v>1.7262899079944849E-3</v>
      </c>
      <c r="H12" s="95">
        <v>7.5062255552228741E-8</v>
      </c>
      <c r="I12" s="95">
        <v>8.4833767379040325E-7</v>
      </c>
      <c r="J12" s="95">
        <v>1.0028030108658204E-4</v>
      </c>
      <c r="K12" s="95">
        <v>2.351993026357745E-4</v>
      </c>
      <c r="L12" s="95">
        <v>2.495464713552608E-5</v>
      </c>
      <c r="M12" s="95">
        <v>1.0333320132753893E-3</v>
      </c>
      <c r="N12" s="95">
        <v>4.3759961837836338E-4</v>
      </c>
      <c r="O12" s="95">
        <v>2.8435494879652974E-4</v>
      </c>
      <c r="P12" s="95">
        <v>5.028518227062919E-5</v>
      </c>
      <c r="Q12" s="95">
        <v>9.6195626860084717E-6</v>
      </c>
      <c r="R12" s="95">
        <v>3.5101437628250067E-5</v>
      </c>
      <c r="S12" s="95">
        <v>1.1442470495343783E-7</v>
      </c>
      <c r="T12" s="95">
        <v>8.6600892007555836E-5</v>
      </c>
      <c r="U12" s="95">
        <v>2.3486951955139735E-3</v>
      </c>
      <c r="V12" s="95">
        <v>6.1390252452823621E-4</v>
      </c>
      <c r="W12" s="95">
        <v>2.1568006444341379E-5</v>
      </c>
      <c r="X12" s="95">
        <v>6.836978504304043E-4</v>
      </c>
      <c r="Y12" s="95">
        <v>2.3408333448332803E-4</v>
      </c>
      <c r="Z12" s="95">
        <v>4.9455646706254668E-4</v>
      </c>
      <c r="AA12" s="95">
        <v>1.2637674580858661E-4</v>
      </c>
      <c r="AB12" s="95">
        <v>4.9918559404876482E-6</v>
      </c>
      <c r="AC12" s="95">
        <v>1.4035243377296613E-7</v>
      </c>
      <c r="AD12" s="95">
        <v>6.6012296554237444E-6</v>
      </c>
      <c r="AE12" s="95">
        <v>8.1769598667081904E-9</v>
      </c>
      <c r="AF12" s="95">
        <v>1.1157379910498694E-3</v>
      </c>
      <c r="AG12" s="95">
        <v>3.5349320359761758E-4</v>
      </c>
      <c r="AH12" s="95">
        <v>7.1436704201918009E-5</v>
      </c>
      <c r="AI12" s="95">
        <v>3.446039890169257E-7</v>
      </c>
      <c r="AJ12" s="95">
        <v>1.0234882980613151E-3</v>
      </c>
      <c r="AK12" s="95">
        <v>7.9358668118348059E-4</v>
      </c>
      <c r="AL12" s="95">
        <v>2.011374080838659E-4</v>
      </c>
      <c r="AM12" s="95">
        <v>1.8582312439007592E-6</v>
      </c>
      <c r="AN12" s="95">
        <v>1.2158966913176177E-3</v>
      </c>
      <c r="AO12" s="95">
        <v>9.8136004740679433E-4</v>
      </c>
      <c r="AP12" s="95">
        <v>3.3699360426359111E-5</v>
      </c>
      <c r="AQ12" s="95">
        <v>1.5382127119903015E-8</v>
      </c>
      <c r="AR12" s="95">
        <v>2.2416656332789964E-6</v>
      </c>
      <c r="AS12" s="95">
        <v>1.6215679875510751E-6</v>
      </c>
      <c r="AT12" s="95">
        <v>8.7653146139641104E-4</v>
      </c>
      <c r="AU12" s="95">
        <v>1.3593804856616113E-3</v>
      </c>
      <c r="AV12" s="95">
        <v>4.7376970617586043E-4</v>
      </c>
      <c r="AW12" s="95">
        <v>2.9641646762429336E-3</v>
      </c>
      <c r="AX12" s="95">
        <v>3.6559589967498753E-4</v>
      </c>
      <c r="AY12" s="95">
        <v>1.3065851053499432E-6</v>
      </c>
      <c r="AZ12" s="95">
        <v>1.2674972764979205E-3</v>
      </c>
      <c r="BA12" s="95">
        <v>1.4287239387995586E-6</v>
      </c>
      <c r="BB12" s="95">
        <v>1.449717237944613E-4</v>
      </c>
      <c r="BC12" s="95">
        <v>2.7955486881895949E-3</v>
      </c>
      <c r="BD12" s="95">
        <v>3.8159437832365584E-4</v>
      </c>
      <c r="BE12" s="95">
        <v>3.353660012935997E-4</v>
      </c>
      <c r="BF12" s="95">
        <v>1.8462644453114826E-4</v>
      </c>
      <c r="BG12" s="95">
        <v>1.1013464846272129E-4</v>
      </c>
      <c r="BH12" s="95">
        <v>2.6075673157904553E-8</v>
      </c>
      <c r="BI12" s="95">
        <v>2.3896595780500743E-6</v>
      </c>
      <c r="BJ12" s="95">
        <v>2.3325525610779514E-3</v>
      </c>
      <c r="BK12" s="95">
        <v>2.2362401646217742E-8</v>
      </c>
      <c r="BL12" s="95">
        <v>1.7143432572660328E-4</v>
      </c>
      <c r="BM12" s="95">
        <v>8.3372290134889609E-4</v>
      </c>
      <c r="BN12" s="95">
        <v>4.1607623365745834E-3</v>
      </c>
      <c r="BO12" s="95">
        <v>2.2342116056451289E-3</v>
      </c>
      <c r="BP12" s="95">
        <v>3.0672762732702054E-3</v>
      </c>
      <c r="BQ12" s="95">
        <v>5.989356515672943E-5</v>
      </c>
      <c r="BR12" s="95">
        <v>6.0842193417323242E-4</v>
      </c>
      <c r="BS12" s="95">
        <v>4.5626033177787181E-10</v>
      </c>
      <c r="BT12" s="95">
        <v>3.5191198368423303E-4</v>
      </c>
      <c r="BU12" s="95">
        <v>2.6576320244849809E-6</v>
      </c>
      <c r="BV12" s="95">
        <v>4.3792813085279515E-4</v>
      </c>
      <c r="BW12" s="95">
        <v>6.1162243164215142E-4</v>
      </c>
      <c r="BX12" s="95">
        <v>2.2751870327377473E-4</v>
      </c>
      <c r="BY12" s="95">
        <v>1.7741130897474884E-3</v>
      </c>
      <c r="BZ12" s="95">
        <v>1.6930471749068471E-3</v>
      </c>
      <c r="CA12" s="95">
        <v>2.0819829274340215E-3</v>
      </c>
      <c r="CB12" s="95">
        <v>2.7508822976334904E-3</v>
      </c>
      <c r="CC12" s="95">
        <v>7.2282316365953106E-4</v>
      </c>
      <c r="CD12" s="95">
        <v>6.281370393513364E-6</v>
      </c>
      <c r="CE12" s="95">
        <v>3.8281352559683858E-7</v>
      </c>
      <c r="CF12" s="95">
        <v>1.0854688618592669E-3</v>
      </c>
      <c r="CG12" s="95">
        <v>1.2983517800109572E-3</v>
      </c>
      <c r="CH12" s="95">
        <v>2.3659844574234118E-4</v>
      </c>
      <c r="CI12" s="95">
        <v>3.5368517236432617E-5</v>
      </c>
      <c r="CJ12" s="95">
        <v>3.5608768347562877E-3</v>
      </c>
      <c r="CK12" s="95">
        <v>4.4381143643954847E-4</v>
      </c>
      <c r="CL12" s="95">
        <v>2.3010236954167549E-4</v>
      </c>
      <c r="CM12" s="95">
        <v>3.058511203238996E-4</v>
      </c>
      <c r="CN12" s="95">
        <v>1.1386813285011149E-4</v>
      </c>
      <c r="CO12" s="95">
        <v>4.0280660732002647E-3</v>
      </c>
      <c r="CP12" s="95">
        <v>4.7843507449302127E-4</v>
      </c>
      <c r="CQ12" s="95">
        <v>2.3148473990154779E-3</v>
      </c>
      <c r="CR12" s="95">
        <v>4.5890591125720436E-4</v>
      </c>
      <c r="CS12" s="95">
        <v>2.7746687483499411E-3</v>
      </c>
      <c r="CT12" s="95">
        <v>4.9529895991057057E-3</v>
      </c>
      <c r="CU12" s="95">
        <v>1.5210858702658948E-4</v>
      </c>
      <c r="CV12" s="95">
        <v>1.8724199528141409E-3</v>
      </c>
      <c r="CW12" s="95">
        <v>2.9065521446473932E-3</v>
      </c>
      <c r="CX12" s="95">
        <v>2.8954840088742871E-4</v>
      </c>
    </row>
    <row r="13" spans="1:102" s="96" customFormat="1">
      <c r="A13" s="310" t="str">
        <f>Parameters!A59</f>
        <v>Commodities</v>
      </c>
      <c r="B13" s="311"/>
      <c r="C13" s="96">
        <v>2.6718780568936379E-9</v>
      </c>
      <c r="D13" s="96">
        <v>6.1322200971718493E-7</v>
      </c>
      <c r="E13" s="96">
        <v>3.7310250640190797E-14</v>
      </c>
      <c r="F13" s="96">
        <v>4.3644825251636693E-20</v>
      </c>
      <c r="G13" s="96">
        <v>9.2814094631721251E-5</v>
      </c>
      <c r="H13" s="96">
        <v>4.4448087884191003E-4</v>
      </c>
      <c r="I13" s="96">
        <v>1.1437858005747638E-24</v>
      </c>
      <c r="J13" s="96">
        <v>1.6960272728644973E-5</v>
      </c>
      <c r="K13" s="96">
        <v>6.8742976185532E-5</v>
      </c>
      <c r="L13" s="96">
        <v>2.2212401981103725E-7</v>
      </c>
      <c r="M13" s="96">
        <v>7.8758469151555502E-5</v>
      </c>
      <c r="N13" s="96">
        <v>1.3554894922255356E-5</v>
      </c>
      <c r="O13" s="96">
        <v>1.6412462089596493E-4</v>
      </c>
      <c r="P13" s="96">
        <v>9.6341779562787663E-6</v>
      </c>
      <c r="Q13" s="96">
        <v>3.1782026913224738E-10</v>
      </c>
      <c r="R13" s="96">
        <v>2.8605682136064469E-5</v>
      </c>
      <c r="S13" s="96">
        <v>1.7356121981886564E-4</v>
      </c>
      <c r="T13" s="96">
        <v>9.413386917185946E-5</v>
      </c>
      <c r="U13" s="96">
        <v>1.9657220648121741E-4</v>
      </c>
      <c r="V13" s="96">
        <v>5.847331611841043E-4</v>
      </c>
      <c r="W13" s="96">
        <v>4.638693282660179E-5</v>
      </c>
      <c r="X13" s="96">
        <v>9.2742292837327725E-5</v>
      </c>
      <c r="Y13" s="96">
        <v>1.9346151780633801E-4</v>
      </c>
      <c r="Z13" s="96">
        <v>3.5437760917266312E-4</v>
      </c>
      <c r="AA13" s="96">
        <v>5.5153369948552653E-5</v>
      </c>
      <c r="AB13" s="96">
        <v>2.7958979629774173E-4</v>
      </c>
      <c r="AC13" s="96">
        <v>1.5838729821113082E-4</v>
      </c>
      <c r="AD13" s="96">
        <v>2.3889915091354027E-7</v>
      </c>
      <c r="AE13" s="96">
        <v>1.163259844226595E-5</v>
      </c>
      <c r="AF13" s="96">
        <v>3.4035631113758422E-4</v>
      </c>
      <c r="AG13" s="96">
        <v>9.0082890873025522E-4</v>
      </c>
      <c r="AH13" s="96">
        <v>6.8129490791908436E-4</v>
      </c>
      <c r="AI13" s="96">
        <v>2.3767579035390869E-4</v>
      </c>
      <c r="AJ13" s="96">
        <v>1.0360651169270718E-5</v>
      </c>
      <c r="AK13" s="96">
        <v>2.7022306235851477E-4</v>
      </c>
      <c r="AL13" s="96">
        <v>9.2659841002724918E-4</v>
      </c>
      <c r="AM13" s="96">
        <v>1.2549281882631264E-12</v>
      </c>
      <c r="AN13" s="96">
        <v>3.1184416919598522E-4</v>
      </c>
      <c r="AO13" s="96">
        <v>5.5270538785618067E-5</v>
      </c>
      <c r="AP13" s="96">
        <v>1.4663761991785294E-13</v>
      </c>
      <c r="AQ13" s="96">
        <v>7.5291305939043671E-16</v>
      </c>
      <c r="AR13" s="96">
        <v>5.5561906684065133E-5</v>
      </c>
      <c r="AS13" s="96">
        <v>9.443800394507881E-4</v>
      </c>
      <c r="AT13" s="96">
        <v>6.4526578571014192E-4</v>
      </c>
      <c r="AU13" s="96">
        <v>9.2345664345296095E-6</v>
      </c>
      <c r="AV13" s="96">
        <v>1.2807987735143607E-3</v>
      </c>
      <c r="AW13" s="96">
        <v>1.0868366971506956E-3</v>
      </c>
      <c r="AX13" s="96">
        <v>1.7157703529994966E-4</v>
      </c>
      <c r="AY13" s="96">
        <v>6.7733448106851199E-4</v>
      </c>
      <c r="AZ13" s="96">
        <v>2.4696531160535808E-4</v>
      </c>
      <c r="BA13" s="96">
        <v>1.4193323265307958E-6</v>
      </c>
      <c r="BB13" s="96">
        <v>8.1884759795169466E-5</v>
      </c>
      <c r="BC13" s="96">
        <v>1.1224552979036586E-7</v>
      </c>
      <c r="BD13" s="96">
        <v>6.1484536748947033E-7</v>
      </c>
      <c r="BE13" s="96">
        <v>1.8583174890970109E-4</v>
      </c>
      <c r="BF13" s="96">
        <v>1.7162105322026341E-3</v>
      </c>
      <c r="BG13" s="96">
        <v>2.6734716731859119E-4</v>
      </c>
      <c r="BH13" s="96">
        <v>2.5117142735610808E-9</v>
      </c>
      <c r="BI13" s="96">
        <v>1.3020490928057415E-4</v>
      </c>
      <c r="BJ13" s="96">
        <v>2.7816586654104891E-4</v>
      </c>
      <c r="BK13" s="96">
        <v>3.0261815684366558E-10</v>
      </c>
      <c r="BL13" s="96">
        <v>4.0609673405358771E-4</v>
      </c>
      <c r="BM13" s="96">
        <v>6.1330633843957897E-4</v>
      </c>
      <c r="BN13" s="96">
        <v>9.7369958934848935E-5</v>
      </c>
      <c r="BO13" s="96">
        <v>4.2022087969346489E-4</v>
      </c>
      <c r="BP13" s="96">
        <v>1.8664025318556904E-4</v>
      </c>
      <c r="BQ13" s="96">
        <v>5.1036844658573484E-4</v>
      </c>
      <c r="BR13" s="96">
        <v>3.4566620389949064E-10</v>
      </c>
      <c r="BS13" s="96">
        <v>2.3086311139428774E-4</v>
      </c>
      <c r="BT13" s="96">
        <v>1.189338405093546E-4</v>
      </c>
      <c r="BU13" s="96">
        <v>2.385233968130683E-4</v>
      </c>
      <c r="BV13" s="96">
        <v>6.28824742787032E-6</v>
      </c>
      <c r="BW13" s="96">
        <v>7.202940512598793E-5</v>
      </c>
      <c r="BX13" s="96">
        <v>1.9643394572914496E-4</v>
      </c>
      <c r="BY13" s="96">
        <v>2.0191765822986742E-4</v>
      </c>
      <c r="BZ13" s="96">
        <v>3.1904425129717113E-5</v>
      </c>
      <c r="CA13" s="96">
        <v>5.8515211440982544E-6</v>
      </c>
      <c r="CB13" s="96">
        <v>9.4088440821177458E-12</v>
      </c>
      <c r="CC13" s="96">
        <v>2.482372153147999E-4</v>
      </c>
      <c r="CD13" s="96">
        <v>3.4495123545080206E-4</v>
      </c>
      <c r="CE13" s="96">
        <v>9.4453288292630936E-5</v>
      </c>
      <c r="CF13" s="96">
        <v>4.9135669812923006E-10</v>
      </c>
      <c r="CG13" s="96">
        <v>5.3837122834658355E-6</v>
      </c>
      <c r="CH13" s="96">
        <v>2.8007404233435358E-5</v>
      </c>
      <c r="CI13" s="96">
        <v>1.3853745674646473E-3</v>
      </c>
      <c r="CJ13" s="96">
        <v>7.7824667672547288E-4</v>
      </c>
      <c r="CK13" s="96">
        <v>5.4739151059162881E-4</v>
      </c>
      <c r="CL13" s="96">
        <v>1.3224696933589644E-4</v>
      </c>
      <c r="CM13" s="96">
        <v>3.4762119831775783E-4</v>
      </c>
      <c r="CN13" s="96">
        <v>1.2604094862846551E-13</v>
      </c>
      <c r="CO13" s="96">
        <v>1.7041021259666507E-5</v>
      </c>
      <c r="CP13" s="96">
        <v>4.417623124094257E-4</v>
      </c>
      <c r="CQ13" s="96">
        <v>3.4306972760404786E-4</v>
      </c>
      <c r="CR13" s="96">
        <v>2.7165731549709307E-5</v>
      </c>
      <c r="CS13" s="96">
        <v>1.57827149552518E-5</v>
      </c>
      <c r="CT13" s="96">
        <v>6.5610871023157965E-6</v>
      </c>
      <c r="CU13" s="96">
        <v>5.0481578238922314E-5</v>
      </c>
      <c r="CV13" s="96">
        <v>2.177888103273311E-4</v>
      </c>
      <c r="CW13" s="96">
        <v>3.0630122858217228E-12</v>
      </c>
      <c r="CX13" s="96">
        <v>3.2654663108619558E-5</v>
      </c>
    </row>
    <row r="15" spans="1:102" s="94" customFormat="1">
      <c r="A15" s="303" t="s">
        <v>140</v>
      </c>
      <c r="B15" s="304"/>
    </row>
    <row r="16" spans="1:102" s="95" customFormat="1">
      <c r="A16" s="306" t="s">
        <v>73</v>
      </c>
      <c r="B16" s="307"/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  <c r="X16" s="126">
        <v>0</v>
      </c>
      <c r="Y16" s="126">
        <v>0</v>
      </c>
      <c r="Z16" s="126">
        <v>0</v>
      </c>
      <c r="AA16" s="126">
        <v>0</v>
      </c>
      <c r="AB16" s="126">
        <v>0</v>
      </c>
      <c r="AC16" s="126">
        <v>0</v>
      </c>
      <c r="AD16" s="126">
        <v>0</v>
      </c>
      <c r="AE16" s="126">
        <v>0</v>
      </c>
      <c r="AF16" s="126">
        <v>0</v>
      </c>
      <c r="AG16" s="126">
        <v>0</v>
      </c>
      <c r="AH16" s="126">
        <v>0</v>
      </c>
      <c r="AI16" s="126">
        <v>0</v>
      </c>
      <c r="AJ16" s="126">
        <v>0</v>
      </c>
      <c r="AK16" s="126">
        <v>0</v>
      </c>
      <c r="AL16" s="126">
        <v>0</v>
      </c>
      <c r="AM16" s="126">
        <v>0</v>
      </c>
      <c r="AN16" s="126">
        <v>0</v>
      </c>
      <c r="AO16" s="126">
        <v>0</v>
      </c>
      <c r="AP16" s="126">
        <v>0</v>
      </c>
      <c r="AQ16" s="126">
        <v>0</v>
      </c>
      <c r="AR16" s="126">
        <v>0</v>
      </c>
      <c r="AS16" s="126">
        <v>0</v>
      </c>
      <c r="AT16" s="126">
        <v>0</v>
      </c>
      <c r="AU16" s="126">
        <v>0</v>
      </c>
      <c r="AV16" s="126">
        <v>0</v>
      </c>
      <c r="AW16" s="126">
        <v>0</v>
      </c>
      <c r="AX16" s="126">
        <v>0</v>
      </c>
      <c r="AY16" s="126">
        <v>0</v>
      </c>
      <c r="AZ16" s="126">
        <v>0</v>
      </c>
      <c r="BA16" s="126">
        <v>0</v>
      </c>
      <c r="BB16" s="126">
        <v>0</v>
      </c>
      <c r="BC16" s="126">
        <v>0</v>
      </c>
      <c r="BD16" s="126">
        <v>0</v>
      </c>
      <c r="BE16" s="126">
        <v>0</v>
      </c>
      <c r="BF16" s="126">
        <v>0</v>
      </c>
      <c r="BG16" s="126">
        <v>0</v>
      </c>
      <c r="BH16" s="126">
        <v>0</v>
      </c>
      <c r="BI16" s="126">
        <v>0</v>
      </c>
      <c r="BJ16" s="126">
        <v>0</v>
      </c>
      <c r="BK16" s="126">
        <v>0</v>
      </c>
      <c r="BL16" s="126">
        <v>0</v>
      </c>
      <c r="BM16" s="126">
        <v>0</v>
      </c>
      <c r="BN16" s="126">
        <v>0</v>
      </c>
      <c r="BO16" s="126">
        <v>0</v>
      </c>
      <c r="BP16" s="126">
        <v>0</v>
      </c>
      <c r="BQ16" s="126">
        <v>0</v>
      </c>
      <c r="BR16" s="126">
        <v>0</v>
      </c>
      <c r="BS16" s="126">
        <v>0</v>
      </c>
      <c r="BT16" s="126">
        <v>0</v>
      </c>
      <c r="BU16" s="126">
        <v>0</v>
      </c>
      <c r="BV16" s="126">
        <v>0</v>
      </c>
      <c r="BW16" s="126">
        <v>0</v>
      </c>
      <c r="BX16" s="126">
        <v>0</v>
      </c>
      <c r="BY16" s="126">
        <v>0</v>
      </c>
      <c r="BZ16" s="126">
        <v>0</v>
      </c>
      <c r="CA16" s="126">
        <v>0</v>
      </c>
      <c r="CB16" s="126">
        <v>0</v>
      </c>
      <c r="CC16" s="126">
        <v>0</v>
      </c>
      <c r="CD16" s="126">
        <v>0</v>
      </c>
      <c r="CE16" s="126">
        <v>0</v>
      </c>
      <c r="CF16" s="126">
        <v>0</v>
      </c>
      <c r="CG16" s="126">
        <v>0</v>
      </c>
      <c r="CH16" s="126">
        <v>0</v>
      </c>
      <c r="CI16" s="126">
        <v>0</v>
      </c>
      <c r="CJ16" s="126">
        <v>0</v>
      </c>
      <c r="CK16" s="126">
        <v>0</v>
      </c>
      <c r="CL16" s="126">
        <v>0</v>
      </c>
      <c r="CM16" s="126">
        <v>0</v>
      </c>
      <c r="CN16" s="126">
        <v>0</v>
      </c>
      <c r="CO16" s="126">
        <v>0</v>
      </c>
      <c r="CP16" s="126">
        <v>0</v>
      </c>
      <c r="CQ16" s="126">
        <v>0</v>
      </c>
      <c r="CR16" s="126">
        <v>0</v>
      </c>
      <c r="CS16" s="126">
        <v>0</v>
      </c>
      <c r="CT16" s="126">
        <v>0</v>
      </c>
      <c r="CU16" s="126">
        <v>0</v>
      </c>
      <c r="CV16" s="126">
        <v>0</v>
      </c>
      <c r="CW16" s="126">
        <v>0</v>
      </c>
      <c r="CX16" s="126">
        <v>0</v>
      </c>
    </row>
    <row r="17" spans="1:102" s="95" customFormat="1">
      <c r="A17" s="306" t="s">
        <v>4</v>
      </c>
      <c r="B17" s="307"/>
      <c r="C17" s="126">
        <v>4.3304264369716039E-3</v>
      </c>
      <c r="D17" s="126">
        <v>2.5494014138933327E-5</v>
      </c>
      <c r="E17" s="126">
        <v>3.043343661228846E-3</v>
      </c>
      <c r="F17" s="126">
        <v>1.6405150169171499E-4</v>
      </c>
      <c r="G17" s="126">
        <v>1.574543312526688E-3</v>
      </c>
      <c r="H17" s="126">
        <v>7.0089054980094993E-3</v>
      </c>
      <c r="I17" s="126">
        <v>1.6173568202694727E-3</v>
      </c>
      <c r="J17" s="126">
        <v>9.6640272714426743E-3</v>
      </c>
      <c r="K17" s="126">
        <v>2.7596406831569362E-3</v>
      </c>
      <c r="L17" s="126">
        <v>1.2527860772637872E-2</v>
      </c>
      <c r="M17" s="126">
        <v>1.3488236074906091E-3</v>
      </c>
      <c r="N17" s="126">
        <v>3.0908072753643772E-3</v>
      </c>
      <c r="O17" s="126">
        <v>2.3409954359922039E-3</v>
      </c>
      <c r="P17" s="126">
        <v>1.2143379427408634E-2</v>
      </c>
      <c r="Q17" s="126">
        <v>2.9970573200482784E-4</v>
      </c>
      <c r="R17" s="126">
        <v>1.8361007455742071E-2</v>
      </c>
      <c r="S17" s="126">
        <v>3.7522138802026554E-6</v>
      </c>
      <c r="T17" s="126">
        <v>8.3890927575934957E-3</v>
      </c>
      <c r="U17" s="126">
        <v>1.2121264699931521E-4</v>
      </c>
      <c r="V17" s="126">
        <v>1.6555488073406374E-3</v>
      </c>
      <c r="W17" s="126">
        <v>3.167856096565618E-8</v>
      </c>
      <c r="X17" s="126">
        <v>1.9759131581700653E-3</v>
      </c>
      <c r="Y17" s="126">
        <v>5.4740115595931314E-3</v>
      </c>
      <c r="Z17" s="126">
        <v>1.2516718778222597E-2</v>
      </c>
      <c r="AA17" s="126">
        <v>5.212184997438675E-3</v>
      </c>
      <c r="AB17" s="126">
        <v>1.0710790545384413E-2</v>
      </c>
      <c r="AC17" s="126">
        <v>8.8518403334632827E-3</v>
      </c>
      <c r="AD17" s="126">
        <v>4.2263454563062665E-3</v>
      </c>
      <c r="AE17" s="126">
        <v>3.9151082002237255E-9</v>
      </c>
      <c r="AF17" s="126">
        <v>5.4395961795834554E-3</v>
      </c>
      <c r="AG17" s="126">
        <v>4.6984412391724521E-3</v>
      </c>
      <c r="AH17" s="126">
        <v>1.4102448728013756E-5</v>
      </c>
      <c r="AI17" s="126">
        <v>4.0907284721873466E-3</v>
      </c>
      <c r="AJ17" s="126">
        <v>2.4026487640833833E-2</v>
      </c>
      <c r="AK17" s="126">
        <v>8.7831148391577212E-9</v>
      </c>
      <c r="AL17" s="126">
        <v>2.5234537642047136E-3</v>
      </c>
      <c r="AM17" s="126">
        <v>7.6262110415400287E-9</v>
      </c>
      <c r="AN17" s="126">
        <v>1.0593572834726105E-3</v>
      </c>
      <c r="AO17" s="126">
        <v>4.1203562976912574E-3</v>
      </c>
      <c r="AP17" s="126">
        <v>6.8158072608519532E-4</v>
      </c>
      <c r="AQ17" s="126">
        <v>2.3829366300949176E-2</v>
      </c>
      <c r="AR17" s="126">
        <v>1.7102367394322353E-2</v>
      </c>
      <c r="AS17" s="126">
        <v>7.9246151356644843E-3</v>
      </c>
      <c r="AT17" s="126">
        <v>1.6229018797419791E-2</v>
      </c>
      <c r="AU17" s="126">
        <v>3.4095798300259506E-5</v>
      </c>
      <c r="AV17" s="126">
        <v>4.1014498440220771E-3</v>
      </c>
      <c r="AW17" s="126">
        <v>1.1073411136956932E-2</v>
      </c>
      <c r="AX17" s="126">
        <v>2.3862059071896043E-2</v>
      </c>
      <c r="AY17" s="126">
        <v>4.8943402184998264E-3</v>
      </c>
      <c r="AZ17" s="126">
        <v>6.6734601633143048E-3</v>
      </c>
      <c r="BA17" s="126">
        <v>1.0350310956043572E-2</v>
      </c>
      <c r="BB17" s="126">
        <v>3.4037143034048603E-2</v>
      </c>
      <c r="BC17" s="126">
        <v>4.7203470911109336E-3</v>
      </c>
      <c r="BD17" s="126">
        <v>8.9836783530756747E-3</v>
      </c>
      <c r="BE17" s="126">
        <v>3.4500472384883859E-5</v>
      </c>
      <c r="BF17" s="126">
        <v>1.0787728902625342E-2</v>
      </c>
      <c r="BG17" s="126">
        <v>1.0080807306973045E-2</v>
      </c>
      <c r="BH17" s="126">
        <v>2.6842793824994088E-3</v>
      </c>
      <c r="BI17" s="126">
        <v>3.7829359848345905E-3</v>
      </c>
      <c r="BJ17" s="126">
        <v>1.4315899764600628E-2</v>
      </c>
      <c r="BK17" s="126">
        <v>2.27459427550981E-2</v>
      </c>
      <c r="BL17" s="126">
        <v>2.5100646914848518E-3</v>
      </c>
      <c r="BM17" s="126">
        <v>9.3196187345439586E-3</v>
      </c>
      <c r="BN17" s="126">
        <v>1.5566889909496116E-4</v>
      </c>
      <c r="BO17" s="126">
        <v>3.1413692188799508E-3</v>
      </c>
      <c r="BP17" s="126">
        <v>8.9243796972942542E-5</v>
      </c>
      <c r="BQ17" s="126">
        <v>4.8709882889462833E-4</v>
      </c>
      <c r="BR17" s="126">
        <v>1.2812019641402767E-8</v>
      </c>
      <c r="BS17" s="126">
        <v>2.0354998580495144E-2</v>
      </c>
      <c r="BT17" s="126">
        <v>3.6438534911196425E-2</v>
      </c>
      <c r="BU17" s="126">
        <v>9.5905025703795117E-3</v>
      </c>
      <c r="BV17" s="126">
        <v>1.5587091785803364E-2</v>
      </c>
      <c r="BW17" s="126">
        <v>2.7293720424305366E-2</v>
      </c>
      <c r="BX17" s="126">
        <v>4.4238406492573733E-2</v>
      </c>
      <c r="BY17" s="126">
        <v>8.8340341588271556E-3</v>
      </c>
      <c r="BZ17" s="126">
        <v>2.7315046284055785E-2</v>
      </c>
      <c r="CA17" s="126">
        <v>8.4946645523858761E-4</v>
      </c>
      <c r="CB17" s="126">
        <v>2.7323401640195345E-2</v>
      </c>
      <c r="CC17" s="126">
        <v>2.9012122374693877E-3</v>
      </c>
      <c r="CD17" s="126">
        <v>6.9887879058036038E-3</v>
      </c>
      <c r="CE17" s="126">
        <v>7.971395407151782E-3</v>
      </c>
      <c r="CF17" s="126">
        <v>1.4405424947476689E-5</v>
      </c>
      <c r="CG17" s="126">
        <v>1.2430498881465447E-2</v>
      </c>
      <c r="CH17" s="126">
        <v>1.6179129474445338E-2</v>
      </c>
      <c r="CI17" s="126">
        <v>1.8028409615393155E-8</v>
      </c>
      <c r="CJ17" s="126">
        <v>1.3876985828752061E-3</v>
      </c>
      <c r="CK17" s="126">
        <v>5.8189880534558326E-4</v>
      </c>
      <c r="CL17" s="126">
        <v>5.9458386842271959E-3</v>
      </c>
      <c r="CM17" s="126">
        <v>8.7755210407224929E-12</v>
      </c>
      <c r="CN17" s="126">
        <v>2.1982459013939327E-3</v>
      </c>
      <c r="CO17" s="126">
        <v>2.54120936376501E-2</v>
      </c>
      <c r="CP17" s="126">
        <v>5.6369999205631259E-3</v>
      </c>
      <c r="CQ17" s="126">
        <v>3.3516560406249889E-2</v>
      </c>
      <c r="CR17" s="126">
        <v>1.7283989895298994E-2</v>
      </c>
      <c r="CS17" s="126">
        <v>8.7904167818524254E-3</v>
      </c>
      <c r="CT17" s="126">
        <v>1.306430908648975E-4</v>
      </c>
      <c r="CU17" s="126">
        <v>6.0692082528284103E-4</v>
      </c>
      <c r="CV17" s="126">
        <v>3.0977067853467147E-3</v>
      </c>
      <c r="CW17" s="126">
        <v>1.3840988429932974E-3</v>
      </c>
      <c r="CX17" s="126">
        <v>1.0862434187370765E-2</v>
      </c>
    </row>
    <row r="18" spans="1:102" s="95" customFormat="1">
      <c r="A18" s="306" t="s">
        <v>175</v>
      </c>
      <c r="B18" s="307"/>
      <c r="C18" s="126">
        <v>0.12562240651678822</v>
      </c>
      <c r="D18" s="126">
        <v>0.17937970468825301</v>
      </c>
      <c r="E18" s="126">
        <v>7.5590593084031849E-2</v>
      </c>
      <c r="F18" s="126">
        <v>0.1624968386364786</v>
      </c>
      <c r="G18" s="126">
        <v>1.4765003256804429E-2</v>
      </c>
      <c r="H18" s="126">
        <v>0.16835236420137342</v>
      </c>
      <c r="I18" s="126">
        <v>0.2333705964966625</v>
      </c>
      <c r="J18" s="126">
        <v>0.14925421367065933</v>
      </c>
      <c r="K18" s="126">
        <v>0.16063559189916973</v>
      </c>
      <c r="L18" s="126">
        <v>0.13753598727302332</v>
      </c>
      <c r="M18" s="126">
        <v>0.16007437376601338</v>
      </c>
      <c r="N18" s="126">
        <v>0.16823396152721268</v>
      </c>
      <c r="O18" s="126">
        <v>0.24217746739940119</v>
      </c>
      <c r="P18" s="126">
        <v>5.2980915503621107E-2</v>
      </c>
      <c r="Q18" s="126">
        <v>0.20990666756378154</v>
      </c>
      <c r="R18" s="126">
        <v>4.5399054072307515E-2</v>
      </c>
      <c r="S18" s="126">
        <v>0.1048631257577935</v>
      </c>
      <c r="T18" s="126">
        <v>0.17580465734088782</v>
      </c>
      <c r="U18" s="126">
        <v>0.22512943073941727</v>
      </c>
      <c r="V18" s="126">
        <v>0.25266902787077128</v>
      </c>
      <c r="W18" s="126">
        <v>4.7521245246624683E-2</v>
      </c>
      <c r="X18" s="126">
        <v>0.21213726139711298</v>
      </c>
      <c r="Y18" s="126">
        <v>5.1171758674573679E-2</v>
      </c>
      <c r="Z18" s="126">
        <v>0.20119556142498735</v>
      </c>
      <c r="AA18" s="126">
        <v>1.8062289437503706E-2</v>
      </c>
      <c r="AB18" s="126">
        <v>0.20202822975838788</v>
      </c>
      <c r="AC18" s="126">
        <v>9.0724322162681753E-3</v>
      </c>
      <c r="AD18" s="126">
        <v>0.16230620527242554</v>
      </c>
      <c r="AE18" s="126">
        <v>0.26982450944636871</v>
      </c>
      <c r="AF18" s="126">
        <v>0.19245787307028764</v>
      </c>
      <c r="AG18" s="126">
        <v>3.3465596470074056E-2</v>
      </c>
      <c r="AH18" s="126">
        <v>0.23952672132604344</v>
      </c>
      <c r="AI18" s="126">
        <v>0.3346226142886774</v>
      </c>
      <c r="AJ18" s="126">
        <v>5.5313422455281203E-2</v>
      </c>
      <c r="AK18" s="126">
        <v>0.10182421362669901</v>
      </c>
      <c r="AL18" s="126">
        <v>5.3949864343593119E-2</v>
      </c>
      <c r="AM18" s="126">
        <v>0.20779662616188305</v>
      </c>
      <c r="AN18" s="126">
        <v>0.10568302420101074</v>
      </c>
      <c r="AO18" s="126">
        <v>0.32410029172123772</v>
      </c>
      <c r="AP18" s="126">
        <v>0.14206168004123132</v>
      </c>
      <c r="AQ18" s="126">
        <v>0.13800322816438315</v>
      </c>
      <c r="AR18" s="126">
        <v>0.11893086011730225</v>
      </c>
      <c r="AS18" s="126">
        <v>9.3892007398565375E-2</v>
      </c>
      <c r="AT18" s="126">
        <v>8.776074104065279E-2</v>
      </c>
      <c r="AU18" s="126">
        <v>0.12525508726772289</v>
      </c>
      <c r="AV18" s="126">
        <v>8.0350111183892056E-2</v>
      </c>
      <c r="AW18" s="126">
        <v>3.3421127943743092E-2</v>
      </c>
      <c r="AX18" s="126">
        <v>0.13563268763480263</v>
      </c>
      <c r="AY18" s="126">
        <v>2.7054519511313564E-2</v>
      </c>
      <c r="AZ18" s="126">
        <v>5.3571744667633314E-2</v>
      </c>
      <c r="BA18" s="126">
        <v>0.32365703874810664</v>
      </c>
      <c r="BB18" s="126">
        <v>1.3484524621063202E-3</v>
      </c>
      <c r="BC18" s="126">
        <v>0.15324754575433905</v>
      </c>
      <c r="BD18" s="126">
        <v>0.10154979228412818</v>
      </c>
      <c r="BE18" s="126">
        <v>0.17497871701395873</v>
      </c>
      <c r="BF18" s="126">
        <v>1.8630930476096663E-4</v>
      </c>
      <c r="BG18" s="126">
        <v>0.32161720275255135</v>
      </c>
      <c r="BH18" s="126">
        <v>0.33746237699813564</v>
      </c>
      <c r="BI18" s="126">
        <v>4.9004917150040295E-2</v>
      </c>
      <c r="BJ18" s="126">
        <v>0.19206567471047598</v>
      </c>
      <c r="BK18" s="126">
        <v>6.568305074918783E-2</v>
      </c>
      <c r="BL18" s="126">
        <v>0.32402172032313575</v>
      </c>
      <c r="BM18" s="126">
        <v>0.26469841739946753</v>
      </c>
      <c r="BN18" s="126">
        <v>0.20087906763569124</v>
      </c>
      <c r="BO18" s="126">
        <v>9.0626316122668041E-2</v>
      </c>
      <c r="BP18" s="126">
        <v>0.23542834972637669</v>
      </c>
      <c r="BQ18" s="126">
        <v>0.28142596020812682</v>
      </c>
      <c r="BR18" s="126">
        <v>0.28993410294651062</v>
      </c>
      <c r="BS18" s="126">
        <v>0.31548279340640528</v>
      </c>
      <c r="BT18" s="126">
        <v>1.2260050838556073E-2</v>
      </c>
      <c r="BU18" s="126">
        <v>9.8586177126353564E-2</v>
      </c>
      <c r="BV18" s="126">
        <v>0.2096075602130571</v>
      </c>
      <c r="BW18" s="126">
        <v>0.19252179611324655</v>
      </c>
      <c r="BX18" s="126">
        <v>6.4714989301894454E-2</v>
      </c>
      <c r="BY18" s="126">
        <v>0.19975118601759886</v>
      </c>
      <c r="BZ18" s="126">
        <v>5.4033302256896759E-2</v>
      </c>
      <c r="CA18" s="126">
        <v>0.11105003441725572</v>
      </c>
      <c r="CB18" s="126">
        <v>0.16887161904559189</v>
      </c>
      <c r="CC18" s="126">
        <v>8.0015335480572642E-4</v>
      </c>
      <c r="CD18" s="126">
        <v>0.27385484041299962</v>
      </c>
      <c r="CE18" s="126">
        <v>0.28827845414630349</v>
      </c>
      <c r="CF18" s="126">
        <v>5.3760478663615642E-2</v>
      </c>
      <c r="CG18" s="126">
        <v>3.4982955777613329E-3</v>
      </c>
      <c r="CH18" s="126">
        <v>0.38665355314137306</v>
      </c>
      <c r="CI18" s="126">
        <v>4.8041081176771132E-2</v>
      </c>
      <c r="CJ18" s="126">
        <v>6.5140072293322193E-2</v>
      </c>
      <c r="CK18" s="126">
        <v>9.5831089520639526E-2</v>
      </c>
      <c r="CL18" s="126">
        <v>0.17043004449989879</v>
      </c>
      <c r="CM18" s="126">
        <v>0.31815326041112207</v>
      </c>
      <c r="CN18" s="126">
        <v>0.15851564864640633</v>
      </c>
      <c r="CO18" s="126">
        <v>0.18022925899485792</v>
      </c>
      <c r="CP18" s="126">
        <v>0.29006707489806705</v>
      </c>
      <c r="CQ18" s="126">
        <v>1.1824744773986547E-4</v>
      </c>
      <c r="CR18" s="126">
        <v>0.35473758086671381</v>
      </c>
      <c r="CS18" s="126">
        <v>0.20587856833467982</v>
      </c>
      <c r="CT18" s="126">
        <v>0.15788211075231057</v>
      </c>
      <c r="CU18" s="126">
        <v>0.13327209738919243</v>
      </c>
      <c r="CV18" s="126">
        <v>0.20563335908697017</v>
      </c>
      <c r="CW18" s="126">
        <v>0.33945597362208829</v>
      </c>
      <c r="CX18" s="126">
        <v>0.35721908027109162</v>
      </c>
    </row>
    <row r="19" spans="1:102" s="95" customFormat="1">
      <c r="A19" s="306" t="s">
        <v>176</v>
      </c>
      <c r="B19" s="307"/>
      <c r="C19" s="126">
        <v>6.2423227571625235E-3</v>
      </c>
      <c r="D19" s="126">
        <v>1.2133975418790507E-2</v>
      </c>
      <c r="E19" s="126">
        <v>3.3314579009482446E-2</v>
      </c>
      <c r="F19" s="126">
        <v>3.2173794875094731E-2</v>
      </c>
      <c r="G19" s="126">
        <v>9.8847889936227857E-5</v>
      </c>
      <c r="H19" s="126">
        <v>7.2202171567380428E-3</v>
      </c>
      <c r="I19" s="126">
        <v>2.4367834746797937E-2</v>
      </c>
      <c r="J19" s="126">
        <v>5.8860808405731728E-3</v>
      </c>
      <c r="K19" s="126">
        <v>6.0754797141838818E-2</v>
      </c>
      <c r="L19" s="126">
        <v>2.5743740082686359E-2</v>
      </c>
      <c r="M19" s="126">
        <v>3.7243548132256409E-2</v>
      </c>
      <c r="N19" s="126">
        <v>5.4869063916046422E-2</v>
      </c>
      <c r="O19" s="126">
        <v>3.1910773343476535E-2</v>
      </c>
      <c r="P19" s="126">
        <v>3.7548689974169484E-2</v>
      </c>
      <c r="Q19" s="126">
        <v>8.6957974685281658E-3</v>
      </c>
      <c r="R19" s="126">
        <v>4.526762014302986E-3</v>
      </c>
      <c r="S19" s="126">
        <v>8.0792414114417607E-2</v>
      </c>
      <c r="T19" s="126">
        <v>8.0821174656349817E-3</v>
      </c>
      <c r="U19" s="126">
        <v>5.1772455473375587E-5</v>
      </c>
      <c r="V19" s="126">
        <v>4.9665510375685668E-3</v>
      </c>
      <c r="W19" s="126">
        <v>9.4734405184956627E-2</v>
      </c>
      <c r="X19" s="126">
        <v>5.37408849052326E-2</v>
      </c>
      <c r="Y19" s="126">
        <v>4.3775406933831647E-2</v>
      </c>
      <c r="Z19" s="126">
        <v>5.008011485215632E-2</v>
      </c>
      <c r="AA19" s="126">
        <v>0.1101942816764033</v>
      </c>
      <c r="AB19" s="126">
        <v>2.9008742912292455E-3</v>
      </c>
      <c r="AC19" s="126">
        <v>0.10470069251866453</v>
      </c>
      <c r="AD19" s="126">
        <v>5.7269471581082074E-2</v>
      </c>
      <c r="AE19" s="126">
        <v>2.4697634200930053E-2</v>
      </c>
      <c r="AF19" s="126">
        <v>1.9828363978711266E-2</v>
      </c>
      <c r="AG19" s="126">
        <v>0.10698670595755161</v>
      </c>
      <c r="AH19" s="126">
        <v>4.1664378107062555E-2</v>
      </c>
      <c r="AI19" s="126">
        <v>3.1687188249972383E-4</v>
      </c>
      <c r="AJ19" s="126">
        <v>2.356908149599473E-2</v>
      </c>
      <c r="AK19" s="126">
        <v>0.11043940456048974</v>
      </c>
      <c r="AL19" s="126">
        <v>2.4676298007877833E-2</v>
      </c>
      <c r="AM19" s="126">
        <v>0.10785063940998087</v>
      </c>
      <c r="AN19" s="126">
        <v>3.5457234093252542E-2</v>
      </c>
      <c r="AO19" s="126">
        <v>2.9717634910221406E-4</v>
      </c>
      <c r="AP19" s="126">
        <v>0.14341188765738078</v>
      </c>
      <c r="AQ19" s="126">
        <v>2.7750945642613496E-2</v>
      </c>
      <c r="AR19" s="126">
        <v>8.591460733290017E-2</v>
      </c>
      <c r="AS19" s="126">
        <v>4.0004158509842055E-2</v>
      </c>
      <c r="AT19" s="126">
        <v>1.5648978134997556E-2</v>
      </c>
      <c r="AU19" s="126">
        <v>0.13479471660152195</v>
      </c>
      <c r="AV19" s="126">
        <v>5.4827475184681181E-2</v>
      </c>
      <c r="AW19" s="126">
        <v>2.566088127389606E-3</v>
      </c>
      <c r="AX19" s="126">
        <v>4.2415190931145257E-2</v>
      </c>
      <c r="AY19" s="126">
        <v>0.10854321230533059</v>
      </c>
      <c r="AZ19" s="126">
        <v>0.10322935047476027</v>
      </c>
      <c r="BA19" s="126">
        <v>1.5660038394357586E-2</v>
      </c>
      <c r="BB19" s="126">
        <v>4.6029279873600419E-5</v>
      </c>
      <c r="BC19" s="126">
        <v>0.10907283841865877</v>
      </c>
      <c r="BD19" s="126">
        <v>0.15134297101555447</v>
      </c>
      <c r="BE19" s="126">
        <v>0.14048402045859709</v>
      </c>
      <c r="BF19" s="126">
        <v>5.4202521575702281E-2</v>
      </c>
      <c r="BG19" s="126">
        <v>6.702843937544084E-2</v>
      </c>
      <c r="BH19" s="126">
        <v>2.1766627205304714E-2</v>
      </c>
      <c r="BI19" s="126">
        <v>0.13535877425560641</v>
      </c>
      <c r="BJ19" s="126">
        <v>2.2546982673077327E-2</v>
      </c>
      <c r="BK19" s="126">
        <v>6.4308535169025488E-3</v>
      </c>
      <c r="BL19" s="126">
        <v>7.8052486348993186E-2</v>
      </c>
      <c r="BM19" s="126">
        <v>5.8356676940203127E-2</v>
      </c>
      <c r="BN19" s="126">
        <v>9.6494512928151324E-2</v>
      </c>
      <c r="BO19" s="126">
        <v>0.12679182844765799</v>
      </c>
      <c r="BP19" s="126">
        <v>1.5617398302653095E-2</v>
      </c>
      <c r="BQ19" s="126">
        <v>0.1734271339950024</v>
      </c>
      <c r="BR19" s="126">
        <v>0.17897922497493488</v>
      </c>
      <c r="BS19" s="126">
        <v>3.4926999444692144E-2</v>
      </c>
      <c r="BT19" s="126">
        <v>6.4356617824639598E-2</v>
      </c>
      <c r="BU19" s="126">
        <v>0.14125810761986782</v>
      </c>
      <c r="BV19" s="126">
        <v>0.15601132856957925</v>
      </c>
      <c r="BW19" s="126">
        <v>1.9703917273056117E-2</v>
      </c>
      <c r="BX19" s="126">
        <v>1.9695634635562217E-3</v>
      </c>
      <c r="BY19" s="126">
        <v>5.1500866662825676E-2</v>
      </c>
      <c r="BZ19" s="126">
        <v>3.3579909449815828E-2</v>
      </c>
      <c r="CA19" s="126">
        <v>0.15392854261118002</v>
      </c>
      <c r="CB19" s="126">
        <v>8.880228715924119E-3</v>
      </c>
      <c r="CC19" s="126">
        <v>0.20027079293425878</v>
      </c>
      <c r="CD19" s="126">
        <v>0.16587475299401075</v>
      </c>
      <c r="CE19" s="126">
        <v>0.11069344289770866</v>
      </c>
      <c r="CF19" s="126">
        <v>0.15132482311537396</v>
      </c>
      <c r="CG19" s="126">
        <v>8.4226974593941045E-2</v>
      </c>
      <c r="CH19" s="126">
        <v>3.6276991813135734E-2</v>
      </c>
      <c r="CI19" s="126">
        <v>0.14930004647416173</v>
      </c>
      <c r="CJ19" s="126">
        <v>9.4135454431759275E-2</v>
      </c>
      <c r="CK19" s="126">
        <v>0.14985628082242392</v>
      </c>
      <c r="CL19" s="126">
        <v>1.9827279720581313E-2</v>
      </c>
      <c r="CM19" s="126">
        <v>0.19498969813792202</v>
      </c>
      <c r="CN19" s="126">
        <v>0.17712822536107733</v>
      </c>
      <c r="CO19" s="126">
        <v>3.6195167360258573E-2</v>
      </c>
      <c r="CP19" s="126">
        <v>9.6699656179444413E-2</v>
      </c>
      <c r="CQ19" s="126">
        <v>1.1023877457329686E-2</v>
      </c>
      <c r="CR19" s="126">
        <v>4.2277851693789316E-2</v>
      </c>
      <c r="CS19" s="126">
        <v>8.0092966088446876E-2</v>
      </c>
      <c r="CT19" s="126">
        <v>0.11369670355636372</v>
      </c>
      <c r="CU19" s="126">
        <v>0.1854743194381589</v>
      </c>
      <c r="CV19" s="126">
        <v>0.14037947756190869</v>
      </c>
      <c r="CW19" s="126">
        <v>0.10451674485874067</v>
      </c>
      <c r="CX19" s="126">
        <v>0.11982572952575689</v>
      </c>
    </row>
    <row r="20" spans="1:102" s="95" customFormat="1">
      <c r="A20" s="306" t="s">
        <v>177</v>
      </c>
      <c r="B20" s="307"/>
      <c r="C20" s="126">
        <v>0.45246944644410536</v>
      </c>
      <c r="D20" s="126">
        <v>0.48519519431584168</v>
      </c>
      <c r="E20" s="126">
        <v>0.45913042304852497</v>
      </c>
      <c r="F20" s="126">
        <v>0.4686211321157302</v>
      </c>
      <c r="G20" s="126">
        <v>0.49914981112575824</v>
      </c>
      <c r="H20" s="126">
        <v>0.47268859372875949</v>
      </c>
      <c r="I20" s="126">
        <v>0.49542583522604833</v>
      </c>
      <c r="J20" s="126">
        <v>0.49590542396600074</v>
      </c>
      <c r="K20" s="126">
        <v>0.4813304437290481</v>
      </c>
      <c r="L20" s="126">
        <v>0.49820138121748275</v>
      </c>
      <c r="M20" s="126">
        <v>0.46515747868156743</v>
      </c>
      <c r="N20" s="126">
        <v>0.45085957506939767</v>
      </c>
      <c r="O20" s="126">
        <v>0.48136089081347389</v>
      </c>
      <c r="P20" s="126">
        <v>0.47353244143871981</v>
      </c>
      <c r="Q20" s="126">
        <v>0.41469188949330404</v>
      </c>
      <c r="R20" s="126">
        <v>0.46603441975374238</v>
      </c>
      <c r="S20" s="126">
        <v>0.43231558062585684</v>
      </c>
      <c r="T20" s="126">
        <v>0.43994082400373563</v>
      </c>
      <c r="U20" s="126">
        <v>0.46253852175433896</v>
      </c>
      <c r="V20" s="126">
        <v>0.45647774429318549</v>
      </c>
      <c r="W20" s="126">
        <v>0.45876486579472286</v>
      </c>
      <c r="X20" s="126">
        <v>0.45847289937965258</v>
      </c>
      <c r="Y20" s="126">
        <v>0.46974824579366831</v>
      </c>
      <c r="Z20" s="126">
        <v>0.48728586689374909</v>
      </c>
      <c r="AA20" s="126">
        <v>0.46196726226729568</v>
      </c>
      <c r="AB20" s="126">
        <v>0.49310080203637591</v>
      </c>
      <c r="AC20" s="126">
        <v>0.46625607266223829</v>
      </c>
      <c r="AD20" s="126">
        <v>0.49785156693231342</v>
      </c>
      <c r="AE20" s="126">
        <v>0.42104693677848642</v>
      </c>
      <c r="AF20" s="126">
        <v>0.49716420453997201</v>
      </c>
      <c r="AG20" s="126">
        <v>0.49048816907431542</v>
      </c>
      <c r="AH20" s="126">
        <v>0.41457450390835476</v>
      </c>
      <c r="AI20" s="126">
        <v>0.43295734380539352</v>
      </c>
      <c r="AJ20" s="126">
        <v>0.48166989035972207</v>
      </c>
      <c r="AK20" s="126">
        <v>0.45291736447126407</v>
      </c>
      <c r="AL20" s="126">
        <v>0.4928346749338065</v>
      </c>
      <c r="AM20" s="126">
        <v>0.42101372455329328</v>
      </c>
      <c r="AN20" s="126">
        <v>0.40312666505131139</v>
      </c>
      <c r="AO20" s="126">
        <v>0.43960728003895411</v>
      </c>
      <c r="AP20" s="126">
        <v>0.43915952262281976</v>
      </c>
      <c r="AQ20" s="126">
        <v>0.47658698500794233</v>
      </c>
      <c r="AR20" s="126">
        <v>0.47528954674445062</v>
      </c>
      <c r="AS20" s="126">
        <v>0.40992248098942302</v>
      </c>
      <c r="AT20" s="126">
        <v>0.48214797174442059</v>
      </c>
      <c r="AU20" s="126">
        <v>0.4500270384924861</v>
      </c>
      <c r="AV20" s="126">
        <v>0.41233226636827075</v>
      </c>
      <c r="AW20" s="126">
        <v>0.46595730829475623</v>
      </c>
      <c r="AX20" s="126">
        <v>0.4835571400265547</v>
      </c>
      <c r="AY20" s="126">
        <v>0.43682405539284302</v>
      </c>
      <c r="AZ20" s="126">
        <v>0.43553732204073026</v>
      </c>
      <c r="BA20" s="126">
        <v>0.45773069223755231</v>
      </c>
      <c r="BB20" s="126">
        <v>0.467355517868762</v>
      </c>
      <c r="BC20" s="126">
        <v>0.46247915614248314</v>
      </c>
      <c r="BD20" s="126">
        <v>0.4531079467859449</v>
      </c>
      <c r="BE20" s="126">
        <v>0.41388576003897365</v>
      </c>
      <c r="BF20" s="126">
        <v>0.4827690626205749</v>
      </c>
      <c r="BG20" s="126">
        <v>0.47802346732055551</v>
      </c>
      <c r="BH20" s="126">
        <v>0.40911992238356615</v>
      </c>
      <c r="BI20" s="126">
        <v>0.4395484625014201</v>
      </c>
      <c r="BJ20" s="126">
        <v>0.43035093872956215</v>
      </c>
      <c r="BK20" s="126">
        <v>0.41873075130788812</v>
      </c>
      <c r="BL20" s="126">
        <v>0.49172548135752259</v>
      </c>
      <c r="BM20" s="126">
        <v>0.46598905135571955</v>
      </c>
      <c r="BN20" s="126">
        <v>0.44051749883033814</v>
      </c>
      <c r="BO20" s="126">
        <v>0.4462356732261431</v>
      </c>
      <c r="BP20" s="126">
        <v>0.41804606711168307</v>
      </c>
      <c r="BQ20" s="126">
        <v>0.47079324026973307</v>
      </c>
      <c r="BR20" s="126">
        <v>0.47361518626584809</v>
      </c>
      <c r="BS20" s="126">
        <v>0.47578116493797906</v>
      </c>
      <c r="BT20" s="126">
        <v>0.4973105555884213</v>
      </c>
      <c r="BU20" s="126">
        <v>0.46983875742902553</v>
      </c>
      <c r="BV20" s="126">
        <v>0.48053145964782107</v>
      </c>
      <c r="BW20" s="126">
        <v>0.46547419563747872</v>
      </c>
      <c r="BX20" s="126">
        <v>0.45123267315267668</v>
      </c>
      <c r="BY20" s="126">
        <v>0.37576287175716389</v>
      </c>
      <c r="BZ20" s="126">
        <v>0.4627879274530769</v>
      </c>
      <c r="CA20" s="126">
        <v>0.44260583125938341</v>
      </c>
      <c r="CB20" s="126">
        <v>0.4690575471072615</v>
      </c>
      <c r="CC20" s="126">
        <v>0.46599836756609048</v>
      </c>
      <c r="CD20" s="126">
        <v>0.47876959986946549</v>
      </c>
      <c r="CE20" s="126">
        <v>0.47205126456761981</v>
      </c>
      <c r="CF20" s="126">
        <v>0.40859470124590791</v>
      </c>
      <c r="CG20" s="126">
        <v>0.40122250887475702</v>
      </c>
      <c r="CH20" s="126">
        <v>0.45755029000799868</v>
      </c>
      <c r="CI20" s="126">
        <v>0.45449149844873715</v>
      </c>
      <c r="CJ20" s="126">
        <v>0.43241867873284362</v>
      </c>
      <c r="CK20" s="126">
        <v>0.38518858802503303</v>
      </c>
      <c r="CL20" s="126">
        <v>0.36017366373182069</v>
      </c>
      <c r="CM20" s="126">
        <v>0.48264634364289766</v>
      </c>
      <c r="CN20" s="126">
        <v>0.43530580796335194</v>
      </c>
      <c r="CO20" s="126">
        <v>0.49782865053961328</v>
      </c>
      <c r="CP20" s="126">
        <v>0.42557112546098774</v>
      </c>
      <c r="CQ20" s="126">
        <v>0.4587339943574032</v>
      </c>
      <c r="CR20" s="126">
        <v>0.45566806903179569</v>
      </c>
      <c r="CS20" s="126">
        <v>0.40926653783323996</v>
      </c>
      <c r="CT20" s="126">
        <v>0.49655789801726774</v>
      </c>
      <c r="CU20" s="126">
        <v>0.39519668369306687</v>
      </c>
      <c r="CV20" s="126">
        <v>0.45746342616763319</v>
      </c>
      <c r="CW20" s="126">
        <v>0.48512309683202148</v>
      </c>
      <c r="CX20" s="126">
        <v>0.48319449939309495</v>
      </c>
    </row>
    <row r="21" spans="1:102" s="95" customFormat="1">
      <c r="A21" s="306" t="s">
        <v>5</v>
      </c>
      <c r="B21" s="307"/>
      <c r="C21" s="126">
        <v>0.41119832208501145</v>
      </c>
      <c r="D21" s="126">
        <v>0.32326350463034365</v>
      </c>
      <c r="E21" s="126">
        <v>0.42888514992934057</v>
      </c>
      <c r="F21" s="126">
        <v>0.33654417855769192</v>
      </c>
      <c r="G21" s="126">
        <v>0.47861570958051269</v>
      </c>
      <c r="H21" s="126">
        <v>0.34334058854848343</v>
      </c>
      <c r="I21" s="126">
        <v>0.24521563564280047</v>
      </c>
      <c r="J21" s="126">
        <v>0.33891505141870854</v>
      </c>
      <c r="K21" s="126">
        <v>0.29354379413445258</v>
      </c>
      <c r="L21" s="126">
        <v>0.32590975863948679</v>
      </c>
      <c r="M21" s="126">
        <v>0.33269798442096316</v>
      </c>
      <c r="N21" s="126">
        <v>0.32154770974662922</v>
      </c>
      <c r="O21" s="126">
        <v>0.24077898587538574</v>
      </c>
      <c r="P21" s="126">
        <v>0.42360584384962369</v>
      </c>
      <c r="Q21" s="126">
        <v>0.36637767378005465</v>
      </c>
      <c r="R21" s="126">
        <v>0.46548196889985494</v>
      </c>
      <c r="S21" s="126">
        <v>0.38149338631192425</v>
      </c>
      <c r="T21" s="126">
        <v>0.36723759976686976</v>
      </c>
      <c r="U21" s="126">
        <v>0.30430255944346152</v>
      </c>
      <c r="V21" s="126">
        <v>0.28053722933564673</v>
      </c>
      <c r="W21" s="126">
        <v>0.39876449657581009</v>
      </c>
      <c r="X21" s="126">
        <v>0.27124124107287106</v>
      </c>
      <c r="Y21" s="126">
        <v>0.42848343931715488</v>
      </c>
      <c r="Z21" s="126">
        <v>0.2461818643213271</v>
      </c>
      <c r="AA21" s="126">
        <v>0.40398506430837344</v>
      </c>
      <c r="AB21" s="126">
        <v>0.2903484547100606</v>
      </c>
      <c r="AC21" s="126">
        <v>0.41061196758012558</v>
      </c>
      <c r="AD21" s="126">
        <v>0.27832400328074774</v>
      </c>
      <c r="AE21" s="126">
        <v>0.28439608396313482</v>
      </c>
      <c r="AF21" s="126">
        <v>0.28041390437889807</v>
      </c>
      <c r="AG21" s="126">
        <v>0.36024206132152065</v>
      </c>
      <c r="AH21" s="126">
        <v>0.30197694118882612</v>
      </c>
      <c r="AI21" s="126">
        <v>0.22729529700155951</v>
      </c>
      <c r="AJ21" s="126">
        <v>0.41214987415179699</v>
      </c>
      <c r="AK21" s="126">
        <v>0.33145095288322046</v>
      </c>
      <c r="AL21" s="126">
        <v>0.42239737775764385</v>
      </c>
      <c r="AM21" s="126">
        <v>0.26333329761354168</v>
      </c>
      <c r="AN21" s="126">
        <v>0.45021525558919911</v>
      </c>
      <c r="AO21" s="126">
        <v>0.22873203864530361</v>
      </c>
      <c r="AP21" s="126">
        <v>0.27457882440480219</v>
      </c>
      <c r="AQ21" s="126">
        <v>0.33382942616994249</v>
      </c>
      <c r="AR21" s="126">
        <v>0.30257639792584118</v>
      </c>
      <c r="AS21" s="126">
        <v>0.44546743062291499</v>
      </c>
      <c r="AT21" s="126">
        <v>0.39340362335753698</v>
      </c>
      <c r="AU21" s="126">
        <v>0.28553211096620157</v>
      </c>
      <c r="AV21" s="126">
        <v>0.44318047660527532</v>
      </c>
      <c r="AW21" s="126">
        <v>0.47449702271885935</v>
      </c>
      <c r="AX21" s="126">
        <v>0.31281121223387953</v>
      </c>
      <c r="AY21" s="126">
        <v>0.42057488028603934</v>
      </c>
      <c r="AZ21" s="126">
        <v>0.39630158822927719</v>
      </c>
      <c r="BA21" s="126">
        <v>0.1925930419172569</v>
      </c>
      <c r="BB21" s="126">
        <v>0.49651188571157351</v>
      </c>
      <c r="BC21" s="126">
        <v>0.26154197354573011</v>
      </c>
      <c r="BD21" s="126">
        <v>0.28378700432889359</v>
      </c>
      <c r="BE21" s="126">
        <v>0.26901261971294099</v>
      </c>
      <c r="BF21" s="126">
        <v>0.44596636619747621</v>
      </c>
      <c r="BG21" s="126">
        <v>0.1220285456673727</v>
      </c>
      <c r="BH21" s="126">
        <v>0.22896670943308997</v>
      </c>
      <c r="BI21" s="126">
        <v>0.3718869191578168</v>
      </c>
      <c r="BJ21" s="126">
        <v>0.33287845123664372</v>
      </c>
      <c r="BK21" s="126">
        <v>0.48640933494540989</v>
      </c>
      <c r="BL21" s="126">
        <v>0.10178340055889942</v>
      </c>
      <c r="BM21" s="126">
        <v>0.19703599289551177</v>
      </c>
      <c r="BN21" s="126">
        <v>0.24870168377104807</v>
      </c>
      <c r="BO21" s="126">
        <v>0.32481632183284631</v>
      </c>
      <c r="BP21" s="126">
        <v>0.32118084877056013</v>
      </c>
      <c r="BQ21" s="126">
        <v>7.1971268884097037E-2</v>
      </c>
      <c r="BR21" s="126">
        <v>5.5439885279532294E-2</v>
      </c>
      <c r="BS21" s="126">
        <v>0.15271516577615432</v>
      </c>
      <c r="BT21" s="126">
        <v>0.38809592920974401</v>
      </c>
      <c r="BU21" s="126">
        <v>0.27993759185218942</v>
      </c>
      <c r="BV21" s="126">
        <v>0.1367840073954876</v>
      </c>
      <c r="BW21" s="126">
        <v>0.29286534793940067</v>
      </c>
      <c r="BX21" s="126">
        <v>0.43655227344180086</v>
      </c>
      <c r="BY21" s="126">
        <v>0.35850780589069009</v>
      </c>
      <c r="BZ21" s="126">
        <v>0.41690548859569559</v>
      </c>
      <c r="CA21" s="126">
        <v>0.28492755384961277</v>
      </c>
      <c r="CB21" s="126">
        <v>0.31728715040740585</v>
      </c>
      <c r="CC21" s="126">
        <v>0.32681718280618671</v>
      </c>
      <c r="CD21" s="126">
        <v>7.3336967913082821E-2</v>
      </c>
      <c r="CE21" s="126">
        <v>0.12069606550631939</v>
      </c>
      <c r="CF21" s="126">
        <v>0.38298358570079</v>
      </c>
      <c r="CG21" s="126">
        <v>0.49475992080406972</v>
      </c>
      <c r="CH21" s="126">
        <v>0.10250643706862481</v>
      </c>
      <c r="CI21" s="126">
        <v>0.34359639786221524</v>
      </c>
      <c r="CJ21" s="126">
        <v>0.39358898990609226</v>
      </c>
      <c r="CK21" s="126">
        <v>0.36558126436567551</v>
      </c>
      <c r="CL21" s="126">
        <v>0.44261546640008481</v>
      </c>
      <c r="CM21" s="126">
        <v>1.9910635295033391E-3</v>
      </c>
      <c r="CN21" s="126">
        <v>0.22648789229796548</v>
      </c>
      <c r="CO21" s="126">
        <v>0.24721450824369867</v>
      </c>
      <c r="CP21" s="126">
        <v>0.17917985611910611</v>
      </c>
      <c r="CQ21" s="126">
        <v>0.48844299219345216</v>
      </c>
      <c r="CR21" s="126">
        <v>0.12850428965283056</v>
      </c>
      <c r="CS21" s="126">
        <v>0.28760705409214421</v>
      </c>
      <c r="CT21" s="126">
        <v>0.21525993812539976</v>
      </c>
      <c r="CU21" s="126">
        <v>0.28482834170784149</v>
      </c>
      <c r="CV21" s="126">
        <v>0.18667706496789696</v>
      </c>
      <c r="CW21" s="126">
        <v>5.991791245784036E-2</v>
      </c>
      <c r="CX21" s="126">
        <v>2.7827586113149654E-2</v>
      </c>
    </row>
    <row r="22" spans="1:102" s="95" customFormat="1">
      <c r="A22" s="306" t="s">
        <v>178</v>
      </c>
      <c r="B22" s="307"/>
      <c r="C22" s="126">
        <v>1.3706761347565468E-4</v>
      </c>
      <c r="D22" s="126">
        <v>1.8110874581316699E-7</v>
      </c>
      <c r="E22" s="126">
        <v>3.5911267275439813E-5</v>
      </c>
      <c r="F22" s="126">
        <v>4.3133124834449162E-9</v>
      </c>
      <c r="G22" s="126">
        <v>5.500357726202121E-3</v>
      </c>
      <c r="H22" s="126">
        <v>2.3458534442383372E-7</v>
      </c>
      <c r="I22" s="126">
        <v>2.741067421077189E-6</v>
      </c>
      <c r="J22" s="126">
        <v>3.2092518655260768E-4</v>
      </c>
      <c r="K22" s="126">
        <v>7.5504988588596434E-4</v>
      </c>
      <c r="L22" s="126">
        <v>8.0554986017910036E-5</v>
      </c>
      <c r="M22" s="126">
        <v>3.2314935136424825E-3</v>
      </c>
      <c r="N22" s="126">
        <v>1.3568531732389172E-3</v>
      </c>
      <c r="O22" s="126">
        <v>9.0724274800132445E-4</v>
      </c>
      <c r="P22" s="126">
        <v>1.583847471275477E-4</v>
      </c>
      <c r="Q22" s="126">
        <v>2.8265028479464248E-5</v>
      </c>
      <c r="R22" s="126">
        <v>1.0842641851336891E-4</v>
      </c>
      <c r="S22" s="126">
        <v>3.5033296966795913E-7</v>
      </c>
      <c r="T22" s="126">
        <v>2.6148183603937964E-4</v>
      </c>
      <c r="U22" s="126">
        <v>7.2497415171211771E-3</v>
      </c>
      <c r="V22" s="126">
        <v>1.8918957085839816E-3</v>
      </c>
      <c r="W22" s="126">
        <v>6.8224062529915967E-5</v>
      </c>
      <c r="X22" s="126">
        <v>2.1413324730143219E-3</v>
      </c>
      <c r="Y22" s="126">
        <v>7.3756586728343043E-4</v>
      </c>
      <c r="Z22" s="126">
        <v>1.5961454603123154E-3</v>
      </c>
      <c r="AA22" s="126">
        <v>4.0302781608522818E-4</v>
      </c>
      <c r="AB22" s="126">
        <v>1.5977225697319916E-5</v>
      </c>
      <c r="AC22" s="126">
        <v>4.4886767863713433E-7</v>
      </c>
      <c r="AD22" s="126">
        <v>2.1624870917962149E-5</v>
      </c>
      <c r="AE22" s="126">
        <v>2.4467217192025453E-8</v>
      </c>
      <c r="AF22" s="126">
        <v>3.5983728158153518E-3</v>
      </c>
      <c r="AG22" s="126">
        <v>1.1608243687888894E-3</v>
      </c>
      <c r="AH22" s="126">
        <v>2.1290157554166444E-4</v>
      </c>
      <c r="AI22" s="126">
        <v>1.0382760401877251E-6</v>
      </c>
      <c r="AJ22" s="126">
        <v>3.2384613347353386E-3</v>
      </c>
      <c r="AK22" s="126">
        <v>2.5125208163942303E-3</v>
      </c>
      <c r="AL22" s="126">
        <v>6.4534773662027758E-4</v>
      </c>
      <c r="AM22" s="126">
        <v>5.7046312373524039E-6</v>
      </c>
      <c r="AN22" s="126">
        <v>3.5483971795914815E-3</v>
      </c>
      <c r="AO22" s="126">
        <v>2.9752877102795141E-3</v>
      </c>
      <c r="AP22" s="126">
        <v>1.0650454721690323E-4</v>
      </c>
      <c r="AQ22" s="126">
        <v>4.8714166508180979E-8</v>
      </c>
      <c r="AR22" s="126">
        <v>7.2217692629109337E-6</v>
      </c>
      <c r="AS22" s="126">
        <v>4.7812302434179495E-6</v>
      </c>
      <c r="AT22" s="126">
        <v>2.7702930772093874E-3</v>
      </c>
      <c r="AU22" s="126">
        <v>4.3275528686565132E-3</v>
      </c>
      <c r="AV22" s="126">
        <v>1.4063271244427801E-3</v>
      </c>
      <c r="AW22" s="126">
        <v>9.1354498331445953E-3</v>
      </c>
      <c r="AX22" s="126">
        <v>1.1717830751239789E-3</v>
      </c>
      <c r="AY22" s="126">
        <v>4.0604349567091066E-6</v>
      </c>
      <c r="AZ22" s="126">
        <v>3.9222953842879072E-3</v>
      </c>
      <c r="BA22" s="126">
        <v>4.4535107548281615E-6</v>
      </c>
      <c r="BB22" s="126">
        <v>4.4795311071085131E-4</v>
      </c>
      <c r="BC22" s="126">
        <v>8.9377801822155423E-3</v>
      </c>
      <c r="BD22" s="126">
        <v>1.2266308189138688E-3</v>
      </c>
      <c r="BE22" s="126">
        <v>1.0323438221709535E-3</v>
      </c>
      <c r="BF22" s="126">
        <v>5.9132261871716043E-4</v>
      </c>
      <c r="BG22" s="126">
        <v>3.5639759589518448E-4</v>
      </c>
      <c r="BH22" s="126">
        <v>7.7164597538553021E-8</v>
      </c>
      <c r="BI22" s="126">
        <v>7.5331598154936573E-6</v>
      </c>
      <c r="BJ22" s="126">
        <v>7.0065007198766805E-3</v>
      </c>
      <c r="BK22" s="126">
        <v>6.5834609277632126E-8</v>
      </c>
      <c r="BL22" s="126">
        <v>5.6602839997113542E-4</v>
      </c>
      <c r="BM22" s="126">
        <v>2.6504838769522022E-3</v>
      </c>
      <c r="BN22" s="126">
        <v>1.2948546672790344E-2</v>
      </c>
      <c r="BO22" s="126">
        <v>7.0605164714980569E-3</v>
      </c>
      <c r="BP22" s="126">
        <v>9.0852643470499712E-3</v>
      </c>
      <c r="BQ22" s="126">
        <v>1.9905962660231324E-4</v>
      </c>
      <c r="BR22" s="126">
        <v>2.0315865669372573E-3</v>
      </c>
      <c r="BS22" s="126">
        <v>1.4602592273830877E-9</v>
      </c>
      <c r="BT22" s="126">
        <v>1.1497400391410042E-3</v>
      </c>
      <c r="BU22" s="126">
        <v>8.6926764127860417E-6</v>
      </c>
      <c r="BV22" s="126">
        <v>1.4576222656645297E-3</v>
      </c>
      <c r="BW22" s="126">
        <v>1.9154449473229691E-3</v>
      </c>
      <c r="BX22" s="126">
        <v>6.934160822858746E-4</v>
      </c>
      <c r="BY22" s="126">
        <v>5.066590184490254E-3</v>
      </c>
      <c r="BZ22" s="126">
        <v>5.2788493154763668E-3</v>
      </c>
      <c r="CA22" s="126">
        <v>6.6199656500658738E-3</v>
      </c>
      <c r="CB22" s="126">
        <v>8.5800530542745057E-3</v>
      </c>
      <c r="CC22" s="126">
        <v>2.3911164193610415E-3</v>
      </c>
      <c r="CD22" s="126">
        <v>2.1014364385438658E-5</v>
      </c>
      <c r="CE22" s="126">
        <v>1.248826972373816E-6</v>
      </c>
      <c r="CF22" s="126">
        <v>3.3220043456006782E-3</v>
      </c>
      <c r="CG22" s="126">
        <v>3.8458541475609601E-3</v>
      </c>
      <c r="CH22" s="126">
        <v>7.4536563787780538E-4</v>
      </c>
      <c r="CI22" s="126">
        <v>1.1379116245162969E-4</v>
      </c>
      <c r="CJ22" s="126">
        <v>1.0938454470568845E-2</v>
      </c>
      <c r="CK22" s="126">
        <v>1.3257342775087435E-3</v>
      </c>
      <c r="CL22" s="126">
        <v>6.3992323208653817E-4</v>
      </c>
      <c r="CM22" s="126">
        <v>1.0388774072823414E-3</v>
      </c>
      <c r="CN22" s="126">
        <v>3.6417982940133197E-4</v>
      </c>
      <c r="CO22" s="126">
        <v>1.3065048602532058E-2</v>
      </c>
      <c r="CP22" s="126">
        <v>1.4793405404031539E-3</v>
      </c>
      <c r="CQ22" s="126">
        <v>7.1105203263390673E-3</v>
      </c>
      <c r="CR22" s="126">
        <v>1.4428092622357377E-3</v>
      </c>
      <c r="CS22" s="126">
        <v>8.3171477369513667E-3</v>
      </c>
      <c r="CT22" s="126">
        <v>1.6450914390583757E-2</v>
      </c>
      <c r="CU22" s="126">
        <v>4.6673695855465821E-4</v>
      </c>
      <c r="CV22" s="126">
        <v>6.0457585650195989E-3</v>
      </c>
      <c r="CW22" s="126">
        <v>9.6021733761965516E-3</v>
      </c>
      <c r="CX22" s="126">
        <v>9.6216010508586589E-4</v>
      </c>
    </row>
    <row r="23" spans="1:102" s="95" customFormat="1">
      <c r="A23" s="306" t="s">
        <v>6</v>
      </c>
      <c r="B23" s="307"/>
      <c r="C23" s="126">
        <v>8.146484855286568E-9</v>
      </c>
      <c r="D23" s="126">
        <v>1.9458238859516032E-6</v>
      </c>
      <c r="E23" s="126">
        <v>1.155031731097315E-13</v>
      </c>
      <c r="F23" s="126">
        <v>1.3681208722238224E-19</v>
      </c>
      <c r="G23" s="126">
        <v>2.9572710825908027E-4</v>
      </c>
      <c r="H23" s="126">
        <v>1.3890962812912945E-3</v>
      </c>
      <c r="I23" s="126">
        <v>3.6956911045079681E-24</v>
      </c>
      <c r="J23" s="126">
        <v>5.4277646062550445E-5</v>
      </c>
      <c r="K23" s="126">
        <v>2.206825264474772E-4</v>
      </c>
      <c r="L23" s="126">
        <v>7.1702866455870895E-7</v>
      </c>
      <c r="M23" s="126">
        <v>2.4629787806625841E-4</v>
      </c>
      <c r="N23" s="126">
        <v>4.2029292110305088E-5</v>
      </c>
      <c r="O23" s="126">
        <v>5.2364438426875026E-4</v>
      </c>
      <c r="P23" s="126">
        <v>3.0345059329301978E-5</v>
      </c>
      <c r="Q23" s="126">
        <v>9.3384691712024594E-10</v>
      </c>
      <c r="R23" s="126">
        <v>8.8361385536218378E-5</v>
      </c>
      <c r="S23" s="126">
        <v>5.3139064315769341E-4</v>
      </c>
      <c r="T23" s="126">
        <v>2.8422682923867572E-4</v>
      </c>
      <c r="U23" s="126">
        <v>6.0676144318809282E-4</v>
      </c>
      <c r="V23" s="126">
        <v>1.802002946902804E-3</v>
      </c>
      <c r="W23" s="126">
        <v>1.4673145679457963E-4</v>
      </c>
      <c r="X23" s="126">
        <v>2.9046761394577284E-4</v>
      </c>
      <c r="Y23" s="126">
        <v>6.0957185389446538E-4</v>
      </c>
      <c r="Z23" s="126">
        <v>1.1437282692448177E-3</v>
      </c>
      <c r="AA23" s="126">
        <v>1.7588949689979701E-4</v>
      </c>
      <c r="AB23" s="126">
        <v>8.9487143286437422E-4</v>
      </c>
      <c r="AC23" s="126">
        <v>5.0654582156117712E-4</v>
      </c>
      <c r="AD23" s="126">
        <v>7.826062068104859E-7</v>
      </c>
      <c r="AE23" s="126">
        <v>3.4807228754213848E-5</v>
      </c>
      <c r="AF23" s="126">
        <v>1.0976850367318306E-3</v>
      </c>
      <c r="AG23" s="126">
        <v>2.9582015685764382E-3</v>
      </c>
      <c r="AH23" s="126">
        <v>2.0304514454432491E-3</v>
      </c>
      <c r="AI23" s="126">
        <v>7.1610627364218822E-4</v>
      </c>
      <c r="AJ23" s="126">
        <v>3.278256163545666E-5</v>
      </c>
      <c r="AK23" s="126">
        <v>8.5553485881725692E-4</v>
      </c>
      <c r="AL23" s="126">
        <v>2.9729834562534545E-3</v>
      </c>
      <c r="AM23" s="126">
        <v>3.8525358815795579E-12</v>
      </c>
      <c r="AN23" s="126">
        <v>9.1006660216170403E-4</v>
      </c>
      <c r="AO23" s="126">
        <v>1.6756923743117336E-4</v>
      </c>
      <c r="AP23" s="126">
        <v>4.6343827054057249E-13</v>
      </c>
      <c r="AQ23" s="126">
        <v>2.3844252394633013E-15</v>
      </c>
      <c r="AR23" s="126">
        <v>1.7899871592034491E-4</v>
      </c>
      <c r="AS23" s="126">
        <v>2.7845261133462801E-3</v>
      </c>
      <c r="AT23" s="126">
        <v>2.0393738477624953E-3</v>
      </c>
      <c r="AU23" s="126">
        <v>2.9398005110465974E-5</v>
      </c>
      <c r="AV23" s="126">
        <v>3.8018936894156081E-3</v>
      </c>
      <c r="AW23" s="126">
        <v>3.3495919451497491E-3</v>
      </c>
      <c r="AX23" s="126">
        <v>5.4992702659729953E-4</v>
      </c>
      <c r="AY23" s="126">
        <v>2.1049318510166256E-3</v>
      </c>
      <c r="AZ23" s="126">
        <v>7.642390399964777E-4</v>
      </c>
      <c r="BA23" s="126">
        <v>4.424235927754672E-6</v>
      </c>
      <c r="BB23" s="126">
        <v>2.5301853292482139E-4</v>
      </c>
      <c r="BC23" s="126">
        <v>3.5886546206151332E-7</v>
      </c>
      <c r="BD23" s="126">
        <v>1.9764134889569304E-6</v>
      </c>
      <c r="BE23" s="126">
        <v>5.7203848097351826E-4</v>
      </c>
      <c r="BF23" s="126">
        <v>5.4966887801428735E-3</v>
      </c>
      <c r="BG23" s="126">
        <v>8.6513998121113395E-4</v>
      </c>
      <c r="BH23" s="126">
        <v>7.4328060440666646E-9</v>
      </c>
      <c r="BI23" s="126">
        <v>4.1045779046602969E-4</v>
      </c>
      <c r="BJ23" s="126">
        <v>8.3555216576311378E-4</v>
      </c>
      <c r="BK23" s="126">
        <v>8.9090377819457272E-10</v>
      </c>
      <c r="BL23" s="126">
        <v>1.3408183199928774E-3</v>
      </c>
      <c r="BM23" s="126">
        <v>1.9497587976013045E-3</v>
      </c>
      <c r="BN23" s="126">
        <v>3.030212628855761E-4</v>
      </c>
      <c r="BO23" s="126">
        <v>1.3279746803062538E-3</v>
      </c>
      <c r="BP23" s="126">
        <v>5.5282794470397334E-4</v>
      </c>
      <c r="BQ23" s="126">
        <v>1.6962381875433295E-3</v>
      </c>
      <c r="BR23" s="126">
        <v>1.1542167976581402E-9</v>
      </c>
      <c r="BS23" s="126">
        <v>7.3887639401446718E-4</v>
      </c>
      <c r="BT23" s="126">
        <v>3.8857158830121969E-4</v>
      </c>
      <c r="BU23" s="126">
        <v>7.8017072577094904E-4</v>
      </c>
      <c r="BV23" s="126">
        <v>2.093012258660429E-5</v>
      </c>
      <c r="BW23" s="126">
        <v>2.2557766518932289E-4</v>
      </c>
      <c r="BX23" s="126">
        <v>5.9867806521188228E-4</v>
      </c>
      <c r="BY23" s="126">
        <v>5.7664532840367782E-4</v>
      </c>
      <c r="BZ23" s="126">
        <v>9.9476644982406196E-5</v>
      </c>
      <c r="CA23" s="126">
        <v>1.8605757263488504E-5</v>
      </c>
      <c r="CB23" s="126">
        <v>2.9346359701909246E-11</v>
      </c>
      <c r="CC23" s="126">
        <v>8.2117468182752471E-4</v>
      </c>
      <c r="CD23" s="126">
        <v>1.1540365402518237E-3</v>
      </c>
      <c r="CE23" s="126">
        <v>3.0812864792416735E-4</v>
      </c>
      <c r="CF23" s="126">
        <v>1.5037640818451521E-9</v>
      </c>
      <c r="CG23" s="126">
        <v>1.594712044409662E-5</v>
      </c>
      <c r="CH23" s="126">
        <v>8.8232856544163713E-5</v>
      </c>
      <c r="CI23" s="126">
        <v>4.4571668472530605E-3</v>
      </c>
      <c r="CJ23" s="126">
        <v>2.3906515825380201E-3</v>
      </c>
      <c r="CK23" s="126">
        <v>1.6351441833731557E-3</v>
      </c>
      <c r="CL23" s="126">
        <v>3.6778373130029235E-4</v>
      </c>
      <c r="CM23" s="126">
        <v>1.1807568624966494E-3</v>
      </c>
      <c r="CN23" s="126">
        <v>4.0311165222598688E-13</v>
      </c>
      <c r="CO23" s="126">
        <v>5.5272621389111914E-5</v>
      </c>
      <c r="CP23" s="126">
        <v>1.3659468814279821E-3</v>
      </c>
      <c r="CQ23" s="126">
        <v>1.0538078114858398E-3</v>
      </c>
      <c r="CR23" s="126">
        <v>8.5409597335438269E-5</v>
      </c>
      <c r="CS23" s="126">
        <v>4.7309132685148043E-5</v>
      </c>
      <c r="CT23" s="126">
        <v>2.1792067209034508E-5</v>
      </c>
      <c r="CU23" s="126">
        <v>1.5489998790242467E-4</v>
      </c>
      <c r="CV23" s="126">
        <v>7.0320686522431445E-4</v>
      </c>
      <c r="CW23" s="126">
        <v>1.0119059820083956E-11</v>
      </c>
      <c r="CX23" s="126">
        <v>1.0851040444995618E-4</v>
      </c>
    </row>
    <row r="24" spans="1:102" s="95" customFormat="1">
      <c r="A24" s="306"/>
      <c r="B24" s="307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</row>
    <row r="25" spans="1:102" s="96" customFormat="1">
      <c r="A25" s="310"/>
      <c r="B25" s="311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</row>
    <row r="26" spans="1:102" s="10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303" t="s">
        <v>131</v>
      </c>
      <c r="B27" s="30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</row>
    <row r="28" spans="1:102">
      <c r="A28" s="308" t="str">
        <f t="shared" ref="A28:A37" si="0">A4</f>
        <v>Nominale matching</v>
      </c>
      <c r="B28" s="309"/>
      <c r="C28" s="97">
        <v>1.2500000000000075E-2</v>
      </c>
      <c r="D28" s="97">
        <v>1.2500000000000075E-2</v>
      </c>
      <c r="E28" s="97">
        <v>1.2500000000000075E-2</v>
      </c>
      <c r="F28" s="97">
        <v>1.2500000000000075E-2</v>
      </c>
      <c r="G28" s="97">
        <v>1.2500000000000075E-2</v>
      </c>
      <c r="H28" s="97">
        <v>1.2500000000000075E-2</v>
      </c>
      <c r="I28" s="97">
        <v>1.2500000000000075E-2</v>
      </c>
      <c r="J28" s="97">
        <v>1.2500000000000075E-2</v>
      </c>
      <c r="K28" s="97">
        <v>1.2500000000000075E-2</v>
      </c>
      <c r="L28" s="97">
        <v>1.2500000000000075E-2</v>
      </c>
      <c r="M28" s="97">
        <v>1.2500000000000075E-2</v>
      </c>
      <c r="N28" s="97">
        <v>1.2500000000000075E-2</v>
      </c>
      <c r="O28" s="97">
        <v>1.2500000000000075E-2</v>
      </c>
      <c r="P28" s="97">
        <v>1.2500000000000075E-2</v>
      </c>
      <c r="Q28" s="97">
        <v>1.2500000000000075E-2</v>
      </c>
      <c r="R28" s="97">
        <v>1.2500000000000075E-2</v>
      </c>
      <c r="S28" s="97">
        <v>1.2500000000000075E-2</v>
      </c>
      <c r="T28" s="97">
        <v>1.2500000000000075E-2</v>
      </c>
      <c r="U28" s="97">
        <v>1.2500000000000075E-2</v>
      </c>
      <c r="V28" s="97">
        <v>1.2500000000000075E-2</v>
      </c>
      <c r="W28" s="97">
        <v>1.2500000000000075E-2</v>
      </c>
      <c r="X28" s="97">
        <v>1.2500000000000075E-2</v>
      </c>
      <c r="Y28" s="97">
        <v>1.2500000000000075E-2</v>
      </c>
      <c r="Z28" s="97">
        <v>1.2500000000000075E-2</v>
      </c>
      <c r="AA28" s="97">
        <v>1.2500000000000075E-2</v>
      </c>
      <c r="AB28" s="97">
        <v>1.2500000000000075E-2</v>
      </c>
      <c r="AC28" s="97">
        <v>1.2500000000000075E-2</v>
      </c>
      <c r="AD28" s="97">
        <v>1.2500000000000075E-2</v>
      </c>
      <c r="AE28" s="97">
        <v>1.2500000000000075E-2</v>
      </c>
      <c r="AF28" s="97">
        <v>1.2500000000000075E-2</v>
      </c>
      <c r="AG28" s="97">
        <v>1.2500000000000075E-2</v>
      </c>
      <c r="AH28" s="97">
        <v>1.2500000000000075E-2</v>
      </c>
      <c r="AI28" s="97">
        <v>1.2500000000000075E-2</v>
      </c>
      <c r="AJ28" s="97">
        <v>1.2500000000000075E-2</v>
      </c>
      <c r="AK28" s="97">
        <v>1.2500000000000075E-2</v>
      </c>
      <c r="AL28" s="97">
        <v>1.2500000000000075E-2</v>
      </c>
      <c r="AM28" s="97">
        <v>1.2500000000000075E-2</v>
      </c>
      <c r="AN28" s="97">
        <v>1.2500000000000075E-2</v>
      </c>
      <c r="AO28" s="97">
        <v>1.2500000000000075E-2</v>
      </c>
      <c r="AP28" s="97">
        <v>1.2500000000000075E-2</v>
      </c>
      <c r="AQ28" s="97">
        <v>1.2500000000000075E-2</v>
      </c>
      <c r="AR28" s="97">
        <v>1.2500000000000075E-2</v>
      </c>
      <c r="AS28" s="97">
        <v>1.2500000000000075E-2</v>
      </c>
      <c r="AT28" s="97">
        <v>1.2500000000000075E-2</v>
      </c>
      <c r="AU28" s="97">
        <v>1.2500000000000075E-2</v>
      </c>
      <c r="AV28" s="97">
        <v>1.2500000000000075E-2</v>
      </c>
      <c r="AW28" s="97">
        <v>1.2500000000000075E-2</v>
      </c>
      <c r="AX28" s="97">
        <v>1.2500000000000075E-2</v>
      </c>
      <c r="AY28" s="97">
        <v>1.2500000000000075E-2</v>
      </c>
      <c r="AZ28" s="97">
        <v>1.2500000000000075E-2</v>
      </c>
      <c r="BA28" s="97">
        <v>1.2500000000000075E-2</v>
      </c>
      <c r="BB28" s="97">
        <v>1.2500000000000075E-2</v>
      </c>
      <c r="BC28" s="97">
        <v>1.2500000000000075E-2</v>
      </c>
      <c r="BD28" s="97">
        <v>1.2500000000000075E-2</v>
      </c>
      <c r="BE28" s="97">
        <v>1.2500000000000075E-2</v>
      </c>
      <c r="BF28" s="97">
        <v>1.2500000000000075E-2</v>
      </c>
      <c r="BG28" s="97">
        <v>1.2500000000000075E-2</v>
      </c>
      <c r="BH28" s="97">
        <v>1.2500000000000075E-2</v>
      </c>
      <c r="BI28" s="97">
        <v>1.2500000000000075E-2</v>
      </c>
      <c r="BJ28" s="97">
        <v>1.2500000000000075E-2</v>
      </c>
      <c r="BK28" s="97">
        <v>1.2500000000000075E-2</v>
      </c>
      <c r="BL28" s="97">
        <v>1.2500000000000075E-2</v>
      </c>
      <c r="BM28" s="97">
        <v>1.2500000000000075E-2</v>
      </c>
      <c r="BN28" s="97">
        <v>1.2500000000000075E-2</v>
      </c>
      <c r="BO28" s="97">
        <v>1.2500000000000075E-2</v>
      </c>
      <c r="BP28" s="97">
        <v>1.2500000000000075E-2</v>
      </c>
      <c r="BQ28" s="97">
        <v>1.2500000000000075E-2</v>
      </c>
      <c r="BR28" s="97">
        <v>1.2500000000000075E-2</v>
      </c>
      <c r="BS28" s="97">
        <v>1.2500000000000075E-2</v>
      </c>
      <c r="BT28" s="97">
        <v>1.2500000000000075E-2</v>
      </c>
      <c r="BU28" s="97">
        <v>1.2500000000000075E-2</v>
      </c>
      <c r="BV28" s="97">
        <v>1.2500000000000075E-2</v>
      </c>
      <c r="BW28" s="97">
        <v>1.2500000000000075E-2</v>
      </c>
      <c r="BX28" s="97">
        <v>1.2500000000000075E-2</v>
      </c>
      <c r="BY28" s="97">
        <v>1.2500000000000075E-2</v>
      </c>
      <c r="BZ28" s="97">
        <v>1.2500000000000075E-2</v>
      </c>
      <c r="CA28" s="97">
        <v>1.2500000000000075E-2</v>
      </c>
      <c r="CB28" s="97">
        <v>1.2500000000000075E-2</v>
      </c>
      <c r="CC28" s="97">
        <v>1.2500000000000075E-2</v>
      </c>
      <c r="CD28" s="97">
        <v>1.2500000000000075E-2</v>
      </c>
      <c r="CE28" s="97">
        <v>1.2500000000000075E-2</v>
      </c>
      <c r="CF28" s="97">
        <v>1.2500000000000075E-2</v>
      </c>
      <c r="CG28" s="97">
        <v>1.2500000000000075E-2</v>
      </c>
      <c r="CH28" s="97">
        <v>1.2500000000000075E-2</v>
      </c>
      <c r="CI28" s="97">
        <v>1.2500000000000075E-2</v>
      </c>
      <c r="CJ28" s="97">
        <v>1.2500000000000075E-2</v>
      </c>
      <c r="CK28" s="97">
        <v>1.2500000000000075E-2</v>
      </c>
      <c r="CL28" s="97">
        <v>1.2500000000000075E-2</v>
      </c>
      <c r="CM28" s="97">
        <v>1.2500000000000075E-2</v>
      </c>
      <c r="CN28" s="97">
        <v>1.2500000000000075E-2</v>
      </c>
      <c r="CO28" s="97">
        <v>1.2500000000000075E-2</v>
      </c>
      <c r="CP28" s="97">
        <v>1.2500000000000075E-2</v>
      </c>
      <c r="CQ28" s="97">
        <v>1.2500000000000075E-2</v>
      </c>
      <c r="CR28" s="97">
        <v>1.2500000000000075E-2</v>
      </c>
      <c r="CS28" s="97">
        <v>1.2500000000000075E-2</v>
      </c>
      <c r="CT28" s="97">
        <v>1.2500000000000075E-2</v>
      </c>
      <c r="CU28" s="97">
        <v>1.2500000000000075E-2</v>
      </c>
      <c r="CV28" s="97">
        <v>1.2500000000000075E-2</v>
      </c>
      <c r="CW28" s="97">
        <v>1.2500000000000075E-2</v>
      </c>
      <c r="CX28" s="97">
        <v>1.2500000000000075E-2</v>
      </c>
    </row>
    <row r="29" spans="1:102" s="111" customFormat="1">
      <c r="A29" s="306" t="str">
        <f t="shared" si="0"/>
        <v>Reele matching</v>
      </c>
      <c r="B29" s="307"/>
      <c r="C29" s="97">
        <v>1.7170531835948671E-2</v>
      </c>
      <c r="D29" s="97">
        <v>1.7064160286161749E-2</v>
      </c>
      <c r="E29" s="97">
        <v>1.7211088270711314E-2</v>
      </c>
      <c r="F29" s="97">
        <v>1.710410814018451E-2</v>
      </c>
      <c r="G29" s="97">
        <v>1.7219070856615178E-2</v>
      </c>
      <c r="H29" s="97">
        <v>1.7092780895091406E-2</v>
      </c>
      <c r="I29" s="97">
        <v>1.6980636381540088E-2</v>
      </c>
      <c r="J29" s="97">
        <v>1.7077408415085409E-2</v>
      </c>
      <c r="K29" s="97">
        <v>1.7075710794515742E-2</v>
      </c>
      <c r="L29" s="97">
        <v>1.707626441457312E-2</v>
      </c>
      <c r="M29" s="97">
        <v>1.7110182142984036E-2</v>
      </c>
      <c r="N29" s="97">
        <v>1.7116021715557785E-2</v>
      </c>
      <c r="O29" s="97">
        <v>1.6989068265724036E-2</v>
      </c>
      <c r="P29" s="97">
        <v>1.7207064531660526E-2</v>
      </c>
      <c r="Q29" s="97">
        <v>1.713881139606685E-2</v>
      </c>
      <c r="R29" s="97">
        <v>1.7232596360984818E-2</v>
      </c>
      <c r="S29" s="97">
        <v>1.7217568292021965E-2</v>
      </c>
      <c r="T29" s="97">
        <v>1.7139365261111615E-2</v>
      </c>
      <c r="U29" s="97">
        <v>1.7047255927365775E-2</v>
      </c>
      <c r="V29" s="97">
        <v>1.7027097702451494E-2</v>
      </c>
      <c r="W29" s="97">
        <v>1.723812763464105E-2</v>
      </c>
      <c r="X29" s="97">
        <v>1.7063613447693759E-2</v>
      </c>
      <c r="Y29" s="97">
        <v>1.7235336337356466E-2</v>
      </c>
      <c r="Z29" s="97">
        <v>1.7022680144281488E-2</v>
      </c>
      <c r="AA29" s="97">
        <v>1.7249998750377537E-2</v>
      </c>
      <c r="AB29" s="97">
        <v>1.7038053499293517E-2</v>
      </c>
      <c r="AC29" s="97">
        <v>1.7249737996117089E-2</v>
      </c>
      <c r="AD29" s="97">
        <v>1.7068664699040278E-2</v>
      </c>
      <c r="AE29" s="97">
        <v>1.7060582788595586E-2</v>
      </c>
      <c r="AF29" s="97">
        <v>1.7044035300663375E-2</v>
      </c>
      <c r="AG29" s="97">
        <v>1.7193495214422778E-2</v>
      </c>
      <c r="AH29" s="97">
        <v>1.7108324577228287E-2</v>
      </c>
      <c r="AI29" s="97">
        <v>1.695155344221139E-2</v>
      </c>
      <c r="AJ29" s="97">
        <v>1.7191188177412966E-2</v>
      </c>
      <c r="AK29" s="97">
        <v>1.718545273969355E-2</v>
      </c>
      <c r="AL29" s="97">
        <v>1.7216828436306088E-2</v>
      </c>
      <c r="AM29" s="97">
        <v>1.7114994097530055E-2</v>
      </c>
      <c r="AN29" s="97">
        <v>1.7289164697604116E-2</v>
      </c>
      <c r="AO29" s="97">
        <v>1.695586727923435E-2</v>
      </c>
      <c r="AP29" s="97">
        <v>1.7150518495375727E-2</v>
      </c>
      <c r="AQ29" s="97">
        <v>1.7114243041045557E-2</v>
      </c>
      <c r="AR29" s="97">
        <v>1.7124561396366922E-2</v>
      </c>
      <c r="AS29" s="97">
        <v>1.7289120175668367E-2</v>
      </c>
      <c r="AT29" s="97">
        <v>1.7179752447432507E-2</v>
      </c>
      <c r="AU29" s="97">
        <v>1.7152348792193597E-2</v>
      </c>
      <c r="AV29" s="97">
        <v>1.7299255012381699E-2</v>
      </c>
      <c r="AW29" s="97">
        <v>1.7265775180715492E-2</v>
      </c>
      <c r="AX29" s="97">
        <v>1.7104120124873723E-2</v>
      </c>
      <c r="AY29" s="97">
        <v>1.729559967027262E-2</v>
      </c>
      <c r="AZ29" s="97">
        <v>1.726347441137515E-2</v>
      </c>
      <c r="BA29" s="97">
        <v>1.6931332953590242E-2</v>
      </c>
      <c r="BB29" s="97">
        <v>1.7279639153133776E-2</v>
      </c>
      <c r="BC29" s="97">
        <v>1.710532764814246E-2</v>
      </c>
      <c r="BD29" s="97">
        <v>1.7159767477712841E-2</v>
      </c>
      <c r="BE29" s="97">
        <v>1.7158071233485745E-2</v>
      </c>
      <c r="BF29" s="97">
        <v>1.7270981248957123E-2</v>
      </c>
      <c r="BG29" s="97">
        <v>1.6898123070417E-2</v>
      </c>
      <c r="BH29" s="97">
        <v>1.699067770120221E-2</v>
      </c>
      <c r="BI29" s="97">
        <v>1.7259583262333039E-2</v>
      </c>
      <c r="BJ29" s="97">
        <v>1.7132590368811564E-2</v>
      </c>
      <c r="BK29" s="97">
        <v>1.7307212719001906E-2</v>
      </c>
      <c r="BL29" s="97">
        <v>1.6885506983360297E-2</v>
      </c>
      <c r="BM29" s="97">
        <v>1.6993946759416047E-2</v>
      </c>
      <c r="BN29" s="97">
        <v>1.7095846164454365E-2</v>
      </c>
      <c r="BO29" s="97">
        <v>1.7204561683700836E-2</v>
      </c>
      <c r="BP29" s="97">
        <v>1.7118593947425029E-2</v>
      </c>
      <c r="BQ29" s="97">
        <v>1.6937663920008294E-2</v>
      </c>
      <c r="BR29" s="97">
        <v>1.6918346524838139E-2</v>
      </c>
      <c r="BS29" s="97">
        <v>1.6910861114988289E-2</v>
      </c>
      <c r="BT29" s="97">
        <v>1.7198052306764272E-2</v>
      </c>
      <c r="BU29" s="97">
        <v>1.7155502694341102E-2</v>
      </c>
      <c r="BV29" s="97">
        <v>1.6995658802599987E-2</v>
      </c>
      <c r="BW29" s="97">
        <v>1.7078549783184953E-2</v>
      </c>
      <c r="BX29" s="97">
        <v>1.7232672043287184E-2</v>
      </c>
      <c r="BY29" s="97">
        <v>1.7210938809715273E-2</v>
      </c>
      <c r="BZ29" s="97">
        <v>1.723392376910679E-2</v>
      </c>
      <c r="CA29" s="97">
        <v>1.7184179283080234E-2</v>
      </c>
      <c r="CB29" s="97">
        <v>1.7097135150405555E-2</v>
      </c>
      <c r="CC29" s="97">
        <v>1.7228627258206099E-2</v>
      </c>
      <c r="CD29" s="97">
        <v>1.6935678939613695E-2</v>
      </c>
      <c r="CE29" s="97">
        <v>1.6955461084167425E-2</v>
      </c>
      <c r="CF29" s="97">
        <v>1.730798416189408E-2</v>
      </c>
      <c r="CG29" s="97">
        <v>1.7385469519956717E-2</v>
      </c>
      <c r="CH29" s="97">
        <v>1.684408088771467E-2</v>
      </c>
      <c r="CI29" s="97">
        <v>1.7252337451326333E-2</v>
      </c>
      <c r="CJ29" s="97">
        <v>1.7278011115824589E-2</v>
      </c>
      <c r="CK29" s="97">
        <v>1.7303619533519866E-2</v>
      </c>
      <c r="CL29" s="97">
        <v>1.7296330875505445E-2</v>
      </c>
      <c r="CM29" s="97">
        <v>1.6873506475080322E-2</v>
      </c>
      <c r="CN29" s="97">
        <v>1.7141375082761853E-2</v>
      </c>
      <c r="CO29" s="97">
        <v>1.7032068518543282E-2</v>
      </c>
      <c r="CP29" s="97">
        <v>1.702480000775141E-2</v>
      </c>
      <c r="CQ29" s="97">
        <v>1.7298739057426221E-2</v>
      </c>
      <c r="CR29" s="97">
        <v>1.6892806635752988E-2</v>
      </c>
      <c r="CS29" s="97">
        <v>1.7148801564897797E-2</v>
      </c>
      <c r="CT29" s="97">
        <v>1.706111601239679E-2</v>
      </c>
      <c r="CU29" s="97">
        <v>1.7226603288982206E-2</v>
      </c>
      <c r="CV29" s="97">
        <v>1.706695713611063E-2</v>
      </c>
      <c r="CW29" s="97">
        <v>1.6868082516690256E-2</v>
      </c>
      <c r="CX29" s="97">
        <v>1.6842549524898023E-2</v>
      </c>
    </row>
    <row r="30" spans="1:102" s="95" customFormat="1">
      <c r="A30" s="306" t="str">
        <f t="shared" si="0"/>
        <v>Credits</v>
      </c>
      <c r="B30" s="307"/>
      <c r="C30" s="97">
        <v>2.0687445657019739E-2</v>
      </c>
      <c r="D30" s="97">
        <v>2.0444455277377024E-2</v>
      </c>
      <c r="E30" s="97">
        <v>2.0789480766571881E-2</v>
      </c>
      <c r="F30" s="97">
        <v>2.0499132178991686E-2</v>
      </c>
      <c r="G30" s="97">
        <v>2.0920599194463537E-2</v>
      </c>
      <c r="H30" s="97">
        <v>2.0513154717851298E-2</v>
      </c>
      <c r="I30" s="97">
        <v>2.0245040116142816E-2</v>
      </c>
      <c r="J30" s="97">
        <v>2.0528382593204879E-2</v>
      </c>
      <c r="K30" s="97">
        <v>2.0443209415189637E-2</v>
      </c>
      <c r="L30" s="97">
        <v>2.0531697281425641E-2</v>
      </c>
      <c r="M30" s="97">
        <v>2.0505669938870506E-2</v>
      </c>
      <c r="N30" s="97">
        <v>2.0487235292884771E-2</v>
      </c>
      <c r="O30" s="97">
        <v>2.022821926579698E-2</v>
      </c>
      <c r="P30" s="97">
        <v>2.0826383197772566E-2</v>
      </c>
      <c r="Q30" s="97">
        <v>2.0490401157404893E-2</v>
      </c>
      <c r="R30" s="97">
        <v>2.0919625828568073E-2</v>
      </c>
      <c r="S30" s="97">
        <v>2.0688425928956145E-2</v>
      </c>
      <c r="T30" s="97">
        <v>2.0561988834456812E-2</v>
      </c>
      <c r="U30" s="97">
        <v>2.0351591893941617E-2</v>
      </c>
      <c r="V30" s="97">
        <v>2.0278634475103315E-2</v>
      </c>
      <c r="W30" s="97">
        <v>2.0786374119903174E-2</v>
      </c>
      <c r="X30" s="97">
        <v>2.0337887969644114E-2</v>
      </c>
      <c r="Y30" s="97">
        <v>2.0849625702516132E-2</v>
      </c>
      <c r="Z30" s="97">
        <v>2.0329283164012224E-2</v>
      </c>
      <c r="AA30" s="97">
        <v>2.0838874339877481E-2</v>
      </c>
      <c r="AB30" s="97">
        <v>2.0388348882459349E-2</v>
      </c>
      <c r="AC30" s="97">
        <v>2.086714300310312E-2</v>
      </c>
      <c r="AD30" s="97">
        <v>2.0441190108186708E-2</v>
      </c>
      <c r="AE30" s="97">
        <v>2.0273789896687166E-2</v>
      </c>
      <c r="AF30" s="97">
        <v>2.0374350110546537E-2</v>
      </c>
      <c r="AG30" s="97">
        <v>2.0735179287050973E-2</v>
      </c>
      <c r="AH30" s="97">
        <v>2.0354760616358943E-2</v>
      </c>
      <c r="AI30" s="97">
        <v>2.0048326694617077E-2</v>
      </c>
      <c r="AJ30" s="97">
        <v>2.0828774118964576E-2</v>
      </c>
      <c r="AK30" s="97">
        <v>2.0614212002991579E-2</v>
      </c>
      <c r="AL30" s="97">
        <v>2.0815237655860047E-2</v>
      </c>
      <c r="AM30" s="97">
        <v>2.0357745687439234E-2</v>
      </c>
      <c r="AN30" s="97">
        <v>2.0827341406801342E-2</v>
      </c>
      <c r="AO30" s="97">
        <v>2.0072281449832006E-2</v>
      </c>
      <c r="AP30" s="97">
        <v>2.0467213246121246E-2</v>
      </c>
      <c r="AQ30" s="97">
        <v>2.0598874423956706E-2</v>
      </c>
      <c r="AR30" s="97">
        <v>2.0566586667602065E-2</v>
      </c>
      <c r="AS30" s="97">
        <v>2.0852230375190337E-2</v>
      </c>
      <c r="AT30" s="97">
        <v>2.074075493840366E-2</v>
      </c>
      <c r="AU30" s="97">
        <v>2.0506036129184974E-2</v>
      </c>
      <c r="AV30" s="97">
        <v>2.0857622815541467E-2</v>
      </c>
      <c r="AW30" s="97">
        <v>2.095027322509542E-2</v>
      </c>
      <c r="AX30" s="97">
        <v>2.0567299294871291E-2</v>
      </c>
      <c r="AY30" s="97">
        <v>2.0883698517607682E-2</v>
      </c>
      <c r="AZ30" s="97">
        <v>2.0807311921513312E-2</v>
      </c>
      <c r="BA30" s="97">
        <v>2.0047485890437505E-2</v>
      </c>
      <c r="BB30" s="97">
        <v>2.106875454988532E-2</v>
      </c>
      <c r="BC30" s="97">
        <v>2.0431779042589575E-2</v>
      </c>
      <c r="BD30" s="97">
        <v>2.055233909113275E-2</v>
      </c>
      <c r="BE30" s="97">
        <v>2.0425708728767429E-2</v>
      </c>
      <c r="BF30" s="97">
        <v>2.0948644988161142E-2</v>
      </c>
      <c r="BG30" s="97">
        <v>1.99490596619878E-2</v>
      </c>
      <c r="BH30" s="97">
        <v>2.0058174455750075E-2</v>
      </c>
      <c r="BI30" s="97">
        <v>2.0778523596755444E-2</v>
      </c>
      <c r="BJ30" s="97">
        <v>2.0508804503130654E-2</v>
      </c>
      <c r="BK30" s="97">
        <v>2.0991195569398879E-2</v>
      </c>
      <c r="BL30" s="97">
        <v>1.9920181982800662E-2</v>
      </c>
      <c r="BM30" s="97">
        <v>2.0170557760330922E-2</v>
      </c>
      <c r="BN30" s="97">
        <v>2.0339749332337044E-2</v>
      </c>
      <c r="BO30" s="97">
        <v>2.063573366534922E-2</v>
      </c>
      <c r="BP30" s="97">
        <v>2.039692541466976E-2</v>
      </c>
      <c r="BQ30" s="97">
        <v>1.994628007261854E-2</v>
      </c>
      <c r="BR30" s="97">
        <v>1.9905286788391194E-2</v>
      </c>
      <c r="BS30" s="97">
        <v>2.0029712810892775E-2</v>
      </c>
      <c r="BT30" s="97">
        <v>2.0872933447840192E-2</v>
      </c>
      <c r="BU30" s="97">
        <v>2.0569357204702033E-2</v>
      </c>
      <c r="BV30" s="97">
        <v>2.0176467179511041E-2</v>
      </c>
      <c r="BW30" s="97">
        <v>2.0473046800656269E-2</v>
      </c>
      <c r="BX30" s="97">
        <v>2.092624659037811E-2</v>
      </c>
      <c r="BY30" s="97">
        <v>2.0549260918634675E-2</v>
      </c>
      <c r="BZ30" s="97">
        <v>2.088066094211611E-2</v>
      </c>
      <c r="CA30" s="97">
        <v>2.0536203703030245E-2</v>
      </c>
      <c r="CB30" s="97">
        <v>2.0533431601546359E-2</v>
      </c>
      <c r="CC30" s="97">
        <v>2.0729100976741965E-2</v>
      </c>
      <c r="CD30" s="97">
        <v>1.997680350652789E-2</v>
      </c>
      <c r="CE30" s="97">
        <v>2.0019507015092565E-2</v>
      </c>
      <c r="CF30" s="97">
        <v>2.0788718518214587E-2</v>
      </c>
      <c r="CG30" s="97">
        <v>2.1087765796384841E-2</v>
      </c>
      <c r="CH30" s="97">
        <v>1.9812076676060678E-2</v>
      </c>
      <c r="CI30" s="97">
        <v>2.0718002282023938E-2</v>
      </c>
      <c r="CJ30" s="97">
        <v>2.0787934740347798E-2</v>
      </c>
      <c r="CK30" s="97">
        <v>2.0719297731247543E-2</v>
      </c>
      <c r="CL30" s="97">
        <v>2.0759750462456747E-2</v>
      </c>
      <c r="CM30" s="97">
        <v>1.9790809760440245E-2</v>
      </c>
      <c r="CN30" s="97">
        <v>2.0397302970309644E-2</v>
      </c>
      <c r="CO30" s="97">
        <v>2.0392887805332747E-2</v>
      </c>
      <c r="CP30" s="97">
        <v>2.0114700068435614E-2</v>
      </c>
      <c r="CQ30" s="97">
        <v>2.1076936594167782E-2</v>
      </c>
      <c r="CR30" s="97">
        <v>1.9916069918341012E-2</v>
      </c>
      <c r="CS30" s="97">
        <v>2.0424803339853921E-2</v>
      </c>
      <c r="CT30" s="97">
        <v>2.0351977760228207E-2</v>
      </c>
      <c r="CU30" s="97">
        <v>2.0534116010403943E-2</v>
      </c>
      <c r="CV30" s="97">
        <v>2.0250520617590341E-2</v>
      </c>
      <c r="CW30" s="97">
        <v>1.9835350662035581E-2</v>
      </c>
      <c r="CX30" s="97">
        <v>1.9773340669477162E-2</v>
      </c>
    </row>
    <row r="31" spans="1:102" s="95" customFormat="1">
      <c r="A31" s="306" t="str">
        <f t="shared" si="0"/>
        <v>High Yield</v>
      </c>
      <c r="B31" s="307"/>
      <c r="C31" s="97">
        <v>3.1205268218165522E-2</v>
      </c>
      <c r="D31" s="97">
        <v>3.1141537364229754E-2</v>
      </c>
      <c r="E31" s="97">
        <v>3.1196786953463909E-2</v>
      </c>
      <c r="F31" s="97">
        <v>3.11695652668895E-2</v>
      </c>
      <c r="G31" s="97">
        <v>3.1085285662730305E-2</v>
      </c>
      <c r="H31" s="97">
        <v>3.1175696918420849E-2</v>
      </c>
      <c r="I31" s="97">
        <v>3.1128993630207914E-2</v>
      </c>
      <c r="J31" s="97">
        <v>3.1147544368104782E-2</v>
      </c>
      <c r="K31" s="97">
        <v>3.1165030822297109E-2</v>
      </c>
      <c r="L31" s="97">
        <v>3.1154201673280035E-2</v>
      </c>
      <c r="M31" s="97">
        <v>3.1177089320744346E-2</v>
      </c>
      <c r="N31" s="97">
        <v>3.1218024724772683E-2</v>
      </c>
      <c r="O31" s="97">
        <v>3.1141389475109686E-2</v>
      </c>
      <c r="P31" s="97">
        <v>3.1201635982716143E-2</v>
      </c>
      <c r="Q31" s="97">
        <v>3.1260347341509488E-2</v>
      </c>
      <c r="R31" s="97">
        <v>3.1221897088532603E-2</v>
      </c>
      <c r="S31" s="97">
        <v>3.1250169119900452E-2</v>
      </c>
      <c r="T31" s="97">
        <v>3.1255132354819727E-2</v>
      </c>
      <c r="U31" s="97">
        <v>3.1151502025061929E-2</v>
      </c>
      <c r="V31" s="97">
        <v>3.1179054038736331E-2</v>
      </c>
      <c r="W31" s="97">
        <v>3.1202441644438264E-2</v>
      </c>
      <c r="X31" s="97">
        <v>3.1196979003533243E-2</v>
      </c>
      <c r="Y31" s="97">
        <v>3.1234416910880115E-2</v>
      </c>
      <c r="Z31" s="97">
        <v>3.117385822995096E-2</v>
      </c>
      <c r="AA31" s="97">
        <v>3.1193383566219937E-2</v>
      </c>
      <c r="AB31" s="97">
        <v>3.1169818610115696E-2</v>
      </c>
      <c r="AC31" s="97">
        <v>3.1196933267096424E-2</v>
      </c>
      <c r="AD31" s="97">
        <v>3.1206338441835561E-2</v>
      </c>
      <c r="AE31" s="97">
        <v>3.1284283234510303E-2</v>
      </c>
      <c r="AF31" s="97">
        <v>3.1124940534654456E-2</v>
      </c>
      <c r="AG31" s="97">
        <v>3.1134046847073382E-2</v>
      </c>
      <c r="AH31" s="97">
        <v>3.1273905804564274E-2</v>
      </c>
      <c r="AI31" s="97">
        <v>3.1186623629253278E-2</v>
      </c>
      <c r="AJ31" s="97">
        <v>3.1220932381472569E-2</v>
      </c>
      <c r="AK31" s="97">
        <v>3.1225236229509082E-2</v>
      </c>
      <c r="AL31" s="97">
        <v>3.1165529383937664E-2</v>
      </c>
      <c r="AM31" s="97">
        <v>3.1302169586352659E-2</v>
      </c>
      <c r="AN31" s="97">
        <v>3.1301939958061006E-2</v>
      </c>
      <c r="AO31" s="97">
        <v>3.1181622606584004E-2</v>
      </c>
      <c r="AP31" s="97">
        <v>3.124742334818921E-2</v>
      </c>
      <c r="AQ31" s="97">
        <v>3.1274766435899042E-2</v>
      </c>
      <c r="AR31" s="97">
        <v>3.1249609425655273E-2</v>
      </c>
      <c r="AS31" s="97">
        <v>3.131615338227229E-2</v>
      </c>
      <c r="AT31" s="97">
        <v>3.1192126495512479E-2</v>
      </c>
      <c r="AU31" s="97">
        <v>3.1220349809625833E-2</v>
      </c>
      <c r="AV31" s="97">
        <v>3.1280573027167309E-2</v>
      </c>
      <c r="AW31" s="97">
        <v>3.1166805728768052E-2</v>
      </c>
      <c r="AX31" s="97">
        <v>3.1252466641063785E-2</v>
      </c>
      <c r="AY31" s="97">
        <v>3.1253049560154449E-2</v>
      </c>
      <c r="AZ31" s="97">
        <v>3.1254140841958766E-2</v>
      </c>
      <c r="BA31" s="97">
        <v>3.1216431773637844E-2</v>
      </c>
      <c r="BB31" s="97">
        <v>3.1258007947358196E-2</v>
      </c>
      <c r="BC31" s="97">
        <v>3.1201291462791936E-2</v>
      </c>
      <c r="BD31" s="97">
        <v>3.1241054537737747E-2</v>
      </c>
      <c r="BE31" s="97">
        <v>3.1309124503923445E-2</v>
      </c>
      <c r="BF31" s="97">
        <v>3.1173916766516145E-2</v>
      </c>
      <c r="BG31" s="97">
        <v>3.115375727543291E-2</v>
      </c>
      <c r="BH31" s="97">
        <v>3.1254405751810745E-2</v>
      </c>
      <c r="BI31" s="97">
        <v>3.1282723985251074E-2</v>
      </c>
      <c r="BJ31" s="97">
        <v>3.1284148123406158E-2</v>
      </c>
      <c r="BK31" s="97">
        <v>3.1363322465463472E-2</v>
      </c>
      <c r="BL31" s="97">
        <v>3.1149263904449477E-2</v>
      </c>
      <c r="BM31" s="97">
        <v>3.1220133846291881E-2</v>
      </c>
      <c r="BN31" s="97">
        <v>3.1219093944513381E-2</v>
      </c>
      <c r="BO31" s="97">
        <v>3.1235041502939841E-2</v>
      </c>
      <c r="BP31" s="97">
        <v>3.1266816693944668E-2</v>
      </c>
      <c r="BQ31" s="97">
        <v>3.1154954007652912E-2</v>
      </c>
      <c r="BR31" s="97">
        <v>3.1145050953160489E-2</v>
      </c>
      <c r="BS31" s="97">
        <v>3.1218951867219021E-2</v>
      </c>
      <c r="BT31" s="97">
        <v>3.1242831408269521E-2</v>
      </c>
      <c r="BU31" s="97">
        <v>3.127081234622571E-2</v>
      </c>
      <c r="BV31" s="97">
        <v>3.1202515453661241E-2</v>
      </c>
      <c r="BW31" s="97">
        <v>3.1317307393086365E-2</v>
      </c>
      <c r="BX31" s="97">
        <v>3.1353596770105525E-2</v>
      </c>
      <c r="BY31" s="97">
        <v>3.1370446809439852E-2</v>
      </c>
      <c r="BZ31" s="97">
        <v>3.1303450891433139E-2</v>
      </c>
      <c r="CA31" s="97">
        <v>3.1230865875696776E-2</v>
      </c>
      <c r="CB31" s="97">
        <v>3.1259422452452924E-2</v>
      </c>
      <c r="CC31" s="97">
        <v>3.1148535705876987E-2</v>
      </c>
      <c r="CD31" s="97">
        <v>3.1178688798575632E-2</v>
      </c>
      <c r="CE31" s="97">
        <v>3.1202289680458496E-2</v>
      </c>
      <c r="CF31" s="97">
        <v>3.128312383938716E-2</v>
      </c>
      <c r="CG31" s="97">
        <v>3.133791334245406E-2</v>
      </c>
      <c r="CH31" s="97">
        <v>3.1185036817834973E-2</v>
      </c>
      <c r="CI31" s="97">
        <v>3.1203053414949437E-2</v>
      </c>
      <c r="CJ31" s="97">
        <v>3.122710196822414E-2</v>
      </c>
      <c r="CK31" s="97">
        <v>3.1343854614160713E-2</v>
      </c>
      <c r="CL31" s="97">
        <v>3.1448014846318685E-2</v>
      </c>
      <c r="CM31" s="97">
        <v>3.1116292923275397E-2</v>
      </c>
      <c r="CN31" s="97">
        <v>3.130671421915087E-2</v>
      </c>
      <c r="CO31" s="97">
        <v>3.1181142332927146E-2</v>
      </c>
      <c r="CP31" s="97">
        <v>3.1309662100414269E-2</v>
      </c>
      <c r="CQ31" s="97">
        <v>3.1269801790713848E-2</v>
      </c>
      <c r="CR31" s="97">
        <v>3.121549326253005E-2</v>
      </c>
      <c r="CS31" s="97">
        <v>3.132835117246064E-2</v>
      </c>
      <c r="CT31" s="97">
        <v>3.1142996718614688E-2</v>
      </c>
      <c r="CU31" s="97">
        <v>3.1363202584628609E-2</v>
      </c>
      <c r="CV31" s="97">
        <v>3.1223593604394223E-2</v>
      </c>
      <c r="CW31" s="97">
        <v>3.1129106836639706E-2</v>
      </c>
      <c r="CX31" s="97">
        <v>3.1149997231548404E-2</v>
      </c>
    </row>
    <row r="32" spans="1:102" s="96" customFormat="1">
      <c r="A32" s="306" t="str">
        <f t="shared" si="0"/>
        <v>Emerging market debt</v>
      </c>
      <c r="B32" s="307"/>
      <c r="C32" s="97">
        <v>2.9406919829527874E-2</v>
      </c>
      <c r="D32" s="97">
        <v>2.9437564129900479E-2</v>
      </c>
      <c r="E32" s="97">
        <v>2.9145352719205875E-2</v>
      </c>
      <c r="F32" s="97">
        <v>2.9392203677821103E-2</v>
      </c>
      <c r="G32" s="97">
        <v>2.8869776201278681E-2</v>
      </c>
      <c r="H32" s="97">
        <v>2.9460346608941188E-2</v>
      </c>
      <c r="I32" s="97">
        <v>2.9528459999564313E-2</v>
      </c>
      <c r="J32" s="97">
        <v>2.9302601474165961E-2</v>
      </c>
      <c r="K32" s="97">
        <v>2.9262430281101905E-2</v>
      </c>
      <c r="L32" s="97">
        <v>2.9199851233109538E-2</v>
      </c>
      <c r="M32" s="97">
        <v>2.9386577275553771E-2</v>
      </c>
      <c r="N32" s="97">
        <v>2.9424288343148523E-2</v>
      </c>
      <c r="O32" s="97">
        <v>2.9583409502259225E-2</v>
      </c>
      <c r="P32" s="97">
        <v>2.8998182249534432E-2</v>
      </c>
      <c r="Q32" s="97">
        <v>2.9852910524692494E-2</v>
      </c>
      <c r="R32" s="97">
        <v>2.9076561245947388E-2</v>
      </c>
      <c r="S32" s="97">
        <v>2.9229112804173334E-2</v>
      </c>
      <c r="T32" s="97">
        <v>2.9630288141068779E-2</v>
      </c>
      <c r="U32" s="97">
        <v>2.9704080167878961E-2</v>
      </c>
      <c r="V32" s="97">
        <v>2.9813415684989991E-2</v>
      </c>
      <c r="W32" s="97">
        <v>2.8900886272432154E-2</v>
      </c>
      <c r="X32" s="97">
        <v>2.9535769761562698E-2</v>
      </c>
      <c r="Y32" s="97">
        <v>2.9040738021470031E-2</v>
      </c>
      <c r="Z32" s="97">
        <v>2.9381650475947256E-2</v>
      </c>
      <c r="AA32" s="97">
        <v>2.8733050599626442E-2</v>
      </c>
      <c r="AB32" s="97">
        <v>2.9503077566812197E-2</v>
      </c>
      <c r="AC32" s="97">
        <v>2.8702441676893585E-2</v>
      </c>
      <c r="AD32" s="97">
        <v>2.9267655524321826E-2</v>
      </c>
      <c r="AE32" s="97">
        <v>3.0007105851304915E-2</v>
      </c>
      <c r="AF32" s="97">
        <v>2.9398563301974587E-2</v>
      </c>
      <c r="AG32" s="97">
        <v>2.8702260775689679E-2</v>
      </c>
      <c r="AH32" s="97">
        <v>2.9871791755040338E-2</v>
      </c>
      <c r="AI32" s="97">
        <v>3.0158043994564669E-2</v>
      </c>
      <c r="AJ32" s="97">
        <v>2.900267153491206E-2</v>
      </c>
      <c r="AK32" s="97">
        <v>2.9071194370497606E-2</v>
      </c>
      <c r="AL32" s="97">
        <v>2.9013400398387117E-2</v>
      </c>
      <c r="AM32" s="97">
        <v>2.9559116825894884E-2</v>
      </c>
      <c r="AN32" s="97">
        <v>2.9490078074330663E-2</v>
      </c>
      <c r="AO32" s="97">
        <v>3.0098548315320793E-2</v>
      </c>
      <c r="AP32" s="97">
        <v>2.9147510580264886E-2</v>
      </c>
      <c r="AQ32" s="97">
        <v>2.9310802231857294E-2</v>
      </c>
      <c r="AR32" s="97">
        <v>2.909558462127395E-2</v>
      </c>
      <c r="AS32" s="97">
        <v>2.9408017167555985E-2</v>
      </c>
      <c r="AT32" s="97">
        <v>2.9139291577154836E-2</v>
      </c>
      <c r="AU32" s="97">
        <v>2.9078410479385405E-2</v>
      </c>
      <c r="AV32" s="97">
        <v>2.9302399334404781E-2</v>
      </c>
      <c r="AW32" s="97">
        <v>2.9051055989269998E-2</v>
      </c>
      <c r="AX32" s="97">
        <v>2.9230051419109247E-2</v>
      </c>
      <c r="AY32" s="97">
        <v>2.8878234233920309E-2</v>
      </c>
      <c r="AZ32" s="97">
        <v>2.8973924302002831E-2</v>
      </c>
      <c r="BA32" s="97">
        <v>2.9992505570667655E-2</v>
      </c>
      <c r="BB32" s="97">
        <v>2.8914290502296637E-2</v>
      </c>
      <c r="BC32" s="97">
        <v>2.9181702809726762E-2</v>
      </c>
      <c r="BD32" s="97">
        <v>2.8933471511589592E-2</v>
      </c>
      <c r="BE32" s="97">
        <v>2.93836250778284E-2</v>
      </c>
      <c r="BF32" s="97">
        <v>2.8775060117974663E-2</v>
      </c>
      <c r="BG32" s="97">
        <v>2.9718220881560987E-2</v>
      </c>
      <c r="BH32" s="97">
        <v>3.0241027475032337E-2</v>
      </c>
      <c r="BI32" s="97">
        <v>2.8892213221658997E-2</v>
      </c>
      <c r="BJ32" s="97">
        <v>2.9681233922126252E-2</v>
      </c>
      <c r="BK32" s="97">
        <v>2.9356647057465664E-2</v>
      </c>
      <c r="BL32" s="97">
        <v>2.968492594127714E-2</v>
      </c>
      <c r="BM32" s="97">
        <v>2.9671578902402226E-2</v>
      </c>
      <c r="BN32" s="97">
        <v>2.9462830163390775E-2</v>
      </c>
      <c r="BO32" s="97">
        <v>2.9009553977831941E-2</v>
      </c>
      <c r="BP32" s="97">
        <v>2.9929295331804481E-2</v>
      </c>
      <c r="BQ32" s="97">
        <v>2.9352749967606902E-2</v>
      </c>
      <c r="BR32" s="97">
        <v>2.9343375851975446E-2</v>
      </c>
      <c r="BS32" s="97">
        <v>2.9820203860443498E-2</v>
      </c>
      <c r="BT32" s="97">
        <v>2.8701369559532695E-2</v>
      </c>
      <c r="BU32" s="97">
        <v>2.8944052829727576E-2</v>
      </c>
      <c r="BV32" s="97">
        <v>2.9140487710315882E-2</v>
      </c>
      <c r="BW32" s="97">
        <v>2.9564377236672462E-2</v>
      </c>
      <c r="BX32" s="97">
        <v>2.9199584905031155E-2</v>
      </c>
      <c r="BY32" s="97">
        <v>2.987184913776892E-2</v>
      </c>
      <c r="BZ32" s="97">
        <v>2.9073846957337453E-2</v>
      </c>
      <c r="CA32" s="97">
        <v>2.900437968722936E-2</v>
      </c>
      <c r="CB32" s="97">
        <v>2.9465558275779957E-2</v>
      </c>
      <c r="CC32" s="97">
        <v>2.8418256935287635E-2</v>
      </c>
      <c r="CD32" s="97">
        <v>2.9326376269590199E-2</v>
      </c>
      <c r="CE32" s="97">
        <v>2.9551629875061353E-2</v>
      </c>
      <c r="CF32" s="97">
        <v>2.8941504660648674E-2</v>
      </c>
      <c r="CG32" s="97">
        <v>2.8980331506192607E-2</v>
      </c>
      <c r="CH32" s="97">
        <v>3.0077392897925083E-2</v>
      </c>
      <c r="CI32" s="97">
        <v>2.8786781311582826E-2</v>
      </c>
      <c r="CJ32" s="97">
        <v>2.9056868367731678E-2</v>
      </c>
      <c r="CK32" s="97">
        <v>2.9195757863023697E-2</v>
      </c>
      <c r="CL32" s="97">
        <v>2.9999488728299523E-2</v>
      </c>
      <c r="CM32" s="97">
        <v>2.9341877356176688E-2</v>
      </c>
      <c r="CN32" s="97">
        <v>2.9161986769289314E-2</v>
      </c>
      <c r="CO32" s="97">
        <v>2.9296370290455481E-2</v>
      </c>
      <c r="CP32" s="97">
        <v>2.9841231072002219E-2</v>
      </c>
      <c r="CQ32" s="97">
        <v>2.8922660285889773E-2</v>
      </c>
      <c r="CR32" s="97">
        <v>2.9987099557522622E-2</v>
      </c>
      <c r="CS32" s="97">
        <v>2.966728121592619E-2</v>
      </c>
      <c r="CT32" s="97">
        <v>2.9082322410741476E-2</v>
      </c>
      <c r="CU32" s="97">
        <v>2.9203564037997308E-2</v>
      </c>
      <c r="CV32" s="97">
        <v>2.9294612549689188E-2</v>
      </c>
      <c r="CW32" s="97">
        <v>2.9664414720954942E-2</v>
      </c>
      <c r="CX32" s="97">
        <v>2.9650768473681921E-2</v>
      </c>
    </row>
    <row r="33" spans="1:102" s="111" customFormat="1">
      <c r="A33" s="306" t="str">
        <f t="shared" si="0"/>
        <v>Aandelen ontwikkeld</v>
      </c>
      <c r="B33" s="307"/>
      <c r="C33" s="97">
        <v>3.8682656000033393E-2</v>
      </c>
      <c r="D33" s="97">
        <v>3.8582702788223386E-2</v>
      </c>
      <c r="E33" s="97">
        <v>3.8937399785695444E-2</v>
      </c>
      <c r="F33" s="97">
        <v>3.8737860686708578E-2</v>
      </c>
      <c r="G33" s="97">
        <v>3.8803945938812298E-2</v>
      </c>
      <c r="H33" s="97">
        <v>3.8578517475448257E-2</v>
      </c>
      <c r="I33" s="97">
        <v>3.8527146929269694E-2</v>
      </c>
      <c r="J33" s="97">
        <v>3.8590532194014648E-2</v>
      </c>
      <c r="K33" s="97">
        <v>3.8890356622992943E-2</v>
      </c>
      <c r="L33" s="97">
        <v>3.8715469345352145E-2</v>
      </c>
      <c r="M33" s="97">
        <v>3.8778129699140761E-2</v>
      </c>
      <c r="N33" s="97">
        <v>3.8878961690657868E-2</v>
      </c>
      <c r="O33" s="97">
        <v>3.8544963336212185E-2</v>
      </c>
      <c r="P33" s="97">
        <v>3.8986850150135179E-2</v>
      </c>
      <c r="Q33" s="97">
        <v>3.8548664305516858E-2</v>
      </c>
      <c r="R33" s="97">
        <v>3.8816881637809213E-2</v>
      </c>
      <c r="S33" s="97">
        <v>3.9186392218284752E-2</v>
      </c>
      <c r="T33" s="97">
        <v>3.8616082026446175E-2</v>
      </c>
      <c r="U33" s="97">
        <v>3.8419415015813502E-2</v>
      </c>
      <c r="V33" s="97">
        <v>3.8399954447739131E-2</v>
      </c>
      <c r="W33" s="97">
        <v>3.933649233323705E-2</v>
      </c>
      <c r="X33" s="97">
        <v>3.8769989192229092E-2</v>
      </c>
      <c r="Y33" s="97">
        <v>3.910076514625567E-2</v>
      </c>
      <c r="Z33" s="97">
        <v>3.8731373257200219E-2</v>
      </c>
      <c r="AA33" s="97">
        <v>3.9439758165641145E-2</v>
      </c>
      <c r="AB33" s="97">
        <v>3.8490908423555396E-2</v>
      </c>
      <c r="AC33" s="97">
        <v>3.942154527160744E-2</v>
      </c>
      <c r="AD33" s="97">
        <v>3.8938360171777105E-2</v>
      </c>
      <c r="AE33" s="97">
        <v>3.8555344129080252E-2</v>
      </c>
      <c r="AF33" s="97">
        <v>3.8575812251484001E-2</v>
      </c>
      <c r="AG33" s="97">
        <v>3.9341425716208134E-2</v>
      </c>
      <c r="AH33" s="97">
        <v>3.8697484848136059E-2</v>
      </c>
      <c r="AI33" s="97">
        <v>3.8147503243946633E-2</v>
      </c>
      <c r="AJ33" s="97">
        <v>3.8896118319396857E-2</v>
      </c>
      <c r="AK33" s="97">
        <v>3.9338522616370081E-2</v>
      </c>
      <c r="AL33" s="97">
        <v>3.8946297494219351E-2</v>
      </c>
      <c r="AM33" s="97">
        <v>3.916933665160361E-2</v>
      </c>
      <c r="AN33" s="97">
        <v>3.8977962904728339E-2</v>
      </c>
      <c r="AO33" s="97">
        <v>3.8181216541790873E-2</v>
      </c>
      <c r="AP33" s="97">
        <v>3.9428825488211736E-2</v>
      </c>
      <c r="AQ33" s="97">
        <v>3.8809434654645099E-2</v>
      </c>
      <c r="AR33" s="97">
        <v>3.9144800159537689E-2</v>
      </c>
      <c r="AS33" s="97">
        <v>3.9020115951735317E-2</v>
      </c>
      <c r="AT33" s="97">
        <v>3.8789949526567905E-2</v>
      </c>
      <c r="AU33" s="97">
        <v>3.9404945516320976E-2</v>
      </c>
      <c r="AV33" s="97">
        <v>3.9111120214737352E-2</v>
      </c>
      <c r="AW33" s="97">
        <v>3.8821351820835147E-2</v>
      </c>
      <c r="AX33" s="97">
        <v>3.8873489418616639E-2</v>
      </c>
      <c r="AY33" s="97">
        <v>3.9483907888765588E-2</v>
      </c>
      <c r="AZ33" s="97">
        <v>3.9398012194251347E-2</v>
      </c>
      <c r="BA33" s="97">
        <v>3.8312926518958103E-2</v>
      </c>
      <c r="BB33" s="97">
        <v>3.8861712207131388E-2</v>
      </c>
      <c r="BC33" s="97">
        <v>3.9190519401314641E-2</v>
      </c>
      <c r="BD33" s="97">
        <v>3.9516143380605454E-2</v>
      </c>
      <c r="BE33" s="97">
        <v>3.941691857072304E-2</v>
      </c>
      <c r="BF33" s="97">
        <v>3.9174363547074063E-2</v>
      </c>
      <c r="BG33" s="97">
        <v>3.8542597819699237E-2</v>
      </c>
      <c r="BH33" s="97">
        <v>3.8314549336180809E-2</v>
      </c>
      <c r="BI33" s="97">
        <v>3.9619482249734543E-2</v>
      </c>
      <c r="BJ33" s="97">
        <v>3.8674434148044098E-2</v>
      </c>
      <c r="BK33" s="97">
        <v>3.8887996715485276E-2</v>
      </c>
      <c r="BL33" s="97">
        <v>3.8645152540212592E-2</v>
      </c>
      <c r="BM33" s="97">
        <v>3.8699645802668166E-2</v>
      </c>
      <c r="BN33" s="97">
        <v>3.9061498371129127E-2</v>
      </c>
      <c r="BO33" s="97">
        <v>3.9449454300696102E-2</v>
      </c>
      <c r="BP33" s="97">
        <v>3.857204315262476E-2</v>
      </c>
      <c r="BQ33" s="97">
        <v>3.9195758271643517E-2</v>
      </c>
      <c r="BR33" s="97">
        <v>3.9196267977419021E-2</v>
      </c>
      <c r="BS33" s="97">
        <v>3.8424197129006972E-2</v>
      </c>
      <c r="BT33" s="97">
        <v>3.9176946715677563E-2</v>
      </c>
      <c r="BU33" s="97">
        <v>3.9524799077612124E-2</v>
      </c>
      <c r="BV33" s="97">
        <v>3.9257675397889463E-2</v>
      </c>
      <c r="BW33" s="97">
        <v>3.8684166176591317E-2</v>
      </c>
      <c r="BX33" s="97">
        <v>3.8798878764488738E-2</v>
      </c>
      <c r="BY33" s="97">
        <v>3.8874491028473228E-2</v>
      </c>
      <c r="BZ33" s="97">
        <v>3.9031766664395479E-2</v>
      </c>
      <c r="CA33" s="97">
        <v>3.954002245139699E-2</v>
      </c>
      <c r="CB33" s="97">
        <v>3.8614865879166571E-2</v>
      </c>
      <c r="CC33" s="97">
        <v>3.9862774561641723E-2</v>
      </c>
      <c r="CD33" s="97">
        <v>3.9182979388609124E-2</v>
      </c>
      <c r="CE33" s="97">
        <v>3.8900104755769417E-2</v>
      </c>
      <c r="CF33" s="97">
        <v>3.9694375097970087E-2</v>
      </c>
      <c r="CG33" s="97">
        <v>3.9460637289174788E-2</v>
      </c>
      <c r="CH33" s="97">
        <v>3.8226420280860811E-2</v>
      </c>
      <c r="CI33" s="97">
        <v>3.9615066146322771E-2</v>
      </c>
      <c r="CJ33" s="97">
        <v>3.9333581622028033E-2</v>
      </c>
      <c r="CK33" s="97">
        <v>3.9661737444085327E-2</v>
      </c>
      <c r="CL33" s="97">
        <v>3.8837853955176249E-2</v>
      </c>
      <c r="CM33" s="97">
        <v>3.9184927967375355E-2</v>
      </c>
      <c r="CN33" s="97">
        <v>3.9638497753540836E-2</v>
      </c>
      <c r="CO33" s="97">
        <v>3.8689380136134897E-2</v>
      </c>
      <c r="CP33" s="97">
        <v>3.8930987900031591E-2</v>
      </c>
      <c r="CQ33" s="97">
        <v>3.8948795997599928E-2</v>
      </c>
      <c r="CR33" s="97">
        <v>3.8359357814090451E-2</v>
      </c>
      <c r="CS33" s="97">
        <v>3.902118933244552E-2</v>
      </c>
      <c r="CT33" s="97">
        <v>3.9193622342516242E-2</v>
      </c>
      <c r="CU33" s="97">
        <v>3.979510342317067E-2</v>
      </c>
      <c r="CV33" s="97">
        <v>3.9269473469734473E-2</v>
      </c>
      <c r="CW33" s="97">
        <v>3.8733079110414986E-2</v>
      </c>
      <c r="CX33" s="97">
        <v>3.8737932304454388E-2</v>
      </c>
    </row>
    <row r="34" spans="1:102" s="95" customFormat="1">
      <c r="A34" s="306" t="str">
        <f t="shared" si="0"/>
        <v>Aandelen opkomend</v>
      </c>
      <c r="B34" s="307"/>
      <c r="C34" s="97">
        <v>6.0291493719952009E-2</v>
      </c>
      <c r="D34" s="97">
        <v>6.062188809768692E-2</v>
      </c>
      <c r="E34" s="97">
        <v>6.0405735812058034E-2</v>
      </c>
      <c r="F34" s="97">
        <v>6.0504194877049104E-2</v>
      </c>
      <c r="G34" s="97">
        <v>6.0606307655720927E-2</v>
      </c>
      <c r="H34" s="97">
        <v>6.0489135930093654E-2</v>
      </c>
      <c r="I34" s="97">
        <v>6.0745489773321747E-2</v>
      </c>
      <c r="J34" s="97">
        <v>6.0687667870673312E-2</v>
      </c>
      <c r="K34" s="97">
        <v>6.0693220994811975E-2</v>
      </c>
      <c r="L34" s="97">
        <v>6.074304840042101E-2</v>
      </c>
      <c r="M34" s="97">
        <v>6.0491716226635066E-2</v>
      </c>
      <c r="N34" s="97">
        <v>6.0418296869373396E-2</v>
      </c>
      <c r="O34" s="97">
        <v>6.0611925615152995E-2</v>
      </c>
      <c r="P34" s="97">
        <v>6.0545805059178698E-2</v>
      </c>
      <c r="Q34" s="97">
        <v>5.9948701477780066E-2</v>
      </c>
      <c r="R34" s="97">
        <v>6.0389494668659061E-2</v>
      </c>
      <c r="S34" s="97">
        <v>6.0293375154684296E-2</v>
      </c>
      <c r="T34" s="97">
        <v>6.0230093116747381E-2</v>
      </c>
      <c r="U34" s="97">
        <v>6.0370610643942377E-2</v>
      </c>
      <c r="V34" s="97">
        <v>6.0347209115657448E-2</v>
      </c>
      <c r="W34" s="97">
        <v>6.053492969922207E-2</v>
      </c>
      <c r="X34" s="97">
        <v>6.0485556384995053E-2</v>
      </c>
      <c r="Y34" s="97">
        <v>6.0641405668590463E-2</v>
      </c>
      <c r="Z34" s="97">
        <v>6.0720343214473789E-2</v>
      </c>
      <c r="AA34" s="97">
        <v>6.0537414227248815E-2</v>
      </c>
      <c r="AB34" s="97">
        <v>6.0707978586202575E-2</v>
      </c>
      <c r="AC34" s="97">
        <v>6.0565885913365085E-2</v>
      </c>
      <c r="AD34" s="97">
        <v>6.0987243366893561E-2</v>
      </c>
      <c r="AE34" s="97">
        <v>6.0158470482909412E-2</v>
      </c>
      <c r="AF34" s="97">
        <v>6.0718585189627548E-2</v>
      </c>
      <c r="AG34" s="97">
        <v>6.0763840688973496E-2</v>
      </c>
      <c r="AH34" s="97">
        <v>6.006944476788896E-2</v>
      </c>
      <c r="AI34" s="97">
        <v>6.0024769455644209E-2</v>
      </c>
      <c r="AJ34" s="97">
        <v>6.0603701549772265E-2</v>
      </c>
      <c r="AK34" s="97">
        <v>6.057271056561353E-2</v>
      </c>
      <c r="AL34" s="97">
        <v>6.075714404903753E-2</v>
      </c>
      <c r="AM34" s="97">
        <v>6.0349599984651177E-2</v>
      </c>
      <c r="AN34" s="97">
        <v>5.9913821059889426E-2</v>
      </c>
      <c r="AO34" s="97">
        <v>6.0112207920677362E-2</v>
      </c>
      <c r="AP34" s="97">
        <v>6.0497124613307494E-2</v>
      </c>
      <c r="AQ34" s="97">
        <v>6.0694183934216737E-2</v>
      </c>
      <c r="AR34" s="97">
        <v>6.0756160772802284E-2</v>
      </c>
      <c r="AS34" s="97">
        <v>5.9999631300259725E-2</v>
      </c>
      <c r="AT34" s="97">
        <v>6.0586575835845743E-2</v>
      </c>
      <c r="AU34" s="97">
        <v>6.0574820997894414E-2</v>
      </c>
      <c r="AV34" s="97">
        <v>6.0010185258154804E-2</v>
      </c>
      <c r="AW34" s="97">
        <v>6.0339232399079172E-2</v>
      </c>
      <c r="AX34" s="97">
        <v>6.0758202929632674E-2</v>
      </c>
      <c r="AY34" s="97">
        <v>6.0360040302793704E-2</v>
      </c>
      <c r="AZ34" s="97">
        <v>6.0340730184901992E-2</v>
      </c>
      <c r="BA34" s="97">
        <v>6.0422379120445735E-2</v>
      </c>
      <c r="BB34" s="97">
        <v>6.0360250690848744E-2</v>
      </c>
      <c r="BC34" s="97">
        <v>6.063657967330055E-2</v>
      </c>
      <c r="BD34" s="97">
        <v>6.0614647118846385E-2</v>
      </c>
      <c r="BE34" s="97">
        <v>6.0325806198644215E-2</v>
      </c>
      <c r="BF34" s="97">
        <v>6.0635933006706694E-2</v>
      </c>
      <c r="BG34" s="97">
        <v>6.061920238306466E-2</v>
      </c>
      <c r="BH34" s="97">
        <v>5.9899765434974918E-2</v>
      </c>
      <c r="BI34" s="97">
        <v>6.0531814253315268E-2</v>
      </c>
      <c r="BJ34" s="97">
        <v>6.0185103274081712E-2</v>
      </c>
      <c r="BK34" s="97">
        <v>6.0042985689332591E-2</v>
      </c>
      <c r="BL34" s="97">
        <v>6.085716404565561E-2</v>
      </c>
      <c r="BM34" s="97">
        <v>6.062370382641228E-2</v>
      </c>
      <c r="BN34" s="97">
        <v>6.0431504871708924E-2</v>
      </c>
      <c r="BO34" s="97">
        <v>6.0530748232053837E-2</v>
      </c>
      <c r="BP34" s="97">
        <v>6.0074010153080087E-2</v>
      </c>
      <c r="BQ34" s="97">
        <v>6.0762111491231445E-2</v>
      </c>
      <c r="BR34" s="97">
        <v>6.0786488518028488E-2</v>
      </c>
      <c r="BS34" s="97">
        <v>6.0629458230489278E-2</v>
      </c>
      <c r="BT34" s="97">
        <v>6.0822101266967382E-2</v>
      </c>
      <c r="BU34" s="97">
        <v>6.0882649294374619E-2</v>
      </c>
      <c r="BV34" s="97">
        <v>6.0852896019218339E-2</v>
      </c>
      <c r="BW34" s="97">
        <v>6.0636347485640528E-2</v>
      </c>
      <c r="BX34" s="97">
        <v>6.0330496923849168E-2</v>
      </c>
      <c r="BY34" s="97">
        <v>5.9678536291730873E-2</v>
      </c>
      <c r="BZ34" s="97">
        <v>6.0561464087947957E-2</v>
      </c>
      <c r="CA34" s="97">
        <v>6.0530869744369685E-2</v>
      </c>
      <c r="CB34" s="97">
        <v>6.0533163596773E-2</v>
      </c>
      <c r="CC34" s="97">
        <v>6.0644578938072555E-2</v>
      </c>
      <c r="CD34" s="97">
        <v>6.0859594822374859E-2</v>
      </c>
      <c r="CE34" s="97">
        <v>6.0735541725038401E-2</v>
      </c>
      <c r="CF34" s="97">
        <v>6.0168977264906713E-2</v>
      </c>
      <c r="CG34" s="97">
        <v>5.9960688156310595E-2</v>
      </c>
      <c r="CH34" s="97">
        <v>6.035459186425525E-2</v>
      </c>
      <c r="CI34" s="97">
        <v>6.0583268209597939E-2</v>
      </c>
      <c r="CJ34" s="97">
        <v>6.0282110380747198E-2</v>
      </c>
      <c r="CK34" s="97">
        <v>5.9991879505083036E-2</v>
      </c>
      <c r="CL34" s="97">
        <v>5.9534891612823722E-2</v>
      </c>
      <c r="CM34" s="97">
        <v>6.0852103402245047E-2</v>
      </c>
      <c r="CN34" s="97">
        <v>6.0651676109797256E-2</v>
      </c>
      <c r="CO34" s="97">
        <v>6.0789519358176475E-2</v>
      </c>
      <c r="CP34" s="97">
        <v>6.0401814305182169E-2</v>
      </c>
      <c r="CQ34" s="97">
        <v>6.0324596983610347E-2</v>
      </c>
      <c r="CR34" s="97">
        <v>6.0400162985924898E-2</v>
      </c>
      <c r="CS34" s="97">
        <v>6.0154060675373142E-2</v>
      </c>
      <c r="CT34" s="97">
        <v>6.0983198268503909E-2</v>
      </c>
      <c r="CU34" s="97">
        <v>6.0267315308543193E-2</v>
      </c>
      <c r="CV34" s="97">
        <v>6.0691428324683099E-2</v>
      </c>
      <c r="CW34" s="97">
        <v>6.0805193213884015E-2</v>
      </c>
      <c r="CX34" s="97">
        <v>6.0760570251856869E-2</v>
      </c>
    </row>
    <row r="35" spans="1:102" s="95" customFormat="1">
      <c r="A35" s="306" t="str">
        <f t="shared" si="0"/>
        <v>Hedge funds</v>
      </c>
      <c r="B35" s="307"/>
      <c r="C35" s="97">
        <v>2.8296860876981238E-2</v>
      </c>
      <c r="D35" s="97">
        <v>2.8035744948730391E-2</v>
      </c>
      <c r="E35" s="97">
        <v>2.8275947956565073E-2</v>
      </c>
      <c r="F35" s="97">
        <v>2.8108171687962216E-2</v>
      </c>
      <c r="G35" s="97">
        <v>2.8184463190512613E-2</v>
      </c>
      <c r="H35" s="97">
        <v>2.8111782319085326E-2</v>
      </c>
      <c r="I35" s="97">
        <v>2.7876438182039501E-2</v>
      </c>
      <c r="J35" s="97">
        <v>2.8003873338093531E-2</v>
      </c>
      <c r="K35" s="97">
        <v>2.7981895670869637E-2</v>
      </c>
      <c r="L35" s="97">
        <v>2.7959294320799452E-2</v>
      </c>
      <c r="M35" s="97">
        <v>2.8122074793924402E-2</v>
      </c>
      <c r="N35" s="97">
        <v>2.815405147566185E-2</v>
      </c>
      <c r="O35" s="97">
        <v>2.7915205631431531E-2</v>
      </c>
      <c r="P35" s="97">
        <v>2.819335462071107E-2</v>
      </c>
      <c r="Q35" s="97">
        <v>2.8410715043942353E-2</v>
      </c>
      <c r="R35" s="97">
        <v>2.8295440373353339E-2</v>
      </c>
      <c r="S35" s="97">
        <v>2.8308761702939299E-2</v>
      </c>
      <c r="T35" s="97">
        <v>2.8299334886496601E-2</v>
      </c>
      <c r="U35" s="97">
        <v>2.8117691450865644E-2</v>
      </c>
      <c r="V35" s="97">
        <v>2.8103174922469429E-2</v>
      </c>
      <c r="W35" s="97">
        <v>2.8201914791579824E-2</v>
      </c>
      <c r="X35" s="97">
        <v>2.8054300207082276E-2</v>
      </c>
      <c r="Y35" s="97">
        <v>2.8263248559020675E-2</v>
      </c>
      <c r="Z35" s="97">
        <v>2.7889769614368461E-2</v>
      </c>
      <c r="AA35" s="97">
        <v>2.8161864050029059E-2</v>
      </c>
      <c r="AB35" s="97">
        <v>2.7966226805502731E-2</v>
      </c>
      <c r="AC35" s="97">
        <v>2.8152757885027392E-2</v>
      </c>
      <c r="AD35" s="97">
        <v>2.7946437723413289E-2</v>
      </c>
      <c r="AE35" s="97">
        <v>2.8277266849075756E-2</v>
      </c>
      <c r="AF35" s="97">
        <v>2.7923924119114957E-2</v>
      </c>
      <c r="AG35" s="97">
        <v>2.79941638801776E-2</v>
      </c>
      <c r="AH35" s="97">
        <v>2.8310437158102629E-2</v>
      </c>
      <c r="AI35" s="97">
        <v>2.8085080681630615E-2</v>
      </c>
      <c r="AJ35" s="97">
        <v>2.8148135948206907E-2</v>
      </c>
      <c r="AK35" s="97">
        <v>2.8143271924173638E-2</v>
      </c>
      <c r="AL35" s="97">
        <v>2.8168166783081275E-2</v>
      </c>
      <c r="AM35" s="97">
        <v>2.8193157582170766E-2</v>
      </c>
      <c r="AN35" s="97">
        <v>2.8598724839628373E-2</v>
      </c>
      <c r="AO35" s="97">
        <v>2.8070814065214174E-2</v>
      </c>
      <c r="AP35" s="97">
        <v>2.8082714150980743E-2</v>
      </c>
      <c r="AQ35" s="97">
        <v>2.8086287848959321E-2</v>
      </c>
      <c r="AR35" s="97">
        <v>2.8008448143267823E-2</v>
      </c>
      <c r="AS35" s="97">
        <v>2.8545647514116618E-2</v>
      </c>
      <c r="AT35" s="97">
        <v>2.8140762638897629E-2</v>
      </c>
      <c r="AU35" s="97">
        <v>2.8067381468012721E-2</v>
      </c>
      <c r="AV35" s="97">
        <v>2.8515296802693664E-2</v>
      </c>
      <c r="AW35" s="97">
        <v>2.8337263390643637E-2</v>
      </c>
      <c r="AX35" s="97">
        <v>2.8015702841127643E-2</v>
      </c>
      <c r="AY35" s="97">
        <v>2.8318801464941819E-2</v>
      </c>
      <c r="AZ35" s="97">
        <v>2.8293770441237695E-2</v>
      </c>
      <c r="BA35" s="97">
        <v>2.795214104137602E-2</v>
      </c>
      <c r="BB35" s="97">
        <v>2.8313259262896809E-2</v>
      </c>
      <c r="BC35" s="97">
        <v>2.8001769351658639E-2</v>
      </c>
      <c r="BD35" s="97">
        <v>2.8019392661056755E-2</v>
      </c>
      <c r="BE35" s="97">
        <v>2.8207700224258996E-2</v>
      </c>
      <c r="BF35" s="97">
        <v>2.8193270286089214E-2</v>
      </c>
      <c r="BG35" s="97">
        <v>2.7723050166185786E-2</v>
      </c>
      <c r="BH35" s="97">
        <v>2.8200096817757238E-2</v>
      </c>
      <c r="BI35" s="97">
        <v>2.8241617660258733E-2</v>
      </c>
      <c r="BJ35" s="97">
        <v>2.8293856792233542E-2</v>
      </c>
      <c r="BK35" s="97">
        <v>2.857658933298389E-2</v>
      </c>
      <c r="BL35" s="97">
        <v>2.768051403144383E-2</v>
      </c>
      <c r="BM35" s="97">
        <v>2.7929922831149478E-2</v>
      </c>
      <c r="BN35" s="97">
        <v>2.8100155932890079E-2</v>
      </c>
      <c r="BO35" s="97">
        <v>2.8153876383636936E-2</v>
      </c>
      <c r="BP35" s="97">
        <v>2.8368206209081245E-2</v>
      </c>
      <c r="BQ35" s="97">
        <v>2.7643586209489937E-2</v>
      </c>
      <c r="BR35" s="97">
        <v>2.7603666017438432E-2</v>
      </c>
      <c r="BS35" s="97">
        <v>2.7806240426191051E-2</v>
      </c>
      <c r="BT35" s="97">
        <v>2.8011321210310382E-2</v>
      </c>
      <c r="BU35" s="97">
        <v>2.7999645636831612E-2</v>
      </c>
      <c r="BV35" s="97">
        <v>2.7699434898200578E-2</v>
      </c>
      <c r="BW35" s="97">
        <v>2.8096507474748237E-2</v>
      </c>
      <c r="BX35" s="97">
        <v>2.83186925618353E-2</v>
      </c>
      <c r="BY35" s="97">
        <v>2.856803811336573E-2</v>
      </c>
      <c r="BZ35" s="97">
        <v>2.8265313189248097E-2</v>
      </c>
      <c r="CA35" s="97">
        <v>2.8086582503865302E-2</v>
      </c>
      <c r="CB35" s="97">
        <v>2.8101556928401987E-2</v>
      </c>
      <c r="CC35" s="97">
        <v>2.7959508134474689E-2</v>
      </c>
      <c r="CD35" s="97">
        <v>2.7625921947679662E-2</v>
      </c>
      <c r="CE35" s="97">
        <v>2.7752126551678587E-2</v>
      </c>
      <c r="CF35" s="97">
        <v>2.8360703401039432E-2</v>
      </c>
      <c r="CG35" s="97">
        <v>2.8606315622993345E-2</v>
      </c>
      <c r="CH35" s="97">
        <v>2.7769588730585069E-2</v>
      </c>
      <c r="CI35" s="97">
        <v>2.8117404967801914E-2</v>
      </c>
      <c r="CJ35" s="97">
        <v>2.8336361369514479E-2</v>
      </c>
      <c r="CK35" s="97">
        <v>2.8459496813423635E-2</v>
      </c>
      <c r="CL35" s="97">
        <v>2.884673813581224E-2</v>
      </c>
      <c r="CM35" s="97">
        <v>2.7484703066500922E-2</v>
      </c>
      <c r="CN35" s="97">
        <v>2.8046982345737805E-2</v>
      </c>
      <c r="CO35" s="97">
        <v>2.7865452975582079E-2</v>
      </c>
      <c r="CP35" s="97">
        <v>2.806741308964511E-2</v>
      </c>
      <c r="CQ35" s="97">
        <v>2.8356534095359986E-2</v>
      </c>
      <c r="CR35" s="97">
        <v>2.7829824095176967E-2</v>
      </c>
      <c r="CS35" s="97">
        <v>2.8303306046285587E-2</v>
      </c>
      <c r="CT35" s="97">
        <v>2.7839608745881587E-2</v>
      </c>
      <c r="CU35" s="97">
        <v>2.8287483546814984E-2</v>
      </c>
      <c r="CV35" s="97">
        <v>2.791130009765723E-2</v>
      </c>
      <c r="CW35" s="97">
        <v>2.7633204721617861E-2</v>
      </c>
      <c r="CX35" s="97">
        <v>2.7546914055695086E-2</v>
      </c>
    </row>
    <row r="36" spans="1:102" s="95" customFormat="1">
      <c r="A36" s="306" t="str">
        <f t="shared" si="0"/>
        <v>Onroerend goed</v>
      </c>
      <c r="B36" s="307"/>
      <c r="C36" s="97">
        <v>2.391014349503276E-2</v>
      </c>
      <c r="D36" s="97">
        <v>2.3579494751396382E-2</v>
      </c>
      <c r="E36" s="97">
        <v>2.3906182073263654E-2</v>
      </c>
      <c r="F36" s="97">
        <v>2.3673775121729766E-2</v>
      </c>
      <c r="G36" s="97">
        <v>2.3853288180586046E-2</v>
      </c>
      <c r="H36" s="97">
        <v>2.3669046871739246E-2</v>
      </c>
      <c r="I36" s="97">
        <v>2.3364284997638922E-2</v>
      </c>
      <c r="J36" s="97">
        <v>2.3542379182009333E-2</v>
      </c>
      <c r="K36" s="97">
        <v>2.3518475811655885E-2</v>
      </c>
      <c r="L36" s="97">
        <v>2.3488371921412239E-2</v>
      </c>
      <c r="M36" s="97">
        <v>2.3699011053078617E-2</v>
      </c>
      <c r="N36" s="97">
        <v>2.372161780709426E-2</v>
      </c>
      <c r="O36" s="97">
        <v>2.3414049629063571E-2</v>
      </c>
      <c r="P36" s="97">
        <v>2.3802265736243368E-2</v>
      </c>
      <c r="Q36" s="97">
        <v>2.4015507697975523E-2</v>
      </c>
      <c r="R36" s="97">
        <v>2.3922435669082632E-2</v>
      </c>
      <c r="S36" s="97">
        <v>2.3933528909196936E-2</v>
      </c>
      <c r="T36" s="97">
        <v>2.3879916410200042E-2</v>
      </c>
      <c r="U36" s="97">
        <v>2.3688091549938499E-2</v>
      </c>
      <c r="V36" s="97">
        <v>2.3639231694914883E-2</v>
      </c>
      <c r="W36" s="97">
        <v>2.3830605987962966E-2</v>
      </c>
      <c r="X36" s="97">
        <v>2.3590330390744242E-2</v>
      </c>
      <c r="Y36" s="97">
        <v>2.3881388584119652E-2</v>
      </c>
      <c r="Z36" s="97">
        <v>2.3384281714547789E-2</v>
      </c>
      <c r="AA36" s="97">
        <v>2.3795382364952891E-2</v>
      </c>
      <c r="AB36" s="97">
        <v>2.3469074826044684E-2</v>
      </c>
      <c r="AC36" s="97">
        <v>2.3781569651325756E-2</v>
      </c>
      <c r="AD36" s="97">
        <v>2.3445859471629638E-2</v>
      </c>
      <c r="AE36" s="97">
        <v>2.3815042242772227E-2</v>
      </c>
      <c r="AF36" s="97">
        <v>2.3450186593652698E-2</v>
      </c>
      <c r="AG36" s="97">
        <v>2.3597754354120072E-2</v>
      </c>
      <c r="AH36" s="97">
        <v>2.3881780177533139E-2</v>
      </c>
      <c r="AI36" s="97">
        <v>2.3586442510148402E-2</v>
      </c>
      <c r="AJ36" s="97">
        <v>2.3737699408640723E-2</v>
      </c>
      <c r="AK36" s="97">
        <v>2.3739499822370835E-2</v>
      </c>
      <c r="AL36" s="97">
        <v>2.3783026681522473E-2</v>
      </c>
      <c r="AM36" s="97">
        <v>2.3737105007177232E-2</v>
      </c>
      <c r="AN36" s="97">
        <v>2.4292093285340561E-2</v>
      </c>
      <c r="AO36" s="97">
        <v>2.3578790298741104E-2</v>
      </c>
      <c r="AP36" s="97">
        <v>2.3643946312351158E-2</v>
      </c>
      <c r="AQ36" s="97">
        <v>2.3602189688692172E-2</v>
      </c>
      <c r="AR36" s="97">
        <v>2.3532054835028446E-2</v>
      </c>
      <c r="AS36" s="97">
        <v>2.4213374524363097E-2</v>
      </c>
      <c r="AT36" s="97">
        <v>2.373200044909831E-2</v>
      </c>
      <c r="AU36" s="97">
        <v>2.3646474870072348E-2</v>
      </c>
      <c r="AV36" s="97">
        <v>2.4202450264655576E-2</v>
      </c>
      <c r="AW36" s="97">
        <v>2.403157687440655E-2</v>
      </c>
      <c r="AX36" s="97">
        <v>2.3527491463287833E-2</v>
      </c>
      <c r="AY36" s="97">
        <v>2.3976265358828939E-2</v>
      </c>
      <c r="AZ36" s="97">
        <v>2.3942914280329679E-2</v>
      </c>
      <c r="BA36" s="97">
        <v>2.3401932772756619E-2</v>
      </c>
      <c r="BB36" s="97">
        <v>2.3944258434642401E-2</v>
      </c>
      <c r="BC36" s="97">
        <v>2.3564818390683938E-2</v>
      </c>
      <c r="BD36" s="97">
        <v>2.3577734124887964E-2</v>
      </c>
      <c r="BE36" s="97">
        <v>2.3775581081845756E-2</v>
      </c>
      <c r="BF36" s="97">
        <v>2.3839716584566399E-2</v>
      </c>
      <c r="BG36" s="97">
        <v>2.3147365236505034E-2</v>
      </c>
      <c r="BH36" s="97">
        <v>2.3712383366203005E-2</v>
      </c>
      <c r="BI36" s="97">
        <v>2.3858279651479686E-2</v>
      </c>
      <c r="BJ36" s="97">
        <v>2.3878724425226063E-2</v>
      </c>
      <c r="BK36" s="97">
        <v>2.4228129295194033E-2</v>
      </c>
      <c r="BL36" s="97">
        <v>2.3092629776815733E-2</v>
      </c>
      <c r="BM36" s="97">
        <v>2.3406145808600919E-2</v>
      </c>
      <c r="BN36" s="97">
        <v>2.3682901698653773E-2</v>
      </c>
      <c r="BO36" s="97">
        <v>2.3769495555964443E-2</v>
      </c>
      <c r="BP36" s="97">
        <v>2.3974753090003714E-2</v>
      </c>
      <c r="BQ36" s="97">
        <v>2.3080641659488043E-2</v>
      </c>
      <c r="BR36" s="97">
        <v>2.3034168017461842E-2</v>
      </c>
      <c r="BS36" s="97">
        <v>2.321801789344323E-2</v>
      </c>
      <c r="BT36" s="97">
        <v>2.3564353799707064E-2</v>
      </c>
      <c r="BU36" s="97">
        <v>2.3529680575434028E-2</v>
      </c>
      <c r="BV36" s="97">
        <v>2.3146741336590365E-2</v>
      </c>
      <c r="BW36" s="97">
        <v>2.3585798157973105E-2</v>
      </c>
      <c r="BX36" s="97">
        <v>2.3893868064205914E-2</v>
      </c>
      <c r="BY36" s="97">
        <v>2.4207271193890267E-2</v>
      </c>
      <c r="BZ36" s="97">
        <v>2.3863889297518977E-2</v>
      </c>
      <c r="CA36" s="97">
        <v>2.3683485884722532E-2</v>
      </c>
      <c r="CB36" s="97">
        <v>2.3639969266019974E-2</v>
      </c>
      <c r="CC36" s="97">
        <v>2.3582126278664701E-2</v>
      </c>
      <c r="CD36" s="97">
        <v>2.3044756613759224E-2</v>
      </c>
      <c r="CE36" s="97">
        <v>2.3182295004725084E-2</v>
      </c>
      <c r="CF36" s="97">
        <v>2.4033017014390284E-2</v>
      </c>
      <c r="CG36" s="97">
        <v>2.432994282108436E-2</v>
      </c>
      <c r="CH36" s="97">
        <v>2.3171167053275453E-2</v>
      </c>
      <c r="CI36" s="97">
        <v>2.3740262941341121E-2</v>
      </c>
      <c r="CJ36" s="97">
        <v>2.4026028162264543E-2</v>
      </c>
      <c r="CK36" s="97">
        <v>2.4123189606752023E-2</v>
      </c>
      <c r="CL36" s="97">
        <v>2.4524075079045294E-2</v>
      </c>
      <c r="CM36" s="97">
        <v>2.2886849076681419E-2</v>
      </c>
      <c r="CN36" s="97">
        <v>2.3574095597983909E-2</v>
      </c>
      <c r="CO36" s="97">
        <v>2.3377588090689169E-2</v>
      </c>
      <c r="CP36" s="97">
        <v>2.3549200991590431E-2</v>
      </c>
      <c r="CQ36" s="97">
        <v>2.4017353268872037E-2</v>
      </c>
      <c r="CR36" s="97">
        <v>2.32480548010493E-2</v>
      </c>
      <c r="CS36" s="97">
        <v>2.3887789612993114E-2</v>
      </c>
      <c r="CT36" s="97">
        <v>2.3389834023751138E-2</v>
      </c>
      <c r="CU36" s="97">
        <v>2.3879739659293246E-2</v>
      </c>
      <c r="CV36" s="97">
        <v>2.3425568887484975E-2</v>
      </c>
      <c r="CW36" s="97">
        <v>2.306388687290311E-2</v>
      </c>
      <c r="CX36" s="97">
        <v>2.2923802294543646E-2</v>
      </c>
    </row>
    <row r="37" spans="1:102" s="111" customFormat="1">
      <c r="A37" s="310" t="str">
        <f t="shared" si="0"/>
        <v>Commodities</v>
      </c>
      <c r="B37" s="311"/>
      <c r="C37" s="98">
        <v>3.6780495850830972E-2</v>
      </c>
      <c r="D37" s="98">
        <v>3.6499688618584013E-2</v>
      </c>
      <c r="E37" s="98">
        <v>3.6612946793861199E-2</v>
      </c>
      <c r="F37" s="98">
        <v>3.6567532744034223E-2</v>
      </c>
      <c r="G37" s="98">
        <v>3.636425768595726E-2</v>
      </c>
      <c r="H37" s="98">
        <v>3.6615837168613198E-2</v>
      </c>
      <c r="I37" s="98">
        <v>3.6355425197087211E-2</v>
      </c>
      <c r="J37" s="98">
        <v>3.6357260805916211E-2</v>
      </c>
      <c r="K37" s="98">
        <v>3.6340508836016902E-2</v>
      </c>
      <c r="L37" s="98">
        <v>3.6236127765922117E-2</v>
      </c>
      <c r="M37" s="98">
        <v>3.6590494424903128E-2</v>
      </c>
      <c r="N37" s="98">
        <v>3.6638009809654599E-2</v>
      </c>
      <c r="O37" s="98">
        <v>3.645291001674883E-2</v>
      </c>
      <c r="P37" s="98">
        <v>3.640360047730426E-2</v>
      </c>
      <c r="Q37" s="98">
        <v>3.7193286349486196E-2</v>
      </c>
      <c r="R37" s="98">
        <v>3.6548498770141304E-2</v>
      </c>
      <c r="S37" s="98">
        <v>3.6736053039283477E-2</v>
      </c>
      <c r="T37" s="98">
        <v>3.6909995135627087E-2</v>
      </c>
      <c r="U37" s="98">
        <v>3.6785554637528937E-2</v>
      </c>
      <c r="V37" s="98">
        <v>3.6843507318627407E-2</v>
      </c>
      <c r="W37" s="98">
        <v>3.6415320826655995E-2</v>
      </c>
      <c r="X37" s="98">
        <v>3.6600844362954368E-2</v>
      </c>
      <c r="Y37" s="98">
        <v>3.6540521880436008E-2</v>
      </c>
      <c r="Z37" s="98">
        <v>3.6295734324038403E-2</v>
      </c>
      <c r="AA37" s="98">
        <v>3.6262206882025305E-2</v>
      </c>
      <c r="AB37" s="98">
        <v>3.6447596252596248E-2</v>
      </c>
      <c r="AC37" s="98">
        <v>3.6225246514435733E-2</v>
      </c>
      <c r="AD37" s="98">
        <v>3.6277005069703286E-2</v>
      </c>
      <c r="AE37" s="98">
        <v>3.71184702840111E-2</v>
      </c>
      <c r="AF37" s="98">
        <v>3.6377749242337637E-2</v>
      </c>
      <c r="AG37" s="98">
        <v>3.6108010905001646E-2</v>
      </c>
      <c r="AH37" s="98">
        <v>3.7144603515329749E-2</v>
      </c>
      <c r="AI37" s="98">
        <v>3.6993601239428527E-2</v>
      </c>
      <c r="AJ37" s="98">
        <v>3.6322318508338079E-2</v>
      </c>
      <c r="AK37" s="98">
        <v>3.6464145344607686E-2</v>
      </c>
      <c r="AL37" s="98">
        <v>3.6483274069099784E-2</v>
      </c>
      <c r="AM37" s="98">
        <v>3.6776118862578464E-2</v>
      </c>
      <c r="AN37" s="98">
        <v>3.7245065101171808E-2</v>
      </c>
      <c r="AO37" s="98">
        <v>3.6933262688550766E-2</v>
      </c>
      <c r="AP37" s="98">
        <v>3.6422072082127957E-2</v>
      </c>
      <c r="AQ37" s="98">
        <v>3.6409637264293013E-2</v>
      </c>
      <c r="AR37" s="98">
        <v>3.6233426916145485E-2</v>
      </c>
      <c r="AS37" s="98">
        <v>3.7150086951874009E-2</v>
      </c>
      <c r="AT37" s="98">
        <v>3.6471947169653685E-2</v>
      </c>
      <c r="AU37" s="98">
        <v>3.6370244865770576E-2</v>
      </c>
      <c r="AV37" s="98">
        <v>3.7101908872289008E-2</v>
      </c>
      <c r="AW37" s="98">
        <v>3.6715780927777296E-2</v>
      </c>
      <c r="AX37" s="98">
        <v>3.6301820055846645E-2</v>
      </c>
      <c r="AY37" s="98">
        <v>3.6579774720536862E-2</v>
      </c>
      <c r="AZ37" s="98">
        <v>3.6575762479044038E-2</v>
      </c>
      <c r="BA37" s="98">
        <v>3.6691800158709105E-2</v>
      </c>
      <c r="BB37" s="98">
        <v>3.6443141610383901E-2</v>
      </c>
      <c r="BC37" s="98">
        <v>3.6341416473732673E-2</v>
      </c>
      <c r="BD37" s="98">
        <v>3.6198592852474343E-2</v>
      </c>
      <c r="BE37" s="98">
        <v>3.6720440746368765E-2</v>
      </c>
      <c r="BF37" s="98">
        <v>3.6420203894683284E-2</v>
      </c>
      <c r="BG37" s="98">
        <v>3.6304645932873629E-2</v>
      </c>
      <c r="BH37" s="98">
        <v>3.7173087075281296E-2</v>
      </c>
      <c r="BI37" s="98">
        <v>3.6453872568624361E-2</v>
      </c>
      <c r="BJ37" s="98">
        <v>3.6950254123978371E-2</v>
      </c>
      <c r="BK37" s="98">
        <v>3.7030925237782793E-2</v>
      </c>
      <c r="BL37" s="98">
        <v>3.6254581775810125E-2</v>
      </c>
      <c r="BM37" s="98">
        <v>3.6543669118973263E-2</v>
      </c>
      <c r="BN37" s="98">
        <v>3.6653546143701358E-2</v>
      </c>
      <c r="BO37" s="98">
        <v>3.6461360845947414E-2</v>
      </c>
      <c r="BP37" s="98">
        <v>3.7226077218727206E-2</v>
      </c>
      <c r="BQ37" s="98">
        <v>3.606344494638173E-2</v>
      </c>
      <c r="BR37" s="98">
        <v>3.5978749982751808E-2</v>
      </c>
      <c r="BS37" s="98">
        <v>3.6410928285229252E-2</v>
      </c>
      <c r="BT37" s="98">
        <v>3.5962353269912817E-2</v>
      </c>
      <c r="BU37" s="98">
        <v>3.6177711106603831E-2</v>
      </c>
      <c r="BV37" s="98">
        <v>3.592028746728726E-2</v>
      </c>
      <c r="BW37" s="98">
        <v>3.6566183548269043E-2</v>
      </c>
      <c r="BX37" s="98">
        <v>3.6581628206800117E-2</v>
      </c>
      <c r="BY37" s="98">
        <v>3.7410041797837683E-2</v>
      </c>
      <c r="BZ37" s="98">
        <v>3.6497359515057677E-2</v>
      </c>
      <c r="CA37" s="98">
        <v>3.636813654441199E-2</v>
      </c>
      <c r="CB37" s="98">
        <v>3.653630597770155E-2</v>
      </c>
      <c r="CC37" s="98">
        <v>3.5890563517758038E-2</v>
      </c>
      <c r="CD37" s="98">
        <v>3.5989676411704717E-2</v>
      </c>
      <c r="CE37" s="98">
        <v>3.6247355637656464E-2</v>
      </c>
      <c r="CF37" s="98">
        <v>3.6662967509142767E-2</v>
      </c>
      <c r="CG37" s="98">
        <v>3.6915560603908618E-2</v>
      </c>
      <c r="CH37" s="98">
        <v>3.6527879574830856E-2</v>
      </c>
      <c r="CI37" s="98">
        <v>3.6375045677174582E-2</v>
      </c>
      <c r="CJ37" s="98">
        <v>3.6755981755333796E-2</v>
      </c>
      <c r="CK37" s="98">
        <v>3.6957334813403013E-2</v>
      </c>
      <c r="CL37" s="98">
        <v>3.7788159190113968E-2</v>
      </c>
      <c r="CM37" s="98">
        <v>3.5865259492396655E-2</v>
      </c>
      <c r="CN37" s="98">
        <v>3.6382762334267293E-2</v>
      </c>
      <c r="CO37" s="98">
        <v>3.6183543876190313E-2</v>
      </c>
      <c r="CP37" s="98">
        <v>3.6810943946522706E-2</v>
      </c>
      <c r="CQ37" s="98">
        <v>3.6538465425408111E-2</v>
      </c>
      <c r="CR37" s="98">
        <v>3.6547611764752137E-2</v>
      </c>
      <c r="CS37" s="98">
        <v>3.6972301228118697E-2</v>
      </c>
      <c r="CT37" s="98">
        <v>3.6115885713861998E-2</v>
      </c>
      <c r="CU37" s="98">
        <v>3.6708810031939501E-2</v>
      </c>
      <c r="CV37" s="98">
        <v>3.6329166393705759E-2</v>
      </c>
      <c r="CW37" s="98">
        <v>3.619206086048754E-2</v>
      </c>
      <c r="CX37" s="98">
        <v>3.6050185328202894E-2</v>
      </c>
    </row>
    <row r="38" spans="1:102" s="95" customFormat="1">
      <c r="A38" s="58" t="s">
        <v>132</v>
      </c>
      <c r="B38" s="99"/>
      <c r="C38" s="100">
        <v>1.6683209500205261</v>
      </c>
      <c r="D38" s="100">
        <v>1.6750107083963859</v>
      </c>
      <c r="E38" s="100">
        <v>1.6707021358487903</v>
      </c>
      <c r="F38" s="100">
        <v>1.671139848626358</v>
      </c>
      <c r="G38" s="100">
        <v>1.6748899847664658</v>
      </c>
      <c r="H38" s="100">
        <v>1.6713881999225249</v>
      </c>
      <c r="I38" s="100">
        <v>1.678460109026479</v>
      </c>
      <c r="J38" s="100">
        <v>1.6749723531024534</v>
      </c>
      <c r="K38" s="100">
        <v>1.6749314520786629</v>
      </c>
      <c r="L38" s="100">
        <v>1.6749723287753699</v>
      </c>
      <c r="M38" s="100">
        <v>1.6710727295467338</v>
      </c>
      <c r="N38" s="100">
        <v>1.6697664489642556</v>
      </c>
      <c r="O38" s="100">
        <v>1.6740573175574296</v>
      </c>
      <c r="P38" s="100">
        <v>1.6731013494342781</v>
      </c>
      <c r="Q38" s="100">
        <v>1.6649771700894516</v>
      </c>
      <c r="R38" s="100">
        <v>1.6701654599103941</v>
      </c>
      <c r="S38" s="100">
        <v>1.6690892162030226</v>
      </c>
      <c r="T38" s="100">
        <v>1.6691021360562626</v>
      </c>
      <c r="U38" s="100">
        <v>1.6707494142881221</v>
      </c>
      <c r="V38" s="100">
        <v>1.6719357777139718</v>
      </c>
      <c r="W38" s="100">
        <v>1.6748732780722395</v>
      </c>
      <c r="X38" s="100">
        <v>1.6714759354843112</v>
      </c>
      <c r="Y38" s="100">
        <v>1.6818440949005193</v>
      </c>
      <c r="Z38" s="100">
        <v>1.6750248109967827</v>
      </c>
      <c r="AA38" s="100">
        <v>1.67382848898739</v>
      </c>
      <c r="AB38" s="100">
        <v>1.6784467801541352</v>
      </c>
      <c r="AC38" s="100">
        <v>1.6745773141249345</v>
      </c>
      <c r="AD38" s="100">
        <v>1.689203658678236</v>
      </c>
      <c r="AE38" s="100">
        <v>1.6741260919537644</v>
      </c>
      <c r="AF38" s="100">
        <v>1.6756359845002804</v>
      </c>
      <c r="AG38" s="100">
        <v>1.677087853214017</v>
      </c>
      <c r="AH38" s="100">
        <v>1.6677285565667983</v>
      </c>
      <c r="AI38" s="100">
        <v>1.6667735696354051</v>
      </c>
      <c r="AJ38" s="100">
        <v>1.6737862554796135</v>
      </c>
      <c r="AK38" s="100">
        <v>1.675782316532024</v>
      </c>
      <c r="AL38" s="100">
        <v>1.6826927362909458</v>
      </c>
      <c r="AM38" s="100">
        <v>1.6730892788467415</v>
      </c>
      <c r="AN38" s="100">
        <v>1.6667387071623716</v>
      </c>
      <c r="AO38" s="100">
        <v>1.6684564080584916</v>
      </c>
      <c r="AP38" s="100">
        <v>1.6724518195499927</v>
      </c>
      <c r="AQ38" s="100">
        <v>1.6789686064004616</v>
      </c>
      <c r="AR38" s="100">
        <v>1.6784950925716293</v>
      </c>
      <c r="AS38" s="100">
        <v>1.6672227274125995</v>
      </c>
      <c r="AT38" s="100">
        <v>1.6733642823154018</v>
      </c>
      <c r="AU38" s="100">
        <v>1.6743178431073176</v>
      </c>
      <c r="AV38" s="100">
        <v>1.6655983452836178</v>
      </c>
      <c r="AW38" s="100">
        <v>1.6696488725176288</v>
      </c>
      <c r="AX38" s="100">
        <v>1.6788101153783901</v>
      </c>
      <c r="AY38" s="100">
        <v>1.6731782218645295</v>
      </c>
      <c r="AZ38" s="100">
        <v>1.6705944367528855</v>
      </c>
      <c r="BA38" s="100">
        <v>1.6772467765663512</v>
      </c>
      <c r="BB38" s="100">
        <v>1.6693223255644796</v>
      </c>
      <c r="BC38" s="100">
        <v>1.6740930717124003</v>
      </c>
      <c r="BD38" s="100">
        <v>1.6747035018540128</v>
      </c>
      <c r="BE38" s="100">
        <v>1.6721196848616249</v>
      </c>
      <c r="BF38" s="100">
        <v>1.6778947334234211</v>
      </c>
      <c r="BG38" s="100">
        <v>1.6746993113701436</v>
      </c>
      <c r="BH38" s="100">
        <v>1.6671856721592626</v>
      </c>
      <c r="BI38" s="100">
        <v>1.6797857644387968</v>
      </c>
      <c r="BJ38" s="100">
        <v>1.6678962817872527</v>
      </c>
      <c r="BK38" s="100">
        <v>1.6701441205649366</v>
      </c>
      <c r="BL38" s="100">
        <v>1.6857181830669627</v>
      </c>
      <c r="BM38" s="100">
        <v>1.678130137761674</v>
      </c>
      <c r="BN38" s="100">
        <v>1.6709671460538817</v>
      </c>
      <c r="BO38" s="100">
        <v>1.6749353198748915</v>
      </c>
      <c r="BP38" s="100">
        <v>1.6711581837418785</v>
      </c>
      <c r="BQ38" s="100">
        <v>1.6775185642398085</v>
      </c>
      <c r="BR38" s="100">
        <v>1.6781479669745154</v>
      </c>
      <c r="BS38" s="100">
        <v>1.6792734113457595</v>
      </c>
      <c r="BT38" s="100">
        <v>1.6794506592068075</v>
      </c>
      <c r="BU38" s="100">
        <v>1.6872140376638847</v>
      </c>
      <c r="BV38" s="100">
        <v>1.678266359017665</v>
      </c>
      <c r="BW38" s="100">
        <v>1.6806777764776322</v>
      </c>
      <c r="BX38" s="100">
        <v>1.6695434326375846</v>
      </c>
      <c r="BY38" s="100">
        <v>1.6609780098520088</v>
      </c>
      <c r="BZ38" s="100">
        <v>1.6779572830332634</v>
      </c>
      <c r="CA38" s="100">
        <v>1.6739881071325815</v>
      </c>
      <c r="CB38" s="100">
        <v>1.6735079983533847</v>
      </c>
      <c r="CC38" s="100">
        <v>1.6776776523131194</v>
      </c>
      <c r="CD38" s="100">
        <v>1.6810929689189349</v>
      </c>
      <c r="CE38" s="100">
        <v>1.6788574692467459</v>
      </c>
      <c r="CF38" s="100">
        <v>1.6695254613565367</v>
      </c>
      <c r="CG38" s="100">
        <v>1.6694067488117075</v>
      </c>
      <c r="CH38" s="100">
        <v>1.6739709403912701</v>
      </c>
      <c r="CI38" s="100">
        <v>1.6768801028024851</v>
      </c>
      <c r="CJ38" s="100">
        <v>1.6695934621607684</v>
      </c>
      <c r="CK38" s="100">
        <v>1.6674643747648414</v>
      </c>
      <c r="CL38" s="100">
        <v>1.6707845252874363</v>
      </c>
      <c r="CM38" s="100">
        <v>1.6806466539963409</v>
      </c>
      <c r="CN38" s="100">
        <v>1.6824179790695633</v>
      </c>
      <c r="CO38" s="100">
        <v>1.6760626845180373</v>
      </c>
      <c r="CP38" s="100">
        <v>1.6774342261353739</v>
      </c>
      <c r="CQ38" s="100">
        <v>1.6699781908677824</v>
      </c>
      <c r="CR38" s="100">
        <v>1.673986773380425</v>
      </c>
      <c r="CS38" s="100">
        <v>1.6685115042525109</v>
      </c>
      <c r="CT38" s="100">
        <v>1.6854265172267144</v>
      </c>
      <c r="CU38" s="100">
        <v>1.675655149972467</v>
      </c>
      <c r="CV38" s="100">
        <v>1.6776415301502738</v>
      </c>
      <c r="CW38" s="100">
        <v>1.6828402421935043</v>
      </c>
      <c r="CX38" s="100">
        <v>1.6797707321866331</v>
      </c>
    </row>
    <row r="39" spans="1:102" s="9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95" customFormat="1">
      <c r="A40" s="124" t="s">
        <v>133</v>
      </c>
      <c r="B40" s="12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11" customFormat="1">
      <c r="A41" s="108" t="str">
        <f>Parameters!A40</f>
        <v>Basis</v>
      </c>
      <c r="B41" s="102" t="s">
        <v>29</v>
      </c>
      <c r="C41" s="103">
        <v>1.3187929019577558E-2</v>
      </c>
      <c r="D41" s="103">
        <v>1.3197729679101402E-2</v>
      </c>
      <c r="E41" s="103">
        <v>1.3101991288463628E-2</v>
      </c>
      <c r="F41" s="103">
        <v>1.3201541105192742E-2</v>
      </c>
      <c r="G41" s="103">
        <v>1.2991163770972928E-2</v>
      </c>
      <c r="H41" s="103">
        <v>1.3223656690256476E-2</v>
      </c>
      <c r="I41" s="103">
        <v>1.3231668681127571E-2</v>
      </c>
      <c r="J41" s="103">
        <v>1.3160692835360678E-2</v>
      </c>
      <c r="K41" s="103">
        <v>1.3170895065179353E-2</v>
      </c>
      <c r="L41" s="103">
        <v>1.3142489260741613E-2</v>
      </c>
      <c r="M41" s="103">
        <v>1.3206061096068984E-2</v>
      </c>
      <c r="N41" s="103">
        <v>1.322538666784007E-2</v>
      </c>
      <c r="O41" s="103">
        <v>1.3272986158889709E-2</v>
      </c>
      <c r="P41" s="103">
        <v>1.3056994197287744E-2</v>
      </c>
      <c r="Q41" s="103">
        <v>1.3323479877753624E-2</v>
      </c>
      <c r="R41" s="103">
        <v>1.307263289934418E-2</v>
      </c>
      <c r="S41" s="103">
        <v>1.3150162181065444E-2</v>
      </c>
      <c r="T41" s="103">
        <v>1.325695890807552E-2</v>
      </c>
      <c r="U41" s="103">
        <v>1.329636299243228E-2</v>
      </c>
      <c r="V41" s="103">
        <v>1.3327890921708805E-2</v>
      </c>
      <c r="W41" s="103">
        <v>1.3022958927106049E-2</v>
      </c>
      <c r="X41" s="103">
        <v>1.3261843073487132E-2</v>
      </c>
      <c r="Y41" s="103">
        <v>1.3020244578956872E-2</v>
      </c>
      <c r="Z41" s="103">
        <v>1.3223286988690157E-2</v>
      </c>
      <c r="AA41" s="103">
        <v>1.2980764701054821E-2</v>
      </c>
      <c r="AB41" s="103">
        <v>1.3210238990720368E-2</v>
      </c>
      <c r="AC41" s="103">
        <v>1.2970009409647949E-2</v>
      </c>
      <c r="AD41" s="103">
        <v>1.3100777956981741E-2</v>
      </c>
      <c r="AE41" s="103">
        <v>1.3347758182682766E-2</v>
      </c>
      <c r="AF41" s="103">
        <v>1.3203630368153432E-2</v>
      </c>
      <c r="AG41" s="103">
        <v>1.2993284089834944E-2</v>
      </c>
      <c r="AH41" s="103">
        <v>1.3353597464389211E-2</v>
      </c>
      <c r="AI41" s="103">
        <v>1.3438715993162169E-2</v>
      </c>
      <c r="AJ41" s="103">
        <v>1.3063788011674777E-2</v>
      </c>
      <c r="AK41" s="103">
        <v>1.3098721356717861E-2</v>
      </c>
      <c r="AL41" s="103">
        <v>1.3020413697728262E-2</v>
      </c>
      <c r="AM41" s="103">
        <v>1.3258241207658315E-2</v>
      </c>
      <c r="AN41" s="103">
        <v>1.3189431693909804E-2</v>
      </c>
      <c r="AO41" s="103">
        <v>1.3416246764793166E-2</v>
      </c>
      <c r="AP41" s="103">
        <v>1.3148304427886073E-2</v>
      </c>
      <c r="AQ41" s="103">
        <v>1.3148619916848325E-2</v>
      </c>
      <c r="AR41" s="103">
        <v>1.3106413304704551E-2</v>
      </c>
      <c r="AS41" s="103">
        <v>1.3182088907173126E-2</v>
      </c>
      <c r="AT41" s="103">
        <v>1.3113358556700696E-2</v>
      </c>
      <c r="AU41" s="103">
        <v>1.3121400026163891E-2</v>
      </c>
      <c r="AV41" s="103">
        <v>1.3169818830001376E-2</v>
      </c>
      <c r="AW41" s="103">
        <v>1.308045117718052E-2</v>
      </c>
      <c r="AX41" s="103">
        <v>1.3140219059270888E-2</v>
      </c>
      <c r="AY41" s="103">
        <v>1.3020820495423914E-2</v>
      </c>
      <c r="AZ41" s="103">
        <v>1.3068549740576686E-2</v>
      </c>
      <c r="BA41" s="103">
        <v>1.3360955216899499E-2</v>
      </c>
      <c r="BB41" s="103">
        <v>1.3018077059852508E-2</v>
      </c>
      <c r="BC41" s="103">
        <v>1.3166101006948641E-2</v>
      </c>
      <c r="BD41" s="103">
        <v>1.3079906028338677E-2</v>
      </c>
      <c r="BE41" s="103">
        <v>1.3215826890411744E-2</v>
      </c>
      <c r="BF41" s="103">
        <v>1.2985239676133672E-2</v>
      </c>
      <c r="BG41" s="103">
        <v>1.333716322527221E-2</v>
      </c>
      <c r="BH41" s="103">
        <v>1.3448166788212104E-2</v>
      </c>
      <c r="BI41" s="103">
        <v>1.3003091354613125E-2</v>
      </c>
      <c r="BJ41" s="103">
        <v>1.3297750973854935E-2</v>
      </c>
      <c r="BK41" s="103">
        <v>1.3119674149140247E-2</v>
      </c>
      <c r="BL41" s="103">
        <v>1.3279375843007301E-2</v>
      </c>
      <c r="BM41" s="103">
        <v>1.3296667433227074E-2</v>
      </c>
      <c r="BN41" s="103">
        <v>1.3260392623810995E-2</v>
      </c>
      <c r="BO41" s="103">
        <v>1.309151962950379E-2</v>
      </c>
      <c r="BP41" s="103">
        <v>1.3334393966375886E-2</v>
      </c>
      <c r="BQ41" s="103">
        <v>1.3248122277919869E-2</v>
      </c>
      <c r="BR41" s="103">
        <v>1.3238436827688067E-2</v>
      </c>
      <c r="BS41" s="103">
        <v>1.3330342263223967E-2</v>
      </c>
      <c r="BT41" s="103">
        <v>1.2965394033721449E-2</v>
      </c>
      <c r="BU41" s="103">
        <v>1.302512132660349E-2</v>
      </c>
      <c r="BV41" s="103">
        <v>1.3169340692822922E-2</v>
      </c>
      <c r="BW41" s="103">
        <v>1.3218751495891917E-2</v>
      </c>
      <c r="BX41" s="103">
        <v>1.3126000543800555E-2</v>
      </c>
      <c r="BY41" s="103">
        <v>1.3351858336493504E-2</v>
      </c>
      <c r="BZ41" s="103">
        <v>1.3056696202880641E-2</v>
      </c>
      <c r="CA41" s="103">
        <v>1.309705158034472E-2</v>
      </c>
      <c r="CB41" s="103">
        <v>1.3222725196472187E-2</v>
      </c>
      <c r="CC41" s="103">
        <v>1.2895186744387499E-2</v>
      </c>
      <c r="CD41" s="103">
        <v>1.3221303623599084E-2</v>
      </c>
      <c r="CE41" s="103">
        <v>1.3269644192693192E-2</v>
      </c>
      <c r="CF41" s="103">
        <v>1.304789117275219E-2</v>
      </c>
      <c r="CG41" s="103">
        <v>1.301141201375831E-2</v>
      </c>
      <c r="CH41" s="103">
        <v>1.3422025438096546E-2</v>
      </c>
      <c r="CI41" s="103">
        <v>1.3015336566172264E-2</v>
      </c>
      <c r="CJ41" s="103">
        <v>1.3103686587849732E-2</v>
      </c>
      <c r="CK41" s="103">
        <v>1.3140357671229015E-2</v>
      </c>
      <c r="CL41" s="103">
        <v>1.3274749289732577E-2</v>
      </c>
      <c r="CM41" s="103">
        <v>1.3240079175150594E-2</v>
      </c>
      <c r="CN41" s="103">
        <v>1.311346693009151E-2</v>
      </c>
      <c r="CO41" s="103">
        <v>1.3196546187372668E-2</v>
      </c>
      <c r="CP41" s="103">
        <v>1.3340097454256763E-2</v>
      </c>
      <c r="CQ41" s="103">
        <v>1.3026208688191942E-2</v>
      </c>
      <c r="CR41" s="103">
        <v>1.3396369611876797E-2</v>
      </c>
      <c r="CS41" s="103">
        <v>1.3300579301118482E-2</v>
      </c>
      <c r="CT41" s="103">
        <v>1.3099060452971779E-2</v>
      </c>
      <c r="CU41" s="103">
        <v>1.3130010477370745E-2</v>
      </c>
      <c r="CV41" s="103">
        <v>1.3196685645412974E-2</v>
      </c>
      <c r="CW41" s="103">
        <v>1.3298450844782022E-2</v>
      </c>
      <c r="CX41" s="103">
        <v>1.3312757039629043E-2</v>
      </c>
    </row>
    <row r="42" spans="1:102" s="95" customFormat="1">
      <c r="A42" s="23"/>
      <c r="B42" s="14" t="s">
        <v>30</v>
      </c>
      <c r="C42" s="105">
        <v>7.3900738020014081E-2</v>
      </c>
      <c r="D42" s="105">
        <v>7.4498129617724312E-2</v>
      </c>
      <c r="E42" s="105">
        <v>7.37267688292471E-2</v>
      </c>
      <c r="F42" s="105">
        <v>7.4306597120878518E-2</v>
      </c>
      <c r="G42" s="105">
        <v>7.3772568639471528E-2</v>
      </c>
      <c r="H42" s="105">
        <v>7.4369733572757973E-2</v>
      </c>
      <c r="I42" s="105">
        <v>7.4886336473041271E-2</v>
      </c>
      <c r="J42" s="105">
        <v>7.4500653147295093E-2</v>
      </c>
      <c r="K42" s="105">
        <v>7.4470971498916017E-2</v>
      </c>
      <c r="L42" s="105">
        <v>7.4528943731616129E-2</v>
      </c>
      <c r="M42" s="105">
        <v>7.4246838328504011E-2</v>
      </c>
      <c r="N42" s="105">
        <v>7.4180971269682885E-2</v>
      </c>
      <c r="O42" s="105">
        <v>7.4859193420067832E-2</v>
      </c>
      <c r="P42" s="105">
        <v>7.3808459375861529E-2</v>
      </c>
      <c r="Q42" s="105">
        <v>7.3924133563598352E-2</v>
      </c>
      <c r="R42" s="105">
        <v>7.3664357447695505E-2</v>
      </c>
      <c r="S42" s="105">
        <v>7.3641996947362884E-2</v>
      </c>
      <c r="T42" s="105">
        <v>7.401429267682727E-2</v>
      </c>
      <c r="U42" s="105">
        <v>7.4478708798301319E-2</v>
      </c>
      <c r="V42" s="105">
        <v>7.458539875380249E-2</v>
      </c>
      <c r="W42" s="105">
        <v>7.364144003150784E-2</v>
      </c>
      <c r="X42" s="105">
        <v>7.4481337151186378E-2</v>
      </c>
      <c r="Y42" s="105">
        <v>7.3562182779069188E-2</v>
      </c>
      <c r="Z42" s="105">
        <v>7.4777719898518349E-2</v>
      </c>
      <c r="AA42" s="105">
        <v>7.3624862169728189E-2</v>
      </c>
      <c r="AB42" s="105">
        <v>7.4678475958938284E-2</v>
      </c>
      <c r="AC42" s="105">
        <v>7.3629490640956308E-2</v>
      </c>
      <c r="AD42" s="105">
        <v>7.4417351147969366E-2</v>
      </c>
      <c r="AE42" s="105">
        <v>7.4210452866197027E-2</v>
      </c>
      <c r="AF42" s="105">
        <v>7.4727992222640302E-2</v>
      </c>
      <c r="AG42" s="105">
        <v>7.4042769177787321E-2</v>
      </c>
      <c r="AH42" s="105">
        <v>7.4107684778455085E-2</v>
      </c>
      <c r="AI42" s="105">
        <v>7.4877014584939672E-2</v>
      </c>
      <c r="AJ42" s="105">
        <v>7.391664282583528E-2</v>
      </c>
      <c r="AK42" s="105">
        <v>7.3863233820255711E-2</v>
      </c>
      <c r="AL42" s="105">
        <v>7.3828740798168244E-2</v>
      </c>
      <c r="AM42" s="105">
        <v>7.4051417975678699E-2</v>
      </c>
      <c r="AN42" s="105">
        <v>7.3140912109904935E-2</v>
      </c>
      <c r="AO42" s="105">
        <v>7.4842447592146061E-2</v>
      </c>
      <c r="AP42" s="105">
        <v>7.4063419969301575E-2</v>
      </c>
      <c r="AQ42" s="105">
        <v>7.4214624971935775E-2</v>
      </c>
      <c r="AR42" s="105">
        <v>7.4231370586172588E-2</v>
      </c>
      <c r="AS42" s="105">
        <v>7.3229426191097929E-2</v>
      </c>
      <c r="AT42" s="105">
        <v>7.405881838372512E-2</v>
      </c>
      <c r="AU42" s="105">
        <v>7.4038869323842946E-2</v>
      </c>
      <c r="AV42" s="105">
        <v>7.3234371079577087E-2</v>
      </c>
      <c r="AW42" s="105">
        <v>7.3536945737435105E-2</v>
      </c>
      <c r="AX42" s="105">
        <v>7.4331423991930184E-2</v>
      </c>
      <c r="AY42" s="105">
        <v>7.3311404267704161E-2</v>
      </c>
      <c r="AZ42" s="105">
        <v>7.3446372506120891E-2</v>
      </c>
      <c r="BA42" s="105">
        <v>7.4956892309456014E-2</v>
      </c>
      <c r="BB42" s="105">
        <v>7.3510610325926012E-2</v>
      </c>
      <c r="BC42" s="105">
        <v>7.4283892866450582E-2</v>
      </c>
      <c r="BD42" s="105">
        <v>7.4063542381987202E-2</v>
      </c>
      <c r="BE42" s="105">
        <v>7.3871025936543724E-2</v>
      </c>
      <c r="BF42" s="105">
        <v>7.362659867298639E-2</v>
      </c>
      <c r="BG42" s="105">
        <v>7.5354102217255428E-2</v>
      </c>
      <c r="BH42" s="105">
        <v>7.4602913576209684E-2</v>
      </c>
      <c r="BI42" s="105">
        <v>7.3417561081903865E-2</v>
      </c>
      <c r="BJ42" s="105">
        <v>7.4010124338093702E-2</v>
      </c>
      <c r="BK42" s="105">
        <v>7.3108133361398236E-2</v>
      </c>
      <c r="BL42" s="105">
        <v>7.5311411767686937E-2</v>
      </c>
      <c r="BM42" s="105">
        <v>7.4787622081307237E-2</v>
      </c>
      <c r="BN42" s="105">
        <v>7.4219484964804169E-2</v>
      </c>
      <c r="BO42" s="105">
        <v>7.3761691945246857E-2</v>
      </c>
      <c r="BP42" s="105">
        <v>7.3951876065285929E-2</v>
      </c>
      <c r="BQ42" s="105">
        <v>7.5247785784716664E-2</v>
      </c>
      <c r="BR42" s="105">
        <v>7.5318316552851414E-2</v>
      </c>
      <c r="BS42" s="105">
        <v>7.5177354969107199E-2</v>
      </c>
      <c r="BT42" s="105">
        <v>7.3986025158901528E-2</v>
      </c>
      <c r="BU42" s="105">
        <v>7.4020733810112552E-2</v>
      </c>
      <c r="BV42" s="105">
        <v>7.4988397330166975E-2</v>
      </c>
      <c r="BW42" s="105">
        <v>7.4314416229035729E-2</v>
      </c>
      <c r="BX42" s="105">
        <v>7.366152020612414E-2</v>
      </c>
      <c r="BY42" s="105">
        <v>7.3460427392338379E-2</v>
      </c>
      <c r="BZ42" s="105">
        <v>7.3584587655228267E-2</v>
      </c>
      <c r="CA42" s="105">
        <v>7.3910930396386423E-2</v>
      </c>
      <c r="CB42" s="105">
        <v>7.4307664675022117E-2</v>
      </c>
      <c r="CC42" s="105">
        <v>7.3828760829831863E-2</v>
      </c>
      <c r="CD42" s="105">
        <v>7.5246210071967801E-2</v>
      </c>
      <c r="CE42" s="105">
        <v>7.5110974370995856E-2</v>
      </c>
      <c r="CF42" s="105">
        <v>7.3181170714555183E-2</v>
      </c>
      <c r="CG42" s="105">
        <v>7.263037728263412E-2</v>
      </c>
      <c r="CH42" s="105">
        <v>7.543876324155252E-2</v>
      </c>
      <c r="CI42" s="105">
        <v>7.3726466813787014E-2</v>
      </c>
      <c r="CJ42" s="105">
        <v>7.3392966270581173E-2</v>
      </c>
      <c r="CK42" s="105">
        <v>7.3108503222354237E-2</v>
      </c>
      <c r="CL42" s="105">
        <v>7.2833814300594282E-2</v>
      </c>
      <c r="CM42" s="105">
        <v>7.5590475163439225E-2</v>
      </c>
      <c r="CN42" s="105">
        <v>7.4019845685743282E-2</v>
      </c>
      <c r="CO42" s="105">
        <v>7.4735566134513182E-2</v>
      </c>
      <c r="CP42" s="105">
        <v>7.4491028839777693E-2</v>
      </c>
      <c r="CQ42" s="105">
        <v>7.3352460365996561E-2</v>
      </c>
      <c r="CR42" s="105">
        <v>7.5242681139933723E-2</v>
      </c>
      <c r="CS42" s="105">
        <v>7.3869875675973196E-2</v>
      </c>
      <c r="CT42" s="105">
        <v>7.450307261277983E-2</v>
      </c>
      <c r="CU42" s="105">
        <v>7.3440617318197107E-2</v>
      </c>
      <c r="CV42" s="105">
        <v>7.4527991778610414E-2</v>
      </c>
      <c r="CW42" s="105">
        <v>7.5379130307742931E-2</v>
      </c>
      <c r="CX42" s="105">
        <v>7.5641463908908663E-2</v>
      </c>
    </row>
    <row r="43" spans="1:102" s="95" customFormat="1">
      <c r="A43" s="23"/>
      <c r="B43" s="56" t="s">
        <v>56</v>
      </c>
      <c r="C43" s="105">
        <v>0.10935909671364581</v>
      </c>
      <c r="D43" s="105">
        <v>0.11020303824264775</v>
      </c>
      <c r="E43" s="105">
        <v>0.1091130332529771</v>
      </c>
      <c r="F43" s="105">
        <v>0.11001425461774593</v>
      </c>
      <c r="G43" s="105">
        <v>0.10871407715793469</v>
      </c>
      <c r="H43" s="105">
        <v>0.10998315465872553</v>
      </c>
      <c r="I43" s="105">
        <v>0.11093342953761871</v>
      </c>
      <c r="J43" s="105">
        <v>0.1100053139203369</v>
      </c>
      <c r="K43" s="105">
        <v>0.11034573809653676</v>
      </c>
      <c r="L43" s="105">
        <v>0.11009043272218337</v>
      </c>
      <c r="M43" s="105">
        <v>0.10999366813480407</v>
      </c>
      <c r="N43" s="105">
        <v>0.110082834738612</v>
      </c>
      <c r="O43" s="105">
        <v>0.11094890671449766</v>
      </c>
      <c r="P43" s="105">
        <v>0.10910484459127764</v>
      </c>
      <c r="Q43" s="105">
        <v>0.10984218170360162</v>
      </c>
      <c r="R43" s="105">
        <v>0.10873457843340559</v>
      </c>
      <c r="S43" s="105">
        <v>0.10942622576006431</v>
      </c>
      <c r="T43" s="105">
        <v>0.10971921706608904</v>
      </c>
      <c r="U43" s="105">
        <v>0.11036526111859135</v>
      </c>
      <c r="V43" s="105">
        <v>0.1106263591125326</v>
      </c>
      <c r="W43" s="105">
        <v>0.1092166466257263</v>
      </c>
      <c r="X43" s="105">
        <v>0.1105225393201465</v>
      </c>
      <c r="Y43" s="105">
        <v>0.10898170973687014</v>
      </c>
      <c r="Z43" s="105">
        <v>0.11073517727740868</v>
      </c>
      <c r="AA43" s="105">
        <v>0.10914936259963805</v>
      </c>
      <c r="AB43" s="105">
        <v>0.1103907244255467</v>
      </c>
      <c r="AC43" s="105">
        <v>0.10910398608548978</v>
      </c>
      <c r="AD43" s="105">
        <v>0.11039467375305721</v>
      </c>
      <c r="AE43" s="105">
        <v>0.11059690561146565</v>
      </c>
      <c r="AF43" s="105">
        <v>0.11040267590841059</v>
      </c>
      <c r="AG43" s="105">
        <v>0.10955988808620115</v>
      </c>
      <c r="AH43" s="105">
        <v>0.11031641963899901</v>
      </c>
      <c r="AI43" s="105">
        <v>0.11131712460315725</v>
      </c>
      <c r="AJ43" s="105">
        <v>0.1091311242196475</v>
      </c>
      <c r="AK43" s="105">
        <v>0.10978682872555517</v>
      </c>
      <c r="AL43" s="105">
        <v>0.10902174664975814</v>
      </c>
      <c r="AM43" s="105">
        <v>0.1105171017512816</v>
      </c>
      <c r="AN43" s="105">
        <v>0.10874254827707631</v>
      </c>
      <c r="AO43" s="105">
        <v>0.11123955516589004</v>
      </c>
      <c r="AP43" s="105">
        <v>0.11029395493506136</v>
      </c>
      <c r="AQ43" s="105">
        <v>0.10988052915789992</v>
      </c>
      <c r="AR43" s="105">
        <v>0.11008432764411959</v>
      </c>
      <c r="AS43" s="105">
        <v>0.10875533989452053</v>
      </c>
      <c r="AT43" s="105">
        <v>0.10926300991524024</v>
      </c>
      <c r="AU43" s="105">
        <v>0.1101789415914663</v>
      </c>
      <c r="AV43" s="105">
        <v>0.10873278934434964</v>
      </c>
      <c r="AW43" s="105">
        <v>0.10848994245611963</v>
      </c>
      <c r="AX43" s="105">
        <v>0.11001890954458322</v>
      </c>
      <c r="AY43" s="105">
        <v>0.10889718270176392</v>
      </c>
      <c r="AZ43" s="105">
        <v>0.10911387063907782</v>
      </c>
      <c r="BA43" s="105">
        <v>0.11146370627777477</v>
      </c>
      <c r="BB43" s="105">
        <v>0.10828763687076577</v>
      </c>
      <c r="BC43" s="105">
        <v>0.11039042704411305</v>
      </c>
      <c r="BD43" s="105">
        <v>0.11017401899540831</v>
      </c>
      <c r="BE43" s="105">
        <v>0.11034178153581453</v>
      </c>
      <c r="BF43" s="105">
        <v>0.10871694840072402</v>
      </c>
      <c r="BG43" s="105">
        <v>0.11191702385407859</v>
      </c>
      <c r="BH43" s="105">
        <v>0.11121719431610354</v>
      </c>
      <c r="BI43" s="105">
        <v>0.10933671624436372</v>
      </c>
      <c r="BJ43" s="105">
        <v>0.10987843115582382</v>
      </c>
      <c r="BK43" s="105">
        <v>0.10834271263300403</v>
      </c>
      <c r="BL43" s="105">
        <v>0.11205759978109857</v>
      </c>
      <c r="BM43" s="105">
        <v>0.11114608621314691</v>
      </c>
      <c r="BN43" s="105">
        <v>0.11050631103151205</v>
      </c>
      <c r="BO43" s="105">
        <v>0.10972316753303965</v>
      </c>
      <c r="BP43" s="105">
        <v>0.11006820551594045</v>
      </c>
      <c r="BQ43" s="105">
        <v>0.11214805327741265</v>
      </c>
      <c r="BR43" s="105">
        <v>0.11229830182359959</v>
      </c>
      <c r="BS43" s="105">
        <v>0.1116652226929172</v>
      </c>
      <c r="BT43" s="105">
        <v>0.10923637111508053</v>
      </c>
      <c r="BU43" s="105">
        <v>0.11016780176927528</v>
      </c>
      <c r="BV43" s="105">
        <v>0.11150375998924673</v>
      </c>
      <c r="BW43" s="105">
        <v>0.11021335074804184</v>
      </c>
      <c r="BX43" s="105">
        <v>0.10877953350725927</v>
      </c>
      <c r="BY43" s="105">
        <v>0.10961186804539215</v>
      </c>
      <c r="BZ43" s="105">
        <v>0.108919915414023</v>
      </c>
      <c r="CA43" s="105">
        <v>0.11004376567127111</v>
      </c>
      <c r="CB43" s="105">
        <v>0.10993960476277553</v>
      </c>
      <c r="CC43" s="105">
        <v>0.10976740621035926</v>
      </c>
      <c r="CD43" s="105">
        <v>0.11209899622883968</v>
      </c>
      <c r="CE43" s="105">
        <v>0.11170819610907605</v>
      </c>
      <c r="CF43" s="105">
        <v>0.10910413167742225</v>
      </c>
      <c r="CG43" s="105">
        <v>0.10809433049666399</v>
      </c>
      <c r="CH43" s="105">
        <v>0.11227597499107646</v>
      </c>
      <c r="CI43" s="105">
        <v>0.10947905085536087</v>
      </c>
      <c r="CJ43" s="105">
        <v>0.10899722316074151</v>
      </c>
      <c r="CK43" s="105">
        <v>0.10927642692192167</v>
      </c>
      <c r="CL43" s="105">
        <v>0.10888886337946835</v>
      </c>
      <c r="CM43" s="105">
        <v>0.11273590012539822</v>
      </c>
      <c r="CN43" s="105">
        <v>0.110604705385317</v>
      </c>
      <c r="CO43" s="105">
        <v>0.11051429783912908</v>
      </c>
      <c r="CP43" s="105">
        <v>0.1112585824644074</v>
      </c>
      <c r="CQ43" s="105">
        <v>0.10821689506055225</v>
      </c>
      <c r="CR43" s="105">
        <v>0.1119203583743273</v>
      </c>
      <c r="CS43" s="105">
        <v>0.11013055535391499</v>
      </c>
      <c r="CT43" s="105">
        <v>0.11069374423195676</v>
      </c>
      <c r="CU43" s="105">
        <v>0.11006844193897515</v>
      </c>
      <c r="CV43" s="105">
        <v>0.11095854982432048</v>
      </c>
      <c r="CW43" s="105">
        <v>0.11231264354282625</v>
      </c>
      <c r="CX43" s="105">
        <v>0.11261993925130913</v>
      </c>
    </row>
    <row r="44" spans="1:102" s="95" customFormat="1">
      <c r="A44" s="106"/>
      <c r="B44" s="109" t="s">
        <v>114</v>
      </c>
      <c r="C44" s="107">
        <v>0.48279576941583957</v>
      </c>
      <c r="D44" s="107">
        <v>0.48288120857236361</v>
      </c>
      <c r="E44" s="107">
        <v>0.4832197927619174</v>
      </c>
      <c r="F44" s="107">
        <v>0.48281666633647735</v>
      </c>
      <c r="G44" s="107">
        <v>0.48382901880395729</v>
      </c>
      <c r="H44" s="107">
        <v>0.48271272096685702</v>
      </c>
      <c r="I44" s="107">
        <v>0.48278926056224836</v>
      </c>
      <c r="J44" s="107">
        <v>0.48307993553758155</v>
      </c>
      <c r="K44" s="107">
        <v>0.4830185916506286</v>
      </c>
      <c r="L44" s="107">
        <v>0.48318370833515284</v>
      </c>
      <c r="M44" s="107">
        <v>0.48277858044906469</v>
      </c>
      <c r="N44" s="107">
        <v>0.48265946411422045</v>
      </c>
      <c r="O44" s="107">
        <v>0.48256304116844356</v>
      </c>
      <c r="P44" s="107">
        <v>0.48348135628935573</v>
      </c>
      <c r="Q44" s="107">
        <v>0.48207040022399289</v>
      </c>
      <c r="R44" s="107">
        <v>0.48336444024034753</v>
      </c>
      <c r="S44" s="107">
        <v>0.4829397657589673</v>
      </c>
      <c r="T44" s="107">
        <v>0.48245042476908501</v>
      </c>
      <c r="U44" s="107">
        <v>0.48234892389688638</v>
      </c>
      <c r="V44" s="107">
        <v>0.48220568590869362</v>
      </c>
      <c r="W44" s="107">
        <v>0.48362813768604834</v>
      </c>
      <c r="X44" s="107">
        <v>0.48253426533407695</v>
      </c>
      <c r="Y44" s="107">
        <v>0.48362521629579736</v>
      </c>
      <c r="Z44" s="107">
        <v>0.48280895211639963</v>
      </c>
      <c r="AA44" s="107">
        <v>0.48385289622973893</v>
      </c>
      <c r="AB44" s="107">
        <v>0.48285575974459599</v>
      </c>
      <c r="AC44" s="107">
        <v>0.48391213790160204</v>
      </c>
      <c r="AD44" s="107">
        <v>0.48338191895749189</v>
      </c>
      <c r="AE44" s="107">
        <v>0.48200914590953409</v>
      </c>
      <c r="AF44" s="107">
        <v>0.48290236114085977</v>
      </c>
      <c r="AG44" s="107">
        <v>0.4838765836465137</v>
      </c>
      <c r="AH44" s="107">
        <v>0.48195281186417804</v>
      </c>
      <c r="AI44" s="107">
        <v>0.48168507206115363</v>
      </c>
      <c r="AJ44" s="107">
        <v>0.48346888287055062</v>
      </c>
      <c r="AK44" s="107">
        <v>0.48326842221986882</v>
      </c>
      <c r="AL44" s="107">
        <v>0.48368339118689835</v>
      </c>
      <c r="AM44" s="107">
        <v>0.4824523159461252</v>
      </c>
      <c r="AN44" s="107">
        <v>0.4826089670185949</v>
      </c>
      <c r="AO44" s="107">
        <v>0.48179626408875187</v>
      </c>
      <c r="AP44" s="107">
        <v>0.48304677803577928</v>
      </c>
      <c r="AQ44" s="107">
        <v>0.48307960343099871</v>
      </c>
      <c r="AR44" s="107">
        <v>0.48331004827227048</v>
      </c>
      <c r="AS44" s="107">
        <v>0.48266993916075918</v>
      </c>
      <c r="AT44" s="107">
        <v>0.48323380462823834</v>
      </c>
      <c r="AU44" s="107">
        <v>0.48318599848829102</v>
      </c>
      <c r="AV44" s="107">
        <v>0.48273788666820266</v>
      </c>
      <c r="AW44" s="107">
        <v>0.48329325634671971</v>
      </c>
      <c r="AX44" s="107">
        <v>0.48315122270933825</v>
      </c>
      <c r="AY44" s="107">
        <v>0.48356610287800733</v>
      </c>
      <c r="AZ44" s="107">
        <v>0.48333725485584678</v>
      </c>
      <c r="BA44" s="107">
        <v>0.4821180154923021</v>
      </c>
      <c r="BB44" s="107">
        <v>0.4836254880000494</v>
      </c>
      <c r="BC44" s="107">
        <v>0.48300157425345858</v>
      </c>
      <c r="BD44" s="107">
        <v>0.48341490756339583</v>
      </c>
      <c r="BE44" s="107">
        <v>0.48263833222679009</v>
      </c>
      <c r="BF44" s="107">
        <v>0.4838290493052001</v>
      </c>
      <c r="BG44" s="107">
        <v>0.48233804918978523</v>
      </c>
      <c r="BH44" s="107">
        <v>0.48156734341462576</v>
      </c>
      <c r="BI44" s="107">
        <v>0.48368610876435764</v>
      </c>
      <c r="BJ44" s="107">
        <v>0.48222976797380562</v>
      </c>
      <c r="BK44" s="107">
        <v>0.48298147883111164</v>
      </c>
      <c r="BL44" s="107">
        <v>0.48263386217891152</v>
      </c>
      <c r="BM44" s="107">
        <v>0.48242016266530252</v>
      </c>
      <c r="BN44" s="107">
        <v>0.48248047332995542</v>
      </c>
      <c r="BO44" s="107">
        <v>0.48328431919778497</v>
      </c>
      <c r="BP44" s="107">
        <v>0.48201830411372465</v>
      </c>
      <c r="BQ44" s="107">
        <v>0.48278472917469312</v>
      </c>
      <c r="BR44" s="107">
        <v>0.4828520940406808</v>
      </c>
      <c r="BS44" s="107">
        <v>0.48233271303766156</v>
      </c>
      <c r="BT44" s="107">
        <v>0.4840144893695284</v>
      </c>
      <c r="BU44" s="107">
        <v>0.48370033816072816</v>
      </c>
      <c r="BV44" s="107">
        <v>0.48314395659758264</v>
      </c>
      <c r="BW44" s="107">
        <v>0.48272616876180863</v>
      </c>
      <c r="BX44" s="107">
        <v>0.48307502259347668</v>
      </c>
      <c r="BY44" s="107">
        <v>0.48180334350915122</v>
      </c>
      <c r="BZ44" s="107">
        <v>0.4834327434820398</v>
      </c>
      <c r="CA44" s="107">
        <v>0.48328821808593803</v>
      </c>
      <c r="CB44" s="107">
        <v>0.48270328631652359</v>
      </c>
      <c r="CC44" s="107">
        <v>0.48435953108050089</v>
      </c>
      <c r="CD44" s="107">
        <v>0.48292642540316633</v>
      </c>
      <c r="CE44" s="107">
        <v>0.48263918848363363</v>
      </c>
      <c r="CF44" s="107">
        <v>0.48338942643826643</v>
      </c>
      <c r="CG44" s="107">
        <v>0.48346373112283597</v>
      </c>
      <c r="CH44" s="107">
        <v>0.48190953124565428</v>
      </c>
      <c r="CI44" s="107">
        <v>0.48368821922792621</v>
      </c>
      <c r="CJ44" s="107">
        <v>0.48313431220557995</v>
      </c>
      <c r="CK44" s="107">
        <v>0.48286880135261012</v>
      </c>
      <c r="CL44" s="107">
        <v>0.48206882450340205</v>
      </c>
      <c r="CM44" s="107">
        <v>0.48290513630542159</v>
      </c>
      <c r="CN44" s="107">
        <v>0.48322439856664845</v>
      </c>
      <c r="CO44" s="107">
        <v>0.48294187387157916</v>
      </c>
      <c r="CP44" s="107">
        <v>0.48211785038383193</v>
      </c>
      <c r="CQ44" s="107">
        <v>0.48354601599390434</v>
      </c>
      <c r="CR44" s="107">
        <v>0.48199830955167655</v>
      </c>
      <c r="CS44" s="107">
        <v>0.48218079249994794</v>
      </c>
      <c r="CT44" s="107">
        <v>0.48341021705983322</v>
      </c>
      <c r="CU44" s="107">
        <v>0.48300238153699415</v>
      </c>
      <c r="CV44" s="107">
        <v>0.48289364707347909</v>
      </c>
      <c r="CW44" s="107">
        <v>0.4825485956440686</v>
      </c>
      <c r="CX44" s="107">
        <v>0.48253370017540459</v>
      </c>
    </row>
    <row r="45" spans="1:102" s="111" customFormat="1">
      <c r="A45" s="88" t="str">
        <f>Parameters!A41</f>
        <v>Groei recessie</v>
      </c>
      <c r="B45" s="102" t="s">
        <v>29</v>
      </c>
      <c r="C45" s="103">
        <v>8.0700927705508341E-3</v>
      </c>
      <c r="D45" s="103">
        <v>7.3629560831096341E-3</v>
      </c>
      <c r="E45" s="103">
        <v>7.9823650765655629E-3</v>
      </c>
      <c r="F45" s="103">
        <v>7.5481020805009194E-3</v>
      </c>
      <c r="G45" s="103">
        <v>7.7363354322620365E-3</v>
      </c>
      <c r="H45" s="103">
        <v>7.5745384701836832E-3</v>
      </c>
      <c r="I45" s="103">
        <v>6.9652804965715225E-3</v>
      </c>
      <c r="J45" s="103">
        <v>7.3275641550144873E-3</v>
      </c>
      <c r="K45" s="103">
        <v>7.1975598671971128E-3</v>
      </c>
      <c r="L45" s="103">
        <v>7.2284678162181717E-3</v>
      </c>
      <c r="M45" s="103">
        <v>7.5406517166271385E-3</v>
      </c>
      <c r="N45" s="103">
        <v>7.6390298894036014E-3</v>
      </c>
      <c r="O45" s="103">
        <v>7.0699746794017308E-3</v>
      </c>
      <c r="P45" s="103">
        <v>7.7962114694744497E-3</v>
      </c>
      <c r="Q45" s="103">
        <v>8.3420148741720334E-3</v>
      </c>
      <c r="R45" s="103">
        <v>8.1190017559791879E-3</v>
      </c>
      <c r="S45" s="103">
        <v>7.9898606671337941E-3</v>
      </c>
      <c r="T45" s="103">
        <v>8.0423463420510374E-3</v>
      </c>
      <c r="U45" s="103">
        <v>7.5182478756367233E-3</v>
      </c>
      <c r="V45" s="103">
        <v>7.4994520211337217E-3</v>
      </c>
      <c r="W45" s="103">
        <v>7.7028747194427399E-3</v>
      </c>
      <c r="X45" s="103">
        <v>7.3579722828666094E-3</v>
      </c>
      <c r="Y45" s="103">
        <v>7.7929221689738495E-3</v>
      </c>
      <c r="Z45" s="103">
        <v>6.9883673670214103E-3</v>
      </c>
      <c r="AA45" s="103">
        <v>7.6555602015002042E-3</v>
      </c>
      <c r="AB45" s="103">
        <v>7.1671159007365721E-3</v>
      </c>
      <c r="AC45" s="103">
        <v>7.6489337395490749E-3</v>
      </c>
      <c r="AD45" s="103">
        <v>6.9622866650980554E-3</v>
      </c>
      <c r="AE45" s="103">
        <v>7.8972084267864145E-3</v>
      </c>
      <c r="AF45" s="103">
        <v>7.0255385839087837E-3</v>
      </c>
      <c r="AG45" s="103">
        <v>7.1696242379634696E-3</v>
      </c>
      <c r="AH45" s="103">
        <v>7.9725119078915031E-3</v>
      </c>
      <c r="AI45" s="103">
        <v>7.6097769970342646E-3</v>
      </c>
      <c r="AJ45" s="103">
        <v>7.6931828616632857E-3</v>
      </c>
      <c r="AK45" s="103">
        <v>7.4770324148596152E-3</v>
      </c>
      <c r="AL45" s="103">
        <v>7.5102387164623979E-3</v>
      </c>
      <c r="AM45" s="103">
        <v>7.6296451586689192E-3</v>
      </c>
      <c r="AN45" s="103">
        <v>8.680446735442205E-3</v>
      </c>
      <c r="AO45" s="103">
        <v>7.5294038194587166E-3</v>
      </c>
      <c r="AP45" s="103">
        <v>7.383267218173486E-3</v>
      </c>
      <c r="AQ45" s="103">
        <v>7.4809191641940073E-3</v>
      </c>
      <c r="AR45" s="103">
        <v>7.2476473804542578E-3</v>
      </c>
      <c r="AS45" s="103">
        <v>8.5655522408137619E-3</v>
      </c>
      <c r="AT45" s="103">
        <v>7.5884802162820017E-3</v>
      </c>
      <c r="AU45" s="103">
        <v>7.2998866622313481E-3</v>
      </c>
      <c r="AV45" s="103">
        <v>8.4570502568715629E-3</v>
      </c>
      <c r="AW45" s="103">
        <v>8.0289302067472791E-3</v>
      </c>
      <c r="AX45" s="103">
        <v>7.2857818962670517E-3</v>
      </c>
      <c r="AY45" s="103">
        <v>7.9635352950312901E-3</v>
      </c>
      <c r="AZ45" s="103">
        <v>7.9166784747336343E-3</v>
      </c>
      <c r="BA45" s="103">
        <v>7.1860705644269263E-3</v>
      </c>
      <c r="BB45" s="103">
        <v>8.2252740583127794E-3</v>
      </c>
      <c r="BC45" s="103">
        <v>7.1283465585058872E-3</v>
      </c>
      <c r="BD45" s="103">
        <v>7.2549083225662558E-3</v>
      </c>
      <c r="BE45" s="103">
        <v>7.6323847447475742E-3</v>
      </c>
      <c r="BF45" s="103">
        <v>7.6148467925654332E-3</v>
      </c>
      <c r="BG45" s="103">
        <v>6.6199347960028115E-3</v>
      </c>
      <c r="BH45" s="103">
        <v>7.8365938758921446E-3</v>
      </c>
      <c r="BI45" s="103">
        <v>7.7128194446297871E-3</v>
      </c>
      <c r="BJ45" s="103">
        <v>7.9499233609938592E-3</v>
      </c>
      <c r="BK45" s="103">
        <v>8.7536279989583379E-3</v>
      </c>
      <c r="BL45" s="103">
        <v>6.3699911290742576E-3</v>
      </c>
      <c r="BM45" s="103">
        <v>6.9798519161641381E-3</v>
      </c>
      <c r="BN45" s="103">
        <v>7.3076238011173349E-3</v>
      </c>
      <c r="BO45" s="103">
        <v>7.4540719014424533E-3</v>
      </c>
      <c r="BP45" s="103">
        <v>8.0217035708796715E-3</v>
      </c>
      <c r="BQ45" s="103">
        <v>6.2953369889657065E-3</v>
      </c>
      <c r="BR45" s="103">
        <v>6.2178634589633974E-3</v>
      </c>
      <c r="BS45" s="103">
        <v>6.8221216997059776E-3</v>
      </c>
      <c r="BT45" s="103">
        <v>7.3587274973974139E-3</v>
      </c>
      <c r="BU45" s="103">
        <v>7.0652323430179919E-3</v>
      </c>
      <c r="BV45" s="103">
        <v>6.4900161179727682E-3</v>
      </c>
      <c r="BW45" s="103">
        <v>7.4541168643594904E-3</v>
      </c>
      <c r="BX45" s="103">
        <v>8.2116442307640161E-3</v>
      </c>
      <c r="BY45" s="103">
        <v>8.6531932028405621E-3</v>
      </c>
      <c r="BZ45" s="103">
        <v>7.8685609554625009E-3</v>
      </c>
      <c r="CA45" s="103">
        <v>7.3043060462339732E-3</v>
      </c>
      <c r="CB45" s="103">
        <v>7.4989260049652638E-3</v>
      </c>
      <c r="CC45" s="103">
        <v>7.1105449442953172E-3</v>
      </c>
      <c r="CD45" s="103">
        <v>6.2530881447358747E-3</v>
      </c>
      <c r="CE45" s="103">
        <v>6.5758882906315312E-3</v>
      </c>
      <c r="CF45" s="103">
        <v>8.0427158724683707E-3</v>
      </c>
      <c r="CG45" s="103">
        <v>8.7424482695765311E-3</v>
      </c>
      <c r="CH45" s="103">
        <v>6.826715829230624E-3</v>
      </c>
      <c r="CI45" s="103">
        <v>7.3408590821901331E-3</v>
      </c>
      <c r="CJ45" s="103">
        <v>7.8771827162684317E-3</v>
      </c>
      <c r="CK45" s="103">
        <v>8.2586654853402906E-3</v>
      </c>
      <c r="CL45" s="103">
        <v>9.2841980524106058E-3</v>
      </c>
      <c r="CM45" s="103">
        <v>5.9200294842654388E-3</v>
      </c>
      <c r="CN45" s="103">
        <v>7.1572233490211981E-3</v>
      </c>
      <c r="CO45" s="103">
        <v>6.8693088791486109E-3</v>
      </c>
      <c r="CP45" s="103">
        <v>7.2593725689997449E-3</v>
      </c>
      <c r="CQ45" s="103">
        <v>8.2116040269964666E-3</v>
      </c>
      <c r="CR45" s="103">
        <v>6.9191249342578452E-3</v>
      </c>
      <c r="CS45" s="103">
        <v>7.8713000349284988E-3</v>
      </c>
      <c r="CT45" s="103">
        <v>6.5537991880113148E-3</v>
      </c>
      <c r="CU45" s="103">
        <v>7.7813027749661671E-3</v>
      </c>
      <c r="CV45" s="103">
        <v>6.8374225231680723E-3</v>
      </c>
      <c r="CW45" s="103">
        <v>6.2097721734437105E-3</v>
      </c>
      <c r="CX45" s="103">
        <v>6.1542794996212831E-3</v>
      </c>
    </row>
    <row r="46" spans="1:102" s="95" customFormat="1">
      <c r="A46" s="23"/>
      <c r="B46" s="14" t="s">
        <v>30</v>
      </c>
      <c r="C46" s="105">
        <v>6.1200212131011206E-2</v>
      </c>
      <c r="D46" s="105">
        <v>6.2173444327525522E-2</v>
      </c>
      <c r="E46" s="105">
        <v>6.1124385256509747E-2</v>
      </c>
      <c r="F46" s="105">
        <v>6.1718801128808551E-2</v>
      </c>
      <c r="G46" s="105">
        <v>6.1877712452983694E-2</v>
      </c>
      <c r="H46" s="105">
        <v>6.1849126468475117E-2</v>
      </c>
      <c r="I46" s="105">
        <v>6.2620906002071722E-2</v>
      </c>
      <c r="J46" s="105">
        <v>6.2335939392473387E-2</v>
      </c>
      <c r="K46" s="105">
        <v>6.197915202138235E-2</v>
      </c>
      <c r="L46" s="105">
        <v>6.2345024132337362E-2</v>
      </c>
      <c r="M46" s="105">
        <v>6.1614999159912212E-2</v>
      </c>
      <c r="N46" s="105">
        <v>6.1301988503567995E-2</v>
      </c>
      <c r="O46" s="105">
        <v>6.2364918719505044E-2</v>
      </c>
      <c r="P46" s="105">
        <v>6.1404987736848056E-2</v>
      </c>
      <c r="Q46" s="105">
        <v>6.0581579347950811E-2</v>
      </c>
      <c r="R46" s="105">
        <v>6.1239250316789041E-2</v>
      </c>
      <c r="S46" s="105">
        <v>6.0514693468200327E-2</v>
      </c>
      <c r="T46" s="105">
        <v>6.1069100052675483E-2</v>
      </c>
      <c r="U46" s="105">
        <v>6.1869298573932072E-2</v>
      </c>
      <c r="V46" s="105">
        <v>6.1800384309371049E-2</v>
      </c>
      <c r="W46" s="105">
        <v>6.0943022509098971E-2</v>
      </c>
      <c r="X46" s="105">
        <v>6.1656783015858786E-2</v>
      </c>
      <c r="Y46" s="105">
        <v>6.1127547637581152E-2</v>
      </c>
      <c r="Z46" s="105">
        <v>6.2303561350939146E-2</v>
      </c>
      <c r="AA46" s="105">
        <v>6.0973140501091802E-2</v>
      </c>
      <c r="AB46" s="105">
        <v>6.2415702842282296E-2</v>
      </c>
      <c r="AC46" s="105">
        <v>6.104602563046136E-2</v>
      </c>
      <c r="AD46" s="105">
        <v>6.2178925274084439E-2</v>
      </c>
      <c r="AE46" s="105">
        <v>6.0929147688777163E-2</v>
      </c>
      <c r="AF46" s="105">
        <v>6.2473671367490456E-2</v>
      </c>
      <c r="AG46" s="105">
        <v>6.1635665491298092E-2</v>
      </c>
      <c r="AH46" s="105">
        <v>6.0612007795194982E-2</v>
      </c>
      <c r="AI46" s="105">
        <v>6.1750931942604559E-2</v>
      </c>
      <c r="AJ46" s="105">
        <v>6.1642069727884073E-2</v>
      </c>
      <c r="AK46" s="105">
        <v>6.0971355081876358E-2</v>
      </c>
      <c r="AL46" s="105">
        <v>6.1636740485362766E-2</v>
      </c>
      <c r="AM46" s="105">
        <v>6.0621827825871007E-2</v>
      </c>
      <c r="AN46" s="105">
        <v>5.9673823237546303E-2</v>
      </c>
      <c r="AO46" s="105">
        <v>6.1852238024122118E-2</v>
      </c>
      <c r="AP46" s="105">
        <v>6.0862934035802584E-2</v>
      </c>
      <c r="AQ46" s="105">
        <v>6.1765220291374413E-2</v>
      </c>
      <c r="AR46" s="105">
        <v>6.1636069008464904E-2</v>
      </c>
      <c r="AS46" s="105">
        <v>5.9788658426682316E-2</v>
      </c>
      <c r="AT46" s="105">
        <v>6.169652943170649E-2</v>
      </c>
      <c r="AU46" s="105">
        <v>6.1050157782629864E-2</v>
      </c>
      <c r="AV46" s="105">
        <v>5.9791561510461173E-2</v>
      </c>
      <c r="AW46" s="105">
        <v>6.1082836358034798E-2</v>
      </c>
      <c r="AX46" s="105">
        <v>6.191311245215575E-2</v>
      </c>
      <c r="AY46" s="105">
        <v>6.0273808873656659E-2</v>
      </c>
      <c r="AZ46" s="105">
        <v>6.0405025841495562E-2</v>
      </c>
      <c r="BA46" s="105">
        <v>6.2185151183173672E-2</v>
      </c>
      <c r="BB46" s="105">
        <v>6.1144076026962001E-2</v>
      </c>
      <c r="BC46" s="105">
        <v>6.1486491671842301E-2</v>
      </c>
      <c r="BD46" s="105">
        <v>6.1082202248351064E-2</v>
      </c>
      <c r="BE46" s="105">
        <v>6.0296204627462206E-2</v>
      </c>
      <c r="BF46" s="105">
        <v>6.1227717342987528E-2</v>
      </c>
      <c r="BG46" s="105">
        <v>6.2636996558998057E-2</v>
      </c>
      <c r="BH46" s="105">
        <v>6.1090681095015004E-2</v>
      </c>
      <c r="BI46" s="105">
        <v>6.0405875769815952E-2</v>
      </c>
      <c r="BJ46" s="105">
        <v>6.0888788975553963E-2</v>
      </c>
      <c r="BK46" s="105">
        <v>5.9992298367257238E-2</v>
      </c>
      <c r="BL46" s="105">
        <v>6.2773001407226969E-2</v>
      </c>
      <c r="BM46" s="105">
        <v>6.1979856494440884E-2</v>
      </c>
      <c r="BN46" s="105">
        <v>6.112822625190803E-2</v>
      </c>
      <c r="BO46" s="105">
        <v>6.0768181278097223E-2</v>
      </c>
      <c r="BP46" s="105">
        <v>6.0679203104353027E-2</v>
      </c>
      <c r="BQ46" s="105">
        <v>6.2180556036069611E-2</v>
      </c>
      <c r="BR46" s="105">
        <v>6.2320961008414708E-2</v>
      </c>
      <c r="BS46" s="105">
        <v>6.2543947000632288E-2</v>
      </c>
      <c r="BT46" s="105">
        <v>6.1821900233520861E-2</v>
      </c>
      <c r="BU46" s="105">
        <v>6.1285296309127629E-2</v>
      </c>
      <c r="BV46" s="105">
        <v>6.2168921793717809E-2</v>
      </c>
      <c r="BW46" s="105">
        <v>6.1695957134127129E-2</v>
      </c>
      <c r="BX46" s="105">
        <v>6.096715375541862E-2</v>
      </c>
      <c r="BY46" s="105">
        <v>5.9414354955949697E-2</v>
      </c>
      <c r="BZ46" s="105">
        <v>6.1073684872747711E-2</v>
      </c>
      <c r="CA46" s="105">
        <v>6.0808460281947599E-2</v>
      </c>
      <c r="CB46" s="105">
        <v>6.1794964538807139E-2</v>
      </c>
      <c r="CC46" s="105">
        <v>6.1072869748791191E-2</v>
      </c>
      <c r="CD46" s="105">
        <v>6.2311125688615535E-2</v>
      </c>
      <c r="CE46" s="105">
        <v>6.2235133690845976E-2</v>
      </c>
      <c r="CF46" s="105">
        <v>5.9710296922939651E-2</v>
      </c>
      <c r="CG46" s="105">
        <v>5.9268032002651634E-2</v>
      </c>
      <c r="CH46" s="105">
        <v>6.2566125497963074E-2</v>
      </c>
      <c r="CI46" s="105">
        <v>6.0723838244155844E-2</v>
      </c>
      <c r="CJ46" s="105">
        <v>6.0288343962687278E-2</v>
      </c>
      <c r="CK46" s="105">
        <v>5.9172507568991402E-2</v>
      </c>
      <c r="CL46" s="105">
        <v>5.8634445773777806E-2</v>
      </c>
      <c r="CM46" s="105">
        <v>6.2602565821570366E-2</v>
      </c>
      <c r="CN46" s="105">
        <v>6.0719065158276735E-2</v>
      </c>
      <c r="CO46" s="105">
        <v>6.2508832990324031E-2</v>
      </c>
      <c r="CP46" s="105">
        <v>6.1053568690012154E-2</v>
      </c>
      <c r="CQ46" s="105">
        <v>6.0869481207551986E-2</v>
      </c>
      <c r="CR46" s="105">
        <v>6.2327068278409607E-2</v>
      </c>
      <c r="CS46" s="105">
        <v>6.0337861072282936E-2</v>
      </c>
      <c r="CT46" s="105">
        <v>6.2167954482833444E-2</v>
      </c>
      <c r="CU46" s="105">
        <v>5.9619017960778925E-2</v>
      </c>
      <c r="CV46" s="105">
        <v>6.1498072176894104E-2</v>
      </c>
      <c r="CW46" s="105">
        <v>6.2748326424789724E-2</v>
      </c>
      <c r="CX46" s="105">
        <v>6.2850625787445449E-2</v>
      </c>
    </row>
    <row r="47" spans="1:102" s="95" customFormat="1">
      <c r="A47" s="23"/>
      <c r="B47" s="56" t="s">
        <v>56</v>
      </c>
      <c r="C47" s="105">
        <v>9.7749308409324387E-2</v>
      </c>
      <c r="D47" s="105">
        <v>9.8713322944668266E-2</v>
      </c>
      <c r="E47" s="105">
        <v>9.7452525407254409E-2</v>
      </c>
      <c r="F47" s="105">
        <v>9.830223544735664E-2</v>
      </c>
      <c r="G47" s="105">
        <v>9.7653939117241684E-2</v>
      </c>
      <c r="H47" s="105">
        <v>9.8402997573507803E-2</v>
      </c>
      <c r="I47" s="105">
        <v>9.9331801883863133E-2</v>
      </c>
      <c r="J47" s="105">
        <v>9.8654079694320926E-2</v>
      </c>
      <c r="K47" s="105">
        <v>9.8510548458136935E-2</v>
      </c>
      <c r="L47" s="105">
        <v>9.8625777216281449E-2</v>
      </c>
      <c r="M47" s="105">
        <v>9.8215678154580655E-2</v>
      </c>
      <c r="N47" s="105">
        <v>9.806424934589654E-2</v>
      </c>
      <c r="O47" s="105">
        <v>9.9177310864332291E-2</v>
      </c>
      <c r="P47" s="105">
        <v>9.7531864558863438E-2</v>
      </c>
      <c r="Q47" s="105">
        <v>9.7777797681391762E-2</v>
      </c>
      <c r="R47" s="105">
        <v>9.7334851577485379E-2</v>
      </c>
      <c r="S47" s="105">
        <v>9.7185393937588196E-2</v>
      </c>
      <c r="T47" s="105">
        <v>9.7902636956294475E-2</v>
      </c>
      <c r="U47" s="105">
        <v>9.8711843269800773E-2</v>
      </c>
      <c r="V47" s="105">
        <v>9.8809434520489361E-2</v>
      </c>
      <c r="W47" s="105">
        <v>9.7190732461296142E-2</v>
      </c>
      <c r="X47" s="105">
        <v>9.850179794124847E-2</v>
      </c>
      <c r="Y47" s="105">
        <v>9.7335934242492136E-2</v>
      </c>
      <c r="Z47" s="105">
        <v>9.8901847873018284E-2</v>
      </c>
      <c r="AA47" s="105">
        <v>9.7075825338531249E-2</v>
      </c>
      <c r="AB47" s="105">
        <v>9.8935990466589421E-2</v>
      </c>
      <c r="AC47" s="105">
        <v>9.7090302674294748E-2</v>
      </c>
      <c r="AD47" s="105">
        <v>9.8679450518265766E-2</v>
      </c>
      <c r="AE47" s="105">
        <v>9.8378891082474412E-2</v>
      </c>
      <c r="AF47" s="105">
        <v>9.8892813156267023E-2</v>
      </c>
      <c r="AG47" s="105">
        <v>9.7601740955343921E-2</v>
      </c>
      <c r="AH47" s="105">
        <v>9.7929594228699568E-2</v>
      </c>
      <c r="AI47" s="105">
        <v>9.9244426814116271E-2</v>
      </c>
      <c r="AJ47" s="105">
        <v>9.7678733919112373E-2</v>
      </c>
      <c r="AK47" s="105">
        <v>9.7500786210504856E-2</v>
      </c>
      <c r="AL47" s="105">
        <v>9.7615565402437779E-2</v>
      </c>
      <c r="AM47" s="105">
        <v>9.7847958862980769E-2</v>
      </c>
      <c r="AN47" s="105">
        <v>9.6541344513457403E-2</v>
      </c>
      <c r="AO47" s="105">
        <v>9.9253862494624784E-2</v>
      </c>
      <c r="AP47" s="105">
        <v>9.7645180244130117E-2</v>
      </c>
      <c r="AQ47" s="105">
        <v>9.822174856638427E-2</v>
      </c>
      <c r="AR47" s="105">
        <v>9.8062546065353584E-2</v>
      </c>
      <c r="AS47" s="105">
        <v>9.653442284412235E-2</v>
      </c>
      <c r="AT47" s="105">
        <v>9.7794165845477982E-2</v>
      </c>
      <c r="AU47" s="105">
        <v>9.7694083835536905E-2</v>
      </c>
      <c r="AV47" s="105">
        <v>9.6440598880708564E-2</v>
      </c>
      <c r="AW47" s="105">
        <v>9.7059970415156141E-2</v>
      </c>
      <c r="AX47" s="105">
        <v>9.829838650226852E-2</v>
      </c>
      <c r="AY47" s="105">
        <v>9.6583277712028293E-2</v>
      </c>
      <c r="AZ47" s="105">
        <v>9.681600861260814E-2</v>
      </c>
      <c r="BA47" s="105">
        <v>9.9495872941593913E-2</v>
      </c>
      <c r="BB47" s="105">
        <v>9.6969514832674727E-2</v>
      </c>
      <c r="BC47" s="105">
        <v>9.8114168208706623E-2</v>
      </c>
      <c r="BD47" s="105">
        <v>9.7613736007440874E-2</v>
      </c>
      <c r="BE47" s="105">
        <v>9.7438481449687531E-2</v>
      </c>
      <c r="BF47" s="105">
        <v>9.7040861456800909E-2</v>
      </c>
      <c r="BG47" s="105">
        <v>9.973789388296897E-2</v>
      </c>
      <c r="BH47" s="105">
        <v>9.8819340453727936E-2</v>
      </c>
      <c r="BI47" s="105">
        <v>9.6868684158273474E-2</v>
      </c>
      <c r="BJ47" s="105">
        <v>9.7835590444232415E-2</v>
      </c>
      <c r="BK47" s="105">
        <v>9.6521857387727547E-2</v>
      </c>
      <c r="BL47" s="105">
        <v>9.9886626158316866E-2</v>
      </c>
      <c r="BM47" s="105">
        <v>9.8995196636322447E-2</v>
      </c>
      <c r="BN47" s="105">
        <v>9.8083527585783079E-2</v>
      </c>
      <c r="BO47" s="105">
        <v>9.7279104098765515E-2</v>
      </c>
      <c r="BP47" s="105">
        <v>9.7937250944622745E-2</v>
      </c>
      <c r="BQ47" s="105">
        <v>9.9266403664006478E-2</v>
      </c>
      <c r="BR47" s="105">
        <v>9.9429617773083179E-2</v>
      </c>
      <c r="BS47" s="105">
        <v>9.9664141261294928E-2</v>
      </c>
      <c r="BT47" s="105">
        <v>9.762245565635537E-2</v>
      </c>
      <c r="BU47" s="105">
        <v>9.7763977765055299E-2</v>
      </c>
      <c r="BV47" s="105">
        <v>9.8909778873061724E-2</v>
      </c>
      <c r="BW47" s="105">
        <v>9.8431202110719526E-2</v>
      </c>
      <c r="BX47" s="105">
        <v>9.7183821805136433E-2</v>
      </c>
      <c r="BY47" s="105">
        <v>9.6890958899989443E-2</v>
      </c>
      <c r="BZ47" s="105">
        <v>9.7258067625923608E-2</v>
      </c>
      <c r="CA47" s="105">
        <v>9.7408085378867429E-2</v>
      </c>
      <c r="CB47" s="105">
        <v>9.8317835437468859E-2</v>
      </c>
      <c r="CC47" s="105">
        <v>9.7133443455492144E-2</v>
      </c>
      <c r="CD47" s="105">
        <v>9.9325214203836665E-2</v>
      </c>
      <c r="CE47" s="105">
        <v>9.9270085904377664E-2</v>
      </c>
      <c r="CF47" s="105">
        <v>9.631931432458557E-2</v>
      </c>
      <c r="CG47" s="105">
        <v>9.573263429409791E-2</v>
      </c>
      <c r="CH47" s="105">
        <v>0.10006155956870794</v>
      </c>
      <c r="CI47" s="105">
        <v>9.6954184159087492E-2</v>
      </c>
      <c r="CJ47" s="105">
        <v>9.6696943474817179E-2</v>
      </c>
      <c r="CK47" s="105">
        <v>9.6172300957213283E-2</v>
      </c>
      <c r="CL47" s="105">
        <v>9.6252160542769527E-2</v>
      </c>
      <c r="CM47" s="105">
        <v>9.9751343218969668E-2</v>
      </c>
      <c r="CN47" s="105">
        <v>9.7666896241470944E-2</v>
      </c>
      <c r="CO47" s="105">
        <v>9.8882319567334787E-2</v>
      </c>
      <c r="CP47" s="105">
        <v>9.8526217414319314E-2</v>
      </c>
      <c r="CQ47" s="105">
        <v>9.6744283759735247E-2</v>
      </c>
      <c r="CR47" s="105">
        <v>9.970194444552638E-2</v>
      </c>
      <c r="CS47" s="105">
        <v>9.7543279402551725E-2</v>
      </c>
      <c r="CT47" s="105">
        <v>9.8616503477882117E-2</v>
      </c>
      <c r="CU47" s="105">
        <v>9.6790414314258791E-2</v>
      </c>
      <c r="CV47" s="105">
        <v>9.8348084052357621E-2</v>
      </c>
      <c r="CW47" s="105">
        <v>9.9940589276814373E-2</v>
      </c>
      <c r="CX47" s="105">
        <v>0.10008091120709374</v>
      </c>
    </row>
    <row r="48" spans="1:102" s="95" customFormat="1">
      <c r="A48" s="106"/>
      <c r="B48" s="56" t="s">
        <v>114</v>
      </c>
      <c r="C48" s="105">
        <v>0.51257828984414699</v>
      </c>
      <c r="D48" s="105">
        <v>0.51691579068221138</v>
      </c>
      <c r="E48" s="105">
        <v>0.51316616483111621</v>
      </c>
      <c r="F48" s="105">
        <v>0.51584458050919157</v>
      </c>
      <c r="G48" s="105">
        <v>0.51459120058338614</v>
      </c>
      <c r="H48" s="105">
        <v>0.51564082231939568</v>
      </c>
      <c r="I48" s="105">
        <v>0.51932588132542612</v>
      </c>
      <c r="J48" s="105">
        <v>0.51709802017977935</v>
      </c>
      <c r="K48" s="105">
        <v>0.51803237024172599</v>
      </c>
      <c r="L48" s="105">
        <v>0.51772903794380465</v>
      </c>
      <c r="M48" s="105">
        <v>0.51591946060400196</v>
      </c>
      <c r="N48" s="105">
        <v>0.51536096988094138</v>
      </c>
      <c r="O48" s="105">
        <v>0.5187361921708854</v>
      </c>
      <c r="P48" s="105">
        <v>0.51431472836182657</v>
      </c>
      <c r="Q48" s="105">
        <v>0.51091681355766128</v>
      </c>
      <c r="R48" s="105">
        <v>0.51225181148592258</v>
      </c>
      <c r="S48" s="105">
        <v>0.51324937918009494</v>
      </c>
      <c r="T48" s="105">
        <v>0.51278645133749468</v>
      </c>
      <c r="U48" s="105">
        <v>0.51599840998824376</v>
      </c>
      <c r="V48" s="105">
        <v>0.51613747543367883</v>
      </c>
      <c r="W48" s="105">
        <v>0.51503377095094749</v>
      </c>
      <c r="X48" s="105">
        <v>0.51708967027812869</v>
      </c>
      <c r="Y48" s="105">
        <v>0.51440112394976767</v>
      </c>
      <c r="Z48" s="105">
        <v>0.51927658456924275</v>
      </c>
      <c r="AA48" s="105">
        <v>0.51533569931113998</v>
      </c>
      <c r="AB48" s="105">
        <v>0.51810072286402398</v>
      </c>
      <c r="AC48" s="105">
        <v>0.51536067107364647</v>
      </c>
      <c r="AD48" s="105">
        <v>0.51948233069788563</v>
      </c>
      <c r="AE48" s="105">
        <v>0.51376559487775597</v>
      </c>
      <c r="AF48" s="105">
        <v>0.51898704246156935</v>
      </c>
      <c r="AG48" s="105">
        <v>0.51831342011000914</v>
      </c>
      <c r="AH48" s="105">
        <v>0.51334223923149835</v>
      </c>
      <c r="AI48" s="105">
        <v>0.51543819540571512</v>
      </c>
      <c r="AJ48" s="105">
        <v>0.51492604213415238</v>
      </c>
      <c r="AK48" s="105">
        <v>0.51650334449750535</v>
      </c>
      <c r="AL48" s="105">
        <v>0.51611053707505461</v>
      </c>
      <c r="AM48" s="105">
        <v>0.51559494157780095</v>
      </c>
      <c r="AN48" s="105">
        <v>0.50882099824717775</v>
      </c>
      <c r="AO48" s="105">
        <v>0.51593092306279809</v>
      </c>
      <c r="AP48" s="105">
        <v>0.51714678790407442</v>
      </c>
      <c r="AQ48" s="105">
        <v>0.51626626291679767</v>
      </c>
      <c r="AR48" s="105">
        <v>0.51780880958748543</v>
      </c>
      <c r="AS48" s="105">
        <v>0.50957049346107774</v>
      </c>
      <c r="AT48" s="105">
        <v>0.51558940670517861</v>
      </c>
      <c r="AU48" s="105">
        <v>0.51763858331042401</v>
      </c>
      <c r="AV48" s="105">
        <v>0.51029375320640891</v>
      </c>
      <c r="AW48" s="105">
        <v>0.51287115464375976</v>
      </c>
      <c r="AX48" s="105">
        <v>0.5174836892868987</v>
      </c>
      <c r="AY48" s="105">
        <v>0.51347645590199309</v>
      </c>
      <c r="AZ48" s="105">
        <v>0.51375647616432274</v>
      </c>
      <c r="BA48" s="105">
        <v>0.51804630865798362</v>
      </c>
      <c r="BB48" s="105">
        <v>0.51157779885889298</v>
      </c>
      <c r="BC48" s="105">
        <v>0.51862535324916237</v>
      </c>
      <c r="BD48" s="105">
        <v>0.51792280839831473</v>
      </c>
      <c r="BE48" s="105">
        <v>0.51566100498805967</v>
      </c>
      <c r="BF48" s="105">
        <v>0.51553704582694426</v>
      </c>
      <c r="BG48" s="105">
        <v>0.52151758284445271</v>
      </c>
      <c r="BH48" s="105">
        <v>0.5141248026155707</v>
      </c>
      <c r="BI48" s="105">
        <v>0.51510176020063669</v>
      </c>
      <c r="BJ48" s="105">
        <v>0.51342952891541149</v>
      </c>
      <c r="BK48" s="105">
        <v>0.50828764249472458</v>
      </c>
      <c r="BL48" s="105">
        <v>0.52305700337485361</v>
      </c>
      <c r="BM48" s="105">
        <v>0.5194319282885772</v>
      </c>
      <c r="BN48" s="105">
        <v>0.51756562532901751</v>
      </c>
      <c r="BO48" s="105">
        <v>0.51670909494805262</v>
      </c>
      <c r="BP48" s="105">
        <v>0.51300422971713211</v>
      </c>
      <c r="BQ48" s="105">
        <v>0.52375457696544803</v>
      </c>
      <c r="BR48" s="105">
        <v>0.52419616881937448</v>
      </c>
      <c r="BS48" s="105">
        <v>0.5202616684953304</v>
      </c>
      <c r="BT48" s="105">
        <v>0.51703918507619595</v>
      </c>
      <c r="BU48" s="105">
        <v>0.5190968413681063</v>
      </c>
      <c r="BV48" s="105">
        <v>0.52251184944286622</v>
      </c>
      <c r="BW48" s="105">
        <v>0.51645767891766203</v>
      </c>
      <c r="BX48" s="105">
        <v>0.51170053685472083</v>
      </c>
      <c r="BY48" s="105">
        <v>0.5090424639745178</v>
      </c>
      <c r="BZ48" s="105">
        <v>0.51392004715170936</v>
      </c>
      <c r="CA48" s="105">
        <v>0.51767968057170388</v>
      </c>
      <c r="CB48" s="105">
        <v>0.51614228313941279</v>
      </c>
      <c r="CC48" s="105">
        <v>0.51886755767339021</v>
      </c>
      <c r="CD48" s="105">
        <v>0.52397487111775465</v>
      </c>
      <c r="CE48" s="105">
        <v>0.52193831663307877</v>
      </c>
      <c r="CF48" s="105">
        <v>0.51307485675064102</v>
      </c>
      <c r="CG48" s="105">
        <v>0.50846413988591432</v>
      </c>
      <c r="CH48" s="105">
        <v>0.52022523631675865</v>
      </c>
      <c r="CI48" s="105">
        <v>0.51746438992140553</v>
      </c>
      <c r="CJ48" s="105">
        <v>0.51404428365745491</v>
      </c>
      <c r="CK48" s="105">
        <v>0.51173841932774378</v>
      </c>
      <c r="CL48" s="105">
        <v>0.50487011627120071</v>
      </c>
      <c r="CM48" s="105">
        <v>0.52598170229644903</v>
      </c>
      <c r="CN48" s="105">
        <v>0.51867106504540772</v>
      </c>
      <c r="CO48" s="105">
        <v>0.51997226695757548</v>
      </c>
      <c r="CP48" s="105">
        <v>0.51790206706929487</v>
      </c>
      <c r="CQ48" s="105">
        <v>0.5117195697881427</v>
      </c>
      <c r="CR48" s="105">
        <v>0.51971199696206871</v>
      </c>
      <c r="CS48" s="105">
        <v>0.51407163379753629</v>
      </c>
      <c r="CT48" s="105">
        <v>0.52210353268583876</v>
      </c>
      <c r="CU48" s="105">
        <v>0.51484304666789438</v>
      </c>
      <c r="CV48" s="105">
        <v>0.52050682140434534</v>
      </c>
      <c r="CW48" s="105">
        <v>0.52408292338873208</v>
      </c>
      <c r="CX48" s="105">
        <v>0.52439536074574111</v>
      </c>
    </row>
    <row r="49" spans="1:102" s="111" customFormat="1">
      <c r="A49" s="88" t="str">
        <f>Parameters!A42</f>
        <v>Inflatie is een fiscaal verschijnsel</v>
      </c>
      <c r="B49" s="102" t="s">
        <v>29</v>
      </c>
      <c r="C49" s="103">
        <v>2.9742431970932983E-2</v>
      </c>
      <c r="D49" s="103">
        <v>2.9728093098369733E-2</v>
      </c>
      <c r="E49" s="103">
        <v>2.9440589486746029E-2</v>
      </c>
      <c r="F49" s="103">
        <v>2.9910005180954002E-2</v>
      </c>
      <c r="G49" s="103">
        <v>2.8550093648889337E-2</v>
      </c>
      <c r="H49" s="103">
        <v>2.9738283521943257E-2</v>
      </c>
      <c r="I49" s="103">
        <v>2.9851821863333329E-2</v>
      </c>
      <c r="J49" s="103">
        <v>2.9315835465778817E-2</v>
      </c>
      <c r="K49" s="103">
        <v>2.9733410939730819E-2</v>
      </c>
      <c r="L49" s="103">
        <v>2.9221286743394317E-2</v>
      </c>
      <c r="M49" s="103">
        <v>2.9919342990038053E-2</v>
      </c>
      <c r="N49" s="103">
        <v>3.0145815497170492E-2</v>
      </c>
      <c r="O49" s="103">
        <v>3.0118218765599621E-2</v>
      </c>
      <c r="P49" s="103">
        <v>2.9033824895689266E-2</v>
      </c>
      <c r="Q49" s="103">
        <v>3.0776377976252822E-2</v>
      </c>
      <c r="R49" s="103">
        <v>2.8919757286767097E-2</v>
      </c>
      <c r="S49" s="103">
        <v>3.0104055510096414E-2</v>
      </c>
      <c r="T49" s="103">
        <v>3.0154887002143485E-2</v>
      </c>
      <c r="U49" s="103">
        <v>3.0221433725320199E-2</v>
      </c>
      <c r="V49" s="103">
        <v>3.0447417760880717E-2</v>
      </c>
      <c r="W49" s="103">
        <v>2.9474809320732136E-2</v>
      </c>
      <c r="X49" s="103">
        <v>3.034724052270827E-2</v>
      </c>
      <c r="Y49" s="103">
        <v>2.9114627019893719E-2</v>
      </c>
      <c r="Z49" s="103">
        <v>2.9763365839059197E-2</v>
      </c>
      <c r="AA49" s="103">
        <v>2.9219952406530303E-2</v>
      </c>
      <c r="AB49" s="103">
        <v>2.9641554619717281E-2</v>
      </c>
      <c r="AC49" s="103">
        <v>2.9041996642636046E-2</v>
      </c>
      <c r="AD49" s="103">
        <v>2.943642638345691E-2</v>
      </c>
      <c r="AE49" s="103">
        <v>3.0990752097974295E-2</v>
      </c>
      <c r="AF49" s="103">
        <v>2.9710709536632754E-2</v>
      </c>
      <c r="AG49" s="103">
        <v>2.9024699709073176E-2</v>
      </c>
      <c r="AH49" s="103">
        <v>3.1061093236502305E-2</v>
      </c>
      <c r="AI49" s="103">
        <v>3.11383915748688E-2</v>
      </c>
      <c r="AJ49" s="103">
        <v>2.8780030745620584E-2</v>
      </c>
      <c r="AK49" s="103">
        <v>2.9875268350701485E-2</v>
      </c>
      <c r="AL49" s="103">
        <v>2.898205427238728E-2</v>
      </c>
      <c r="AM49" s="103">
        <v>3.0850861966927837E-2</v>
      </c>
      <c r="AN49" s="103">
        <v>3.0353468671213212E-2</v>
      </c>
      <c r="AO49" s="103">
        <v>3.0979134207144588E-2</v>
      </c>
      <c r="AP49" s="103">
        <v>3.0358804303650875E-2</v>
      </c>
      <c r="AQ49" s="103">
        <v>2.9284255486062546E-2</v>
      </c>
      <c r="AR49" s="103">
        <v>2.9422019857037476E-2</v>
      </c>
      <c r="AS49" s="103">
        <v>3.0144478104362431E-2</v>
      </c>
      <c r="AT49" s="103">
        <v>2.9154544592446534E-2</v>
      </c>
      <c r="AU49" s="103">
        <v>3.0088053818858936E-2</v>
      </c>
      <c r="AV49" s="103">
        <v>3.0156128227579987E-2</v>
      </c>
      <c r="AW49" s="103">
        <v>2.9001013298753826E-2</v>
      </c>
      <c r="AX49" s="103">
        <v>2.925342274847801E-2</v>
      </c>
      <c r="AY49" s="103">
        <v>2.9579388028952089E-2</v>
      </c>
      <c r="AZ49" s="103">
        <v>2.9719535610121313E-2</v>
      </c>
      <c r="BA49" s="103">
        <v>3.0630554009919521E-2</v>
      </c>
      <c r="BB49" s="103">
        <v>2.8478938996254061E-2</v>
      </c>
      <c r="BC49" s="103">
        <v>2.9992516877467741E-2</v>
      </c>
      <c r="BD49" s="103">
        <v>2.9822389787199706E-2</v>
      </c>
      <c r="BE49" s="103">
        <v>3.0835813388579894E-2</v>
      </c>
      <c r="BF49" s="103">
        <v>2.8762762507016915E-2</v>
      </c>
      <c r="BG49" s="103">
        <v>3.0570339719359674E-2</v>
      </c>
      <c r="BH49" s="103">
        <v>3.1557893349118078E-2</v>
      </c>
      <c r="BI49" s="103">
        <v>2.9662831743498326E-2</v>
      </c>
      <c r="BJ49" s="103">
        <v>3.0331752031000924E-2</v>
      </c>
      <c r="BK49" s="103">
        <v>2.9529247024964674E-2</v>
      </c>
      <c r="BL49" s="103">
        <v>3.0411799680137075E-2</v>
      </c>
      <c r="BM49" s="103">
        <v>3.0392794209124992E-2</v>
      </c>
      <c r="BN49" s="103">
        <v>3.0583925477991256E-2</v>
      </c>
      <c r="BO49" s="103">
        <v>2.9888170805305432E-2</v>
      </c>
      <c r="BP49" s="103">
        <v>3.0882900798317989E-2</v>
      </c>
      <c r="BQ49" s="103">
        <v>3.0727620466351947E-2</v>
      </c>
      <c r="BR49" s="103">
        <v>3.0717162932037172E-2</v>
      </c>
      <c r="BS49" s="103">
        <v>3.0296890925160795E-2</v>
      </c>
      <c r="BT49" s="103">
        <v>2.8292644869780052E-2</v>
      </c>
      <c r="BU49" s="103">
        <v>2.9502213499757839E-2</v>
      </c>
      <c r="BV49" s="103">
        <v>3.0008944525106999E-2</v>
      </c>
      <c r="BW49" s="103">
        <v>2.9648757040746865E-2</v>
      </c>
      <c r="BX49" s="103">
        <v>2.888589334234043E-2</v>
      </c>
      <c r="BY49" s="103">
        <v>3.1254025647847281E-2</v>
      </c>
      <c r="BZ49" s="103">
        <v>2.8931720592922958E-2</v>
      </c>
      <c r="CA49" s="103">
        <v>3.0170188278448466E-2</v>
      </c>
      <c r="CB49" s="103">
        <v>2.9522883991951819E-2</v>
      </c>
      <c r="CC49" s="103">
        <v>2.9225095460934471E-2</v>
      </c>
      <c r="CD49" s="103">
        <v>3.0466686950150128E-2</v>
      </c>
      <c r="CE49" s="103">
        <v>3.061907172414486E-2</v>
      </c>
      <c r="CF49" s="103">
        <v>3.0268286613238913E-2</v>
      </c>
      <c r="CG49" s="103">
        <v>2.9632319696363596E-2</v>
      </c>
      <c r="CH49" s="103">
        <v>3.094471490832023E-2</v>
      </c>
      <c r="CI49" s="103">
        <v>2.9746215022201719E-2</v>
      </c>
      <c r="CJ49" s="103">
        <v>2.9954715882941352E-2</v>
      </c>
      <c r="CK49" s="103">
        <v>3.0808917256714499E-2</v>
      </c>
      <c r="CL49" s="103">
        <v>3.1100321232070599E-2</v>
      </c>
      <c r="CM49" s="103">
        <v>3.0752076053866061E-2</v>
      </c>
      <c r="CN49" s="103">
        <v>3.0448546612539498E-2</v>
      </c>
      <c r="CO49" s="103">
        <v>2.9340637813380983E-2</v>
      </c>
      <c r="CP49" s="103">
        <v>3.1157494014370749E-2</v>
      </c>
      <c r="CQ49" s="103">
        <v>2.8585520491353884E-2</v>
      </c>
      <c r="CR49" s="103">
        <v>3.0856682554088556E-2</v>
      </c>
      <c r="CS49" s="103">
        <v>3.090297852877489E-2</v>
      </c>
      <c r="CT49" s="103">
        <v>2.9613887611640966E-2</v>
      </c>
      <c r="CU49" s="103">
        <v>3.0839976807222214E-2</v>
      </c>
      <c r="CV49" s="103">
        <v>3.0475252334312003E-2</v>
      </c>
      <c r="CW49" s="103">
        <v>3.0631558380583877E-2</v>
      </c>
      <c r="CX49" s="103">
        <v>3.0712228029951851E-2</v>
      </c>
    </row>
    <row r="50" spans="1:102" s="95" customFormat="1">
      <c r="A50" s="23"/>
      <c r="B50" s="14" t="s">
        <v>30</v>
      </c>
      <c r="C50" s="105">
        <v>4.6981508213856403E-2</v>
      </c>
      <c r="D50" s="105">
        <v>4.6955112115982321E-2</v>
      </c>
      <c r="E50" s="105">
        <v>4.6491788292347076E-2</v>
      </c>
      <c r="F50" s="105">
        <v>4.6949858883766481E-2</v>
      </c>
      <c r="G50" s="105">
        <v>4.5935933062180009E-2</v>
      </c>
      <c r="H50" s="105">
        <v>4.7019972228250037E-2</v>
      </c>
      <c r="I50" s="105">
        <v>4.7155017636903954E-2</v>
      </c>
      <c r="J50" s="105">
        <v>4.6651646512543631E-2</v>
      </c>
      <c r="K50" s="105">
        <v>4.6700909233566387E-2</v>
      </c>
      <c r="L50" s="105">
        <v>4.6489165460540008E-2</v>
      </c>
      <c r="M50" s="105">
        <v>4.69160729083671E-2</v>
      </c>
      <c r="N50" s="105">
        <v>4.7053132972625283E-2</v>
      </c>
      <c r="O50" s="105">
        <v>4.7350289161911654E-2</v>
      </c>
      <c r="P50" s="105">
        <v>4.6177831395311286E-2</v>
      </c>
      <c r="Q50" s="105">
        <v>4.8039993590543131E-2</v>
      </c>
      <c r="R50" s="105">
        <v>4.6316124960843745E-2</v>
      </c>
      <c r="S50" s="105">
        <v>4.67602790484547E-2</v>
      </c>
      <c r="T50" s="105">
        <v>4.7402675466459307E-2</v>
      </c>
      <c r="U50" s="105">
        <v>4.7540869060376745E-2</v>
      </c>
      <c r="V50" s="105">
        <v>4.7810537154156299E-2</v>
      </c>
      <c r="W50" s="105">
        <v>4.6165833778136621E-2</v>
      </c>
      <c r="X50" s="105">
        <v>4.7279932195605806E-2</v>
      </c>
      <c r="Y50" s="105">
        <v>4.6121122520857621E-2</v>
      </c>
      <c r="Z50" s="105">
        <v>4.6907874218585714E-2</v>
      </c>
      <c r="AA50" s="105">
        <v>4.5975966069804801E-2</v>
      </c>
      <c r="AB50" s="105">
        <v>4.6996432545398412E-2</v>
      </c>
      <c r="AC50" s="105">
        <v>4.589708224626033E-2</v>
      </c>
      <c r="AD50" s="105">
        <v>4.6465068515724739E-2</v>
      </c>
      <c r="AE50" s="105">
        <v>4.8247165123846997E-2</v>
      </c>
      <c r="AF50" s="105">
        <v>4.6861877328429488E-2</v>
      </c>
      <c r="AG50" s="105">
        <v>4.586968100309307E-2</v>
      </c>
      <c r="AH50" s="105">
        <v>4.8056563119831218E-2</v>
      </c>
      <c r="AI50" s="105">
        <v>4.8862538525559399E-2</v>
      </c>
      <c r="AJ50" s="105">
        <v>4.6087863354875205E-2</v>
      </c>
      <c r="AK50" s="105">
        <v>4.6448999531841402E-2</v>
      </c>
      <c r="AL50" s="105">
        <v>4.6044742232263944E-2</v>
      </c>
      <c r="AM50" s="105">
        <v>4.7444486893641009E-2</v>
      </c>
      <c r="AN50" s="105">
        <v>4.7235664516664465E-2</v>
      </c>
      <c r="AO50" s="105">
        <v>4.864247012885068E-2</v>
      </c>
      <c r="AP50" s="105">
        <v>4.6814187312196477E-2</v>
      </c>
      <c r="AQ50" s="105">
        <v>4.6559458401228569E-2</v>
      </c>
      <c r="AR50" s="105">
        <v>4.636508597257253E-2</v>
      </c>
      <c r="AS50" s="105">
        <v>4.7042259293722202E-2</v>
      </c>
      <c r="AT50" s="105">
        <v>4.6335079670176658E-2</v>
      </c>
      <c r="AU50" s="105">
        <v>4.6589047534592073E-2</v>
      </c>
      <c r="AV50" s="105">
        <v>4.6898191536249675E-2</v>
      </c>
      <c r="AW50" s="105">
        <v>4.6254710547813896E-2</v>
      </c>
      <c r="AX50" s="105">
        <v>4.6448440989137023E-2</v>
      </c>
      <c r="AY50" s="105">
        <v>4.6185926086065802E-2</v>
      </c>
      <c r="AZ50" s="105">
        <v>4.6320037816034658E-2</v>
      </c>
      <c r="BA50" s="105">
        <v>4.8236340469743594E-2</v>
      </c>
      <c r="BB50" s="105">
        <v>4.6037490089888666E-2</v>
      </c>
      <c r="BC50" s="105">
        <v>4.6645136678555479E-2</v>
      </c>
      <c r="BD50" s="105">
        <v>4.6429122669450082E-2</v>
      </c>
      <c r="BE50" s="105">
        <v>4.7217786059879696E-2</v>
      </c>
      <c r="BF50" s="105">
        <v>4.5798203200253372E-2</v>
      </c>
      <c r="BG50" s="105">
        <v>4.787521410054197E-2</v>
      </c>
      <c r="BH50" s="105">
        <v>4.9077609604002211E-2</v>
      </c>
      <c r="BI50" s="105">
        <v>4.6194499569976781E-2</v>
      </c>
      <c r="BJ50" s="105">
        <v>4.7478662187246216E-2</v>
      </c>
      <c r="BK50" s="105">
        <v>4.6836960887218428E-2</v>
      </c>
      <c r="BL50" s="105">
        <v>4.7668401854599217E-2</v>
      </c>
      <c r="BM50" s="105">
        <v>4.7496409353836457E-2</v>
      </c>
      <c r="BN50" s="105">
        <v>4.7170200068313052E-2</v>
      </c>
      <c r="BO50" s="105">
        <v>4.6374118601064718E-2</v>
      </c>
      <c r="BP50" s="105">
        <v>4.8031239390883287E-2</v>
      </c>
      <c r="BQ50" s="105">
        <v>4.7554123463884129E-2</v>
      </c>
      <c r="BR50" s="105">
        <v>4.7584688625201703E-2</v>
      </c>
      <c r="BS50" s="105">
        <v>4.7851606545182016E-2</v>
      </c>
      <c r="BT50" s="105">
        <v>4.5630146914590976E-2</v>
      </c>
      <c r="BU50" s="105">
        <v>4.6207250242844222E-2</v>
      </c>
      <c r="BV50" s="105">
        <v>4.6917226841712928E-2</v>
      </c>
      <c r="BW50" s="105">
        <v>4.6993669775253037E-2</v>
      </c>
      <c r="BX50" s="105">
        <v>4.6420769533551315E-2</v>
      </c>
      <c r="BY50" s="105">
        <v>4.8146688743591064E-2</v>
      </c>
      <c r="BZ50" s="105">
        <v>4.6113015686998035E-2</v>
      </c>
      <c r="CA50" s="105">
        <v>4.6532062877311688E-2</v>
      </c>
      <c r="CB50" s="105">
        <v>4.6860682604298841E-2</v>
      </c>
      <c r="CC50" s="105">
        <v>4.5921700885912096E-2</v>
      </c>
      <c r="CD50" s="105">
        <v>4.739510068707152E-2</v>
      </c>
      <c r="CE50" s="105">
        <v>4.7558064858172322E-2</v>
      </c>
      <c r="CF50" s="105">
        <v>4.6501709652145291E-2</v>
      </c>
      <c r="CG50" s="105">
        <v>4.6359891422511887E-2</v>
      </c>
      <c r="CH50" s="105">
        <v>4.8716469912583237E-2</v>
      </c>
      <c r="CI50" s="105">
        <v>4.615728617458062E-2</v>
      </c>
      <c r="CJ50" s="105">
        <v>4.6406490451655569E-2</v>
      </c>
      <c r="CK50" s="105">
        <v>4.6958715108105238E-2</v>
      </c>
      <c r="CL50" s="105">
        <v>4.8304140643181392E-2</v>
      </c>
      <c r="CM50" s="105">
        <v>4.7754217407696045E-2</v>
      </c>
      <c r="CN50" s="105">
        <v>4.6849911826689621E-2</v>
      </c>
      <c r="CO50" s="105">
        <v>4.6570060384702142E-2</v>
      </c>
      <c r="CP50" s="105">
        <v>4.800407282063273E-2</v>
      </c>
      <c r="CQ50" s="105">
        <v>4.5997694875957354E-2</v>
      </c>
      <c r="CR50" s="105">
        <v>4.8416162164915622E-2</v>
      </c>
      <c r="CS50" s="105">
        <v>4.756555269607441E-2</v>
      </c>
      <c r="CT50" s="105">
        <v>4.6307314307812472E-2</v>
      </c>
      <c r="CU50" s="105">
        <v>4.7024442620918261E-2</v>
      </c>
      <c r="CV50" s="105">
        <v>4.7011295405678354E-2</v>
      </c>
      <c r="CW50" s="105">
        <v>4.7768862525820875E-2</v>
      </c>
      <c r="CX50" s="105">
        <v>4.8002383916543843E-2</v>
      </c>
    </row>
    <row r="51" spans="1:102" s="95" customFormat="1">
      <c r="A51" s="23"/>
      <c r="B51" s="56" t="s">
        <v>56</v>
      </c>
      <c r="C51" s="105">
        <v>0.10152138171737646</v>
      </c>
      <c r="D51" s="105">
        <v>0.10181424954875833</v>
      </c>
      <c r="E51" s="105">
        <v>0.101085732141626</v>
      </c>
      <c r="F51" s="105">
        <v>0.1016763501340258</v>
      </c>
      <c r="G51" s="105">
        <v>0.10069338697485219</v>
      </c>
      <c r="H51" s="105">
        <v>0.10176991051828328</v>
      </c>
      <c r="I51" s="105">
        <v>0.10221923090592579</v>
      </c>
      <c r="J51" s="105">
        <v>0.10155842420556696</v>
      </c>
      <c r="K51" s="105">
        <v>0.10163152323939023</v>
      </c>
      <c r="L51" s="105">
        <v>0.10146141207516154</v>
      </c>
      <c r="M51" s="105">
        <v>0.10167401889406939</v>
      </c>
      <c r="N51" s="105">
        <v>0.10175077671718083</v>
      </c>
      <c r="O51" s="105">
        <v>0.10230232077158524</v>
      </c>
      <c r="P51" s="105">
        <v>0.10088499819957125</v>
      </c>
      <c r="Q51" s="105">
        <v>0.10232224451427362</v>
      </c>
      <c r="R51" s="105">
        <v>0.10088114308132509</v>
      </c>
      <c r="S51" s="105">
        <v>0.10126225430460892</v>
      </c>
      <c r="T51" s="105">
        <v>0.10190282779210645</v>
      </c>
      <c r="U51" s="105">
        <v>0.10229897717454814</v>
      </c>
      <c r="V51" s="105">
        <v>0.10251253549847958</v>
      </c>
      <c r="W51" s="105">
        <v>0.10078016454245511</v>
      </c>
      <c r="X51" s="105">
        <v>0.1020290118503919</v>
      </c>
      <c r="Y51" s="105">
        <v>0.10084987758725057</v>
      </c>
      <c r="Z51" s="105">
        <v>0.10191196349751031</v>
      </c>
      <c r="AA51" s="105">
        <v>0.100600208088149</v>
      </c>
      <c r="AB51" s="105">
        <v>0.10190347525238273</v>
      </c>
      <c r="AC51" s="105">
        <v>0.10055960325853289</v>
      </c>
      <c r="AD51" s="105">
        <v>0.10158799531119166</v>
      </c>
      <c r="AE51" s="105">
        <v>0.10276592808094373</v>
      </c>
      <c r="AF51" s="105">
        <v>0.10176728242363904</v>
      </c>
      <c r="AG51" s="105">
        <v>0.10069454754351559</v>
      </c>
      <c r="AH51" s="105">
        <v>0.10244172455873836</v>
      </c>
      <c r="AI51" s="105">
        <v>0.10337141468009878</v>
      </c>
      <c r="AJ51" s="105">
        <v>0.10088545283689701</v>
      </c>
      <c r="AK51" s="105">
        <v>0.10117833182196947</v>
      </c>
      <c r="AL51" s="105">
        <v>0.10077712059791154</v>
      </c>
      <c r="AM51" s="105">
        <v>0.1020652611192101</v>
      </c>
      <c r="AN51" s="105">
        <v>0.10140630626947408</v>
      </c>
      <c r="AO51" s="105">
        <v>0.1032445666907722</v>
      </c>
      <c r="AP51" s="105">
        <v>0.10146311700632871</v>
      </c>
      <c r="AQ51" s="105">
        <v>0.10147242319181723</v>
      </c>
      <c r="AR51" s="105">
        <v>0.10128988896047358</v>
      </c>
      <c r="AS51" s="105">
        <v>0.10125351911087764</v>
      </c>
      <c r="AT51" s="105">
        <v>0.10102853342096937</v>
      </c>
      <c r="AU51" s="105">
        <v>0.10135831692077429</v>
      </c>
      <c r="AV51" s="105">
        <v>0.10111061289494162</v>
      </c>
      <c r="AW51" s="105">
        <v>0.10077982669064917</v>
      </c>
      <c r="AX51" s="105">
        <v>0.10141291168561947</v>
      </c>
      <c r="AY51" s="105">
        <v>0.10064498274059505</v>
      </c>
      <c r="AZ51" s="105">
        <v>0.10084590901212649</v>
      </c>
      <c r="BA51" s="105">
        <v>0.10309083315115737</v>
      </c>
      <c r="BB51" s="105">
        <v>0.10050290019570696</v>
      </c>
      <c r="BC51" s="105">
        <v>0.10155989042630366</v>
      </c>
      <c r="BD51" s="105">
        <v>0.10119605078056983</v>
      </c>
      <c r="BE51" s="105">
        <v>0.10177976744657442</v>
      </c>
      <c r="BF51" s="105">
        <v>0.10043393434675871</v>
      </c>
      <c r="BG51" s="105">
        <v>0.10286132285501021</v>
      </c>
      <c r="BH51" s="105">
        <v>0.10341398652477973</v>
      </c>
      <c r="BI51" s="105">
        <v>0.10081736585490825</v>
      </c>
      <c r="BJ51" s="105">
        <v>0.10202862247320375</v>
      </c>
      <c r="BK51" s="105">
        <v>0.1010557369852397</v>
      </c>
      <c r="BL51" s="105">
        <v>0.10286219129997953</v>
      </c>
      <c r="BM51" s="105">
        <v>0.10243482313836587</v>
      </c>
      <c r="BN51" s="105">
        <v>0.10197047207458319</v>
      </c>
      <c r="BO51" s="105">
        <v>0.10109690145037895</v>
      </c>
      <c r="BP51" s="105">
        <v>0.10247298401075905</v>
      </c>
      <c r="BQ51" s="105">
        <v>0.1025305926101916</v>
      </c>
      <c r="BR51" s="105">
        <v>0.1026119963060131</v>
      </c>
      <c r="BS51" s="105">
        <v>0.10288176098385485</v>
      </c>
      <c r="BT51" s="105">
        <v>0.10054791880458254</v>
      </c>
      <c r="BU51" s="105">
        <v>0.10115464815361298</v>
      </c>
      <c r="BV51" s="105">
        <v>0.10196558379375897</v>
      </c>
      <c r="BW51" s="105">
        <v>0.10189810623912493</v>
      </c>
      <c r="BX51" s="105">
        <v>0.10096789387716718</v>
      </c>
      <c r="BY51" s="105">
        <v>0.10223813809831189</v>
      </c>
      <c r="BZ51" s="105">
        <v>0.10085343715263391</v>
      </c>
      <c r="CA51" s="105">
        <v>0.10120083814123561</v>
      </c>
      <c r="CB51" s="105">
        <v>0.10171464374659737</v>
      </c>
      <c r="CC51" s="105">
        <v>0.10059837630646537</v>
      </c>
      <c r="CD51" s="105">
        <v>0.1024550291906476</v>
      </c>
      <c r="CE51" s="105">
        <v>0.10247522127243805</v>
      </c>
      <c r="CF51" s="105">
        <v>0.10079518641235036</v>
      </c>
      <c r="CG51" s="105">
        <v>0.10055736358564983</v>
      </c>
      <c r="CH51" s="105">
        <v>0.10359674474198781</v>
      </c>
      <c r="CI51" s="105">
        <v>0.10068337951975127</v>
      </c>
      <c r="CJ51" s="105">
        <v>0.10087607688552107</v>
      </c>
      <c r="CK51" s="105">
        <v>0.10115439832435402</v>
      </c>
      <c r="CL51" s="105">
        <v>0.10218958326177732</v>
      </c>
      <c r="CM51" s="105">
        <v>0.10283037254338925</v>
      </c>
      <c r="CN51" s="105">
        <v>0.10159024877429632</v>
      </c>
      <c r="CO51" s="105">
        <v>0.10171872472761607</v>
      </c>
      <c r="CP51" s="105">
        <v>0.10270274341583108</v>
      </c>
      <c r="CQ51" s="105">
        <v>0.10049618837149533</v>
      </c>
      <c r="CR51" s="105">
        <v>0.1032557436185926</v>
      </c>
      <c r="CS51" s="105">
        <v>0.10205412175624008</v>
      </c>
      <c r="CT51" s="105">
        <v>0.10155382110640568</v>
      </c>
      <c r="CU51" s="105">
        <v>0.10148625656969909</v>
      </c>
      <c r="CV51" s="105">
        <v>0.10185872345035862</v>
      </c>
      <c r="CW51" s="105">
        <v>0.10300057832851672</v>
      </c>
      <c r="CX51" s="105">
        <v>0.10309998794814364</v>
      </c>
    </row>
    <row r="52" spans="1:102" s="96" customFormat="1">
      <c r="A52" s="106"/>
      <c r="B52" s="56" t="s">
        <v>114</v>
      </c>
      <c r="C52" s="105">
        <v>0.33716344098913753</v>
      </c>
      <c r="D52" s="105">
        <v>0.33718869568712928</v>
      </c>
      <c r="E52" s="105">
        <v>0.33791834592477155</v>
      </c>
      <c r="F52" s="105">
        <v>0.33575754855168194</v>
      </c>
      <c r="G52" s="105">
        <v>0.34317058167548692</v>
      </c>
      <c r="H52" s="105">
        <v>0.33732122706234763</v>
      </c>
      <c r="I52" s="105">
        <v>0.33688095209377444</v>
      </c>
      <c r="J52" s="105">
        <v>0.33942093281886265</v>
      </c>
      <c r="K52" s="105">
        <v>0.33631226179573115</v>
      </c>
      <c r="L52" s="105">
        <v>0.33963578530296828</v>
      </c>
      <c r="M52" s="105">
        <v>0.33557363854909378</v>
      </c>
      <c r="N52" s="105">
        <v>0.33427082954423371</v>
      </c>
      <c r="O52" s="105">
        <v>0.33546186268100853</v>
      </c>
      <c r="P52" s="105">
        <v>0.34010179264358414</v>
      </c>
      <c r="Q52" s="105">
        <v>0.33269597834341602</v>
      </c>
      <c r="R52" s="105">
        <v>0.34145632447640573</v>
      </c>
      <c r="S52" s="105">
        <v>0.33362010156437716</v>
      </c>
      <c r="T52" s="105">
        <v>0.33535105946235799</v>
      </c>
      <c r="U52" s="105">
        <v>0.33529134909910541</v>
      </c>
      <c r="V52" s="105">
        <v>0.33444352435834179</v>
      </c>
      <c r="W52" s="105">
        <v>0.33656921168861986</v>
      </c>
      <c r="X52" s="105">
        <v>0.33346805601122198</v>
      </c>
      <c r="Y52" s="105">
        <v>0.33927444960019015</v>
      </c>
      <c r="Z52" s="105">
        <v>0.33675962221243305</v>
      </c>
      <c r="AA52" s="105">
        <v>0.33795766736526434</v>
      </c>
      <c r="AB52" s="105">
        <v>0.33799653848573818</v>
      </c>
      <c r="AC52" s="105">
        <v>0.33911315979814421</v>
      </c>
      <c r="AD52" s="105">
        <v>0.337863200804016</v>
      </c>
      <c r="AE52" s="105">
        <v>0.3317568775252705</v>
      </c>
      <c r="AF52" s="105">
        <v>0.33701889074752545</v>
      </c>
      <c r="AG52" s="105">
        <v>0.3391604715550155</v>
      </c>
      <c r="AH52" s="105">
        <v>0.33060023746497158</v>
      </c>
      <c r="AI52" s="105">
        <v>0.33264929377490932</v>
      </c>
      <c r="AJ52" s="105">
        <v>0.34182655971181042</v>
      </c>
      <c r="AK52" s="105">
        <v>0.33436398991856275</v>
      </c>
      <c r="AL52" s="105">
        <v>0.34007722651077998</v>
      </c>
      <c r="AM52" s="105">
        <v>0.33015719936831173</v>
      </c>
      <c r="AN52" s="105">
        <v>0.33327346019933035</v>
      </c>
      <c r="AO52" s="105">
        <v>0.33312783910983695</v>
      </c>
      <c r="AP52" s="105">
        <v>0.33182282390430218</v>
      </c>
      <c r="AQ52" s="105">
        <v>0.33936910703155099</v>
      </c>
      <c r="AR52" s="105">
        <v>0.33764708853897846</v>
      </c>
      <c r="AS52" s="105">
        <v>0.33424515463084814</v>
      </c>
      <c r="AT52" s="105">
        <v>0.33965977013563353</v>
      </c>
      <c r="AU52" s="105">
        <v>0.3331703993608342</v>
      </c>
      <c r="AV52" s="105">
        <v>0.33367610812020299</v>
      </c>
      <c r="AW52" s="105">
        <v>0.34061294016129118</v>
      </c>
      <c r="AX52" s="105">
        <v>0.33924969610576355</v>
      </c>
      <c r="AY52" s="105">
        <v>0.33581010309262238</v>
      </c>
      <c r="AZ52" s="105">
        <v>0.33515461307029693</v>
      </c>
      <c r="BA52" s="105">
        <v>0.33443574715405744</v>
      </c>
      <c r="BB52" s="105">
        <v>0.3440668982967775</v>
      </c>
      <c r="BC52" s="105">
        <v>0.33410396377488644</v>
      </c>
      <c r="BD52" s="105">
        <v>0.33471198444160599</v>
      </c>
      <c r="BE52" s="105">
        <v>0.32950861049665769</v>
      </c>
      <c r="BF52" s="105">
        <v>0.34101911314399908</v>
      </c>
      <c r="BG52" s="105">
        <v>0.33371940100806674</v>
      </c>
      <c r="BH52" s="105">
        <v>0.33023611535273079</v>
      </c>
      <c r="BI52" s="105">
        <v>0.33518032237013679</v>
      </c>
      <c r="BJ52" s="105">
        <v>0.33424211036576373</v>
      </c>
      <c r="BK52" s="105">
        <v>0.33835299097767157</v>
      </c>
      <c r="BL52" s="105">
        <v>0.3342513072712221</v>
      </c>
      <c r="BM52" s="105">
        <v>0.33383265236050486</v>
      </c>
      <c r="BN52" s="105">
        <v>0.33128211095041438</v>
      </c>
      <c r="BO52" s="105">
        <v>0.33401125070366344</v>
      </c>
      <c r="BP52" s="105">
        <v>0.33186197956181862</v>
      </c>
      <c r="BQ52" s="105">
        <v>0.33146396476601248</v>
      </c>
      <c r="BR52" s="105">
        <v>0.33164528606380672</v>
      </c>
      <c r="BS52" s="105">
        <v>0.33572339557115216</v>
      </c>
      <c r="BT52" s="105">
        <v>0.34425075583565468</v>
      </c>
      <c r="BU52" s="105">
        <v>0.33649075809816498</v>
      </c>
      <c r="BV52" s="105">
        <v>0.33488150003710282</v>
      </c>
      <c r="BW52" s="105">
        <v>0.33793152851452968</v>
      </c>
      <c r="BX52" s="105">
        <v>0.34206221929094749</v>
      </c>
      <c r="BY52" s="105">
        <v>0.32944610698168203</v>
      </c>
      <c r="BZ52" s="105">
        <v>0.34070109164270945</v>
      </c>
      <c r="CA52" s="105">
        <v>0.33233718548200603</v>
      </c>
      <c r="CB52" s="105">
        <v>0.33847985630674904</v>
      </c>
      <c r="CC52" s="105">
        <v>0.3377361670270313</v>
      </c>
      <c r="CD52" s="105">
        <v>0.33293202204896466</v>
      </c>
      <c r="CE52" s="105">
        <v>0.33230554262749051</v>
      </c>
      <c r="CF52" s="105">
        <v>0.33146875276891452</v>
      </c>
      <c r="CG52" s="105">
        <v>0.33597385859710793</v>
      </c>
      <c r="CH52" s="105">
        <v>0.33362295989511798</v>
      </c>
      <c r="CI52" s="105">
        <v>0.33439735892055816</v>
      </c>
      <c r="CJ52" s="105">
        <v>0.33359840850091005</v>
      </c>
      <c r="CK52" s="105">
        <v>0.32883506927379891</v>
      </c>
      <c r="CL52" s="105">
        <v>0.33112014700751624</v>
      </c>
      <c r="CM52" s="105">
        <v>0.33194089191449228</v>
      </c>
      <c r="CN52" s="105">
        <v>0.33124814673932357</v>
      </c>
      <c r="CO52" s="105">
        <v>0.33896042968943024</v>
      </c>
      <c r="CP52" s="105">
        <v>0.32969926789490511</v>
      </c>
      <c r="CQ52" s="105">
        <v>0.34308676186434184</v>
      </c>
      <c r="CR52" s="105">
        <v>0.33331441027015218</v>
      </c>
      <c r="CS52" s="105">
        <v>0.33016549481451241</v>
      </c>
      <c r="CT52" s="105">
        <v>0.33594366884853866</v>
      </c>
      <c r="CU52" s="105">
        <v>0.32882019954101688</v>
      </c>
      <c r="CV52" s="105">
        <v>0.33158562048196005</v>
      </c>
      <c r="CW52" s="105">
        <v>0.33290562735198637</v>
      </c>
      <c r="CX52" s="105">
        <v>0.33305848877754335</v>
      </c>
    </row>
    <row r="53" spans="1:102" s="95" customFormat="1">
      <c r="A53" s="88" t="str">
        <f>Parameters!A43</f>
        <v>Vermogenseffect &amp; innovatie</v>
      </c>
      <c r="B53" s="102" t="s">
        <v>29</v>
      </c>
      <c r="C53" s="103">
        <v>8.0701086130173849E-2</v>
      </c>
      <c r="D53" s="103">
        <v>8.0747665410391273E-2</v>
      </c>
      <c r="E53" s="103">
        <v>8.1516635546944174E-2</v>
      </c>
      <c r="F53" s="103">
        <v>8.1092118113664013E-2</v>
      </c>
      <c r="G53" s="103">
        <v>8.1813322967894675E-2</v>
      </c>
      <c r="H53" s="103">
        <v>8.0692456075654576E-2</v>
      </c>
      <c r="I53" s="103">
        <v>8.0614446790356453E-2</v>
      </c>
      <c r="J53" s="103">
        <v>8.0889630421873665E-2</v>
      </c>
      <c r="K53" s="103">
        <v>8.1651948216531184E-2</v>
      </c>
      <c r="L53" s="103">
        <v>8.1295599459660389E-2</v>
      </c>
      <c r="M53" s="103">
        <v>8.1243967107500092E-2</v>
      </c>
      <c r="N53" s="103">
        <v>8.1277470004301286E-2</v>
      </c>
      <c r="O53" s="103">
        <v>8.0663576751934057E-2</v>
      </c>
      <c r="P53" s="103">
        <v>8.1752186763302953E-2</v>
      </c>
      <c r="Q53" s="103">
        <v>7.9697343342239296E-2</v>
      </c>
      <c r="R53" s="103">
        <v>8.1153620488612174E-2</v>
      </c>
      <c r="S53" s="103">
        <v>8.1902365953390316E-2</v>
      </c>
      <c r="T53" s="103">
        <v>8.0179126011215712E-2</v>
      </c>
      <c r="U53" s="103">
        <v>8.0239158357685261E-2</v>
      </c>
      <c r="V53" s="103">
        <v>7.9930872533117842E-2</v>
      </c>
      <c r="W53" s="103">
        <v>8.2565407101312382E-2</v>
      </c>
      <c r="X53" s="103">
        <v>8.103759205145139E-2</v>
      </c>
      <c r="Y53" s="103">
        <v>8.1701761137641174E-2</v>
      </c>
      <c r="Z53" s="103">
        <v>8.1253703225248552E-2</v>
      </c>
      <c r="AA53" s="103">
        <v>8.2969628862594499E-2</v>
      </c>
      <c r="AB53" s="103">
        <v>8.037846958472139E-2</v>
      </c>
      <c r="AC53" s="103">
        <v>8.2942694923963403E-2</v>
      </c>
      <c r="AD53" s="103">
        <v>8.1356286820526175E-2</v>
      </c>
      <c r="AE53" s="103">
        <v>7.9452660798189675E-2</v>
      </c>
      <c r="AF53" s="103">
        <v>8.0978862995042172E-2</v>
      </c>
      <c r="AG53" s="103">
        <v>8.3223810676745252E-2</v>
      </c>
      <c r="AH53" s="103">
        <v>8.0178064846233577E-2</v>
      </c>
      <c r="AI53" s="103">
        <v>7.879942236924152E-2</v>
      </c>
      <c r="AJ53" s="103">
        <v>8.155544840491763E-2</v>
      </c>
      <c r="AK53" s="103">
        <v>8.2542318884122987E-2</v>
      </c>
      <c r="AL53" s="103">
        <v>8.1741120840270548E-2</v>
      </c>
      <c r="AM53" s="103">
        <v>8.1429652013577908E-2</v>
      </c>
      <c r="AN53" s="103">
        <v>8.0810172383225395E-2</v>
      </c>
      <c r="AO53" s="103">
        <v>7.9000618417813917E-2</v>
      </c>
      <c r="AP53" s="103">
        <v>8.2612938708730418E-2</v>
      </c>
      <c r="AQ53" s="103">
        <v>8.0880138271546304E-2</v>
      </c>
      <c r="AR53" s="103">
        <v>8.1993565721719841E-2</v>
      </c>
      <c r="AS53" s="103">
        <v>8.1030162280482584E-2</v>
      </c>
      <c r="AT53" s="103">
        <v>8.1396162086208562E-2</v>
      </c>
      <c r="AU53" s="103">
        <v>8.2774235832382359E-2</v>
      </c>
      <c r="AV53" s="103">
        <v>8.1583399540276824E-2</v>
      </c>
      <c r="AW53" s="103">
        <v>8.1659098460364149E-2</v>
      </c>
      <c r="AX53" s="103">
        <v>8.127570399234868E-2</v>
      </c>
      <c r="AY53" s="103">
        <v>8.2744667081778786E-2</v>
      </c>
      <c r="AZ53" s="103">
        <v>8.2589449023637143E-2</v>
      </c>
      <c r="BA53" s="103">
        <v>7.9225204101090546E-2</v>
      </c>
      <c r="BB53" s="103">
        <v>8.1195530939714586E-2</v>
      </c>
      <c r="BC53" s="103">
        <v>8.2431232169208182E-2</v>
      </c>
      <c r="BD53" s="103">
        <v>8.3008713739437079E-2</v>
      </c>
      <c r="BE53" s="103">
        <v>8.2159564696280704E-2</v>
      </c>
      <c r="BF53" s="103">
        <v>8.257641193701723E-2</v>
      </c>
      <c r="BG53" s="103">
        <v>8.0502647353130813E-2</v>
      </c>
      <c r="BH53" s="103">
        <v>7.8748907317514924E-2</v>
      </c>
      <c r="BI53" s="103">
        <v>8.2824772068737507E-2</v>
      </c>
      <c r="BJ53" s="103">
        <v>8.0379724710734859E-2</v>
      </c>
      <c r="BK53" s="103">
        <v>8.0311829599246418E-2</v>
      </c>
      <c r="BL53" s="103">
        <v>8.0657418406398451E-2</v>
      </c>
      <c r="BM53" s="103">
        <v>8.0711252497903729E-2</v>
      </c>
      <c r="BN53" s="103">
        <v>8.1917978873291789E-2</v>
      </c>
      <c r="BO53" s="103">
        <v>8.2907330634816132E-2</v>
      </c>
      <c r="BP53" s="103">
        <v>7.9809185589923254E-2</v>
      </c>
      <c r="BQ53" s="103">
        <v>8.2397310946928232E-2</v>
      </c>
      <c r="BR53" s="103">
        <v>8.2376251220311711E-2</v>
      </c>
      <c r="BS53" s="103">
        <v>7.977462080078529E-2</v>
      </c>
      <c r="BT53" s="103">
        <v>8.2295229914746665E-2</v>
      </c>
      <c r="BU53" s="103">
        <v>8.2740219094082551E-2</v>
      </c>
      <c r="BV53" s="103">
        <v>8.2520100023482867E-2</v>
      </c>
      <c r="BW53" s="103">
        <v>8.022291370365614E-2</v>
      </c>
      <c r="BX53" s="103">
        <v>8.0623715046699879E-2</v>
      </c>
      <c r="BY53" s="103">
        <v>8.0129866645325384E-2</v>
      </c>
      <c r="BZ53" s="103">
        <v>8.1418452416005649E-2</v>
      </c>
      <c r="CA53" s="103">
        <v>8.3084362080750943E-2</v>
      </c>
      <c r="CB53" s="103">
        <v>8.055475074829252E-2</v>
      </c>
      <c r="CC53" s="103">
        <v>8.4291925707649679E-2</v>
      </c>
      <c r="CD53" s="103">
        <v>8.2234428828849876E-2</v>
      </c>
      <c r="CE53" s="103">
        <v>8.1236664182909882E-2</v>
      </c>
      <c r="CF53" s="103">
        <v>8.2993887205110681E-2</v>
      </c>
      <c r="CG53" s="103">
        <v>8.1990423663114112E-2</v>
      </c>
      <c r="CH53" s="103">
        <v>7.9098176431273343E-2</v>
      </c>
      <c r="CI53" s="103">
        <v>8.3471547113117273E-2</v>
      </c>
      <c r="CJ53" s="103">
        <v>8.2665324422710448E-2</v>
      </c>
      <c r="CK53" s="103">
        <v>8.2561157211522684E-2</v>
      </c>
      <c r="CL53" s="103">
        <v>7.9027756401534699E-2</v>
      </c>
      <c r="CM53" s="103">
        <v>8.2430450842682329E-2</v>
      </c>
      <c r="CN53" s="103">
        <v>8.2698484634599764E-2</v>
      </c>
      <c r="CO53" s="103">
        <v>8.1343479488809114E-2</v>
      </c>
      <c r="CP53" s="103">
        <v>8.0639463569536329E-2</v>
      </c>
      <c r="CQ53" s="103">
        <v>8.148534397342308E-2</v>
      </c>
      <c r="CR53" s="103">
        <v>7.945280893810111E-2</v>
      </c>
      <c r="CS53" s="103">
        <v>8.1028954345574819E-2</v>
      </c>
      <c r="CT53" s="103">
        <v>8.271916740806122E-2</v>
      </c>
      <c r="CU53" s="103">
        <v>8.2733602120537986E-2</v>
      </c>
      <c r="CV53" s="103">
        <v>8.2366842227235781E-2</v>
      </c>
      <c r="CW53" s="103">
        <v>8.1096109562168672E-2</v>
      </c>
      <c r="CX53" s="103">
        <v>8.0934518302890626E-2</v>
      </c>
    </row>
    <row r="54" spans="1:102">
      <c r="A54" s="23"/>
      <c r="B54" s="14" t="s">
        <v>30</v>
      </c>
      <c r="C54" s="105">
        <v>6.1744098611387022E-2</v>
      </c>
      <c r="D54" s="105">
        <v>6.2278613611555685E-2</v>
      </c>
      <c r="E54" s="105">
        <v>6.089768040589208E-2</v>
      </c>
      <c r="F54" s="105">
        <v>6.1990896017936524E-2</v>
      </c>
      <c r="G54" s="105">
        <v>6.0375119503073879E-2</v>
      </c>
      <c r="H54" s="105">
        <v>6.2220540209557508E-2</v>
      </c>
      <c r="I54" s="105">
        <v>6.2781178921592809E-2</v>
      </c>
      <c r="J54" s="105">
        <v>6.1878267309860714E-2</v>
      </c>
      <c r="K54" s="105">
        <v>6.1686580480937836E-2</v>
      </c>
      <c r="L54" s="105">
        <v>6.1582104253002368E-2</v>
      </c>
      <c r="M54" s="105">
        <v>6.1896751388057232E-2</v>
      </c>
      <c r="N54" s="105">
        <v>6.189637332362212E-2</v>
      </c>
      <c r="O54" s="105">
        <v>6.2924406394833821E-2</v>
      </c>
      <c r="P54" s="105">
        <v>6.051610995020483E-2</v>
      </c>
      <c r="Q54" s="105">
        <v>6.3001355346774687E-2</v>
      </c>
      <c r="R54" s="105">
        <v>6.0637987127122012E-2</v>
      </c>
      <c r="S54" s="105">
        <v>6.0963653688896967E-2</v>
      </c>
      <c r="T54" s="105">
        <v>6.235426634570166E-2</v>
      </c>
      <c r="U54" s="105">
        <v>6.3021288497852893E-2</v>
      </c>
      <c r="V54" s="105">
        <v>6.3392511822051009E-2</v>
      </c>
      <c r="W54" s="105">
        <v>6.0135679251991425E-2</v>
      </c>
      <c r="X54" s="105">
        <v>6.2437574314614774E-2</v>
      </c>
      <c r="Y54" s="105">
        <v>6.0370282542571083E-2</v>
      </c>
      <c r="Z54" s="105">
        <v>6.2191801662385228E-2</v>
      </c>
      <c r="AA54" s="105">
        <v>5.9704848778573162E-2</v>
      </c>
      <c r="AB54" s="105">
        <v>6.2502824015517225E-2</v>
      </c>
      <c r="AC54" s="105">
        <v>5.9621655799516678E-2</v>
      </c>
      <c r="AD54" s="105">
        <v>6.1505930484319737E-2</v>
      </c>
      <c r="AE54" s="105">
        <v>6.3529924400957061E-2</v>
      </c>
      <c r="AF54" s="105">
        <v>6.2310897945213634E-2</v>
      </c>
      <c r="AG54" s="105">
        <v>5.996809503046991E-2</v>
      </c>
      <c r="AH54" s="105">
        <v>6.3113779594009586E-2</v>
      </c>
      <c r="AI54" s="105">
        <v>6.4719674493525295E-2</v>
      </c>
      <c r="AJ54" s="105">
        <v>6.0525995060316862E-2</v>
      </c>
      <c r="AK54" s="105">
        <v>6.0644493330722124E-2</v>
      </c>
      <c r="AL54" s="105">
        <v>6.0607637069848168E-2</v>
      </c>
      <c r="AM54" s="105">
        <v>6.202196234704916E-2</v>
      </c>
      <c r="AN54" s="105">
        <v>6.1317578107687037E-2</v>
      </c>
      <c r="AO54" s="105">
        <v>6.4478319257009684E-2</v>
      </c>
      <c r="AP54" s="105">
        <v>6.096272879908135E-2</v>
      </c>
      <c r="AQ54" s="105">
        <v>6.1427345461568215E-2</v>
      </c>
      <c r="AR54" s="105">
        <v>6.0878214405238031E-2</v>
      </c>
      <c r="AS54" s="105">
        <v>6.1120915663701328E-2</v>
      </c>
      <c r="AT54" s="105">
        <v>6.1058777918328609E-2</v>
      </c>
      <c r="AU54" s="105">
        <v>6.0769075347587694E-2</v>
      </c>
      <c r="AV54" s="105">
        <v>6.089618716542132E-2</v>
      </c>
      <c r="AW54" s="105">
        <v>6.0556400727474306E-2</v>
      </c>
      <c r="AX54" s="105">
        <v>6.1304362980428441E-2</v>
      </c>
      <c r="AY54" s="105">
        <v>5.9791073338773433E-2</v>
      </c>
      <c r="AZ54" s="105">
        <v>6.0100016007805943E-2</v>
      </c>
      <c r="BA54" s="105">
        <v>6.4079091629877974E-2</v>
      </c>
      <c r="BB54" s="105">
        <v>6.0049250376693349E-2</v>
      </c>
      <c r="BC54" s="105">
        <v>6.1207229314297645E-2</v>
      </c>
      <c r="BD54" s="105">
        <v>6.0364156360124467E-2</v>
      </c>
      <c r="BE54" s="105">
        <v>6.13867359578463E-2</v>
      </c>
      <c r="BF54" s="105">
        <v>5.9864145414188108E-2</v>
      </c>
      <c r="BG54" s="105">
        <v>6.3623653516861153E-2</v>
      </c>
      <c r="BH54" s="105">
        <v>6.4667227327748378E-2</v>
      </c>
      <c r="BI54" s="105">
        <v>5.9784677624537264E-2</v>
      </c>
      <c r="BJ54" s="105">
        <v>6.2397008628386798E-2</v>
      </c>
      <c r="BK54" s="105">
        <v>6.0800236834339029E-2</v>
      </c>
      <c r="BL54" s="105">
        <v>6.3423628598356097E-2</v>
      </c>
      <c r="BM54" s="105">
        <v>6.2935330908503853E-2</v>
      </c>
      <c r="BN54" s="105">
        <v>6.193697406779617E-2</v>
      </c>
      <c r="BO54" s="105">
        <v>6.0366282656118271E-2</v>
      </c>
      <c r="BP54" s="105">
        <v>6.3130425974164031E-2</v>
      </c>
      <c r="BQ54" s="105">
        <v>6.2447286564142682E-2</v>
      </c>
      <c r="BR54" s="105">
        <v>6.2469126930443902E-2</v>
      </c>
      <c r="BS54" s="105">
        <v>6.3654892602466526E-2</v>
      </c>
      <c r="BT54" s="105">
        <v>5.9702516034255727E-2</v>
      </c>
      <c r="BU54" s="105">
        <v>6.025357327185734E-2</v>
      </c>
      <c r="BV54" s="105">
        <v>6.1548124628259857E-2</v>
      </c>
      <c r="BW54" s="105">
        <v>6.2106391578515795E-2</v>
      </c>
      <c r="BX54" s="105">
        <v>6.0690906159632227E-2</v>
      </c>
      <c r="BY54" s="105">
        <v>6.2535178651502377E-2</v>
      </c>
      <c r="BZ54" s="105">
        <v>6.0311665925276606E-2</v>
      </c>
      <c r="CA54" s="105">
        <v>6.0458364297703703E-2</v>
      </c>
      <c r="CB54" s="105">
        <v>6.1937592113198298E-2</v>
      </c>
      <c r="CC54" s="105">
        <v>5.9081785303586945E-2</v>
      </c>
      <c r="CD54" s="105">
        <v>6.2294382793398564E-2</v>
      </c>
      <c r="CE54" s="105">
        <v>6.2835701791526477E-2</v>
      </c>
      <c r="CF54" s="105">
        <v>5.9814215609602213E-2</v>
      </c>
      <c r="CG54" s="105">
        <v>5.9500664349844565E-2</v>
      </c>
      <c r="CH54" s="105">
        <v>6.4760748073881561E-2</v>
      </c>
      <c r="CI54" s="105">
        <v>5.9873482562772563E-2</v>
      </c>
      <c r="CJ54" s="105">
        <v>6.0313045573121192E-2</v>
      </c>
      <c r="CK54" s="105">
        <v>6.0367317102925235E-2</v>
      </c>
      <c r="CL54" s="105">
        <v>6.2350412974578447E-2</v>
      </c>
      <c r="CM54" s="105">
        <v>6.2698024025971827E-2</v>
      </c>
      <c r="CN54" s="105">
        <v>6.0800617171871955E-2</v>
      </c>
      <c r="CO54" s="105">
        <v>6.1812042816931596E-2</v>
      </c>
      <c r="CP54" s="105">
        <v>6.3098137990610551E-2</v>
      </c>
      <c r="CQ54" s="105">
        <v>5.989458412925807E-2</v>
      </c>
      <c r="CR54" s="105">
        <v>6.4268078273701568E-2</v>
      </c>
      <c r="CS54" s="105">
        <v>6.2157273664982048E-2</v>
      </c>
      <c r="CT54" s="105">
        <v>6.1065560360206744E-2</v>
      </c>
      <c r="CU54" s="105">
        <v>6.0498951658517458E-2</v>
      </c>
      <c r="CV54" s="105">
        <v>6.1637463208025454E-2</v>
      </c>
      <c r="CW54" s="105">
        <v>6.3406997734352308E-2</v>
      </c>
      <c r="CX54" s="105">
        <v>6.3578613250478117E-2</v>
      </c>
    </row>
    <row r="55" spans="1:102">
      <c r="A55" s="23"/>
      <c r="B55" s="56" t="s">
        <v>56</v>
      </c>
      <c r="C55" s="105">
        <v>0.10680901467374154</v>
      </c>
      <c r="D55" s="105">
        <v>0.10745284368461756</v>
      </c>
      <c r="E55" s="105">
        <v>0.10633655135740457</v>
      </c>
      <c r="F55" s="105">
        <v>0.1072208022124474</v>
      </c>
      <c r="G55" s="105">
        <v>0.10594192912546989</v>
      </c>
      <c r="H55" s="105">
        <v>0.10730701448891247</v>
      </c>
      <c r="I55" s="105">
        <v>0.10806276981561448</v>
      </c>
      <c r="J55" s="105">
        <v>0.10716902677511574</v>
      </c>
      <c r="K55" s="105">
        <v>0.10728292173099259</v>
      </c>
      <c r="L55" s="105">
        <v>0.10709231937283818</v>
      </c>
      <c r="M55" s="105">
        <v>0.10719563869677846</v>
      </c>
      <c r="N55" s="105">
        <v>0.10724431902033961</v>
      </c>
      <c r="O55" s="105">
        <v>0.10811592827575164</v>
      </c>
      <c r="P55" s="105">
        <v>0.1061723581253866</v>
      </c>
      <c r="Q55" s="105">
        <v>0.10760468737916944</v>
      </c>
      <c r="R55" s="105">
        <v>0.10602742975772618</v>
      </c>
      <c r="S55" s="105">
        <v>0.10652259873778799</v>
      </c>
      <c r="T55" s="105">
        <v>0.10725032307967734</v>
      </c>
      <c r="U55" s="105">
        <v>0.107897752166509</v>
      </c>
      <c r="V55" s="105">
        <v>0.10816751233910901</v>
      </c>
      <c r="W55" s="105">
        <v>0.10606787421941805</v>
      </c>
      <c r="X55" s="105">
        <v>0.1076755938254513</v>
      </c>
      <c r="Y55" s="105">
        <v>0.10609495202028243</v>
      </c>
      <c r="Z55" s="105">
        <v>0.10767797289321061</v>
      </c>
      <c r="AA55" s="105">
        <v>0.10586200744494226</v>
      </c>
      <c r="AB55" s="105">
        <v>0.1076192346497864</v>
      </c>
      <c r="AC55" s="105">
        <v>0.1058145689620073</v>
      </c>
      <c r="AD55" s="105">
        <v>0.10728440599838687</v>
      </c>
      <c r="AE55" s="105">
        <v>0.10827207889609058</v>
      </c>
      <c r="AF55" s="105">
        <v>0.10751791333694694</v>
      </c>
      <c r="AG55" s="105">
        <v>0.10615403952747943</v>
      </c>
      <c r="AH55" s="105">
        <v>0.10788395013929247</v>
      </c>
      <c r="AI55" s="105">
        <v>0.10910722517592052</v>
      </c>
      <c r="AJ55" s="105">
        <v>0.10619408051286529</v>
      </c>
      <c r="AK55" s="105">
        <v>0.10658878126355971</v>
      </c>
      <c r="AL55" s="105">
        <v>0.10613940056607975</v>
      </c>
      <c r="AM55" s="105">
        <v>0.10755548019835388</v>
      </c>
      <c r="AN55" s="105">
        <v>0.10635327728610196</v>
      </c>
      <c r="AO55" s="105">
        <v>0.10898038586180378</v>
      </c>
      <c r="AP55" s="105">
        <v>0.10694534521996364</v>
      </c>
      <c r="AQ55" s="105">
        <v>0.10696349681899066</v>
      </c>
      <c r="AR55" s="105">
        <v>0.10682534928930945</v>
      </c>
      <c r="AS55" s="105">
        <v>0.10624206217911386</v>
      </c>
      <c r="AT55" s="105">
        <v>0.10641713987816481</v>
      </c>
      <c r="AU55" s="105">
        <v>0.10684214617927146</v>
      </c>
      <c r="AV55" s="105">
        <v>0.10612069700698439</v>
      </c>
      <c r="AW55" s="105">
        <v>0.10587710694778688</v>
      </c>
      <c r="AX55" s="105">
        <v>0.10696615164349166</v>
      </c>
      <c r="AY55" s="105">
        <v>0.10577310172839641</v>
      </c>
      <c r="AZ55" s="105">
        <v>0.10602343602515232</v>
      </c>
      <c r="BA55" s="105">
        <v>0.10893315531580504</v>
      </c>
      <c r="BB55" s="105">
        <v>0.10552734636026627</v>
      </c>
      <c r="BC55" s="105">
        <v>0.10714291240552418</v>
      </c>
      <c r="BD55" s="105">
        <v>0.10665825164770015</v>
      </c>
      <c r="BE55" s="105">
        <v>0.10719083044770515</v>
      </c>
      <c r="BF55" s="105">
        <v>0.10567362727634909</v>
      </c>
      <c r="BG55" s="105">
        <v>0.10888477121563558</v>
      </c>
      <c r="BH55" s="105">
        <v>0.10904495119184517</v>
      </c>
      <c r="BI55" s="105">
        <v>0.10604175271071496</v>
      </c>
      <c r="BJ55" s="105">
        <v>0.10738356935691891</v>
      </c>
      <c r="BK55" s="105">
        <v>0.10591739321325352</v>
      </c>
      <c r="BL55" s="105">
        <v>0.10893618179969847</v>
      </c>
      <c r="BM55" s="105">
        <v>0.10824059356888856</v>
      </c>
      <c r="BN55" s="105">
        <v>0.10753320924459851</v>
      </c>
      <c r="BO55" s="105">
        <v>0.10645980342061803</v>
      </c>
      <c r="BP55" s="105">
        <v>0.1078357155425989</v>
      </c>
      <c r="BQ55" s="105">
        <v>0.10849605922862149</v>
      </c>
      <c r="BR55" s="105">
        <v>0.10860084800342222</v>
      </c>
      <c r="BS55" s="105">
        <v>0.10882085596669025</v>
      </c>
      <c r="BT55" s="105">
        <v>0.10590813921589606</v>
      </c>
      <c r="BU55" s="105">
        <v>0.10665731255263522</v>
      </c>
      <c r="BV55" s="105">
        <v>0.10779886693444223</v>
      </c>
      <c r="BW55" s="105">
        <v>0.10743829597854472</v>
      </c>
      <c r="BX55" s="105">
        <v>0.10606302244521956</v>
      </c>
      <c r="BY55" s="105">
        <v>0.10731828328159686</v>
      </c>
      <c r="BZ55" s="105">
        <v>0.10604088083234529</v>
      </c>
      <c r="CA55" s="105">
        <v>0.10662802522425661</v>
      </c>
      <c r="CB55" s="105">
        <v>0.10720516265516961</v>
      </c>
      <c r="CC55" s="105">
        <v>0.10594752616054261</v>
      </c>
      <c r="CD55" s="105">
        <v>0.10842013539435902</v>
      </c>
      <c r="CE55" s="105">
        <v>0.10841694496413259</v>
      </c>
      <c r="CF55" s="105">
        <v>0.10588445429412741</v>
      </c>
      <c r="CG55" s="105">
        <v>0.10531453445603547</v>
      </c>
      <c r="CH55" s="105">
        <v>0.10962588519186089</v>
      </c>
      <c r="CI55" s="105">
        <v>0.1060334237214328</v>
      </c>
      <c r="CJ55" s="105">
        <v>0.10604262679415385</v>
      </c>
      <c r="CK55" s="105">
        <v>0.10620712661709383</v>
      </c>
      <c r="CL55" s="105">
        <v>0.10693934748277339</v>
      </c>
      <c r="CM55" s="105">
        <v>0.10891129590848916</v>
      </c>
      <c r="CN55" s="105">
        <v>0.10708992250496958</v>
      </c>
      <c r="CO55" s="105">
        <v>0.10744302132759147</v>
      </c>
      <c r="CP55" s="105">
        <v>0.10839561569293701</v>
      </c>
      <c r="CQ55" s="105">
        <v>0.10547281680149048</v>
      </c>
      <c r="CR55" s="105">
        <v>0.10920554127324797</v>
      </c>
      <c r="CS55" s="105">
        <v>0.10741899886868646</v>
      </c>
      <c r="CT55" s="105">
        <v>0.10729368711597841</v>
      </c>
      <c r="CU55" s="105">
        <v>0.10672235530837866</v>
      </c>
      <c r="CV55" s="105">
        <v>0.10756493508293548</v>
      </c>
      <c r="CW55" s="105">
        <v>0.10909050958745778</v>
      </c>
      <c r="CX55" s="105">
        <v>0.10923727133675334</v>
      </c>
    </row>
    <row r="56" spans="1:102">
      <c r="A56" s="106"/>
      <c r="B56" s="56" t="s">
        <v>114</v>
      </c>
      <c r="C56" s="105">
        <v>0.12609084845927507</v>
      </c>
      <c r="D56" s="105">
        <v>0.12798110343219485</v>
      </c>
      <c r="E56" s="105">
        <v>0.12012268317947951</v>
      </c>
      <c r="F56" s="105">
        <v>0.12572894853924443</v>
      </c>
      <c r="G56" s="105">
        <v>0.11713087120169711</v>
      </c>
      <c r="H56" s="105">
        <v>0.12794491447782189</v>
      </c>
      <c r="I56" s="105">
        <v>0.13034305193742343</v>
      </c>
      <c r="J56" s="105">
        <v>0.12597403554158615</v>
      </c>
      <c r="K56" s="105">
        <v>0.1227094782680529</v>
      </c>
      <c r="L56" s="105">
        <v>0.12348662181266112</v>
      </c>
      <c r="M56" s="105">
        <v>0.12486343837347175</v>
      </c>
      <c r="N56" s="105">
        <v>0.12475068972443072</v>
      </c>
      <c r="O56" s="105">
        <v>0.13072054134504482</v>
      </c>
      <c r="P56" s="105">
        <v>0.11787615776456617</v>
      </c>
      <c r="Q56" s="105">
        <v>0.13430197245086739</v>
      </c>
      <c r="R56" s="105">
        <v>0.12031439243245759</v>
      </c>
      <c r="S56" s="105">
        <v>0.11911348488077449</v>
      </c>
      <c r="T56" s="105">
        <v>0.13019064882584824</v>
      </c>
      <c r="U56" s="105">
        <v>0.13252579905436376</v>
      </c>
      <c r="V56" s="105">
        <v>0.13498299088673593</v>
      </c>
      <c r="W56" s="105">
        <v>0.11377486513220128</v>
      </c>
      <c r="X56" s="105">
        <v>0.12761498011348826</v>
      </c>
      <c r="Y56" s="105">
        <v>0.11747588840006015</v>
      </c>
      <c r="Z56" s="105">
        <v>0.12595780154022237</v>
      </c>
      <c r="AA56" s="105">
        <v>0.11082118601694461</v>
      </c>
      <c r="AB56" s="105">
        <v>0.13008177857678185</v>
      </c>
      <c r="AC56" s="105">
        <v>0.11058438406769591</v>
      </c>
      <c r="AD56" s="105">
        <v>0.12299326915048739</v>
      </c>
      <c r="AE56" s="105">
        <v>0.13714696156244213</v>
      </c>
      <c r="AF56" s="105">
        <v>0.12732898646011825</v>
      </c>
      <c r="AG56" s="105">
        <v>0.111034276182248</v>
      </c>
      <c r="AH56" s="105">
        <v>0.13308426094394388</v>
      </c>
      <c r="AI56" s="105">
        <v>0.14388253802874862</v>
      </c>
      <c r="AJ56" s="105">
        <v>0.11855787726556158</v>
      </c>
      <c r="AK56" s="105">
        <v>0.11581126776181096</v>
      </c>
      <c r="AL56" s="105">
        <v>0.11826637410079105</v>
      </c>
      <c r="AM56" s="105">
        <v>0.12472563931511881</v>
      </c>
      <c r="AN56" s="105">
        <v>0.12408405373906564</v>
      </c>
      <c r="AO56" s="105">
        <v>0.14227888174616682</v>
      </c>
      <c r="AP56" s="105">
        <v>0.11680641663831046</v>
      </c>
      <c r="AQ56" s="105">
        <v>0.12427350711490649</v>
      </c>
      <c r="AR56" s="105">
        <v>0.1184871474786991</v>
      </c>
      <c r="AS56" s="105">
        <v>0.12259228655335344</v>
      </c>
      <c r="AT56" s="105">
        <v>0.1211409527167364</v>
      </c>
      <c r="AU56" s="105">
        <v>0.1155453896291533</v>
      </c>
      <c r="AV56" s="105">
        <v>0.11989759338158609</v>
      </c>
      <c r="AW56" s="105">
        <v>0.1183362735233985</v>
      </c>
      <c r="AX56" s="105">
        <v>0.12248515082936472</v>
      </c>
      <c r="AY56" s="105">
        <v>0.11186915810228379</v>
      </c>
      <c r="AZ56" s="105">
        <v>0.11356002120253265</v>
      </c>
      <c r="BA56" s="105">
        <v>0.14000235477685796</v>
      </c>
      <c r="BB56" s="105">
        <v>0.11788640180738168</v>
      </c>
      <c r="BC56" s="105">
        <v>0.11832986881620516</v>
      </c>
      <c r="BD56" s="105">
        <v>0.11324091830354097</v>
      </c>
      <c r="BE56" s="105">
        <v>0.11989913837533428</v>
      </c>
      <c r="BF56" s="105">
        <v>0.11268884761501674</v>
      </c>
      <c r="BG56" s="105">
        <v>0.13390498229040024</v>
      </c>
      <c r="BH56" s="105">
        <v>0.14386417241461327</v>
      </c>
      <c r="BI56" s="105">
        <v>0.11158963043684879</v>
      </c>
      <c r="BJ56" s="105">
        <v>0.12967383862314152</v>
      </c>
      <c r="BK56" s="105">
        <v>0.12375060162141965</v>
      </c>
      <c r="BL56" s="105">
        <v>0.1326277695397991</v>
      </c>
      <c r="BM56" s="105">
        <v>0.13060110723428553</v>
      </c>
      <c r="BN56" s="105">
        <v>0.12279090690987308</v>
      </c>
      <c r="BO56" s="105">
        <v>0.11357187015266923</v>
      </c>
      <c r="BP56" s="105">
        <v>0.13440805432271236</v>
      </c>
      <c r="BQ56" s="105">
        <v>0.12315987598731339</v>
      </c>
      <c r="BR56" s="105">
        <v>0.12331119871925987</v>
      </c>
      <c r="BS56" s="105">
        <v>0.13650893879896017</v>
      </c>
      <c r="BT56" s="105">
        <v>0.11296220130446859</v>
      </c>
      <c r="BU56" s="105">
        <v>0.11367083848074502</v>
      </c>
      <c r="BV56" s="105">
        <v>0.11934516783175587</v>
      </c>
      <c r="BW56" s="105">
        <v>0.12909334565498384</v>
      </c>
      <c r="BX56" s="105">
        <v>0.12228046131255871</v>
      </c>
      <c r="BY56" s="105">
        <v>0.13104889410970744</v>
      </c>
      <c r="BZ56" s="105">
        <v>0.11817555511124846</v>
      </c>
      <c r="CA56" s="105">
        <v>0.11336256408273754</v>
      </c>
      <c r="CB56" s="105">
        <v>0.12732520399211689</v>
      </c>
      <c r="CC56" s="105">
        <v>0.10429679163727981</v>
      </c>
      <c r="CD56" s="105">
        <v>0.12311283886471973</v>
      </c>
      <c r="CE56" s="105">
        <v>0.12846077557831137</v>
      </c>
      <c r="CF56" s="105">
        <v>0.11116734941852643</v>
      </c>
      <c r="CG56" s="105">
        <v>0.11315679587232298</v>
      </c>
      <c r="CH56" s="105">
        <v>0.14299129325884805</v>
      </c>
      <c r="CI56" s="105">
        <v>0.10989000376222734</v>
      </c>
      <c r="CJ56" s="105">
        <v>0.11413972504687246</v>
      </c>
      <c r="CK56" s="105">
        <v>0.1146829127061898</v>
      </c>
      <c r="CL56" s="105">
        <v>0.13412668525302796</v>
      </c>
      <c r="CM56" s="105">
        <v>0.12399873830782547</v>
      </c>
      <c r="CN56" s="105">
        <v>0.11590943670856386</v>
      </c>
      <c r="CO56" s="105">
        <v>0.12420902607924612</v>
      </c>
      <c r="CP56" s="105">
        <v>0.13145973539060005</v>
      </c>
      <c r="CQ56" s="105">
        <v>0.11633302302099653</v>
      </c>
      <c r="CR56" s="105">
        <v>0.13992118800648479</v>
      </c>
      <c r="CS56" s="105">
        <v>0.12657544517572222</v>
      </c>
      <c r="CT56" s="105">
        <v>0.11685866583771604</v>
      </c>
      <c r="CU56" s="105">
        <v>0.1146373827243759</v>
      </c>
      <c r="CV56" s="105">
        <v>0.12018302062751056</v>
      </c>
      <c r="CW56" s="105">
        <v>0.13108733061391731</v>
      </c>
      <c r="CX56" s="105">
        <v>0.13227575841447264</v>
      </c>
    </row>
    <row r="57" spans="1:102">
      <c r="A57" s="88" t="str">
        <f>Parameters!A44</f>
        <v>Schuld deflatie</v>
      </c>
      <c r="B57" s="102" t="s">
        <v>29</v>
      </c>
      <c r="C57" s="103">
        <v>-8.5481953811509026E-2</v>
      </c>
      <c r="D57" s="103">
        <v>-8.2704057841384848E-2</v>
      </c>
      <c r="E57" s="103">
        <v>-8.5761510068061458E-2</v>
      </c>
      <c r="F57" s="103">
        <v>-8.3919919110294644E-2</v>
      </c>
      <c r="G57" s="103">
        <v>-8.4498745007820009E-2</v>
      </c>
      <c r="H57" s="103">
        <v>-8.3563427598788972E-2</v>
      </c>
      <c r="I57" s="103">
        <v>-8.1126212439376566E-2</v>
      </c>
      <c r="J57" s="103">
        <v>-8.2497336860541462E-2</v>
      </c>
      <c r="K57" s="103">
        <v>-8.3023448862981908E-2</v>
      </c>
      <c r="L57" s="103">
        <v>-8.2449421760089639E-2</v>
      </c>
      <c r="M57" s="103">
        <v>-8.412572849461146E-2</v>
      </c>
      <c r="N57" s="103">
        <v>-8.4711890983419219E-2</v>
      </c>
      <c r="O57" s="103">
        <v>-8.180629822263849E-2</v>
      </c>
      <c r="P57" s="103">
        <v>-8.5085355999301518E-2</v>
      </c>
      <c r="Q57" s="103">
        <v>-8.6378529334457818E-2</v>
      </c>
      <c r="R57" s="103">
        <v>-8.5722374134640067E-2</v>
      </c>
      <c r="S57" s="103">
        <v>-8.6745461313924632E-2</v>
      </c>
      <c r="T57" s="103">
        <v>-8.5297698681786494E-2</v>
      </c>
      <c r="U57" s="103">
        <v>-8.3319889823633406E-2</v>
      </c>
      <c r="V57" s="103">
        <v>-8.3102639669436928E-2</v>
      </c>
      <c r="W57" s="103">
        <v>-8.5906461537076761E-2</v>
      </c>
      <c r="X57" s="103">
        <v>-8.358254061415335E-2</v>
      </c>
      <c r="Y57" s="103">
        <v>-8.5202065676575581E-2</v>
      </c>
      <c r="Z57" s="103">
        <v>-8.19704077247356E-2</v>
      </c>
      <c r="AA57" s="103">
        <v>-8.6007787900940935E-2</v>
      </c>
      <c r="AB57" s="103">
        <v>-8.1745306746824037E-2</v>
      </c>
      <c r="AC57" s="103">
        <v>-8.583971916271399E-2</v>
      </c>
      <c r="AD57" s="103">
        <v>-8.1781589182595288E-2</v>
      </c>
      <c r="AE57" s="103">
        <v>-8.4653953219518352E-2</v>
      </c>
      <c r="AF57" s="103">
        <v>-8.184061776080967E-2</v>
      </c>
      <c r="AG57" s="103">
        <v>-8.4210680509069824E-2</v>
      </c>
      <c r="AH57" s="103">
        <v>-8.5735160793811216E-2</v>
      </c>
      <c r="AI57" s="103">
        <v>-8.2957800032125023E-2</v>
      </c>
      <c r="AJ57" s="103">
        <v>-8.4477601897316734E-2</v>
      </c>
      <c r="AK57" s="103">
        <v>-8.5331746355077509E-2</v>
      </c>
      <c r="AL57" s="103">
        <v>-8.406924850391273E-2</v>
      </c>
      <c r="AM57" s="103">
        <v>-8.5481401743873905E-2</v>
      </c>
      <c r="AN57" s="103">
        <v>-8.8753049783109356E-2</v>
      </c>
      <c r="AO57" s="103">
        <v>-8.2759394801763114E-2</v>
      </c>
      <c r="AP57" s="103">
        <v>-8.5376976741328964E-2</v>
      </c>
      <c r="AQ57" s="103">
        <v>-8.332416691413097E-2</v>
      </c>
      <c r="AR57" s="103">
        <v>-8.3600186455359674E-2</v>
      </c>
      <c r="AS57" s="103">
        <v>-8.8396908420397158E-2</v>
      </c>
      <c r="AT57" s="103">
        <v>-8.4195415342421129E-2</v>
      </c>
      <c r="AU57" s="103">
        <v>-8.5044318708227679E-2</v>
      </c>
      <c r="AV57" s="103">
        <v>-8.8529744218335232E-2</v>
      </c>
      <c r="AW57" s="103">
        <v>-8.6144925185086263E-2</v>
      </c>
      <c r="AX57" s="103">
        <v>-8.2965558508706627E-2</v>
      </c>
      <c r="AY57" s="103">
        <v>-8.7369854663573485E-2</v>
      </c>
      <c r="AZ57" s="103">
        <v>-8.7121583702689381E-2</v>
      </c>
      <c r="BA57" s="103">
        <v>-8.1444980395885797E-2</v>
      </c>
      <c r="BB57" s="103">
        <v>-8.6143395539339432E-2</v>
      </c>
      <c r="BC57" s="103">
        <v>-8.4004069512274557E-2</v>
      </c>
      <c r="BD57" s="103">
        <v>-8.497560264482959E-2</v>
      </c>
      <c r="BE57" s="103">
        <v>-8.6314428437977292E-2</v>
      </c>
      <c r="BF57" s="103">
        <v>-8.5282137075812614E-2</v>
      </c>
      <c r="BG57" s="103">
        <v>-8.0441717544891336E-2</v>
      </c>
      <c r="BH57" s="103">
        <v>-8.4225148800866012E-2</v>
      </c>
      <c r="BI57" s="103">
        <v>-8.6553858583616361E-2</v>
      </c>
      <c r="BJ57" s="103">
        <v>-8.5504757615703808E-2</v>
      </c>
      <c r="BK57" s="103">
        <v>-8.8124828228086816E-2</v>
      </c>
      <c r="BL57" s="103">
        <v>-7.9524778295754911E-2</v>
      </c>
      <c r="BM57" s="103">
        <v>-8.201023765131521E-2</v>
      </c>
      <c r="BN57" s="103">
        <v>-8.4679147025750037E-2</v>
      </c>
      <c r="BO57" s="103">
        <v>-8.5794502079800161E-2</v>
      </c>
      <c r="BP57" s="103">
        <v>-8.5630374993796415E-2</v>
      </c>
      <c r="BQ57" s="103">
        <v>-8.1212224245748074E-2</v>
      </c>
      <c r="BR57" s="103">
        <v>-8.0883114564256051E-2</v>
      </c>
      <c r="BS57" s="103">
        <v>-8.0438139384655175E-2</v>
      </c>
      <c r="BT57" s="103">
        <v>-8.3770295897182101E-2</v>
      </c>
      <c r="BU57" s="103">
        <v>-8.3848270944137826E-2</v>
      </c>
      <c r="BV57" s="103">
        <v>-8.1665640161419445E-2</v>
      </c>
      <c r="BW57" s="103">
        <v>-8.2993219569063401E-2</v>
      </c>
      <c r="BX57" s="103">
        <v>-8.5923864919568826E-2</v>
      </c>
      <c r="BY57" s="103">
        <v>-8.8775722450486511E-2</v>
      </c>
      <c r="BZ57" s="103">
        <v>-8.5380041411753663E-2</v>
      </c>
      <c r="CA57" s="103">
        <v>-8.5615068063277094E-2</v>
      </c>
      <c r="CB57" s="103">
        <v>-8.3437800779263716E-2</v>
      </c>
      <c r="CC57" s="103">
        <v>-8.542574659893698E-2</v>
      </c>
      <c r="CD57" s="103">
        <v>-8.0771093803606878E-2</v>
      </c>
      <c r="CE57" s="103">
        <v>-8.1171996651050987E-2</v>
      </c>
      <c r="CF57" s="103">
        <v>-8.85691042345082E-2</v>
      </c>
      <c r="CG57" s="103">
        <v>-8.9945245551182829E-2</v>
      </c>
      <c r="CH57" s="103">
        <v>-8.0267594767557723E-2</v>
      </c>
      <c r="CI57" s="103">
        <v>-8.5899940202228034E-2</v>
      </c>
      <c r="CJ57" s="103">
        <v>-8.7380516433607586E-2</v>
      </c>
      <c r="CK57" s="103">
        <v>-8.9381069753343811E-2</v>
      </c>
      <c r="CL57" s="103">
        <v>-9.0147249296568324E-2</v>
      </c>
      <c r="CM57" s="103">
        <v>-7.9863491985087867E-2</v>
      </c>
      <c r="CN57" s="103">
        <v>-8.4878241014857886E-2</v>
      </c>
      <c r="CO57" s="103">
        <v>-8.1633813536818367E-2</v>
      </c>
      <c r="CP57" s="103">
        <v>-8.3702155679322876E-2</v>
      </c>
      <c r="CQ57" s="103">
        <v>-8.6644436950799292E-2</v>
      </c>
      <c r="CR57" s="103">
        <v>-8.0957910189414867E-2</v>
      </c>
      <c r="CS57" s="103">
        <v>-8.63757500170345E-2</v>
      </c>
      <c r="CT57" s="103">
        <v>-8.1940207533039766E-2</v>
      </c>
      <c r="CU57" s="103">
        <v>-8.7682262542274722E-2</v>
      </c>
      <c r="CV57" s="103">
        <v>-8.3297651891857505E-2</v>
      </c>
      <c r="CW57" s="103">
        <v>-7.9632352268487569E-2</v>
      </c>
      <c r="CX57" s="103">
        <v>-7.9306293768627342E-2</v>
      </c>
    </row>
    <row r="58" spans="1:102">
      <c r="A58" s="23"/>
      <c r="B58" s="14" t="s">
        <v>30</v>
      </c>
      <c r="C58" s="105">
        <v>8.9834350018982212E-2</v>
      </c>
      <c r="D58" s="105">
        <v>8.9279898557963464E-2</v>
      </c>
      <c r="E58" s="105">
        <v>8.9787852400351045E-2</v>
      </c>
      <c r="F58" s="105">
        <v>8.9530344716648724E-2</v>
      </c>
      <c r="G58" s="105">
        <v>8.9332324846489106E-2</v>
      </c>
      <c r="H58" s="105">
        <v>8.9647788962707642E-2</v>
      </c>
      <c r="I58" s="105">
        <v>8.9089287476828344E-2</v>
      </c>
      <c r="J58" s="105">
        <v>8.9499068693749725E-2</v>
      </c>
      <c r="K58" s="105">
        <v>8.9443515743392016E-2</v>
      </c>
      <c r="L58" s="105">
        <v>8.9600324172045664E-2</v>
      </c>
      <c r="M58" s="105">
        <v>8.9542589848791501E-2</v>
      </c>
      <c r="N58" s="105">
        <v>8.9743045885984363E-2</v>
      </c>
      <c r="O58" s="105">
        <v>8.9279428566752583E-2</v>
      </c>
      <c r="P58" s="105">
        <v>8.9895833015482443E-2</v>
      </c>
      <c r="Q58" s="105">
        <v>8.9853512613844472E-2</v>
      </c>
      <c r="R58" s="105">
        <v>9.0170150018138884E-2</v>
      </c>
      <c r="S58" s="105">
        <v>8.9896868059278698E-2</v>
      </c>
      <c r="T58" s="105">
        <v>8.991037166774335E-2</v>
      </c>
      <c r="U58" s="105">
        <v>8.9288788849995443E-2</v>
      </c>
      <c r="V58" s="105">
        <v>8.9371525203992469E-2</v>
      </c>
      <c r="W58" s="105">
        <v>8.9620813466908783E-2</v>
      </c>
      <c r="X58" s="105">
        <v>8.9528235678054319E-2</v>
      </c>
      <c r="Y58" s="105">
        <v>8.952016470451199E-2</v>
      </c>
      <c r="Z58" s="105">
        <v>8.9564908820107259E-2</v>
      </c>
      <c r="AA58" s="105">
        <v>8.9756903662792889E-2</v>
      </c>
      <c r="AB58" s="105">
        <v>8.9357263251202662E-2</v>
      </c>
      <c r="AC58" s="105">
        <v>8.9821121673809762E-2</v>
      </c>
      <c r="AD58" s="105">
        <v>8.9025371984708349E-2</v>
      </c>
      <c r="AE58" s="105">
        <v>8.948254270210583E-2</v>
      </c>
      <c r="AF58" s="105">
        <v>8.9243297199414748E-2</v>
      </c>
      <c r="AG58" s="105">
        <v>8.9476162002207385E-2</v>
      </c>
      <c r="AH58" s="105">
        <v>8.977505159570473E-2</v>
      </c>
      <c r="AI58" s="105">
        <v>8.9470927055524202E-2</v>
      </c>
      <c r="AJ58" s="105">
        <v>9.0074406318515016E-2</v>
      </c>
      <c r="AK58" s="105">
        <v>8.9564818925080503E-2</v>
      </c>
      <c r="AL58" s="105">
        <v>8.9262014888697866E-2</v>
      </c>
      <c r="AM58" s="105">
        <v>8.9740195545284437E-2</v>
      </c>
      <c r="AN58" s="105">
        <v>9.0036083341149972E-2</v>
      </c>
      <c r="AO58" s="105">
        <v>8.9379136458155303E-2</v>
      </c>
      <c r="AP58" s="105">
        <v>8.9732867689736165E-2</v>
      </c>
      <c r="AQ58" s="105">
        <v>8.9939006660252924E-2</v>
      </c>
      <c r="AR58" s="105">
        <v>8.9823156897197984E-2</v>
      </c>
      <c r="AS58" s="105">
        <v>9.0273036110065166E-2</v>
      </c>
      <c r="AT58" s="105">
        <v>8.9842631460770997E-2</v>
      </c>
      <c r="AU58" s="105">
        <v>8.9558074636241797E-2</v>
      </c>
      <c r="AV58" s="105">
        <v>9.0192350847265332E-2</v>
      </c>
      <c r="AW58" s="105">
        <v>8.9843594184283157E-2</v>
      </c>
      <c r="AX58" s="105">
        <v>8.9886511659232018E-2</v>
      </c>
      <c r="AY58" s="105">
        <v>8.9929877352680834E-2</v>
      </c>
      <c r="AZ58" s="105">
        <v>8.9977898352728639E-2</v>
      </c>
      <c r="BA58" s="105">
        <v>8.9324140022897208E-2</v>
      </c>
      <c r="BB58" s="105">
        <v>9.0607970659901838E-2</v>
      </c>
      <c r="BC58" s="105">
        <v>8.9514415184791321E-2</v>
      </c>
      <c r="BD58" s="105">
        <v>8.9811925655926883E-2</v>
      </c>
      <c r="BE58" s="105">
        <v>8.9832597458988875E-2</v>
      </c>
      <c r="BF58" s="105">
        <v>8.9704243899180289E-2</v>
      </c>
      <c r="BG58" s="105">
        <v>8.9335887952509616E-2</v>
      </c>
      <c r="BH58" s="105">
        <v>8.9571966957431817E-2</v>
      </c>
      <c r="BI58" s="105">
        <v>8.9693652991811326E-2</v>
      </c>
      <c r="BJ58" s="105">
        <v>9.0035177673486275E-2</v>
      </c>
      <c r="BK58" s="105">
        <v>9.0552967955005503E-2</v>
      </c>
      <c r="BL58" s="105">
        <v>8.8801494674042428E-2</v>
      </c>
      <c r="BM58" s="105">
        <v>8.940547577951552E-2</v>
      </c>
      <c r="BN58" s="105">
        <v>8.9471435973630123E-2</v>
      </c>
      <c r="BO58" s="105">
        <v>8.9632467138560559E-2</v>
      </c>
      <c r="BP58" s="105">
        <v>8.9469272656879151E-2</v>
      </c>
      <c r="BQ58" s="105">
        <v>8.9202931640929975E-2</v>
      </c>
      <c r="BR58" s="105">
        <v>8.9105534137911169E-2</v>
      </c>
      <c r="BS58" s="105">
        <v>8.9482264365003991E-2</v>
      </c>
      <c r="BT58" s="105">
        <v>9.0183361943702675E-2</v>
      </c>
      <c r="BU58" s="105">
        <v>8.9441656424211619E-2</v>
      </c>
      <c r="BV58" s="105">
        <v>8.9583523957670427E-2</v>
      </c>
      <c r="BW58" s="105">
        <v>8.9928656931590231E-2</v>
      </c>
      <c r="BX58" s="105">
        <v>9.0946049363414355E-2</v>
      </c>
      <c r="BY58" s="105">
        <v>9.0386135346306518E-2</v>
      </c>
      <c r="BZ58" s="105">
        <v>9.0150963786657379E-2</v>
      </c>
      <c r="CA58" s="105">
        <v>8.9578388566416298E-2</v>
      </c>
      <c r="CB58" s="105">
        <v>9.000043272391571E-2</v>
      </c>
      <c r="CC58" s="105">
        <v>8.9421495777834592E-2</v>
      </c>
      <c r="CD58" s="105">
        <v>8.9237379419867577E-2</v>
      </c>
      <c r="CE58" s="105">
        <v>8.9318931952680342E-2</v>
      </c>
      <c r="CF58" s="105">
        <v>8.9935764912781921E-2</v>
      </c>
      <c r="CG58" s="105">
        <v>9.0369645829972672E-2</v>
      </c>
      <c r="CH58" s="105">
        <v>8.9388933631404308E-2</v>
      </c>
      <c r="CI58" s="105">
        <v>8.9552530669986419E-2</v>
      </c>
      <c r="CJ58" s="105">
        <v>8.9749343899452938E-2</v>
      </c>
      <c r="CK58" s="105">
        <v>9.0162513798662886E-2</v>
      </c>
      <c r="CL58" s="105">
        <v>9.0185806583328365E-2</v>
      </c>
      <c r="CM58" s="105">
        <v>8.8943710276705862E-2</v>
      </c>
      <c r="CN58" s="105">
        <v>8.9500533924559894E-2</v>
      </c>
      <c r="CO58" s="105">
        <v>8.9626010936836129E-2</v>
      </c>
      <c r="CP58" s="105">
        <v>8.9559380771443611E-2</v>
      </c>
      <c r="CQ58" s="105">
        <v>9.0531706964366243E-2</v>
      </c>
      <c r="CR58" s="105">
        <v>8.9523688576073665E-2</v>
      </c>
      <c r="CS58" s="105">
        <v>8.9991605870313657E-2</v>
      </c>
      <c r="CT58" s="105">
        <v>8.8775050219092572E-2</v>
      </c>
      <c r="CU58" s="105">
        <v>8.9875662222018274E-2</v>
      </c>
      <c r="CV58" s="105">
        <v>8.9374755426807131E-2</v>
      </c>
      <c r="CW58" s="105">
        <v>8.8722326981770835E-2</v>
      </c>
      <c r="CX58" s="105">
        <v>8.913263731588067E-2</v>
      </c>
    </row>
    <row r="59" spans="1:102">
      <c r="A59" s="23"/>
      <c r="B59" s="56" t="s">
        <v>56</v>
      </c>
      <c r="C59" s="105">
        <v>9.2550148891571038E-2</v>
      </c>
      <c r="D59" s="105">
        <v>9.2729287196514548E-2</v>
      </c>
      <c r="E59" s="105">
        <v>9.2370473273888365E-2</v>
      </c>
      <c r="F59" s="105">
        <v>9.2825946296054604E-2</v>
      </c>
      <c r="G59" s="105">
        <v>9.1603902907858303E-2</v>
      </c>
      <c r="H59" s="105">
        <v>9.285239020203466E-2</v>
      </c>
      <c r="I59" s="105">
        <v>9.312370579467899E-2</v>
      </c>
      <c r="J59" s="105">
        <v>9.269469161480226E-2</v>
      </c>
      <c r="K59" s="105">
        <v>9.3017046460322203E-2</v>
      </c>
      <c r="L59" s="105">
        <v>9.2837874080007099E-2</v>
      </c>
      <c r="M59" s="105">
        <v>9.2837517514530524E-2</v>
      </c>
      <c r="N59" s="105">
        <v>9.3098952815066457E-2</v>
      </c>
      <c r="O59" s="105">
        <v>9.3302496686690148E-2</v>
      </c>
      <c r="P59" s="105">
        <v>9.2409365227417176E-2</v>
      </c>
      <c r="Q59" s="105">
        <v>9.3005046817811965E-2</v>
      </c>
      <c r="R59" s="105">
        <v>9.2297508636034392E-2</v>
      </c>
      <c r="S59" s="105">
        <v>9.2829226522903333E-2</v>
      </c>
      <c r="T59" s="105">
        <v>9.2920112086294498E-2</v>
      </c>
      <c r="U59" s="105">
        <v>9.2878556658250469E-2</v>
      </c>
      <c r="V59" s="105">
        <v>9.3175346283153826E-2</v>
      </c>
      <c r="W59" s="105">
        <v>9.2431321057435956E-2</v>
      </c>
      <c r="X59" s="105">
        <v>9.3263600950246578E-2</v>
      </c>
      <c r="Y59" s="105">
        <v>9.2144998133681266E-2</v>
      </c>
      <c r="Z59" s="105">
        <v>9.3363931588944599E-2</v>
      </c>
      <c r="AA59" s="105">
        <v>9.2459253519446921E-2</v>
      </c>
      <c r="AB59" s="105">
        <v>9.2923777643780403E-2</v>
      </c>
      <c r="AC59" s="105">
        <v>9.2453454906299248E-2</v>
      </c>
      <c r="AD59" s="105">
        <v>9.2792502617910361E-2</v>
      </c>
      <c r="AE59" s="105">
        <v>9.3353456144921618E-2</v>
      </c>
      <c r="AF59" s="105">
        <v>9.285631040128256E-2</v>
      </c>
      <c r="AG59" s="105">
        <v>9.2515858113313212E-2</v>
      </c>
      <c r="AH59" s="105">
        <v>9.340543847328725E-2</v>
      </c>
      <c r="AI59" s="105">
        <v>9.3734690283555799E-2</v>
      </c>
      <c r="AJ59" s="105">
        <v>9.2512968950197977E-2</v>
      </c>
      <c r="AK59" s="105">
        <v>9.2861051921472315E-2</v>
      </c>
      <c r="AL59" s="105">
        <v>9.1950284722689887E-2</v>
      </c>
      <c r="AM59" s="105">
        <v>9.3598024452037562E-2</v>
      </c>
      <c r="AN59" s="105">
        <v>9.2455436192429782E-2</v>
      </c>
      <c r="AO59" s="105">
        <v>9.3602374283106166E-2</v>
      </c>
      <c r="AP59" s="105">
        <v>9.3396059673708481E-2</v>
      </c>
      <c r="AQ59" s="105">
        <v>9.3020728487782048E-2</v>
      </c>
      <c r="AR59" s="105">
        <v>9.3152762401780206E-2</v>
      </c>
      <c r="AS59" s="105">
        <v>9.2652781722312699E-2</v>
      </c>
      <c r="AT59" s="105">
        <v>9.2484329775040966E-2</v>
      </c>
      <c r="AU59" s="105">
        <v>9.3149188982013201E-2</v>
      </c>
      <c r="AV59" s="105">
        <v>9.2600713282113847E-2</v>
      </c>
      <c r="AW59" s="105">
        <v>9.1936449629086175E-2</v>
      </c>
      <c r="AX59" s="105">
        <v>9.3086241597090613E-2</v>
      </c>
      <c r="AY59" s="105">
        <v>9.2521559374556736E-2</v>
      </c>
      <c r="AZ59" s="105">
        <v>9.2679018785870662E-2</v>
      </c>
      <c r="BA59" s="105">
        <v>9.3754306744939245E-2</v>
      </c>
      <c r="BB59" s="105">
        <v>9.2274645535543737E-2</v>
      </c>
      <c r="BC59" s="105">
        <v>9.3203804958070569E-2</v>
      </c>
      <c r="BD59" s="105">
        <v>9.331199658714931E-2</v>
      </c>
      <c r="BE59" s="105">
        <v>9.359778221145508E-2</v>
      </c>
      <c r="BF59" s="105">
        <v>9.2093018442499355E-2</v>
      </c>
      <c r="BG59" s="105">
        <v>9.4100209798417447E-2</v>
      </c>
      <c r="BH59" s="105">
        <v>9.3840462613513378E-2</v>
      </c>
      <c r="BI59" s="105">
        <v>9.2699515622954989E-2</v>
      </c>
      <c r="BJ59" s="105">
        <v>9.3176146477151153E-2</v>
      </c>
      <c r="BK59" s="105">
        <v>9.2448169383933826E-2</v>
      </c>
      <c r="BL59" s="105">
        <v>9.3874441126699085E-2</v>
      </c>
      <c r="BM59" s="105">
        <v>9.3665127414076704E-2</v>
      </c>
      <c r="BN59" s="105">
        <v>9.3316857036036149E-2</v>
      </c>
      <c r="BO59" s="105">
        <v>9.2899012835308298E-2</v>
      </c>
      <c r="BP59" s="105">
        <v>9.295606137043072E-2</v>
      </c>
      <c r="BQ59" s="105">
        <v>9.431987856698032E-2</v>
      </c>
      <c r="BR59" s="105">
        <v>9.433135394213879E-2</v>
      </c>
      <c r="BS59" s="105">
        <v>9.4004769004294483E-2</v>
      </c>
      <c r="BT59" s="105">
        <v>9.2678168659709903E-2</v>
      </c>
      <c r="BU59" s="105">
        <v>9.3068342661996872E-2</v>
      </c>
      <c r="BV59" s="105">
        <v>9.4037289773803476E-2</v>
      </c>
      <c r="BW59" s="105">
        <v>9.3296347424247111E-2</v>
      </c>
      <c r="BX59" s="105">
        <v>9.2934278817680155E-2</v>
      </c>
      <c r="BY59" s="105">
        <v>9.340073051748414E-2</v>
      </c>
      <c r="BZ59" s="105">
        <v>9.2521753859321917E-2</v>
      </c>
      <c r="CA59" s="105">
        <v>9.3113038134942677E-2</v>
      </c>
      <c r="CB59" s="105">
        <v>9.3077966032569473E-2</v>
      </c>
      <c r="CC59" s="105">
        <v>9.2714910600414105E-2</v>
      </c>
      <c r="CD59" s="105">
        <v>9.4283216535296671E-2</v>
      </c>
      <c r="CE59" s="105">
        <v>9.403962113859371E-2</v>
      </c>
      <c r="CF59" s="105">
        <v>9.2778638792285276E-2</v>
      </c>
      <c r="CG59" s="105">
        <v>9.2288447513536501E-2</v>
      </c>
      <c r="CH59" s="105">
        <v>9.4384050496429908E-2</v>
      </c>
      <c r="CI59" s="105">
        <v>9.2721153377282969E-2</v>
      </c>
      <c r="CJ59" s="105">
        <v>9.2470888710017421E-2</v>
      </c>
      <c r="CK59" s="105">
        <v>9.3165175424919713E-2</v>
      </c>
      <c r="CL59" s="105">
        <v>9.2761892784387692E-2</v>
      </c>
      <c r="CM59" s="105">
        <v>9.4539580380980592E-2</v>
      </c>
      <c r="CN59" s="105">
        <v>9.3556051725719999E-2</v>
      </c>
      <c r="CO59" s="105">
        <v>9.3184014797602202E-2</v>
      </c>
      <c r="CP59" s="105">
        <v>9.4026251565673971E-2</v>
      </c>
      <c r="CQ59" s="105">
        <v>9.2226964578972476E-2</v>
      </c>
      <c r="CR59" s="105">
        <v>9.4250450485477366E-2</v>
      </c>
      <c r="CS59" s="105">
        <v>9.3484579883063801E-2</v>
      </c>
      <c r="CT59" s="105">
        <v>9.2863610738661798E-2</v>
      </c>
      <c r="CU59" s="105">
        <v>9.354369728328199E-2</v>
      </c>
      <c r="CV59" s="105">
        <v>9.3612772999999871E-2</v>
      </c>
      <c r="CW59" s="105">
        <v>9.4014267177904176E-2</v>
      </c>
      <c r="CX59" s="105">
        <v>9.4516200914006379E-2</v>
      </c>
    </row>
    <row r="60" spans="1:102">
      <c r="A60" s="106"/>
      <c r="B60" s="56" t="s">
        <v>114</v>
      </c>
      <c r="C60" s="105">
        <v>0.85607883390207928</v>
      </c>
      <c r="D60" s="105">
        <v>0.85044714793520648</v>
      </c>
      <c r="E60" s="105">
        <v>0.85690811839467773</v>
      </c>
      <c r="F60" s="105">
        <v>0.85291759145478507</v>
      </c>
      <c r="G60" s="105">
        <v>0.85493437034026698</v>
      </c>
      <c r="H60" s="105">
        <v>0.8516828106226213</v>
      </c>
      <c r="I60" s="105">
        <v>0.84681389039774224</v>
      </c>
      <c r="J60" s="105">
        <v>0.84931514373572337</v>
      </c>
      <c r="K60" s="105">
        <v>0.85083574379150373</v>
      </c>
      <c r="L60" s="105">
        <v>0.84891658644877965</v>
      </c>
      <c r="M60" s="105">
        <v>0.85341293112093519</v>
      </c>
      <c r="N60" s="105">
        <v>0.85437135197537706</v>
      </c>
      <c r="O60" s="105">
        <v>0.84809632400848178</v>
      </c>
      <c r="P60" s="105">
        <v>0.85491030838795723</v>
      </c>
      <c r="Q60" s="105">
        <v>0.85827881316816002</v>
      </c>
      <c r="R60" s="105">
        <v>0.85578565873403989</v>
      </c>
      <c r="S60" s="105">
        <v>0.85907724008184938</v>
      </c>
      <c r="T60" s="105">
        <v>0.85540924276147923</v>
      </c>
      <c r="U60" s="105">
        <v>0.85202243106394537</v>
      </c>
      <c r="V60" s="105">
        <v>0.85123581886758037</v>
      </c>
      <c r="W60" s="105">
        <v>0.8577209583397003</v>
      </c>
      <c r="X60" s="105">
        <v>0.85205441435284901</v>
      </c>
      <c r="Y60" s="105">
        <v>0.85621571059290236</v>
      </c>
      <c r="Z60" s="105">
        <v>0.84775624005734673</v>
      </c>
      <c r="AA60" s="105">
        <v>0.8576098439234523</v>
      </c>
      <c r="AB60" s="105">
        <v>0.84772493567343332</v>
      </c>
      <c r="AC60" s="105">
        <v>0.85701554583883455</v>
      </c>
      <c r="AD60" s="105">
        <v>0.84872018911576363</v>
      </c>
      <c r="AE60" s="105">
        <v>0.85492494980493783</v>
      </c>
      <c r="AF60" s="105">
        <v>0.84828455356703225</v>
      </c>
      <c r="AG60" s="105">
        <v>0.85380973622788747</v>
      </c>
      <c r="AH60" s="105">
        <v>0.85687616773632325</v>
      </c>
      <c r="AI60" s="105">
        <v>0.85059115189970935</v>
      </c>
      <c r="AJ60" s="105">
        <v>0.85288424049504452</v>
      </c>
      <c r="AK60" s="105">
        <v>0.85642358662991602</v>
      </c>
      <c r="AL60" s="105">
        <v>0.85402541727044234</v>
      </c>
      <c r="AM60" s="105">
        <v>0.85633018234811398</v>
      </c>
      <c r="AN60" s="105">
        <v>0.86363916289301401</v>
      </c>
      <c r="AO60" s="105">
        <v>0.85032291025307039</v>
      </c>
      <c r="AP60" s="105">
        <v>0.85608612526997951</v>
      </c>
      <c r="AQ60" s="105">
        <v>0.85028078319147227</v>
      </c>
      <c r="AR60" s="105">
        <v>0.85130566268698271</v>
      </c>
      <c r="AS60" s="105">
        <v>0.8621417177880647</v>
      </c>
      <c r="AT60" s="105">
        <v>0.85278410154559714</v>
      </c>
      <c r="AU60" s="105">
        <v>0.85571390868005992</v>
      </c>
      <c r="AV60" s="105">
        <v>0.86268015563281975</v>
      </c>
      <c r="AW60" s="105">
        <v>0.85772110354835074</v>
      </c>
      <c r="AX60" s="105">
        <v>0.84949147539934755</v>
      </c>
      <c r="AY60" s="105">
        <v>0.86053605192948868</v>
      </c>
      <c r="AZ60" s="105">
        <v>0.85979388843092208</v>
      </c>
      <c r="BA60" s="105">
        <v>0.84702170606886595</v>
      </c>
      <c r="BB60" s="105">
        <v>0.85567596027914139</v>
      </c>
      <c r="BC60" s="105">
        <v>0.85317672352317597</v>
      </c>
      <c r="BD60" s="105">
        <v>0.85485698077716765</v>
      </c>
      <c r="BE60" s="105">
        <v>0.85817469047733441</v>
      </c>
      <c r="BF60" s="105">
        <v>0.85592322195863224</v>
      </c>
      <c r="BG60" s="105">
        <v>0.84432140358455676</v>
      </c>
      <c r="BH60" s="105">
        <v>0.85358854530272299</v>
      </c>
      <c r="BI60" s="105">
        <v>0.85914476356047231</v>
      </c>
      <c r="BJ60" s="105">
        <v>0.85559809059855474</v>
      </c>
      <c r="BK60" s="105">
        <v>0.86073290211080988</v>
      </c>
      <c r="BL60" s="105">
        <v>0.8433075591118161</v>
      </c>
      <c r="BM60" s="105">
        <v>0.8482917041908139</v>
      </c>
      <c r="BN60" s="105">
        <v>0.85501907041146441</v>
      </c>
      <c r="BO60" s="105">
        <v>0.85740833682607864</v>
      </c>
      <c r="BP60" s="105">
        <v>0.8574342459913622</v>
      </c>
      <c r="BQ60" s="105">
        <v>0.84673374768609877</v>
      </c>
      <c r="BR60" s="105">
        <v>0.84612371317744162</v>
      </c>
      <c r="BS60" s="105">
        <v>0.84391574070285402</v>
      </c>
      <c r="BT60" s="105">
        <v>0.85077749520630563</v>
      </c>
      <c r="BU60" s="105">
        <v>0.85297261292190618</v>
      </c>
      <c r="BV60" s="105">
        <v>0.84690332240735022</v>
      </c>
      <c r="BW60" s="105">
        <v>0.84945008198151917</v>
      </c>
      <c r="BX60" s="105">
        <v>0.85422643723238734</v>
      </c>
      <c r="BY60" s="105">
        <v>0.86276344957665807</v>
      </c>
      <c r="BZ60" s="105">
        <v>0.85497309229828455</v>
      </c>
      <c r="CA60" s="105">
        <v>0.85710209846290908</v>
      </c>
      <c r="CB60" s="105">
        <v>0.8504098467728658</v>
      </c>
      <c r="CC60" s="105">
        <v>0.85704693027173362</v>
      </c>
      <c r="CD60" s="105">
        <v>0.84546773790318286</v>
      </c>
      <c r="CE60" s="105">
        <v>0.84631274637654041</v>
      </c>
      <c r="CF60" s="105">
        <v>0.86345941060435139</v>
      </c>
      <c r="CG60" s="105">
        <v>0.86562816026740885</v>
      </c>
      <c r="CH60" s="105">
        <v>0.84371154180698937</v>
      </c>
      <c r="CI60" s="105">
        <v>0.85788811974628765</v>
      </c>
      <c r="CJ60" s="105">
        <v>0.86104528735208752</v>
      </c>
      <c r="CK60" s="105">
        <v>0.8648221476131952</v>
      </c>
      <c r="CL60" s="105">
        <v>0.86659842251021679</v>
      </c>
      <c r="CM60" s="105">
        <v>0.84383406768425373</v>
      </c>
      <c r="CN60" s="105">
        <v>0.85544720594656654</v>
      </c>
      <c r="CO60" s="105">
        <v>0.8467046646938674</v>
      </c>
      <c r="CP60" s="105">
        <v>0.85227887234965649</v>
      </c>
      <c r="CQ60" s="105">
        <v>0.85713152898497769</v>
      </c>
      <c r="CR60" s="105">
        <v>0.8451902072904901</v>
      </c>
      <c r="CS60" s="105">
        <v>0.85790214443584512</v>
      </c>
      <c r="CT60" s="105">
        <v>0.84981813064585299</v>
      </c>
      <c r="CU60" s="105">
        <v>0.86145065757189032</v>
      </c>
      <c r="CV60" s="105">
        <v>0.85173247458846013</v>
      </c>
      <c r="CW60" s="105">
        <v>0.84381391264338212</v>
      </c>
      <c r="CX60" s="105">
        <v>0.84181571658583909</v>
      </c>
    </row>
    <row r="61" spans="1:102">
      <c r="A61" s="108" t="str">
        <f>Parameters!A45</f>
        <v>Kansgewogen</v>
      </c>
      <c r="B61" s="102" t="s">
        <v>29</v>
      </c>
      <c r="C61" s="103">
        <v>7.0991687072235205E-3</v>
      </c>
      <c r="D61" s="103">
        <v>7.0971240950537182E-3</v>
      </c>
      <c r="E61" s="103">
        <v>7.0967468164463473E-3</v>
      </c>
      <c r="F61" s="103">
        <v>7.0956916169013593E-3</v>
      </c>
      <c r="G61" s="103">
        <v>7.0939973182573479E-3</v>
      </c>
      <c r="H61" s="103">
        <v>7.087905705834373E-3</v>
      </c>
      <c r="I61" s="103">
        <v>7.0875856369232264E-3</v>
      </c>
      <c r="J61" s="103">
        <v>7.0869660737864042E-3</v>
      </c>
      <c r="K61" s="103">
        <v>7.0861519173237384E-3</v>
      </c>
      <c r="L61" s="103">
        <v>7.0861360190059451E-3</v>
      </c>
      <c r="M61" s="103">
        <v>7.0840611209133809E-3</v>
      </c>
      <c r="N61" s="103">
        <v>7.0828363364915173E-3</v>
      </c>
      <c r="O61" s="103">
        <v>7.082398463595335E-3</v>
      </c>
      <c r="P61" s="103">
        <v>7.0811339858538099E-3</v>
      </c>
      <c r="Q61" s="103">
        <v>7.0806688232957207E-3</v>
      </c>
      <c r="R61" s="103">
        <v>7.0780637353600392E-3</v>
      </c>
      <c r="S61" s="103">
        <v>7.0778576472097701E-3</v>
      </c>
      <c r="T61" s="103">
        <v>7.0731106048593523E-3</v>
      </c>
      <c r="U61" s="103">
        <v>7.0709823780218308E-3</v>
      </c>
      <c r="V61" s="103">
        <v>7.0686479183204379E-3</v>
      </c>
      <c r="W61" s="103">
        <v>7.0680475983741992E-3</v>
      </c>
      <c r="X61" s="103">
        <v>7.0677651375854978E-3</v>
      </c>
      <c r="Y61" s="103">
        <v>7.0621703225335168E-3</v>
      </c>
      <c r="Z61" s="103">
        <v>7.0618513291957072E-3</v>
      </c>
      <c r="AA61" s="103">
        <v>7.0596075058011855E-3</v>
      </c>
      <c r="AB61" s="103">
        <v>7.0593994280982739E-3</v>
      </c>
      <c r="AC61" s="103">
        <v>7.0590062721804566E-3</v>
      </c>
      <c r="AD61" s="103">
        <v>7.0572192830941557E-3</v>
      </c>
      <c r="AE61" s="103">
        <v>7.0572064026699754E-3</v>
      </c>
      <c r="AF61" s="103">
        <v>7.0571308891434195E-3</v>
      </c>
      <c r="AG61" s="103">
        <v>7.0562140388367089E-3</v>
      </c>
      <c r="AH61" s="103">
        <v>7.0560520762484868E-3</v>
      </c>
      <c r="AI61" s="103">
        <v>7.0559487062749103E-3</v>
      </c>
      <c r="AJ61" s="103">
        <v>7.0555897677001614E-3</v>
      </c>
      <c r="AK61" s="103">
        <v>7.0553321633427379E-3</v>
      </c>
      <c r="AL61" s="103">
        <v>7.0551295075698397E-3</v>
      </c>
      <c r="AM61" s="103">
        <v>7.0551108323497367E-3</v>
      </c>
      <c r="AN61" s="103">
        <v>7.0521832984040472E-3</v>
      </c>
      <c r="AO61" s="103">
        <v>7.0517392547973061E-3</v>
      </c>
      <c r="AP61" s="103">
        <v>7.0512350563793945E-3</v>
      </c>
      <c r="AQ61" s="103">
        <v>7.0503727507349595E-3</v>
      </c>
      <c r="AR61" s="103">
        <v>7.0497973039303262E-3</v>
      </c>
      <c r="AS61" s="103">
        <v>7.0487672339373132E-3</v>
      </c>
      <c r="AT61" s="103">
        <v>7.048654600581971E-3</v>
      </c>
      <c r="AU61" s="103">
        <v>7.0482249478479031E-3</v>
      </c>
      <c r="AV61" s="103">
        <v>7.0478912751721703E-3</v>
      </c>
      <c r="AW61" s="103">
        <v>7.0445854452154295E-3</v>
      </c>
      <c r="AX61" s="103">
        <v>7.0433332351543376E-3</v>
      </c>
      <c r="AY61" s="103">
        <v>7.0422818426447761E-3</v>
      </c>
      <c r="AZ61" s="103">
        <v>7.0421404439944719E-3</v>
      </c>
      <c r="BA61" s="103">
        <v>7.0417312954288193E-3</v>
      </c>
      <c r="BB61" s="103">
        <v>7.0408786446693444E-3</v>
      </c>
      <c r="BC61" s="103">
        <v>7.0403340213903518E-3</v>
      </c>
      <c r="BD61" s="103">
        <v>7.0401506364508462E-3</v>
      </c>
      <c r="BE61" s="103">
        <v>7.0397826244520435E-3</v>
      </c>
      <c r="BF61" s="103">
        <v>7.0393255554216409E-3</v>
      </c>
      <c r="BG61" s="103">
        <v>7.0381343207735741E-3</v>
      </c>
      <c r="BH61" s="103">
        <v>7.0363094379444283E-3</v>
      </c>
      <c r="BI61" s="103">
        <v>7.0346118638958755E-3</v>
      </c>
      <c r="BJ61" s="103">
        <v>7.0343742839510635E-3</v>
      </c>
      <c r="BK61" s="103">
        <v>7.0331517075454091E-3</v>
      </c>
      <c r="BL61" s="103">
        <v>7.0330706620547927E-3</v>
      </c>
      <c r="BM61" s="103">
        <v>7.0323427975992597E-3</v>
      </c>
      <c r="BN61" s="103">
        <v>7.0287916056007869E-3</v>
      </c>
      <c r="BO61" s="103">
        <v>7.0281845046484097E-3</v>
      </c>
      <c r="BP61" s="103">
        <v>7.0281338117786293E-3</v>
      </c>
      <c r="BQ61" s="103">
        <v>7.0277272451916414E-3</v>
      </c>
      <c r="BR61" s="103">
        <v>7.0264048669901056E-3</v>
      </c>
      <c r="BS61" s="103">
        <v>7.0234343247591816E-3</v>
      </c>
      <c r="BT61" s="103">
        <v>7.0232410880511353E-3</v>
      </c>
      <c r="BU61" s="103">
        <v>7.0231529782782869E-3</v>
      </c>
      <c r="BV61" s="103">
        <v>7.0230731026038745E-3</v>
      </c>
      <c r="BW61" s="103">
        <v>7.0217999428792916E-3</v>
      </c>
      <c r="BX61" s="103">
        <v>7.0205533917621077E-3</v>
      </c>
      <c r="BY61" s="103">
        <v>7.0204401157148945E-3</v>
      </c>
      <c r="BZ61" s="103">
        <v>7.0200702832075908E-3</v>
      </c>
      <c r="CA61" s="103">
        <v>7.0199965582063081E-3</v>
      </c>
      <c r="CB61" s="103">
        <v>7.0191864975286617E-3</v>
      </c>
      <c r="CC61" s="103">
        <v>7.0187633789775411E-3</v>
      </c>
      <c r="CD61" s="103">
        <v>7.0180218356429881E-3</v>
      </c>
      <c r="CE61" s="103">
        <v>7.0171402765722354E-3</v>
      </c>
      <c r="CF61" s="103">
        <v>7.0161756303952875E-3</v>
      </c>
      <c r="CG61" s="103">
        <v>7.0154776481719649E-3</v>
      </c>
      <c r="CH61" s="103">
        <v>7.0150882379277427E-3</v>
      </c>
      <c r="CI61" s="103">
        <v>7.0148779881676337E-3</v>
      </c>
      <c r="CJ61" s="103">
        <v>7.0145024164206208E-3</v>
      </c>
      <c r="CK61" s="103">
        <v>7.0131041356024529E-3</v>
      </c>
      <c r="CL61" s="103">
        <v>7.0126270203983796E-3</v>
      </c>
      <c r="CM61" s="103">
        <v>7.0122691245850374E-3</v>
      </c>
      <c r="CN61" s="103">
        <v>7.0122252136279499E-3</v>
      </c>
      <c r="CO61" s="103">
        <v>7.0120990016258739E-3</v>
      </c>
      <c r="CP61" s="103">
        <v>7.0119691263689395E-3</v>
      </c>
      <c r="CQ61" s="103">
        <v>7.011650518726837E-3</v>
      </c>
      <c r="CR61" s="103">
        <v>7.0113780282664954E-3</v>
      </c>
      <c r="CS61" s="103">
        <v>7.0110585231156347E-3</v>
      </c>
      <c r="CT61" s="103">
        <v>7.0105122552241023E-3</v>
      </c>
      <c r="CU61" s="103">
        <v>7.01048028244141E-3</v>
      </c>
      <c r="CV61" s="103">
        <v>7.0103572976387809E-3</v>
      </c>
      <c r="CW61" s="103">
        <v>7.0085827361767768E-3</v>
      </c>
      <c r="CX61" s="103">
        <v>7.008024182907446E-3</v>
      </c>
    </row>
    <row r="62" spans="1:102">
      <c r="A62" s="23"/>
      <c r="B62" s="14" t="s">
        <v>30</v>
      </c>
      <c r="C62" s="105">
        <v>8.0003129572240456E-2</v>
      </c>
      <c r="D62" s="105">
        <v>7.9948646741954357E-2</v>
      </c>
      <c r="E62" s="105">
        <v>7.9987264537356342E-2</v>
      </c>
      <c r="F62" s="105">
        <v>8.0005044964314709E-2</v>
      </c>
      <c r="G62" s="105">
        <v>7.9964053474544855E-2</v>
      </c>
      <c r="H62" s="105">
        <v>7.9995217715875602E-2</v>
      </c>
      <c r="I62" s="105">
        <v>7.9918420704972071E-2</v>
      </c>
      <c r="J62" s="105">
        <v>7.9970143122410256E-2</v>
      </c>
      <c r="K62" s="105">
        <v>7.9981373908136352E-2</v>
      </c>
      <c r="L62" s="105">
        <v>7.9993182520520151E-2</v>
      </c>
      <c r="M62" s="105">
        <v>8.0002667758132473E-2</v>
      </c>
      <c r="N62" s="105">
        <v>8.0012182585770794E-2</v>
      </c>
      <c r="O62" s="105">
        <v>7.998595474924744E-2</v>
      </c>
      <c r="P62" s="105">
        <v>7.9976026666351993E-2</v>
      </c>
      <c r="Q62" s="105">
        <v>7.9984737032723685E-2</v>
      </c>
      <c r="R62" s="105">
        <v>7.9993946782221451E-2</v>
      </c>
      <c r="S62" s="105">
        <v>7.999574551701423E-2</v>
      </c>
      <c r="T62" s="105">
        <v>7.9959493795727837E-2</v>
      </c>
      <c r="U62" s="105">
        <v>7.9979079827806956E-2</v>
      </c>
      <c r="V62" s="105">
        <v>7.9948558667594496E-2</v>
      </c>
      <c r="W62" s="105">
        <v>7.9942809756172767E-2</v>
      </c>
      <c r="X62" s="105">
        <v>7.9994586054084105E-2</v>
      </c>
      <c r="Y62" s="105">
        <v>7.9780585518317709E-2</v>
      </c>
      <c r="Z62" s="105">
        <v>7.9992151524468563E-2</v>
      </c>
      <c r="AA62" s="105">
        <v>7.9987878897206169E-2</v>
      </c>
      <c r="AB62" s="105">
        <v>7.9889258276415478E-2</v>
      </c>
      <c r="AC62" s="105">
        <v>7.998012895542661E-2</v>
      </c>
      <c r="AD62" s="105">
        <v>7.9711335810977446E-2</v>
      </c>
      <c r="AE62" s="105">
        <v>7.9825952195845193E-2</v>
      </c>
      <c r="AF62" s="105">
        <v>7.9967714285839736E-2</v>
      </c>
      <c r="AG62" s="105">
        <v>7.9987754026415475E-2</v>
      </c>
      <c r="AH62" s="105">
        <v>7.9958444261470835E-2</v>
      </c>
      <c r="AI62" s="105">
        <v>8.0008339377750384E-2</v>
      </c>
      <c r="AJ62" s="105">
        <v>7.9971853482148511E-2</v>
      </c>
      <c r="AK62" s="105">
        <v>7.9927633567809339E-2</v>
      </c>
      <c r="AL62" s="105">
        <v>7.9800151342558204E-2</v>
      </c>
      <c r="AM62" s="105">
        <v>7.9913166167327077E-2</v>
      </c>
      <c r="AN62" s="105">
        <v>7.9927275960127414E-2</v>
      </c>
      <c r="AO62" s="105">
        <v>7.998582515292757E-2</v>
      </c>
      <c r="AP62" s="105">
        <v>7.9995458426630653E-2</v>
      </c>
      <c r="AQ62" s="105">
        <v>7.9858624226951391E-2</v>
      </c>
      <c r="AR62" s="105">
        <v>7.9910587002333597E-2</v>
      </c>
      <c r="AS62" s="105">
        <v>7.9944017093683248E-2</v>
      </c>
      <c r="AT62" s="105">
        <v>7.9972174129942022E-2</v>
      </c>
      <c r="AU62" s="105">
        <v>7.9973730385060948E-2</v>
      </c>
      <c r="AV62" s="105">
        <v>7.9997486565549877E-2</v>
      </c>
      <c r="AW62" s="105">
        <v>7.9999945786475998E-2</v>
      </c>
      <c r="AX62" s="105">
        <v>7.9890726893394839E-2</v>
      </c>
      <c r="AY62" s="105">
        <v>7.9939997686640493E-2</v>
      </c>
      <c r="AZ62" s="105">
        <v>7.9987722357398552E-2</v>
      </c>
      <c r="BA62" s="105">
        <v>7.9858115472826591E-2</v>
      </c>
      <c r="BB62" s="105">
        <v>8.0009970144162251E-2</v>
      </c>
      <c r="BC62" s="105">
        <v>7.9990117812355238E-2</v>
      </c>
      <c r="BD62" s="105">
        <v>7.998961517549244E-2</v>
      </c>
      <c r="BE62" s="105">
        <v>7.9941226640648025E-2</v>
      </c>
      <c r="BF62" s="105">
        <v>7.990862121533146E-2</v>
      </c>
      <c r="BG62" s="105">
        <v>8.0003221291186852E-2</v>
      </c>
      <c r="BH62" s="105">
        <v>7.9950420566155742E-2</v>
      </c>
      <c r="BI62" s="105">
        <v>7.9828009344518169E-2</v>
      </c>
      <c r="BJ62" s="105">
        <v>7.997550574442551E-2</v>
      </c>
      <c r="BK62" s="105">
        <v>7.9871122752437809E-2</v>
      </c>
      <c r="BL62" s="105">
        <v>7.9809635798924014E-2</v>
      </c>
      <c r="BM62" s="105">
        <v>7.9885974085047787E-2</v>
      </c>
      <c r="BN62" s="105">
        <v>7.9993995614073971E-2</v>
      </c>
      <c r="BO62" s="105">
        <v>7.9942793345691154E-2</v>
      </c>
      <c r="BP62" s="105">
        <v>7.9864316415426601E-2</v>
      </c>
      <c r="BQ62" s="105">
        <v>8.0006475964356463E-2</v>
      </c>
      <c r="BR62" s="105">
        <v>8.0002935326719885E-2</v>
      </c>
      <c r="BS62" s="105">
        <v>7.9877449587794386E-2</v>
      </c>
      <c r="BT62" s="105">
        <v>7.9923093672054329E-2</v>
      </c>
      <c r="BU62" s="105">
        <v>7.9754149232103055E-2</v>
      </c>
      <c r="BV62" s="105">
        <v>7.9993395287609653E-2</v>
      </c>
      <c r="BW62" s="105">
        <v>7.9792269890710532E-2</v>
      </c>
      <c r="BX62" s="105">
        <v>7.997465009049412E-2</v>
      </c>
      <c r="BY62" s="105">
        <v>8.0003157195287056E-2</v>
      </c>
      <c r="BZ62" s="105">
        <v>7.9841849923790537E-2</v>
      </c>
      <c r="CA62" s="105">
        <v>7.997341990436832E-2</v>
      </c>
      <c r="CB62" s="105">
        <v>7.9940515494562173E-2</v>
      </c>
      <c r="CC62" s="105">
        <v>7.9992082302401818E-2</v>
      </c>
      <c r="CD62" s="105">
        <v>7.9942610410300749E-2</v>
      </c>
      <c r="CE62" s="105">
        <v>7.9923305770401479E-2</v>
      </c>
      <c r="CF62" s="105">
        <v>7.9977697266380876E-2</v>
      </c>
      <c r="CG62" s="105">
        <v>7.9905752499489349E-2</v>
      </c>
      <c r="CH62" s="105">
        <v>7.9956936029175335E-2</v>
      </c>
      <c r="CI62" s="105">
        <v>7.9935640707983313E-2</v>
      </c>
      <c r="CJ62" s="105">
        <v>7.9988436374407001E-2</v>
      </c>
      <c r="CK62" s="105">
        <v>7.9967643159692625E-2</v>
      </c>
      <c r="CL62" s="105">
        <v>7.9714093993449309E-2</v>
      </c>
      <c r="CM62" s="105">
        <v>7.9988547834931881E-2</v>
      </c>
      <c r="CN62" s="105">
        <v>7.9802332793559985E-2</v>
      </c>
      <c r="CO62" s="105">
        <v>7.9979238135609004E-2</v>
      </c>
      <c r="CP62" s="105">
        <v>7.9831993115488581E-2</v>
      </c>
      <c r="CQ62" s="105">
        <v>7.9982584948888713E-2</v>
      </c>
      <c r="CR62" s="105">
        <v>7.9948486499853949E-2</v>
      </c>
      <c r="CS62" s="105">
        <v>7.9952693308031217E-2</v>
      </c>
      <c r="CT62" s="105">
        <v>7.9829019581511146E-2</v>
      </c>
      <c r="CU62" s="105">
        <v>7.9854222638674519E-2</v>
      </c>
      <c r="CV62" s="105">
        <v>7.9927880058726489E-2</v>
      </c>
      <c r="CW62" s="105">
        <v>7.9874539425587907E-2</v>
      </c>
      <c r="CX62" s="105">
        <v>7.9953068148703968E-2</v>
      </c>
    </row>
    <row r="63" spans="1:102">
      <c r="A63" s="23"/>
      <c r="B63" s="56" t="s">
        <v>56</v>
      </c>
      <c r="C63" s="105">
        <v>0.10552706213298375</v>
      </c>
      <c r="D63" s="105">
        <v>0.10619142223158551</v>
      </c>
      <c r="E63" s="105">
        <v>0.10532261186449639</v>
      </c>
      <c r="F63" s="105">
        <v>0.10594907736373461</v>
      </c>
      <c r="G63" s="105">
        <v>0.10532667793948357</v>
      </c>
      <c r="H63" s="105">
        <v>0.10600946975963345</v>
      </c>
      <c r="I63" s="105">
        <v>0.10668884730547426</v>
      </c>
      <c r="J63" s="105">
        <v>0.10613252147669011</v>
      </c>
      <c r="K63" s="105">
        <v>0.10614990400462339</v>
      </c>
      <c r="L63" s="105">
        <v>0.10615631628729144</v>
      </c>
      <c r="M63" s="105">
        <v>0.1059119243589482</v>
      </c>
      <c r="N63" s="105">
        <v>0.10586570379369269</v>
      </c>
      <c r="O63" s="105">
        <v>0.10662642234467956</v>
      </c>
      <c r="P63" s="105">
        <v>0.10537529147116907</v>
      </c>
      <c r="Q63" s="105">
        <v>0.10564031785861347</v>
      </c>
      <c r="R63" s="105">
        <v>0.1051967383944893</v>
      </c>
      <c r="S63" s="105">
        <v>0.10526630411849325</v>
      </c>
      <c r="T63" s="105">
        <v>0.10568323704255124</v>
      </c>
      <c r="U63" s="105">
        <v>0.10624415876726938</v>
      </c>
      <c r="V63" s="105">
        <v>0.10635279126776644</v>
      </c>
      <c r="W63" s="105">
        <v>0.10520218522726039</v>
      </c>
      <c r="X63" s="105">
        <v>0.10617483374872062</v>
      </c>
      <c r="Y63" s="105">
        <v>0.10520626708414664</v>
      </c>
      <c r="Z63" s="105">
        <v>0.10645726852656909</v>
      </c>
      <c r="AA63" s="105">
        <v>0.10515223117125748</v>
      </c>
      <c r="AB63" s="105">
        <v>0.10634561766194738</v>
      </c>
      <c r="AC63" s="105">
        <v>0.10515988485104866</v>
      </c>
      <c r="AD63" s="105">
        <v>0.10620350847786866</v>
      </c>
      <c r="AE63" s="105">
        <v>0.10610564970594767</v>
      </c>
      <c r="AF63" s="105">
        <v>0.10632836724203219</v>
      </c>
      <c r="AG63" s="105">
        <v>0.1055243337785515</v>
      </c>
      <c r="AH63" s="105">
        <v>0.10583678586013369</v>
      </c>
      <c r="AI63" s="105">
        <v>0.10674433792299159</v>
      </c>
      <c r="AJ63" s="105">
        <v>0.10547301830878519</v>
      </c>
      <c r="AK63" s="105">
        <v>0.10550359589682573</v>
      </c>
      <c r="AL63" s="105">
        <v>0.10533906632388358</v>
      </c>
      <c r="AM63" s="105">
        <v>0.10584857646419904</v>
      </c>
      <c r="AN63" s="105">
        <v>0.10476717534161796</v>
      </c>
      <c r="AO63" s="105">
        <v>0.10672847814751452</v>
      </c>
      <c r="AP63" s="105">
        <v>0.10570002764968556</v>
      </c>
      <c r="AQ63" s="105">
        <v>0.10590287890452985</v>
      </c>
      <c r="AR63" s="105">
        <v>0.10587670395177462</v>
      </c>
      <c r="AS63" s="105">
        <v>0.10478816361310889</v>
      </c>
      <c r="AT63" s="105">
        <v>0.10553133795325458</v>
      </c>
      <c r="AU63" s="105">
        <v>0.10570256281475757</v>
      </c>
      <c r="AV63" s="105">
        <v>0.10474415856311582</v>
      </c>
      <c r="AW63" s="105">
        <v>0.10500388884409087</v>
      </c>
      <c r="AX63" s="105">
        <v>0.10598154963844468</v>
      </c>
      <c r="AY63" s="105">
        <v>0.10484569736565567</v>
      </c>
      <c r="AZ63" s="105">
        <v>0.10502307682586048</v>
      </c>
      <c r="BA63" s="105">
        <v>0.10690090468801104</v>
      </c>
      <c r="BB63" s="105">
        <v>0.10492708730386439</v>
      </c>
      <c r="BC63" s="105">
        <v>0.1059767998088208</v>
      </c>
      <c r="BD63" s="105">
        <v>0.10567872459849913</v>
      </c>
      <c r="BE63" s="105">
        <v>0.10561100233476541</v>
      </c>
      <c r="BF63" s="105">
        <v>0.10503838620697838</v>
      </c>
      <c r="BG63" s="105">
        <v>0.10715700217218987</v>
      </c>
      <c r="BH63" s="105">
        <v>0.10648697058159413</v>
      </c>
      <c r="BI63" s="105">
        <v>0.10507215949649762</v>
      </c>
      <c r="BJ63" s="105">
        <v>0.10571476820082118</v>
      </c>
      <c r="BK63" s="105">
        <v>0.10467708866017141</v>
      </c>
      <c r="BL63" s="105">
        <v>0.10724265448951929</v>
      </c>
      <c r="BM63" s="105">
        <v>0.10658523291992314</v>
      </c>
      <c r="BN63" s="105">
        <v>0.10598470863161599</v>
      </c>
      <c r="BO63" s="105">
        <v>0.10539348662843651</v>
      </c>
      <c r="BP63" s="105">
        <v>0.10576120752174986</v>
      </c>
      <c r="BQ63" s="105">
        <v>0.10698050808188588</v>
      </c>
      <c r="BR63" s="105">
        <v>0.1070946739570251</v>
      </c>
      <c r="BS63" s="105">
        <v>0.10705909874831179</v>
      </c>
      <c r="BT63" s="105">
        <v>0.10548693234222743</v>
      </c>
      <c r="BU63" s="105">
        <v>0.10571989949620068</v>
      </c>
      <c r="BV63" s="105">
        <v>0.10665824293195603</v>
      </c>
      <c r="BW63" s="105">
        <v>0.10607964353031143</v>
      </c>
      <c r="BX63" s="105">
        <v>0.10517159686745478</v>
      </c>
      <c r="BY63" s="105">
        <v>0.10517869609411266</v>
      </c>
      <c r="BZ63" s="105">
        <v>0.10519875272979871</v>
      </c>
      <c r="CA63" s="105">
        <v>0.10551709784175772</v>
      </c>
      <c r="CB63" s="105">
        <v>0.10597649017578822</v>
      </c>
      <c r="CC63" s="105">
        <v>0.10533832841043778</v>
      </c>
      <c r="CD63" s="105">
        <v>0.10699637750947427</v>
      </c>
      <c r="CE63" s="105">
        <v>0.1068388769224661</v>
      </c>
      <c r="CF63" s="105">
        <v>0.10474383692036457</v>
      </c>
      <c r="CG63" s="105">
        <v>0.10424264581474273</v>
      </c>
      <c r="CH63" s="105">
        <v>0.10741276250141599</v>
      </c>
      <c r="CI63" s="105">
        <v>0.10514835626377966</v>
      </c>
      <c r="CJ63" s="105">
        <v>0.10492439400378596</v>
      </c>
      <c r="CK63" s="105">
        <v>0.10472716445634003</v>
      </c>
      <c r="CL63" s="105">
        <v>0.10463013881318145</v>
      </c>
      <c r="CM63" s="105">
        <v>0.10736925342976471</v>
      </c>
      <c r="CN63" s="105">
        <v>0.10576127748205764</v>
      </c>
      <c r="CO63" s="105">
        <v>0.10641064467571902</v>
      </c>
      <c r="CP63" s="105">
        <v>0.10636156224384773</v>
      </c>
      <c r="CQ63" s="105">
        <v>0.10480785649706814</v>
      </c>
      <c r="CR63" s="105">
        <v>0.10713535504062738</v>
      </c>
      <c r="CS63" s="105">
        <v>0.10561524610967181</v>
      </c>
      <c r="CT63" s="105">
        <v>0.1062769761681825</v>
      </c>
      <c r="CU63" s="105">
        <v>0.10521282650843364</v>
      </c>
      <c r="CV63" s="105">
        <v>0.10620032880690899</v>
      </c>
      <c r="CW63" s="105">
        <v>0.10734598824813658</v>
      </c>
      <c r="CX63" s="105">
        <v>0.10750175122116265</v>
      </c>
    </row>
    <row r="64" spans="1:102">
      <c r="A64" s="106"/>
      <c r="B64" s="109" t="s">
        <v>114</v>
      </c>
      <c r="C64" s="107">
        <v>0.48858877035960513</v>
      </c>
      <c r="D64" s="107">
        <v>0.49063258168314999</v>
      </c>
      <c r="E64" s="107">
        <v>0.48824615372727043</v>
      </c>
      <c r="F64" s="107">
        <v>0.48987948415978755</v>
      </c>
      <c r="G64" s="107">
        <v>0.48888156474887501</v>
      </c>
      <c r="H64" s="107">
        <v>0.49006077486293864</v>
      </c>
      <c r="I64" s="107">
        <v>0.49185716535490792</v>
      </c>
      <c r="J64" s="107">
        <v>0.49049428228135028</v>
      </c>
      <c r="K64" s="107">
        <v>0.49048243163354222</v>
      </c>
      <c r="L64" s="107">
        <v>0.49046148253579569</v>
      </c>
      <c r="M64" s="107">
        <v>0.48985049564147159</v>
      </c>
      <c r="N64" s="107">
        <v>0.48951197113795936</v>
      </c>
      <c r="O64" s="107">
        <v>0.49161043137366112</v>
      </c>
      <c r="P64" s="107">
        <v>0.48851698620433287</v>
      </c>
      <c r="Q64" s="107">
        <v>0.48870680381179243</v>
      </c>
      <c r="R64" s="107">
        <v>0.48791172701416874</v>
      </c>
      <c r="S64" s="107">
        <v>0.48804024640888821</v>
      </c>
      <c r="T64" s="107">
        <v>0.48904696048683172</v>
      </c>
      <c r="U64" s="107">
        <v>0.49081041542060316</v>
      </c>
      <c r="V64" s="107">
        <v>0.49105965915918892</v>
      </c>
      <c r="W64" s="107">
        <v>0.48840155726021572</v>
      </c>
      <c r="X64" s="107">
        <v>0.49055101693794995</v>
      </c>
      <c r="Y64" s="107">
        <v>0.48862185917882395</v>
      </c>
      <c r="Z64" s="107">
        <v>0.49129901920242425</v>
      </c>
      <c r="AA64" s="107">
        <v>0.48826184081426993</v>
      </c>
      <c r="AB64" s="107">
        <v>0.49133109470452047</v>
      </c>
      <c r="AC64" s="107">
        <v>0.48826770810998188</v>
      </c>
      <c r="AD64" s="107">
        <v>0.49123273723907063</v>
      </c>
      <c r="AE64" s="107">
        <v>0.49024583138428757</v>
      </c>
      <c r="AF64" s="107">
        <v>0.49143614555576676</v>
      </c>
      <c r="AG64" s="107">
        <v>0.48963070108302736</v>
      </c>
      <c r="AH64" s="107">
        <v>0.4895594315874362</v>
      </c>
      <c r="AI64" s="107">
        <v>0.49169890011018869</v>
      </c>
      <c r="AJ64" s="107">
        <v>0.48885459891576333</v>
      </c>
      <c r="AK64" s="107">
        <v>0.48917363384911855</v>
      </c>
      <c r="AL64" s="107">
        <v>0.48951781360179575</v>
      </c>
      <c r="AM64" s="107">
        <v>0.48953105813299669</v>
      </c>
      <c r="AN64" s="107">
        <v>0.48677842746305161</v>
      </c>
      <c r="AO64" s="107">
        <v>0.49176160654854811</v>
      </c>
      <c r="AP64" s="107">
        <v>0.48940423641911834</v>
      </c>
      <c r="AQ64" s="107">
        <v>0.4898798119991904</v>
      </c>
      <c r="AR64" s="107">
        <v>0.48991891613124139</v>
      </c>
      <c r="AS64" s="107">
        <v>0.4868769121909442</v>
      </c>
      <c r="AT64" s="107">
        <v>0.48940837917602054</v>
      </c>
      <c r="AU64" s="107">
        <v>0.48958908466871981</v>
      </c>
      <c r="AV64" s="107">
        <v>0.48693052508802648</v>
      </c>
      <c r="AW64" s="107">
        <v>0.48819259336314735</v>
      </c>
      <c r="AX64" s="107">
        <v>0.4902116771170224</v>
      </c>
      <c r="AY64" s="107">
        <v>0.48752766535522396</v>
      </c>
      <c r="AZ64" s="107">
        <v>0.48777243345064153</v>
      </c>
      <c r="BA64" s="107">
        <v>0.49232496903705453</v>
      </c>
      <c r="BB64" s="107">
        <v>0.48738772345799197</v>
      </c>
      <c r="BC64" s="107">
        <v>0.4903115971778933</v>
      </c>
      <c r="BD64" s="107">
        <v>0.4894395683452557</v>
      </c>
      <c r="BE64" s="107">
        <v>0.48905853837040181</v>
      </c>
      <c r="BF64" s="107">
        <v>0.48871594924661377</v>
      </c>
      <c r="BG64" s="107">
        <v>0.49301644768872188</v>
      </c>
      <c r="BH64" s="107">
        <v>0.49111640076221585</v>
      </c>
      <c r="BI64" s="107">
        <v>0.48818924745699377</v>
      </c>
      <c r="BJ64" s="107">
        <v>0.48927271776907766</v>
      </c>
      <c r="BK64" s="107">
        <v>0.48648041015443633</v>
      </c>
      <c r="BL64" s="107">
        <v>0.49364963204977663</v>
      </c>
      <c r="BM64" s="107">
        <v>0.49187634392296176</v>
      </c>
      <c r="BN64" s="107">
        <v>0.49033908289065253</v>
      </c>
      <c r="BO64" s="107">
        <v>0.48907361308601005</v>
      </c>
      <c r="BP64" s="107">
        <v>0.48976508083357229</v>
      </c>
      <c r="BQ64" s="107">
        <v>0.49288318620688187</v>
      </c>
      <c r="BR64" s="107">
        <v>0.49309746668251059</v>
      </c>
      <c r="BS64" s="107">
        <v>0.49279304257958556</v>
      </c>
      <c r="BT64" s="107">
        <v>0.48920954110589909</v>
      </c>
      <c r="BU64" s="107">
        <v>0.49010369834107798</v>
      </c>
      <c r="BV64" s="107">
        <v>0.49193253320529595</v>
      </c>
      <c r="BW64" s="107">
        <v>0.49044927434752561</v>
      </c>
      <c r="BX64" s="107">
        <v>0.48770257882366908</v>
      </c>
      <c r="BY64" s="107">
        <v>0.48744194063583368</v>
      </c>
      <c r="BZ64" s="107">
        <v>0.48839443456672649</v>
      </c>
      <c r="CA64" s="107">
        <v>0.48941122627306988</v>
      </c>
      <c r="CB64" s="107">
        <v>0.49019361312906995</v>
      </c>
      <c r="CC64" s="107">
        <v>0.48929570959308927</v>
      </c>
      <c r="CD64" s="107">
        <v>0.49296521139073457</v>
      </c>
      <c r="CE64" s="107">
        <v>0.4926095725358241</v>
      </c>
      <c r="CF64" s="107">
        <v>0.48718580333070777</v>
      </c>
      <c r="CG64" s="107">
        <v>0.48549361321221912</v>
      </c>
      <c r="CH64" s="107">
        <v>0.49350286303944257</v>
      </c>
      <c r="CI64" s="107">
        <v>0.48908508837117637</v>
      </c>
      <c r="CJ64" s="107">
        <v>0.48806416290440791</v>
      </c>
      <c r="CK64" s="107">
        <v>0.48685231757193392</v>
      </c>
      <c r="CL64" s="107">
        <v>0.48614285062795876</v>
      </c>
      <c r="CM64" s="107">
        <v>0.49395803146813055</v>
      </c>
      <c r="CN64" s="107">
        <v>0.49003095009944653</v>
      </c>
      <c r="CO64" s="107">
        <v>0.49151645675945532</v>
      </c>
      <c r="CP64" s="107">
        <v>0.4912719581921059</v>
      </c>
      <c r="CQ64" s="107">
        <v>0.48736010086021597</v>
      </c>
      <c r="CR64" s="107">
        <v>0.49292534849880265</v>
      </c>
      <c r="CS64" s="107">
        <v>0.48913116820170804</v>
      </c>
      <c r="CT64" s="107">
        <v>0.49185800596889245</v>
      </c>
      <c r="CU64" s="107">
        <v>0.48820105399927827</v>
      </c>
      <c r="CV64" s="107">
        <v>0.49124997917319879</v>
      </c>
      <c r="CW64" s="107">
        <v>0.49397550325703277</v>
      </c>
      <c r="CX64" s="107">
        <v>0.49405678657524571</v>
      </c>
    </row>
    <row r="65" spans="1:102">
      <c r="A65" s="23"/>
      <c r="B65" s="110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</row>
    <row r="66" spans="1:102">
      <c r="C66" s="112"/>
    </row>
    <row r="67" spans="1:102">
      <c r="C67" s="112"/>
    </row>
    <row r="68" spans="1:102">
      <c r="C68" s="112"/>
    </row>
    <row r="69" spans="1:102">
      <c r="C69" s="112"/>
    </row>
    <row r="70" spans="1:102">
      <c r="C70" s="112"/>
    </row>
    <row r="71" spans="1:102">
      <c r="C71" s="112"/>
    </row>
    <row r="77" spans="1:102">
      <c r="C77" s="112"/>
    </row>
    <row r="81" spans="3:3">
      <c r="C81" s="112"/>
    </row>
    <row r="87" spans="3:3">
      <c r="C87" s="112"/>
    </row>
    <row r="91" spans="3:3">
      <c r="C91" s="112"/>
    </row>
    <row r="97" spans="3:3">
      <c r="C97" s="112"/>
    </row>
    <row r="101" spans="3:3">
      <c r="C101" s="112"/>
    </row>
    <row r="107" spans="3:3">
      <c r="C107" s="112"/>
    </row>
    <row r="111" spans="3:3">
      <c r="C111" s="112"/>
    </row>
    <row r="117" spans="3:3">
      <c r="C117" s="112"/>
    </row>
    <row r="121" spans="3:3">
      <c r="C121" s="112"/>
    </row>
    <row r="127" spans="3:3">
      <c r="C127" s="112"/>
    </row>
    <row r="129" spans="3:3">
      <c r="C129" s="112"/>
    </row>
    <row r="131" spans="3:3">
      <c r="C131" s="112"/>
    </row>
    <row r="139" spans="3:3">
      <c r="C139" s="112"/>
    </row>
    <row r="141" spans="3:3">
      <c r="C141" s="112"/>
    </row>
    <row r="151" spans="3:3">
      <c r="C151" s="11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25:B25"/>
    <mergeCell ref="A16:B16"/>
    <mergeCell ref="A17:B17"/>
    <mergeCell ref="A18:B18"/>
    <mergeCell ref="A19:B19"/>
    <mergeCell ref="A24:B24"/>
    <mergeCell ref="A15:B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</mergeCells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 enableFormatConditionsCalculation="0">
    <tabColor indexed="51"/>
  </sheetPr>
  <dimension ref="A1:AK78"/>
  <sheetViews>
    <sheetView topLeftCell="A40" workbookViewId="0">
      <selection activeCell="A69" sqref="A69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9" max="19" width="29.7109375" customWidth="1"/>
    <col min="27" max="27" width="20.28515625" customWidth="1"/>
    <col min="32" max="32" width="18.7109375" customWidth="1"/>
  </cols>
  <sheetData>
    <row r="1" spans="1:31">
      <c r="A1" s="2" t="s">
        <v>134</v>
      </c>
    </row>
    <row r="2" spans="1:31">
      <c r="A2" s="82"/>
      <c r="D2" s="303" t="s">
        <v>136</v>
      </c>
      <c r="E2" s="312"/>
      <c r="F2" s="304"/>
      <c r="G2" s="303" t="s">
        <v>137</v>
      </c>
      <c r="H2" s="312"/>
      <c r="I2" s="312"/>
      <c r="J2" s="312"/>
      <c r="K2" s="312"/>
      <c r="L2" s="312"/>
      <c r="M2" s="312"/>
      <c r="N2" s="312"/>
      <c r="O2" s="312"/>
      <c r="P2" s="304"/>
      <c r="T2" s="142" t="s">
        <v>174</v>
      </c>
      <c r="U2" s="142" t="s">
        <v>119</v>
      </c>
      <c r="V2" s="142" t="s">
        <v>143</v>
      </c>
      <c r="X2" s="142" t="s">
        <v>169</v>
      </c>
    </row>
    <row r="3" spans="1:31">
      <c r="A3" s="88" t="str">
        <f>Parameters!A40</f>
        <v>Basis</v>
      </c>
      <c r="B3" s="89" t="s">
        <v>135</v>
      </c>
      <c r="C3" s="17" t="s">
        <v>117</v>
      </c>
      <c r="D3" s="114">
        <v>0.25</v>
      </c>
      <c r="E3" s="113">
        <v>0.5</v>
      </c>
      <c r="F3" s="115">
        <v>0.75</v>
      </c>
      <c r="G3" s="128">
        <v>0.41182132432853014</v>
      </c>
      <c r="H3" s="129">
        <v>0.17710477529249946</v>
      </c>
      <c r="I3" s="128">
        <v>0.12668223828968717</v>
      </c>
      <c r="J3" s="128">
        <v>0.10731255628352321</v>
      </c>
      <c r="K3" s="128">
        <v>8.9739555551843209E-2</v>
      </c>
      <c r="L3" s="128">
        <v>4.5137501357789711E-2</v>
      </c>
      <c r="M3" s="128">
        <v>4.0411004697542663E-2</v>
      </c>
      <c r="N3" s="128">
        <v>1.7910441985872216E-3</v>
      </c>
      <c r="O3" s="128">
        <v>0</v>
      </c>
      <c r="P3" s="130">
        <v>0</v>
      </c>
      <c r="S3" s="21" t="str">
        <f>A3</f>
        <v>Basis</v>
      </c>
      <c r="T3" s="21">
        <f>B4</f>
        <v>0.61534288117132652</v>
      </c>
      <c r="U3" s="28">
        <f>B5</f>
        <v>2.2393905916837906E-2</v>
      </c>
      <c r="V3" s="21">
        <f>1-T3-U3</f>
        <v>0.36226321291183555</v>
      </c>
      <c r="X3" s="21">
        <v>0</v>
      </c>
      <c r="AA3" t="str">
        <f>A4</f>
        <v>Nominale matching</v>
      </c>
      <c r="AB3" s="28">
        <f>D4</f>
        <v>0.55848299942109558</v>
      </c>
      <c r="AC3" s="28">
        <f>B4-D4</f>
        <v>5.6859881750230934E-2</v>
      </c>
      <c r="AD3" s="28">
        <f>F4-B4</f>
        <v>6.2488582417931982E-2</v>
      </c>
      <c r="AE3" s="28"/>
    </row>
    <row r="4" spans="1:31">
      <c r="A4" s="14" t="str">
        <f>Parameters!A50</f>
        <v>Nominale matching</v>
      </c>
      <c r="B4" s="81">
        <v>0.61534288117132652</v>
      </c>
      <c r="C4" s="16">
        <v>8.0313774837068877E-2</v>
      </c>
      <c r="D4" s="63">
        <v>0.55848299942109558</v>
      </c>
      <c r="E4" s="81">
        <v>0.62119030996514946</v>
      </c>
      <c r="F4" s="120">
        <v>0.6778314635892585</v>
      </c>
      <c r="G4" s="91">
        <v>1</v>
      </c>
      <c r="H4" s="91">
        <v>4.1812631397830348E-2</v>
      </c>
      <c r="I4" s="91">
        <v>-1.2381448504154341E-2</v>
      </c>
      <c r="J4" s="91">
        <v>-0.5962244640875769</v>
      </c>
      <c r="K4" s="91">
        <v>7.7486801400141721E-3</v>
      </c>
      <c r="L4" s="91">
        <v>-0.3138201604327075</v>
      </c>
      <c r="M4" s="91">
        <v>-0.18827009409363962</v>
      </c>
      <c r="N4" s="91">
        <v>-0.69624363200468509</v>
      </c>
      <c r="O4" s="91">
        <v>0.15584899290892298</v>
      </c>
      <c r="P4" s="92">
        <v>-0.71294083482493653</v>
      </c>
      <c r="S4" s="21" t="str">
        <f>A16</f>
        <v>Groei recessie</v>
      </c>
      <c r="T4" s="21">
        <f>B17</f>
        <v>0.43037012672941904</v>
      </c>
      <c r="U4" s="28">
        <f>B18</f>
        <v>3.2834815762131424E-2</v>
      </c>
      <c r="V4" s="21">
        <f>1-T4-U4</f>
        <v>0.53679505750844947</v>
      </c>
      <c r="X4" s="183">
        <v>0.6</v>
      </c>
      <c r="AA4" t="str">
        <f>A5</f>
        <v>Reele matching</v>
      </c>
      <c r="AB4" s="28">
        <f>D5</f>
        <v>8.0024247076160331E-5</v>
      </c>
      <c r="AC4" s="28">
        <f>B5-D5</f>
        <v>2.2313881669761747E-2</v>
      </c>
      <c r="AD4" s="28">
        <f>F5-B5</f>
        <v>7.0489317321891336E-3</v>
      </c>
      <c r="AE4" s="28"/>
    </row>
    <row r="5" spans="1:31">
      <c r="A5" s="14" t="str">
        <f>Parameters!A51</f>
        <v>Reele matching</v>
      </c>
      <c r="B5" s="81">
        <v>2.2393905916837906E-2</v>
      </c>
      <c r="C5" s="16">
        <v>3.1638511460655945E-2</v>
      </c>
      <c r="D5" s="63">
        <v>8.0024247076160331E-5</v>
      </c>
      <c r="E5" s="81">
        <v>7.9061107484221845E-3</v>
      </c>
      <c r="F5" s="120">
        <v>2.944283764902704E-2</v>
      </c>
      <c r="G5" s="91">
        <v>-0.11191118213845667</v>
      </c>
      <c r="H5" s="91">
        <v>2.4701070039015987E-2</v>
      </c>
      <c r="I5" s="91">
        <v>-4.3852554993377202E-2</v>
      </c>
      <c r="J5" s="91">
        <v>0.29045675671795501</v>
      </c>
      <c r="K5" s="91">
        <v>0.14869053091233303</v>
      </c>
      <c r="L5" s="91">
        <v>0.53922798482961221</v>
      </c>
      <c r="M5" s="91">
        <v>1</v>
      </c>
      <c r="N5" s="91">
        <v>-0.65208815114086383</v>
      </c>
      <c r="O5" s="91">
        <v>0.15584899290892285</v>
      </c>
      <c r="P5" s="92">
        <v>-0.7129408348249372</v>
      </c>
      <c r="S5" s="21" t="str">
        <f>A29</f>
        <v>Inflatie is een fiscaal verschijnsel</v>
      </c>
      <c r="T5" s="21">
        <f>B30</f>
        <v>0.37382261054515575</v>
      </c>
      <c r="U5" s="21">
        <f>B31</f>
        <v>0.38268738606757879</v>
      </c>
      <c r="V5" s="21">
        <f>1-T5-U5</f>
        <v>0.24349000338726545</v>
      </c>
      <c r="X5" s="183">
        <v>0.1</v>
      </c>
      <c r="AA5" t="s">
        <v>4</v>
      </c>
      <c r="AB5" s="28">
        <f>D7</f>
        <v>2.1135217939597731E-3</v>
      </c>
      <c r="AC5" s="28">
        <f>B7-D7</f>
        <v>6.2908038177110298E-2</v>
      </c>
      <c r="AD5" s="28">
        <f>F7-B7</f>
        <v>4.0078895425541786E-2</v>
      </c>
      <c r="AE5" s="28"/>
    </row>
    <row r="6" spans="1:31">
      <c r="A6" s="14" t="str">
        <f>Parameters!A52</f>
        <v>Credits</v>
      </c>
      <c r="B6" s="81">
        <v>0</v>
      </c>
      <c r="C6" s="16">
        <v>0</v>
      </c>
      <c r="D6" s="63">
        <v>0</v>
      </c>
      <c r="E6" s="81">
        <v>0</v>
      </c>
      <c r="F6" s="120">
        <v>0</v>
      </c>
      <c r="G6" s="91">
        <v>-6.1372371059437557E-19</v>
      </c>
      <c r="H6" s="91">
        <v>-1.8382139539934197E-16</v>
      </c>
      <c r="I6" s="91">
        <v>3.0392071481061404E-17</v>
      </c>
      <c r="J6" s="91">
        <v>-4.8025596007391676E-17</v>
      </c>
      <c r="K6" s="91">
        <v>2.0829409526161633E-16</v>
      </c>
      <c r="L6" s="91">
        <v>0</v>
      </c>
      <c r="M6" s="91">
        <v>7.6927115059310841E-17</v>
      </c>
      <c r="N6" s="91">
        <v>1.9856025646701162E-15</v>
      </c>
      <c r="O6" s="91">
        <v>1</v>
      </c>
      <c r="P6" s="92">
        <v>1</v>
      </c>
      <c r="S6" s="21" t="str">
        <f>A42</f>
        <v>Vermogenseffect &amp; innovatie</v>
      </c>
      <c r="T6" s="21">
        <f>B43</f>
        <v>0.56293516182923486</v>
      </c>
      <c r="U6" s="21">
        <f>B44</f>
        <v>1.1494241199083169E-2</v>
      </c>
      <c r="V6" s="21">
        <f>1-T6-U6</f>
        <v>0.42557059697168198</v>
      </c>
      <c r="X6" s="183">
        <v>0.15</v>
      </c>
      <c r="AA6" t="s">
        <v>175</v>
      </c>
      <c r="AB6" s="28">
        <f t="shared" ref="AB6:AB11" si="0">D8</f>
        <v>2.3653538284595048E-4</v>
      </c>
      <c r="AC6" s="28">
        <f t="shared" ref="AC6:AC11" si="1">B8-D8</f>
        <v>4.2774826380917327E-2</v>
      </c>
      <c r="AD6" s="28">
        <f t="shared" ref="AD6:AD11" si="2">F8-B8</f>
        <v>2.7721756909363647E-2</v>
      </c>
      <c r="AE6" s="28"/>
    </row>
    <row r="7" spans="1:31">
      <c r="A7" s="14" t="str">
        <f>Parameters!A53</f>
        <v>High Yield</v>
      </c>
      <c r="B7" s="81">
        <v>6.5021559971070064E-2</v>
      </c>
      <c r="C7" s="16">
        <v>6.5327462122974161E-2</v>
      </c>
      <c r="D7" s="63">
        <v>2.1135217939597731E-3</v>
      </c>
      <c r="E7" s="81">
        <v>5.4813180063704767E-2</v>
      </c>
      <c r="F7" s="120">
        <v>0.10510045539661185</v>
      </c>
      <c r="G7" s="91">
        <v>-0.51730257822273995</v>
      </c>
      <c r="H7" s="91">
        <v>-0.89730677659019775</v>
      </c>
      <c r="I7" s="91">
        <v>-0.40198564046413221</v>
      </c>
      <c r="J7" s="91">
        <v>-0.36665904889382239</v>
      </c>
      <c r="K7" s="91">
        <v>0.93878144927998242</v>
      </c>
      <c r="L7" s="91">
        <v>-0.47389885125165326</v>
      </c>
      <c r="M7" s="91">
        <v>-2.1462655960267387E-2</v>
      </c>
      <c r="N7" s="91">
        <v>-1.4763648537434173E-2</v>
      </c>
      <c r="O7" s="91">
        <v>0.15584899290892135</v>
      </c>
      <c r="P7" s="92">
        <v>-0.7129408348249312</v>
      </c>
      <c r="S7" s="21" t="str">
        <f>A55</f>
        <v>Schuld deflatie</v>
      </c>
      <c r="T7" s="21">
        <f>B56-V7</f>
        <v>0.89999992443495458</v>
      </c>
      <c r="U7" s="21">
        <f>B57</f>
        <v>2.7148566153486209E-8</v>
      </c>
      <c r="V7" s="21">
        <v>0.1</v>
      </c>
      <c r="X7" s="183">
        <v>0.15</v>
      </c>
      <c r="AA7" t="s">
        <v>176</v>
      </c>
      <c r="AB7" s="28">
        <f t="shared" si="0"/>
        <v>4.4641897398864433E-3</v>
      </c>
      <c r="AC7" s="28">
        <f t="shared" si="1"/>
        <v>5.5982585173242373E-2</v>
      </c>
      <c r="AD7" s="28">
        <f t="shared" si="2"/>
        <v>3.9084557683008878E-2</v>
      </c>
      <c r="AE7" s="28"/>
    </row>
    <row r="8" spans="1:31">
      <c r="A8" s="14" t="str">
        <f>Parameters!A54</f>
        <v>Emerging market debt</v>
      </c>
      <c r="B8" s="81">
        <v>4.301136176376328E-2</v>
      </c>
      <c r="C8" s="16">
        <v>5.279068765712179E-2</v>
      </c>
      <c r="D8" s="63">
        <v>2.3653538284595048E-4</v>
      </c>
      <c r="E8" s="81">
        <v>1.7330685339479207E-2</v>
      </c>
      <c r="F8" s="120">
        <v>7.0733118673126927E-2</v>
      </c>
      <c r="G8" s="91">
        <v>8.1482196165271623E-2</v>
      </c>
      <c r="H8" s="91">
        <v>-0.18568492549205093</v>
      </c>
      <c r="I8" s="91">
        <v>-0.80653008376671842</v>
      </c>
      <c r="J8" s="91">
        <v>1</v>
      </c>
      <c r="K8" s="91">
        <v>-0.8160321606429437</v>
      </c>
      <c r="L8" s="91">
        <v>-4.0455474322913083E-2</v>
      </c>
      <c r="M8" s="91">
        <v>-0.34981209299203742</v>
      </c>
      <c r="N8" s="91">
        <v>-2.1543578530266196E-2</v>
      </c>
      <c r="O8" s="91">
        <v>0.15584899290892143</v>
      </c>
      <c r="P8" s="92">
        <v>-0.7129408348249312</v>
      </c>
      <c r="S8" s="21" t="str">
        <f>A68</f>
        <v>Kansgewogen</v>
      </c>
      <c r="T8" s="21">
        <f>SUMPRODUCT(T3:T7,$X$3:$X$7)</f>
        <v>0.51504460003179542</v>
      </c>
      <c r="U8" s="21">
        <f>SUMPRODUCT(U3:U7,$X$3:$X$7)</f>
        <v>5.9693768316184136E-2</v>
      </c>
      <c r="V8" s="21">
        <f>SUMPRODUCT(V3:V7,$X$3:$X$7)</f>
        <v>0.42526162438954856</v>
      </c>
      <c r="AA8" t="s">
        <v>177</v>
      </c>
      <c r="AB8" s="28">
        <f t="shared" si="0"/>
        <v>5.3327894633419415E-5</v>
      </c>
      <c r="AC8" s="28">
        <f t="shared" si="1"/>
        <v>2.536807287280746E-2</v>
      </c>
      <c r="AD8" s="28">
        <f t="shared" si="2"/>
        <v>2.2224707093397085E-2</v>
      </c>
      <c r="AE8" s="28"/>
    </row>
    <row r="9" spans="1:31">
      <c r="A9" s="14" t="str">
        <f>Parameters!A55</f>
        <v>Aandelen ontwikkeld</v>
      </c>
      <c r="B9" s="81">
        <v>6.0446774913128817E-2</v>
      </c>
      <c r="C9" s="16">
        <v>5.3397162333792637E-2</v>
      </c>
      <c r="D9" s="63">
        <v>4.4641897398864433E-3</v>
      </c>
      <c r="E9" s="81">
        <v>5.7496658150731628E-2</v>
      </c>
      <c r="F9" s="120">
        <v>9.9531332596137695E-2</v>
      </c>
      <c r="G9" s="91">
        <v>8.8086609334983371E-2</v>
      </c>
      <c r="H9" s="91">
        <v>0.61355771241736912</v>
      </c>
      <c r="I9" s="91">
        <v>0.53183597344429767</v>
      </c>
      <c r="J9" s="91">
        <v>0.90423041398387438</v>
      </c>
      <c r="K9" s="91">
        <v>1</v>
      </c>
      <c r="L9" s="91">
        <v>-0.34342040944713642</v>
      </c>
      <c r="M9" s="91">
        <v>-0.15207213115946649</v>
      </c>
      <c r="N9" s="91">
        <v>0.18831135549955627</v>
      </c>
      <c r="O9" s="91">
        <v>0.15584899290892068</v>
      </c>
      <c r="P9" s="92">
        <v>-0.71294083482493009</v>
      </c>
      <c r="AA9" t="s">
        <v>5</v>
      </c>
      <c r="AB9" s="28">
        <f t="shared" si="0"/>
        <v>9.0274039837379041E-4</v>
      </c>
      <c r="AC9" s="28">
        <f t="shared" si="1"/>
        <v>4.9777292958448169E-2</v>
      </c>
      <c r="AD9" s="28">
        <f t="shared" si="2"/>
        <v>3.1858128084180717E-2</v>
      </c>
      <c r="AE9" s="28"/>
    </row>
    <row r="10" spans="1:31">
      <c r="A10" s="14" t="str">
        <f>Parameters!A56</f>
        <v>Aandelen opkomend</v>
      </c>
      <c r="B10" s="81">
        <v>2.5421400767440878E-2</v>
      </c>
      <c r="C10" s="16">
        <v>3.2558152139085979E-2</v>
      </c>
      <c r="D10" s="63">
        <v>5.3327894633419415E-5</v>
      </c>
      <c r="E10" s="81">
        <v>7.3191864685689181E-3</v>
      </c>
      <c r="F10" s="120">
        <v>4.7646107860837963E-2</v>
      </c>
      <c r="G10" s="91">
        <v>0.20675070907184406</v>
      </c>
      <c r="H10" s="91">
        <v>0.15061445453295266</v>
      </c>
      <c r="I10" s="91">
        <v>-4.3301987478547525E-3</v>
      </c>
      <c r="J10" s="91">
        <v>-0.34170746099949673</v>
      </c>
      <c r="K10" s="91">
        <v>-0.59353271865177981</v>
      </c>
      <c r="L10" s="91">
        <v>-0.42139097318072327</v>
      </c>
      <c r="M10" s="91">
        <v>0.65739212026433214</v>
      </c>
      <c r="N10" s="91">
        <v>1</v>
      </c>
      <c r="O10" s="91">
        <v>0.15584899290891849</v>
      </c>
      <c r="P10" s="92">
        <v>-0.71294083482492432</v>
      </c>
      <c r="AA10" t="s">
        <v>178</v>
      </c>
      <c r="AB10" s="28">
        <f t="shared" si="0"/>
        <v>6.0455365436094463E-3</v>
      </c>
      <c r="AC10" s="28">
        <f t="shared" si="1"/>
        <v>7.8211514570335594E-2</v>
      </c>
      <c r="AD10" s="28">
        <f t="shared" si="2"/>
        <v>5.2835598671303843E-2</v>
      </c>
      <c r="AE10" s="28"/>
    </row>
    <row r="11" spans="1:31">
      <c r="A11" s="14" t="str">
        <f>Parameters!A57</f>
        <v>Hedge funds</v>
      </c>
      <c r="B11" s="81">
        <v>5.068003335682196E-2</v>
      </c>
      <c r="C11" s="16">
        <v>5.9188777771513476E-2</v>
      </c>
      <c r="D11" s="63">
        <v>9.0274039837379041E-4</v>
      </c>
      <c r="E11" s="81">
        <v>2.8667064308716857E-2</v>
      </c>
      <c r="F11" s="120">
        <v>8.2538161441002678E-2</v>
      </c>
      <c r="G11" s="91">
        <v>-0.24859874533798934</v>
      </c>
      <c r="H11" s="91">
        <v>-0.70606494400131392</v>
      </c>
      <c r="I11" s="91">
        <v>1</v>
      </c>
      <c r="J11" s="91">
        <v>5.7044664438035103E-2</v>
      </c>
      <c r="K11" s="91">
        <v>-0.79617445432747203</v>
      </c>
      <c r="L11" s="91">
        <v>0.10016930107084195</v>
      </c>
      <c r="M11" s="91">
        <v>-0.25594237717095081</v>
      </c>
      <c r="N11" s="91">
        <v>-0.11735213905823745</v>
      </c>
      <c r="O11" s="91">
        <v>0.15584899290892165</v>
      </c>
      <c r="P11" s="92">
        <v>-0.71294083482493276</v>
      </c>
      <c r="AA11" t="s">
        <v>6</v>
      </c>
      <c r="AB11" s="28">
        <f t="shared" si="0"/>
        <v>1.4443846303467217E-4</v>
      </c>
      <c r="AC11" s="28">
        <f t="shared" si="1"/>
        <v>3.328059256263087E-2</v>
      </c>
      <c r="AD11" s="28">
        <f t="shared" si="2"/>
        <v>3.2111881235408098E-2</v>
      </c>
      <c r="AE11" s="28"/>
    </row>
    <row r="12" spans="1:31">
      <c r="A12" s="14" t="str">
        <f>Parameters!A58</f>
        <v>Onroerend goed</v>
      </c>
      <c r="B12" s="81">
        <v>8.4257051113945033E-2</v>
      </c>
      <c r="C12" s="16">
        <v>7.553024775576718E-2</v>
      </c>
      <c r="D12" s="63">
        <v>6.0455365436094463E-3</v>
      </c>
      <c r="E12" s="81">
        <v>8.0778862414023739E-2</v>
      </c>
      <c r="F12" s="120">
        <v>0.13709264978524888</v>
      </c>
      <c r="G12" s="91">
        <v>-0.73880663533824542</v>
      </c>
      <c r="H12" s="91">
        <v>1</v>
      </c>
      <c r="I12" s="91">
        <v>-0.13382619020955902</v>
      </c>
      <c r="J12" s="91">
        <v>-0.60294829521693694</v>
      </c>
      <c r="K12" s="91">
        <v>-0.37907912439761143</v>
      </c>
      <c r="L12" s="91">
        <v>-4.6411417265322198E-2</v>
      </c>
      <c r="M12" s="91">
        <v>-0.30354302938695704</v>
      </c>
      <c r="N12" s="91">
        <v>-0.29567441492557572</v>
      </c>
      <c r="O12" s="91">
        <v>0.15584899290892196</v>
      </c>
      <c r="P12" s="92">
        <v>-0.7129408348249332</v>
      </c>
      <c r="AB12" s="28"/>
      <c r="AC12" s="28"/>
      <c r="AD12" s="28"/>
      <c r="AE12" s="28"/>
    </row>
    <row r="13" spans="1:31">
      <c r="A13" s="15" t="str">
        <f>Parameters!A59</f>
        <v>Commodities</v>
      </c>
      <c r="B13" s="85">
        <v>3.342503102566554E-2</v>
      </c>
      <c r="C13" s="80">
        <v>3.7956728083573477E-2</v>
      </c>
      <c r="D13" s="116">
        <v>1.4443846303467217E-4</v>
      </c>
      <c r="E13" s="85">
        <v>1.2928512812171208E-2</v>
      </c>
      <c r="F13" s="121">
        <v>6.5536912261073638E-2</v>
      </c>
      <c r="G13" s="93">
        <v>0.24029962646533246</v>
      </c>
      <c r="H13" s="93">
        <v>-4.1629222303604239E-2</v>
      </c>
      <c r="I13" s="93">
        <v>-0.12892985675850202</v>
      </c>
      <c r="J13" s="93">
        <v>-0.34419256594203179</v>
      </c>
      <c r="K13" s="93">
        <v>0.48959779768747602</v>
      </c>
      <c r="L13" s="93">
        <v>1</v>
      </c>
      <c r="M13" s="93">
        <v>-0.38628973950101414</v>
      </c>
      <c r="N13" s="93">
        <v>0.60935420869753354</v>
      </c>
      <c r="O13" s="93">
        <v>0.15584899290891988</v>
      </c>
      <c r="P13" s="127">
        <v>-0.71294083482492709</v>
      </c>
    </row>
    <row r="14" spans="1:31">
      <c r="AB14" s="28"/>
      <c r="AC14" s="28"/>
      <c r="AD14" s="28"/>
      <c r="AE14" s="28"/>
    </row>
    <row r="15" spans="1:31">
      <c r="A15" s="2" t="s">
        <v>125</v>
      </c>
      <c r="D15" s="303" t="s">
        <v>136</v>
      </c>
      <c r="E15" s="312"/>
      <c r="F15" s="304"/>
      <c r="G15" s="303" t="s">
        <v>137</v>
      </c>
      <c r="H15" s="312"/>
      <c r="I15" s="312"/>
      <c r="J15" s="312"/>
      <c r="K15" s="312"/>
      <c r="L15" s="312"/>
      <c r="M15" s="312"/>
      <c r="N15" s="312"/>
      <c r="O15" s="312"/>
      <c r="P15" s="304"/>
    </row>
    <row r="16" spans="1:31">
      <c r="A16" s="88" t="str">
        <f>Parameters!A41</f>
        <v>Groei recessie</v>
      </c>
      <c r="B16" s="89" t="s">
        <v>116</v>
      </c>
      <c r="C16" s="17" t="s">
        <v>117</v>
      </c>
      <c r="D16" s="114">
        <v>0.25</v>
      </c>
      <c r="E16" s="113">
        <v>0.5</v>
      </c>
      <c r="F16" s="115">
        <v>0.75</v>
      </c>
      <c r="G16" s="128">
        <v>0.33086620397627098</v>
      </c>
      <c r="H16" s="129">
        <v>0.23433702951988966</v>
      </c>
      <c r="I16" s="128">
        <v>0.1786137094198994</v>
      </c>
      <c r="J16" s="128">
        <v>0.11636704197534253</v>
      </c>
      <c r="K16" s="128">
        <v>0.10078668371035193</v>
      </c>
      <c r="L16" s="128">
        <v>2.5602006081814843E-2</v>
      </c>
      <c r="M16" s="128">
        <v>7.920274302667174E-3</v>
      </c>
      <c r="N16" s="128">
        <v>5.507051013766695E-3</v>
      </c>
      <c r="O16" s="128">
        <v>1.1102230246251565E-16</v>
      </c>
      <c r="P16" s="130">
        <v>0</v>
      </c>
      <c r="AA16" t="str">
        <f>A17</f>
        <v>Nominale matching</v>
      </c>
      <c r="AB16" s="28">
        <f>D17</f>
        <v>0.35873618263785956</v>
      </c>
      <c r="AC16" s="28">
        <f>B17-D17</f>
        <v>7.1633944091559487E-2</v>
      </c>
      <c r="AD16" s="28">
        <f>F17-B17</f>
        <v>8.2060318921813591E-2</v>
      </c>
      <c r="AE16" s="28"/>
    </row>
    <row r="17" spans="1:31">
      <c r="A17" s="14" t="str">
        <f>A4</f>
        <v>Nominale matching</v>
      </c>
      <c r="B17" s="81">
        <v>0.43037012672941904</v>
      </c>
      <c r="C17" s="16">
        <v>0.10785517289119941</v>
      </c>
      <c r="D17" s="63">
        <v>0.35873618263785956</v>
      </c>
      <c r="E17" s="81">
        <v>0.43383968695240616</v>
      </c>
      <c r="F17" s="120">
        <v>0.51243044565123264</v>
      </c>
      <c r="G17" s="91">
        <v>1</v>
      </c>
      <c r="H17" s="91">
        <v>-0.20558867606323886</v>
      </c>
      <c r="I17" s="91">
        <v>-0.35767555954220798</v>
      </c>
      <c r="J17" s="91">
        <v>0.57591237107257442</v>
      </c>
      <c r="K17" s="91">
        <v>-0.19114378103700561</v>
      </c>
      <c r="L17" s="91">
        <v>0.33862928720439694</v>
      </c>
      <c r="M17" s="91">
        <v>-0.34614202034710601</v>
      </c>
      <c r="N17" s="91">
        <v>6.831313696605372E-2</v>
      </c>
      <c r="O17" s="91">
        <v>0.99999999999999634</v>
      </c>
      <c r="P17" s="92">
        <v>-0.10340115736933606</v>
      </c>
      <c r="AA17" t="str">
        <f>A18</f>
        <v>Reele matching</v>
      </c>
      <c r="AB17" s="28">
        <f>D18</f>
        <v>2.42581477496169E-6</v>
      </c>
      <c r="AC17" s="28">
        <f>B18-D18</f>
        <v>3.2832389947356461E-2</v>
      </c>
      <c r="AD17" s="28">
        <f>F18-B18</f>
        <v>1.449440632677771E-2</v>
      </c>
      <c r="AE17" s="28"/>
    </row>
    <row r="18" spans="1:31">
      <c r="A18" s="14" t="str">
        <f t="shared" ref="A18:A26" si="3">A5</f>
        <v>Reele matching</v>
      </c>
      <c r="B18" s="81">
        <v>3.2834815762131424E-2</v>
      </c>
      <c r="C18" s="16">
        <v>5.8266920695880103E-2</v>
      </c>
      <c r="D18" s="63">
        <v>2.42581477496169E-6</v>
      </c>
      <c r="E18" s="81">
        <v>5.4329569033144693E-3</v>
      </c>
      <c r="F18" s="120">
        <v>4.7329222088909134E-2</v>
      </c>
      <c r="G18" s="91">
        <v>-0.25265481595039124</v>
      </c>
      <c r="H18" s="91">
        <v>-6.125924659345125E-2</v>
      </c>
      <c r="I18" s="91">
        <v>0.16262466942483531</v>
      </c>
      <c r="J18" s="91">
        <v>-0.82275348992460073</v>
      </c>
      <c r="K18" s="91">
        <v>-5.1639625841859473E-2</v>
      </c>
      <c r="L18" s="91">
        <v>1</v>
      </c>
      <c r="M18" s="91">
        <v>-0.34011678080884594</v>
      </c>
      <c r="N18" s="91">
        <v>8.7032333840627307E-2</v>
      </c>
      <c r="O18" s="91">
        <v>0.99999999999999656</v>
      </c>
      <c r="P18" s="92">
        <v>-0.10340115736933589</v>
      </c>
      <c r="AA18" t="s">
        <v>4</v>
      </c>
      <c r="AB18" s="28">
        <f>D20</f>
        <v>5.4816140622493976E-3</v>
      </c>
      <c r="AC18" s="28">
        <f>B20-D20</f>
        <v>0.10854484567329352</v>
      </c>
      <c r="AD18" s="28">
        <f>F20-B20</f>
        <v>8.3735872457924895E-2</v>
      </c>
      <c r="AE18" s="28"/>
    </row>
    <row r="19" spans="1:31">
      <c r="A19" s="14" t="str">
        <f t="shared" si="3"/>
        <v>Credits</v>
      </c>
      <c r="B19" s="81">
        <v>0</v>
      </c>
      <c r="C19" s="16">
        <v>0</v>
      </c>
      <c r="D19" s="63">
        <v>0</v>
      </c>
      <c r="E19" s="81">
        <v>0</v>
      </c>
      <c r="F19" s="120">
        <v>0</v>
      </c>
      <c r="G19" s="91">
        <v>1.9786640177706922E-17</v>
      </c>
      <c r="H19" s="91">
        <v>1.4503030341669949E-16</v>
      </c>
      <c r="I19" s="91">
        <v>-6.6554294772991243E-17</v>
      </c>
      <c r="J19" s="91">
        <v>-1.7347158384686122E-16</v>
      </c>
      <c r="K19" s="91">
        <v>-7.0951947610341296E-17</v>
      </c>
      <c r="L19" s="91">
        <v>-3.5704122791672736E-16</v>
      </c>
      <c r="M19" s="91">
        <v>-4.869708047919445E-16</v>
      </c>
      <c r="N19" s="91">
        <v>-5.9461865514972563E-16</v>
      </c>
      <c r="O19" s="91">
        <v>0.93061041632402197</v>
      </c>
      <c r="P19" s="92">
        <v>1</v>
      </c>
      <c r="AA19" t="s">
        <v>175</v>
      </c>
      <c r="AB19" s="28">
        <f t="shared" ref="AB19:AB24" si="4">D21</f>
        <v>5.7310930166663068E-3</v>
      </c>
      <c r="AC19" s="28">
        <f t="shared" ref="AC19:AC24" si="5">B21-D21</f>
        <v>8.8198698796944974E-2</v>
      </c>
      <c r="AD19" s="28">
        <f t="shared" ref="AD19:AD24" si="6">F21-B21</f>
        <v>7.5894647330890797E-2</v>
      </c>
      <c r="AE19" s="28"/>
    </row>
    <row r="20" spans="1:31">
      <c r="A20" s="14" t="str">
        <f t="shared" si="3"/>
        <v>High Yield</v>
      </c>
      <c r="B20" s="81">
        <v>0.11402645973554291</v>
      </c>
      <c r="C20" s="16">
        <v>9.6090380456412938E-2</v>
      </c>
      <c r="D20" s="63">
        <v>5.4816140622493976E-3</v>
      </c>
      <c r="E20" s="81">
        <v>0.11956501582707678</v>
      </c>
      <c r="F20" s="120">
        <v>0.19776233219346781</v>
      </c>
      <c r="G20" s="91">
        <v>0.12416939367268046</v>
      </c>
      <c r="H20" s="91">
        <v>1</v>
      </c>
      <c r="I20" s="91">
        <v>-0.19611114236829091</v>
      </c>
      <c r="J20" s="91">
        <v>-0.41566926194497489</v>
      </c>
      <c r="K20" s="91">
        <v>-0.3302320658328563</v>
      </c>
      <c r="L20" s="91">
        <v>-0.44727014021061395</v>
      </c>
      <c r="M20" s="91">
        <v>-0.20352976916344717</v>
      </c>
      <c r="N20" s="91">
        <v>-0.12544412239556829</v>
      </c>
      <c r="O20" s="91">
        <v>0.99999999999999534</v>
      </c>
      <c r="P20" s="92">
        <v>-0.10340115736933633</v>
      </c>
      <c r="AA20" t="s">
        <v>176</v>
      </c>
      <c r="AB20" s="28">
        <f t="shared" si="4"/>
        <v>9.9887592112520886E-3</v>
      </c>
      <c r="AC20" s="28">
        <f t="shared" si="5"/>
        <v>6.993671879912744E-2</v>
      </c>
      <c r="AD20" s="28">
        <f t="shared" si="6"/>
        <v>6.474961308419408E-2</v>
      </c>
      <c r="AE20" s="28"/>
    </row>
    <row r="21" spans="1:31">
      <c r="A21" s="14" t="str">
        <f t="shared" si="3"/>
        <v>Emerging market debt</v>
      </c>
      <c r="B21" s="81">
        <v>9.3929791813611274E-2</v>
      </c>
      <c r="C21" s="16">
        <v>9.0165992406053469E-2</v>
      </c>
      <c r="D21" s="63">
        <v>5.7310930166663068E-3</v>
      </c>
      <c r="E21" s="81">
        <v>6.9264865066658798E-2</v>
      </c>
      <c r="F21" s="120">
        <v>0.16982443914450207</v>
      </c>
      <c r="G21" s="91">
        <v>0.15888667993749023</v>
      </c>
      <c r="H21" s="91">
        <v>-0.20986394735621347</v>
      </c>
      <c r="I21" s="91">
        <v>1</v>
      </c>
      <c r="J21" s="91">
        <v>0.17110358360504122</v>
      </c>
      <c r="K21" s="91">
        <v>-0.29016551454303674</v>
      </c>
      <c r="L21" s="91">
        <v>-0.37512318533150135</v>
      </c>
      <c r="M21" s="91">
        <v>-0.14673282561850576</v>
      </c>
      <c r="N21" s="91">
        <v>-0.12785544789681993</v>
      </c>
      <c r="O21" s="91">
        <v>0.99999999999999512</v>
      </c>
      <c r="P21" s="92">
        <v>-0.10340115736933631</v>
      </c>
      <c r="AA21" t="s">
        <v>177</v>
      </c>
      <c r="AB21" s="28">
        <f t="shared" si="4"/>
        <v>4.4321267047300138E-5</v>
      </c>
      <c r="AC21" s="28">
        <f t="shared" si="5"/>
        <v>1.3935630779498484E-2</v>
      </c>
      <c r="AD21" s="28">
        <f t="shared" si="6"/>
        <v>6.7496088832939491E-3</v>
      </c>
      <c r="AE21" s="28"/>
    </row>
    <row r="22" spans="1:31">
      <c r="A22" s="14" t="str">
        <f t="shared" si="3"/>
        <v>Aandelen ontwikkeld</v>
      </c>
      <c r="B22" s="81">
        <v>7.9925478010379525E-2</v>
      </c>
      <c r="C22" s="16">
        <v>7.2809740165947739E-2</v>
      </c>
      <c r="D22" s="63">
        <v>9.9887592112520886E-3</v>
      </c>
      <c r="E22" s="81">
        <v>6.5578665252188098E-2</v>
      </c>
      <c r="F22" s="120">
        <v>0.1446750910945736</v>
      </c>
      <c r="G22" s="91">
        <v>0.25707732745300926</v>
      </c>
      <c r="H22" s="91">
        <v>-0.23218265805743796</v>
      </c>
      <c r="I22" s="91">
        <v>-7.7782026370969495E-2</v>
      </c>
      <c r="J22" s="91">
        <v>-0.4596157024973867</v>
      </c>
      <c r="K22" s="91">
        <v>1</v>
      </c>
      <c r="L22" s="91">
        <v>-0.43176912452586291</v>
      </c>
      <c r="M22" s="91">
        <v>-0.10895303899304638</v>
      </c>
      <c r="N22" s="91">
        <v>-0.19167786881184568</v>
      </c>
      <c r="O22" s="91">
        <v>0.99999999999999489</v>
      </c>
      <c r="P22" s="92">
        <v>-0.10340115736933599</v>
      </c>
      <c r="AA22" t="s">
        <v>5</v>
      </c>
      <c r="AB22" s="28">
        <f t="shared" si="4"/>
        <v>5.1868994187932407E-2</v>
      </c>
      <c r="AC22" s="28">
        <f t="shared" si="5"/>
        <v>9.4690241218775548E-2</v>
      </c>
      <c r="AD22" s="28">
        <f t="shared" si="6"/>
        <v>8.6264365442756452E-2</v>
      </c>
      <c r="AE22" s="28"/>
    </row>
    <row r="23" spans="1:31">
      <c r="A23" s="14" t="str">
        <f t="shared" si="3"/>
        <v>Aandelen opkomend</v>
      </c>
      <c r="B23" s="81">
        <v>1.3979952046545785E-2</v>
      </c>
      <c r="C23" s="16">
        <v>2.2290789825677278E-2</v>
      </c>
      <c r="D23" s="63">
        <v>4.4321267047300138E-5</v>
      </c>
      <c r="E23" s="81">
        <v>1.5867120157167769E-3</v>
      </c>
      <c r="F23" s="120">
        <v>2.0729560929839734E-2</v>
      </c>
      <c r="G23" s="91">
        <v>1.1785983157555992E-2</v>
      </c>
      <c r="H23" s="91">
        <v>3.4165269732632192E-3</v>
      </c>
      <c r="I23" s="91">
        <v>-7.4027698259525404E-2</v>
      </c>
      <c r="J23" s="91">
        <v>9.5004257902805422E-2</v>
      </c>
      <c r="K23" s="91">
        <v>-8.9910263947426627E-2</v>
      </c>
      <c r="L23" s="91">
        <v>0.31074794655838706</v>
      </c>
      <c r="M23" s="91">
        <v>1</v>
      </c>
      <c r="N23" s="91">
        <v>-0.65253251215092267</v>
      </c>
      <c r="O23" s="91">
        <v>0.99999999999999611</v>
      </c>
      <c r="P23" s="92">
        <v>-0.10340115736933601</v>
      </c>
      <c r="AA23" t="s">
        <v>178</v>
      </c>
      <c r="AB23" s="28">
        <f t="shared" si="4"/>
        <v>2.523716940890017E-4</v>
      </c>
      <c r="AC23" s="28">
        <f t="shared" si="5"/>
        <v>7.8710096719526002E-2</v>
      </c>
      <c r="AD23" s="28">
        <f t="shared" si="6"/>
        <v>7.527402638838214E-2</v>
      </c>
      <c r="AE23" s="28"/>
    </row>
    <row r="24" spans="1:31">
      <c r="A24" s="14" t="str">
        <f t="shared" si="3"/>
        <v>Hedge funds</v>
      </c>
      <c r="B24" s="81">
        <v>0.14655923540670796</v>
      </c>
      <c r="C24" s="16">
        <v>9.795272210832659E-2</v>
      </c>
      <c r="D24" s="63">
        <v>5.1868994187932407E-2</v>
      </c>
      <c r="E24" s="81">
        <v>0.15770235804433871</v>
      </c>
      <c r="F24" s="120">
        <v>0.23282360084946441</v>
      </c>
      <c r="G24" s="91">
        <v>-0.62952162200444883</v>
      </c>
      <c r="H24" s="91">
        <v>-0.65278572126247847</v>
      </c>
      <c r="I24" s="91">
        <v>-0.4820304369952223</v>
      </c>
      <c r="J24" s="91">
        <v>-6.5236619856005068E-2</v>
      </c>
      <c r="K24" s="91">
        <v>-0.46748426132010945</v>
      </c>
      <c r="L24" s="91">
        <v>-0.47450750681020054</v>
      </c>
      <c r="M24" s="91">
        <v>-0.23188877151344742</v>
      </c>
      <c r="N24" s="91">
        <v>-0.10558489994137214</v>
      </c>
      <c r="O24" s="91">
        <v>0.99999999999999534</v>
      </c>
      <c r="P24" s="92">
        <v>-0.10340115736933618</v>
      </c>
      <c r="AA24" t="s">
        <v>6</v>
      </c>
      <c r="AB24" s="28">
        <f t="shared" si="4"/>
        <v>5.9833990801872724E-6</v>
      </c>
      <c r="AC24" s="28">
        <f t="shared" si="5"/>
        <v>9.4056886829669388E-3</v>
      </c>
      <c r="AD24" s="28">
        <f t="shared" si="6"/>
        <v>-4.6639628813596908E-4</v>
      </c>
      <c r="AE24" s="28"/>
    </row>
    <row r="25" spans="1:31">
      <c r="A25" s="14" t="str">
        <f t="shared" si="3"/>
        <v>Onroerend goed</v>
      </c>
      <c r="B25" s="81">
        <v>7.8962468413614997E-2</v>
      </c>
      <c r="C25" s="16">
        <v>9.3594814155858505E-2</v>
      </c>
      <c r="D25" s="63">
        <v>2.523716940890017E-4</v>
      </c>
      <c r="E25" s="81">
        <v>3.1508198297212471E-2</v>
      </c>
      <c r="F25" s="120">
        <v>0.15423649480199714</v>
      </c>
      <c r="G25" s="91">
        <v>-0.68239240429556958</v>
      </c>
      <c r="H25" s="91">
        <v>0.36909936977836488</v>
      </c>
      <c r="I25" s="91">
        <v>2.6859641028777838E-2</v>
      </c>
      <c r="J25" s="91">
        <v>1</v>
      </c>
      <c r="K25" s="91">
        <v>0.41785140375365443</v>
      </c>
      <c r="L25" s="91">
        <v>0.23482800571655849</v>
      </c>
      <c r="M25" s="91">
        <v>-0.25072860209307835</v>
      </c>
      <c r="N25" s="91">
        <v>4.7749380389843228E-2</v>
      </c>
      <c r="O25" s="91">
        <v>0.99999999999999589</v>
      </c>
      <c r="P25" s="92">
        <v>-0.10340115736933606</v>
      </c>
    </row>
    <row r="26" spans="1:31">
      <c r="A26" s="15" t="str">
        <f t="shared" si="3"/>
        <v>Commodities</v>
      </c>
      <c r="B26" s="85">
        <v>9.4116720820471254E-3</v>
      </c>
      <c r="C26" s="80">
        <v>1.8442911314158001E-2</v>
      </c>
      <c r="D26" s="116">
        <v>5.9833990801872724E-6</v>
      </c>
      <c r="E26" s="85">
        <v>8.6261627594923034E-4</v>
      </c>
      <c r="F26" s="121">
        <v>8.9452757939111564E-3</v>
      </c>
      <c r="G26" s="93">
        <v>1.2649458029673833E-2</v>
      </c>
      <c r="H26" s="93">
        <v>-1.08356474188088E-2</v>
      </c>
      <c r="I26" s="93">
        <v>-1.8574469173967664E-3</v>
      </c>
      <c r="J26" s="93">
        <v>-7.8745138357453462E-2</v>
      </c>
      <c r="K26" s="93">
        <v>2.7241087686403391E-3</v>
      </c>
      <c r="L26" s="93">
        <v>-0.1555352826011647</v>
      </c>
      <c r="M26" s="93">
        <v>0.62809180853747459</v>
      </c>
      <c r="N26" s="93">
        <v>1</v>
      </c>
      <c r="O26" s="93">
        <v>1</v>
      </c>
      <c r="P26" s="127">
        <v>-0.10340115736933596</v>
      </c>
    </row>
    <row r="27" spans="1:31">
      <c r="A27" s="22"/>
      <c r="B27" s="81"/>
      <c r="C27" s="81"/>
      <c r="D27" s="81"/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</row>
    <row r="28" spans="1:31">
      <c r="D28" s="303" t="s">
        <v>136</v>
      </c>
      <c r="E28" s="312"/>
      <c r="F28" s="304"/>
      <c r="G28" s="303" t="s">
        <v>137</v>
      </c>
      <c r="H28" s="312"/>
      <c r="I28" s="312"/>
      <c r="J28" s="312"/>
      <c r="K28" s="312"/>
      <c r="L28" s="312"/>
      <c r="M28" s="312"/>
      <c r="N28" s="312"/>
      <c r="O28" s="312"/>
      <c r="P28" s="304"/>
    </row>
    <row r="29" spans="1:31">
      <c r="A29" s="88" t="str">
        <f>Parameters!A42</f>
        <v>Inflatie is een fiscaal verschijnsel</v>
      </c>
      <c r="B29" s="89" t="s">
        <v>116</v>
      </c>
      <c r="C29" s="17" t="s">
        <v>117</v>
      </c>
      <c r="D29" s="114">
        <v>0.25</v>
      </c>
      <c r="E29" s="113">
        <v>0.5</v>
      </c>
      <c r="F29" s="115">
        <v>0.75</v>
      </c>
      <c r="G29" s="117">
        <v>0.33835088773985578</v>
      </c>
      <c r="H29" s="118">
        <v>0.18585366839311135</v>
      </c>
      <c r="I29" s="117">
        <v>0.14879640638082925</v>
      </c>
      <c r="J29" s="117">
        <v>0.13026316644507641</v>
      </c>
      <c r="K29" s="117">
        <v>0.11493724852433529</v>
      </c>
      <c r="L29" s="117">
        <v>5.8900401275862824E-2</v>
      </c>
      <c r="M29" s="117">
        <v>2.1843498495978997E-2</v>
      </c>
      <c r="N29" s="117">
        <v>1.0547227449496654E-3</v>
      </c>
      <c r="O29" s="117">
        <v>0</v>
      </c>
      <c r="P29" s="119">
        <v>0</v>
      </c>
      <c r="AA29" t="str">
        <f>A30</f>
        <v>Nominale matching</v>
      </c>
      <c r="AB29" s="28">
        <f>D30</f>
        <v>0.35457858776240603</v>
      </c>
      <c r="AC29" s="28">
        <f>B30-D30</f>
        <v>1.9244022782749726E-2</v>
      </c>
      <c r="AD29" s="28">
        <f>F30-B30</f>
        <v>1.6327765468648225E-2</v>
      </c>
      <c r="AE29" s="28"/>
    </row>
    <row r="30" spans="1:31">
      <c r="A30" s="14" t="str">
        <f>A17</f>
        <v>Nominale matching</v>
      </c>
      <c r="B30" s="81">
        <v>0.37382261054515575</v>
      </c>
      <c r="C30" s="16">
        <v>2.9527671016347363E-2</v>
      </c>
      <c r="D30" s="63">
        <v>0.35457858776240603</v>
      </c>
      <c r="E30" s="81">
        <v>0.36960779759533269</v>
      </c>
      <c r="F30" s="120">
        <v>0.39015037601380398</v>
      </c>
      <c r="G30" s="83">
        <v>-0.35816465005918274</v>
      </c>
      <c r="H30" s="83">
        <v>-0.76546124516008718</v>
      </c>
      <c r="I30" s="83">
        <v>-0.25697199042052749</v>
      </c>
      <c r="J30" s="83">
        <v>-0.31274202430112907</v>
      </c>
      <c r="K30" s="83">
        <v>-0.3333038815993381</v>
      </c>
      <c r="L30" s="83">
        <v>-0.50062276034130981</v>
      </c>
      <c r="M30" s="83">
        <v>-0.25178481168952016</v>
      </c>
      <c r="N30" s="83">
        <v>1</v>
      </c>
      <c r="O30" s="83">
        <v>1</v>
      </c>
      <c r="P30" s="84">
        <v>0.10021449825932208</v>
      </c>
      <c r="AA30" t="str">
        <f>A31</f>
        <v>Reele matching</v>
      </c>
      <c r="AB30" s="28">
        <f>D31</f>
        <v>0.35773911609828568</v>
      </c>
      <c r="AC30" s="28">
        <f>B31-D31</f>
        <v>2.4948269969293113E-2</v>
      </c>
      <c r="AD30" s="28">
        <f>F31-B31</f>
        <v>3.3611735332753911E-2</v>
      </c>
      <c r="AE30" s="28"/>
    </row>
    <row r="31" spans="1:31">
      <c r="A31" s="14" t="str">
        <f t="shared" ref="A31:A39" si="7">A18</f>
        <v>Reele matching</v>
      </c>
      <c r="B31" s="81">
        <v>0.38268738606757879</v>
      </c>
      <c r="C31" s="16">
        <v>4.6454360215506883E-2</v>
      </c>
      <c r="D31" s="63">
        <v>0.35773911609828568</v>
      </c>
      <c r="E31" s="81">
        <v>0.38376099651293927</v>
      </c>
      <c r="F31" s="120">
        <v>0.41629912140033271</v>
      </c>
      <c r="G31" s="83">
        <v>1</v>
      </c>
      <c r="H31" s="83">
        <v>0.36676245519964751</v>
      </c>
      <c r="I31" s="83">
        <v>-0.32579769461350083</v>
      </c>
      <c r="J31" s="83">
        <v>-0.74961527702648845</v>
      </c>
      <c r="K31" s="83">
        <v>-0.43170825347566055</v>
      </c>
      <c r="L31" s="83">
        <v>-0.14392269219147635</v>
      </c>
      <c r="M31" s="83">
        <v>-2.6421499593699171E-2</v>
      </c>
      <c r="N31" s="83">
        <v>-0.30017966433669785</v>
      </c>
      <c r="O31" s="83">
        <v>0.99999999999999378</v>
      </c>
      <c r="P31" s="84">
        <v>0.10021449825931665</v>
      </c>
      <c r="AA31" t="s">
        <v>4</v>
      </c>
      <c r="AB31" s="28">
        <f>D33</f>
        <v>4.6749922071730068E-4</v>
      </c>
      <c r="AC31" s="28">
        <f>B33-D33</f>
        <v>1.1316193056247701E-2</v>
      </c>
      <c r="AD31" s="28">
        <f>F33-B33</f>
        <v>6.7325734949920078E-3</v>
      </c>
      <c r="AE31" s="28"/>
    </row>
    <row r="32" spans="1:31">
      <c r="A32" s="14" t="str">
        <f t="shared" si="7"/>
        <v>Credits</v>
      </c>
      <c r="B32" s="81">
        <v>0</v>
      </c>
      <c r="C32" s="16">
        <v>0</v>
      </c>
      <c r="D32" s="63">
        <v>0</v>
      </c>
      <c r="E32" s="81">
        <v>0</v>
      </c>
      <c r="F32" s="120">
        <v>0</v>
      </c>
      <c r="G32" s="83">
        <v>0</v>
      </c>
      <c r="H32" s="83">
        <v>-1.8656609138215886E-16</v>
      </c>
      <c r="I32" s="83">
        <v>1.6456408788300177E-16</v>
      </c>
      <c r="J32" s="83">
        <v>4.0377195407426378E-16</v>
      </c>
      <c r="K32" s="83">
        <v>-2.6944490426578014E-16</v>
      </c>
      <c r="L32" s="83">
        <v>-3.2893588986206489E-16</v>
      </c>
      <c r="M32" s="83">
        <v>-7.7435925315248072E-16</v>
      </c>
      <c r="N32" s="83">
        <v>-1.0083000507205261E-14</v>
      </c>
      <c r="O32" s="83">
        <v>-0.90193048433385703</v>
      </c>
      <c r="P32" s="84">
        <v>1</v>
      </c>
      <c r="AA32" t="s">
        <v>175</v>
      </c>
      <c r="AB32" s="28">
        <f t="shared" ref="AB32:AB37" si="8">D34</f>
        <v>9.6667685053465555E-3</v>
      </c>
      <c r="AC32" s="28">
        <f t="shared" ref="AC32:AC37" si="9">B34-D34</f>
        <v>4.039010252998488E-2</v>
      </c>
      <c r="AD32" s="28">
        <f t="shared" ref="AD32:AD37" si="10">F34-B34</f>
        <v>2.6372700265371904E-2</v>
      </c>
      <c r="AE32" s="28"/>
    </row>
    <row r="33" spans="1:31">
      <c r="A33" s="14" t="str">
        <f t="shared" si="7"/>
        <v>High Yield</v>
      </c>
      <c r="B33" s="81">
        <v>1.1783692276965001E-2</v>
      </c>
      <c r="C33" s="16">
        <v>1.520457736859652E-2</v>
      </c>
      <c r="D33" s="63">
        <v>4.6749922071730068E-4</v>
      </c>
      <c r="E33" s="81">
        <v>5.1988651532062832E-3</v>
      </c>
      <c r="F33" s="120">
        <v>1.8516265771957009E-2</v>
      </c>
      <c r="G33" s="83">
        <v>-6.9506107649386209E-2</v>
      </c>
      <c r="H33" s="83">
        <v>0.13856322557163739</v>
      </c>
      <c r="I33" s="83">
        <v>1.3752471942457342E-2</v>
      </c>
      <c r="J33" s="83">
        <v>4.0581256963834154E-3</v>
      </c>
      <c r="K33" s="83">
        <v>2.1947801030649125E-2</v>
      </c>
      <c r="L33" s="83">
        <v>0.47848529386087807</v>
      </c>
      <c r="M33" s="83">
        <v>1</v>
      </c>
      <c r="N33" s="83">
        <v>0.47193020237052113</v>
      </c>
      <c r="O33" s="83">
        <v>0.99999999999999534</v>
      </c>
      <c r="P33" s="84">
        <v>0.10021449825932054</v>
      </c>
      <c r="AA33" t="s">
        <v>176</v>
      </c>
      <c r="AB33" s="28">
        <f t="shared" si="8"/>
        <v>2.602676678932252E-2</v>
      </c>
      <c r="AC33" s="28">
        <f t="shared" si="9"/>
        <v>3.093983462110653E-2</v>
      </c>
      <c r="AD33" s="28">
        <f t="shared" si="10"/>
        <v>3.5312942197144238E-2</v>
      </c>
      <c r="AE33" s="28"/>
    </row>
    <row r="34" spans="1:31">
      <c r="A34" s="14" t="str">
        <f t="shared" si="7"/>
        <v>Emerging market debt</v>
      </c>
      <c r="B34" s="81">
        <v>5.0056871035331435E-2</v>
      </c>
      <c r="C34" s="16">
        <v>3.9533843485704587E-2</v>
      </c>
      <c r="D34" s="63">
        <v>9.6667685053465555E-3</v>
      </c>
      <c r="E34" s="81">
        <v>5.0125470149988055E-2</v>
      </c>
      <c r="F34" s="120">
        <v>7.6429571300703339E-2</v>
      </c>
      <c r="G34" s="83">
        <v>0.41657898550000155</v>
      </c>
      <c r="H34" s="83">
        <v>-0.46177766032124967</v>
      </c>
      <c r="I34" s="83">
        <v>1</v>
      </c>
      <c r="J34" s="83">
        <v>0.11765163161169956</v>
      </c>
      <c r="K34" s="83">
        <v>-9.4871779052345909E-2</v>
      </c>
      <c r="L34" s="83">
        <v>0.12979269440150987</v>
      </c>
      <c r="M34" s="83">
        <v>-0.13098887740365658</v>
      </c>
      <c r="N34" s="83">
        <v>-2.0293327877949897E-2</v>
      </c>
      <c r="O34" s="83">
        <v>0.99999999999999512</v>
      </c>
      <c r="P34" s="84">
        <v>0.10021449825931775</v>
      </c>
      <c r="AA34" t="s">
        <v>177</v>
      </c>
      <c r="AB34" s="28">
        <f t="shared" si="8"/>
        <v>4.980792060500519E-3</v>
      </c>
      <c r="AC34" s="28">
        <f t="shared" si="9"/>
        <v>2.9039049811614086E-2</v>
      </c>
      <c r="AD34" s="28">
        <f t="shared" si="10"/>
        <v>2.3909276054164465E-2</v>
      </c>
      <c r="AE34" s="28"/>
    </row>
    <row r="35" spans="1:31">
      <c r="A35" s="14" t="str">
        <f t="shared" si="7"/>
        <v>Aandelen ontwikkeld</v>
      </c>
      <c r="B35" s="81">
        <v>5.6966601410429051E-2</v>
      </c>
      <c r="C35" s="16">
        <v>4.1686985333169085E-2</v>
      </c>
      <c r="D35" s="63">
        <v>2.602676678932252E-2</v>
      </c>
      <c r="E35" s="81">
        <v>4.3005333271531096E-2</v>
      </c>
      <c r="F35" s="120">
        <v>9.2279543607573289E-2</v>
      </c>
      <c r="G35" s="83">
        <v>-0.70573809271226717</v>
      </c>
      <c r="H35" s="83">
        <v>1</v>
      </c>
      <c r="I35" s="83">
        <v>0.25661041103779136</v>
      </c>
      <c r="J35" s="83">
        <v>6.8465994441869085E-2</v>
      </c>
      <c r="K35" s="83">
        <v>-0.27415871688712962</v>
      </c>
      <c r="L35" s="83">
        <v>-0.88746519198438234</v>
      </c>
      <c r="M35" s="83">
        <v>-4.4976519502713995E-2</v>
      </c>
      <c r="N35" s="83">
        <v>-0.22000396452939344</v>
      </c>
      <c r="O35" s="83">
        <v>0.99999999999999423</v>
      </c>
      <c r="P35" s="84">
        <v>0.10021449825931676</v>
      </c>
      <c r="AA35" t="s">
        <v>5</v>
      </c>
      <c r="AB35" s="28">
        <f t="shared" si="8"/>
        <v>1.6072498567565796E-3</v>
      </c>
      <c r="AC35" s="28">
        <f t="shared" si="9"/>
        <v>2.6773389829035255E-2</v>
      </c>
      <c r="AD35" s="28">
        <f t="shared" si="10"/>
        <v>1.8185279355208379E-2</v>
      </c>
      <c r="AE35" s="28"/>
    </row>
    <row r="36" spans="1:31">
      <c r="A36" s="14" t="str">
        <f t="shared" si="7"/>
        <v>Aandelen opkomend</v>
      </c>
      <c r="B36" s="81">
        <v>3.4019841872114605E-2</v>
      </c>
      <c r="C36" s="16">
        <v>3.1801122223751886E-2</v>
      </c>
      <c r="D36" s="63">
        <v>4.980792060500519E-3</v>
      </c>
      <c r="E36" s="81">
        <v>2.5580725692885595E-2</v>
      </c>
      <c r="F36" s="120">
        <v>5.792911792627907E-2</v>
      </c>
      <c r="G36" s="83">
        <v>0.23614640189788202</v>
      </c>
      <c r="H36" s="83">
        <v>-0.55106704394263772</v>
      </c>
      <c r="I36" s="83">
        <v>-0.30795199296645148</v>
      </c>
      <c r="J36" s="83">
        <v>0.98864430026447114</v>
      </c>
      <c r="K36" s="83">
        <v>0.27333496008095459</v>
      </c>
      <c r="L36" s="83">
        <v>-0.89073190746490227</v>
      </c>
      <c r="M36" s="83">
        <v>0.17257264044832021</v>
      </c>
      <c r="N36" s="83">
        <v>-0.57052633099102401</v>
      </c>
      <c r="O36" s="83">
        <v>0.99999999999999201</v>
      </c>
      <c r="P36" s="84">
        <v>0.10021449825931554</v>
      </c>
      <c r="AA36" t="s">
        <v>178</v>
      </c>
      <c r="AB36" s="28">
        <f t="shared" si="8"/>
        <v>1.9056173724036861E-3</v>
      </c>
      <c r="AC36" s="28">
        <f t="shared" si="9"/>
        <v>2.7098918094414091E-2</v>
      </c>
      <c r="AD36" s="28">
        <f t="shared" si="10"/>
        <v>1.2330656641091869E-2</v>
      </c>
      <c r="AE36" s="28"/>
    </row>
    <row r="37" spans="1:31">
      <c r="A37" s="14" t="str">
        <f t="shared" si="7"/>
        <v>Hedge funds</v>
      </c>
      <c r="B37" s="81">
        <v>2.8380639685791836E-2</v>
      </c>
      <c r="C37" s="16">
        <v>3.2776805399846606E-2</v>
      </c>
      <c r="D37" s="63">
        <v>1.6072498567565796E-3</v>
      </c>
      <c r="E37" s="81">
        <v>1.6471839326842742E-2</v>
      </c>
      <c r="F37" s="120">
        <v>4.6565919041000214E-2</v>
      </c>
      <c r="G37" s="83">
        <v>2.2581095274848573E-2</v>
      </c>
      <c r="H37" s="83">
        <v>0.24635167147006928</v>
      </c>
      <c r="I37" s="83">
        <v>-4.6956318885385279E-3</v>
      </c>
      <c r="J37" s="83">
        <v>-0.67599993564787719</v>
      </c>
      <c r="K37" s="83">
        <v>1</v>
      </c>
      <c r="L37" s="83">
        <v>-7.8353105134740433E-2</v>
      </c>
      <c r="M37" s="83">
        <v>-0.21639618930082502</v>
      </c>
      <c r="N37" s="83">
        <v>0.19375302959539628</v>
      </c>
      <c r="O37" s="83">
        <v>0.99999999999999667</v>
      </c>
      <c r="P37" s="84">
        <v>0.10021449825931879</v>
      </c>
      <c r="AA37" t="s">
        <v>6</v>
      </c>
      <c r="AB37" s="28">
        <f t="shared" si="8"/>
        <v>4.2516281415953226E-3</v>
      </c>
      <c r="AC37" s="28">
        <f t="shared" si="9"/>
        <v>2.9026193498220405E-2</v>
      </c>
      <c r="AD37" s="28">
        <f t="shared" si="10"/>
        <v>2.3144389180984687E-2</v>
      </c>
      <c r="AE37" s="28"/>
    </row>
    <row r="38" spans="1:31">
      <c r="A38" s="14" t="str">
        <f t="shared" si="7"/>
        <v>Onroerend goed</v>
      </c>
      <c r="B38" s="81">
        <v>2.9004535466817777E-2</v>
      </c>
      <c r="C38" s="16">
        <v>2.9695337030867255E-2</v>
      </c>
      <c r="D38" s="63">
        <v>1.9056173724036861E-3</v>
      </c>
      <c r="E38" s="81">
        <v>1.9869928286317163E-2</v>
      </c>
      <c r="F38" s="120">
        <v>4.1335192107909646E-2</v>
      </c>
      <c r="G38" s="83">
        <v>0.1251725022614297</v>
      </c>
      <c r="H38" s="83">
        <v>0.51643911880220816</v>
      </c>
      <c r="I38" s="83">
        <v>-0.2247432151012681</v>
      </c>
      <c r="J38" s="83">
        <v>1</v>
      </c>
      <c r="K38" s="83">
        <v>-4.3917362149479153E-2</v>
      </c>
      <c r="L38" s="83">
        <v>1</v>
      </c>
      <c r="M38" s="83">
        <v>-0.43189490419296961</v>
      </c>
      <c r="N38" s="83">
        <v>0.38457549107608074</v>
      </c>
      <c r="O38" s="83">
        <v>0.99999999999999745</v>
      </c>
      <c r="P38" s="84">
        <v>0.10021449825931955</v>
      </c>
    </row>
    <row r="39" spans="1:31">
      <c r="A39" s="15" t="str">
        <f t="shared" si="7"/>
        <v>Commodities</v>
      </c>
      <c r="B39" s="85">
        <v>3.3277821639815727E-2</v>
      </c>
      <c r="C39" s="80">
        <v>3.3292787922433821E-2</v>
      </c>
      <c r="D39" s="116">
        <v>4.2516281415953226E-3</v>
      </c>
      <c r="E39" s="85">
        <v>2.2825967062595282E-2</v>
      </c>
      <c r="F39" s="121">
        <v>5.6422210820800414E-2</v>
      </c>
      <c r="G39" s="86">
        <v>-0.66707013451332586</v>
      </c>
      <c r="H39" s="86">
        <v>-0.48981052161958782</v>
      </c>
      <c r="I39" s="86">
        <v>-0.15020235798996215</v>
      </c>
      <c r="J39" s="86">
        <v>-0.44046281503892737</v>
      </c>
      <c r="K39" s="86">
        <v>-0.11732276794765072</v>
      </c>
      <c r="L39" s="86">
        <v>0.89281766885442249</v>
      </c>
      <c r="M39" s="86">
        <v>-7.0109838764933527E-2</v>
      </c>
      <c r="N39" s="86">
        <v>-0.93925543530695332</v>
      </c>
      <c r="O39" s="86">
        <v>0.99999999999999056</v>
      </c>
      <c r="P39" s="87">
        <v>0.10021449825931397</v>
      </c>
    </row>
    <row r="40" spans="1:31">
      <c r="A40" s="22"/>
      <c r="B40" s="81"/>
      <c r="C40" s="81"/>
      <c r="D40" s="81"/>
      <c r="E40" s="81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</row>
    <row r="41" spans="1:31">
      <c r="D41" s="303" t="s">
        <v>136</v>
      </c>
      <c r="E41" s="312"/>
      <c r="F41" s="304"/>
      <c r="G41" s="303" t="s">
        <v>137</v>
      </c>
      <c r="H41" s="312"/>
      <c r="I41" s="312"/>
      <c r="J41" s="312"/>
      <c r="K41" s="312"/>
      <c r="L41" s="312"/>
      <c r="M41" s="312"/>
      <c r="N41" s="312"/>
      <c r="O41" s="312"/>
      <c r="P41" s="304"/>
    </row>
    <row r="42" spans="1:31">
      <c r="A42" s="88" t="str">
        <f>Parameters!A43</f>
        <v>Vermogenseffect &amp; innovatie</v>
      </c>
      <c r="B42" s="89" t="s">
        <v>116</v>
      </c>
      <c r="C42" s="17" t="s">
        <v>117</v>
      </c>
      <c r="D42" s="114">
        <v>0.25</v>
      </c>
      <c r="E42" s="113">
        <v>0.5</v>
      </c>
      <c r="F42" s="115">
        <v>0.75</v>
      </c>
      <c r="G42" s="128">
        <v>0.45408955016399899</v>
      </c>
      <c r="H42" s="129">
        <v>0.30825532889846008</v>
      </c>
      <c r="I42" s="128">
        <v>0.12432730937576297</v>
      </c>
      <c r="J42" s="128">
        <v>5.4968416372783713E-2</v>
      </c>
      <c r="K42" s="128">
        <v>3.187188234996996E-2</v>
      </c>
      <c r="L42" s="128">
        <v>2.2825358016224762E-2</v>
      </c>
      <c r="M42" s="128">
        <v>2.847855472869254E-3</v>
      </c>
      <c r="N42" s="128">
        <v>8.1429934992904851E-4</v>
      </c>
      <c r="O42" s="128">
        <v>0</v>
      </c>
      <c r="P42" s="130">
        <v>0</v>
      </c>
      <c r="AA42" t="str">
        <f>A43</f>
        <v>Nominale matching</v>
      </c>
      <c r="AB42" s="28">
        <f>D43</f>
        <v>0.52651026117844957</v>
      </c>
      <c r="AC42" s="28">
        <f>B43-D43</f>
        <v>3.6424900650785297E-2</v>
      </c>
      <c r="AD42" s="28">
        <f>F43-B43</f>
        <v>3.649782201883911E-2</v>
      </c>
      <c r="AE42" s="28"/>
    </row>
    <row r="43" spans="1:31">
      <c r="A43" s="14" t="str">
        <f>A17</f>
        <v>Nominale matching</v>
      </c>
      <c r="B43" s="81">
        <v>0.56293516182923486</v>
      </c>
      <c r="C43" s="16">
        <v>5.7265176928941654E-2</v>
      </c>
      <c r="D43" s="63">
        <v>0.52651026117844957</v>
      </c>
      <c r="E43" s="81">
        <v>0.55748749325857327</v>
      </c>
      <c r="F43" s="120">
        <v>0.59943298384807397</v>
      </c>
      <c r="G43" s="91">
        <v>-0.90498386404843056</v>
      </c>
      <c r="H43" s="91">
        <v>-0.61870031033465711</v>
      </c>
      <c r="I43" s="91">
        <v>-0.22466200113648865</v>
      </c>
      <c r="J43" s="91">
        <v>-0.39266681840814821</v>
      </c>
      <c r="K43" s="91">
        <v>-0.27660036304507524</v>
      </c>
      <c r="L43" s="91">
        <v>-0.33812666368006972</v>
      </c>
      <c r="M43" s="91">
        <v>-0.12960004144387746</v>
      </c>
      <c r="N43" s="91">
        <v>-0.78430593550387939</v>
      </c>
      <c r="O43" s="91">
        <v>0.99999999999999689</v>
      </c>
      <c r="P43" s="92">
        <v>0.11038333062359047</v>
      </c>
      <c r="AA43" t="str">
        <f>A44</f>
        <v>Reele matching</v>
      </c>
      <c r="AB43" s="28">
        <f>D44</f>
        <v>4.6299043860635947E-5</v>
      </c>
      <c r="AC43" s="28">
        <f>B44-D44</f>
        <v>1.1447942155222534E-2</v>
      </c>
      <c r="AD43" s="28">
        <f>F44-B44</f>
        <v>5.5184517717953643E-3</v>
      </c>
      <c r="AE43" s="28"/>
    </row>
    <row r="44" spans="1:31">
      <c r="A44" s="14" t="str">
        <f t="shared" ref="A44:A52" si="11">A18</f>
        <v>Reele matching</v>
      </c>
      <c r="B44" s="81">
        <v>1.1494241199083169E-2</v>
      </c>
      <c r="C44" s="16">
        <v>1.7644249533297102E-2</v>
      </c>
      <c r="D44" s="63">
        <v>4.6299043860635947E-5</v>
      </c>
      <c r="E44" s="81">
        <v>2.7579891457449419E-3</v>
      </c>
      <c r="F44" s="120">
        <v>1.7012692970878533E-2</v>
      </c>
      <c r="G44" s="91">
        <v>4.4675457160991118E-2</v>
      </c>
      <c r="H44" s="91">
        <v>7.7357356686010195E-2</v>
      </c>
      <c r="I44" s="91">
        <v>0.11554985453831473</v>
      </c>
      <c r="J44" s="91">
        <v>0.17718114593636738</v>
      </c>
      <c r="K44" s="91">
        <v>-5.7852344085660224E-3</v>
      </c>
      <c r="L44" s="91">
        <v>1</v>
      </c>
      <c r="M44" s="91">
        <v>-0.17411656635074188</v>
      </c>
      <c r="N44" s="91">
        <v>-0.69817088461803323</v>
      </c>
      <c r="O44" s="91">
        <v>0.99999999999999434</v>
      </c>
      <c r="P44" s="92">
        <v>0.11038333062359013</v>
      </c>
      <c r="AA44" t="s">
        <v>4</v>
      </c>
      <c r="AB44" s="28">
        <f>D46</f>
        <v>2.8128585474379401E-2</v>
      </c>
      <c r="AC44" s="28">
        <f>B46-D46</f>
        <v>5.3986068862648069E-2</v>
      </c>
      <c r="AD44" s="28">
        <f>F46-B46</f>
        <v>4.3642312015643031E-2</v>
      </c>
      <c r="AE44" s="28"/>
    </row>
    <row r="45" spans="1:31">
      <c r="A45" s="14" t="str">
        <f t="shared" si="11"/>
        <v>Credits</v>
      </c>
      <c r="B45" s="81">
        <v>0</v>
      </c>
      <c r="C45" s="16">
        <v>0</v>
      </c>
      <c r="D45" s="63">
        <v>0</v>
      </c>
      <c r="E45" s="81">
        <v>0</v>
      </c>
      <c r="F45" s="120">
        <v>0</v>
      </c>
      <c r="G45" s="91">
        <v>0</v>
      </c>
      <c r="H45" s="91">
        <v>0</v>
      </c>
      <c r="I45" s="91">
        <v>-1.6833513702245837E-16</v>
      </c>
      <c r="J45" s="91">
        <v>-1.5986516528646861E-16</v>
      </c>
      <c r="K45" s="91">
        <v>9.6181949266423735E-17</v>
      </c>
      <c r="L45" s="91">
        <v>-8.0983720212215808E-16</v>
      </c>
      <c r="M45" s="91">
        <v>6.0331489480206094E-16</v>
      </c>
      <c r="N45" s="91">
        <v>1.9122653662222985E-14</v>
      </c>
      <c r="O45" s="91">
        <v>-0.99344997561224968</v>
      </c>
      <c r="P45" s="92">
        <v>1</v>
      </c>
      <c r="AA45" t="s">
        <v>175</v>
      </c>
      <c r="AB45" s="28">
        <f t="shared" ref="AB45:AB50" si="12">D47</f>
        <v>4.1869041614141293E-5</v>
      </c>
      <c r="AC45" s="28">
        <f t="shared" ref="AC45:AC50" si="13">B47-D47</f>
        <v>4.3927806847634393E-3</v>
      </c>
      <c r="AD45" s="28">
        <f t="shared" ref="AD45:AD50" si="14">F47-B47</f>
        <v>8.3515007403598025E-4</v>
      </c>
      <c r="AE45" s="28"/>
    </row>
    <row r="46" spans="1:31">
      <c r="A46" s="14" t="str">
        <f t="shared" si="11"/>
        <v>High Yield</v>
      </c>
      <c r="B46" s="81">
        <v>8.2114654337027471E-2</v>
      </c>
      <c r="C46" s="16">
        <v>6.0027489031319325E-2</v>
      </c>
      <c r="D46" s="63">
        <v>2.8128585474379401E-2</v>
      </c>
      <c r="E46" s="81">
        <v>8.3033083900703894E-2</v>
      </c>
      <c r="F46" s="120">
        <v>0.1257569663526705</v>
      </c>
      <c r="G46" s="91">
        <v>1</v>
      </c>
      <c r="H46" s="91">
        <v>0.2363340176150642</v>
      </c>
      <c r="I46" s="91">
        <v>-0.98724099875818538</v>
      </c>
      <c r="J46" s="91">
        <v>-1.4214106120319855E-2</v>
      </c>
      <c r="K46" s="91">
        <v>-0.30095646130297549</v>
      </c>
      <c r="L46" s="91">
        <v>-0.24294359713452987</v>
      </c>
      <c r="M46" s="91">
        <v>-0.1093561754816072</v>
      </c>
      <c r="N46" s="91">
        <v>-0.27062604251510153</v>
      </c>
      <c r="O46" s="91">
        <v>0.99999999999999356</v>
      </c>
      <c r="P46" s="92">
        <v>0.11038333062358636</v>
      </c>
      <c r="AA46" t="s">
        <v>176</v>
      </c>
      <c r="AB46" s="28">
        <f t="shared" si="12"/>
        <v>8.0209016296813623E-2</v>
      </c>
      <c r="AC46" s="28">
        <f t="shared" si="13"/>
        <v>4.0344343643134634E-2</v>
      </c>
      <c r="AD46" s="28">
        <f t="shared" si="14"/>
        <v>5.0268080707468188E-2</v>
      </c>
      <c r="AE46" s="28"/>
    </row>
    <row r="47" spans="1:31">
      <c r="A47" s="14" t="str">
        <f t="shared" si="11"/>
        <v>Emerging market debt</v>
      </c>
      <c r="B47" s="81">
        <v>4.4346497263775802E-3</v>
      </c>
      <c r="C47" s="16">
        <v>6.8799371394638259E-3</v>
      </c>
      <c r="D47" s="63">
        <v>4.1869041614141293E-5</v>
      </c>
      <c r="E47" s="81">
        <v>9.8711307866259442E-4</v>
      </c>
      <c r="F47" s="120">
        <v>5.2697998004135604E-3</v>
      </c>
      <c r="G47" s="91">
        <v>-1.2582906722960899E-2</v>
      </c>
      <c r="H47" s="91">
        <v>2.4232264887598862E-2</v>
      </c>
      <c r="I47" s="91">
        <v>3.3091777058569471E-2</v>
      </c>
      <c r="J47" s="91">
        <v>-3.857316618007086E-2</v>
      </c>
      <c r="K47" s="91">
        <v>-5.5749607602548899E-2</v>
      </c>
      <c r="L47" s="91">
        <v>5.1112607191919651E-2</v>
      </c>
      <c r="M47" s="91">
        <v>1</v>
      </c>
      <c r="N47" s="91">
        <v>-3.890679721005158E-2</v>
      </c>
      <c r="O47" s="91">
        <v>1</v>
      </c>
      <c r="P47" s="92">
        <v>0.1103833306235846</v>
      </c>
      <c r="AA47" t="s">
        <v>177</v>
      </c>
      <c r="AB47" s="28">
        <f t="shared" si="12"/>
        <v>3.3304782234175011E-2</v>
      </c>
      <c r="AC47" s="28">
        <f t="shared" si="13"/>
        <v>2.7991915289427668E-2</v>
      </c>
      <c r="AD47" s="28">
        <f t="shared" si="14"/>
        <v>2.4416493550313494E-2</v>
      </c>
      <c r="AE47" s="28"/>
    </row>
    <row r="48" spans="1:31">
      <c r="A48" s="14" t="str">
        <f t="shared" si="11"/>
        <v>Aandelen ontwikkeld</v>
      </c>
      <c r="B48" s="81">
        <v>0.12055335993994826</v>
      </c>
      <c r="C48" s="16">
        <v>6.1704579668415978E-2</v>
      </c>
      <c r="D48" s="63">
        <v>8.0209016296813623E-2</v>
      </c>
      <c r="E48" s="81">
        <v>0.12695530132695429</v>
      </c>
      <c r="F48" s="120">
        <v>0.17082144064741644</v>
      </c>
      <c r="G48" s="91">
        <v>-0.60295717351216582</v>
      </c>
      <c r="H48" s="91">
        <v>1</v>
      </c>
      <c r="I48" s="91">
        <v>0.27350030957039584</v>
      </c>
      <c r="J48" s="91">
        <v>-0.10595331179903013</v>
      </c>
      <c r="K48" s="91">
        <v>-0.65030688452425911</v>
      </c>
      <c r="L48" s="91">
        <v>-0.15835824600085402</v>
      </c>
      <c r="M48" s="91">
        <v>-0.1529727806885732</v>
      </c>
      <c r="N48" s="91">
        <v>0.28330958278706603</v>
      </c>
      <c r="O48" s="91">
        <v>0.99999999999998845</v>
      </c>
      <c r="P48" s="92">
        <v>0.11038333062358194</v>
      </c>
      <c r="AA48" t="s">
        <v>5</v>
      </c>
      <c r="AB48" s="28">
        <f t="shared" si="12"/>
        <v>1.4211222028611933E-3</v>
      </c>
      <c r="AC48" s="28">
        <f t="shared" si="13"/>
        <v>2.3353189903811803E-2</v>
      </c>
      <c r="AD48" s="28">
        <f t="shared" si="14"/>
        <v>1.5994041115461405E-2</v>
      </c>
      <c r="AE48" s="28"/>
    </row>
    <row r="49" spans="1:31">
      <c r="A49" s="14" t="str">
        <f t="shared" si="11"/>
        <v>Aandelen opkomend</v>
      </c>
      <c r="B49" s="81">
        <v>6.1296697523602679E-2</v>
      </c>
      <c r="C49" s="16">
        <v>3.7331276392445358E-2</v>
      </c>
      <c r="D49" s="63">
        <v>3.3304782234175011E-2</v>
      </c>
      <c r="E49" s="81">
        <v>6.6089830483945497E-2</v>
      </c>
      <c r="F49" s="120">
        <v>8.5713191073916173E-2</v>
      </c>
      <c r="G49" s="91">
        <v>6.8823093010320469E-2</v>
      </c>
      <c r="H49" s="91">
        <v>-0.65047388528338579</v>
      </c>
      <c r="I49" s="91">
        <v>6.6637293144202997E-2</v>
      </c>
      <c r="J49" s="91">
        <v>0.49280745179426744</v>
      </c>
      <c r="K49" s="91">
        <v>-0.76568911151393282</v>
      </c>
      <c r="L49" s="91">
        <v>0.11857133155504952</v>
      </c>
      <c r="M49" s="91">
        <v>-0.11291371267132115</v>
      </c>
      <c r="N49" s="91">
        <v>1</v>
      </c>
      <c r="O49" s="91">
        <v>0.99999999999998268</v>
      </c>
      <c r="P49" s="92">
        <v>0.11038333062357607</v>
      </c>
      <c r="AA49" t="s">
        <v>178</v>
      </c>
      <c r="AB49" s="28">
        <f t="shared" si="12"/>
        <v>7.1461737977746881E-2</v>
      </c>
      <c r="AC49" s="28">
        <f t="shared" si="13"/>
        <v>3.7073267626661299E-2</v>
      </c>
      <c r="AD49" s="28">
        <f t="shared" si="14"/>
        <v>3.5471590987806445E-2</v>
      </c>
      <c r="AE49" s="28"/>
    </row>
    <row r="50" spans="1:31">
      <c r="A50" s="14" t="str">
        <f t="shared" si="11"/>
        <v>Hedge funds</v>
      </c>
      <c r="B50" s="81">
        <v>2.4774312106672997E-2</v>
      </c>
      <c r="C50" s="16">
        <v>2.7388000301845444E-2</v>
      </c>
      <c r="D50" s="63">
        <v>1.4211222028611933E-3</v>
      </c>
      <c r="E50" s="81">
        <v>1.3505140715030509E-2</v>
      </c>
      <c r="F50" s="120">
        <v>4.0768353222134401E-2</v>
      </c>
      <c r="G50" s="91">
        <v>-0.18173896268634354</v>
      </c>
      <c r="H50" s="91">
        <v>9.2702471702163863E-2</v>
      </c>
      <c r="I50" s="91">
        <v>0.12784171902342414</v>
      </c>
      <c r="J50" s="91">
        <v>1</v>
      </c>
      <c r="K50" s="91">
        <v>0.89230585073078028</v>
      </c>
      <c r="L50" s="91">
        <v>-0.38491696354986632</v>
      </c>
      <c r="M50" s="91">
        <v>-7.8017952503599219E-2</v>
      </c>
      <c r="N50" s="91">
        <v>-0.20010404388786282</v>
      </c>
      <c r="O50" s="91">
        <v>0.99999999999999223</v>
      </c>
      <c r="P50" s="92">
        <v>0.1103833306235856</v>
      </c>
      <c r="AA50" t="s">
        <v>6</v>
      </c>
      <c r="AB50" s="28">
        <f t="shared" si="12"/>
        <v>1.172996448312143E-3</v>
      </c>
      <c r="AC50" s="28">
        <f t="shared" si="13"/>
        <v>2.2688921285332602E-2</v>
      </c>
      <c r="AD50" s="28">
        <f t="shared" si="14"/>
        <v>1.9058822984261169E-2</v>
      </c>
      <c r="AE50" s="28"/>
    </row>
    <row r="51" spans="1:31">
      <c r="A51" s="14" t="str">
        <f t="shared" si="11"/>
        <v>Onroerend goed</v>
      </c>
      <c r="B51" s="81">
        <v>0.10853500560440818</v>
      </c>
      <c r="C51" s="16">
        <v>5.4457584568207464E-2</v>
      </c>
      <c r="D51" s="63">
        <v>7.1461737977746881E-2</v>
      </c>
      <c r="E51" s="81">
        <v>0.11246565394347513</v>
      </c>
      <c r="F51" s="120">
        <v>0.14400659659221463</v>
      </c>
      <c r="G51" s="91">
        <v>0.85498998145911986</v>
      </c>
      <c r="H51" s="91">
        <v>-0.15858597120469889</v>
      </c>
      <c r="I51" s="91">
        <v>1</v>
      </c>
      <c r="J51" s="91">
        <v>-0.50249202196378184</v>
      </c>
      <c r="K51" s="91">
        <v>0.1627818116665761</v>
      </c>
      <c r="L51" s="91">
        <v>-0.2611061118199649</v>
      </c>
      <c r="M51" s="91">
        <v>-0.13459577383184607</v>
      </c>
      <c r="N51" s="91">
        <v>-0.13745889653499754</v>
      </c>
      <c r="O51" s="91">
        <v>0.99999999999999234</v>
      </c>
      <c r="P51" s="92">
        <v>0.11038333062358527</v>
      </c>
    </row>
    <row r="52" spans="1:31">
      <c r="A52" s="15" t="str">
        <f t="shared" si="11"/>
        <v>Commodities</v>
      </c>
      <c r="B52" s="85">
        <v>2.3861917733644745E-2</v>
      </c>
      <c r="C52" s="80">
        <v>2.6323601738566928E-2</v>
      </c>
      <c r="D52" s="116">
        <v>1.172996448312143E-3</v>
      </c>
      <c r="E52" s="85">
        <v>1.4268832386093278E-2</v>
      </c>
      <c r="F52" s="121">
        <v>4.2920740717905914E-2</v>
      </c>
      <c r="G52" s="93">
        <v>-0.26622562466053101</v>
      </c>
      <c r="H52" s="93">
        <v>-2.865944068095462E-3</v>
      </c>
      <c r="I52" s="93">
        <v>-0.40471795344023342</v>
      </c>
      <c r="J52" s="93">
        <v>-0.6160891732592827</v>
      </c>
      <c r="K52" s="93">
        <v>1</v>
      </c>
      <c r="L52" s="93">
        <v>0.215767643438317</v>
      </c>
      <c r="M52" s="93">
        <v>-0.10842699702844176</v>
      </c>
      <c r="N52" s="93">
        <v>0.84626301748290389</v>
      </c>
      <c r="O52" s="93">
        <v>0.99999999999998468</v>
      </c>
      <c r="P52" s="127">
        <v>0.11038333062357744</v>
      </c>
    </row>
    <row r="53" spans="1:31">
      <c r="A53" s="22"/>
      <c r="B53" s="81"/>
      <c r="C53" s="81"/>
      <c r="D53" s="81"/>
      <c r="E53" s="81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</row>
    <row r="54" spans="1:31">
      <c r="D54" s="303" t="s">
        <v>136</v>
      </c>
      <c r="E54" s="312"/>
      <c r="F54" s="304"/>
      <c r="G54" s="303" t="s">
        <v>137</v>
      </c>
      <c r="H54" s="312"/>
      <c r="I54" s="312"/>
      <c r="J54" s="312"/>
      <c r="K54" s="312"/>
      <c r="L54" s="312"/>
      <c r="M54" s="312"/>
      <c r="N54" s="312"/>
      <c r="O54" s="312"/>
      <c r="P54" s="304"/>
    </row>
    <row r="55" spans="1:31">
      <c r="A55" s="88" t="str">
        <f>Parameters!A27</f>
        <v>Schuld deflatie</v>
      </c>
      <c r="B55" s="89" t="s">
        <v>116</v>
      </c>
      <c r="C55" s="17" t="s">
        <v>117</v>
      </c>
      <c r="D55" s="114">
        <v>0.25</v>
      </c>
      <c r="E55" s="113">
        <v>0.5</v>
      </c>
      <c r="F55" s="115">
        <v>0.75</v>
      </c>
      <c r="G55" s="117">
        <v>0.82414380265970677</v>
      </c>
      <c r="H55" s="118">
        <v>8.2299068568054579E-2</v>
      </c>
      <c r="I55" s="117">
        <v>2.3386984893758012E-2</v>
      </c>
      <c r="J55" s="117">
        <v>1.9142243543853188E-2</v>
      </c>
      <c r="K55" s="117">
        <v>1.8353244058137208E-2</v>
      </c>
      <c r="L55" s="117">
        <v>1.3395695043944111E-2</v>
      </c>
      <c r="M55" s="117">
        <v>1.0953525261249375E-2</v>
      </c>
      <c r="N55" s="117">
        <v>8.3254359712977566E-3</v>
      </c>
      <c r="O55" s="117">
        <v>0</v>
      </c>
      <c r="P55" s="119">
        <v>-2.2204460492503131E-16</v>
      </c>
      <c r="AA55" t="str">
        <f>A56</f>
        <v>Nominale matching</v>
      </c>
      <c r="AB55" s="28">
        <v>0.9</v>
      </c>
      <c r="AC55" s="28">
        <v>0.05</v>
      </c>
      <c r="AD55" s="28">
        <v>0.05</v>
      </c>
      <c r="AE55" s="28"/>
    </row>
    <row r="56" spans="1:31">
      <c r="A56" s="14" t="str">
        <f>A43</f>
        <v>Nominale matching</v>
      </c>
      <c r="B56" s="81">
        <v>0.99999992443495456</v>
      </c>
      <c r="C56" s="16">
        <v>7.8604768372736108E-8</v>
      </c>
      <c r="D56" s="63">
        <v>0.99999990360375723</v>
      </c>
      <c r="E56" s="81">
        <v>0.99999994419691407</v>
      </c>
      <c r="F56" s="120">
        <v>0.99999997770850291</v>
      </c>
      <c r="G56" s="83">
        <v>1</v>
      </c>
      <c r="H56" s="83">
        <v>0.91338212369429284</v>
      </c>
      <c r="I56" s="83">
        <v>0.11097589684336219</v>
      </c>
      <c r="J56" s="83">
        <v>-7.1366356755051874E-2</v>
      </c>
      <c r="K56" s="83">
        <v>2.2808236025337648E-2</v>
      </c>
      <c r="L56" s="83">
        <v>-6.461467782591708E-2</v>
      </c>
      <c r="M56" s="83">
        <v>-1.2993355881480914E-2</v>
      </c>
      <c r="N56" s="83">
        <v>2.4431335277416998E-2</v>
      </c>
      <c r="O56" s="83">
        <v>0.2261466109360678</v>
      </c>
      <c r="P56" s="84">
        <v>-0.49132335271412325</v>
      </c>
      <c r="AA56" t="str">
        <f>A57</f>
        <v>Reele matching</v>
      </c>
      <c r="AB56" s="28">
        <f>D57</f>
        <v>2.8944635004635319E-12</v>
      </c>
      <c r="AC56" s="28">
        <f>E57-D57</f>
        <v>8.0791515069932345E-10</v>
      </c>
      <c r="AD56" s="28">
        <f>F57-E57</f>
        <v>8.1998768748804962E-9</v>
      </c>
      <c r="AE56" s="28"/>
    </row>
    <row r="57" spans="1:31">
      <c r="A57" s="14" t="str">
        <f t="shared" ref="A57:A65" si="15">A44</f>
        <v>Reele matching</v>
      </c>
      <c r="B57" s="81">
        <v>2.7148566153486209E-8</v>
      </c>
      <c r="C57" s="16">
        <v>7.4122479576228001E-8</v>
      </c>
      <c r="D57" s="63">
        <v>2.8944635004635319E-12</v>
      </c>
      <c r="E57" s="81">
        <v>8.1080961419978698E-10</v>
      </c>
      <c r="F57" s="120">
        <v>9.0106864890802826E-9</v>
      </c>
      <c r="G57" s="83">
        <v>-0.9323521923490512</v>
      </c>
      <c r="H57" s="83">
        <v>1</v>
      </c>
      <c r="I57" s="83">
        <v>0.12539019522529818</v>
      </c>
      <c r="J57" s="83">
        <v>-6.6606185087548883E-2</v>
      </c>
      <c r="K57" s="83">
        <v>3.6258554157919155E-2</v>
      </c>
      <c r="L57" s="83">
        <v>-6.0792886850414479E-2</v>
      </c>
      <c r="M57" s="83">
        <v>-2.073383991743849E-2</v>
      </c>
      <c r="N57" s="83">
        <v>2.6537444480188226E-2</v>
      </c>
      <c r="O57" s="83">
        <v>0.2261466109971538</v>
      </c>
      <c r="P57" s="84">
        <v>-0.49132335284683765</v>
      </c>
      <c r="AA57" t="s">
        <v>4</v>
      </c>
      <c r="AB57" s="28">
        <f t="shared" ref="AB57:AB63" si="16">D59</f>
        <v>5.069990152295259E-12</v>
      </c>
      <c r="AC57" s="28">
        <f t="shared" ref="AC57:AD63" si="17">E59-D59</f>
        <v>7.3621326129715944E-10</v>
      </c>
      <c r="AD57" s="28">
        <f t="shared" si="17"/>
        <v>1.514410440910125E-8</v>
      </c>
      <c r="AE57" s="28"/>
    </row>
    <row r="58" spans="1:31">
      <c r="A58" s="14" t="str">
        <f t="shared" si="15"/>
        <v>Credits</v>
      </c>
      <c r="B58" s="81">
        <v>0</v>
      </c>
      <c r="C58" s="16">
        <v>0</v>
      </c>
      <c r="D58" s="63">
        <v>0</v>
      </c>
      <c r="E58" s="81">
        <v>0</v>
      </c>
      <c r="F58" s="120">
        <v>0</v>
      </c>
      <c r="G58" s="83">
        <v>0</v>
      </c>
      <c r="H58" s="83">
        <v>1.0839396600413911E-17</v>
      </c>
      <c r="I58" s="83">
        <v>-2.8637820871313817E-16</v>
      </c>
      <c r="J58" s="83">
        <v>5.0173963239402799E-16</v>
      </c>
      <c r="K58" s="83">
        <v>-2.3112949501507998E-16</v>
      </c>
      <c r="L58" s="83">
        <v>2.3972379672505705E-16</v>
      </c>
      <c r="M58" s="83">
        <v>7.8624541147380107E-16</v>
      </c>
      <c r="N58" s="83">
        <v>2.8827808554649007E-16</v>
      </c>
      <c r="O58" s="83">
        <v>1</v>
      </c>
      <c r="P58" s="84">
        <v>1</v>
      </c>
      <c r="AA58" t="s">
        <v>175</v>
      </c>
      <c r="AB58" s="28">
        <f t="shared" si="16"/>
        <v>2.2101979235463595E-13</v>
      </c>
      <c r="AC58" s="28">
        <f t="shared" si="17"/>
        <v>6.6883175331239316E-11</v>
      </c>
      <c r="AD58" s="28">
        <f t="shared" si="17"/>
        <v>2.5125427639360699E-9</v>
      </c>
      <c r="AE58" s="28"/>
    </row>
    <row r="59" spans="1:31">
      <c r="A59" s="14" t="str">
        <f t="shared" si="15"/>
        <v>High Yield</v>
      </c>
      <c r="B59" s="81">
        <v>1.093154268353222E-8</v>
      </c>
      <c r="C59" s="16">
        <v>1.8052920657438946E-8</v>
      </c>
      <c r="D59" s="63">
        <v>5.069990152295259E-12</v>
      </c>
      <c r="E59" s="81">
        <v>7.4128325144945468E-10</v>
      </c>
      <c r="F59" s="120">
        <v>1.5885387660550704E-8</v>
      </c>
      <c r="G59" s="83">
        <v>-5.7597186230773844E-3</v>
      </c>
      <c r="H59" s="83">
        <v>-0.47694511194710126</v>
      </c>
      <c r="I59" s="83">
        <v>1</v>
      </c>
      <c r="J59" s="83">
        <v>-0.35236596479282528</v>
      </c>
      <c r="K59" s="83">
        <v>0.30351926107015148</v>
      </c>
      <c r="L59" s="83">
        <v>0.40477726522846125</v>
      </c>
      <c r="M59" s="83">
        <v>-0.22082974693384602</v>
      </c>
      <c r="N59" s="83">
        <v>0.11459548365415716</v>
      </c>
      <c r="O59" s="83">
        <v>0.22614661090189236</v>
      </c>
      <c r="P59" s="84">
        <v>-0.49132335263987381</v>
      </c>
      <c r="AA59" t="s">
        <v>176</v>
      </c>
      <c r="AB59" s="28">
        <f t="shared" si="16"/>
        <v>1.1010761425523883E-12</v>
      </c>
      <c r="AC59" s="28">
        <f t="shared" si="17"/>
        <v>1.6934568049493339E-10</v>
      </c>
      <c r="AD59" s="28">
        <f t="shared" si="17"/>
        <v>5.3167925493199581E-9</v>
      </c>
      <c r="AE59" s="28"/>
    </row>
    <row r="60" spans="1:31">
      <c r="A60" s="14" t="str">
        <f t="shared" si="15"/>
        <v>Emerging market debt</v>
      </c>
      <c r="B60" s="81">
        <v>6.5816472501457847E-9</v>
      </c>
      <c r="C60" s="16">
        <v>1.5538621272802571E-8</v>
      </c>
      <c r="D60" s="63">
        <v>2.2101979235463595E-13</v>
      </c>
      <c r="E60" s="81">
        <v>6.7104195123593958E-11</v>
      </c>
      <c r="F60" s="120">
        <v>2.579646959059664E-9</v>
      </c>
      <c r="G60" s="83">
        <v>-9.5505099660162674E-3</v>
      </c>
      <c r="H60" s="83">
        <v>-0.27040818418141394</v>
      </c>
      <c r="I60" s="83">
        <v>0.28835554181132206</v>
      </c>
      <c r="J60" s="83">
        <v>1</v>
      </c>
      <c r="K60" s="83">
        <v>-0.85055155986085818</v>
      </c>
      <c r="L60" s="83">
        <v>-0.46815592999823946</v>
      </c>
      <c r="M60" s="83">
        <v>-5.1318602923434736E-2</v>
      </c>
      <c r="N60" s="83">
        <v>-3.1229050138671759E-2</v>
      </c>
      <c r="O60" s="83">
        <v>0.22614661099196218</v>
      </c>
      <c r="P60" s="84">
        <v>-0.49132335283555856</v>
      </c>
      <c r="AA60" t="s">
        <v>177</v>
      </c>
      <c r="AB60" s="28">
        <f t="shared" si="16"/>
        <v>7.4494370688242267E-14</v>
      </c>
      <c r="AC60" s="28">
        <f t="shared" si="17"/>
        <v>1.6361099963627142E-10</v>
      </c>
      <c r="AD60" s="28">
        <f t="shared" si="17"/>
        <v>3.4817518206832302E-9</v>
      </c>
      <c r="AE60" s="28"/>
    </row>
    <row r="61" spans="1:31">
      <c r="A61" s="14" t="str">
        <f t="shared" si="15"/>
        <v>Aandelen ontwikkeld</v>
      </c>
      <c r="B61" s="81">
        <v>6.4495261612309639E-9</v>
      </c>
      <c r="C61" s="16">
        <v>1.4167012655600187E-8</v>
      </c>
      <c r="D61" s="63">
        <v>1.1010761425523883E-12</v>
      </c>
      <c r="E61" s="81">
        <v>1.7044675663748577E-10</v>
      </c>
      <c r="F61" s="120">
        <v>5.4872393059574441E-9</v>
      </c>
      <c r="G61" s="83">
        <v>-1.5170762804689526E-2</v>
      </c>
      <c r="H61" s="83">
        <v>-0.35044412668351033</v>
      </c>
      <c r="I61" s="83">
        <v>-7.2265064776662696E-2</v>
      </c>
      <c r="J61" s="83">
        <v>-0.2973860835197622</v>
      </c>
      <c r="K61" s="83">
        <v>0.5259759233966762</v>
      </c>
      <c r="L61" s="83">
        <v>-0.77865419609240383</v>
      </c>
      <c r="M61" s="83">
        <v>1</v>
      </c>
      <c r="N61" s="83">
        <v>1.9528748089511435E-2</v>
      </c>
      <c r="O61" s="83">
        <v>0.22614661099509734</v>
      </c>
      <c r="P61" s="84">
        <v>-0.49132335284237005</v>
      </c>
      <c r="AA61" t="s">
        <v>5</v>
      </c>
      <c r="AB61" s="28">
        <v>0</v>
      </c>
      <c r="AC61" s="28">
        <v>0.05</v>
      </c>
      <c r="AD61" s="28">
        <v>0.05</v>
      </c>
      <c r="AE61" s="28"/>
    </row>
    <row r="62" spans="1:31">
      <c r="A62" s="14" t="str">
        <f t="shared" si="15"/>
        <v>Aandelen opkomend</v>
      </c>
      <c r="B62" s="81">
        <v>6.0879642610851324E-9</v>
      </c>
      <c r="C62" s="16">
        <v>1.3964632763771901E-8</v>
      </c>
      <c r="D62" s="63">
        <v>7.4494370688242267E-14</v>
      </c>
      <c r="E62" s="81">
        <v>1.6368549400695967E-10</v>
      </c>
      <c r="F62" s="120">
        <v>3.6454373146901897E-9</v>
      </c>
      <c r="G62" s="83">
        <v>-1.5785123487088208E-2</v>
      </c>
      <c r="H62" s="83">
        <v>-0.25471377717164356</v>
      </c>
      <c r="I62" s="83">
        <v>-0.28784079112765498</v>
      </c>
      <c r="J62" s="83">
        <v>-0.76144992349853402</v>
      </c>
      <c r="K62" s="83">
        <v>-0.67588746071512706</v>
      </c>
      <c r="L62" s="83">
        <v>-7.5747725671912763E-2</v>
      </c>
      <c r="M62" s="83">
        <v>-0.37580322619275713</v>
      </c>
      <c r="N62" s="83">
        <v>-0.74848872494890228</v>
      </c>
      <c r="O62" s="83">
        <v>0.22614661099963665</v>
      </c>
      <c r="P62" s="84">
        <v>-0.49132335285223139</v>
      </c>
      <c r="AA62" t="s">
        <v>178</v>
      </c>
      <c r="AB62" s="28">
        <f t="shared" si="16"/>
        <v>4.4933225283438228E-13</v>
      </c>
      <c r="AC62" s="28">
        <f t="shared" si="17"/>
        <v>1.5861740931227799E-10</v>
      </c>
      <c r="AD62" s="28">
        <f t="shared" si="17"/>
        <v>7.137516990885788E-9</v>
      </c>
      <c r="AE62" s="28"/>
    </row>
    <row r="63" spans="1:31">
      <c r="A63" s="14" t="str">
        <f t="shared" si="15"/>
        <v>Hedge funds</v>
      </c>
      <c r="B63" s="81">
        <v>5.9375376805316672E-9</v>
      </c>
      <c r="C63" s="16">
        <v>1.2812021090514689E-8</v>
      </c>
      <c r="D63" s="63">
        <v>9.0370340648557918E-13</v>
      </c>
      <c r="E63" s="81">
        <v>1.8205347745445878E-10</v>
      </c>
      <c r="F63" s="120">
        <v>3.0945051549197845E-9</v>
      </c>
      <c r="G63" s="83">
        <v>-5.13952826335674E-3</v>
      </c>
      <c r="H63" s="83">
        <v>-9.4618082518787394E-2</v>
      </c>
      <c r="I63" s="83">
        <v>-0.30437371286747661</v>
      </c>
      <c r="J63" s="83">
        <v>0.44489864171805876</v>
      </c>
      <c r="K63" s="83">
        <v>9.9412168888420485E-2</v>
      </c>
      <c r="L63" s="83">
        <v>1</v>
      </c>
      <c r="M63" s="83">
        <v>0.69585846567774479</v>
      </c>
      <c r="N63" s="83">
        <v>-0.31965928760334672</v>
      </c>
      <c r="O63" s="83">
        <v>0.22614661108876555</v>
      </c>
      <c r="P63" s="84">
        <v>-0.49132335304587177</v>
      </c>
      <c r="AA63" t="s">
        <v>6</v>
      </c>
      <c r="AB63" s="28">
        <f t="shared" si="16"/>
        <v>1.4216807710692625E-13</v>
      </c>
      <c r="AC63" s="28">
        <f t="shared" si="17"/>
        <v>6.2075086838010139E-11</v>
      </c>
      <c r="AD63" s="28">
        <f t="shared" si="17"/>
        <v>2.5407324117580706E-9</v>
      </c>
      <c r="AE63" s="28"/>
    </row>
    <row r="64" spans="1:31">
      <c r="A64" s="14" t="str">
        <f t="shared" si="15"/>
        <v>Onroerend goed</v>
      </c>
      <c r="B64" s="81">
        <v>6.1526089353710445E-9</v>
      </c>
      <c r="C64" s="16">
        <v>1.2787557980995132E-8</v>
      </c>
      <c r="D64" s="63">
        <v>4.4933225283438228E-13</v>
      </c>
      <c r="E64" s="81">
        <v>1.5906674156511237E-10</v>
      </c>
      <c r="F64" s="120">
        <v>7.2965837324509005E-9</v>
      </c>
      <c r="G64" s="83">
        <v>-1.2785238874526487E-2</v>
      </c>
      <c r="H64" s="83">
        <v>-0.23639602337253643</v>
      </c>
      <c r="I64" s="83">
        <v>-0.45748239050155959</v>
      </c>
      <c r="J64" s="83">
        <v>-0.31118202290363151</v>
      </c>
      <c r="K64" s="83">
        <v>-0.4615351232718139</v>
      </c>
      <c r="L64" s="83">
        <v>0.20636817915600053</v>
      </c>
      <c r="M64" s="83">
        <v>-0.12962492579427229</v>
      </c>
      <c r="N64" s="83">
        <v>1</v>
      </c>
      <c r="O64" s="83">
        <v>0.22614661073932812</v>
      </c>
      <c r="P64" s="84">
        <v>-0.49132335228668977</v>
      </c>
    </row>
    <row r="65" spans="1:37">
      <c r="A65" s="15" t="str">
        <f t="shared" si="15"/>
        <v>Commodities</v>
      </c>
      <c r="B65" s="85">
        <v>6.2756529541365454E-9</v>
      </c>
      <c r="C65" s="80">
        <v>1.4430486674667779E-8</v>
      </c>
      <c r="D65" s="116">
        <v>1.4216807710692625E-13</v>
      </c>
      <c r="E65" s="85">
        <v>6.2217254915117069E-11</v>
      </c>
      <c r="F65" s="121">
        <v>2.6029496666731875E-9</v>
      </c>
      <c r="G65" s="86">
        <v>-3.4569253776330707E-3</v>
      </c>
      <c r="H65" s="86">
        <v>-0.22985681804125549</v>
      </c>
      <c r="I65" s="86">
        <v>-0.40275967459710654</v>
      </c>
      <c r="J65" s="86">
        <v>0.41545789421940571</v>
      </c>
      <c r="K65" s="86">
        <v>1</v>
      </c>
      <c r="L65" s="86">
        <v>-0.16318002800062853</v>
      </c>
      <c r="M65" s="86">
        <v>-0.88455476866408878</v>
      </c>
      <c r="N65" s="86">
        <v>-8.5715947489413913E-2</v>
      </c>
      <c r="O65" s="86">
        <v>0.22614661096764779</v>
      </c>
      <c r="P65" s="87">
        <v>-0.49132335278273354</v>
      </c>
    </row>
    <row r="66" spans="1:37">
      <c r="A66" s="22"/>
      <c r="B66" s="81"/>
      <c r="C66" s="81"/>
      <c r="D66" s="81"/>
      <c r="E66" s="81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</row>
    <row r="67" spans="1:37">
      <c r="D67" s="303" t="s">
        <v>136</v>
      </c>
      <c r="E67" s="312"/>
      <c r="F67" s="304"/>
      <c r="G67" s="303" t="s">
        <v>137</v>
      </c>
      <c r="H67" s="312"/>
      <c r="I67" s="312"/>
      <c r="J67" s="312"/>
      <c r="K67" s="312"/>
      <c r="L67" s="312"/>
      <c r="M67" s="312"/>
      <c r="N67" s="312"/>
      <c r="O67" s="312"/>
      <c r="P67" s="304"/>
    </row>
    <row r="68" spans="1:37">
      <c r="A68" s="88" t="str">
        <f>Parameters!A28</f>
        <v>Kansgewogen</v>
      </c>
      <c r="B68" s="89" t="s">
        <v>116</v>
      </c>
      <c r="C68" s="17" t="s">
        <v>117</v>
      </c>
      <c r="D68" s="114">
        <v>0.25</v>
      </c>
      <c r="E68" s="113">
        <v>0.5</v>
      </c>
      <c r="F68" s="115">
        <v>0.75</v>
      </c>
      <c r="G68" s="117">
        <v>0.75730438415995505</v>
      </c>
      <c r="H68" s="118">
        <v>0.18011041611905154</v>
      </c>
      <c r="I68" s="117">
        <v>5.9143067708658847E-2</v>
      </c>
      <c r="J68" s="117">
        <v>2.8054443725749056E-3</v>
      </c>
      <c r="K68" s="117">
        <v>5.218117878210693E-4</v>
      </c>
      <c r="L68" s="117">
        <v>5.0734700888455109E-5</v>
      </c>
      <c r="M68" s="117">
        <v>4.3388460569060427E-5</v>
      </c>
      <c r="N68" s="117">
        <v>2.0752690484404646E-5</v>
      </c>
      <c r="O68" s="117">
        <v>0</v>
      </c>
      <c r="P68" s="119">
        <v>0</v>
      </c>
      <c r="AA68" t="str">
        <f>A69</f>
        <v>Nominale matching</v>
      </c>
      <c r="AB68" s="28">
        <f>D69</f>
        <v>0.67423144177336702</v>
      </c>
      <c r="AC68" s="28">
        <f>E69-D69</f>
        <v>8.3548215051134633E-3</v>
      </c>
      <c r="AD68" s="28">
        <f>F69-E69</f>
        <v>5.759881669483935E-3</v>
      </c>
      <c r="AE68" s="28"/>
      <c r="AF68" t="str">
        <f>AA68</f>
        <v>Nominale matching</v>
      </c>
      <c r="AG68" s="126">
        <f>AB16*$X$4+AB29*$X$5+AB42*$X$6+AB55*$X$7</f>
        <v>0.4646761075357238</v>
      </c>
      <c r="AH68" s="126">
        <f>AC16*$X$4+AC29*$X$5+AC42*$X$6+AC55*$X$7</f>
        <v>5.7868503830828456E-2</v>
      </c>
      <c r="AI68" s="126">
        <f>AD16*$X$4+AD29*$X$5+AD42*$X$6+AD55*$X$7</f>
        <v>6.3843641202778842E-2</v>
      </c>
      <c r="AK68" s="28">
        <f>AG68+AH68</f>
        <v>0.52254461136655228</v>
      </c>
    </row>
    <row r="69" spans="1:37">
      <c r="A69" s="102" t="str">
        <f>A56</f>
        <v>Nominale matching</v>
      </c>
      <c r="B69" s="81">
        <v>0.68087368201521759</v>
      </c>
      <c r="C69" s="16">
        <v>1.1913702183170076E-2</v>
      </c>
      <c r="D69" s="63">
        <v>0.67423144177336702</v>
      </c>
      <c r="E69" s="81">
        <v>0.68258626327848049</v>
      </c>
      <c r="F69" s="120">
        <v>0.68834614494796442</v>
      </c>
      <c r="G69" s="83">
        <v>-0.13951443982534778</v>
      </c>
      <c r="H69" s="83">
        <v>0.53794611498537792</v>
      </c>
      <c r="I69" s="83">
        <v>-0.87077715765907948</v>
      </c>
      <c r="J69" s="83">
        <v>-0.30211941499222955</v>
      </c>
      <c r="K69" s="83">
        <v>-0.39425665091221374</v>
      </c>
      <c r="L69" s="83">
        <v>-0.7009949355526256</v>
      </c>
      <c r="M69" s="83">
        <v>-0.20523287305554649</v>
      </c>
      <c r="N69" s="83">
        <v>0.29178124747386802</v>
      </c>
      <c r="O69" s="83">
        <v>0.99999999999909184</v>
      </c>
      <c r="P69" s="84">
        <v>9.2484547282876764E-2</v>
      </c>
      <c r="AA69" t="str">
        <f>A70</f>
        <v>Reele matching</v>
      </c>
      <c r="AB69" s="28">
        <f>D70</f>
        <v>2.3014299985896792E-6</v>
      </c>
      <c r="AC69" s="28">
        <f>E70-D70</f>
        <v>8.284792906582811E-5</v>
      </c>
      <c r="AD69" s="28">
        <f>F70-E70</f>
        <v>2.7490070165918379E-4</v>
      </c>
      <c r="AE69" s="28"/>
      <c r="AF69" t="str">
        <f t="shared" ref="AF69:AF76" si="18">AA69</f>
        <v>Reele matching</v>
      </c>
      <c r="AG69" s="126">
        <f t="shared" ref="AG69:AI76" si="19">AB17*$X$4+AB30*$X$5+AB43*$X$6+AB56*$X$7</f>
        <v>3.5782311955706803E-2</v>
      </c>
      <c r="AH69" s="126">
        <f t="shared" si="19"/>
        <v>2.3911452409813839E-2</v>
      </c>
      <c r="AI69" s="126">
        <f t="shared" si="19"/>
        <v>1.2885586325092853E-2</v>
      </c>
      <c r="AK69" s="28">
        <f t="shared" ref="AK69:AK76" si="20">AG69+AH69</f>
        <v>5.9693764365520638E-2</v>
      </c>
    </row>
    <row r="70" spans="1:37">
      <c r="A70" s="14" t="str">
        <f t="shared" ref="A70:A78" si="21">A57</f>
        <v>Reele matching</v>
      </c>
      <c r="B70" s="81">
        <v>2.1698125369065108E-4</v>
      </c>
      <c r="C70" s="16">
        <v>2.9218465923892226E-4</v>
      </c>
      <c r="D70" s="63">
        <v>2.3014299985896792E-6</v>
      </c>
      <c r="E70" s="81">
        <v>8.5149359064417787E-5</v>
      </c>
      <c r="F70" s="120">
        <v>3.6005006072360155E-4</v>
      </c>
      <c r="G70" s="83">
        <v>8.4040365451190212E-5</v>
      </c>
      <c r="H70" s="83">
        <v>1.8701619770530521E-3</v>
      </c>
      <c r="I70" s="83">
        <v>1.2173777987245821E-3</v>
      </c>
      <c r="J70" s="83">
        <v>-7.289619739612686E-3</v>
      </c>
      <c r="K70" s="83">
        <v>3.3284279593383481E-2</v>
      </c>
      <c r="L70" s="83">
        <v>0.61897325599204689</v>
      </c>
      <c r="M70" s="83">
        <v>0.58323069369317349</v>
      </c>
      <c r="N70" s="83">
        <v>1</v>
      </c>
      <c r="O70" s="83">
        <v>1</v>
      </c>
      <c r="P70" s="84">
        <v>9.2484547283217589E-2</v>
      </c>
      <c r="AA70" t="s">
        <v>4</v>
      </c>
      <c r="AB70" s="28">
        <f t="shared" ref="AB70:AB76" si="22">D72</f>
        <v>3.9098162333606721E-4</v>
      </c>
      <c r="AC70" s="28">
        <f t="shared" ref="AC70:AD76" si="23">E72-D72</f>
        <v>1.0626133376611395E-3</v>
      </c>
      <c r="AD70" s="28">
        <f t="shared" si="23"/>
        <v>2.0269970442182341E-3</v>
      </c>
      <c r="AE70" s="28"/>
      <c r="AF70" t="str">
        <f t="shared" si="18"/>
        <v>High Yield</v>
      </c>
      <c r="AG70" s="126">
        <f t="shared" si="19"/>
        <v>7.5550061813387777E-3</v>
      </c>
      <c r="AH70" s="126">
        <f t="shared" si="19"/>
        <v>7.4356437149430091E-2</v>
      </c>
      <c r="AI70" s="126">
        <f t="shared" si="19"/>
        <v>5.7461129898216251E-2</v>
      </c>
      <c r="AK70" s="28">
        <f t="shared" si="20"/>
        <v>8.1911443330768871E-2</v>
      </c>
    </row>
    <row r="71" spans="1:37">
      <c r="A71" s="14" t="str">
        <f t="shared" si="21"/>
        <v>Credits</v>
      </c>
      <c r="B71" s="81">
        <v>0</v>
      </c>
      <c r="C71" s="16">
        <v>0</v>
      </c>
      <c r="D71" s="63">
        <v>0</v>
      </c>
      <c r="E71" s="81">
        <v>0</v>
      </c>
      <c r="F71" s="120">
        <v>0</v>
      </c>
      <c r="G71" s="83">
        <v>4.4270770320979589E-18</v>
      </c>
      <c r="H71" s="83">
        <v>8.6780048461517591E-17</v>
      </c>
      <c r="I71" s="83">
        <v>5.3965469119344187E-16</v>
      </c>
      <c r="J71" s="83">
        <v>-2.4511489225386441E-15</v>
      </c>
      <c r="K71" s="83">
        <v>-1.3022571345569674E-14</v>
      </c>
      <c r="L71" s="83">
        <v>-1.7884307883689889E-13</v>
      </c>
      <c r="M71" s="83">
        <v>-1.9058239487041983E-13</v>
      </c>
      <c r="N71" s="83">
        <v>-1.1981931686158702E-13</v>
      </c>
      <c r="O71" s="83">
        <v>-0.83236092554494645</v>
      </c>
      <c r="P71" s="84">
        <v>1</v>
      </c>
      <c r="AA71" t="s">
        <v>175</v>
      </c>
      <c r="AB71" s="28">
        <f t="shared" si="22"/>
        <v>2.1772369148024471E-2</v>
      </c>
      <c r="AC71" s="28">
        <f t="shared" si="23"/>
        <v>2.778205736927938E-2</v>
      </c>
      <c r="AD71" s="28">
        <f t="shared" si="23"/>
        <v>2.2277941517031885E-2</v>
      </c>
      <c r="AE71" s="28"/>
      <c r="AF71" t="str">
        <f t="shared" si="18"/>
        <v>Emerging market debt</v>
      </c>
      <c r="AG71" s="126">
        <f t="shared" si="19"/>
        <v>4.4116130168097133E-3</v>
      </c>
      <c r="AH71" s="126">
        <f t="shared" si="19"/>
        <v>5.7617146643912459E-2</v>
      </c>
      <c r="AI71" s="126">
        <f t="shared" si="19"/>
        <v>4.8299331313058483E-2</v>
      </c>
      <c r="AK71" s="28">
        <f t="shared" si="20"/>
        <v>6.2028759660722174E-2</v>
      </c>
    </row>
    <row r="72" spans="1:37">
      <c r="A72" s="14" t="str">
        <f t="shared" si="21"/>
        <v>High Yield</v>
      </c>
      <c r="B72" s="81">
        <v>2.6173625491421552E-3</v>
      </c>
      <c r="C72" s="16">
        <v>3.0334061092286953E-3</v>
      </c>
      <c r="D72" s="63">
        <v>3.9098162333606721E-4</v>
      </c>
      <c r="E72" s="81">
        <v>1.4535949609972068E-3</v>
      </c>
      <c r="F72" s="120">
        <v>3.4805920052154407E-3</v>
      </c>
      <c r="G72" s="83">
        <v>2.0140215851630668E-2</v>
      </c>
      <c r="H72" s="83">
        <v>-3.0024803068963983E-2</v>
      </c>
      <c r="I72" s="83">
        <v>-0.15433068088372442</v>
      </c>
      <c r="J72" s="83">
        <v>1</v>
      </c>
      <c r="K72" s="83">
        <v>-0.23681020092058841</v>
      </c>
      <c r="L72" s="83">
        <v>-1.9553920896458132E-2</v>
      </c>
      <c r="M72" s="83">
        <v>-0.1977786643018199</v>
      </c>
      <c r="N72" s="83">
        <v>-5.0050120331815877E-2</v>
      </c>
      <c r="O72" s="83">
        <v>0.99999999999857736</v>
      </c>
      <c r="P72" s="84">
        <v>9.2484547282867702E-2</v>
      </c>
      <c r="AA72" t="s">
        <v>176</v>
      </c>
      <c r="AB72" s="28">
        <f t="shared" si="22"/>
        <v>7.2424469075513965E-3</v>
      </c>
      <c r="AC72" s="28">
        <f t="shared" si="23"/>
        <v>9.7986388903607159E-3</v>
      </c>
      <c r="AD72" s="28">
        <f t="shared" si="23"/>
        <v>1.7351353884885703E-2</v>
      </c>
      <c r="AE72" s="28"/>
      <c r="AF72" t="str">
        <f t="shared" si="18"/>
        <v>Aandelen ontwikkeld</v>
      </c>
      <c r="AG72" s="126">
        <f t="shared" si="19"/>
        <v>2.0627284650370711E-2</v>
      </c>
      <c r="AH72" s="126">
        <f t="shared" si="19"/>
        <v>5.1107666313459164E-2</v>
      </c>
      <c r="AI72" s="126">
        <f t="shared" si="19"/>
        <v>4.9921274973869986E-2</v>
      </c>
      <c r="AK72" s="28">
        <f t="shared" si="20"/>
        <v>7.1734950963829869E-2</v>
      </c>
    </row>
    <row r="73" spans="1:37">
      <c r="A73" s="14" t="str">
        <f t="shared" si="21"/>
        <v>Emerging market debt</v>
      </c>
      <c r="B73" s="81">
        <v>5.0341219132625625E-2</v>
      </c>
      <c r="C73" s="16">
        <v>3.2023840418339326E-2</v>
      </c>
      <c r="D73" s="63">
        <v>2.1772369148024471E-2</v>
      </c>
      <c r="E73" s="81">
        <v>4.9554426517303851E-2</v>
      </c>
      <c r="F73" s="120">
        <v>7.1832368034335736E-2</v>
      </c>
      <c r="G73" s="83">
        <v>-0.77072999438409862</v>
      </c>
      <c r="H73" s="83">
        <v>-0.93528284675138762</v>
      </c>
      <c r="I73" s="83">
        <v>0.42705809315325266</v>
      </c>
      <c r="J73" s="83">
        <v>-0.18706311053782124</v>
      </c>
      <c r="K73" s="83">
        <v>-0.21226130657482556</v>
      </c>
      <c r="L73" s="83">
        <v>-0.11753835296846166</v>
      </c>
      <c r="M73" s="83">
        <v>-0.22103628595136235</v>
      </c>
      <c r="N73" s="83">
        <v>9.8789344181550551E-4</v>
      </c>
      <c r="O73" s="83">
        <v>0.99999999999866962</v>
      </c>
      <c r="P73" s="84">
        <v>9.2484547282866328E-2</v>
      </c>
      <c r="AA73" t="s">
        <v>177</v>
      </c>
      <c r="AB73" s="28">
        <f t="shared" si="22"/>
        <v>0.14104597379277053</v>
      </c>
      <c r="AC73" s="28">
        <f t="shared" si="23"/>
        <v>4.2767198564720443E-3</v>
      </c>
      <c r="AD73" s="28">
        <f t="shared" si="23"/>
        <v>4.5691143496356668E-3</v>
      </c>
      <c r="AE73" s="28"/>
      <c r="AF73" t="str">
        <f t="shared" si="18"/>
        <v>Aandelen opkomend</v>
      </c>
      <c r="AG73" s="126">
        <f t="shared" si="19"/>
        <v>5.5203893014158581E-3</v>
      </c>
      <c r="AH73" s="126">
        <f t="shared" si="19"/>
        <v>1.5464070766816298E-2</v>
      </c>
      <c r="AI73" s="126">
        <f t="shared" si="19"/>
        <v>1.0103167490202613E-2</v>
      </c>
      <c r="AK73" s="28">
        <f t="shared" si="20"/>
        <v>2.0984460068232156E-2</v>
      </c>
    </row>
    <row r="74" spans="1:37">
      <c r="A74" s="14" t="str">
        <f t="shared" si="21"/>
        <v>Aandelen ontwikkeld</v>
      </c>
      <c r="B74" s="81">
        <v>2.1492906292004302E-2</v>
      </c>
      <c r="C74" s="16">
        <v>1.7490294513763289E-2</v>
      </c>
      <c r="D74" s="63">
        <v>7.2424469075513965E-3</v>
      </c>
      <c r="E74" s="81">
        <v>1.7041085797912112E-2</v>
      </c>
      <c r="F74" s="120">
        <v>3.4392439682797815E-2</v>
      </c>
      <c r="G74" s="83">
        <v>-0.11948196942089752</v>
      </c>
      <c r="H74" s="83">
        <v>1</v>
      </c>
      <c r="I74" s="83">
        <v>1</v>
      </c>
      <c r="J74" s="83">
        <v>-0.10786518554067925</v>
      </c>
      <c r="K74" s="83">
        <v>-0.10803919536669923</v>
      </c>
      <c r="L74" s="83">
        <v>0.23309268904412137</v>
      </c>
      <c r="M74" s="83">
        <v>-0.23616681010206145</v>
      </c>
      <c r="N74" s="83">
        <v>-0.17376006859167334</v>
      </c>
      <c r="O74" s="83">
        <v>0.99999999999841604</v>
      </c>
      <c r="P74" s="84">
        <v>9.2484547282859611E-2</v>
      </c>
      <c r="AA74" t="s">
        <v>5</v>
      </c>
      <c r="AB74" s="28">
        <f t="shared" si="22"/>
        <v>7.6825545838748413E-2</v>
      </c>
      <c r="AC74" s="28">
        <f t="shared" si="23"/>
        <v>2.4317736655333141E-2</v>
      </c>
      <c r="AD74" s="28">
        <f t="shared" si="23"/>
        <v>2.522685671592928E-2</v>
      </c>
      <c r="AE74" s="28"/>
      <c r="AF74" t="str">
        <f t="shared" si="18"/>
        <v>Hedge funds</v>
      </c>
      <c r="AG74" s="126">
        <f t="shared" si="19"/>
        <v>3.1495289828864279E-2</v>
      </c>
      <c r="AH74" s="126">
        <f t="shared" si="19"/>
        <v>7.0494462199740621E-2</v>
      </c>
      <c r="AI74" s="126">
        <f t="shared" si="19"/>
        <v>6.3476253368493912E-2</v>
      </c>
      <c r="AK74" s="28">
        <f t="shared" si="20"/>
        <v>0.1019897520286049</v>
      </c>
    </row>
    <row r="75" spans="1:37">
      <c r="A75" s="14" t="str">
        <f t="shared" si="21"/>
        <v>Aandelen opkomend</v>
      </c>
      <c r="B75" s="81">
        <v>0.14501978781710462</v>
      </c>
      <c r="C75" s="16">
        <v>6.1480603269067312E-3</v>
      </c>
      <c r="D75" s="63">
        <v>0.14104597379277053</v>
      </c>
      <c r="E75" s="81">
        <v>0.14532269364924258</v>
      </c>
      <c r="F75" s="120">
        <v>0.14989180799887825</v>
      </c>
      <c r="G75" s="83">
        <v>6.8801291870786083E-3</v>
      </c>
      <c r="H75" s="83">
        <v>-5.3186949394123412E-2</v>
      </c>
      <c r="I75" s="83">
        <v>-0.74049366510707992</v>
      </c>
      <c r="J75" s="83">
        <v>-0.20531195579279912</v>
      </c>
      <c r="K75" s="83">
        <v>0.14337272576631008</v>
      </c>
      <c r="L75" s="83">
        <v>1</v>
      </c>
      <c r="M75" s="83">
        <v>-0.26389902873352905</v>
      </c>
      <c r="N75" s="83">
        <v>-0.55315522409238249</v>
      </c>
      <c r="O75" s="83">
        <v>0.99999999999786626</v>
      </c>
      <c r="P75" s="84">
        <v>9.2484547282845594E-2</v>
      </c>
      <c r="AA75" t="s">
        <v>178</v>
      </c>
      <c r="AB75" s="28">
        <f t="shared" si="22"/>
        <v>1.658409661692373E-5</v>
      </c>
      <c r="AC75" s="28">
        <f t="shared" si="23"/>
        <v>2.7036757822505549E-4</v>
      </c>
      <c r="AD75" s="28">
        <f t="shared" si="23"/>
        <v>7.7244876272534893E-4</v>
      </c>
      <c r="AE75" s="28"/>
      <c r="AF75" t="str">
        <f t="shared" si="18"/>
        <v>Onroerend goed</v>
      </c>
      <c r="AG75" s="126">
        <f t="shared" si="19"/>
        <v>1.10612454504232E-2</v>
      </c>
      <c r="AH75" s="126">
        <f t="shared" si="19"/>
        <v>5.5496940008948815E-2</v>
      </c>
      <c r="AI75" s="126">
        <f t="shared" si="19"/>
        <v>5.1718221215936992E-2</v>
      </c>
      <c r="AK75" s="28">
        <f t="shared" si="20"/>
        <v>6.6558185459372018E-2</v>
      </c>
    </row>
    <row r="76" spans="1:37">
      <c r="A76" s="14" t="str">
        <f t="shared" si="21"/>
        <v>Hedge funds</v>
      </c>
      <c r="B76" s="81">
        <v>9.8433870057891837E-2</v>
      </c>
      <c r="C76" s="16">
        <v>3.8093271832420318E-2</v>
      </c>
      <c r="D76" s="63">
        <v>7.6825545838748413E-2</v>
      </c>
      <c r="E76" s="81">
        <v>0.10114328249408155</v>
      </c>
      <c r="F76" s="120">
        <v>0.12637013921001083</v>
      </c>
      <c r="G76" s="83">
        <v>1</v>
      </c>
      <c r="H76" s="83">
        <v>-0.52535208219893104</v>
      </c>
      <c r="I76" s="83">
        <v>0.3353434121383212</v>
      </c>
      <c r="J76" s="83">
        <v>-0.2179356451519999</v>
      </c>
      <c r="K76" s="83">
        <v>-0.22842068177278588</v>
      </c>
      <c r="L76" s="83">
        <v>-0.16603755274800508</v>
      </c>
      <c r="M76" s="83">
        <v>-0.22323489144973319</v>
      </c>
      <c r="N76" s="83">
        <v>2.6661947137813394E-2</v>
      </c>
      <c r="O76" s="83">
        <v>0.99999999999870781</v>
      </c>
      <c r="P76" s="84">
        <v>9.2484547282867147E-2</v>
      </c>
      <c r="AA76" t="s">
        <v>6</v>
      </c>
      <c r="AB76" s="28">
        <f t="shared" si="22"/>
        <v>7.897826768422703E-6</v>
      </c>
      <c r="AC76" s="28">
        <f t="shared" si="23"/>
        <v>8.6395751963822483E-5</v>
      </c>
      <c r="AD76" s="28">
        <f t="shared" si="23"/>
        <v>2.0142340401461831E-4</v>
      </c>
      <c r="AE76" s="28"/>
      <c r="AF76" t="str">
        <f t="shared" si="18"/>
        <v>Commodities</v>
      </c>
      <c r="AG76" s="126">
        <f t="shared" si="19"/>
        <v>6.0470232087579125E-4</v>
      </c>
      <c r="AH76" s="126">
        <f t="shared" si="19"/>
        <v>1.1949370761713356E-2</v>
      </c>
      <c r="AI76" s="126">
        <f t="shared" si="19"/>
        <v>4.8934249739659239E-3</v>
      </c>
      <c r="AK76" s="28">
        <f t="shared" si="20"/>
        <v>1.2554073082589148E-2</v>
      </c>
    </row>
    <row r="77" spans="1:37">
      <c r="A77" s="14" t="str">
        <f t="shared" si="21"/>
        <v>Onroerend goed</v>
      </c>
      <c r="B77" s="81">
        <v>7.7344431051558598E-4</v>
      </c>
      <c r="C77" s="16">
        <v>1.0917551024703298E-3</v>
      </c>
      <c r="D77" s="63">
        <v>1.658409661692373E-5</v>
      </c>
      <c r="E77" s="81">
        <v>2.869516748419792E-4</v>
      </c>
      <c r="F77" s="120">
        <v>1.0594004375673281E-3</v>
      </c>
      <c r="G77" s="83">
        <v>6.8541942682176418E-4</v>
      </c>
      <c r="H77" s="83">
        <v>2.0493176025788771E-3</v>
      </c>
      <c r="I77" s="83">
        <v>1.5544446178629759E-3</v>
      </c>
      <c r="J77" s="83">
        <v>4.6294018625118755E-2</v>
      </c>
      <c r="K77" s="83">
        <v>1</v>
      </c>
      <c r="L77" s="83">
        <v>-0.48152212789297527</v>
      </c>
      <c r="M77" s="83">
        <v>-0.23588214009896802</v>
      </c>
      <c r="N77" s="83">
        <v>0.13886761984463133</v>
      </c>
      <c r="O77" s="83">
        <v>0.99999999999877265</v>
      </c>
      <c r="P77" s="84">
        <v>9.2484547282866508E-2</v>
      </c>
    </row>
    <row r="78" spans="1:37">
      <c r="A78" s="15" t="str">
        <f t="shared" si="21"/>
        <v>Commodities</v>
      </c>
      <c r="B78" s="85">
        <v>2.3074657180749625E-4</v>
      </c>
      <c r="C78" s="80">
        <v>3.2854636805466182E-4</v>
      </c>
      <c r="D78" s="116">
        <v>7.897826768422703E-6</v>
      </c>
      <c r="E78" s="85">
        <v>9.4293578732245191E-5</v>
      </c>
      <c r="F78" s="121">
        <v>2.957169827468635E-4</v>
      </c>
      <c r="G78" s="86">
        <v>1.9365987993618038E-3</v>
      </c>
      <c r="H78" s="86">
        <v>1.9810868483962516E-3</v>
      </c>
      <c r="I78" s="86">
        <v>4.2817594172024805E-4</v>
      </c>
      <c r="J78" s="86">
        <v>-1.8709086869961679E-2</v>
      </c>
      <c r="K78" s="86">
        <v>3.1310301875068381E-3</v>
      </c>
      <c r="L78" s="86">
        <v>-0.36641905497786398</v>
      </c>
      <c r="M78" s="86">
        <v>1</v>
      </c>
      <c r="N78" s="86">
        <v>-0.6813332948851758</v>
      </c>
      <c r="O78" s="86">
        <v>0.99999999999741118</v>
      </c>
      <c r="P78" s="87">
        <v>9.2484547282833687E-2</v>
      </c>
    </row>
  </sheetData>
  <mergeCells count="12">
    <mergeCell ref="D41:F41"/>
    <mergeCell ref="G41:P41"/>
    <mergeCell ref="D54:F54"/>
    <mergeCell ref="G54:P54"/>
    <mergeCell ref="D67:F67"/>
    <mergeCell ref="G67:P67"/>
    <mergeCell ref="D2:F2"/>
    <mergeCell ref="G2:P2"/>
    <mergeCell ref="D15:F15"/>
    <mergeCell ref="G15:P15"/>
    <mergeCell ref="D28:F28"/>
    <mergeCell ref="G28:P28"/>
  </mergeCells>
  <phoneticPr fontId="2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 enableFormatConditionsCalculation="0">
    <tabColor indexed="51"/>
  </sheetPr>
  <dimension ref="A1:AB78"/>
  <sheetViews>
    <sheetView workbookViewId="0">
      <selection activeCell="B4" sqref="B4:B11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8" max="18" width="20.5703125" bestFit="1" customWidth="1"/>
    <col min="19" max="19" width="19.5703125" bestFit="1" customWidth="1"/>
    <col min="20" max="20" width="20.5703125" bestFit="1" customWidth="1"/>
    <col min="26" max="26" width="19" customWidth="1"/>
  </cols>
  <sheetData>
    <row r="1" spans="1:24">
      <c r="A1" s="2" t="s">
        <v>134</v>
      </c>
    </row>
    <row r="2" spans="1:24">
      <c r="A2" s="82"/>
      <c r="D2" s="303" t="s">
        <v>136</v>
      </c>
      <c r="E2" s="312"/>
      <c r="F2" s="304"/>
      <c r="G2" s="303" t="s">
        <v>137</v>
      </c>
      <c r="H2" s="312"/>
      <c r="I2" s="312"/>
      <c r="J2" s="312"/>
      <c r="K2" s="312"/>
      <c r="L2" s="312"/>
      <c r="M2" s="312"/>
      <c r="N2" s="312"/>
      <c r="O2" s="312"/>
      <c r="P2" s="304"/>
    </row>
    <row r="3" spans="1:24">
      <c r="A3" s="88" t="str">
        <f>Parameters!A40</f>
        <v>Basis</v>
      </c>
      <c r="B3" s="89" t="s">
        <v>135</v>
      </c>
      <c r="C3" s="17" t="s">
        <v>117</v>
      </c>
      <c r="D3" s="114">
        <v>0.25</v>
      </c>
      <c r="E3" s="113">
        <v>0.5</v>
      </c>
      <c r="F3" s="115">
        <v>0.75</v>
      </c>
      <c r="G3" s="128">
        <v>0.25516807792905505</v>
      </c>
      <c r="H3" s="129">
        <v>0.23773536500652459</v>
      </c>
      <c r="I3" s="128">
        <v>0.17331630265165043</v>
      </c>
      <c r="J3" s="128">
        <v>0.14823443706778916</v>
      </c>
      <c r="K3" s="128">
        <v>0.12005775228264315</v>
      </c>
      <c r="L3" s="128">
        <v>6.548806506233662E-2</v>
      </c>
      <c r="M3" s="128">
        <v>-2.2204460492503131E-16</v>
      </c>
      <c r="N3" s="128" t="s">
        <v>141</v>
      </c>
      <c r="O3" s="128"/>
      <c r="P3" s="130"/>
    </row>
    <row r="4" spans="1:24">
      <c r="A4" s="14" t="s">
        <v>73</v>
      </c>
      <c r="B4" s="131">
        <v>0</v>
      </c>
      <c r="C4" s="132">
        <v>0</v>
      </c>
      <c r="D4" s="133">
        <v>0</v>
      </c>
      <c r="E4" s="131">
        <v>0</v>
      </c>
      <c r="F4" s="134">
        <v>0</v>
      </c>
      <c r="G4" s="91">
        <v>0</v>
      </c>
      <c r="H4" s="91">
        <v>0</v>
      </c>
      <c r="I4" s="91">
        <v>0</v>
      </c>
      <c r="J4" s="91">
        <v>0</v>
      </c>
      <c r="K4" s="91">
        <v>0</v>
      </c>
      <c r="L4" s="91">
        <v>0</v>
      </c>
      <c r="M4" s="91">
        <v>0</v>
      </c>
      <c r="N4" s="91" t="s">
        <v>141</v>
      </c>
      <c r="O4" s="91"/>
      <c r="P4" s="92"/>
    </row>
    <row r="5" spans="1:24">
      <c r="A5" s="14" t="s">
        <v>4</v>
      </c>
      <c r="B5" s="131">
        <v>0.16669754066249731</v>
      </c>
      <c r="C5" s="132">
        <v>0.15567926596732129</v>
      </c>
      <c r="D5" s="133">
        <v>7.6131305370676951E-3</v>
      </c>
      <c r="E5" s="131">
        <v>0.15309989398634721</v>
      </c>
      <c r="F5" s="134">
        <v>0.27383902224307277</v>
      </c>
      <c r="G5" s="91">
        <v>-0.42582344684819307</v>
      </c>
      <c r="H5" s="91">
        <v>1</v>
      </c>
      <c r="I5" s="91">
        <v>3.4629037603550274E-2</v>
      </c>
      <c r="J5" s="91">
        <v>-0.75489750177653303</v>
      </c>
      <c r="K5" s="91">
        <v>-0.25422030524250416</v>
      </c>
      <c r="L5" s="91">
        <v>0.58100951905935516</v>
      </c>
      <c r="M5" s="91">
        <v>0.99999999999999933</v>
      </c>
      <c r="N5" s="91" t="s">
        <v>141</v>
      </c>
      <c r="O5" s="91"/>
      <c r="P5" s="92"/>
      <c r="R5" s="126">
        <f>D5</f>
        <v>7.6131305370676951E-3</v>
      </c>
      <c r="S5" s="126">
        <f>B5</f>
        <v>0.16669754066249731</v>
      </c>
      <c r="T5" s="126">
        <f>F5</f>
        <v>0.27383902224307277</v>
      </c>
      <c r="V5" s="28">
        <f>R5</f>
        <v>7.6131305370676951E-3</v>
      </c>
      <c r="W5" s="28">
        <f>S5-R5</f>
        <v>0.15908441012542962</v>
      </c>
      <c r="X5" s="28">
        <f>T5-S5</f>
        <v>0.10714148158057546</v>
      </c>
    </row>
    <row r="6" spans="1:24">
      <c r="A6" s="14" t="s">
        <v>175</v>
      </c>
      <c r="B6" s="131">
        <v>0.12184439267132186</v>
      </c>
      <c r="C6" s="132">
        <v>0.14675197319336916</v>
      </c>
      <c r="D6" s="133">
        <v>6.8246620746205845E-4</v>
      </c>
      <c r="E6" s="131">
        <v>5.19785232399195E-2</v>
      </c>
      <c r="F6" s="134">
        <v>0.22192903758436761</v>
      </c>
      <c r="G6" s="91">
        <v>-0.38653284429995122</v>
      </c>
      <c r="H6" s="91">
        <v>-0.43000514504131299</v>
      </c>
      <c r="I6" s="91">
        <v>1</v>
      </c>
      <c r="J6" s="91">
        <v>0.3019985490704154</v>
      </c>
      <c r="K6" s="91">
        <v>-0.73459492265119264</v>
      </c>
      <c r="L6" s="91">
        <v>-0.38474532644986187</v>
      </c>
      <c r="M6" s="91">
        <v>0.999999999999999</v>
      </c>
      <c r="N6" s="91" t="s">
        <v>141</v>
      </c>
      <c r="O6" s="91"/>
      <c r="P6" s="92"/>
      <c r="R6" s="126">
        <f t="shared" ref="R6:R11" si="0">D6</f>
        <v>6.8246620746205845E-4</v>
      </c>
      <c r="S6" s="126">
        <f t="shared" ref="S6:S11" si="1">B6</f>
        <v>0.12184439267132186</v>
      </c>
      <c r="T6" s="126">
        <f t="shared" ref="T6:T11" si="2">F6</f>
        <v>0.22192903758436761</v>
      </c>
      <c r="V6" s="28">
        <f t="shared" ref="V6:V11" si="3">R6</f>
        <v>6.8246620746205845E-4</v>
      </c>
      <c r="W6" s="28">
        <f t="shared" ref="W6:X11" si="4">S6-R6</f>
        <v>0.1211619264638598</v>
      </c>
      <c r="X6" s="28">
        <f t="shared" si="4"/>
        <v>0.10008464491304575</v>
      </c>
    </row>
    <row r="7" spans="1:24">
      <c r="A7" s="14" t="s">
        <v>176</v>
      </c>
      <c r="B7" s="131">
        <v>0.17302441783552452</v>
      </c>
      <c r="C7" s="132">
        <v>0.15475327857505655</v>
      </c>
      <c r="D7" s="133">
        <v>1.4274886287567522E-2</v>
      </c>
      <c r="E7" s="131">
        <v>0.14538403238472841</v>
      </c>
      <c r="F7" s="134">
        <v>0.2862797292721645</v>
      </c>
      <c r="G7" s="91">
        <v>0.292397203331412</v>
      </c>
      <c r="H7" s="91">
        <v>-0.86346929179008569</v>
      </c>
      <c r="I7" s="91">
        <v>-0.8208666568537667</v>
      </c>
      <c r="J7" s="91">
        <v>-0.49308800824826449</v>
      </c>
      <c r="K7" s="91">
        <v>-0.64446677735547186</v>
      </c>
      <c r="L7" s="91">
        <v>0.22502296198535643</v>
      </c>
      <c r="M7" s="91">
        <v>0.99999999999999889</v>
      </c>
      <c r="N7" s="91" t="s">
        <v>141</v>
      </c>
      <c r="O7" s="91"/>
      <c r="P7" s="92"/>
      <c r="R7" s="126">
        <f t="shared" si="0"/>
        <v>1.4274886287567522E-2</v>
      </c>
      <c r="S7" s="126">
        <f t="shared" si="1"/>
        <v>0.17302441783552452</v>
      </c>
      <c r="T7" s="126">
        <f t="shared" si="2"/>
        <v>0.2862797292721645</v>
      </c>
      <c r="V7" s="28">
        <f t="shared" si="3"/>
        <v>1.4274886287567522E-2</v>
      </c>
      <c r="W7" s="28">
        <f t="shared" si="4"/>
        <v>0.15874953154795701</v>
      </c>
      <c r="X7" s="28">
        <f t="shared" si="4"/>
        <v>0.11325531143663997</v>
      </c>
    </row>
    <row r="8" spans="1:24">
      <c r="A8" s="14" t="s">
        <v>177</v>
      </c>
      <c r="B8" s="131">
        <v>8.5197359457108657E-2</v>
      </c>
      <c r="C8" s="132">
        <v>0.11836942592556798</v>
      </c>
      <c r="D8" s="133">
        <v>1.8440651680535204E-4</v>
      </c>
      <c r="E8" s="131">
        <v>1.9537659226178679E-2</v>
      </c>
      <c r="F8" s="134">
        <v>0.14059669178160417</v>
      </c>
      <c r="G8" s="91">
        <v>8.7460019865900712E-2</v>
      </c>
      <c r="H8" s="91">
        <v>-0.38240753855268039</v>
      </c>
      <c r="I8" s="91">
        <v>0.3022058299016861</v>
      </c>
      <c r="J8" s="91">
        <v>0.64969306181122066</v>
      </c>
      <c r="K8" s="91">
        <v>0.64315857430737977</v>
      </c>
      <c r="L8" s="91">
        <v>1</v>
      </c>
      <c r="M8" s="91">
        <v>1</v>
      </c>
      <c r="N8" s="91" t="s">
        <v>141</v>
      </c>
      <c r="O8" s="91"/>
      <c r="P8" s="92"/>
      <c r="R8" s="126">
        <f t="shared" si="0"/>
        <v>1.8440651680535204E-4</v>
      </c>
      <c r="S8" s="126">
        <f t="shared" si="1"/>
        <v>8.5197359457108657E-2</v>
      </c>
      <c r="T8" s="126">
        <f t="shared" si="2"/>
        <v>0.14059669178160417</v>
      </c>
      <c r="V8" s="28">
        <f t="shared" si="3"/>
        <v>1.8440651680535204E-4</v>
      </c>
      <c r="W8" s="28">
        <f t="shared" si="4"/>
        <v>8.501295294030331E-2</v>
      </c>
      <c r="X8" s="28">
        <f t="shared" si="4"/>
        <v>5.5399332324495509E-2</v>
      </c>
    </row>
    <row r="9" spans="1:24">
      <c r="A9" s="14" t="s">
        <v>5</v>
      </c>
      <c r="B9" s="131">
        <v>0.13214028436686678</v>
      </c>
      <c r="C9" s="132">
        <v>0.14640277871151289</v>
      </c>
      <c r="D9" s="133">
        <v>2.7011188228225477E-3</v>
      </c>
      <c r="E9" s="131">
        <v>7.7502390205404226E-2</v>
      </c>
      <c r="F9" s="134">
        <v>0.21823141929474249</v>
      </c>
      <c r="G9" s="91">
        <v>-0.28652958865735695</v>
      </c>
      <c r="H9" s="91">
        <v>0.46879426849786526</v>
      </c>
      <c r="I9" s="91">
        <v>-0.87297485056371527</v>
      </c>
      <c r="J9" s="91">
        <v>1</v>
      </c>
      <c r="K9" s="91">
        <v>-2.3971079155107097E-2</v>
      </c>
      <c r="L9" s="91">
        <v>-0.42681275140874142</v>
      </c>
      <c r="M9" s="91">
        <v>0.99999999999999867</v>
      </c>
      <c r="N9" s="91" t="s">
        <v>141</v>
      </c>
      <c r="O9" s="91"/>
      <c r="P9" s="92"/>
      <c r="R9" s="126">
        <f t="shared" si="0"/>
        <v>2.7011188228225477E-3</v>
      </c>
      <c r="S9" s="126">
        <f t="shared" si="1"/>
        <v>0.13214028436686678</v>
      </c>
      <c r="T9" s="126">
        <f t="shared" si="2"/>
        <v>0.21823141929474249</v>
      </c>
      <c r="V9" s="28">
        <f t="shared" si="3"/>
        <v>2.7011188228225477E-3</v>
      </c>
      <c r="W9" s="28">
        <f t="shared" si="4"/>
        <v>0.12943916554404425</v>
      </c>
      <c r="X9" s="28">
        <f t="shared" si="4"/>
        <v>8.6091134927875707E-2</v>
      </c>
    </row>
    <row r="10" spans="1:24">
      <c r="A10" s="14" t="s">
        <v>178</v>
      </c>
      <c r="B10" s="131">
        <v>0.21402229041306023</v>
      </c>
      <c r="C10" s="132">
        <v>0.1756691610136398</v>
      </c>
      <c r="D10" s="133">
        <v>1.6927671653624896E-2</v>
      </c>
      <c r="E10" s="131">
        <v>0.22862672808984102</v>
      </c>
      <c r="F10" s="134">
        <v>0.36655996905412458</v>
      </c>
      <c r="G10" s="91">
        <v>1</v>
      </c>
      <c r="H10" s="91">
        <v>0.57615875327825106</v>
      </c>
      <c r="I10" s="91">
        <v>0.36303887679713981</v>
      </c>
      <c r="J10" s="91">
        <v>-2.2293216442621493E-2</v>
      </c>
      <c r="K10" s="91">
        <v>1.40945100968952E-2</v>
      </c>
      <c r="L10" s="91">
        <v>-0.35619737117675165</v>
      </c>
      <c r="M10" s="91">
        <v>0.99999999999999889</v>
      </c>
      <c r="N10" s="91" t="s">
        <v>141</v>
      </c>
      <c r="O10" s="91"/>
      <c r="P10" s="92"/>
      <c r="R10" s="126">
        <f t="shared" si="0"/>
        <v>1.6927671653624896E-2</v>
      </c>
      <c r="S10" s="126">
        <f t="shared" si="1"/>
        <v>0.21402229041306023</v>
      </c>
      <c r="T10" s="126">
        <f t="shared" si="2"/>
        <v>0.36655996905412458</v>
      </c>
      <c r="V10" s="28">
        <f t="shared" si="3"/>
        <v>1.6927671653624896E-2</v>
      </c>
      <c r="W10" s="28">
        <f t="shared" si="4"/>
        <v>0.19709461875943535</v>
      </c>
      <c r="X10" s="28">
        <f t="shared" si="4"/>
        <v>0.15253767864106435</v>
      </c>
    </row>
    <row r="11" spans="1:24">
      <c r="A11" s="14" t="s">
        <v>6</v>
      </c>
      <c r="B11" s="131">
        <v>0.10707371459362022</v>
      </c>
      <c r="C11" s="132">
        <v>0.12982949734180868</v>
      </c>
      <c r="D11" s="133">
        <v>3.6970441712472061E-4</v>
      </c>
      <c r="E11" s="131">
        <v>3.3242920866013333E-2</v>
      </c>
      <c r="F11" s="134">
        <v>0.19356844368502696</v>
      </c>
      <c r="G11" s="91">
        <v>-0.28097134339181196</v>
      </c>
      <c r="H11" s="91">
        <v>-0.36907104639203753</v>
      </c>
      <c r="I11" s="91">
        <v>-6.0322368848951761E-3</v>
      </c>
      <c r="J11" s="91">
        <v>-0.68141288441421755</v>
      </c>
      <c r="K11" s="91">
        <v>1</v>
      </c>
      <c r="L11" s="91">
        <v>-0.63827703200935804</v>
      </c>
      <c r="M11" s="91">
        <v>0.99999999999999878</v>
      </c>
      <c r="N11" s="91" t="s">
        <v>141</v>
      </c>
      <c r="O11" s="91"/>
      <c r="P11" s="92"/>
      <c r="R11" s="126">
        <f t="shared" si="0"/>
        <v>3.6970441712472061E-4</v>
      </c>
      <c r="S11" s="126">
        <f t="shared" si="1"/>
        <v>0.10707371459362022</v>
      </c>
      <c r="T11" s="126">
        <f t="shared" si="2"/>
        <v>0.19356844368502696</v>
      </c>
      <c r="V11" s="28">
        <f t="shared" si="3"/>
        <v>3.6970441712472061E-4</v>
      </c>
      <c r="W11" s="28">
        <f t="shared" si="4"/>
        <v>0.1067040101764955</v>
      </c>
      <c r="X11" s="28">
        <f t="shared" si="4"/>
        <v>8.6494729091406736E-2</v>
      </c>
    </row>
    <row r="12" spans="1:24">
      <c r="A12" s="14"/>
      <c r="B12" s="131"/>
      <c r="C12" s="132"/>
      <c r="D12" s="133"/>
      <c r="E12" s="131"/>
      <c r="F12" s="134"/>
      <c r="G12" s="91"/>
      <c r="H12" s="91"/>
      <c r="I12" s="91"/>
      <c r="J12" s="91"/>
      <c r="K12" s="91"/>
      <c r="L12" s="91"/>
      <c r="M12" s="91"/>
      <c r="N12" s="91"/>
      <c r="O12" s="91"/>
      <c r="P12" s="92"/>
    </row>
    <row r="13" spans="1:24">
      <c r="A13" s="15"/>
      <c r="B13" s="135"/>
      <c r="C13" s="136"/>
      <c r="D13" s="137"/>
      <c r="E13" s="135"/>
      <c r="F13" s="138"/>
      <c r="G13" s="93"/>
      <c r="H13" s="93"/>
      <c r="I13" s="93"/>
      <c r="J13" s="93"/>
      <c r="K13" s="93"/>
      <c r="L13" s="93"/>
      <c r="M13" s="93"/>
      <c r="N13" s="93"/>
      <c r="O13" s="93"/>
      <c r="P13" s="127"/>
    </row>
    <row r="15" spans="1:24">
      <c r="A15" s="2" t="s">
        <v>125</v>
      </c>
      <c r="D15" s="303" t="s">
        <v>136</v>
      </c>
      <c r="E15" s="312"/>
      <c r="F15" s="304"/>
      <c r="G15" s="303" t="s">
        <v>137</v>
      </c>
      <c r="H15" s="312"/>
      <c r="I15" s="312"/>
      <c r="J15" s="312"/>
      <c r="K15" s="312"/>
      <c r="L15" s="312"/>
      <c r="M15" s="312"/>
      <c r="N15" s="312"/>
      <c r="O15" s="312"/>
      <c r="P15" s="304"/>
      <c r="V15" s="2" t="s">
        <v>142</v>
      </c>
    </row>
    <row r="16" spans="1:24">
      <c r="A16" s="88" t="str">
        <f>Parameters!A41</f>
        <v>Groei recessie</v>
      </c>
      <c r="B16" s="89" t="s">
        <v>116</v>
      </c>
      <c r="C16" s="17" t="s">
        <v>117</v>
      </c>
      <c r="D16" s="114">
        <v>0.25</v>
      </c>
      <c r="E16" s="113">
        <v>0.5</v>
      </c>
      <c r="F16" s="115">
        <v>0.75</v>
      </c>
      <c r="G16" s="128">
        <v>0.3400281057892699</v>
      </c>
      <c r="H16" s="129">
        <v>0.28270562484015993</v>
      </c>
      <c r="I16" s="128">
        <v>0.20906280436440672</v>
      </c>
      <c r="J16" s="128">
        <v>0.14251377878333593</v>
      </c>
      <c r="K16" s="128">
        <v>1.6621021326612695E-2</v>
      </c>
      <c r="L16" s="128">
        <v>9.0686648962156058E-3</v>
      </c>
      <c r="M16" s="128">
        <v>0</v>
      </c>
      <c r="N16" s="128" t="s">
        <v>141</v>
      </c>
      <c r="O16" s="117"/>
      <c r="P16" s="119"/>
    </row>
    <row r="17" spans="1:25">
      <c r="A17" s="14" t="s">
        <v>73</v>
      </c>
      <c r="B17" s="131">
        <v>0</v>
      </c>
      <c r="C17" s="132">
        <v>0</v>
      </c>
      <c r="D17" s="133">
        <v>0</v>
      </c>
      <c r="E17" s="131">
        <v>0</v>
      </c>
      <c r="F17" s="134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 t="s">
        <v>141</v>
      </c>
      <c r="O17" s="83"/>
      <c r="P17" s="84"/>
      <c r="Y17" s="21">
        <v>0.6</v>
      </c>
    </row>
    <row r="18" spans="1:25">
      <c r="A18" s="14" t="s">
        <v>4</v>
      </c>
      <c r="B18" s="131">
        <v>0.2156166871353298</v>
      </c>
      <c r="C18" s="132">
        <v>0.17958955440064961</v>
      </c>
      <c r="D18" s="133">
        <v>9.2304748735476741E-3</v>
      </c>
      <c r="E18" s="131">
        <v>0.21761958531177403</v>
      </c>
      <c r="F18" s="134">
        <v>0.38471865202643435</v>
      </c>
      <c r="G18" s="91">
        <v>1</v>
      </c>
      <c r="H18" s="91">
        <v>-0.41269848763959649</v>
      </c>
      <c r="I18" s="91">
        <v>0.10882740242329665</v>
      </c>
      <c r="J18" s="91">
        <v>-0.55381810319581604</v>
      </c>
      <c r="K18" s="91">
        <v>-0.25149642171144343</v>
      </c>
      <c r="L18" s="91">
        <v>-0.16757913585799103</v>
      </c>
      <c r="M18" s="91">
        <v>0.999999999999994</v>
      </c>
      <c r="N18" s="91" t="s">
        <v>141</v>
      </c>
      <c r="O18" s="83"/>
      <c r="P18" s="84"/>
      <c r="R18" s="126">
        <f>D18</f>
        <v>9.2304748735476741E-3</v>
      </c>
      <c r="S18" s="126">
        <f>B18</f>
        <v>0.2156166871353298</v>
      </c>
      <c r="T18" s="126">
        <f>F18</f>
        <v>0.38471865202643435</v>
      </c>
      <c r="V18" s="28">
        <f>R18</f>
        <v>9.2304748735476741E-3</v>
      </c>
      <c r="W18" s="28">
        <f>S18-R18</f>
        <v>0.20638621226178214</v>
      </c>
      <c r="X18" s="28">
        <f>T18-S18</f>
        <v>0.16910196489110454</v>
      </c>
    </row>
    <row r="19" spans="1:25">
      <c r="A19" s="14" t="s">
        <v>175</v>
      </c>
      <c r="B19" s="131">
        <v>0.17876351482146119</v>
      </c>
      <c r="C19" s="132">
        <v>0.1707391599161753</v>
      </c>
      <c r="D19" s="133">
        <v>1.1503537406482663E-2</v>
      </c>
      <c r="E19" s="131">
        <v>0.13790828987345791</v>
      </c>
      <c r="F19" s="134">
        <v>0.33226499821548866</v>
      </c>
      <c r="G19" s="91">
        <v>-1.8974441627341986E-3</v>
      </c>
      <c r="H19" s="91">
        <v>1</v>
      </c>
      <c r="I19" s="91">
        <v>-0.53399474534216129</v>
      </c>
      <c r="J19" s="91">
        <v>-0.33500049650167579</v>
      </c>
      <c r="K19" s="91">
        <v>-0.18350995055335206</v>
      </c>
      <c r="L19" s="91">
        <v>-0.15068126174915186</v>
      </c>
      <c r="M19" s="91">
        <v>0.99999999999999467</v>
      </c>
      <c r="N19" s="91" t="s">
        <v>141</v>
      </c>
      <c r="O19" s="83"/>
      <c r="P19" s="84"/>
      <c r="R19" s="126">
        <f t="shared" ref="R19:R24" si="5">D19</f>
        <v>1.1503537406482663E-2</v>
      </c>
      <c r="S19" s="126">
        <f t="shared" ref="S19:S24" si="6">B19</f>
        <v>0.17876351482146119</v>
      </c>
      <c r="T19" s="126">
        <f t="shared" ref="T19:T24" si="7">F19</f>
        <v>0.33226499821548866</v>
      </c>
      <c r="V19" s="28">
        <f t="shared" ref="V19:V24" si="8">R19</f>
        <v>1.1503537406482663E-2</v>
      </c>
      <c r="W19" s="28">
        <f t="shared" ref="W19:X24" si="9">S19-R19</f>
        <v>0.16725997741497853</v>
      </c>
      <c r="X19" s="28">
        <f t="shared" si="9"/>
        <v>0.15350148339402747</v>
      </c>
    </row>
    <row r="20" spans="1:25">
      <c r="A20" s="14" t="s">
        <v>176</v>
      </c>
      <c r="B20" s="131">
        <v>0.15731344505130232</v>
      </c>
      <c r="C20" s="132">
        <v>0.14944376462065978</v>
      </c>
      <c r="D20" s="133">
        <v>1.6499888146964535E-2</v>
      </c>
      <c r="E20" s="131">
        <v>0.11615018979294255</v>
      </c>
      <c r="F20" s="134">
        <v>0.27989844037431916</v>
      </c>
      <c r="G20" s="91">
        <v>-3.3910086132389071E-2</v>
      </c>
      <c r="H20" s="91">
        <v>0.33249931557188234</v>
      </c>
      <c r="I20" s="91">
        <v>1</v>
      </c>
      <c r="J20" s="91">
        <v>0.65951324368265218</v>
      </c>
      <c r="K20" s="91">
        <v>-0.15241108880587428</v>
      </c>
      <c r="L20" s="91">
        <v>-0.18826647818720157</v>
      </c>
      <c r="M20" s="91">
        <v>0.99999999999999445</v>
      </c>
      <c r="N20" s="91" t="s">
        <v>141</v>
      </c>
      <c r="O20" s="83"/>
      <c r="P20" s="84"/>
      <c r="R20" s="126">
        <f t="shared" si="5"/>
        <v>1.6499888146964535E-2</v>
      </c>
      <c r="S20" s="126">
        <f t="shared" si="6"/>
        <v>0.15731344505130232</v>
      </c>
      <c r="T20" s="126">
        <f t="shared" si="7"/>
        <v>0.27989844037431916</v>
      </c>
      <c r="V20" s="28">
        <f t="shared" si="8"/>
        <v>1.6499888146964535E-2</v>
      </c>
      <c r="W20" s="28">
        <f t="shared" si="9"/>
        <v>0.14081355690433778</v>
      </c>
      <c r="X20" s="28">
        <f t="shared" si="9"/>
        <v>0.12258499532301684</v>
      </c>
    </row>
    <row r="21" spans="1:25">
      <c r="A21" s="14" t="s">
        <v>177</v>
      </c>
      <c r="B21" s="131">
        <v>2.7675365309991849E-2</v>
      </c>
      <c r="C21" s="132">
        <v>4.5957361357020894E-2</v>
      </c>
      <c r="D21" s="133">
        <v>8.6861677630364399E-5</v>
      </c>
      <c r="E21" s="131">
        <v>3.1669825331754795E-3</v>
      </c>
      <c r="F21" s="134">
        <v>3.540117638989531E-2</v>
      </c>
      <c r="G21" s="91">
        <v>-1.4154625843557891E-2</v>
      </c>
      <c r="H21" s="91">
        <v>-7.4936245886725955E-2</v>
      </c>
      <c r="I21" s="91">
        <v>-3.4394218090253691E-2</v>
      </c>
      <c r="J21" s="91">
        <v>-7.775402783148376E-2</v>
      </c>
      <c r="K21" s="91">
        <v>1</v>
      </c>
      <c r="L21" s="91">
        <v>-0.22612312747103022</v>
      </c>
      <c r="M21" s="91">
        <v>0.99999999999999667</v>
      </c>
      <c r="N21" s="91" t="s">
        <v>141</v>
      </c>
      <c r="O21" s="83"/>
      <c r="P21" s="84"/>
      <c r="R21" s="126">
        <f t="shared" si="5"/>
        <v>8.6861677630364399E-5</v>
      </c>
      <c r="S21" s="126">
        <f t="shared" si="6"/>
        <v>2.7675365309991849E-2</v>
      </c>
      <c r="T21" s="126">
        <f t="shared" si="7"/>
        <v>3.540117638989531E-2</v>
      </c>
      <c r="V21" s="28">
        <f t="shared" si="8"/>
        <v>8.6861677630364399E-5</v>
      </c>
      <c r="W21" s="28">
        <f t="shared" si="9"/>
        <v>2.7588503632361483E-2</v>
      </c>
      <c r="X21" s="28">
        <f t="shared" si="9"/>
        <v>7.7258110799034614E-3</v>
      </c>
    </row>
    <row r="22" spans="1:25">
      <c r="A22" s="14" t="s">
        <v>5</v>
      </c>
      <c r="B22" s="131">
        <v>0.27270437807108272</v>
      </c>
      <c r="C22" s="132">
        <v>0.17404674457659822</v>
      </c>
      <c r="D22" s="133">
        <v>9.0258851779742605E-2</v>
      </c>
      <c r="E22" s="131">
        <v>0.30882611040467156</v>
      </c>
      <c r="F22" s="134">
        <v>0.43445861514977258</v>
      </c>
      <c r="G22" s="91">
        <v>-0.92375963654556481</v>
      </c>
      <c r="H22" s="91">
        <v>-0.44580796068649914</v>
      </c>
      <c r="I22" s="91">
        <v>0.10719989857492956</v>
      </c>
      <c r="J22" s="91">
        <v>-0.65614054248742149</v>
      </c>
      <c r="K22" s="91">
        <v>-0.27443004341656163</v>
      </c>
      <c r="L22" s="91">
        <v>-0.16148730052999777</v>
      </c>
      <c r="M22" s="91">
        <v>0.99999999999999423</v>
      </c>
      <c r="N22" s="91" t="s">
        <v>141</v>
      </c>
      <c r="O22" s="83"/>
      <c r="P22" s="84"/>
      <c r="R22" s="126">
        <f t="shared" si="5"/>
        <v>9.0258851779742605E-2</v>
      </c>
      <c r="S22" s="126">
        <f t="shared" si="6"/>
        <v>0.27270437807108272</v>
      </c>
      <c r="T22" s="126">
        <f t="shared" si="7"/>
        <v>0.43445861514977258</v>
      </c>
      <c r="V22" s="28">
        <f t="shared" si="8"/>
        <v>9.0258851779742605E-2</v>
      </c>
      <c r="W22" s="28">
        <f t="shared" si="9"/>
        <v>0.18244552629134012</v>
      </c>
      <c r="X22" s="28">
        <f t="shared" si="9"/>
        <v>0.16175423707868986</v>
      </c>
    </row>
    <row r="23" spans="1:25">
      <c r="A23" s="14" t="s">
        <v>178</v>
      </c>
      <c r="B23" s="131">
        <v>0.13034525885416093</v>
      </c>
      <c r="C23" s="132">
        <v>0.14364477618654503</v>
      </c>
      <c r="D23" s="133">
        <v>5.8456281939526394E-4</v>
      </c>
      <c r="E23" s="131">
        <v>7.1963877008799235E-2</v>
      </c>
      <c r="F23" s="134">
        <v>0.26643294413598106</v>
      </c>
      <c r="G23" s="91">
        <v>-3.1478738918734886E-2</v>
      </c>
      <c r="H23" s="91">
        <v>-0.41075583928648768</v>
      </c>
      <c r="I23" s="91">
        <v>-0.70823720935491485</v>
      </c>
      <c r="J23" s="91">
        <v>1</v>
      </c>
      <c r="K23" s="91">
        <v>-0.20026689932427746</v>
      </c>
      <c r="L23" s="91">
        <v>-0.10586269620463284</v>
      </c>
      <c r="M23" s="91">
        <v>0.99999999999999445</v>
      </c>
      <c r="N23" s="91" t="s">
        <v>141</v>
      </c>
      <c r="O23" s="83"/>
      <c r="P23" s="84"/>
      <c r="R23" s="126">
        <f t="shared" si="5"/>
        <v>5.8456281939526394E-4</v>
      </c>
      <c r="S23" s="126">
        <f t="shared" si="6"/>
        <v>0.13034525885416093</v>
      </c>
      <c r="T23" s="126">
        <f t="shared" si="7"/>
        <v>0.26643294413598106</v>
      </c>
      <c r="V23" s="28">
        <f t="shared" si="8"/>
        <v>5.8456281939526394E-4</v>
      </c>
      <c r="W23" s="28">
        <f t="shared" si="9"/>
        <v>0.12976069603476567</v>
      </c>
      <c r="X23" s="28">
        <f t="shared" si="9"/>
        <v>0.13608768528182014</v>
      </c>
    </row>
    <row r="24" spans="1:25">
      <c r="A24" s="14" t="s">
        <v>6</v>
      </c>
      <c r="B24" s="131">
        <v>1.75813507566711E-2</v>
      </c>
      <c r="C24" s="132">
        <v>3.3849690036412292E-2</v>
      </c>
      <c r="D24" s="133">
        <v>1.0882771491673492E-5</v>
      </c>
      <c r="E24" s="131">
        <v>1.7662179855019011E-3</v>
      </c>
      <c r="F24" s="134">
        <v>1.6038760736565731E-2</v>
      </c>
      <c r="G24" s="91">
        <v>5.2005316029805253E-3</v>
      </c>
      <c r="H24" s="91">
        <v>1.1699217927426564E-2</v>
      </c>
      <c r="I24" s="91">
        <v>6.0598871789103413E-2</v>
      </c>
      <c r="J24" s="91">
        <v>-3.6800073666254686E-2</v>
      </c>
      <c r="K24" s="91">
        <v>6.2114403811506562E-2</v>
      </c>
      <c r="L24" s="91">
        <v>1</v>
      </c>
      <c r="M24" s="91">
        <v>1</v>
      </c>
      <c r="N24" s="91" t="s">
        <v>141</v>
      </c>
      <c r="O24" s="83"/>
      <c r="P24" s="84"/>
      <c r="R24" s="126">
        <f t="shared" si="5"/>
        <v>1.0882771491673492E-5</v>
      </c>
      <c r="S24" s="126">
        <f t="shared" si="6"/>
        <v>1.75813507566711E-2</v>
      </c>
      <c r="T24" s="126">
        <f t="shared" si="7"/>
        <v>1.6038760736565731E-2</v>
      </c>
      <c r="V24" s="28">
        <f t="shared" si="8"/>
        <v>1.0882771491673492E-5</v>
      </c>
      <c r="W24" s="28">
        <f t="shared" si="9"/>
        <v>1.7570467985179427E-2</v>
      </c>
      <c r="X24" s="28">
        <f t="shared" si="9"/>
        <v>-1.5425900201053687E-3</v>
      </c>
    </row>
    <row r="25" spans="1:25">
      <c r="A25" s="14"/>
      <c r="B25" s="131"/>
      <c r="C25" s="132"/>
      <c r="D25" s="133"/>
      <c r="E25" s="131"/>
      <c r="F25" s="134"/>
      <c r="G25" s="83"/>
      <c r="H25" s="83"/>
      <c r="I25" s="83"/>
      <c r="J25" s="83"/>
      <c r="K25" s="83"/>
      <c r="L25" s="83"/>
      <c r="M25" s="83"/>
      <c r="N25" s="83"/>
      <c r="O25" s="83"/>
      <c r="P25" s="84"/>
    </row>
    <row r="26" spans="1:25">
      <c r="A26" s="15"/>
      <c r="B26" s="135"/>
      <c r="C26" s="136"/>
      <c r="D26" s="137"/>
      <c r="E26" s="135"/>
      <c r="F26" s="138"/>
      <c r="G26" s="86"/>
      <c r="H26" s="86"/>
      <c r="I26" s="86"/>
      <c r="J26" s="86"/>
      <c r="K26" s="86"/>
      <c r="L26" s="86"/>
      <c r="M26" s="86"/>
      <c r="N26" s="86"/>
      <c r="O26" s="86"/>
      <c r="P26" s="87"/>
    </row>
    <row r="27" spans="1:25">
      <c r="A27" s="22"/>
      <c r="B27" s="131"/>
      <c r="C27" s="131"/>
      <c r="D27" s="131"/>
      <c r="E27" s="13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</row>
    <row r="28" spans="1:25">
      <c r="D28" s="303" t="s">
        <v>136</v>
      </c>
      <c r="E28" s="312"/>
      <c r="F28" s="304"/>
      <c r="G28" s="303" t="s">
        <v>137</v>
      </c>
      <c r="H28" s="312"/>
      <c r="I28" s="312"/>
      <c r="J28" s="312"/>
      <c r="K28" s="312"/>
      <c r="L28" s="312"/>
      <c r="M28" s="312"/>
      <c r="N28" s="312"/>
      <c r="O28" s="312"/>
      <c r="P28" s="304"/>
    </row>
    <row r="29" spans="1:25">
      <c r="A29" s="88" t="str">
        <f>Parameters!A42</f>
        <v>Inflatie is een fiscaal verschijnsel</v>
      </c>
      <c r="B29" s="89" t="s">
        <v>116</v>
      </c>
      <c r="C29" s="17" t="s">
        <v>117</v>
      </c>
      <c r="D29" s="114">
        <v>0.25</v>
      </c>
      <c r="E29" s="113">
        <v>0.5</v>
      </c>
      <c r="F29" s="115">
        <v>0.75</v>
      </c>
      <c r="G29" s="117">
        <v>0.33952120238396566</v>
      </c>
      <c r="H29" s="118">
        <v>0.2064344440083592</v>
      </c>
      <c r="I29" s="117">
        <v>0.17681454281338338</v>
      </c>
      <c r="J29" s="117">
        <v>0.15933131529150013</v>
      </c>
      <c r="K29" s="117">
        <v>8.8381791518844732E-2</v>
      </c>
      <c r="L29" s="117">
        <v>2.9516703983948789E-2</v>
      </c>
      <c r="M29" s="117">
        <v>0</v>
      </c>
      <c r="N29" s="128" t="s">
        <v>141</v>
      </c>
      <c r="O29" s="117"/>
      <c r="P29" s="119"/>
    </row>
    <row r="30" spans="1:25">
      <c r="A30" s="14" t="s">
        <v>73</v>
      </c>
      <c r="B30" s="131">
        <v>0</v>
      </c>
      <c r="C30" s="132">
        <v>0</v>
      </c>
      <c r="D30" s="133">
        <v>0</v>
      </c>
      <c r="E30" s="131">
        <v>0</v>
      </c>
      <c r="F30" s="134">
        <v>0</v>
      </c>
      <c r="G30" s="83">
        <v>0</v>
      </c>
      <c r="H30" s="83">
        <v>0</v>
      </c>
      <c r="I30" s="83">
        <v>0</v>
      </c>
      <c r="J30" s="83">
        <v>0</v>
      </c>
      <c r="K30" s="83">
        <v>0</v>
      </c>
      <c r="L30" s="83">
        <v>0</v>
      </c>
      <c r="M30" s="83">
        <v>0</v>
      </c>
      <c r="N30" s="91" t="s">
        <v>141</v>
      </c>
      <c r="O30" s="83"/>
      <c r="P30" s="84"/>
      <c r="Y30" s="21">
        <v>0.1</v>
      </c>
    </row>
    <row r="31" spans="1:25">
      <c r="A31" s="14" t="s">
        <v>4</v>
      </c>
      <c r="B31" s="131">
        <v>4.6357434205310362E-2</v>
      </c>
      <c r="C31" s="132">
        <v>5.7574456641022266E-2</v>
      </c>
      <c r="D31" s="133">
        <v>2.2426394088036041E-3</v>
      </c>
      <c r="E31" s="131">
        <v>2.1883637493433743E-2</v>
      </c>
      <c r="F31" s="134">
        <v>7.0052537857419273E-2</v>
      </c>
      <c r="G31" s="83">
        <v>8.6807798970517339E-2</v>
      </c>
      <c r="H31" s="83">
        <v>2.3264114324143374E-2</v>
      </c>
      <c r="I31" s="83">
        <v>5.6761232277301787E-2</v>
      </c>
      <c r="J31" s="83">
        <v>-1.9464655502393825E-2</v>
      </c>
      <c r="K31" s="83">
        <v>0.22437625088926927</v>
      </c>
      <c r="L31" s="83">
        <v>1</v>
      </c>
      <c r="M31" s="83">
        <v>1</v>
      </c>
      <c r="N31" s="91" t="s">
        <v>141</v>
      </c>
      <c r="O31" s="83"/>
      <c r="P31" s="84"/>
      <c r="R31" s="126">
        <f>D31</f>
        <v>2.2426394088036041E-3</v>
      </c>
      <c r="S31" s="126">
        <f>B31</f>
        <v>4.6357434205310362E-2</v>
      </c>
      <c r="T31" s="126">
        <f>F31</f>
        <v>7.0052537857419273E-2</v>
      </c>
      <c r="V31" s="28">
        <f>R31</f>
        <v>2.2426394088036041E-3</v>
      </c>
      <c r="W31" s="28">
        <f>S31-R31</f>
        <v>4.4114794796506755E-2</v>
      </c>
      <c r="X31" s="28">
        <f>T31-S31</f>
        <v>2.3695103652108911E-2</v>
      </c>
    </row>
    <row r="32" spans="1:25">
      <c r="A32" s="14" t="s">
        <v>175</v>
      </c>
      <c r="B32" s="131">
        <v>0.21072459101340008</v>
      </c>
      <c r="C32" s="132">
        <v>0.15865011073174526</v>
      </c>
      <c r="D32" s="133">
        <v>4.1719582170407984E-2</v>
      </c>
      <c r="E32" s="131">
        <v>0.2326487906124417</v>
      </c>
      <c r="F32" s="134">
        <v>0.34428581941729897</v>
      </c>
      <c r="G32" s="83">
        <v>-0.85447213429839164</v>
      </c>
      <c r="H32" s="83">
        <v>1</v>
      </c>
      <c r="I32" s="83">
        <v>-0.53653131423616052</v>
      </c>
      <c r="J32" s="83">
        <v>-0.21485061611130943</v>
      </c>
      <c r="K32" s="83">
        <v>4.911299176306571E-2</v>
      </c>
      <c r="L32" s="83">
        <v>-0.1444727860852052</v>
      </c>
      <c r="M32" s="83">
        <v>1</v>
      </c>
      <c r="N32" s="91" t="s">
        <v>141</v>
      </c>
      <c r="O32" s="83"/>
      <c r="P32" s="84"/>
      <c r="R32" s="126">
        <f t="shared" ref="R32:R37" si="10">D32</f>
        <v>4.1719582170407984E-2</v>
      </c>
      <c r="S32" s="126">
        <f t="shared" ref="S32:S37" si="11">B32</f>
        <v>0.21072459101340008</v>
      </c>
      <c r="T32" s="126">
        <f t="shared" ref="T32:T37" si="12">F32</f>
        <v>0.34428581941729897</v>
      </c>
      <c r="V32" s="28">
        <f t="shared" ref="V32:V37" si="13">R32</f>
        <v>4.1719582170407984E-2</v>
      </c>
      <c r="W32" s="28">
        <f t="shared" ref="W32:X37" si="14">S32-R32</f>
        <v>0.16900500884299208</v>
      </c>
      <c r="X32" s="28">
        <f t="shared" si="14"/>
        <v>0.13356122840389889</v>
      </c>
    </row>
    <row r="33" spans="1:25">
      <c r="A33" s="14" t="s">
        <v>176</v>
      </c>
      <c r="B33" s="131">
        <v>0.22949824995644494</v>
      </c>
      <c r="C33" s="132">
        <v>0.15548516551521258</v>
      </c>
      <c r="D33" s="133">
        <v>0.11626823026444835</v>
      </c>
      <c r="E33" s="131">
        <v>0.19923286831994888</v>
      </c>
      <c r="F33" s="134">
        <v>0.37500082420876268</v>
      </c>
      <c r="G33" s="83">
        <v>1</v>
      </c>
      <c r="H33" s="83">
        <v>0.24881027014654575</v>
      </c>
      <c r="I33" s="83">
        <v>-0.84210775621693434</v>
      </c>
      <c r="J33" s="83">
        <v>0.18376761885545947</v>
      </c>
      <c r="K33" s="83">
        <v>-0.63995583734324912</v>
      </c>
      <c r="L33" s="83">
        <v>-0.12478746390223787</v>
      </c>
      <c r="M33" s="83">
        <v>0.99999999999999956</v>
      </c>
      <c r="N33" s="91" t="s">
        <v>141</v>
      </c>
      <c r="O33" s="83"/>
      <c r="P33" s="84"/>
      <c r="R33" s="126">
        <f t="shared" si="10"/>
        <v>0.11626823026444835</v>
      </c>
      <c r="S33" s="126">
        <f t="shared" si="11"/>
        <v>0.22949824995644494</v>
      </c>
      <c r="T33" s="126">
        <f t="shared" si="12"/>
        <v>0.37500082420876268</v>
      </c>
      <c r="V33" s="28">
        <f t="shared" si="13"/>
        <v>0.11626823026444835</v>
      </c>
      <c r="W33" s="28">
        <f t="shared" si="14"/>
        <v>0.11323001969199659</v>
      </c>
      <c r="X33" s="28">
        <f t="shared" si="14"/>
        <v>0.14550257425231775</v>
      </c>
    </row>
    <row r="34" spans="1:25">
      <c r="A34" s="14" t="s">
        <v>177</v>
      </c>
      <c r="B34" s="131">
        <v>0.14468160602197361</v>
      </c>
      <c r="C34" s="132">
        <v>0.13736959197652121</v>
      </c>
      <c r="D34" s="133">
        <v>1.9448725186428137E-2</v>
      </c>
      <c r="E34" s="131">
        <v>0.11348583804491114</v>
      </c>
      <c r="F34" s="134">
        <v>0.24882730621242322</v>
      </c>
      <c r="G34" s="83">
        <v>-0.63976172762114669</v>
      </c>
      <c r="H34" s="83">
        <v>-0.86748822543881821</v>
      </c>
      <c r="I34" s="83">
        <v>6.1735040377464884E-2</v>
      </c>
      <c r="J34" s="83">
        <v>-0.19117768684321343</v>
      </c>
      <c r="K34" s="83">
        <v>-0.88879709318440447</v>
      </c>
      <c r="L34" s="83">
        <v>-3.2795622531236156E-2</v>
      </c>
      <c r="M34" s="83">
        <v>0.99999999999999989</v>
      </c>
      <c r="N34" s="91" t="s">
        <v>141</v>
      </c>
      <c r="O34" s="83"/>
      <c r="P34" s="84"/>
      <c r="R34" s="126">
        <f t="shared" si="10"/>
        <v>1.9448725186428137E-2</v>
      </c>
      <c r="S34" s="126">
        <f t="shared" si="11"/>
        <v>0.14468160602197361</v>
      </c>
      <c r="T34" s="126">
        <f t="shared" si="12"/>
        <v>0.24882730621242322</v>
      </c>
      <c r="V34" s="28">
        <f t="shared" si="13"/>
        <v>1.9448725186428137E-2</v>
      </c>
      <c r="W34" s="28">
        <f t="shared" si="14"/>
        <v>0.12523288083554546</v>
      </c>
      <c r="X34" s="28">
        <f t="shared" si="14"/>
        <v>0.10414570019044961</v>
      </c>
    </row>
    <row r="35" spans="1:25">
      <c r="A35" s="14" t="s">
        <v>5</v>
      </c>
      <c r="B35" s="131">
        <v>0.11403623358493757</v>
      </c>
      <c r="C35" s="132">
        <v>0.12869848433346376</v>
      </c>
      <c r="D35" s="133">
        <v>7.2758087120193844E-3</v>
      </c>
      <c r="E35" s="131">
        <v>5.7002958962332637E-2</v>
      </c>
      <c r="F35" s="134">
        <v>0.19897462998636717</v>
      </c>
      <c r="G35" s="83">
        <v>-7.1194059252830802E-2</v>
      </c>
      <c r="H35" s="83">
        <v>0.17602492232711781</v>
      </c>
      <c r="I35" s="83">
        <v>0.98518986378915963</v>
      </c>
      <c r="J35" s="83">
        <v>1</v>
      </c>
      <c r="K35" s="83">
        <v>4.3462543544097031E-2</v>
      </c>
      <c r="L35" s="83">
        <v>-0.18272584710278739</v>
      </c>
      <c r="M35" s="83">
        <v>0.99999999999999922</v>
      </c>
      <c r="N35" s="91" t="s">
        <v>141</v>
      </c>
      <c r="O35" s="83"/>
      <c r="P35" s="84"/>
      <c r="R35" s="126">
        <f t="shared" si="10"/>
        <v>7.2758087120193844E-3</v>
      </c>
      <c r="S35" s="126">
        <f t="shared" si="11"/>
        <v>0.11403623358493757</v>
      </c>
      <c r="T35" s="126">
        <f t="shared" si="12"/>
        <v>0.19897462998636717</v>
      </c>
      <c r="V35" s="28">
        <f t="shared" si="13"/>
        <v>7.2758087120193844E-3</v>
      </c>
      <c r="W35" s="28">
        <f t="shared" si="14"/>
        <v>0.10676042487291819</v>
      </c>
      <c r="X35" s="28">
        <f t="shared" si="14"/>
        <v>8.4938396401429597E-2</v>
      </c>
    </row>
    <row r="36" spans="1:25">
      <c r="A36" s="14" t="s">
        <v>178</v>
      </c>
      <c r="B36" s="131">
        <v>0.11720035837260129</v>
      </c>
      <c r="C36" s="132">
        <v>0.11486410424103929</v>
      </c>
      <c r="D36" s="133">
        <v>7.9842484799504138E-3</v>
      </c>
      <c r="E36" s="131">
        <v>8.9697178413168266E-2</v>
      </c>
      <c r="F36" s="134">
        <v>0.1764975051003369</v>
      </c>
      <c r="G36" s="83">
        <v>-5.6489130050991921E-3</v>
      </c>
      <c r="H36" s="83">
        <v>-0.6988118928779451</v>
      </c>
      <c r="I36" s="83">
        <v>-0.72504706599083024</v>
      </c>
      <c r="J36" s="83">
        <v>0.1011740218743625</v>
      </c>
      <c r="K36" s="83">
        <v>1</v>
      </c>
      <c r="L36" s="83">
        <v>-0.26544358331288614</v>
      </c>
      <c r="M36" s="83">
        <v>0.99999999999999889</v>
      </c>
      <c r="N36" s="91" t="s">
        <v>141</v>
      </c>
      <c r="O36" s="83"/>
      <c r="P36" s="84"/>
      <c r="R36" s="126">
        <f t="shared" si="10"/>
        <v>7.9842484799504138E-3</v>
      </c>
      <c r="S36" s="126">
        <f t="shared" si="11"/>
        <v>0.11720035837260129</v>
      </c>
      <c r="T36" s="126">
        <f t="shared" si="12"/>
        <v>0.1764975051003369</v>
      </c>
      <c r="V36" s="28">
        <f t="shared" si="13"/>
        <v>7.9842484799504138E-3</v>
      </c>
      <c r="W36" s="28">
        <f t="shared" si="14"/>
        <v>0.10921610989265088</v>
      </c>
      <c r="X36" s="28">
        <f t="shared" si="14"/>
        <v>5.9297146727735617E-2</v>
      </c>
    </row>
    <row r="37" spans="1:25">
      <c r="A37" s="14" t="s">
        <v>6</v>
      </c>
      <c r="B37" s="131">
        <v>0.1375015268453316</v>
      </c>
      <c r="C37" s="132">
        <v>0.13444830930366369</v>
      </c>
      <c r="D37" s="133">
        <v>1.6747253085510099E-2</v>
      </c>
      <c r="E37" s="131">
        <v>0.10339809546385013</v>
      </c>
      <c r="F37" s="134">
        <v>0.22748366876109796</v>
      </c>
      <c r="G37" s="83">
        <v>0.48426903520695197</v>
      </c>
      <c r="H37" s="83">
        <v>0.11820081151895553</v>
      </c>
      <c r="I37" s="83">
        <v>1</v>
      </c>
      <c r="J37" s="83">
        <v>-0.85944868227290516</v>
      </c>
      <c r="K37" s="83">
        <v>0.21180114433122252</v>
      </c>
      <c r="L37" s="83">
        <v>-0.24977469706564812</v>
      </c>
      <c r="M37" s="83">
        <v>0.999999999999999</v>
      </c>
      <c r="N37" s="91" t="s">
        <v>141</v>
      </c>
      <c r="O37" s="83"/>
      <c r="P37" s="84"/>
      <c r="R37" s="126">
        <f t="shared" si="10"/>
        <v>1.6747253085510099E-2</v>
      </c>
      <c r="S37" s="126">
        <f t="shared" si="11"/>
        <v>0.1375015268453316</v>
      </c>
      <c r="T37" s="126">
        <f t="shared" si="12"/>
        <v>0.22748366876109796</v>
      </c>
      <c r="V37" s="28">
        <f t="shared" si="13"/>
        <v>1.6747253085510099E-2</v>
      </c>
      <c r="W37" s="28">
        <f t="shared" si="14"/>
        <v>0.12075427375982149</v>
      </c>
      <c r="X37" s="28">
        <f t="shared" si="14"/>
        <v>8.9982141915766367E-2</v>
      </c>
    </row>
    <row r="38" spans="1:25">
      <c r="A38" s="14"/>
      <c r="B38" s="131"/>
      <c r="C38" s="132"/>
      <c r="D38" s="133"/>
      <c r="E38" s="131"/>
      <c r="F38" s="134"/>
      <c r="G38" s="83"/>
      <c r="H38" s="83"/>
      <c r="I38" s="83"/>
      <c r="J38" s="83"/>
      <c r="K38" s="83"/>
      <c r="L38" s="83"/>
      <c r="M38" s="83"/>
      <c r="N38" s="83"/>
      <c r="O38" s="83"/>
      <c r="P38" s="84"/>
    </row>
    <row r="39" spans="1:25">
      <c r="A39" s="15"/>
      <c r="B39" s="135"/>
      <c r="C39" s="136"/>
      <c r="D39" s="137"/>
      <c r="E39" s="135"/>
      <c r="F39" s="138"/>
      <c r="G39" s="86"/>
      <c r="H39" s="86"/>
      <c r="I39" s="86"/>
      <c r="J39" s="86"/>
      <c r="K39" s="86"/>
      <c r="L39" s="86"/>
      <c r="M39" s="86"/>
      <c r="N39" s="86"/>
      <c r="O39" s="86"/>
      <c r="P39" s="87"/>
    </row>
    <row r="40" spans="1:25">
      <c r="A40" s="22"/>
      <c r="B40" s="131"/>
      <c r="C40" s="131"/>
      <c r="D40" s="131"/>
      <c r="E40" s="131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</row>
    <row r="41" spans="1:25">
      <c r="D41" s="303" t="s">
        <v>136</v>
      </c>
      <c r="E41" s="312"/>
      <c r="F41" s="304"/>
      <c r="G41" s="303" t="s">
        <v>137</v>
      </c>
      <c r="H41" s="312"/>
      <c r="I41" s="312"/>
      <c r="J41" s="312"/>
      <c r="K41" s="312"/>
      <c r="L41" s="312"/>
      <c r="M41" s="312"/>
      <c r="N41" s="312"/>
      <c r="O41" s="312"/>
      <c r="P41" s="304"/>
    </row>
    <row r="42" spans="1:25">
      <c r="A42" s="88" t="str">
        <f>Parameters!A43</f>
        <v>Vermogenseffect &amp; innovatie</v>
      </c>
      <c r="B42" s="89" t="s">
        <v>116</v>
      </c>
      <c r="C42" s="17" t="s">
        <v>117</v>
      </c>
      <c r="D42" s="114">
        <v>0.25</v>
      </c>
      <c r="E42" s="113">
        <v>0.5</v>
      </c>
      <c r="F42" s="115">
        <v>0.75</v>
      </c>
      <c r="G42" s="128">
        <v>0.50812457426562596</v>
      </c>
      <c r="H42" s="129">
        <v>0.23249699280724412</v>
      </c>
      <c r="I42" s="128">
        <v>0.1389257022940894</v>
      </c>
      <c r="J42" s="128">
        <v>6.8983288832489609E-2</v>
      </c>
      <c r="K42" s="128">
        <v>4.7398657390309129E-2</v>
      </c>
      <c r="L42" s="128">
        <v>4.0707844102433333E-3</v>
      </c>
      <c r="M42" s="128">
        <v>-2.2204460492503131E-16</v>
      </c>
      <c r="N42" s="128" t="s">
        <v>141</v>
      </c>
      <c r="O42" s="117"/>
      <c r="P42" s="119"/>
    </row>
    <row r="43" spans="1:25">
      <c r="A43" s="14" t="s">
        <v>73</v>
      </c>
      <c r="B43" s="131">
        <v>0</v>
      </c>
      <c r="C43" s="132">
        <v>0</v>
      </c>
      <c r="D43" s="133">
        <v>0</v>
      </c>
      <c r="E43" s="131">
        <v>0</v>
      </c>
      <c r="F43" s="134">
        <v>0</v>
      </c>
      <c r="G43" s="91">
        <v>0</v>
      </c>
      <c r="H43" s="91">
        <v>0</v>
      </c>
      <c r="I43" s="91">
        <v>0</v>
      </c>
      <c r="J43" s="91">
        <v>0</v>
      </c>
      <c r="K43" s="91">
        <v>0</v>
      </c>
      <c r="L43" s="91">
        <v>0</v>
      </c>
      <c r="M43" s="91">
        <v>0</v>
      </c>
      <c r="N43" s="91" t="s">
        <v>141</v>
      </c>
      <c r="O43" s="83"/>
      <c r="P43" s="84"/>
      <c r="Y43" s="21">
        <v>0.15</v>
      </c>
    </row>
    <row r="44" spans="1:25">
      <c r="A44" s="14" t="s">
        <v>4</v>
      </c>
      <c r="B44" s="131">
        <v>0.18221935521545515</v>
      </c>
      <c r="C44" s="132">
        <v>0.12276646651525826</v>
      </c>
      <c r="D44" s="133">
        <v>6.7296640790565937E-2</v>
      </c>
      <c r="E44" s="131">
        <v>0.19507889777167253</v>
      </c>
      <c r="F44" s="134">
        <v>0.26520206207546326</v>
      </c>
      <c r="G44" s="91">
        <v>-0.45098974674127801</v>
      </c>
      <c r="H44" s="91">
        <v>1</v>
      </c>
      <c r="I44" s="91">
        <v>-0.3397884148156915</v>
      </c>
      <c r="J44" s="91">
        <v>-0.18974230365652939</v>
      </c>
      <c r="K44" s="91">
        <v>-0.2430152857569558</v>
      </c>
      <c r="L44" s="91">
        <v>-0.15343982992105154</v>
      </c>
      <c r="M44" s="91">
        <v>0.99999999999999944</v>
      </c>
      <c r="N44" s="91" t="s">
        <v>141</v>
      </c>
      <c r="O44" s="83"/>
      <c r="P44" s="84"/>
      <c r="R44" s="126">
        <f>D44</f>
        <v>6.7296640790565937E-2</v>
      </c>
      <c r="S44" s="126">
        <f>B44</f>
        <v>0.18221935521545515</v>
      </c>
      <c r="T44" s="126">
        <f>F44</f>
        <v>0.26520206207546326</v>
      </c>
      <c r="V44" s="28">
        <f>R44</f>
        <v>6.7296640790565937E-2</v>
      </c>
      <c r="W44" s="28">
        <f>S44-R44</f>
        <v>0.11492271442488922</v>
      </c>
      <c r="X44" s="28">
        <f>T44-S44</f>
        <v>8.298270686000811E-2</v>
      </c>
    </row>
    <row r="45" spans="1:25">
      <c r="A45" s="14" t="s">
        <v>175</v>
      </c>
      <c r="B45" s="131">
        <v>1.051795741948992E-2</v>
      </c>
      <c r="C45" s="132">
        <v>1.6510022601714278E-2</v>
      </c>
      <c r="D45" s="133">
        <v>1.0438917824368918E-4</v>
      </c>
      <c r="E45" s="131">
        <v>2.4004914559954071E-3</v>
      </c>
      <c r="F45" s="134">
        <v>1.4015470517258093E-2</v>
      </c>
      <c r="G45" s="91">
        <v>2.3424721237742186E-2</v>
      </c>
      <c r="H45" s="91">
        <v>-4.5639908729541556E-3</v>
      </c>
      <c r="I45" s="91">
        <v>3.3778439137905951E-2</v>
      </c>
      <c r="J45" s="91">
        <v>3.4895293912772428E-2</v>
      </c>
      <c r="K45" s="91">
        <v>-6.7233055381533777E-2</v>
      </c>
      <c r="L45" s="91">
        <v>1</v>
      </c>
      <c r="M45" s="91">
        <v>0.99999999999999645</v>
      </c>
      <c r="N45" s="91" t="s">
        <v>141</v>
      </c>
      <c r="O45" s="83"/>
      <c r="P45" s="84"/>
      <c r="R45" s="126">
        <f t="shared" ref="R45:R50" si="15">D45</f>
        <v>1.0438917824368918E-4</v>
      </c>
      <c r="S45" s="126">
        <f t="shared" ref="S45:S50" si="16">B45</f>
        <v>1.051795741948992E-2</v>
      </c>
      <c r="T45" s="126">
        <f t="shared" ref="T45:T50" si="17">F45</f>
        <v>1.4015470517258093E-2</v>
      </c>
      <c r="V45" s="28">
        <f t="shared" ref="V45:V50" si="18">R45</f>
        <v>1.0438917824368918E-4</v>
      </c>
      <c r="W45" s="28">
        <f t="shared" ref="W45:X50" si="19">S45-R45</f>
        <v>1.0413568241246231E-2</v>
      </c>
      <c r="X45" s="28">
        <f t="shared" si="19"/>
        <v>3.4975130977681727E-3</v>
      </c>
    </row>
    <row r="46" spans="1:25">
      <c r="A46" s="14" t="s">
        <v>176</v>
      </c>
      <c r="B46" s="131">
        <v>0.28652028582802785</v>
      </c>
      <c r="C46" s="132">
        <v>0.14773348895834329</v>
      </c>
      <c r="D46" s="133">
        <v>0.17873276960562406</v>
      </c>
      <c r="E46" s="131">
        <v>0.29306502801500556</v>
      </c>
      <c r="F46" s="134">
        <v>0.4229171235405299</v>
      </c>
      <c r="G46" s="91">
        <v>1</v>
      </c>
      <c r="H46" s="91">
        <v>0.15646015987132414</v>
      </c>
      <c r="I46" s="91">
        <v>0.41495758566650837</v>
      </c>
      <c r="J46" s="91">
        <v>-2.6705683925835198E-2</v>
      </c>
      <c r="K46" s="91">
        <v>-0.61508220644887257</v>
      </c>
      <c r="L46" s="91">
        <v>-0.2098393529202664</v>
      </c>
      <c r="M46" s="91">
        <v>0.99999999999999933</v>
      </c>
      <c r="N46" s="91" t="s">
        <v>141</v>
      </c>
      <c r="O46" s="83"/>
      <c r="P46" s="84"/>
      <c r="R46" s="126">
        <f t="shared" si="15"/>
        <v>0.17873276960562406</v>
      </c>
      <c r="S46" s="126">
        <f t="shared" si="16"/>
        <v>0.28652028582802785</v>
      </c>
      <c r="T46" s="126">
        <f t="shared" si="17"/>
        <v>0.4229171235405299</v>
      </c>
      <c r="V46" s="28">
        <f t="shared" si="18"/>
        <v>0.17873276960562406</v>
      </c>
      <c r="W46" s="28">
        <f t="shared" si="19"/>
        <v>0.10778751622240379</v>
      </c>
      <c r="X46" s="28">
        <f t="shared" si="19"/>
        <v>0.13639683771250205</v>
      </c>
    </row>
    <row r="47" spans="1:25">
      <c r="A47" s="14" t="s">
        <v>177</v>
      </c>
      <c r="B47" s="131">
        <v>0.15126085333853825</v>
      </c>
      <c r="C47" s="132">
        <v>0.10090291391032377</v>
      </c>
      <c r="D47" s="133">
        <v>6.6775520481088563E-2</v>
      </c>
      <c r="E47" s="131">
        <v>0.15469409281623281</v>
      </c>
      <c r="F47" s="134">
        <v>0.21083879506648229</v>
      </c>
      <c r="G47" s="91">
        <v>-0.34165043939057416</v>
      </c>
      <c r="H47" s="91">
        <v>-0.72546841754353986</v>
      </c>
      <c r="I47" s="91">
        <v>-0.51824858270757401</v>
      </c>
      <c r="J47" s="91">
        <v>-0.21883457927788671</v>
      </c>
      <c r="K47" s="91">
        <v>-0.82272503879463321</v>
      </c>
      <c r="L47" s="91">
        <v>-0.17454660337816311</v>
      </c>
      <c r="M47" s="91">
        <v>1</v>
      </c>
      <c r="N47" s="91" t="s">
        <v>141</v>
      </c>
      <c r="O47" s="83"/>
      <c r="P47" s="84"/>
      <c r="R47" s="126">
        <f t="shared" si="15"/>
        <v>6.6775520481088563E-2</v>
      </c>
      <c r="S47" s="126">
        <f t="shared" si="16"/>
        <v>0.15126085333853825</v>
      </c>
      <c r="T47" s="126">
        <f t="shared" si="17"/>
        <v>0.21083879506648229</v>
      </c>
      <c r="V47" s="28">
        <f t="shared" si="18"/>
        <v>6.6775520481088563E-2</v>
      </c>
      <c r="W47" s="28">
        <f t="shared" si="19"/>
        <v>8.4485332857449691E-2</v>
      </c>
      <c r="X47" s="28">
        <f t="shared" si="19"/>
        <v>5.9577941727944034E-2</v>
      </c>
    </row>
    <row r="48" spans="1:25">
      <c r="A48" s="14" t="s">
        <v>5</v>
      </c>
      <c r="B48" s="131">
        <v>5.9116509847841975E-2</v>
      </c>
      <c r="C48" s="132">
        <v>6.60379054712118E-2</v>
      </c>
      <c r="D48" s="133">
        <v>3.6763440576946279E-3</v>
      </c>
      <c r="E48" s="131">
        <v>3.4783403578345543E-2</v>
      </c>
      <c r="F48" s="134">
        <v>9.3522228951974429E-2</v>
      </c>
      <c r="G48" s="91">
        <v>0.18253267586832211</v>
      </c>
      <c r="H48" s="91">
        <v>-0.18516934365485541</v>
      </c>
      <c r="I48" s="91">
        <v>-6.9130214683461325E-2</v>
      </c>
      <c r="J48" s="91">
        <v>-0.89156736661410851</v>
      </c>
      <c r="K48" s="91">
        <v>1</v>
      </c>
      <c r="L48" s="91">
        <v>-0.11935358193240865</v>
      </c>
      <c r="M48" s="91">
        <v>0.99999999999999978</v>
      </c>
      <c r="N48" s="91" t="s">
        <v>141</v>
      </c>
      <c r="O48" s="83"/>
      <c r="P48" s="84"/>
      <c r="R48" s="126">
        <f t="shared" si="15"/>
        <v>3.6763440576946279E-3</v>
      </c>
      <c r="S48" s="126">
        <f t="shared" si="16"/>
        <v>5.9116509847841975E-2</v>
      </c>
      <c r="T48" s="126">
        <f t="shared" si="17"/>
        <v>9.3522228951974429E-2</v>
      </c>
      <c r="V48" s="28">
        <f t="shared" si="18"/>
        <v>3.6763440576946279E-3</v>
      </c>
      <c r="W48" s="28">
        <f t="shared" si="19"/>
        <v>5.544016579014735E-2</v>
      </c>
      <c r="X48" s="28">
        <f t="shared" si="19"/>
        <v>3.4405719104132454E-2</v>
      </c>
    </row>
    <row r="49" spans="1:25">
      <c r="A49" s="14" t="s">
        <v>178</v>
      </c>
      <c r="B49" s="131">
        <v>0.24910973882962575</v>
      </c>
      <c r="C49" s="132">
        <v>0.11701922121406787</v>
      </c>
      <c r="D49" s="133">
        <v>0.17333008713057071</v>
      </c>
      <c r="E49" s="131">
        <v>0.26508761192268931</v>
      </c>
      <c r="F49" s="134">
        <v>0.32434326336148978</v>
      </c>
      <c r="G49" s="91">
        <v>-0.62370141879445895</v>
      </c>
      <c r="H49" s="91">
        <v>-0.15746142130548049</v>
      </c>
      <c r="I49" s="91">
        <v>1</v>
      </c>
      <c r="J49" s="91">
        <v>0.29195463956158768</v>
      </c>
      <c r="K49" s="91">
        <v>0.13660037450554882</v>
      </c>
      <c r="L49" s="91">
        <v>-0.18162510995827763</v>
      </c>
      <c r="M49" s="91">
        <v>0.99999999999999878</v>
      </c>
      <c r="N49" s="91" t="s">
        <v>141</v>
      </c>
      <c r="O49" s="83"/>
      <c r="P49" s="84"/>
      <c r="R49" s="126">
        <f t="shared" si="15"/>
        <v>0.17333008713057071</v>
      </c>
      <c r="S49" s="126">
        <f t="shared" si="16"/>
        <v>0.24910973882962575</v>
      </c>
      <c r="T49" s="126">
        <f t="shared" si="17"/>
        <v>0.32434326336148978</v>
      </c>
      <c r="V49" s="28">
        <f t="shared" si="18"/>
        <v>0.17333008713057071</v>
      </c>
      <c r="W49" s="28">
        <f t="shared" si="19"/>
        <v>7.577965169905504E-2</v>
      </c>
      <c r="X49" s="28">
        <f t="shared" si="19"/>
        <v>7.5233524531864021E-2</v>
      </c>
    </row>
    <row r="50" spans="1:25">
      <c r="A50" s="14" t="s">
        <v>6</v>
      </c>
      <c r="B50" s="131">
        <v>6.1255299521020969E-2</v>
      </c>
      <c r="C50" s="132">
        <v>7.3572501464759715E-2</v>
      </c>
      <c r="D50" s="133">
        <v>2.5895182579532081E-3</v>
      </c>
      <c r="E50" s="131">
        <v>3.3018026483356076E-2</v>
      </c>
      <c r="F50" s="134">
        <v>0.10332344089309695</v>
      </c>
      <c r="G50" s="91">
        <v>0.21038420782024683</v>
      </c>
      <c r="H50" s="91">
        <v>-8.3796986494494505E-2</v>
      </c>
      <c r="I50" s="91">
        <v>-0.5215688125976865</v>
      </c>
      <c r="J50" s="91">
        <v>1</v>
      </c>
      <c r="K50" s="91">
        <v>0.61145521187644625</v>
      </c>
      <c r="L50" s="91">
        <v>-0.1611955218898298</v>
      </c>
      <c r="M50" s="91">
        <v>0.99999999999999978</v>
      </c>
      <c r="N50" s="91" t="s">
        <v>141</v>
      </c>
      <c r="O50" s="83"/>
      <c r="P50" s="84"/>
      <c r="R50" s="126">
        <f t="shared" si="15"/>
        <v>2.5895182579532081E-3</v>
      </c>
      <c r="S50" s="126">
        <f t="shared" si="16"/>
        <v>6.1255299521020969E-2</v>
      </c>
      <c r="T50" s="126">
        <f t="shared" si="17"/>
        <v>0.10332344089309695</v>
      </c>
      <c r="V50" s="28">
        <f t="shared" si="18"/>
        <v>2.5895182579532081E-3</v>
      </c>
      <c r="W50" s="28">
        <f t="shared" si="19"/>
        <v>5.8665781263067762E-2</v>
      </c>
      <c r="X50" s="28">
        <f t="shared" si="19"/>
        <v>4.2068141372075978E-2</v>
      </c>
    </row>
    <row r="51" spans="1:25">
      <c r="A51" s="14"/>
      <c r="B51" s="131"/>
      <c r="C51" s="132"/>
      <c r="D51" s="133"/>
      <c r="E51" s="131"/>
      <c r="F51" s="134"/>
      <c r="G51" s="83"/>
      <c r="H51" s="83"/>
      <c r="I51" s="83"/>
      <c r="J51" s="83"/>
      <c r="K51" s="83"/>
      <c r="L51" s="83"/>
      <c r="M51" s="83"/>
      <c r="N51" s="83"/>
      <c r="O51" s="83"/>
      <c r="P51" s="84"/>
    </row>
    <row r="52" spans="1:25">
      <c r="A52" s="15"/>
      <c r="B52" s="135"/>
      <c r="C52" s="136"/>
      <c r="D52" s="137"/>
      <c r="E52" s="135"/>
      <c r="F52" s="138"/>
      <c r="G52" s="86"/>
      <c r="H52" s="86"/>
      <c r="I52" s="86"/>
      <c r="J52" s="86"/>
      <c r="K52" s="86"/>
      <c r="L52" s="86"/>
      <c r="M52" s="86"/>
      <c r="N52" s="86"/>
      <c r="O52" s="86"/>
      <c r="P52" s="87"/>
    </row>
    <row r="53" spans="1:25">
      <c r="A53" s="22"/>
      <c r="B53" s="131"/>
      <c r="C53" s="131"/>
      <c r="D53" s="131"/>
      <c r="E53" s="131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</row>
    <row r="54" spans="1:25">
      <c r="D54" s="303" t="s">
        <v>136</v>
      </c>
      <c r="E54" s="312"/>
      <c r="F54" s="304"/>
      <c r="G54" s="303" t="s">
        <v>137</v>
      </c>
      <c r="H54" s="312"/>
      <c r="I54" s="312"/>
      <c r="J54" s="312"/>
      <c r="K54" s="312"/>
      <c r="L54" s="312"/>
      <c r="M54" s="312"/>
      <c r="N54" s="312"/>
      <c r="O54" s="312"/>
      <c r="P54" s="304"/>
    </row>
    <row r="55" spans="1:25">
      <c r="A55" s="88" t="str">
        <f>Parameters!A27</f>
        <v>Schuld deflatie</v>
      </c>
      <c r="B55" s="89" t="s">
        <v>116</v>
      </c>
      <c r="C55" s="17" t="s">
        <v>117</v>
      </c>
      <c r="D55" s="114">
        <v>0.25</v>
      </c>
      <c r="E55" s="113">
        <v>0.5</v>
      </c>
      <c r="F55" s="115">
        <v>0.75</v>
      </c>
      <c r="G55" s="117">
        <v>0.25876651757689328</v>
      </c>
      <c r="H55" s="118">
        <v>0.18758203084741076</v>
      </c>
      <c r="I55" s="117">
        <v>0.16773910751049359</v>
      </c>
      <c r="J55" s="117">
        <v>0.13864987089210401</v>
      </c>
      <c r="K55" s="117">
        <v>0.12719778040473562</v>
      </c>
      <c r="L55" s="117">
        <v>0.12006469276818166</v>
      </c>
      <c r="M55" s="117">
        <v>1.7952306308188781E-13</v>
      </c>
      <c r="N55" s="128" t="s">
        <v>141</v>
      </c>
      <c r="O55" s="117"/>
      <c r="P55" s="119"/>
    </row>
    <row r="56" spans="1:25">
      <c r="A56" s="14" t="s">
        <v>73</v>
      </c>
      <c r="B56" s="131">
        <v>0</v>
      </c>
      <c r="C56" s="132">
        <v>0</v>
      </c>
      <c r="D56" s="133">
        <v>0</v>
      </c>
      <c r="E56" s="131">
        <v>0</v>
      </c>
      <c r="F56" s="134">
        <v>0</v>
      </c>
      <c r="G56" s="83">
        <v>0</v>
      </c>
      <c r="H56" s="83">
        <v>0</v>
      </c>
      <c r="I56" s="83">
        <v>0</v>
      </c>
      <c r="J56" s="83">
        <v>0</v>
      </c>
      <c r="K56" s="83">
        <v>0</v>
      </c>
      <c r="L56" s="83">
        <v>0</v>
      </c>
      <c r="M56" s="83">
        <v>0</v>
      </c>
      <c r="N56" s="91" t="s">
        <v>141</v>
      </c>
      <c r="O56" s="83"/>
      <c r="P56" s="84"/>
      <c r="Y56" s="21">
        <v>0.15</v>
      </c>
    </row>
    <row r="57" spans="1:25">
      <c r="A57" s="14" t="s">
        <v>4</v>
      </c>
      <c r="B57" s="131">
        <v>0.21134342201011411</v>
      </c>
      <c r="C57" s="132">
        <v>0.29863491453960272</v>
      </c>
      <c r="D57" s="133">
        <v>1.4322697648339733E-4</v>
      </c>
      <c r="E57" s="131">
        <v>2.6479849978268917E-2</v>
      </c>
      <c r="F57" s="134">
        <v>0.34206511435977943</v>
      </c>
      <c r="G57" s="83">
        <v>1</v>
      </c>
      <c r="H57" s="83">
        <v>-0.45104358087017687</v>
      </c>
      <c r="I57" s="83">
        <v>-0.12363550969166419</v>
      </c>
      <c r="J57" s="83">
        <v>-9.2471917016909988E-3</v>
      </c>
      <c r="K57" s="83">
        <v>-1.2434493163404307E-2</v>
      </c>
      <c r="L57" s="83">
        <v>-0.21581150797572674</v>
      </c>
      <c r="M57" s="83">
        <v>0.99999926319858212</v>
      </c>
      <c r="N57" s="91" t="s">
        <v>141</v>
      </c>
      <c r="O57" s="83"/>
      <c r="P57" s="84"/>
      <c r="R57" s="126">
        <f>D57</f>
        <v>1.4322697648339733E-4</v>
      </c>
      <c r="S57" s="126">
        <f>B57</f>
        <v>0.21134342201011411</v>
      </c>
      <c r="T57" s="126">
        <f>F57</f>
        <v>0.34206511435977943</v>
      </c>
      <c r="V57" s="28">
        <f>R57</f>
        <v>1.4322697648339733E-4</v>
      </c>
      <c r="W57" s="28">
        <f>S57-R57</f>
        <v>0.21120019503363072</v>
      </c>
      <c r="X57" s="28">
        <f>T57-S57</f>
        <v>0.13072169234966532</v>
      </c>
    </row>
    <row r="58" spans="1:25">
      <c r="A58" s="14" t="s">
        <v>175</v>
      </c>
      <c r="B58" s="131">
        <v>0.11110476506002791</v>
      </c>
      <c r="C58" s="132">
        <v>0.22824603705820415</v>
      </c>
      <c r="D58" s="133">
        <v>6.4549382004071665E-6</v>
      </c>
      <c r="E58" s="131">
        <v>2.1099819943603965E-3</v>
      </c>
      <c r="F58" s="134">
        <v>5.3280733441306682E-2</v>
      </c>
      <c r="G58" s="83">
        <v>-0.15934850697715022</v>
      </c>
      <c r="H58" s="83">
        <v>4.460304530178575E-2</v>
      </c>
      <c r="I58" s="83">
        <v>0.28168984662688334</v>
      </c>
      <c r="J58" s="83">
        <v>1</v>
      </c>
      <c r="K58" s="83">
        <v>-0.24782238809972623</v>
      </c>
      <c r="L58" s="83">
        <v>-3.698170395816542E-2</v>
      </c>
      <c r="M58" s="83">
        <v>0.99999929325720205</v>
      </c>
      <c r="N58" s="91" t="s">
        <v>141</v>
      </c>
      <c r="O58" s="83"/>
      <c r="P58" s="84"/>
      <c r="R58" s="126">
        <f t="shared" ref="R58:R63" si="20">D58</f>
        <v>6.4549382004071665E-6</v>
      </c>
      <c r="S58" s="126">
        <f t="shared" ref="S58:S63" si="21">B58</f>
        <v>0.11110476506002791</v>
      </c>
      <c r="T58" s="126">
        <f t="shared" ref="T58:T63" si="22">F58</f>
        <v>5.3280733441306682E-2</v>
      </c>
      <c r="V58" s="28">
        <f t="shared" ref="V58:V63" si="23">R58</f>
        <v>6.4549382004071665E-6</v>
      </c>
      <c r="W58" s="28">
        <f t="shared" ref="W58:X63" si="24">S58-R58</f>
        <v>0.1110983101218275</v>
      </c>
      <c r="X58" s="28">
        <f t="shared" si="24"/>
        <v>-5.7824031618721225E-2</v>
      </c>
    </row>
    <row r="59" spans="1:25">
      <c r="A59" s="14" t="s">
        <v>176</v>
      </c>
      <c r="B59" s="131">
        <v>0.11244096434610018</v>
      </c>
      <c r="C59" s="132">
        <v>0.2115598622964196</v>
      </c>
      <c r="D59" s="133">
        <v>3.4069507413255322E-5</v>
      </c>
      <c r="E59" s="131">
        <v>5.8029288808896275E-3</v>
      </c>
      <c r="F59" s="134">
        <v>0.11192828976410416</v>
      </c>
      <c r="G59" s="83">
        <v>-2.0219224406829529E-2</v>
      </c>
      <c r="H59" s="83">
        <v>-0.1318983475583661</v>
      </c>
      <c r="I59" s="83">
        <v>1.9062694734841529E-2</v>
      </c>
      <c r="J59" s="83">
        <v>-0.23101626754641735</v>
      </c>
      <c r="K59" s="83">
        <v>-0.27059185172787198</v>
      </c>
      <c r="L59" s="83">
        <v>1</v>
      </c>
      <c r="M59" s="83">
        <v>0.99999930168442985</v>
      </c>
      <c r="N59" s="91" t="s">
        <v>141</v>
      </c>
      <c r="O59" s="83"/>
      <c r="P59" s="84"/>
      <c r="R59" s="126">
        <f t="shared" si="20"/>
        <v>3.4069507413255322E-5</v>
      </c>
      <c r="S59" s="126">
        <f t="shared" si="21"/>
        <v>0.11244096434610018</v>
      </c>
      <c r="T59" s="126">
        <f t="shared" si="22"/>
        <v>0.11192828976410416</v>
      </c>
      <c r="V59" s="28">
        <f t="shared" si="23"/>
        <v>3.4069507413255322E-5</v>
      </c>
      <c r="W59" s="28">
        <f t="shared" si="24"/>
        <v>0.11240689483868692</v>
      </c>
      <c r="X59" s="28">
        <f t="shared" si="24"/>
        <v>-5.1267458199602545E-4</v>
      </c>
    </row>
    <row r="60" spans="1:25">
      <c r="A60" s="14" t="s">
        <v>177</v>
      </c>
      <c r="B60" s="131">
        <v>0.15315081965581459</v>
      </c>
      <c r="C60" s="132">
        <v>0.25170859332124956</v>
      </c>
      <c r="D60" s="133">
        <v>1.5769792226434076E-6</v>
      </c>
      <c r="E60" s="131">
        <v>3.6974745776960525E-3</v>
      </c>
      <c r="F60" s="134">
        <v>0.23728475702445961</v>
      </c>
      <c r="G60" s="83">
        <v>6.4130188223700361E-3</v>
      </c>
      <c r="H60" s="83">
        <v>1</v>
      </c>
      <c r="I60" s="83">
        <v>-0.57591282497945462</v>
      </c>
      <c r="J60" s="83">
        <v>-0.18185547229341575</v>
      </c>
      <c r="K60" s="83">
        <v>-0.31680280984137932</v>
      </c>
      <c r="L60" s="83">
        <v>-0.22341415834068121</v>
      </c>
      <c r="M60" s="83">
        <v>1</v>
      </c>
      <c r="N60" s="91" t="s">
        <v>141</v>
      </c>
      <c r="O60" s="83"/>
      <c r="P60" s="84"/>
      <c r="R60" s="126">
        <f t="shared" si="20"/>
        <v>1.5769792226434076E-6</v>
      </c>
      <c r="S60" s="126">
        <f t="shared" si="21"/>
        <v>0.15315081965581459</v>
      </c>
      <c r="T60" s="126">
        <f t="shared" si="22"/>
        <v>0.23728475702445961</v>
      </c>
      <c r="V60" s="28">
        <f t="shared" si="23"/>
        <v>1.5769792226434076E-6</v>
      </c>
      <c r="W60" s="28">
        <f t="shared" si="24"/>
        <v>0.15314924267659194</v>
      </c>
      <c r="X60" s="28">
        <f t="shared" si="24"/>
        <v>8.4133937368645023E-2</v>
      </c>
    </row>
    <row r="61" spans="1:25">
      <c r="A61" s="14" t="s">
        <v>5</v>
      </c>
      <c r="B61" s="131">
        <v>0.15229981501154774</v>
      </c>
      <c r="C61" s="132">
        <v>0.2674071259816645</v>
      </c>
      <c r="D61" s="133">
        <v>4.7408734933803435E-5</v>
      </c>
      <c r="E61" s="131">
        <v>7.3641975528150692E-3</v>
      </c>
      <c r="F61" s="134">
        <v>0.18832748024473528</v>
      </c>
      <c r="G61" s="83">
        <v>-0.600040982961214</v>
      </c>
      <c r="H61" s="83">
        <v>-0.81460772383742464</v>
      </c>
      <c r="I61" s="83">
        <v>-0.42487998390530085</v>
      </c>
      <c r="J61" s="83">
        <v>-0.21527080438210985</v>
      </c>
      <c r="K61" s="83">
        <v>-0.15415439582827711</v>
      </c>
      <c r="L61" s="83">
        <v>-0.36205075781444651</v>
      </c>
      <c r="M61" s="83">
        <v>0.99999930509486146</v>
      </c>
      <c r="N61" s="91" t="s">
        <v>141</v>
      </c>
      <c r="O61" s="83"/>
      <c r="P61" s="84"/>
      <c r="R61" s="126">
        <f t="shared" si="20"/>
        <v>4.7408734933803435E-5</v>
      </c>
      <c r="S61" s="126">
        <f t="shared" si="21"/>
        <v>0.15229981501154774</v>
      </c>
      <c r="T61" s="126">
        <f t="shared" si="22"/>
        <v>0.18832748024473528</v>
      </c>
      <c r="V61" s="28">
        <f t="shared" si="23"/>
        <v>4.7408734933803435E-5</v>
      </c>
      <c r="W61" s="28">
        <f t="shared" si="24"/>
        <v>0.15225240627661393</v>
      </c>
      <c r="X61" s="28">
        <f t="shared" si="24"/>
        <v>3.6027665233187539E-2</v>
      </c>
    </row>
    <row r="62" spans="1:25">
      <c r="A62" s="14" t="s">
        <v>178</v>
      </c>
      <c r="B62" s="131">
        <v>0.12693488226984692</v>
      </c>
      <c r="C62" s="132">
        <v>0.21877944249728357</v>
      </c>
      <c r="D62" s="133">
        <v>1.6972495517242384E-5</v>
      </c>
      <c r="E62" s="131">
        <v>5.6233189315121699E-3</v>
      </c>
      <c r="F62" s="134">
        <v>0.19701241296152092</v>
      </c>
      <c r="G62" s="83">
        <v>-0.12280628674395226</v>
      </c>
      <c r="H62" s="83">
        <v>0.16063469270648004</v>
      </c>
      <c r="I62" s="83">
        <v>-0.17632378710385335</v>
      </c>
      <c r="J62" s="83">
        <v>9.5225771805577508E-2</v>
      </c>
      <c r="K62" s="83">
        <v>1</v>
      </c>
      <c r="L62" s="83">
        <v>0.13268517336770788</v>
      </c>
      <c r="M62" s="83">
        <v>0.99999967530532952</v>
      </c>
      <c r="N62" s="91" t="s">
        <v>141</v>
      </c>
      <c r="O62" s="83"/>
      <c r="P62" s="84"/>
      <c r="R62" s="126">
        <f t="shared" si="20"/>
        <v>1.6972495517242384E-5</v>
      </c>
      <c r="S62" s="126">
        <f t="shared" si="21"/>
        <v>0.12693488226984692</v>
      </c>
      <c r="T62" s="126">
        <f t="shared" si="22"/>
        <v>0.19701241296152092</v>
      </c>
      <c r="V62" s="28">
        <f t="shared" si="23"/>
        <v>1.6972495517242384E-5</v>
      </c>
      <c r="W62" s="28">
        <f t="shared" si="24"/>
        <v>0.12691790977432968</v>
      </c>
      <c r="X62" s="28">
        <f t="shared" si="24"/>
        <v>7.0077530691673995E-2</v>
      </c>
    </row>
    <row r="63" spans="1:25">
      <c r="A63" s="14" t="s">
        <v>6</v>
      </c>
      <c r="B63" s="131">
        <v>0.13272524359245294</v>
      </c>
      <c r="C63" s="132">
        <v>0.24219655281159985</v>
      </c>
      <c r="D63" s="133">
        <v>2.3708191324451228E-6</v>
      </c>
      <c r="E63" s="131">
        <v>2.9357277442568245E-3</v>
      </c>
      <c r="F63" s="134">
        <v>0.16674470878593906</v>
      </c>
      <c r="G63" s="83">
        <v>-0.10399793387037612</v>
      </c>
      <c r="H63" s="83">
        <v>0.19231113567589189</v>
      </c>
      <c r="I63" s="83">
        <v>1</v>
      </c>
      <c r="J63" s="83">
        <v>-0.45783592127209749</v>
      </c>
      <c r="K63" s="83">
        <v>1.8057841699544938E-3</v>
      </c>
      <c r="L63" s="83">
        <v>-0.29442693696753797</v>
      </c>
      <c r="M63" s="83">
        <v>0.99999933311509825</v>
      </c>
      <c r="N63" s="91" t="s">
        <v>141</v>
      </c>
      <c r="O63" s="83"/>
      <c r="P63" s="84"/>
      <c r="R63" s="126">
        <f t="shared" si="20"/>
        <v>2.3708191324451228E-6</v>
      </c>
      <c r="S63" s="126">
        <f t="shared" si="21"/>
        <v>0.13272524359245294</v>
      </c>
      <c r="T63" s="126">
        <f t="shared" si="22"/>
        <v>0.16674470878593906</v>
      </c>
      <c r="V63" s="28">
        <f t="shared" si="23"/>
        <v>2.3708191324451228E-6</v>
      </c>
      <c r="W63" s="28">
        <f t="shared" si="24"/>
        <v>0.13272287277332048</v>
      </c>
      <c r="X63" s="28">
        <f t="shared" si="24"/>
        <v>3.4019465193486115E-2</v>
      </c>
    </row>
    <row r="64" spans="1:25">
      <c r="A64" s="14"/>
      <c r="B64" s="131"/>
      <c r="C64" s="132"/>
      <c r="D64" s="133"/>
      <c r="E64" s="131"/>
      <c r="F64" s="134"/>
      <c r="G64" s="83"/>
      <c r="H64" s="83"/>
      <c r="I64" s="83"/>
      <c r="J64" s="83"/>
      <c r="K64" s="83"/>
      <c r="L64" s="83"/>
      <c r="M64" s="83"/>
      <c r="N64" s="83"/>
      <c r="O64" s="83"/>
      <c r="P64" s="84"/>
    </row>
    <row r="65" spans="1:28">
      <c r="A65" s="15"/>
      <c r="B65" s="135"/>
      <c r="C65" s="136"/>
      <c r="D65" s="137"/>
      <c r="E65" s="135"/>
      <c r="F65" s="138"/>
      <c r="G65" s="86"/>
      <c r="H65" s="86"/>
      <c r="I65" s="86"/>
      <c r="J65" s="86"/>
      <c r="K65" s="86"/>
      <c r="L65" s="86"/>
      <c r="M65" s="86"/>
      <c r="N65" s="86"/>
      <c r="O65" s="86"/>
      <c r="P65" s="87"/>
    </row>
    <row r="66" spans="1:28">
      <c r="A66" s="22"/>
      <c r="B66" s="131"/>
      <c r="C66" s="131"/>
      <c r="D66" s="131"/>
      <c r="E66" s="131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</row>
    <row r="67" spans="1:28">
      <c r="D67" s="303" t="s">
        <v>136</v>
      </c>
      <c r="E67" s="312"/>
      <c r="F67" s="304"/>
      <c r="G67" s="303" t="s">
        <v>137</v>
      </c>
      <c r="H67" s="312"/>
      <c r="I67" s="312"/>
      <c r="J67" s="312"/>
      <c r="K67" s="312"/>
      <c r="L67" s="312"/>
      <c r="M67" s="312"/>
      <c r="N67" s="312"/>
      <c r="O67" s="312"/>
      <c r="P67" s="304"/>
    </row>
    <row r="68" spans="1:28">
      <c r="A68" s="88" t="str">
        <f>Parameters!A28</f>
        <v>Kansgewogen</v>
      </c>
      <c r="B68" s="89" t="s">
        <v>116</v>
      </c>
      <c r="C68" s="17" t="s">
        <v>117</v>
      </c>
      <c r="D68" s="114">
        <v>0.25</v>
      </c>
      <c r="E68" s="113">
        <v>0.5</v>
      </c>
      <c r="F68" s="115">
        <v>0.75</v>
      </c>
      <c r="G68" s="117">
        <v>0.79305524516611747</v>
      </c>
      <c r="H68" s="118">
        <v>0.15684582976129624</v>
      </c>
      <c r="I68" s="117">
        <v>4.6464890972808037E-2</v>
      </c>
      <c r="J68" s="117">
        <v>3.0834884785585492E-3</v>
      </c>
      <c r="K68" s="117">
        <v>5.0903885534947513E-4</v>
      </c>
      <c r="L68" s="117">
        <v>4.1506765870114037E-5</v>
      </c>
      <c r="M68" s="117">
        <v>0</v>
      </c>
      <c r="N68" s="128" t="s">
        <v>141</v>
      </c>
      <c r="O68" s="117"/>
      <c r="P68" s="119"/>
    </row>
    <row r="69" spans="1:28">
      <c r="A69" s="102" t="s">
        <v>73</v>
      </c>
      <c r="B69" s="131">
        <v>0</v>
      </c>
      <c r="C69" s="132">
        <v>0</v>
      </c>
      <c r="D69" s="133">
        <v>0</v>
      </c>
      <c r="E69" s="131">
        <v>0</v>
      </c>
      <c r="F69" s="134">
        <v>0</v>
      </c>
      <c r="G69" s="83">
        <v>0</v>
      </c>
      <c r="H69" s="83">
        <v>0</v>
      </c>
      <c r="I69" s="83">
        <v>0</v>
      </c>
      <c r="J69" s="83">
        <v>0</v>
      </c>
      <c r="K69" s="83">
        <v>0</v>
      </c>
      <c r="L69" s="83">
        <v>0</v>
      </c>
      <c r="M69" s="83">
        <v>0</v>
      </c>
      <c r="N69" s="91" t="s">
        <v>141</v>
      </c>
      <c r="O69" s="83"/>
      <c r="P69" s="84"/>
    </row>
    <row r="70" spans="1:28">
      <c r="A70" s="14" t="s">
        <v>4</v>
      </c>
      <c r="B70" s="131">
        <v>8.2118896808080714E-3</v>
      </c>
      <c r="C70" s="132">
        <v>9.4841842780457684E-3</v>
      </c>
      <c r="D70" s="133">
        <v>1.2040904454816098E-3</v>
      </c>
      <c r="E70" s="131">
        <v>4.7093941651416924E-3</v>
      </c>
      <c r="F70" s="134">
        <v>1.096792266216385E-2</v>
      </c>
      <c r="G70" s="83">
        <v>1.9878222446537946E-2</v>
      </c>
      <c r="H70" s="83">
        <v>-4.0797665320644681E-2</v>
      </c>
      <c r="I70" s="83">
        <v>0.12154869170711051</v>
      </c>
      <c r="J70" s="83">
        <v>1</v>
      </c>
      <c r="K70" s="83">
        <v>-0.2385945836819468</v>
      </c>
      <c r="L70" s="83">
        <v>-0.14870923799632729</v>
      </c>
      <c r="M70" s="83">
        <v>0.99999999999999944</v>
      </c>
      <c r="N70" s="91" t="s">
        <v>141</v>
      </c>
      <c r="O70" s="83"/>
      <c r="P70" s="84"/>
      <c r="R70" s="126">
        <f>D70</f>
        <v>1.2040904454816098E-3</v>
      </c>
      <c r="S70" s="126">
        <f>B70</f>
        <v>8.2118896808080714E-3</v>
      </c>
      <c r="T70" s="126">
        <f>F70</f>
        <v>1.096792266216385E-2</v>
      </c>
      <c r="V70" s="28">
        <f>R70</f>
        <v>1.2040904454816098E-3</v>
      </c>
      <c r="W70" s="28">
        <f>S70-R70</f>
        <v>7.0077992353264618E-3</v>
      </c>
      <c r="X70" s="28">
        <f>T70-S70</f>
        <v>2.7560329813557782E-3</v>
      </c>
      <c r="Z70" s="38">
        <f>V18*$Y$17+V31*$Y$30+V44*$Y$43+V57*$Y$56</f>
        <v>1.5878529030066361E-2</v>
      </c>
      <c r="AA70" s="38">
        <f t="shared" ref="AA70:AB76" si="25">W18*$Y$17+W31*$Y$30+W44*$Y$43+W57*$Y$56</f>
        <v>0.17716164325549794</v>
      </c>
      <c r="AB70" s="38">
        <f t="shared" si="25"/>
        <v>0.13588634918132464</v>
      </c>
    </row>
    <row r="71" spans="1:28">
      <c r="A71" s="14" t="s">
        <v>175</v>
      </c>
      <c r="B71" s="131">
        <v>0.15824380361310086</v>
      </c>
      <c r="C71" s="132">
        <v>0.10140345741513539</v>
      </c>
      <c r="D71" s="133">
        <v>6.5411561521255018E-2</v>
      </c>
      <c r="E71" s="131">
        <v>0.15929501120620987</v>
      </c>
      <c r="F71" s="134">
        <v>0.21863334606826512</v>
      </c>
      <c r="G71" s="83">
        <v>-0.84972838951860408</v>
      </c>
      <c r="H71" s="83">
        <v>-0.60980499584003323</v>
      </c>
      <c r="I71" s="83">
        <v>-0.3890887535512299</v>
      </c>
      <c r="J71" s="83">
        <v>-0.22521292365805695</v>
      </c>
      <c r="K71" s="83">
        <v>-0.18972875615733981</v>
      </c>
      <c r="L71" s="83">
        <v>-0.16728826997167243</v>
      </c>
      <c r="M71" s="83">
        <v>0.99999999999999944</v>
      </c>
      <c r="N71" s="91" t="s">
        <v>141</v>
      </c>
      <c r="O71" s="83"/>
      <c r="P71" s="84"/>
      <c r="R71" s="126">
        <f t="shared" ref="R71:R76" si="26">D71</f>
        <v>6.5411561521255018E-2</v>
      </c>
      <c r="S71" s="126">
        <f t="shared" ref="S71:S76" si="27">B71</f>
        <v>0.15824380361310086</v>
      </c>
      <c r="T71" s="126">
        <f t="shared" ref="T71:T76" si="28">F71</f>
        <v>0.21863334606826512</v>
      </c>
      <c r="V71" s="28">
        <f t="shared" ref="V71:V76" si="29">R71</f>
        <v>6.5411561521255018E-2</v>
      </c>
      <c r="W71" s="28">
        <f t="shared" ref="W71:X76" si="30">S71-R71</f>
        <v>9.2832242091845846E-2</v>
      </c>
      <c r="X71" s="28">
        <f t="shared" si="30"/>
        <v>6.0389542455164258E-2</v>
      </c>
      <c r="Z71" s="38">
        <f t="shared" ref="Z71:Z76" si="31">V19*$Y$17+V32*$Y$30+V45*$Y$43+V58*$Y$56</f>
        <v>1.1090707278397012E-2</v>
      </c>
      <c r="AA71" s="38">
        <f t="shared" si="25"/>
        <v>0.13548326908774738</v>
      </c>
      <c r="AB71" s="38">
        <f t="shared" si="25"/>
        <v>9.7308035098663426E-2</v>
      </c>
    </row>
    <row r="72" spans="1:28">
      <c r="A72" s="14" t="s">
        <v>176</v>
      </c>
      <c r="B72" s="131">
        <v>6.8307729074889065E-2</v>
      </c>
      <c r="C72" s="132">
        <v>5.6469438168765811E-2</v>
      </c>
      <c r="D72" s="133">
        <v>2.079749559200799E-2</v>
      </c>
      <c r="E72" s="131">
        <v>5.2620875784029138E-2</v>
      </c>
      <c r="F72" s="134">
        <v>0.10963356004753103</v>
      </c>
      <c r="G72" s="83">
        <v>-0.12748801372108129</v>
      </c>
      <c r="H72" s="83">
        <v>1</v>
      </c>
      <c r="I72" s="83">
        <v>-0.39793180823810448</v>
      </c>
      <c r="J72" s="83">
        <v>-0.18157810106501163</v>
      </c>
      <c r="K72" s="83">
        <v>-0.19596011573479583</v>
      </c>
      <c r="L72" s="83">
        <v>-0.16972374356676617</v>
      </c>
      <c r="M72" s="83">
        <v>1</v>
      </c>
      <c r="N72" s="91" t="s">
        <v>141</v>
      </c>
      <c r="O72" s="83"/>
      <c r="P72" s="84"/>
      <c r="R72" s="126">
        <f t="shared" si="26"/>
        <v>2.079749559200799E-2</v>
      </c>
      <c r="S72" s="126">
        <f t="shared" si="27"/>
        <v>6.8307729074889065E-2</v>
      </c>
      <c r="T72" s="126">
        <f t="shared" si="28"/>
        <v>0.10963356004753103</v>
      </c>
      <c r="V72" s="28">
        <f t="shared" si="29"/>
        <v>2.079749559200799E-2</v>
      </c>
      <c r="W72" s="28">
        <f t="shared" si="30"/>
        <v>4.7510233482881074E-2</v>
      </c>
      <c r="X72" s="28">
        <f t="shared" si="30"/>
        <v>4.1325830972641961E-2</v>
      </c>
      <c r="Z72" s="38">
        <f t="shared" si="31"/>
        <v>4.8341781781579156E-2</v>
      </c>
      <c r="AA72" s="38">
        <f t="shared" si="25"/>
        <v>0.12884029777096592</v>
      </c>
      <c r="AB72" s="38">
        <f t="shared" si="25"/>
        <v>0.10848387908861779</v>
      </c>
    </row>
    <row r="73" spans="1:28">
      <c r="A73" s="14" t="s">
        <v>177</v>
      </c>
      <c r="B73" s="131">
        <v>0.455686391821714</v>
      </c>
      <c r="C73" s="132">
        <v>3.049494796790746E-2</v>
      </c>
      <c r="D73" s="133">
        <v>0.43618068871678661</v>
      </c>
      <c r="E73" s="131">
        <v>0.46222320920488941</v>
      </c>
      <c r="F73" s="134">
        <v>0.47965052975864331</v>
      </c>
      <c r="G73" s="83">
        <v>-4.4964388060673044E-2</v>
      </c>
      <c r="H73" s="83">
        <v>3.4037017735729772E-2</v>
      </c>
      <c r="I73" s="83">
        <v>1</v>
      </c>
      <c r="J73" s="83">
        <v>-0.36656791297849822</v>
      </c>
      <c r="K73" s="83">
        <v>-0.19095302631799493</v>
      </c>
      <c r="L73" s="83">
        <v>-0.17232326692885946</v>
      </c>
      <c r="M73" s="83">
        <v>0.99999999999999944</v>
      </c>
      <c r="N73" s="91" t="s">
        <v>141</v>
      </c>
      <c r="O73" s="83"/>
      <c r="P73" s="84"/>
      <c r="R73" s="126">
        <f t="shared" si="26"/>
        <v>0.43618068871678661</v>
      </c>
      <c r="S73" s="126">
        <f t="shared" si="27"/>
        <v>0.455686391821714</v>
      </c>
      <c r="T73" s="126">
        <f t="shared" si="28"/>
        <v>0.47965052975864331</v>
      </c>
      <c r="V73" s="28">
        <f t="shared" si="29"/>
        <v>0.43618068871678661</v>
      </c>
      <c r="W73" s="28">
        <f t="shared" si="30"/>
        <v>1.9505703104927385E-2</v>
      </c>
      <c r="X73" s="28">
        <f t="shared" si="30"/>
        <v>2.3964137936929308E-2</v>
      </c>
      <c r="Z73" s="38">
        <f t="shared" si="31"/>
        <v>1.2013554144267713E-2</v>
      </c>
      <c r="AA73" s="38">
        <f t="shared" si="25"/>
        <v>6.4721576593077673E-2</v>
      </c>
      <c r="AB73" s="38">
        <f t="shared" si="25"/>
        <v>3.6606838531475394E-2</v>
      </c>
    </row>
    <row r="74" spans="1:28">
      <c r="A74" s="14" t="s">
        <v>5</v>
      </c>
      <c r="B74" s="131">
        <v>0.30640300589817782</v>
      </c>
      <c r="C74" s="132">
        <v>0.11454873556376874</v>
      </c>
      <c r="D74" s="133">
        <v>0.24669818628251289</v>
      </c>
      <c r="E74" s="131">
        <v>0.31923399958898302</v>
      </c>
      <c r="F74" s="134">
        <v>0.39494528906768472</v>
      </c>
      <c r="G74" s="83">
        <v>1</v>
      </c>
      <c r="H74" s="83">
        <v>-0.38834383911997272</v>
      </c>
      <c r="I74" s="83">
        <v>-0.33880562976583078</v>
      </c>
      <c r="J74" s="83">
        <v>-0.25085909254453836</v>
      </c>
      <c r="K74" s="83">
        <v>-0.19041356689092143</v>
      </c>
      <c r="L74" s="83">
        <v>-0.17046183824593006</v>
      </c>
      <c r="M74" s="83">
        <v>0.99999999999999967</v>
      </c>
      <c r="N74" s="91" t="s">
        <v>141</v>
      </c>
      <c r="O74" s="83"/>
      <c r="P74" s="84"/>
      <c r="R74" s="126">
        <f t="shared" si="26"/>
        <v>0.24669818628251289</v>
      </c>
      <c r="S74" s="126">
        <f t="shared" si="27"/>
        <v>0.30640300589817782</v>
      </c>
      <c r="T74" s="126">
        <f t="shared" si="28"/>
        <v>0.39494528906768472</v>
      </c>
      <c r="V74" s="28">
        <f t="shared" si="29"/>
        <v>0.24669818628251289</v>
      </c>
      <c r="W74" s="28">
        <f t="shared" si="30"/>
        <v>5.9704819615664928E-2</v>
      </c>
      <c r="X74" s="28">
        <f t="shared" si="30"/>
        <v>8.8542283169506908E-2</v>
      </c>
      <c r="Z74" s="38">
        <f t="shared" si="31"/>
        <v>5.544145485794176E-2</v>
      </c>
      <c r="AA74" s="38">
        <f t="shared" si="25"/>
        <v>0.15129724407211007</v>
      </c>
      <c r="AB74" s="38">
        <f t="shared" si="25"/>
        <v>0.11611138953795487</v>
      </c>
    </row>
    <row r="75" spans="1:28">
      <c r="A75" s="14" t="s">
        <v>178</v>
      </c>
      <c r="B75" s="131">
        <v>2.4237980253887471E-3</v>
      </c>
      <c r="C75" s="132">
        <v>3.4451167541798594E-3</v>
      </c>
      <c r="D75" s="133">
        <v>5.2067664902677894E-5</v>
      </c>
      <c r="E75" s="131">
        <v>9.3470142654359517E-4</v>
      </c>
      <c r="F75" s="134">
        <v>3.2802328401680082E-3</v>
      </c>
      <c r="G75" s="83">
        <v>3.5885872760832861E-4</v>
      </c>
      <c r="H75" s="83">
        <v>3.0716223599874999E-3</v>
      </c>
      <c r="I75" s="83">
        <v>3.6369900117000204E-3</v>
      </c>
      <c r="J75" s="83">
        <v>4.2622911651184793E-2</v>
      </c>
      <c r="K75" s="83">
        <v>1</v>
      </c>
      <c r="L75" s="83">
        <v>-0.17149364329038286</v>
      </c>
      <c r="M75" s="83">
        <v>0.99999999999999445</v>
      </c>
      <c r="N75" s="91" t="s">
        <v>141</v>
      </c>
      <c r="O75" s="83"/>
      <c r="P75" s="84"/>
      <c r="R75" s="126">
        <f t="shared" si="26"/>
        <v>5.2067664902677894E-5</v>
      </c>
      <c r="S75" s="126">
        <f t="shared" si="27"/>
        <v>2.4237980253887471E-3</v>
      </c>
      <c r="T75" s="126">
        <f t="shared" si="28"/>
        <v>3.2802328401680082E-3</v>
      </c>
      <c r="V75" s="28">
        <f t="shared" si="29"/>
        <v>5.2067664902677894E-5</v>
      </c>
      <c r="W75" s="28">
        <f t="shared" si="30"/>
        <v>2.3717303604860692E-3</v>
      </c>
      <c r="X75" s="28">
        <f t="shared" si="30"/>
        <v>8.5643481477926109E-4</v>
      </c>
      <c r="Z75" s="38">
        <f t="shared" si="31"/>
        <v>2.7151221483545391E-2</v>
      </c>
      <c r="AA75" s="38">
        <f t="shared" si="25"/>
        <v>0.1191826628311322</v>
      </c>
      <c r="AB75" s="38">
        <f t="shared" si="25"/>
        <v>0.10937898412539634</v>
      </c>
    </row>
    <row r="76" spans="1:28">
      <c r="A76" s="14" t="s">
        <v>6</v>
      </c>
      <c r="B76" s="131">
        <v>7.2338188592087804E-4</v>
      </c>
      <c r="C76" s="132">
        <v>1.030959606490921E-3</v>
      </c>
      <c r="D76" s="133">
        <v>2.5595036159750241E-5</v>
      </c>
      <c r="E76" s="131">
        <v>2.9937418557232816E-4</v>
      </c>
      <c r="F76" s="134">
        <v>9.0246901751303912E-4</v>
      </c>
      <c r="G76" s="83">
        <v>1.9437101262121963E-3</v>
      </c>
      <c r="H76" s="83">
        <v>1.8378601849325354E-3</v>
      </c>
      <c r="I76" s="83">
        <v>6.4050983635480772E-4</v>
      </c>
      <c r="J76" s="83">
        <v>-1.8404881405080474E-2</v>
      </c>
      <c r="K76" s="83">
        <v>5.650048783004351E-3</v>
      </c>
      <c r="L76" s="83">
        <v>1</v>
      </c>
      <c r="M76" s="83">
        <v>0.9999999999999365</v>
      </c>
      <c r="N76" s="91" t="s">
        <v>141</v>
      </c>
      <c r="O76" s="83"/>
      <c r="P76" s="84"/>
      <c r="R76" s="126">
        <f t="shared" si="26"/>
        <v>2.5595036159750241E-5</v>
      </c>
      <c r="S76" s="126">
        <f t="shared" si="27"/>
        <v>7.2338188592087804E-4</v>
      </c>
      <c r="T76" s="126">
        <f t="shared" si="28"/>
        <v>9.0246901751303912E-4</v>
      </c>
      <c r="V76" s="28">
        <f t="shared" si="29"/>
        <v>2.5595036159750241E-5</v>
      </c>
      <c r="W76" s="28">
        <f t="shared" si="30"/>
        <v>6.9778684976112783E-4</v>
      </c>
      <c r="X76" s="28">
        <f t="shared" si="30"/>
        <v>1.7908713159216108E-4</v>
      </c>
      <c r="Z76" s="38">
        <f t="shared" si="31"/>
        <v>2.070038333008862E-3</v>
      </c>
      <c r="AA76" s="38">
        <f t="shared" si="25"/>
        <v>5.1326006272548047E-2</v>
      </c>
      <c r="AB76" s="38">
        <f t="shared" si="25"/>
        <v>1.948580116434773E-2</v>
      </c>
    </row>
    <row r="77" spans="1:28">
      <c r="A77" s="14"/>
      <c r="B77" s="131"/>
      <c r="C77" s="132"/>
      <c r="D77" s="133"/>
      <c r="E77" s="131"/>
      <c r="F77" s="134"/>
      <c r="G77" s="83"/>
      <c r="H77" s="83"/>
      <c r="I77" s="83"/>
      <c r="J77" s="83"/>
      <c r="K77" s="83"/>
      <c r="L77" s="83"/>
      <c r="M77" s="83"/>
      <c r="N77" s="83"/>
      <c r="O77" s="83"/>
      <c r="P77" s="84"/>
    </row>
    <row r="78" spans="1:28">
      <c r="A78" s="15"/>
      <c r="B78" s="135"/>
      <c r="C78" s="136"/>
      <c r="D78" s="137"/>
      <c r="E78" s="135"/>
      <c r="F78" s="138"/>
      <c r="G78" s="86"/>
      <c r="H78" s="86"/>
      <c r="I78" s="86"/>
      <c r="J78" s="86"/>
      <c r="K78" s="86"/>
      <c r="L78" s="86"/>
      <c r="M78" s="86"/>
      <c r="N78" s="86"/>
      <c r="O78" s="86"/>
      <c r="P78" s="87"/>
    </row>
  </sheetData>
  <mergeCells count="12">
    <mergeCell ref="D2:F2"/>
    <mergeCell ref="G2:P2"/>
    <mergeCell ref="D15:F15"/>
    <mergeCell ref="G15:P15"/>
    <mergeCell ref="D54:F54"/>
    <mergeCell ref="G54:P54"/>
    <mergeCell ref="D67:F67"/>
    <mergeCell ref="G67:P67"/>
    <mergeCell ref="D28:F28"/>
    <mergeCell ref="G28:P28"/>
    <mergeCell ref="D41:F41"/>
    <mergeCell ref="G41:P41"/>
  </mergeCells>
  <phoneticPr fontId="2" type="noConversion"/>
  <pageMargins left="0.75" right="0.75" top="1" bottom="1" header="0.5" footer="0.5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7" enableFormatConditionsCalculation="0">
    <tabColor indexed="41"/>
  </sheetPr>
  <dimension ref="A1:CX57"/>
  <sheetViews>
    <sheetView zoomScale="75" workbookViewId="0">
      <selection activeCell="I28" sqref="I28"/>
    </sheetView>
  </sheetViews>
  <sheetFormatPr defaultRowHeight="12.75"/>
  <cols>
    <col min="1" max="1" width="33.85546875" customWidth="1"/>
    <col min="2" max="7" width="18.7109375" customWidth="1"/>
    <col min="8" max="8" width="12.85546875" customWidth="1"/>
    <col min="9" max="9" width="12.5703125" customWidth="1"/>
  </cols>
  <sheetData>
    <row r="1" spans="1:29">
      <c r="A1" s="142" t="s">
        <v>179</v>
      </c>
      <c r="Y1" t="s">
        <v>185</v>
      </c>
      <c r="Z1" t="s">
        <v>192</v>
      </c>
      <c r="AA1">
        <v>-1</v>
      </c>
      <c r="AC1" t="s">
        <v>75</v>
      </c>
    </row>
    <row r="2" spans="1:29">
      <c r="A2" s="2" t="s">
        <v>144</v>
      </c>
      <c r="B2" s="3" t="s">
        <v>184</v>
      </c>
      <c r="C2" s="3" t="s">
        <v>185</v>
      </c>
      <c r="D2" s="3" t="s">
        <v>186</v>
      </c>
      <c r="E2" s="3" t="s">
        <v>187</v>
      </c>
      <c r="F2" s="3" t="s">
        <v>188</v>
      </c>
      <c r="G2" s="191" t="s">
        <v>189</v>
      </c>
      <c r="H2" s="3" t="s">
        <v>194</v>
      </c>
      <c r="Z2" t="s">
        <v>193</v>
      </c>
      <c r="AA2">
        <v>1</v>
      </c>
      <c r="AC2" t="s">
        <v>76</v>
      </c>
    </row>
    <row r="3" spans="1:29">
      <c r="A3" t="s">
        <v>180</v>
      </c>
      <c r="B3" t="s">
        <v>2</v>
      </c>
      <c r="C3" s="1" t="s">
        <v>193</v>
      </c>
      <c r="D3" s="13">
        <v>1.1000000000000001</v>
      </c>
      <c r="E3" s="13">
        <v>0.15</v>
      </c>
      <c r="F3" s="192">
        <v>1.4999999999999999E-2</v>
      </c>
      <c r="G3" s="193">
        <f>BS(1,D3,E3,F3,1,AA3)</f>
        <v>2.9171119646205945E-2</v>
      </c>
      <c r="H3" s="194">
        <f>1%/G3</f>
        <v>0.34280480561878673</v>
      </c>
      <c r="AA3">
        <f>VLOOKUP(C3,$Z$1:$AA$2,2,0)</f>
        <v>1</v>
      </c>
    </row>
    <row r="4" spans="1:29">
      <c r="A4" t="s">
        <v>181</v>
      </c>
      <c r="B4" t="s">
        <v>176</v>
      </c>
      <c r="C4" s="1" t="s">
        <v>192</v>
      </c>
      <c r="D4" s="13">
        <v>0.8</v>
      </c>
      <c r="E4" s="13">
        <v>0.25</v>
      </c>
      <c r="F4" s="192">
        <v>1.4999999999999999E-2</v>
      </c>
      <c r="G4" s="193">
        <f>BS(1,D4,E4,F4,1,AA4)</f>
        <v>2.0123557738958603E-2</v>
      </c>
      <c r="H4" s="194">
        <f>1%/G4</f>
        <v>0.49693002249996288</v>
      </c>
      <c r="AA4">
        <f>VLOOKUP(C4,$Z$1:$AA$2,2,0)</f>
        <v>-1</v>
      </c>
    </row>
    <row r="5" spans="1:29">
      <c r="A5" t="s">
        <v>182</v>
      </c>
      <c r="B5" t="s">
        <v>176</v>
      </c>
      <c r="C5" s="1" t="s">
        <v>193</v>
      </c>
      <c r="D5" s="13">
        <v>1.2</v>
      </c>
      <c r="E5" s="13">
        <v>0.25</v>
      </c>
      <c r="F5" s="192">
        <v>1.4999999999999999E-2</v>
      </c>
      <c r="G5" s="193">
        <f>BS(1,D5,E5,F5,1,AA5)</f>
        <v>4.0719547967982439E-2</v>
      </c>
      <c r="H5" s="194">
        <f>1%/G5</f>
        <v>0.24558229398476983</v>
      </c>
      <c r="AA5">
        <f>VLOOKUP(C5,$Z$1:$AA$2,2,0)</f>
        <v>1</v>
      </c>
    </row>
    <row r="6" spans="1:29">
      <c r="A6" t="s">
        <v>183</v>
      </c>
      <c r="B6" t="s">
        <v>2</v>
      </c>
      <c r="C6" s="1" t="s">
        <v>192</v>
      </c>
      <c r="D6" s="13">
        <v>1</v>
      </c>
      <c r="E6" s="13">
        <v>0.2</v>
      </c>
      <c r="F6" s="192">
        <v>1.4999999999999999E-2</v>
      </c>
      <c r="G6" s="193">
        <f>BS(1,D6,E6,F6,1,AA6)</f>
        <v>7.1840199751242784E-2</v>
      </c>
      <c r="H6" s="194">
        <f>1%/G6</f>
        <v>0.13919783122299861</v>
      </c>
      <c r="AA6">
        <f>VLOOKUP(C6,$Z$1:$AA$2,2,0)</f>
        <v>-1</v>
      </c>
    </row>
    <row r="7" spans="1:29">
      <c r="A7" t="s">
        <v>190</v>
      </c>
      <c r="B7" t="s">
        <v>2</v>
      </c>
      <c r="C7" s="1" t="s">
        <v>192</v>
      </c>
      <c r="D7" s="13">
        <v>1</v>
      </c>
      <c r="E7" s="13">
        <v>0.2</v>
      </c>
      <c r="F7" s="192">
        <v>1.4999999999999999E-2</v>
      </c>
      <c r="G7" s="193">
        <f>BS(1,D7,E7,F7,1,AA7)</f>
        <v>7.1840199751242784E-2</v>
      </c>
      <c r="H7" s="194">
        <f>1%/G7</f>
        <v>0.13919783122299861</v>
      </c>
      <c r="AA7">
        <f>VLOOKUP(C7,$Z$1:$AA$2,2,0)</f>
        <v>-1</v>
      </c>
    </row>
    <row r="9" spans="1:29">
      <c r="G9" s="195"/>
    </row>
    <row r="10" spans="1:29" ht="13.5" thickBot="1">
      <c r="A10" s="2" t="s">
        <v>191</v>
      </c>
      <c r="B10" s="2" t="s">
        <v>196</v>
      </c>
      <c r="C10" s="1" t="s">
        <v>197</v>
      </c>
      <c r="D10" s="1" t="s">
        <v>198</v>
      </c>
      <c r="E10" s="1" t="s">
        <v>199</v>
      </c>
    </row>
    <row r="11" spans="1:29" s="198" customFormat="1">
      <c r="A11" s="317" t="str">
        <f>Parameters!A50</f>
        <v>Nominale matching</v>
      </c>
      <c r="B11" s="318"/>
      <c r="C11" s="196">
        <v>0.61596086453528598</v>
      </c>
      <c r="D11" s="196">
        <v>0.60598172403570849</v>
      </c>
      <c r="E11" s="197">
        <v>0.995</v>
      </c>
    </row>
    <row r="12" spans="1:29" s="22" customFormat="1">
      <c r="A12" s="315" t="str">
        <f>Parameters!A51</f>
        <v>Reele matching</v>
      </c>
      <c r="B12" s="316"/>
      <c r="C12" s="95">
        <v>4.4377171322020056E-2</v>
      </c>
      <c r="D12" s="95">
        <v>4.4367393038151903E-2</v>
      </c>
      <c r="E12" s="199">
        <v>0</v>
      </c>
    </row>
    <row r="13" spans="1:29" s="22" customFormat="1">
      <c r="A13" s="315" t="str">
        <f>Parameters!A52</f>
        <v>Credits</v>
      </c>
      <c r="B13" s="316"/>
      <c r="C13" s="95">
        <v>0</v>
      </c>
      <c r="D13" s="95">
        <v>0</v>
      </c>
      <c r="E13" s="199">
        <v>0</v>
      </c>
    </row>
    <row r="14" spans="1:29" s="22" customFormat="1">
      <c r="A14" s="315" t="str">
        <f>Parameters!A53</f>
        <v>High Yield</v>
      </c>
      <c r="B14" s="316"/>
      <c r="C14" s="95">
        <v>8.8925824703246711E-2</v>
      </c>
      <c r="D14" s="95">
        <v>8.8906230350311324E-2</v>
      </c>
      <c r="E14" s="199">
        <v>0</v>
      </c>
    </row>
    <row r="15" spans="1:29" s="22" customFormat="1">
      <c r="A15" s="315" t="str">
        <f>Parameters!A54</f>
        <v>Emerging market debt</v>
      </c>
      <c r="B15" s="316"/>
      <c r="C15" s="95">
        <v>5.4039405143398458E-2</v>
      </c>
      <c r="D15" s="95">
        <v>5.4027497835478257E-2</v>
      </c>
      <c r="E15" s="199">
        <v>0</v>
      </c>
    </row>
    <row r="16" spans="1:29" s="22" customFormat="1">
      <c r="A16" s="315" t="str">
        <f>Parameters!A55</f>
        <v>Aandelen ontwikkeld</v>
      </c>
      <c r="B16" s="316"/>
      <c r="C16" s="95">
        <v>6.4936362615185719E-2</v>
      </c>
      <c r="D16" s="95">
        <v>6.298611825005751E-2</v>
      </c>
      <c r="E16" s="199">
        <v>0</v>
      </c>
    </row>
    <row r="17" spans="1:102" s="22" customFormat="1">
      <c r="A17" s="315" t="str">
        <f>Parameters!A56</f>
        <v>Aandelen opkomend</v>
      </c>
      <c r="B17" s="316"/>
      <c r="C17" s="95">
        <v>3.1601506770865186E-2</v>
      </c>
      <c r="D17" s="95">
        <v>3.1594543539666314E-2</v>
      </c>
      <c r="E17" s="199">
        <v>0</v>
      </c>
    </row>
    <row r="18" spans="1:102" s="22" customFormat="1">
      <c r="A18" s="315" t="str">
        <f>Parameters!A57</f>
        <v>Hedge funds</v>
      </c>
      <c r="B18" s="316"/>
      <c r="C18" s="95">
        <v>5.3265988292933573E-2</v>
      </c>
      <c r="D18" s="95">
        <v>5.3254251403480508E-2</v>
      </c>
      <c r="E18" s="199">
        <v>0</v>
      </c>
    </row>
    <row r="19" spans="1:102" s="22" customFormat="1">
      <c r="A19" s="315" t="str">
        <f>Parameters!A58</f>
        <v>Onroerend goed</v>
      </c>
      <c r="B19" s="316"/>
      <c r="C19" s="95">
        <v>3.8335740454899139E-2</v>
      </c>
      <c r="D19" s="95">
        <v>3.8327293369578089E-2</v>
      </c>
      <c r="E19" s="199">
        <v>0</v>
      </c>
    </row>
    <row r="20" spans="1:102" s="202" customFormat="1" ht="13.5" thickBot="1">
      <c r="A20" s="313" t="str">
        <f>Parameters!A59</f>
        <v>Commodities</v>
      </c>
      <c r="B20" s="314"/>
      <c r="C20" s="200">
        <v>8.5571361621651423E-3</v>
      </c>
      <c r="D20" s="200">
        <v>8.5552506407585403E-3</v>
      </c>
      <c r="E20" s="201">
        <v>0</v>
      </c>
    </row>
    <row r="21" spans="1:102">
      <c r="A21" s="208" t="str">
        <f>A3</f>
        <v>Derivaat 1</v>
      </c>
      <c r="B21" s="209"/>
      <c r="C21" s="21">
        <v>0</v>
      </c>
      <c r="D21" s="38">
        <v>9.9996984164308321E-3</v>
      </c>
      <c r="E21" s="21">
        <v>0</v>
      </c>
    </row>
    <row r="22" spans="1:102">
      <c r="A22" s="208" t="str">
        <f>A4</f>
        <v>Derivaat 2</v>
      </c>
      <c r="B22" s="209"/>
      <c r="C22" s="21">
        <v>0</v>
      </c>
      <c r="D22" s="38">
        <v>1.9999991203782947E-3</v>
      </c>
      <c r="E22" s="21">
        <v>0</v>
      </c>
    </row>
    <row r="23" spans="1:102">
      <c r="A23" s="208" t="str">
        <f>A5</f>
        <v>Derivaat 3</v>
      </c>
      <c r="B23" s="209"/>
      <c r="C23" s="21">
        <v>0</v>
      </c>
      <c r="D23" s="21">
        <v>0</v>
      </c>
      <c r="E23" s="28">
        <v>5.0000000000000001E-3</v>
      </c>
    </row>
    <row r="24" spans="1:102">
      <c r="A24" s="208" t="str">
        <f>A6</f>
        <v>Derivaat 4</v>
      </c>
      <c r="B24" s="209"/>
      <c r="C24" s="21">
        <v>0</v>
      </c>
      <c r="D24" s="21">
        <v>0</v>
      </c>
      <c r="E24" s="21">
        <v>0</v>
      </c>
    </row>
    <row r="25" spans="1:102" s="203" customFormat="1" ht="13.5" thickBot="1">
      <c r="A25" s="210" t="str">
        <f>A7</f>
        <v>Derivaat 5</v>
      </c>
      <c r="B25" s="211"/>
      <c r="C25" s="204">
        <v>0</v>
      </c>
      <c r="D25" s="204">
        <v>0</v>
      </c>
      <c r="E25" s="204">
        <v>0</v>
      </c>
    </row>
    <row r="26" spans="1:102" s="22" customFormat="1">
      <c r="A26" s="22" t="s">
        <v>138</v>
      </c>
      <c r="C26" s="205" t="s">
        <v>75</v>
      </c>
      <c r="D26" s="205" t="s">
        <v>75</v>
      </c>
      <c r="E26" s="205" t="s">
        <v>76</v>
      </c>
    </row>
    <row r="28" spans="1:102">
      <c r="A28" t="s">
        <v>195</v>
      </c>
      <c r="B28">
        <v>100000</v>
      </c>
    </row>
    <row r="29" spans="1:102">
      <c r="A29" t="s">
        <v>200</v>
      </c>
      <c r="B29" s="21">
        <v>1</v>
      </c>
    </row>
    <row r="30" spans="1:102">
      <c r="A30" s="112" t="s">
        <v>201</v>
      </c>
      <c r="B30" s="21">
        <v>0.75</v>
      </c>
      <c r="C30" s="21"/>
    </row>
    <row r="31" spans="1:102">
      <c r="A31" s="112" t="s">
        <v>202</v>
      </c>
      <c r="B31" s="21">
        <v>1.5</v>
      </c>
    </row>
    <row r="32" spans="1:102" s="95" customFormat="1">
      <c r="A32" s="124" t="s">
        <v>133</v>
      </c>
      <c r="B32" s="124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</row>
    <row r="33" spans="1:102" s="111" customFormat="1">
      <c r="A33" s="108" t="s">
        <v>36</v>
      </c>
      <c r="B33" s="102" t="s">
        <v>29</v>
      </c>
      <c r="C33" s="206">
        <v>1.0203488508859588E-2</v>
      </c>
      <c r="D33" s="206">
        <v>2.9098555337277389E-3</v>
      </c>
      <c r="E33" s="206">
        <v>-1.7745785188442273E-3</v>
      </c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  <c r="AD33" s="206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  <c r="BF33" s="206"/>
      <c r="BG33" s="206"/>
      <c r="BH33" s="206"/>
      <c r="BI33" s="206"/>
      <c r="BJ33" s="206"/>
      <c r="BK33" s="206"/>
      <c r="BL33" s="206"/>
      <c r="BM33" s="206"/>
      <c r="BN33" s="206"/>
      <c r="BO33" s="206"/>
      <c r="BP33" s="206"/>
      <c r="BQ33" s="206"/>
      <c r="BR33" s="206"/>
      <c r="BS33" s="206"/>
      <c r="BT33" s="206"/>
      <c r="BU33" s="206"/>
      <c r="BV33" s="206"/>
      <c r="BW33" s="206"/>
      <c r="BX33" s="206"/>
      <c r="BY33" s="206"/>
      <c r="BZ33" s="206"/>
      <c r="CA33" s="206"/>
      <c r="CB33" s="206"/>
      <c r="CC33" s="206"/>
      <c r="CD33" s="206"/>
      <c r="CE33" s="206"/>
      <c r="CF33" s="206"/>
      <c r="CG33" s="206"/>
      <c r="CH33" s="206"/>
      <c r="CI33" s="206"/>
      <c r="CJ33" s="206"/>
      <c r="CK33" s="206"/>
      <c r="CL33" s="206"/>
      <c r="CM33" s="206"/>
      <c r="CN33" s="206"/>
      <c r="CO33" s="206"/>
      <c r="CP33" s="206"/>
      <c r="CQ33" s="206"/>
      <c r="CR33" s="206"/>
      <c r="CS33" s="206"/>
      <c r="CT33" s="206"/>
      <c r="CU33" s="206"/>
      <c r="CV33" s="206"/>
      <c r="CW33" s="206"/>
      <c r="CX33" s="206"/>
    </row>
    <row r="34" spans="1:102" s="95" customFormat="1">
      <c r="B34" s="14" t="s">
        <v>30</v>
      </c>
      <c r="C34" s="97">
        <v>5.5233854442323344E-2</v>
      </c>
      <c r="D34" s="97">
        <v>5.2063213710416473E-2</v>
      </c>
      <c r="E34" s="97">
        <v>3.0949718486212675E-2</v>
      </c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</row>
    <row r="35" spans="1:102" s="95" customFormat="1">
      <c r="B35" s="56" t="s">
        <v>56</v>
      </c>
      <c r="C35" s="97">
        <v>9.9526930505874245E-2</v>
      </c>
      <c r="D35" s="97">
        <v>0.10090555138335786</v>
      </c>
      <c r="E35" s="97">
        <v>0.11122631341479534</v>
      </c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</row>
    <row r="36" spans="1:102" s="95" customFormat="1">
      <c r="A36" s="96"/>
      <c r="B36" s="207" t="s">
        <v>114</v>
      </c>
      <c r="C36" s="98">
        <v>0.49853999999999998</v>
      </c>
      <c r="D36" s="98">
        <v>0.56142999999999998</v>
      </c>
      <c r="E36" s="98">
        <v>0.65251999999999999</v>
      </c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  <c r="BA36" s="98"/>
      <c r="BB36" s="98"/>
      <c r="BC36" s="98"/>
      <c r="BD36" s="98"/>
      <c r="BE36" s="98"/>
      <c r="BF36" s="98"/>
      <c r="BG36" s="98"/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8"/>
      <c r="CB36" s="98"/>
      <c r="CC36" s="98"/>
      <c r="CD36" s="98"/>
      <c r="CE36" s="98"/>
      <c r="CF36" s="98"/>
      <c r="CG36" s="98"/>
      <c r="CH36" s="98"/>
      <c r="CI36" s="98"/>
      <c r="CJ36" s="98"/>
      <c r="CK36" s="98"/>
      <c r="CL36" s="98"/>
      <c r="CM36" s="98"/>
      <c r="CN36" s="98"/>
      <c r="CO36" s="98"/>
      <c r="CP36" s="98"/>
      <c r="CQ36" s="98"/>
      <c r="CR36" s="98"/>
      <c r="CS36" s="98"/>
      <c r="CT36" s="98"/>
      <c r="CU36" s="98"/>
      <c r="CV36" s="98"/>
      <c r="CW36" s="98"/>
      <c r="CX36" s="98"/>
    </row>
    <row r="37" spans="1:102" s="111" customFormat="1">
      <c r="A37" s="88" t="s">
        <v>21</v>
      </c>
      <c r="B37" s="102" t="s">
        <v>29</v>
      </c>
      <c r="C37" s="206">
        <v>7.7448868897241592E-3</v>
      </c>
      <c r="D37" s="206">
        <v>-4.1768663563544544E-4</v>
      </c>
      <c r="E37" s="206">
        <v>-3.4179192914724956E-3</v>
      </c>
      <c r="F37" s="206"/>
      <c r="G37" s="206"/>
      <c r="H37" s="206"/>
      <c r="I37" s="206"/>
      <c r="J37" s="206"/>
      <c r="K37" s="206"/>
      <c r="L37" s="206"/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  <c r="AP37" s="206"/>
      <c r="AQ37" s="206"/>
      <c r="AR37" s="206"/>
      <c r="AS37" s="206"/>
      <c r="AT37" s="206"/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  <c r="BF37" s="206"/>
      <c r="BG37" s="206"/>
      <c r="BH37" s="206"/>
      <c r="BI37" s="206"/>
      <c r="BJ37" s="206"/>
      <c r="BK37" s="206"/>
      <c r="BL37" s="206"/>
      <c r="BM37" s="206"/>
      <c r="BN37" s="206"/>
      <c r="BO37" s="206"/>
      <c r="BP37" s="206"/>
      <c r="BQ37" s="206"/>
      <c r="BR37" s="206"/>
      <c r="BS37" s="206"/>
      <c r="BT37" s="206"/>
      <c r="BU37" s="206"/>
      <c r="BV37" s="206"/>
      <c r="BW37" s="206"/>
      <c r="BX37" s="206"/>
      <c r="BY37" s="206"/>
      <c r="BZ37" s="206"/>
      <c r="CA37" s="206"/>
      <c r="CB37" s="206"/>
      <c r="CC37" s="206"/>
      <c r="CD37" s="206"/>
      <c r="CE37" s="206"/>
      <c r="CF37" s="206"/>
      <c r="CG37" s="206"/>
      <c r="CH37" s="206"/>
      <c r="CI37" s="206"/>
      <c r="CJ37" s="206"/>
      <c r="CK37" s="206"/>
      <c r="CL37" s="206"/>
      <c r="CM37" s="206"/>
      <c r="CN37" s="206"/>
      <c r="CO37" s="206"/>
      <c r="CP37" s="206"/>
      <c r="CQ37" s="206"/>
      <c r="CR37" s="206"/>
      <c r="CS37" s="206"/>
      <c r="CT37" s="206"/>
      <c r="CU37" s="206"/>
      <c r="CV37" s="206"/>
      <c r="CW37" s="206"/>
      <c r="CX37" s="206"/>
    </row>
    <row r="38" spans="1:102" s="95" customFormat="1">
      <c r="B38" s="14" t="s">
        <v>30</v>
      </c>
      <c r="C38" s="97">
        <v>4.960061558427549E-2</v>
      </c>
      <c r="D38" s="97">
        <v>4.7502274193052994E-2</v>
      </c>
      <c r="E38" s="97">
        <v>3.0349145664361948E-2</v>
      </c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</row>
    <row r="39" spans="1:102" s="95" customFormat="1">
      <c r="B39" s="56" t="s">
        <v>56</v>
      </c>
      <c r="C39" s="97">
        <v>9.1075017539875777E-2</v>
      </c>
      <c r="D39" s="97">
        <v>9.3052288839237995E-2</v>
      </c>
      <c r="E39" s="97">
        <v>0.10433740940809018</v>
      </c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</row>
    <row r="40" spans="1:102" s="95" customFormat="1">
      <c r="A40" s="96"/>
      <c r="B40" s="56" t="s">
        <v>114</v>
      </c>
      <c r="C40" s="97">
        <v>0.51775000000000004</v>
      </c>
      <c r="D40" s="97">
        <v>0.59052000000000004</v>
      </c>
      <c r="E40" s="97">
        <v>0.67171000000000003</v>
      </c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</row>
    <row r="41" spans="1:102" s="111" customFormat="1">
      <c r="A41" s="88" t="s">
        <v>102</v>
      </c>
      <c r="B41" s="102" t="s">
        <v>29</v>
      </c>
      <c r="C41" s="206">
        <v>2.8284358698138196E-2</v>
      </c>
      <c r="D41" s="206">
        <v>1.8249088471973311E-2</v>
      </c>
      <c r="E41" s="206">
        <v>-3.5236648648383122E-3</v>
      </c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  <c r="AP41" s="206"/>
      <c r="AQ41" s="206"/>
      <c r="AR41" s="206"/>
      <c r="AS41" s="206"/>
      <c r="AT41" s="206"/>
      <c r="AU41" s="206"/>
      <c r="AV41" s="206"/>
      <c r="AW41" s="206"/>
      <c r="AX41" s="206"/>
      <c r="AY41" s="206"/>
      <c r="AZ41" s="206"/>
      <c r="BA41" s="206"/>
      <c r="BB41" s="206"/>
      <c r="BC41" s="206"/>
      <c r="BD41" s="206"/>
      <c r="BE41" s="206"/>
      <c r="BF41" s="206"/>
      <c r="BG41" s="206"/>
      <c r="BH41" s="206"/>
      <c r="BI41" s="206"/>
      <c r="BJ41" s="206"/>
      <c r="BK41" s="206"/>
      <c r="BL41" s="206"/>
      <c r="BM41" s="206"/>
      <c r="BN41" s="206"/>
      <c r="BO41" s="206"/>
      <c r="BP41" s="206"/>
      <c r="BQ41" s="206"/>
      <c r="BR41" s="206"/>
      <c r="BS41" s="206"/>
      <c r="BT41" s="206"/>
      <c r="BU41" s="206"/>
      <c r="BV41" s="206"/>
      <c r="BW41" s="206"/>
      <c r="BX41" s="206"/>
      <c r="BY41" s="206"/>
      <c r="BZ41" s="206"/>
      <c r="CA41" s="206"/>
      <c r="CB41" s="206"/>
      <c r="CC41" s="206"/>
      <c r="CD41" s="206"/>
      <c r="CE41" s="206"/>
      <c r="CF41" s="206"/>
      <c r="CG41" s="206"/>
      <c r="CH41" s="206"/>
      <c r="CI41" s="206"/>
      <c r="CJ41" s="206"/>
      <c r="CK41" s="206"/>
      <c r="CL41" s="206"/>
      <c r="CM41" s="206"/>
      <c r="CN41" s="206"/>
      <c r="CO41" s="206"/>
      <c r="CP41" s="206"/>
      <c r="CQ41" s="206"/>
      <c r="CR41" s="206"/>
      <c r="CS41" s="206"/>
      <c r="CT41" s="206"/>
      <c r="CU41" s="206"/>
      <c r="CV41" s="206"/>
      <c r="CW41" s="206"/>
      <c r="CX41" s="206"/>
    </row>
    <row r="42" spans="1:102" s="95" customFormat="1">
      <c r="B42" s="14" t="s">
        <v>30</v>
      </c>
      <c r="C42" s="97">
        <v>4.1405003025398596E-2</v>
      </c>
      <c r="D42" s="97">
        <v>4.1060429914190975E-2</v>
      </c>
      <c r="E42" s="97">
        <v>3.0239232838909502E-2</v>
      </c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</row>
    <row r="43" spans="1:102" s="95" customFormat="1">
      <c r="B43" s="56" t="s">
        <v>56</v>
      </c>
      <c r="C43" s="97">
        <v>9.749499848517991E-2</v>
      </c>
      <c r="D43" s="97">
        <v>9.7343896168357133E-2</v>
      </c>
      <c r="E43" s="97">
        <v>0.10910559412945038</v>
      </c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</row>
    <row r="44" spans="1:102" s="96" customFormat="1">
      <c r="B44" s="56" t="s">
        <v>114</v>
      </c>
      <c r="C44" s="97">
        <v>0.32887</v>
      </c>
      <c r="D44" s="97">
        <v>0.42225000000000001</v>
      </c>
      <c r="E44" s="97">
        <v>0.67242999999999997</v>
      </c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</row>
    <row r="45" spans="1:102" s="95" customFormat="1">
      <c r="A45" s="88" t="s">
        <v>104</v>
      </c>
      <c r="B45" s="102" t="s">
        <v>29</v>
      </c>
      <c r="C45" s="206">
        <v>5.8718896674579191E-2</v>
      </c>
      <c r="D45" s="206">
        <v>4.7389417669859574E-2</v>
      </c>
      <c r="E45" s="206">
        <v>2.2592992053772467E-3</v>
      </c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  <c r="AP45" s="206"/>
      <c r="AQ45" s="206"/>
      <c r="AR45" s="206"/>
      <c r="AS45" s="206"/>
      <c r="AT45" s="206"/>
      <c r="AU45" s="206"/>
      <c r="AV45" s="206"/>
      <c r="AW45" s="206"/>
      <c r="AX45" s="206"/>
      <c r="AY45" s="206"/>
      <c r="AZ45" s="206"/>
      <c r="BA45" s="206"/>
      <c r="BB45" s="206"/>
      <c r="BC45" s="206"/>
      <c r="BD45" s="206"/>
      <c r="BE45" s="206"/>
      <c r="BF45" s="206"/>
      <c r="BG45" s="206"/>
      <c r="BH45" s="206"/>
      <c r="BI45" s="206"/>
      <c r="BJ45" s="206"/>
      <c r="BK45" s="206"/>
      <c r="BL45" s="206"/>
      <c r="BM45" s="206"/>
      <c r="BN45" s="206"/>
      <c r="BO45" s="206"/>
      <c r="BP45" s="206"/>
      <c r="BQ45" s="206"/>
      <c r="BR45" s="206"/>
      <c r="BS45" s="206"/>
      <c r="BT45" s="206"/>
      <c r="BU45" s="206"/>
      <c r="BV45" s="206"/>
      <c r="BW45" s="206"/>
      <c r="BX45" s="206"/>
      <c r="BY45" s="206"/>
      <c r="BZ45" s="206"/>
      <c r="CA45" s="206"/>
      <c r="CB45" s="206"/>
      <c r="CC45" s="206"/>
      <c r="CD45" s="206"/>
      <c r="CE45" s="206"/>
      <c r="CF45" s="206"/>
      <c r="CG45" s="206"/>
      <c r="CH45" s="206"/>
      <c r="CI45" s="206"/>
      <c r="CJ45" s="206"/>
      <c r="CK45" s="206"/>
      <c r="CL45" s="206"/>
      <c r="CM45" s="206"/>
      <c r="CN45" s="206"/>
      <c r="CO45" s="206"/>
      <c r="CP45" s="206"/>
      <c r="CQ45" s="206"/>
      <c r="CR45" s="206"/>
      <c r="CS45" s="206"/>
      <c r="CT45" s="206"/>
      <c r="CU45" s="206"/>
      <c r="CV45" s="206"/>
      <c r="CW45" s="206"/>
      <c r="CX45" s="206"/>
    </row>
    <row r="46" spans="1:102">
      <c r="A46" s="95"/>
      <c r="B46" s="14" t="s">
        <v>30</v>
      </c>
      <c r="C46" s="97">
        <v>4.7621540310462722E-2</v>
      </c>
      <c r="D46" s="97">
        <v>4.7337551316796095E-2</v>
      </c>
      <c r="E46" s="97">
        <v>3.1490209926236364E-2</v>
      </c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</row>
    <row r="47" spans="1:102">
      <c r="A47" s="95"/>
      <c r="B47" s="56" t="s">
        <v>56</v>
      </c>
      <c r="C47" s="97">
        <v>9.8895358373629602E-2</v>
      </c>
      <c r="D47" s="97">
        <v>9.8988319394145957E-2</v>
      </c>
      <c r="E47" s="97">
        <v>0.11079548744127811</v>
      </c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</row>
    <row r="48" spans="1:102">
      <c r="A48" s="96"/>
      <c r="B48" s="56" t="s">
        <v>114</v>
      </c>
      <c r="C48" s="97">
        <v>0.15348999999999999</v>
      </c>
      <c r="D48" s="97">
        <v>0.2162</v>
      </c>
      <c r="E48" s="97">
        <v>0.60221000000000002</v>
      </c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</row>
    <row r="49" spans="1:102">
      <c r="A49" s="88" t="s">
        <v>37</v>
      </c>
      <c r="B49" s="102" t="s">
        <v>29</v>
      </c>
      <c r="C49" s="206">
        <v>-8.3924029122078733E-2</v>
      </c>
      <c r="D49" s="206">
        <v>-7.8770679258996265E-2</v>
      </c>
      <c r="E49" s="206">
        <v>-5.2403320277111887E-3</v>
      </c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  <c r="AW49" s="206"/>
      <c r="AX49" s="206"/>
      <c r="AY49" s="206"/>
      <c r="AZ49" s="206"/>
      <c r="BA49" s="206"/>
      <c r="BB49" s="206"/>
      <c r="BC49" s="206"/>
      <c r="BD49" s="206"/>
      <c r="BE49" s="206"/>
      <c r="BF49" s="206"/>
      <c r="BG49" s="206"/>
      <c r="BH49" s="206"/>
      <c r="BI49" s="206"/>
      <c r="BJ49" s="206"/>
      <c r="BK49" s="206"/>
      <c r="BL49" s="206"/>
      <c r="BM49" s="206"/>
      <c r="BN49" s="206"/>
      <c r="BO49" s="206"/>
      <c r="BP49" s="206"/>
      <c r="BQ49" s="206"/>
      <c r="BR49" s="206"/>
      <c r="BS49" s="206"/>
      <c r="BT49" s="206"/>
      <c r="BU49" s="206"/>
      <c r="BV49" s="206"/>
      <c r="BW49" s="206"/>
      <c r="BX49" s="206"/>
      <c r="BY49" s="206"/>
      <c r="BZ49" s="206"/>
      <c r="CA49" s="206"/>
      <c r="CB49" s="206"/>
      <c r="CC49" s="206"/>
      <c r="CD49" s="206"/>
      <c r="CE49" s="206"/>
      <c r="CF49" s="206"/>
      <c r="CG49" s="206"/>
      <c r="CH49" s="206"/>
      <c r="CI49" s="206"/>
      <c r="CJ49" s="206"/>
      <c r="CK49" s="206"/>
      <c r="CL49" s="206"/>
      <c r="CM49" s="206"/>
      <c r="CN49" s="206"/>
      <c r="CO49" s="206"/>
      <c r="CP49" s="206"/>
      <c r="CQ49" s="206"/>
      <c r="CR49" s="206"/>
      <c r="CS49" s="206"/>
      <c r="CT49" s="206"/>
      <c r="CU49" s="206"/>
      <c r="CV49" s="206"/>
      <c r="CW49" s="206"/>
      <c r="CX49" s="206"/>
    </row>
    <row r="50" spans="1:102">
      <c r="A50" s="95"/>
      <c r="B50" s="14" t="s">
        <v>30</v>
      </c>
      <c r="C50" s="97">
        <v>7.5718722599058819E-2</v>
      </c>
      <c r="D50" s="97">
        <v>6.1378032818547784E-2</v>
      </c>
      <c r="E50" s="97">
        <v>2.9960583831672282E-2</v>
      </c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</row>
    <row r="51" spans="1:102">
      <c r="A51" s="95"/>
      <c r="B51" s="56" t="s">
        <v>56</v>
      </c>
      <c r="C51" s="97">
        <v>8.2300672602805922E-2</v>
      </c>
      <c r="D51" s="97">
        <v>7.8889034351591017E-2</v>
      </c>
      <c r="E51" s="97">
        <v>8.049724899287955E-2</v>
      </c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</row>
    <row r="52" spans="1:102">
      <c r="A52" s="96"/>
      <c r="B52" s="56" t="s">
        <v>114</v>
      </c>
      <c r="C52" s="97">
        <v>0.89171999999999996</v>
      </c>
      <c r="D52" s="97">
        <v>0.91459000000000001</v>
      </c>
      <c r="E52" s="97">
        <v>0.69472999999999996</v>
      </c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</row>
    <row r="53" spans="1:102">
      <c r="A53" s="108" t="s">
        <v>38</v>
      </c>
      <c r="B53" s="102" t="s">
        <v>29</v>
      </c>
      <c r="C53" s="206">
        <v>3.583261270337249E-3</v>
      </c>
      <c r="D53" s="206">
        <v>-3.2426155677679584E-3</v>
      </c>
      <c r="E53" s="206">
        <v>-2.850598217254606E-3</v>
      </c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  <c r="AP53" s="206"/>
      <c r="AQ53" s="206"/>
      <c r="AR53" s="206"/>
      <c r="AS53" s="206"/>
      <c r="AT53" s="206"/>
      <c r="AU53" s="206"/>
      <c r="AV53" s="206"/>
      <c r="AW53" s="206"/>
      <c r="AX53" s="206"/>
      <c r="AY53" s="206"/>
      <c r="AZ53" s="206"/>
      <c r="BA53" s="206"/>
      <c r="BB53" s="206"/>
      <c r="BC53" s="206"/>
      <c r="BD53" s="206"/>
      <c r="BE53" s="206"/>
      <c r="BF53" s="206"/>
      <c r="BG53" s="206"/>
      <c r="BH53" s="206"/>
      <c r="BI53" s="206"/>
      <c r="BJ53" s="206"/>
      <c r="BK53" s="206"/>
      <c r="BL53" s="206"/>
      <c r="BM53" s="206"/>
      <c r="BN53" s="206"/>
      <c r="BO53" s="206"/>
      <c r="BP53" s="206"/>
      <c r="BQ53" s="206"/>
      <c r="BR53" s="206"/>
      <c r="BS53" s="206"/>
      <c r="BT53" s="206"/>
      <c r="BU53" s="206"/>
      <c r="BV53" s="206"/>
      <c r="BW53" s="206"/>
      <c r="BX53" s="206"/>
      <c r="BY53" s="206"/>
      <c r="BZ53" s="206"/>
      <c r="CA53" s="206"/>
      <c r="CB53" s="206"/>
      <c r="CC53" s="206"/>
      <c r="CD53" s="206"/>
      <c r="CE53" s="206"/>
      <c r="CF53" s="206"/>
      <c r="CG53" s="206"/>
      <c r="CH53" s="206"/>
      <c r="CI53" s="206"/>
      <c r="CJ53" s="206"/>
      <c r="CK53" s="206"/>
      <c r="CL53" s="206"/>
      <c r="CM53" s="206"/>
      <c r="CN53" s="206"/>
      <c r="CO53" s="206"/>
      <c r="CP53" s="206"/>
      <c r="CQ53" s="206"/>
      <c r="CR53" s="206"/>
      <c r="CS53" s="206"/>
      <c r="CT53" s="206"/>
      <c r="CU53" s="206"/>
      <c r="CV53" s="206"/>
      <c r="CW53" s="206"/>
      <c r="CX53" s="206"/>
    </row>
    <row r="54" spans="1:102">
      <c r="A54" s="95"/>
      <c r="B54" s="14" t="s">
        <v>30</v>
      </c>
      <c r="C54" s="97">
        <v>6.7177480020836525E-2</v>
      </c>
      <c r="D54" s="97">
        <v>6.091597202112143E-2</v>
      </c>
      <c r="E54" s="97">
        <v>3.0455564632384767E-2</v>
      </c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</row>
    <row r="55" spans="1:102">
      <c r="A55" s="95"/>
      <c r="B55" s="56" t="s">
        <v>56</v>
      </c>
      <c r="C55" s="97">
        <v>9.7352837183209917E-2</v>
      </c>
      <c r="D55" s="97">
        <v>9.8160239736585927E-2</v>
      </c>
      <c r="E55" s="97">
        <v>0.11377351080108437</v>
      </c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</row>
    <row r="56" spans="1:102">
      <c r="A56" s="96"/>
      <c r="B56" s="207" t="s">
        <v>114</v>
      </c>
      <c r="C56" s="98">
        <v>0.50139</v>
      </c>
      <c r="D56" s="98">
        <v>0.56713000000000002</v>
      </c>
      <c r="E56" s="98">
        <v>0.66527999999999998</v>
      </c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98"/>
      <c r="CU56" s="98"/>
      <c r="CV56" s="98"/>
      <c r="CW56" s="98"/>
      <c r="CX56" s="98"/>
    </row>
    <row r="57" spans="1:102">
      <c r="A57" s="95"/>
      <c r="B57" s="110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</row>
  </sheetData>
  <mergeCells count="10">
    <mergeCell ref="A11:B11"/>
    <mergeCell ref="A12:B12"/>
    <mergeCell ref="A13:B13"/>
    <mergeCell ref="A14:B14"/>
    <mergeCell ref="A19:B19"/>
    <mergeCell ref="A20:B20"/>
    <mergeCell ref="A15:B15"/>
    <mergeCell ref="A16:B16"/>
    <mergeCell ref="A17:B17"/>
    <mergeCell ref="A18:B18"/>
  </mergeCells>
  <phoneticPr fontId="2" type="noConversion"/>
  <dataValidations count="3">
    <dataValidation type="list" allowBlank="1" showInputMessage="1" showErrorMessage="1" sqref="B3:B7">
      <formula1>$A$11:$A$20</formula1>
    </dataValidation>
    <dataValidation type="list" allowBlank="1" showInputMessage="1" showErrorMessage="1" sqref="C3:C7">
      <formula1>$Z$1:$Z$2</formula1>
    </dataValidation>
    <dataValidation type="list" allowBlank="1" showInputMessage="1" showErrorMessage="1" sqref="C26:E26">
      <formula1>$AC$1:$AC$2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Parameters</vt:lpstr>
      <vt:lpstr>Economische visies</vt:lpstr>
      <vt:lpstr>Vertaling visies absoluut</vt:lpstr>
      <vt:lpstr>Vertaling visies absoluut (2)</vt:lpstr>
      <vt:lpstr>BL Visie 1</vt:lpstr>
      <vt:lpstr>BL Visie 2</vt:lpstr>
      <vt:lpstr>BL Visie 3</vt:lpstr>
      <vt:lpstr>BL Visie 4</vt:lpstr>
      <vt:lpstr>BL vertaling absoluut</vt:lpstr>
      <vt:lpstr>Historie rendementen</vt:lpstr>
      <vt:lpstr>Historie factoren</vt:lpstr>
      <vt:lpstr>Verplichtingen Nominaal</vt:lpstr>
      <vt:lpstr>Verplichtingen Reeel</vt:lpstr>
      <vt:lpstr>Scenario 1 Mixen</vt:lpstr>
      <vt:lpstr>Scenario 2 Mixen</vt:lpstr>
      <vt:lpstr>Scenario 3 Mixen</vt:lpstr>
      <vt:lpstr>Scenario 4 Mixen</vt:lpstr>
      <vt:lpstr>Scenario 5 Mixen</vt:lpstr>
      <vt:lpstr>Scenario 6 Mixen</vt:lpstr>
      <vt:lpstr>Samenvatting mixen</vt:lpstr>
      <vt:lpstr>Samenvatting mixen - return</vt:lpstr>
      <vt:lpstr>Derivatenanalyse</vt:lpstr>
      <vt:lpstr>Grafieken - matching &amp; return</vt:lpstr>
      <vt:lpstr>Grafieken - Returnportefeuille</vt:lpstr>
      <vt:lpstr>Basisanalyse</vt:lpstr>
      <vt:lpstr>Basisanalyse - returnport</vt:lpstr>
      <vt:lpstr>Groei Recessie</vt:lpstr>
      <vt:lpstr>Inflatie</vt:lpstr>
      <vt:lpstr>Vermogenseffect</vt:lpstr>
      <vt:lpstr>Deflatie</vt:lpstr>
      <vt:lpstr>Kansgewogen</vt:lpstr>
      <vt:lpstr>Sample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dcterms:created xsi:type="dcterms:W3CDTF">2009-10-07T06:48:11Z</dcterms:created>
  <dcterms:modified xsi:type="dcterms:W3CDTF">2013-02-19T14:10:51Z</dcterms:modified>
</cp:coreProperties>
</file>